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160" yWindow="2160" windowWidth="32990" windowHeight="1818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Stock_raw"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s>
  <definedNames/>
  <calcPr calcId="191029" fullCalcOnLoad="1"/>
</workbook>
</file>

<file path=xl/styles.xml><?xml version="1.0" encoding="utf-8"?>
<styleSheet xmlns="http://schemas.openxmlformats.org/spreadsheetml/2006/main">
  <numFmts count="0"/>
  <fonts count="19">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family val="2"/>
      <b val="1"/>
      <color theme="1"/>
      <sz val="11"/>
      <scheme val="minor"/>
    </font>
    <font>
      <name val="Calibri"/>
      <family val="2"/>
      <b val="1"/>
      <color rgb="FFFF0000"/>
      <sz val="12"/>
      <scheme val="minor"/>
    </font>
    <font>
      <name val="Tahoma"/>
      <charset val="1"/>
      <color indexed="81"/>
      <sz val="9"/>
    </font>
  </fonts>
  <fills count="10">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FFF2F2F2"/>
        <bgColor rgb="FFF2F2F2"/>
      </patternFill>
    </fill>
  </fills>
  <borders count="18">
    <border>
      <left/>
      <right/>
      <top/>
      <bottom/>
      <diagonal/>
    </border>
    <border>
      <left/>
      <right/>
      <top/>
      <bottom style="thin">
        <color rgb="FFA6A6A6"/>
      </bottom>
      <diagonal/>
    </border>
    <border>
      <left/>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rgb="FF000000"/>
      </right>
      <top/>
      <bottom/>
      <diagonal/>
    </border>
    <border>
      <left/>
      <right/>
      <top/>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15"/>
  </cellStyleXfs>
  <cellXfs count="104">
    <xf numFmtId="0" fontId="0" fillId="0" borderId="0" pivotButton="0" quotePrefix="0" xfId="0"/>
    <xf numFmtId="0" fontId="10" fillId="0" borderId="0" pivotButton="0" quotePrefix="0" xfId="0"/>
    <xf numFmtId="0" fontId="5" fillId="0" borderId="0" pivotButton="0" quotePrefix="0" xfId="0"/>
    <xf numFmtId="0" fontId="6" fillId="0" borderId="0" pivotButton="0" quotePrefix="0" xfId="0"/>
    <xf numFmtId="0" fontId="11" fillId="0" borderId="0" pivotButton="0" quotePrefix="0" xfId="0"/>
    <xf numFmtId="0" fontId="13" fillId="0" borderId="0" pivotButton="0" quotePrefix="0" xfId="0"/>
    <xf numFmtId="0" fontId="10" fillId="2" borderId="0" pivotButton="0" quotePrefix="0" xfId="0"/>
    <xf numFmtId="0" fontId="14" fillId="2" borderId="0" pivotButton="0" quotePrefix="0" xfId="0"/>
    <xf numFmtId="0" fontId="13" fillId="3" borderId="0" pivotButton="0" quotePrefix="0" xfId="0"/>
    <xf numFmtId="0" fontId="14" fillId="3" borderId="0" pivotButton="0" quotePrefix="0" xfId="0"/>
    <xf numFmtId="0" fontId="14" fillId="4" borderId="0" pivotButton="0" quotePrefix="0" xfId="0"/>
    <xf numFmtId="0" fontId="10" fillId="5" borderId="0" pivotButton="0" quotePrefix="0" xfId="0"/>
    <xf numFmtId="0" fontId="13" fillId="0" borderId="0" applyAlignment="1" pivotButton="0" quotePrefix="0" xfId="0">
      <alignment wrapText="1"/>
    </xf>
    <xf numFmtId="0" fontId="13" fillId="0" borderId="1" pivotButton="0" quotePrefix="0" xfId="0"/>
    <xf numFmtId="0" fontId="13" fillId="0" borderId="0" applyAlignment="1" pivotButton="0" quotePrefix="0" xfId="0">
      <alignment horizontal="right"/>
    </xf>
    <xf numFmtId="0" fontId="13" fillId="0" borderId="1" applyAlignment="1" pivotButton="0" quotePrefix="0" xfId="0">
      <alignment horizontal="left"/>
    </xf>
    <xf numFmtId="0" fontId="0" fillId="0" borderId="0" applyAlignment="1" pivotButton="0" quotePrefix="0" xfId="0">
      <alignment horizontal="right"/>
    </xf>
    <xf numFmtId="0" fontId="6" fillId="0" borderId="0" applyAlignment="1" pivotButton="0" quotePrefix="0" xfId="0">
      <alignment horizontal="right" wrapText="1"/>
    </xf>
    <xf numFmtId="0" fontId="16" fillId="0" borderId="0" pivotButton="0" quotePrefix="0" xfId="0"/>
    <xf numFmtId="0" fontId="0" fillId="0" borderId="0" applyAlignment="1" pivotButton="0" quotePrefix="0" xfId="0">
      <alignment horizontal="left"/>
    </xf>
    <xf numFmtId="0" fontId="0" fillId="0" borderId="0" applyAlignment="1" pivotButton="0" quotePrefix="0" xfId="0">
      <alignment wrapText="1"/>
    </xf>
    <xf numFmtId="0" fontId="6" fillId="5" borderId="0" pivotButton="0" quotePrefix="0" xfId="0"/>
    <xf numFmtId="0" fontId="11" fillId="5" borderId="0" pivotButton="0" quotePrefix="0" xfId="0"/>
    <xf numFmtId="0" fontId="6" fillId="0" borderId="0" applyAlignment="1" pivotButton="0" quotePrefix="0" xfId="0">
      <alignment wrapText="1"/>
    </xf>
    <xf numFmtId="0" fontId="11" fillId="6" borderId="0" pivotButton="0" quotePrefix="0" xfId="0"/>
    <xf numFmtId="0" fontId="0" fillId="0" borderId="3" pivotButton="0" quotePrefix="0" xfId="0"/>
    <xf numFmtId="0" fontId="0" fillId="0" borderId="3" applyAlignment="1" pivotButton="0" quotePrefix="0" xfId="0">
      <alignment horizontal="left"/>
    </xf>
    <xf numFmtId="0" fontId="0" fillId="5" borderId="0" pivotButton="0" quotePrefix="0" xfId="0"/>
    <xf numFmtId="0" fontId="0" fillId="7" borderId="0" pivotButton="0" quotePrefix="0" xfId="0"/>
    <xf numFmtId="2" fontId="0" fillId="0" borderId="0" pivotButton="0" quotePrefix="0" xfId="0"/>
    <xf numFmtId="2" fontId="0" fillId="0" borderId="0" applyAlignment="1" pivotButton="0" quotePrefix="0" xfId="0">
      <alignment wrapText="1"/>
    </xf>
    <xf numFmtId="2" fontId="6" fillId="0" borderId="0" applyAlignment="1" pivotButton="0" quotePrefix="0" xfId="0">
      <alignment wrapText="1"/>
    </xf>
    <xf numFmtId="0" fontId="4" fillId="0" borderId="0" pivotButton="0" quotePrefix="0" xfId="0"/>
    <xf numFmtId="2" fontId="10" fillId="0" borderId="0" applyAlignment="1" pivotButton="0" quotePrefix="0" xfId="0">
      <alignment horizontal="right"/>
    </xf>
    <xf numFmtId="2" fontId="17" fillId="0" borderId="0" applyAlignment="1" pivotButton="0" quotePrefix="0" xfId="0">
      <alignment horizontal="right"/>
    </xf>
    <xf numFmtId="0" fontId="4" fillId="0" borderId="5" pivotButton="0" quotePrefix="0" xfId="0"/>
    <xf numFmtId="0" fontId="5" fillId="0" borderId="5" pivotButton="0" quotePrefix="0" xfId="0"/>
    <xf numFmtId="0" fontId="12" fillId="5" borderId="5" pivotButton="0" quotePrefix="0" xfId="0"/>
    <xf numFmtId="0" fontId="12" fillId="5" borderId="0" pivotButton="0" quotePrefix="0" xfId="0"/>
    <xf numFmtId="0" fontId="15" fillId="2" borderId="0" pivotButton="0" quotePrefix="0" xfId="0"/>
    <xf numFmtId="2" fontId="4" fillId="0" borderId="0" pivotButton="0" quotePrefix="0" xfId="0"/>
    <xf numFmtId="0" fontId="13" fillId="0" borderId="2" pivotButton="0" quotePrefix="0" xfId="0"/>
    <xf numFmtId="2" fontId="4" fillId="0" borderId="2" pivotButton="0" quotePrefix="0" xfId="0"/>
    <xf numFmtId="0" fontId="5" fillId="0" borderId="2" pivotButton="0" quotePrefix="0" xfId="0"/>
    <xf numFmtId="0" fontId="4" fillId="0" borderId="2" pivotButton="0" quotePrefix="0" xfId="0"/>
    <xf numFmtId="4" fontId="6" fillId="0" borderId="0" applyAlignment="1" pivotButton="0" quotePrefix="0" xfId="0">
      <alignment horizontal="right"/>
    </xf>
    <xf numFmtId="0" fontId="6" fillId="0" borderId="0" applyAlignment="1" pivotButton="0" quotePrefix="0" xfId="0">
      <alignment horizontal="right"/>
    </xf>
    <xf numFmtId="2" fontId="10" fillId="5" borderId="0" applyAlignment="1" pivotButton="0" quotePrefix="0" xfId="0">
      <alignment horizontal="right"/>
    </xf>
    <xf numFmtId="0" fontId="10" fillId="8" borderId="0" pivotButton="0" quotePrefix="0" xfId="0"/>
    <xf numFmtId="0" fontId="4" fillId="5" borderId="0" pivotButton="0" quotePrefix="0" xfId="0"/>
    <xf numFmtId="0" fontId="5" fillId="5" borderId="0" pivotButton="0" quotePrefix="0" xfId="0"/>
    <xf numFmtId="0" fontId="6" fillId="5" borderId="0" applyAlignment="1" pivotButton="0" quotePrefix="0" xfId="0">
      <alignment horizontal="right"/>
    </xf>
    <xf numFmtId="0" fontId="3" fillId="0" borderId="0" pivotButton="0" quotePrefix="0" xfId="0"/>
    <xf numFmtId="0" fontId="14" fillId="2" borderId="6" pivotButton="0" quotePrefix="0" xfId="0"/>
    <xf numFmtId="0" fontId="14" fillId="4" borderId="6" pivotButton="0" quotePrefix="0" xfId="0"/>
    <xf numFmtId="0" fontId="13" fillId="0" borderId="6" pivotButton="0" quotePrefix="0" xfId="0"/>
    <xf numFmtId="10" fontId="14" fillId="2" borderId="6" pivotButton="0" quotePrefix="0" xfId="0"/>
    <xf numFmtId="10" fontId="14" fillId="4" borderId="8" pivotButton="0" quotePrefix="0" xfId="0"/>
    <xf numFmtId="0" fontId="5" fillId="0" borderId="9" pivotButton="0" quotePrefix="0" xfId="0"/>
    <xf numFmtId="0" fontId="13" fillId="5" borderId="11" pivotButton="0" quotePrefix="0" xfId="0"/>
    <xf numFmtId="2" fontId="10" fillId="5" borderId="12" applyAlignment="1" pivotButton="0" quotePrefix="0" xfId="0">
      <alignment horizontal="right"/>
    </xf>
    <xf numFmtId="0" fontId="5" fillId="5" borderId="12" pivotButton="0" quotePrefix="0" xfId="0"/>
    <xf numFmtId="0" fontId="3" fillId="0" borderId="9" pivotButton="0" quotePrefix="0" xfId="0"/>
    <xf numFmtId="2" fontId="4" fillId="5" borderId="0" pivotButton="0" quotePrefix="0" xfId="0"/>
    <xf numFmtId="0" fontId="2" fillId="5" borderId="12" pivotButton="0" quotePrefix="0" xfId="0"/>
    <xf numFmtId="0" fontId="2" fillId="5" borderId="13" pivotButton="0" quotePrefix="0" xfId="0"/>
    <xf numFmtId="2" fontId="2" fillId="0" borderId="0" pivotButton="0" quotePrefix="0" xfId="0"/>
    <xf numFmtId="0" fontId="2" fillId="0" borderId="0" pivotButton="0" quotePrefix="0" xfId="0"/>
    <xf numFmtId="0" fontId="2" fillId="0" borderId="7" pivotButton="0" quotePrefix="0" xfId="0"/>
    <xf numFmtId="10" fontId="2" fillId="0" borderId="0" pivotButton="0" quotePrefix="0" xfId="0"/>
    <xf numFmtId="0" fontId="2" fillId="0" borderId="9" pivotButton="0" quotePrefix="0" xfId="0"/>
    <xf numFmtId="0" fontId="2" fillId="0" borderId="10" pivotButton="0" quotePrefix="0" xfId="0"/>
    <xf numFmtId="0" fontId="1" fillId="0" borderId="0" pivotButton="0" quotePrefix="0" xfId="0"/>
    <xf numFmtId="2" fontId="6" fillId="5" borderId="0" pivotButton="0" quotePrefix="0" xfId="0"/>
    <xf numFmtId="2" fontId="10" fillId="0" borderId="0" applyAlignment="1" pivotButton="0" quotePrefix="0" xfId="0">
      <alignment horizontal="left" vertical="center" wrapText="1"/>
    </xf>
    <xf numFmtId="0" fontId="14" fillId="8" borderId="0" pivotButton="0" quotePrefix="0" xfId="0"/>
    <xf numFmtId="0" fontId="7" fillId="0" borderId="14" pivotButton="0" quotePrefix="0" xfId="0"/>
    <xf numFmtId="0" fontId="0" fillId="0" borderId="15" pivotButton="0" quotePrefix="0" xfId="0"/>
    <xf numFmtId="0" fontId="9" fillId="0" borderId="16" applyAlignment="1" pivotButton="0" quotePrefix="0" xfId="0">
      <alignment horizontal="center" vertical="top"/>
    </xf>
    <xf numFmtId="4" fontId="7" fillId="0" borderId="17" applyAlignment="1" pivotButton="0" quotePrefix="0" xfId="0">
      <alignment horizontal="right"/>
    </xf>
    <xf numFmtId="0" fontId="7" fillId="0" borderId="17" applyAlignment="1" pivotButton="0" quotePrefix="0" xfId="0">
      <alignment horizontal="right"/>
    </xf>
    <xf numFmtId="4" fontId="6" fillId="0" borderId="17" applyAlignment="1" pivotButton="0" quotePrefix="0" xfId="0">
      <alignment horizontal="center"/>
    </xf>
    <xf numFmtId="0" fontId="8" fillId="0" borderId="17" applyAlignment="1" pivotButton="0" quotePrefix="0" xfId="0">
      <alignment horizontal="center" vertical="top"/>
    </xf>
    <xf numFmtId="0" fontId="9" fillId="0" borderId="17" applyAlignment="1" pivotButton="0" quotePrefix="0" xfId="0">
      <alignment horizontal="left" vertical="top"/>
    </xf>
    <xf numFmtId="0" fontId="12" fillId="0" borderId="17" pivotButton="0" quotePrefix="0" xfId="0"/>
    <xf numFmtId="0" fontId="16" fillId="0" borderId="14" pivotButton="0" quotePrefix="0" xfId="0"/>
    <xf numFmtId="0" fontId="0" fillId="0" borderId="14" pivotButton="0" quotePrefix="0" xfId="0"/>
    <xf numFmtId="0" fontId="16" fillId="9" borderId="14" pivotButton="0" quotePrefix="0" xfId="0"/>
    <xf numFmtId="0" fontId="16" fillId="9" borderId="15" pivotButton="0" quotePrefix="0" xfId="0"/>
    <xf numFmtId="0" fontId="9" fillId="0" borderId="16" applyAlignment="1" pivotButton="0" quotePrefix="0" xfId="0">
      <alignment horizontal="center" vertical="center"/>
    </xf>
    <xf numFmtId="4" fontId="7" fillId="0" borderId="17" applyAlignment="1" pivotButton="0" quotePrefix="0" xfId="0">
      <alignment horizontal="center" vertical="center"/>
    </xf>
    <xf numFmtId="0" fontId="7" fillId="0" borderId="17" applyAlignment="1" pivotButton="0" quotePrefix="0" xfId="0">
      <alignment horizontal="center" vertical="center"/>
    </xf>
    <xf numFmtId="0" fontId="0" fillId="0" borderId="17" pivotButton="0" quotePrefix="0" xfId="0"/>
    <xf numFmtId="2" fontId="6" fillId="0" borderId="17" applyAlignment="1" pivotButton="0" quotePrefix="0" xfId="0">
      <alignment horizontal="center" vertical="center"/>
    </xf>
    <xf numFmtId="2" fontId="8" fillId="0" borderId="17" applyAlignment="1" pivotButton="0" quotePrefix="0" xfId="0">
      <alignment horizontal="center" vertical="center"/>
    </xf>
    <xf numFmtId="0" fontId="9" fillId="0" borderId="17" applyAlignment="1" pivotButton="0" quotePrefix="0" xfId="0">
      <alignment horizontal="center" vertical="center"/>
    </xf>
    <xf numFmtId="0" fontId="6" fillId="5" borderId="0" applyAlignment="1" pivotButton="0" quotePrefix="0" xfId="0">
      <alignment horizontal="center"/>
    </xf>
    <xf numFmtId="0" fontId="5" fillId="0" borderId="0" pivotButton="0" quotePrefix="0" xfId="0"/>
    <xf numFmtId="0" fontId="0" fillId="0" borderId="0" applyAlignment="1" pivotButton="0" quotePrefix="0" xfId="0">
      <alignment horizontal="center" wrapText="1"/>
    </xf>
    <xf numFmtId="0" fontId="0" fillId="0" borderId="0" pivotButton="0" quotePrefix="0" xfId="0"/>
    <xf numFmtId="0" fontId="0" fillId="0" borderId="4" applyAlignment="1" pivotButton="0" quotePrefix="0" xfId="0">
      <alignment horizontal="center" wrapText="1"/>
    </xf>
    <xf numFmtId="2" fontId="4" fillId="7" borderId="0" pivotButton="0" quotePrefix="0" xfId="0"/>
    <xf numFmtId="0" fontId="6" fillId="5" borderId="15" applyAlignment="1" pivotButton="0" quotePrefix="0" xfId="0">
      <alignment horizontal="center"/>
    </xf>
    <xf numFmtId="0" fontId="0" fillId="0" borderId="15" applyAlignment="1" pivotButton="0" quotePrefix="0" xfId="0">
      <alignment horizont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tc={E47CD3D2-51E5-4873-BB6F-1490A68C206E}</author>
    <author>Victoria Gierok</author>
  </authors>
  <commentList>
    <comment ref="B47" authorId="0" shapeId="0">
      <text>
        <t xml:space="preserve">[Threaded comment]
Your version of Excel allows you to read this threaded comment; however, any edits to it will get removed if the file is opened in a newer version of Excel. Learn more: https://go.microsoft.com/fwlink/?linkid=870924
Comment:
    Even raw data seems empty in regards to fixed investments </t>
      </text>
    </comment>
    <comment ref="F86" authorId="1" shapeId="0">
      <text>
        <t>Victoria Gierok:
valued at sales prices where available</t>
      </text>
    </comment>
    <comment ref="F117" authorId="1" shapeId="0">
      <text>
        <t>Victoria Gierok:
valued at sales prices where available</t>
      </text>
    </comment>
    <comment ref="F126" authorId="1" shapeId="0">
      <text>
        <t>Victoria Gierok:
valued at sales prices where available</t>
      </text>
    </comment>
    <comment ref="F150" authorId="1" shapeId="0">
      <text>
        <t>Victoria Gierok:
valued at sales prices where available</t>
      </text>
    </comment>
    <comment ref="F158" authorId="1" shapeId="0">
      <text>
        <t>Victoria Gierok:
valued at sales prices where available</t>
      </text>
    </comment>
    <comment ref="F165" authorId="1"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topLeftCell="A157" workbookViewId="0">
      <selection activeCell="B180" sqref="B180"/>
    </sheetView>
  </sheetViews>
  <sheetFormatPr baseColWidth="8" defaultColWidth="10.81640625" defaultRowHeight="15.5"/>
  <cols>
    <col width="80" bestFit="1" customWidth="1" style="32" min="1" max="1"/>
    <col width="10.81640625" customWidth="1" style="32" min="2" max="2"/>
    <col width="10.81640625" customWidth="1" style="97" min="3" max="3"/>
    <col width="30.81640625" bestFit="1" customWidth="1" style="32" min="4" max="4"/>
    <col width="29.36328125" bestFit="1" customWidth="1" style="32" min="5" max="5"/>
    <col width="35.453125" bestFit="1" customWidth="1" style="32" min="6" max="6"/>
    <col width="21.1796875" customWidth="1" style="32" min="7" max="7"/>
    <col width="10.81640625" customWidth="1" style="32" min="8" max="8"/>
    <col width="10.81640625" customWidth="1" style="32" min="9" max="16384"/>
  </cols>
  <sheetData>
    <row r="1">
      <c r="A1" s="1" t="inlineStr">
        <is>
          <t>ALVERSTOKE OVERVIEW - COMPLETED</t>
        </is>
      </c>
      <c r="B1" s="33" t="inlineStr">
        <is>
          <t>Total in £</t>
        </is>
      </c>
      <c r="C1" s="34" t="inlineStr">
        <is>
          <t>Error</t>
        </is>
      </c>
      <c r="D1" s="3" t="inlineStr">
        <is>
          <t>Note</t>
        </is>
      </c>
      <c r="E1" s="3" t="n"/>
    </row>
    <row r="2">
      <c r="A2" s="1" t="inlineStr">
        <is>
          <t>CASH ACCOUNT</t>
        </is>
      </c>
    </row>
    <row r="3">
      <c r="A3" s="6" t="inlineStr">
        <is>
          <t>RECEIPTS</t>
        </is>
      </c>
    </row>
    <row r="4">
      <c r="A4" s="5" t="inlineStr">
        <is>
          <t>Arrears total</t>
        </is>
      </c>
      <c r="B4" s="32" t="n">
        <v>0.33</v>
      </c>
      <c r="D4" s="4" t="n"/>
      <c r="E4" s="4" t="n"/>
    </row>
    <row r="5">
      <c r="A5" s="5" t="inlineStr">
        <is>
          <t>Rents of assize total</t>
        </is>
      </c>
      <c r="B5" s="32" t="n">
        <v>53.56</v>
      </c>
    </row>
    <row r="6">
      <c r="A6" s="5" t="inlineStr">
        <is>
          <t>Quittances total</t>
        </is>
      </c>
    </row>
    <row r="7">
      <c r="A7" s="5" t="inlineStr">
        <is>
          <t>Defaults of rent total</t>
        </is>
      </c>
    </row>
    <row r="8">
      <c r="A8" s="32" t="inlineStr">
        <is>
          <t>Defaults of rent through the pestilence total</t>
        </is>
      </c>
    </row>
    <row r="9">
      <c r="A9" s="32" t="inlineStr">
        <is>
          <t>Cotlands defaults total</t>
        </is>
      </c>
    </row>
    <row r="10">
      <c r="A10" s="32" t="inlineStr">
        <is>
          <t>Cotlands total</t>
        </is>
      </c>
    </row>
    <row r="11">
      <c r="A11" s="32" t="inlineStr">
        <is>
          <t>Total of quittances and defaults of rent total</t>
        </is>
      </c>
    </row>
    <row r="12">
      <c r="A12" s="32" t="inlineStr">
        <is>
          <t>Total of rents remaining clear total</t>
        </is>
      </c>
    </row>
    <row r="13">
      <c r="A13" s="32" t="inlineStr">
        <is>
          <t>Farms total</t>
        </is>
      </c>
    </row>
    <row r="14">
      <c r="A14" s="5" t="inlineStr">
        <is>
          <t>Annual recognizances total</t>
        </is>
      </c>
    </row>
    <row r="15">
      <c r="A15" s="5" t="inlineStr">
        <is>
          <t>Issues of the Manor total</t>
        </is>
      </c>
    </row>
    <row r="16">
      <c r="A16" s="32" t="inlineStr">
        <is>
          <t>Issues of the tenements in the lord's hands total</t>
        </is>
      </c>
    </row>
    <row r="17">
      <c r="A17" s="32" t="inlineStr">
        <is>
          <t>Sale of labour services total</t>
        </is>
      </c>
    </row>
    <row r="18">
      <c r="A18" s="5" t="inlineStr">
        <is>
          <t>Sale of corn total</t>
        </is>
      </c>
    </row>
    <row r="19">
      <c r="A19" s="5" t="inlineStr">
        <is>
          <t>Entry and marriage fines total</t>
        </is>
      </c>
    </row>
    <row r="20">
      <c r="A20" s="5" t="inlineStr">
        <is>
          <t>Pleas &amp; perquisites total</t>
        </is>
      </c>
    </row>
    <row r="21">
      <c r="A21" s="32" t="inlineStr">
        <is>
          <t>Forfeited chattels total</t>
        </is>
      </c>
    </row>
    <row r="22">
      <c r="A22" s="32" t="inlineStr">
        <is>
          <t>Farm of the demesne land total</t>
        </is>
      </c>
      <c r="D22" s="44" t="n"/>
    </row>
    <row r="23">
      <c r="A23" s="37" t="inlineStr">
        <is>
          <t>Total of all receipts (calculated here)</t>
        </is>
      </c>
      <c r="B23" s="35">
        <f>SUM(B5:B11)</f>
        <v/>
      </c>
      <c r="C23" s="36" t="n"/>
    </row>
    <row r="24">
      <c r="A24" s="38" t="inlineStr">
        <is>
          <t>Total of all receipts (calculated here) incl arrears</t>
        </is>
      </c>
      <c r="B24">
        <f>SUM(B4:B11)</f>
        <v/>
      </c>
      <c r="D24" s="4" t="n"/>
      <c r="E24" s="4" t="n"/>
    </row>
    <row r="25">
      <c r="A25" s="39" t="inlineStr">
        <is>
          <t>Total recorded in the accounts excl. arrears</t>
        </is>
      </c>
      <c r="B25" s="32">
        <f>Receipts!F24</f>
        <v/>
      </c>
      <c r="C25" s="97">
        <f>B23-B25</f>
        <v/>
      </c>
    </row>
    <row r="26">
      <c r="A26" s="39" t="inlineStr">
        <is>
          <t>Total recorded in the accounts incl. arrears</t>
        </is>
      </c>
      <c r="B26">
        <f>Receipts!F25</f>
        <v/>
      </c>
      <c r="D26" s="4" t="n"/>
      <c r="E26" s="4" t="n"/>
    </row>
    <row r="27">
      <c r="A27" s="5" t="n"/>
    </row>
    <row r="28">
      <c r="A28" s="5" t="n"/>
    </row>
    <row r="29">
      <c r="A29" s="6" t="inlineStr">
        <is>
          <t>EXPENSES</t>
        </is>
      </c>
    </row>
    <row r="30">
      <c r="A30" s="5" t="inlineStr">
        <is>
          <t>Cost of ploughs total</t>
        </is>
      </c>
    </row>
    <row r="31">
      <c r="A31" s="5" t="inlineStr">
        <is>
          <t>Purchase of corn total</t>
        </is>
      </c>
    </row>
    <row r="32">
      <c r="A32" s="5" t="inlineStr">
        <is>
          <t>Cost of carts and wagons total</t>
        </is>
      </c>
    </row>
    <row r="33">
      <c r="A33" s="5" t="inlineStr">
        <is>
          <t>Cost of dairy total</t>
        </is>
      </c>
    </row>
    <row r="34">
      <c r="A34" s="5" t="inlineStr">
        <is>
          <t>Purchase of stock total</t>
        </is>
      </c>
    </row>
    <row r="35">
      <c r="A35" s="5" t="inlineStr">
        <is>
          <t>Sheepcote total</t>
        </is>
      </c>
    </row>
    <row r="36">
      <c r="A36" s="5" t="inlineStr">
        <is>
          <t>Cost of buildings total</t>
        </is>
      </c>
      <c r="B36" s="40" t="n"/>
    </row>
    <row r="37">
      <c r="A37" s="5" t="inlineStr">
        <is>
          <t>Threshing total</t>
        </is>
      </c>
    </row>
    <row r="38">
      <c r="A38" s="5" t="inlineStr">
        <is>
          <t>Barley expenses</t>
        </is>
      </c>
    </row>
    <row r="39">
      <c r="A39" s="5" t="inlineStr">
        <is>
          <t>Expenses of the harvest total</t>
        </is>
      </c>
    </row>
    <row r="40">
      <c r="A40" s="5" t="inlineStr">
        <is>
          <t>Necessary expenses</t>
        </is>
      </c>
    </row>
    <row r="41">
      <c r="A41" s="5" t="inlineStr">
        <is>
          <t>Wages of the bailiff</t>
        </is>
      </c>
      <c r="B41" s="40" t="n"/>
    </row>
    <row r="42">
      <c r="A42" s="5" t="inlineStr">
        <is>
          <t>Steward's expenses total</t>
        </is>
      </c>
      <c r="B42" s="40" t="n"/>
    </row>
    <row r="43">
      <c r="A43" s="41" t="inlineStr">
        <is>
          <t>Annual fees</t>
        </is>
      </c>
      <c r="B43" s="42" t="n"/>
      <c r="C43" s="43" t="n"/>
      <c r="D43" s="44" t="n"/>
    </row>
    <row r="44">
      <c r="A44" s="38" t="inlineStr">
        <is>
          <t>Total of all expenses per account</t>
        </is>
      </c>
      <c r="B44" s="40" t="n">
        <v>0</v>
      </c>
    </row>
    <row r="45">
      <c r="A45" s="38" t="inlineStr">
        <is>
          <t>Total of all expenses (calculated here)</t>
        </is>
      </c>
      <c r="B45" s="40" t="n">
        <v>0</v>
      </c>
    </row>
    <row r="46">
      <c r="A46" s="38" t="inlineStr">
        <is>
          <t>Total fixed investment</t>
        </is>
      </c>
      <c r="B46" s="101" t="n">
        <v>0</v>
      </c>
    </row>
    <row r="47">
      <c r="A47" s="38" t="inlineStr">
        <is>
          <t>Total Demesne fixed investment</t>
        </is>
      </c>
      <c r="B47" s="101" t="n">
        <v>0</v>
      </c>
    </row>
    <row r="48">
      <c r="A48" s="3" t="n"/>
    </row>
    <row r="49">
      <c r="A49" s="8" t="inlineStr">
        <is>
          <t>Owed by the reeve</t>
        </is>
      </c>
      <c r="B49" s="40">
        <f>B23-B45</f>
        <v/>
      </c>
    </row>
    <row r="50">
      <c r="A50" s="8" t="inlineStr">
        <is>
          <t>From accounts</t>
        </is>
      </c>
      <c r="B50" s="40" t="n"/>
    </row>
    <row r="51">
      <c r="A51" s="5" t="n"/>
    </row>
    <row r="52">
      <c r="A52" s="8" t="inlineStr">
        <is>
          <t>Allowances</t>
        </is>
      </c>
      <c r="B52" s="40" t="n"/>
    </row>
    <row r="53">
      <c r="A53" s="8" t="inlineStr">
        <is>
          <t>Cash deliveries</t>
        </is>
      </c>
      <c r="B53" s="40" t="n">
        <v>55.02</v>
      </c>
    </row>
    <row r="54">
      <c r="A54" s="9" t="inlineStr">
        <is>
          <t>Sum of the above</t>
        </is>
      </c>
      <c r="B54" s="40">
        <f>SUM(B52:B53)</f>
        <v/>
      </c>
    </row>
    <row r="55">
      <c r="A55" s="10" t="inlineStr">
        <is>
          <t>Total of all allowances and cash deliveries in accounts</t>
        </is>
      </c>
    </row>
    <row r="56">
      <c r="A56" s="5" t="n"/>
    </row>
    <row r="57">
      <c r="A57" s="8" t="inlineStr">
        <is>
          <t>Net amount owed</t>
        </is>
      </c>
      <c r="B57" s="40">
        <f>B50-B54</f>
        <v/>
      </c>
    </row>
    <row r="58">
      <c r="A58" s="8" t="inlineStr">
        <is>
          <t>Net amount owed in accounts</t>
        </is>
      </c>
    </row>
    <row r="59">
      <c r="A59" s="5" t="n"/>
    </row>
    <row r="60">
      <c r="A60" s="6" t="inlineStr">
        <is>
          <t xml:space="preserve">GRANGE ACCOUNT </t>
        </is>
      </c>
      <c r="B60" s="102" t="inlineStr">
        <is>
          <t>Total Production</t>
        </is>
      </c>
      <c r="D60" s="73" t="inlineStr">
        <is>
          <t>Value of total gross production in £</t>
        </is>
      </c>
      <c r="E60" s="73" t="inlineStr">
        <is>
          <t>Value of total net production in £</t>
        </is>
      </c>
    </row>
    <row r="61">
      <c r="A61" s="1" t="inlineStr">
        <is>
          <t>Grange</t>
        </is>
      </c>
      <c r="B61" s="45" t="inlineStr">
        <is>
          <t>qrs</t>
        </is>
      </c>
      <c r="C61" s="46" t="inlineStr">
        <is>
          <t>bus</t>
        </is>
      </c>
    </row>
    <row r="62">
      <c r="A62" s="32" t="inlineStr">
        <is>
          <t>Wheat</t>
        </is>
      </c>
      <c r="B62" t="n">
        <v>0</v>
      </c>
      <c r="C62" t="n">
        <v>0</v>
      </c>
      <c r="D62" t="n">
        <v>0</v>
      </c>
      <c r="E62" t="n">
        <v>0</v>
      </c>
      <c r="F62" s="4" t="n"/>
    </row>
    <row r="63">
      <c r="A63" s="32" t="inlineStr">
        <is>
          <t>Rye</t>
        </is>
      </c>
      <c r="B63" t="n">
        <v>0</v>
      </c>
      <c r="C63" t="n">
        <v>0</v>
      </c>
      <c r="D63" t="n">
        <v>0</v>
      </c>
      <c r="E63" t="n">
        <v>0</v>
      </c>
      <c r="F63" s="4" t="n"/>
    </row>
    <row r="64">
      <c r="A64" s="32" t="inlineStr">
        <is>
          <t>Dredge</t>
        </is>
      </c>
      <c r="B64" t="n">
        <v>0</v>
      </c>
      <c r="C64" t="n">
        <v>0</v>
      </c>
      <c r="D64" t="n">
        <v>0</v>
      </c>
      <c r="E64" t="n">
        <v>0</v>
      </c>
      <c r="F64" s="4" t="n"/>
    </row>
    <row r="65">
      <c r="A65" s="32" t="inlineStr">
        <is>
          <t>Curall</t>
        </is>
      </c>
      <c r="B65" t="n">
        <v>0</v>
      </c>
      <c r="C65" t="n">
        <v>0</v>
      </c>
      <c r="D65" t="n">
        <v>0</v>
      </c>
      <c r="E65" t="n">
        <v>0</v>
      </c>
      <c r="F65" s="4" t="n"/>
    </row>
    <row r="66">
      <c r="A66" s="32" t="inlineStr">
        <is>
          <t>Barley</t>
        </is>
      </c>
      <c r="B66" t="n">
        <v>0</v>
      </c>
      <c r="C66" t="n">
        <v>0</v>
      </c>
      <c r="D66" t="n">
        <v>0</v>
      </c>
      <c r="E66" t="n">
        <v>0</v>
      </c>
      <c r="F66" s="4" t="n"/>
    </row>
    <row r="67">
      <c r="A67" s="32" t="inlineStr">
        <is>
          <t>Oats</t>
        </is>
      </c>
      <c r="B67" t="n">
        <v>0</v>
      </c>
      <c r="C67" t="n">
        <v>0</v>
      </c>
      <c r="D67" t="n">
        <v>0</v>
      </c>
      <c r="E67" t="n">
        <v>0</v>
      </c>
      <c r="F67" s="4" t="n"/>
    </row>
    <row r="68">
      <c r="A68" s="32" t="inlineStr">
        <is>
          <t>Beans</t>
        </is>
      </c>
      <c r="B68" t="n">
        <v>0</v>
      </c>
      <c r="C68" t="n">
        <v>0</v>
      </c>
      <c r="D68" t="n">
        <v>0</v>
      </c>
      <c r="E68" t="n">
        <v>0</v>
      </c>
      <c r="F68" s="4" t="n"/>
    </row>
    <row r="69">
      <c r="A69" s="32" t="inlineStr">
        <is>
          <t>Peas</t>
        </is>
      </c>
      <c r="B69" t="n">
        <v>0</v>
      </c>
      <c r="C69" t="n">
        <v>0</v>
      </c>
      <c r="D69" t="n">
        <v>0</v>
      </c>
      <c r="E69" t="n">
        <v>0</v>
      </c>
      <c r="F69" s="4" t="n"/>
    </row>
    <row r="70">
      <c r="A70" s="32" t="inlineStr">
        <is>
          <t>Vetches</t>
        </is>
      </c>
      <c r="B70" t="n">
        <v>0</v>
      </c>
      <c r="C70" t="n">
        <v>0</v>
      </c>
      <c r="D70" t="n">
        <v>0</v>
      </c>
      <c r="E70" t="n">
        <v>0</v>
      </c>
    </row>
    <row r="71">
      <c r="A71" s="7" t="inlineStr">
        <is>
          <t>Total value of gross production (sum of the above)</t>
        </is>
      </c>
      <c r="B71" s="49" t="n"/>
      <c r="C71" s="50" t="n"/>
      <c r="D71" s="49" t="n"/>
      <c r="E71" s="49">
        <f>SUM(D62:D70)</f>
        <v/>
      </c>
    </row>
    <row r="72">
      <c r="A72" s="7" t="inlineStr">
        <is>
          <t>Total value of net production</t>
        </is>
      </c>
      <c r="B72" s="49" t="n"/>
      <c r="C72" s="50" t="n"/>
      <c r="D72" s="49" t="n"/>
      <c r="E72" s="49">
        <f>SUM(E62:E70)</f>
        <v/>
      </c>
    </row>
    <row r="73">
      <c r="A73" s="7" t="inlineStr">
        <is>
          <t>Value of sales</t>
        </is>
      </c>
      <c r="B73" s="49" t="n"/>
      <c r="C73" s="50" t="n"/>
      <c r="D73" s="49" t="n"/>
      <c r="E73" s="49" t="n">
        <v>0</v>
      </c>
    </row>
    <row r="74">
      <c r="A74" s="5" t="n"/>
    </row>
    <row r="75">
      <c r="A75" s="6" t="inlineStr">
        <is>
          <t>MILL ACCOUNT</t>
        </is>
      </c>
      <c r="B75" s="102" t="inlineStr">
        <is>
          <t>Total Production</t>
        </is>
      </c>
      <c r="D75" s="47" t="inlineStr">
        <is>
          <t>Total in £</t>
        </is>
      </c>
      <c r="E75" s="47" t="n"/>
    </row>
    <row r="76">
      <c r="A76" s="1" t="inlineStr">
        <is>
          <t>Issues of the mill</t>
        </is>
      </c>
      <c r="B76" s="45" t="inlineStr">
        <is>
          <t>qrs</t>
        </is>
      </c>
      <c r="C76" s="46" t="inlineStr">
        <is>
          <t>bus</t>
        </is>
      </c>
    </row>
    <row r="77">
      <c r="A77" s="5" t="inlineStr">
        <is>
          <t>Wheat</t>
        </is>
      </c>
      <c r="F77" s="4" t="n"/>
    </row>
    <row r="78">
      <c r="A78" s="5" t="inlineStr">
        <is>
          <t>Oatmeal</t>
        </is>
      </c>
    </row>
    <row r="79">
      <c r="A79" s="5" t="inlineStr">
        <is>
          <t>1st grade malt</t>
        </is>
      </c>
    </row>
    <row r="80">
      <c r="A80" s="5" t="inlineStr">
        <is>
          <t>2nd grade malt</t>
        </is>
      </c>
    </row>
    <row r="81">
      <c r="A81" s="5" t="inlineStr">
        <is>
          <t>Maslin</t>
        </is>
      </c>
    </row>
    <row r="82">
      <c r="A82" s="7" t="inlineStr">
        <is>
          <t>Total value of production (sum of the above)</t>
        </is>
      </c>
      <c r="B82" s="49" t="n"/>
      <c r="C82" s="50" t="n"/>
      <c r="D82" s="49" t="n"/>
      <c r="E82" s="49" t="n"/>
    </row>
    <row r="83">
      <c r="A83" s="7" t="inlineStr">
        <is>
          <t>Value of sales</t>
        </is>
      </c>
      <c r="B83" s="49" t="n"/>
      <c r="C83" s="50" t="n"/>
      <c r="D83" s="49" t="n"/>
      <c r="E83" s="49" t="n"/>
    </row>
    <row r="84">
      <c r="A84" s="5" t="n"/>
    </row>
    <row r="85">
      <c r="A85" s="48" t="inlineStr">
        <is>
          <t>STOCK ACCOUNT</t>
        </is>
      </c>
      <c r="B85" s="49" t="n"/>
      <c r="C85" s="50" t="n"/>
      <c r="D85" s="49" t="n"/>
      <c r="E85" s="49" t="n"/>
      <c r="F85" s="49" t="n"/>
      <c r="G85" s="49" t="n"/>
    </row>
    <row r="86">
      <c r="A86" s="11" t="inlineStr">
        <is>
          <t>Livestock</t>
        </is>
      </c>
      <c r="B86" s="51" t="inlineStr">
        <is>
          <t>Begin stock</t>
        </is>
      </c>
      <c r="C86" s="51" t="inlineStr">
        <is>
          <t>End stock</t>
        </is>
      </c>
      <c r="D86" s="51" t="inlineStr">
        <is>
          <t>Stockbuilding</t>
        </is>
      </c>
      <c r="E86" s="51" t="n"/>
      <c r="F86" s="51" t="inlineStr">
        <is>
          <t>Value of stock in £</t>
        </is>
      </c>
      <c r="G86" s="21" t="inlineStr">
        <is>
          <t>Value of stockbuilding</t>
        </is>
      </c>
    </row>
    <row r="87">
      <c r="A87" s="12" t="inlineStr">
        <is>
          <t>Cart-horses</t>
        </is>
      </c>
      <c r="B87" s="32" t="n">
        <v>0</v>
      </c>
      <c r="C87" s="32">
        <f>Stock!L5</f>
        <v/>
      </c>
      <c r="D87" s="32">
        <f>C87-B87</f>
        <v/>
      </c>
      <c r="F87" s="40">
        <f>Stock!L5*Stock!O5</f>
        <v/>
      </c>
      <c r="G87" s="40">
        <f>D87*Stock!O5</f>
        <v/>
      </c>
    </row>
    <row r="88">
      <c r="A88" s="12" t="inlineStr">
        <is>
          <t>Mares</t>
        </is>
      </c>
      <c r="B88" s="32" t="n">
        <v>0</v>
      </c>
      <c r="C88" s="32">
        <f>Stock!L6</f>
        <v/>
      </c>
      <c r="D88" s="32">
        <f>C88-B88</f>
        <v/>
      </c>
      <c r="F88" s="40">
        <f>Stock!L6*Stock!O6</f>
        <v/>
      </c>
      <c r="G88" s="40">
        <f>D88*Stock!O6</f>
        <v/>
      </c>
    </row>
    <row r="89">
      <c r="A89" s="5" t="inlineStr">
        <is>
          <t>Plough horses</t>
        </is>
      </c>
      <c r="B89" s="32" t="n">
        <v>0</v>
      </c>
      <c r="C89" s="32">
        <f>Stock!L7</f>
        <v/>
      </c>
      <c r="D89" s="32">
        <f>C89-B89</f>
        <v/>
      </c>
      <c r="F89" s="40">
        <f>Stock!L7*Stock!O7</f>
        <v/>
      </c>
      <c r="G89" s="40">
        <f>D89*Stock!O7</f>
        <v/>
      </c>
    </row>
    <row r="90">
      <c r="A90" s="5" t="inlineStr">
        <is>
          <t>Colts (2 years)</t>
        </is>
      </c>
      <c r="B90" s="32" t="n">
        <v>0</v>
      </c>
      <c r="C90" s="32">
        <f>Stock!L9</f>
        <v/>
      </c>
      <c r="D90" s="32">
        <f>C90-B90</f>
        <v/>
      </c>
      <c r="F90" s="40">
        <f>Stock!L9*Stock!O9</f>
        <v/>
      </c>
      <c r="G90" s="40">
        <f>D90*Stock!O9</f>
        <v/>
      </c>
    </row>
    <row r="91">
      <c r="A91" s="5" t="inlineStr">
        <is>
          <t>Colts (2 years)</t>
        </is>
      </c>
      <c r="B91" s="32" t="n">
        <v>0</v>
      </c>
      <c r="C91" s="32">
        <f>Stock!L9</f>
        <v/>
      </c>
      <c r="D91" s="32">
        <f>C91-B91</f>
        <v/>
      </c>
      <c r="F91" s="40">
        <f>Stock!L9*Stock!O9</f>
        <v/>
      </c>
      <c r="G91" s="40">
        <f>D91*Stock!O9</f>
        <v/>
      </c>
    </row>
    <row r="92">
      <c r="A92" s="5" t="inlineStr">
        <is>
          <t>Colts (1 year)</t>
        </is>
      </c>
      <c r="B92" s="32" t="n">
        <v>0</v>
      </c>
      <c r="C92" s="32">
        <f>Stock!L10</f>
        <v/>
      </c>
      <c r="D92" s="32">
        <f>C92-B92</f>
        <v/>
      </c>
      <c r="F92" s="40">
        <f>Stock!L10*Stock!O10</f>
        <v/>
      </c>
      <c r="G92" s="40">
        <f>D92*Stock!O10</f>
        <v/>
      </c>
    </row>
    <row r="93">
      <c r="A93" s="5" t="inlineStr">
        <is>
          <t>Foals</t>
        </is>
      </c>
      <c r="B93" s="32" t="n">
        <v>0</v>
      </c>
      <c r="C93" s="32">
        <f>Stock!L11</f>
        <v/>
      </c>
      <c r="D93" s="32">
        <f>C93-B93</f>
        <v/>
      </c>
      <c r="F93" s="40">
        <f>Stock!L11*Stock!O11</f>
        <v/>
      </c>
      <c r="G93" s="40">
        <f>D93*Stock!O11</f>
        <v/>
      </c>
    </row>
    <row r="94">
      <c r="A94" s="5" t="inlineStr">
        <is>
          <t>Oxen</t>
        </is>
      </c>
      <c r="B94" s="32" t="n">
        <v>0</v>
      </c>
      <c r="C94" s="32">
        <f>Stock!L12</f>
        <v/>
      </c>
      <c r="D94" s="32">
        <f>C94-B94</f>
        <v/>
      </c>
      <c r="F94" s="40">
        <f>Stock!L12*Stock!O12</f>
        <v/>
      </c>
      <c r="G94" s="40">
        <f>D94*Stock!O12</f>
        <v/>
      </c>
    </row>
    <row r="95">
      <c r="A95" s="5" t="inlineStr">
        <is>
          <t>Bulls</t>
        </is>
      </c>
      <c r="B95" s="32" t="n">
        <v>0</v>
      </c>
      <c r="C95" s="32">
        <f>Stock!L13</f>
        <v/>
      </c>
      <c r="D95" s="32">
        <f>C95-B95</f>
        <v/>
      </c>
      <c r="F95" s="40">
        <f>Stock!L13*Stock!O13</f>
        <v/>
      </c>
      <c r="G95" s="40">
        <f>D95*Stock!O13</f>
        <v/>
      </c>
    </row>
    <row r="96">
      <c r="A96" s="5" t="inlineStr">
        <is>
          <t>Cows</t>
        </is>
      </c>
      <c r="B96" s="32" t="n">
        <v>0</v>
      </c>
      <c r="C96" s="32">
        <f>Stock!L14</f>
        <v/>
      </c>
      <c r="D96" s="32">
        <f>C96-B96</f>
        <v/>
      </c>
      <c r="F96" s="40">
        <f>Stock!L14*Stock!O14</f>
        <v/>
      </c>
      <c r="G96" s="40">
        <f>D96*Stock!O14</f>
        <v/>
      </c>
    </row>
    <row r="97">
      <c r="A97" s="5" t="inlineStr">
        <is>
          <t>Steers</t>
        </is>
      </c>
      <c r="B97" s="32" t="n">
        <v>0</v>
      </c>
      <c r="C97" s="32">
        <f>Stock!L15</f>
        <v/>
      </c>
      <c r="D97" s="32">
        <f>C97-B97</f>
        <v/>
      </c>
      <c r="F97" s="40">
        <f>Stock!L15*Stock!O15</f>
        <v/>
      </c>
      <c r="G97" s="40">
        <f>D97*Stock!O15</f>
        <v/>
      </c>
    </row>
    <row r="98">
      <c r="A98" s="5" t="inlineStr">
        <is>
          <t>Bullocks</t>
        </is>
      </c>
      <c r="B98" s="32" t="n">
        <v>0</v>
      </c>
      <c r="C98" s="32">
        <f>Stock!L16</f>
        <v/>
      </c>
      <c r="D98" s="32">
        <f>C98-B98</f>
        <v/>
      </c>
      <c r="F98" s="40">
        <f>Stock!L16*Stock!O16</f>
        <v/>
      </c>
      <c r="G98" s="40">
        <f>D98*Stock!O16</f>
        <v/>
      </c>
    </row>
    <row r="99">
      <c r="A99" s="5" t="inlineStr">
        <is>
          <t>Yearlings</t>
        </is>
      </c>
      <c r="B99" s="32" t="n">
        <v>0</v>
      </c>
      <c r="C99" s="32">
        <f>Stock!L17</f>
        <v/>
      </c>
      <c r="D99" s="32">
        <f>C99-B99</f>
        <v/>
      </c>
      <c r="F99" s="40">
        <f>Stock!L17*Stock!O17</f>
        <v/>
      </c>
      <c r="G99" s="40">
        <f>D99*Stock!O17</f>
        <v/>
      </c>
    </row>
    <row r="100">
      <c r="A100" s="5" t="inlineStr">
        <is>
          <t>Calves</t>
        </is>
      </c>
      <c r="B100" s="32" t="n">
        <v>0</v>
      </c>
      <c r="C100" s="32">
        <f>Stock!L18</f>
        <v/>
      </c>
      <c r="D100" s="32">
        <f>C100-B100</f>
        <v/>
      </c>
      <c r="F100" s="40">
        <f>Stock!L18*Stock!O18</f>
        <v/>
      </c>
      <c r="G100" s="40">
        <f>D100*Stock!O18</f>
        <v/>
      </c>
    </row>
    <row r="101">
      <c r="A101" s="5" t="inlineStr">
        <is>
          <t>Wethers</t>
        </is>
      </c>
      <c r="B101" s="32" t="n">
        <v>0</v>
      </c>
      <c r="C101" s="32">
        <f>Stock!L19</f>
        <v/>
      </c>
      <c r="D101" s="32">
        <f>C101-B101</f>
        <v/>
      </c>
      <c r="F101" s="40">
        <f>Stock!L19*Stock!O19</f>
        <v/>
      </c>
      <c r="G101" s="40">
        <f>D101*Stock!O19</f>
        <v/>
      </c>
    </row>
    <row r="102">
      <c r="A102" s="5" t="inlineStr">
        <is>
          <t>Rams</t>
        </is>
      </c>
      <c r="B102" s="32" t="n">
        <v>0</v>
      </c>
      <c r="C102" s="32">
        <f>Stock!L20</f>
        <v/>
      </c>
      <c r="D102" s="32">
        <f>C102-B102</f>
        <v/>
      </c>
      <c r="F102" s="40">
        <f>Stock!L20*Stock!O20</f>
        <v/>
      </c>
      <c r="G102" s="40">
        <f>D102*Stock!O20</f>
        <v/>
      </c>
    </row>
    <row r="103">
      <c r="A103" s="5" t="inlineStr">
        <is>
          <t>Ewes</t>
        </is>
      </c>
      <c r="B103" s="32" t="n">
        <v>0</v>
      </c>
      <c r="C103" s="32">
        <f>Stock!L21</f>
        <v/>
      </c>
      <c r="D103" s="32">
        <f>C103-B103</f>
        <v/>
      </c>
      <c r="F103" s="40">
        <f>Stock!L21*Stock!O21</f>
        <v/>
      </c>
      <c r="G103" s="40">
        <f>D103*Stock!O21</f>
        <v/>
      </c>
    </row>
    <row r="104">
      <c r="A104" s="5" t="inlineStr">
        <is>
          <t>Hoggs</t>
        </is>
      </c>
      <c r="B104" s="32" t="n">
        <v>0</v>
      </c>
      <c r="C104" s="32">
        <f>Stock!L22</f>
        <v/>
      </c>
      <c r="D104" s="32">
        <f>C104-B104</f>
        <v/>
      </c>
      <c r="F104" s="40">
        <f>Stock!L22*Stock!O22</f>
        <v/>
      </c>
      <c r="G104" s="40">
        <f>D104*Stock!O22</f>
        <v/>
      </c>
    </row>
    <row r="105">
      <c r="A105" s="5" t="inlineStr">
        <is>
          <t>Lambs</t>
        </is>
      </c>
      <c r="B105" s="32" t="n">
        <v>0</v>
      </c>
      <c r="C105" s="32">
        <f>Stock!L23</f>
        <v/>
      </c>
      <c r="D105" s="32">
        <f>C105-B105</f>
        <v/>
      </c>
      <c r="F105" s="40">
        <f>Stock!L23*Stock!O23</f>
        <v/>
      </c>
      <c r="G105" s="40">
        <f>D105*Stock!O23</f>
        <v/>
      </c>
    </row>
    <row r="106">
      <c r="A106" s="5" t="inlineStr">
        <is>
          <t>Boars</t>
        </is>
      </c>
      <c r="B106" s="32" t="n">
        <v>0</v>
      </c>
      <c r="C106" s="32">
        <f>Stock!L24</f>
        <v/>
      </c>
      <c r="D106" s="32">
        <f>C106-B106</f>
        <v/>
      </c>
      <c r="F106" s="40">
        <f>Stock!L24*Stock!O24</f>
        <v/>
      </c>
      <c r="G106" s="40">
        <f>D106*Stock!O24</f>
        <v/>
      </c>
    </row>
    <row r="107">
      <c r="A107" s="5" t="inlineStr">
        <is>
          <t>Sows</t>
        </is>
      </c>
      <c r="B107" s="32" t="n">
        <v>0</v>
      </c>
      <c r="C107" s="32">
        <f>Stock!L25</f>
        <v/>
      </c>
      <c r="D107" s="32">
        <f>C107-B107</f>
        <v/>
      </c>
      <c r="F107" s="40">
        <f>Stock!L25*Stock!O25</f>
        <v/>
      </c>
      <c r="G107" s="40">
        <f>D107*Stock!O25</f>
        <v/>
      </c>
    </row>
    <row r="108">
      <c r="A108" s="5" t="inlineStr">
        <is>
          <t>Pigs</t>
        </is>
      </c>
      <c r="B108" s="32" t="n">
        <v>0</v>
      </c>
      <c r="C108" s="32">
        <f>Stock!L26</f>
        <v/>
      </c>
      <c r="D108" s="32">
        <f>C108-B108</f>
        <v/>
      </c>
      <c r="F108" s="40">
        <f>Stock!L26*Stock!O26</f>
        <v/>
      </c>
      <c r="G108" s="40">
        <f>D108*Stock!O26</f>
        <v/>
      </c>
    </row>
    <row r="109">
      <c r="A109" s="5" t="inlineStr">
        <is>
          <t>Hoggets</t>
        </is>
      </c>
      <c r="B109" s="32" t="n">
        <v>0</v>
      </c>
      <c r="C109" s="32">
        <f>Stock!L27</f>
        <v/>
      </c>
      <c r="D109" s="32">
        <f>C109-B109</f>
        <v/>
      </c>
      <c r="F109" s="40">
        <f>Stock!L27*Stock!O27</f>
        <v/>
      </c>
      <c r="G109" s="40">
        <f>D109*Stock!O27</f>
        <v/>
      </c>
    </row>
    <row r="110">
      <c r="A110" s="5" t="inlineStr">
        <is>
          <t>Piglets</t>
        </is>
      </c>
      <c r="B110" s="32" t="n">
        <v>0</v>
      </c>
      <c r="C110" s="32">
        <f>Stock!L28</f>
        <v/>
      </c>
      <c r="D110" s="32">
        <f>C110-B110</f>
        <v/>
      </c>
      <c r="F110" s="40">
        <f>Stock!L28*Stock!O28</f>
        <v/>
      </c>
      <c r="G110" s="40">
        <f>D110*Stock!O28</f>
        <v/>
      </c>
    </row>
    <row r="111">
      <c r="A111" s="5" t="inlineStr">
        <is>
          <t>Swans</t>
        </is>
      </c>
      <c r="B111" s="32" t="n">
        <v>0</v>
      </c>
      <c r="C111" s="32">
        <f>Stock!L29</f>
        <v/>
      </c>
      <c r="D111" s="32">
        <f>C111-B111</f>
        <v/>
      </c>
      <c r="F111" s="40">
        <f>Stock!L29*Stock!O29</f>
        <v/>
      </c>
      <c r="G111" s="40">
        <f>D111*Stock!O29</f>
        <v/>
      </c>
    </row>
    <row r="112">
      <c r="A112" s="5" t="inlineStr">
        <is>
          <t>Peacocks</t>
        </is>
      </c>
      <c r="B112" s="32" t="n">
        <v>0</v>
      </c>
      <c r="C112" s="32">
        <f>Stock!L30</f>
        <v/>
      </c>
      <c r="D112" s="32">
        <f>C112-B112</f>
        <v/>
      </c>
      <c r="F112" s="40">
        <f>Stock!L30*Stock!O30</f>
        <v/>
      </c>
      <c r="G112" s="40">
        <f>D112*Stock!O30</f>
        <v/>
      </c>
    </row>
    <row r="113">
      <c r="A113" s="7" t="inlineStr">
        <is>
          <t>Total value of stock (sum of the above)</t>
        </is>
      </c>
      <c r="B113" s="49" t="n"/>
      <c r="C113" s="50" t="n"/>
      <c r="D113" s="49" t="n"/>
      <c r="E113" s="49" t="n"/>
      <c r="F113" s="63">
        <f>SUM(F87:F112)</f>
        <v/>
      </c>
      <c r="G113" s="63">
        <f>SUM(G87:G112)</f>
        <v/>
      </c>
    </row>
    <row r="114">
      <c r="A114" s="7" t="inlineStr">
        <is>
          <t>Total value of production</t>
        </is>
      </c>
      <c r="B114" s="49" t="n"/>
      <c r="C114" s="50" t="n"/>
      <c r="D114" s="49" t="n"/>
      <c r="E114" s="49" t="n"/>
      <c r="F114" s="63">
        <f>SUM(Stock!T5:T30)</f>
        <v/>
      </c>
      <c r="G114" s="63" t="n"/>
    </row>
    <row r="115">
      <c r="A115" s="7" t="inlineStr">
        <is>
          <t>Value of sales</t>
        </is>
      </c>
      <c r="B115" s="49" t="n"/>
      <c r="C115" s="50" t="n"/>
      <c r="D115" s="49" t="n"/>
      <c r="E115" s="49" t="n"/>
      <c r="F115" s="63">
        <f>SUM(Stock!R5:R30)</f>
        <v/>
      </c>
      <c r="G115" s="63" t="n"/>
    </row>
    <row r="116">
      <c r="A116" s="5" t="n"/>
    </row>
    <row r="117">
      <c r="A117" s="6" t="inlineStr">
        <is>
          <t>Wool</t>
        </is>
      </c>
      <c r="B117" s="51" t="inlineStr">
        <is>
          <t>Begin stock</t>
        </is>
      </c>
      <c r="C117" s="51" t="inlineStr">
        <is>
          <t>End stock</t>
        </is>
      </c>
      <c r="D117" s="51" t="inlineStr">
        <is>
          <t>Stockbuilding</t>
        </is>
      </c>
      <c r="E117" s="51" t="n"/>
      <c r="F117" s="51" t="inlineStr">
        <is>
          <t>Value of stock in £</t>
        </is>
      </c>
    </row>
    <row r="118">
      <c r="A118" s="12" t="inlineStr">
        <is>
          <t>Fleeces</t>
        </is>
      </c>
      <c r="B118" t="n">
        <v>0</v>
      </c>
      <c r="C118" t="n">
        <v>0</v>
      </c>
      <c r="D118" t="n">
        <v>0</v>
      </c>
      <c r="G118" s="52" t="n"/>
    </row>
    <row r="119">
      <c r="A119" s="5" t="inlineStr">
        <is>
          <t>Coarse wool</t>
        </is>
      </c>
      <c r="B119" t="n">
        <v>0</v>
      </c>
      <c r="C119" t="n">
        <v>0</v>
      </c>
      <c r="D119" t="n">
        <v>0</v>
      </c>
    </row>
    <row r="120">
      <c r="A120" s="5" t="inlineStr">
        <is>
          <t>Lamb's wool</t>
        </is>
      </c>
      <c r="B120" t="n">
        <v>0</v>
      </c>
      <c r="C120" t="n">
        <v>0</v>
      </c>
      <c r="D120" t="n">
        <v>0</v>
      </c>
    </row>
    <row r="121">
      <c r="A121" s="5" t="inlineStr">
        <is>
          <t>Wool locks</t>
        </is>
      </c>
      <c r="B121" t="n">
        <v>0</v>
      </c>
      <c r="C121" t="n">
        <v>0</v>
      </c>
      <c r="D121" t="n">
        <v>0</v>
      </c>
    </row>
    <row r="122">
      <c r="A122" s="5" t="inlineStr">
        <is>
          <t>Wool sold at shearing</t>
        </is>
      </c>
      <c r="B122" t="n">
        <v>0</v>
      </c>
      <c r="C122" t="n">
        <v>0</v>
      </c>
      <c r="D122" t="n">
        <v>0</v>
      </c>
    </row>
    <row r="123">
      <c r="A123" s="75" t="inlineStr">
        <is>
          <t>Total value of production (sum of the above)</t>
        </is>
      </c>
      <c r="B123" s="49" t="n"/>
      <c r="C123" s="50" t="n"/>
      <c r="D123" s="49" t="n"/>
      <c r="E123" s="49" t="n"/>
      <c r="F123" s="49">
        <f>SUM(F118:F122)</f>
        <v/>
      </c>
    </row>
    <row r="124">
      <c r="A124" s="75" t="inlineStr">
        <is>
          <t>Value of sales</t>
        </is>
      </c>
      <c r="B124" s="49" t="n"/>
      <c r="C124" s="50" t="n"/>
      <c r="D124" s="49" t="n"/>
      <c r="E124" s="49" t="n"/>
      <c r="F124" s="49" t="n"/>
    </row>
    <row r="125">
      <c r="A125" s="1" t="n"/>
    </row>
    <row r="126">
      <c r="A126" s="6" t="inlineStr">
        <is>
          <t>Hides</t>
        </is>
      </c>
      <c r="B126" s="51" t="inlineStr">
        <is>
          <t>Begin stock</t>
        </is>
      </c>
      <c r="C126" s="51" t="inlineStr">
        <is>
          <t>End stock</t>
        </is>
      </c>
      <c r="D126" s="51" t="inlineStr">
        <is>
          <t>Stockbuilding</t>
        </is>
      </c>
      <c r="E126" s="51" t="n"/>
      <c r="F126" s="51" t="inlineStr">
        <is>
          <t>Value of stock in £</t>
        </is>
      </c>
    </row>
    <row r="127">
      <c r="A127" s="5" t="inlineStr">
        <is>
          <t>Ox hides</t>
        </is>
      </c>
      <c r="B127" t="n">
        <v>0</v>
      </c>
      <c r="C127" t="n">
        <v>0</v>
      </c>
      <c r="D127" t="n">
        <v>0</v>
      </c>
      <c r="G127" s="52" t="n"/>
    </row>
    <row r="128">
      <c r="A128" s="5" t="inlineStr">
        <is>
          <t>Cow hides</t>
        </is>
      </c>
      <c r="B128" t="n">
        <v>0</v>
      </c>
      <c r="C128" t="n">
        <v>0</v>
      </c>
      <c r="D128" t="n">
        <v>0</v>
      </c>
    </row>
    <row r="129">
      <c r="A129" s="5" t="inlineStr">
        <is>
          <t>Mare hides</t>
        </is>
      </c>
      <c r="B129" t="n">
        <v>0</v>
      </c>
      <c r="C129" t="n">
        <v>0</v>
      </c>
      <c r="D129" t="n">
        <v>0</v>
      </c>
    </row>
    <row r="130">
      <c r="A130" s="5" t="inlineStr">
        <is>
          <t>Steer hides</t>
        </is>
      </c>
      <c r="B130" t="n">
        <v>0</v>
      </c>
      <c r="C130" t="n">
        <v>0</v>
      </c>
      <c r="D130" t="n">
        <v>0</v>
      </c>
    </row>
    <row r="131">
      <c r="A131" s="5" t="inlineStr">
        <is>
          <t>Yearling Calf hides</t>
        </is>
      </c>
      <c r="B131" t="n">
        <v>0</v>
      </c>
      <c r="C131" t="n">
        <v>0</v>
      </c>
      <c r="D131" t="n">
        <v>0</v>
      </c>
    </row>
    <row r="132">
      <c r="A132" s="5" t="inlineStr">
        <is>
          <t>Calf hides</t>
        </is>
      </c>
      <c r="B132" t="n">
        <v>0</v>
      </c>
      <c r="C132" t="n">
        <v>0</v>
      </c>
      <c r="D132" t="n">
        <v>0</v>
      </c>
    </row>
    <row r="133">
      <c r="A133" s="13" t="inlineStr">
        <is>
          <t>Pig hides</t>
        </is>
      </c>
      <c r="B133" t="n">
        <v>0</v>
      </c>
      <c r="C133" t="n">
        <v>0</v>
      </c>
      <c r="D133" t="n">
        <v>0</v>
      </c>
    </row>
    <row r="134">
      <c r="A134" s="14" t="inlineStr">
        <is>
          <t>Wether woolskins</t>
        </is>
      </c>
    </row>
    <row r="135">
      <c r="A135" s="14" t="inlineStr">
        <is>
          <t>Ram woolskins</t>
        </is>
      </c>
    </row>
    <row r="136">
      <c r="A136" s="14" t="inlineStr">
        <is>
          <t>Ewe woolskins</t>
        </is>
      </c>
    </row>
    <row r="137">
      <c r="A137" s="14" t="inlineStr">
        <is>
          <t>Hogg woolskins</t>
        </is>
      </c>
    </row>
    <row r="138">
      <c r="A138" s="15" t="inlineStr">
        <is>
          <t>Woolskins (total)</t>
        </is>
      </c>
      <c r="B138" t="n">
        <v>0</v>
      </c>
      <c r="C138" t="n">
        <v>0</v>
      </c>
      <c r="D138" t="n">
        <v>0</v>
      </c>
    </row>
    <row r="139">
      <c r="A139" s="14" t="inlineStr">
        <is>
          <t>Wether bareskins</t>
        </is>
      </c>
    </row>
    <row r="140">
      <c r="A140" s="14" t="inlineStr">
        <is>
          <t>Ram bareskins</t>
        </is>
      </c>
    </row>
    <row r="141">
      <c r="A141" s="14" t="inlineStr">
        <is>
          <t>Ewe bareskins</t>
        </is>
      </c>
    </row>
    <row r="142">
      <c r="A142" s="14" t="inlineStr">
        <is>
          <t>Hogg bareskins</t>
        </is>
      </c>
    </row>
    <row r="143">
      <c r="A143" s="15" t="inlineStr">
        <is>
          <t>Bareskins (total)</t>
        </is>
      </c>
      <c r="B143" t="n">
        <v>0</v>
      </c>
      <c r="C143" t="n">
        <v>0</v>
      </c>
      <c r="D143" t="n">
        <v>0</v>
      </c>
    </row>
    <row r="144">
      <c r="A144" s="5" t="inlineStr">
        <is>
          <t>Lambskins</t>
        </is>
      </c>
      <c r="B144" t="n">
        <v>0</v>
      </c>
      <c r="C144" t="n">
        <v>0</v>
      </c>
      <c r="D144" t="n">
        <v>0</v>
      </c>
    </row>
    <row r="145">
      <c r="A145" s="5" t="inlineStr">
        <is>
          <t>Rotted skins</t>
        </is>
      </c>
      <c r="B145" t="n">
        <v>0</v>
      </c>
      <c r="C145" t="n">
        <v>0</v>
      </c>
      <c r="D145" t="n">
        <v>0</v>
      </c>
    </row>
    <row r="146">
      <c r="A146" s="5" t="inlineStr">
        <is>
          <t>Shorn skins</t>
        </is>
      </c>
      <c r="B146" t="n">
        <v>0</v>
      </c>
      <c r="C146" t="n">
        <v>0</v>
      </c>
      <c r="D146" t="n">
        <v>0</v>
      </c>
    </row>
    <row r="147">
      <c r="A147" s="7" t="inlineStr">
        <is>
          <t>Total value of production (sum of the above)</t>
        </is>
      </c>
      <c r="B147" s="49" t="n"/>
      <c r="C147" s="50" t="n"/>
      <c r="D147" s="49" t="n"/>
      <c r="E147" s="49" t="n"/>
      <c r="F147" s="49" t="n"/>
    </row>
    <row r="148">
      <c r="A148" s="7" t="inlineStr">
        <is>
          <t>Value of sales</t>
        </is>
      </c>
      <c r="B148" s="49" t="n"/>
      <c r="C148" s="50" t="n"/>
      <c r="D148" s="49" t="n"/>
      <c r="E148" s="49" t="n"/>
      <c r="F148" s="49" t="n"/>
    </row>
    <row r="149">
      <c r="A149" s="5" t="n"/>
    </row>
    <row r="150">
      <c r="A150" s="6" t="inlineStr">
        <is>
          <t>Poultry stock</t>
        </is>
      </c>
      <c r="B150" s="51" t="inlineStr">
        <is>
          <t>Begin stock</t>
        </is>
      </c>
      <c r="C150" s="51" t="inlineStr">
        <is>
          <t>End stock</t>
        </is>
      </c>
      <c r="D150" s="51" t="inlineStr">
        <is>
          <t>Stockbuilding</t>
        </is>
      </c>
      <c r="E150" s="51" t="n"/>
      <c r="F150" s="51" t="inlineStr">
        <is>
          <t>Value of stock in £</t>
        </is>
      </c>
    </row>
    <row r="151">
      <c r="A151" s="12" t="inlineStr">
        <is>
          <t>Hens</t>
        </is>
      </c>
      <c r="B151" s="32">
        <f>Stock!B67</f>
        <v/>
      </c>
      <c r="C151" s="32">
        <f>Stock!B67-Stock!M67</f>
        <v/>
      </c>
      <c r="D151" s="32">
        <f>B151-C151</f>
        <v/>
      </c>
      <c r="F151" s="32">
        <f>Stock!Q67</f>
        <v/>
      </c>
      <c r="G151" s="52" t="n"/>
    </row>
    <row r="152">
      <c r="A152" s="5" t="inlineStr">
        <is>
          <t>Geese</t>
        </is>
      </c>
      <c r="B152" s="32">
        <f>Stock!B68</f>
        <v/>
      </c>
      <c r="C152" s="32">
        <f>Stock!B68-Stock!M68</f>
        <v/>
      </c>
      <c r="D152" s="32">
        <f>B152-C152</f>
        <v/>
      </c>
      <c r="F152" s="32">
        <f>Stock!Q68</f>
        <v/>
      </c>
    </row>
    <row r="153">
      <c r="A153" s="5" t="inlineStr">
        <is>
          <t>Capons (from chickens)</t>
        </is>
      </c>
      <c r="B153" s="32" t="n">
        <v>0</v>
      </c>
      <c r="C153" s="32">
        <f>Stock!B69-Stock!M69</f>
        <v/>
      </c>
      <c r="D153" s="32">
        <f>B153-C153</f>
        <v/>
      </c>
      <c r="F153" s="32">
        <f>Stock!Q69</f>
        <v/>
      </c>
    </row>
    <row r="154">
      <c r="A154" s="5" t="inlineStr">
        <is>
          <t>Cocks &amp; hens</t>
        </is>
      </c>
      <c r="B154" s="32" t="n">
        <v>0</v>
      </c>
      <c r="C154" s="32">
        <f>Stock!B70-Stock!M70</f>
        <v/>
      </c>
      <c r="D154" s="32">
        <f>B154-C154</f>
        <v/>
      </c>
      <c r="F154" s="32">
        <f>Stock!Q70</f>
        <v/>
      </c>
    </row>
    <row r="155">
      <c r="A155" s="75" t="inlineStr">
        <is>
          <t>Total value of production (sum of the above)</t>
        </is>
      </c>
      <c r="B155" s="49" t="n"/>
      <c r="C155" s="49" t="n"/>
      <c r="D155" s="49" t="n"/>
      <c r="E155" s="49" t="n"/>
      <c r="F155" s="49">
        <f>SUM(F151:F154)</f>
        <v/>
      </c>
    </row>
    <row r="156">
      <c r="A156" s="75" t="inlineStr">
        <is>
          <t>Value of sales</t>
        </is>
      </c>
      <c r="B156" s="49" t="n"/>
      <c r="C156" s="50" t="n"/>
      <c r="D156" s="49" t="n"/>
      <c r="E156" s="49" t="n"/>
      <c r="F156" s="49">
        <f>SUM(Stock!R67:R70)</f>
        <v/>
      </c>
    </row>
    <row r="157">
      <c r="A157" s="5" t="n"/>
    </row>
    <row r="158">
      <c r="A158" s="6" t="inlineStr">
        <is>
          <t>Poultry production</t>
        </is>
      </c>
      <c r="B158" s="51" t="inlineStr">
        <is>
          <t>Begin stock</t>
        </is>
      </c>
      <c r="C158" s="51" t="inlineStr">
        <is>
          <t>End stock</t>
        </is>
      </c>
      <c r="D158" s="51" t="inlineStr">
        <is>
          <t>Stockbuilding</t>
        </is>
      </c>
      <c r="E158" s="51" t="n"/>
      <c r="F158" s="51" t="inlineStr">
        <is>
          <t>Value of stock in £</t>
        </is>
      </c>
    </row>
    <row r="159">
      <c r="A159" s="5" t="inlineStr">
        <is>
          <t>Eggs</t>
        </is>
      </c>
      <c r="B159" t="n">
        <v>0</v>
      </c>
      <c r="C159" t="n">
        <v>0</v>
      </c>
      <c r="D159" t="n">
        <v>0</v>
      </c>
      <c r="G159" s="72" t="n"/>
    </row>
    <row r="160">
      <c r="A160" s="5" t="inlineStr">
        <is>
          <t>Cocks &amp; hens from churchscot of customary tenants</t>
        </is>
      </c>
      <c r="B160" t="n">
        <v>0</v>
      </c>
      <c r="C160" t="n">
        <v>0</v>
      </c>
      <c r="D160" t="n">
        <v>0</v>
      </c>
    </row>
    <row r="161">
      <c r="A161" s="5" t="inlineStr">
        <is>
          <t>Sum of above</t>
        </is>
      </c>
      <c r="B161" t="n">
        <v>0</v>
      </c>
      <c r="C161" t="n">
        <v>0</v>
      </c>
      <c r="D161" t="n">
        <v>0</v>
      </c>
    </row>
    <row r="162">
      <c r="A162" s="7" t="inlineStr">
        <is>
          <t>Total value of stock</t>
        </is>
      </c>
      <c r="B162" s="49" t="n"/>
      <c r="C162" s="50" t="n"/>
      <c r="D162" s="49" t="n"/>
      <c r="E162" s="49" t="n"/>
      <c r="F162" s="49">
        <f>SUM(F159:F160)</f>
        <v/>
      </c>
    </row>
    <row r="163">
      <c r="A163" s="7" t="inlineStr">
        <is>
          <t>Value of sales</t>
        </is>
      </c>
      <c r="B163" s="49" t="n"/>
      <c r="C163" s="50" t="n"/>
      <c r="D163" s="49" t="n"/>
      <c r="E163" s="49" t="n"/>
      <c r="F163" s="49" t="n"/>
    </row>
    <row r="164">
      <c r="A164" s="5" t="n"/>
    </row>
    <row r="165">
      <c r="A165" s="6" t="inlineStr">
        <is>
          <t>Dairy Production</t>
        </is>
      </c>
      <c r="B165" s="51" t="inlineStr">
        <is>
          <t>Begin stock</t>
        </is>
      </c>
      <c r="C165" s="51" t="inlineStr">
        <is>
          <t>End stock</t>
        </is>
      </c>
      <c r="D165" s="51" t="inlineStr">
        <is>
          <t>Stockbuilding</t>
        </is>
      </c>
      <c r="E165" s="51" t="n"/>
      <c r="F165" s="51" t="inlineStr">
        <is>
          <t>Value of stock in £</t>
        </is>
      </c>
    </row>
    <row r="166">
      <c r="A166" s="5" t="inlineStr">
        <is>
          <t>Butter</t>
        </is>
      </c>
      <c r="B166" t="n">
        <v>0</v>
      </c>
      <c r="C166" t="n">
        <v>0</v>
      </c>
      <c r="D166" t="n">
        <v>0</v>
      </c>
      <c r="G166" s="72" t="n"/>
    </row>
    <row r="167">
      <c r="A167" s="5" t="inlineStr">
        <is>
          <t>Winter Cheese</t>
        </is>
      </c>
      <c r="B167" t="n">
        <v>0</v>
      </c>
      <c r="C167" t="n">
        <v>0</v>
      </c>
      <c r="D167" t="n">
        <v>0</v>
      </c>
    </row>
    <row r="168">
      <c r="A168" s="5" t="inlineStr">
        <is>
          <t>Summer Cheese</t>
        </is>
      </c>
      <c r="B168" t="n">
        <v>0</v>
      </c>
      <c r="C168" t="n">
        <v>0</v>
      </c>
      <c r="D168" t="n">
        <v>0</v>
      </c>
    </row>
    <row r="169">
      <c r="A169" s="7" t="inlineStr">
        <is>
          <t>Total value of production (sum of the above)</t>
        </is>
      </c>
      <c r="B169" s="49" t="n"/>
      <c r="C169" s="50" t="n"/>
      <c r="D169" s="49" t="n"/>
      <c r="E169" s="49" t="n"/>
      <c r="F169" s="49">
        <f>SUM(F166:F168)</f>
        <v/>
      </c>
    </row>
    <row r="170">
      <c r="A170" s="7" t="inlineStr">
        <is>
          <t>Value of sales</t>
        </is>
      </c>
      <c r="B170" s="49" t="n"/>
      <c r="C170" s="50" t="n"/>
      <c r="D170" s="49" t="n"/>
      <c r="E170" s="49" t="n"/>
      <c r="F170" s="49" t="n"/>
    </row>
    <row r="171">
      <c r="A171" s="5" t="n"/>
    </row>
    <row r="172">
      <c r="A172" s="5" t="n"/>
    </row>
    <row r="173" ht="16" customHeight="1" s="99" thickBot="1"/>
    <row r="174" ht="16" customHeight="1" s="99" thickBot="1">
      <c r="A174" s="59" t="n"/>
      <c r="B174" s="60" t="inlineStr">
        <is>
          <t>Total in £</t>
        </is>
      </c>
      <c r="C174" s="61" t="n"/>
      <c r="D174" s="64" t="n"/>
      <c r="E174" s="64" t="n"/>
      <c r="F174" s="65" t="n"/>
    </row>
    <row r="175">
      <c r="A175" s="53" t="inlineStr">
        <is>
          <t>Total Production Value of all Output (Grange, Dairy, Livestock Sales, Wools, Skins - NO Mill)</t>
        </is>
      </c>
      <c r="B175" s="66">
        <f>F169+F162+F155+F147+F123+F115+E72</f>
        <v/>
      </c>
      <c r="D175" s="67" t="n"/>
      <c r="E175" s="67" t="n"/>
      <c r="F175" s="68" t="n"/>
    </row>
    <row r="176">
      <c r="A176" s="54" t="inlineStr">
        <is>
          <t>Total Sales Value of all Output as defined above</t>
        </is>
      </c>
      <c r="B176" s="66">
        <f>F170+F163+F156+F148+F124+F115+D73</f>
        <v/>
      </c>
      <c r="D176" s="67" t="n"/>
      <c r="E176" s="67" t="n"/>
      <c r="F176" s="68" t="n"/>
    </row>
    <row r="177">
      <c r="A177" s="54" t="inlineStr">
        <is>
          <t>Total Sales of Corn + Issues of the Manor as recorded in account</t>
        </is>
      </c>
      <c r="B177" s="66">
        <f>B15+B18</f>
        <v/>
      </c>
      <c r="D177" s="67" t="n"/>
      <c r="E177" s="67" t="n"/>
      <c r="F177" s="68" t="n"/>
    </row>
    <row r="178">
      <c r="A178" s="54" t="inlineStr">
        <is>
          <t>Production Value + Cash Receipts (excl. Arrears, Issues, Corn and Mill)</t>
        </is>
      </c>
      <c r="B178" s="66">
        <f>B175+B12+B13+B14+B16+B17+B19+B20+B21+B22</f>
        <v/>
      </c>
      <c r="D178" s="67" t="n"/>
      <c r="E178" s="67" t="n"/>
      <c r="F178" s="68" t="n"/>
    </row>
    <row r="179">
      <c r="A179" s="55" t="n"/>
      <c r="B179" s="67" t="n"/>
      <c r="D179" s="67" t="n"/>
      <c r="E179" s="67" t="n"/>
      <c r="F179" s="68" t="n"/>
    </row>
    <row r="180">
      <c r="A180" s="56" t="inlineStr">
        <is>
          <t>% of capital expenses in terms of total production</t>
        </is>
      </c>
      <c r="B180" s="69">
        <f>B47/B175</f>
        <v/>
      </c>
      <c r="C180" s="4" t="n"/>
      <c r="F180" s="68" t="n"/>
    </row>
    <row r="181">
      <c r="A181" s="54" t="inlineStr">
        <is>
          <t>% of capital expenses in terms of total production + cash receipts</t>
        </is>
      </c>
      <c r="B181" s="69">
        <f>B47/B178</f>
        <v/>
      </c>
      <c r="D181" s="67" t="n"/>
      <c r="E181" s="67" t="n"/>
      <c r="F181" s="68" t="n"/>
    </row>
    <row r="182">
      <c r="A182" s="55" t="n"/>
      <c r="D182" s="67" t="n"/>
      <c r="E182" s="67" t="n"/>
      <c r="F182" s="68" t="n"/>
    </row>
    <row r="183" ht="16" customHeight="1" s="99" thickBot="1">
      <c r="A183" s="57" t="inlineStr">
        <is>
          <t>% of capital expenses as calculated previously</t>
        </is>
      </c>
      <c r="B183" s="62" t="inlineStr">
        <is>
          <t>n/a</t>
        </is>
      </c>
      <c r="C183" s="58" t="n"/>
      <c r="D183" s="70" t="n"/>
      <c r="E183" s="70" t="n"/>
      <c r="F183" s="71"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4.5"/>
  <cols>
    <col width="41.453125" customWidth="1" style="99" min="1" max="1"/>
    <col width="8.81640625" customWidth="1" style="99" min="2" max="2"/>
    <col width="12.81640625" customWidth="1" style="99" min="6" max="6"/>
    <col width="8.81640625" customWidth="1" style="99" min="7" max="7"/>
    <col width="12.453125" customWidth="1" style="99" min="8" max="8"/>
    <col width="8.81640625" customWidth="1" style="99" min="9" max="10"/>
  </cols>
  <sheetData>
    <row r="1" ht="15.5" customHeight="1" s="99">
      <c r="A1" s="76" t="inlineStr">
        <is>
          <t>ALVERSTOKE RECEIPTS</t>
        </is>
      </c>
      <c r="B1" s="77" t="n"/>
      <c r="C1" s="77" t="n"/>
      <c r="D1" s="77" t="n"/>
      <c r="E1" s="77" t="n"/>
      <c r="F1" s="77" t="n"/>
      <c r="G1" s="77" t="n"/>
      <c r="H1" s="77" t="n"/>
      <c r="I1" s="77" t="n"/>
    </row>
    <row r="2" ht="15.5" customHeight="1" s="99">
      <c r="A2" s="78" t="inlineStr">
        <is>
          <t>Heading</t>
        </is>
      </c>
      <c r="B2" s="79" t="inlineStr">
        <is>
          <t>£</t>
        </is>
      </c>
      <c r="C2" s="80" t="inlineStr">
        <is>
          <t>s</t>
        </is>
      </c>
      <c r="D2" s="80" t="inlineStr">
        <is>
          <t>d</t>
        </is>
      </c>
      <c r="E2" s="80" t="n"/>
      <c r="F2" s="81" t="inlineStr">
        <is>
          <t>Total in £</t>
        </is>
      </c>
      <c r="G2" s="82" t="inlineStr">
        <is>
          <t>Error</t>
        </is>
      </c>
      <c r="H2" s="83" t="inlineStr">
        <is>
          <t>Notes</t>
        </is>
      </c>
      <c r="I2" s="84" t="inlineStr">
        <is>
          <t>Own notes</t>
        </is>
      </c>
    </row>
    <row r="3">
      <c r="A3" s="85" t="inlineStr">
        <is>
          <t>Arrears</t>
        </is>
      </c>
      <c r="B3" s="77" t="n">
        <v>0</v>
      </c>
      <c r="C3" s="77" t="n">
        <v>6</v>
      </c>
      <c r="D3" s="77" t="n">
        <v>8</v>
      </c>
      <c r="E3" s="77" t="n"/>
      <c r="F3" s="77" t="n">
        <v>0.33</v>
      </c>
      <c r="G3" s="77" t="n"/>
      <c r="H3" s="77" t="inlineStr">
        <is>
          <t>The same answers for 6 shilling 8pence of arrears from his last account of the preceding year.</t>
        </is>
      </c>
      <c r="I3" s="77" t="n"/>
    </row>
    <row r="4">
      <c r="A4" s="86" t="inlineStr">
        <is>
          <t>Arrears</t>
        </is>
      </c>
      <c r="B4" s="77" t="n">
        <v>0</v>
      </c>
      <c r="C4" s="77" t="n">
        <v>6</v>
      </c>
      <c r="D4" s="77" t="n">
        <v>8</v>
      </c>
      <c r="E4" s="77" t="n"/>
      <c r="F4" s="77" t="n">
        <v>0.33</v>
      </c>
      <c r="G4" s="77" t="n"/>
      <c r="H4" s="77" t="inlineStr">
        <is>
          <t>Total, 6 shilling 8pence.</t>
        </is>
      </c>
      <c r="I4" s="77" t="n"/>
    </row>
    <row r="5">
      <c r="A5" s="87" t="inlineStr">
        <is>
          <t>Arrears total</t>
        </is>
      </c>
      <c r="B5" s="88" t="n"/>
      <c r="C5" s="88" t="n"/>
      <c r="D5" s="88" t="n"/>
      <c r="E5" s="88" t="n"/>
      <c r="F5" s="88" t="n">
        <v>0.33</v>
      </c>
      <c r="G5" s="88" t="n">
        <v>0</v>
      </c>
      <c r="H5" s="88" t="inlineStr">
        <is>
          <t>Total</t>
        </is>
      </c>
      <c r="I5" s="88" t="n"/>
    </row>
    <row r="6">
      <c r="A6" s="86" t="n"/>
      <c r="B6" s="77" t="n"/>
      <c r="C6" s="77" t="n"/>
      <c r="D6" s="77" t="n"/>
      <c r="E6" s="77" t="n"/>
      <c r="F6" s="77" t="n"/>
      <c r="G6" s="77" t="n"/>
      <c r="H6" s="77" t="n"/>
      <c r="I6" s="77" t="n"/>
    </row>
    <row r="7">
      <c r="A7" s="85" t="inlineStr">
        <is>
          <t>Rents of assize</t>
        </is>
      </c>
      <c r="B7" s="77" t="n">
        <v>13</v>
      </c>
      <c r="C7" s="77" t="n">
        <v>0</v>
      </c>
      <c r="D7" s="77" t="n">
        <v>0</v>
      </c>
      <c r="E7" s="77" t="n"/>
      <c r="F7" s="77" t="n">
        <v>13</v>
      </c>
      <c r="G7" s="77" t="n"/>
      <c r="H7" s="77" t="inlineStr">
        <is>
          <t>And for £13 for all rents of assize at All Saints (1 November).</t>
        </is>
      </c>
      <c r="I7" s="77" t="n"/>
    </row>
    <row r="8">
      <c r="A8" s="86" t="inlineStr">
        <is>
          <t>Rents of assize</t>
        </is>
      </c>
      <c r="B8" s="77" t="n">
        <v>13</v>
      </c>
      <c r="C8" s="77" t="n">
        <v>0</v>
      </c>
      <c r="D8" s="77" t="n">
        <v>0</v>
      </c>
      <c r="E8" s="77" t="n"/>
      <c r="F8" s="77" t="n">
        <v>13</v>
      </c>
      <c r="G8" s="77" t="n"/>
      <c r="H8" s="77" t="inlineStr">
        <is>
          <t>£13 at the Purification (2 February).</t>
        </is>
      </c>
      <c r="I8" s="77" t="n"/>
    </row>
    <row r="9">
      <c r="A9" s="86" t="inlineStr">
        <is>
          <t>Rents of assize</t>
        </is>
      </c>
      <c r="B9" s="77" t="n">
        <v>13</v>
      </c>
      <c r="C9" s="77" t="n">
        <v>0</v>
      </c>
      <c r="D9" s="77" t="n">
        <v>0</v>
      </c>
      <c r="E9" s="77" t="n"/>
      <c r="F9" s="77" t="n">
        <v>13</v>
      </c>
      <c r="G9" s="77" t="n"/>
      <c r="H9" s="77" t="inlineStr">
        <is>
          <t>£13 at the Invention of the Cross in May (3 May).</t>
        </is>
      </c>
      <c r="I9" s="77" t="n"/>
    </row>
    <row r="10">
      <c r="A10" s="86" t="inlineStr">
        <is>
          <t>Rents of assize</t>
        </is>
      </c>
      <c r="B10" s="77" t="n">
        <v>14</v>
      </c>
      <c r="C10" s="77" t="n">
        <v>0</v>
      </c>
      <c r="D10" s="77" t="n">
        <v>6</v>
      </c>
      <c r="E10" s="77" t="n"/>
      <c r="F10" s="77" t="n">
        <v>14.03</v>
      </c>
      <c r="G10" s="77" t="n"/>
      <c r="H10" s="77" t="inlineStr">
        <is>
          <t>£14 6pence at Michaelmas (29 September).</t>
        </is>
      </c>
      <c r="I10" s="77" t="n"/>
    </row>
    <row r="11">
      <c r="A11" s="86" t="inlineStr">
        <is>
          <t>Rents of assize</t>
        </is>
      </c>
      <c r="B11" s="77" t="n">
        <v>0</v>
      </c>
      <c r="C11" s="77" t="n">
        <v>10</v>
      </c>
      <c r="D11" s="77" t="n">
        <v>0</v>
      </c>
      <c r="E11" s="77" t="n"/>
      <c r="F11" s="77" t="n">
        <v>0.5</v>
      </c>
      <c r="G11" s="77" t="n"/>
      <c r="H11" s="77" t="inlineStr">
        <is>
          <t>10 shilling from John Chark' for 1 messuage and 1 virgate of villein land in Chark' at the said Michaelmas.</t>
        </is>
      </c>
      <c r="I11" s="77" t="n"/>
    </row>
    <row r="12">
      <c r="A12" s="86" t="inlineStr">
        <is>
          <t>Rents of assize</t>
        </is>
      </c>
      <c r="B12" s="77" t="n">
        <v>0</v>
      </c>
      <c r="C12" s="77" t="n">
        <v>0</v>
      </c>
      <c r="D12" s="77" t="n">
        <v>8</v>
      </c>
      <c r="E12" s="77" t="n"/>
      <c r="F12" s="77" t="n">
        <v>0.03</v>
      </c>
      <c r="G12" s="77" t="n"/>
      <c r="H12" s="77" t="inlineStr">
        <is>
          <t>8pence from John Crede and Alice Upton' for 2 streams (fluetr) and 1 marsh at the same.</t>
        </is>
      </c>
      <c r="I12" s="77" t="n"/>
    </row>
    <row r="13">
      <c r="A13" s="86" t="inlineStr">
        <is>
          <t>Rents of assize</t>
        </is>
      </c>
      <c r="B13" s="77" t="n">
        <v>53</v>
      </c>
      <c r="C13" s="77" t="n">
        <v>11</v>
      </c>
      <c r="D13" s="77" t="n">
        <v>2.5</v>
      </c>
      <c r="E13" s="77" t="n"/>
      <c r="F13" s="77" t="n">
        <v>53.56</v>
      </c>
      <c r="G13" s="77" t="n"/>
      <c r="H13" s="77" t="inlineStr">
        <is>
          <t>Total, £53 11 shilling 2.5pence.</t>
        </is>
      </c>
      <c r="I13" s="77" t="n"/>
    </row>
    <row r="14">
      <c r="A14" s="87" t="inlineStr">
        <is>
          <t>Rents of assize total</t>
        </is>
      </c>
      <c r="B14" s="88" t="n"/>
      <c r="C14" s="88" t="n"/>
      <c r="D14" s="88" t="n"/>
      <c r="E14" s="88" t="n"/>
      <c r="F14" s="88" t="n">
        <v>53.56</v>
      </c>
      <c r="G14" s="88" t="n">
        <v>0</v>
      </c>
      <c r="H14" s="88" t="inlineStr">
        <is>
          <t>Total</t>
        </is>
      </c>
      <c r="I14" s="88" t="n"/>
    </row>
    <row r="15">
      <c r="A15" s="86" t="n"/>
      <c r="B15" s="77" t="n"/>
      <c r="C15" s="77" t="n"/>
      <c r="D15" s="77" t="n"/>
      <c r="E15" s="77" t="n"/>
      <c r="F15" s="77" t="n"/>
      <c r="G15" s="77" t="n"/>
      <c r="H15" s="77" t="n"/>
      <c r="I15" s="77" t="n"/>
    </row>
    <row r="16">
      <c r="A16" s="85" t="inlineStr">
        <is>
          <t>Reliefs</t>
        </is>
      </c>
      <c r="B16" s="77" t="n">
        <v>0</v>
      </c>
      <c r="C16" s="77" t="n">
        <v>3</v>
      </c>
      <c r="D16" s="77" t="n">
        <v>2</v>
      </c>
      <c r="E16" s="77" t="n"/>
      <c r="F16" s="77" t="n">
        <v>0.16</v>
      </c>
      <c r="G16" s="77" t="n"/>
      <c r="H16" s="77" t="inlineStr">
        <is>
          <t>And for 3 shilling 2pence for the relief of Agnes, wife of John Swele, to have 1 toft and certain land and a tenement in Elston' which descended to her by hereditary right after the death of Thomas Carpent' her brother.</t>
        </is>
      </c>
      <c r="I16" s="77" t="n"/>
    </row>
    <row r="17">
      <c r="A17" s="86" t="inlineStr">
        <is>
          <t>Reliefs</t>
        </is>
      </c>
      <c r="B17" s="77" t="n">
        <v>0</v>
      </c>
      <c r="C17" s="77" t="n">
        <v>3</v>
      </c>
      <c r="D17" s="77" t="n">
        <v>2</v>
      </c>
      <c r="E17" s="77" t="n"/>
      <c r="F17" s="77" t="n">
        <v>0.16</v>
      </c>
      <c r="G17" s="77" t="n"/>
      <c r="H17" s="77" t="inlineStr">
        <is>
          <t>Total, 3 shilling 2pence.</t>
        </is>
      </c>
      <c r="I17" s="77" t="n"/>
    </row>
    <row r="18">
      <c r="A18" s="87" t="inlineStr">
        <is>
          <t>Reliefs total</t>
        </is>
      </c>
      <c r="B18" s="88" t="n"/>
      <c r="C18" s="88" t="n"/>
      <c r="D18" s="88" t="n"/>
      <c r="E18" s="88" t="n"/>
      <c r="F18" s="88" t="n">
        <v>0.16</v>
      </c>
      <c r="G18" s="88" t="n">
        <v>0</v>
      </c>
      <c r="H18" s="88" t="inlineStr">
        <is>
          <t>Total</t>
        </is>
      </c>
      <c r="I18" s="88" t="n"/>
    </row>
    <row r="19">
      <c r="A19" s="86" t="n"/>
      <c r="B19" s="77" t="n"/>
      <c r="C19" s="77" t="n"/>
      <c r="D19" s="77" t="n"/>
      <c r="E19" s="77" t="n"/>
      <c r="F19" s="77" t="n"/>
      <c r="G19" s="77" t="n"/>
      <c r="H19" s="77" t="n"/>
      <c r="I19" s="77" t="n"/>
    </row>
    <row r="20">
      <c r="A20" s="85" t="inlineStr">
        <is>
          <t>Perquisites</t>
        </is>
      </c>
      <c r="B20" s="77" t="n">
        <v>0</v>
      </c>
      <c r="C20" s="77" t="n">
        <v>6</v>
      </c>
      <c r="D20" s="77" t="n">
        <v>1</v>
      </c>
      <c r="E20" s="77" t="n"/>
      <c r="F20" s="77" t="n">
        <v>0.3</v>
      </c>
      <c r="G20" s="77" t="n"/>
      <c r="H20" s="77" t="inlineStr">
        <is>
          <t>And for 6 shilling 1pence from the perquisites of the tourn of Martinmas (11 November).</t>
        </is>
      </c>
      <c r="I20" s="77" t="n"/>
    </row>
    <row r="21">
      <c r="A21" s="86" t="inlineStr">
        <is>
          <t>Perquisites</t>
        </is>
      </c>
      <c r="B21" s="77" t="n">
        <v>0</v>
      </c>
      <c r="C21" s="77" t="n">
        <v>4</v>
      </c>
      <c r="D21" s="77" t="n">
        <v>7</v>
      </c>
      <c r="E21" s="77" t="n"/>
      <c r="F21" s="77" t="n">
        <v>0.23</v>
      </c>
      <c r="G21" s="77" t="n"/>
      <c r="H21" s="77" t="inlineStr">
        <is>
          <t>4 shilling 7pence from the perquisites of the tourn of Hockday (1 April).</t>
        </is>
      </c>
      <c r="I21" s="77" t="n"/>
    </row>
    <row r="22">
      <c r="A22" s="86" t="inlineStr">
        <is>
          <t>Perquisites</t>
        </is>
      </c>
      <c r="B22" s="77" t="n">
        <v>0</v>
      </c>
      <c r="C22" s="77" t="n">
        <v>7</v>
      </c>
      <c r="D22" s="77" t="n">
        <v>3</v>
      </c>
      <c r="E22" s="77" t="n"/>
      <c r="F22" s="77" t="n">
        <v>0.36</v>
      </c>
      <c r="G22" s="77" t="n"/>
      <c r="H22" s="77" t="inlineStr">
        <is>
          <t>7 shilling 3pence from the perquisites of the courts held by the bailiff.</t>
        </is>
      </c>
      <c r="I22" s="77" t="n"/>
    </row>
    <row r="23">
      <c r="A23" s="87" t="inlineStr">
        <is>
          <t>Perquisites total</t>
        </is>
      </c>
      <c r="B23" s="88" t="n">
        <v>0</v>
      </c>
      <c r="C23" s="88" t="n">
        <v>17</v>
      </c>
      <c r="D23" s="88" t="n">
        <v>11</v>
      </c>
      <c r="E23" s="88" t="n"/>
      <c r="F23" s="88" t="n">
        <v>0.9</v>
      </c>
      <c r="G23" s="88" t="n">
        <v>0.54</v>
      </c>
      <c r="H23" s="88" t="inlineStr">
        <is>
          <t>Total, 17 shilling 11pence.</t>
        </is>
      </c>
      <c r="I23" s="88" t="n"/>
    </row>
    <row r="24">
      <c r="A24" s="18" t="inlineStr">
        <is>
          <t>Total of all receipts recorded in accounts (calculated here)</t>
        </is>
      </c>
      <c r="F24">
        <f>SUMIF(A1:A23,"* total",F1:F23)-SUMIF(A1:A23,"Arrears total",F1:F23)</f>
        <v/>
      </c>
    </row>
    <row r="25">
      <c r="A25" s="18" t="inlineStr">
        <is>
          <t>Total of all receipts (calculated here) incl arrears</t>
        </is>
      </c>
      <c r="F25">
        <f>F24+SUMIF(A1:A23,"Arrears total",F1:F23)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4.5"/>
  <cols>
    <col width="34.453125" customWidth="1" style="99" min="1" max="1"/>
    <col width="8.81640625" customWidth="1" style="99" min="2" max="2"/>
    <col width="8.81640625" customWidth="1" style="99" min="6" max="7"/>
    <col width="43" customWidth="1" style="99" min="8" max="8"/>
  </cols>
  <sheetData>
    <row r="1" ht="15.5" customHeight="1" s="99">
      <c r="A1" s="76" t="inlineStr">
        <is>
          <t>ALVERSTOKE EXPENSES</t>
        </is>
      </c>
      <c r="B1" s="77" t="n"/>
      <c r="C1" s="77" t="n"/>
      <c r="D1" s="77" t="n"/>
      <c r="E1" s="77" t="n"/>
      <c r="F1" s="77" t="n"/>
      <c r="G1" s="77" t="n"/>
      <c r="H1" s="77" t="n"/>
    </row>
    <row r="2" ht="31" customHeight="1" s="99">
      <c r="A2" s="89" t="inlineStr">
        <is>
          <t>Heading</t>
        </is>
      </c>
      <c r="B2" s="90" t="inlineStr">
        <is>
          <t>£</t>
        </is>
      </c>
      <c r="C2" s="91" t="inlineStr">
        <is>
          <t>s</t>
        </is>
      </c>
      <c r="D2" s="91" t="inlineStr">
        <is>
          <t>d</t>
        </is>
      </c>
      <c r="E2" s="92" t="n"/>
      <c r="F2" s="93" t="inlineStr">
        <is>
          <t>Total in £</t>
        </is>
      </c>
      <c r="G2" s="94" t="inlineStr">
        <is>
          <t>Error</t>
        </is>
      </c>
      <c r="H2" s="95" t="inlineStr">
        <is>
          <t>Sentence</t>
        </is>
      </c>
      <c r="I2" t="inlineStr">
        <is>
          <t>Fixed Investments</t>
        </is>
      </c>
      <c r="J2" t="inlineStr">
        <is>
          <t>Demesne Fixed Investments</t>
        </is>
      </c>
    </row>
    <row r="3">
      <c r="A3" s="86" t="n"/>
      <c r="B3" s="77" t="n"/>
      <c r="C3" s="77" t="n"/>
      <c r="D3" s="77" t="n"/>
      <c r="E3" s="77" t="n"/>
      <c r="F3" s="77" t="n"/>
      <c r="G3" s="77" t="n"/>
      <c r="H3" s="77" t="n"/>
    </row>
    <row r="4">
      <c r="A4" s="85" t="inlineStr">
        <is>
          <t>Cash deliveries</t>
        </is>
      </c>
      <c r="B4" s="77" t="n">
        <v>55</v>
      </c>
      <c r="C4" s="77" t="n">
        <v>0</v>
      </c>
      <c r="D4" s="77" t="n">
        <v>5.5</v>
      </c>
      <c r="E4" s="77" t="n"/>
      <c r="F4" s="77" t="n">
        <v>55.02</v>
      </c>
      <c r="G4" s="77" t="n"/>
      <c r="H4" s="77" t="inlineStr">
        <is>
          <t>Delivered to John Arnold', receiver of Wolvesey, by 1 tally, £55 5.5pence.</t>
        </is>
      </c>
    </row>
    <row r="5">
      <c r="A5" s="86" t="inlineStr">
        <is>
          <t>Cash deliveries</t>
        </is>
      </c>
      <c r="B5" s="77" t="n">
        <v>55</v>
      </c>
      <c r="C5" s="77" t="n">
        <v>0</v>
      </c>
      <c r="D5" s="77" t="n">
        <v>5.5</v>
      </c>
      <c r="E5" s="77" t="n"/>
      <c r="F5" s="77" t="n">
        <v>55.02</v>
      </c>
      <c r="G5" s="77" t="n"/>
      <c r="H5" s="77" t="inlineStr">
        <is>
          <t>Total, £55 5.5pence.</t>
        </is>
      </c>
    </row>
    <row r="6">
      <c r="A6" s="87" t="inlineStr">
        <is>
          <t>Cash deliveries total</t>
        </is>
      </c>
      <c r="B6" s="88" t="n"/>
      <c r="C6" s="88" t="n"/>
      <c r="D6" s="88" t="n"/>
      <c r="E6" s="88" t="n"/>
      <c r="F6" s="88" t="n">
        <v>55.02</v>
      </c>
      <c r="G6" s="88" t="n">
        <v>0</v>
      </c>
      <c r="H6" s="88" t="inlineStr">
        <is>
          <t>Total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workbookViewId="0">
      <selection activeCell="A1" sqref="A1"/>
    </sheetView>
  </sheetViews>
  <sheetFormatPr baseColWidth="8" defaultRowHeight="14.5"/>
  <cols>
    <col width="44.36328125" customWidth="1" style="99" min="1" max="1"/>
    <col width="14.36328125" customWidth="1" style="99" min="2" max="2"/>
    <col width="9.81640625" customWidth="1" style="99" min="6" max="6"/>
    <col width="16.6328125" customWidth="1" style="99" min="7" max="7"/>
    <col width="16.1796875" customWidth="1" style="99" min="10" max="10"/>
    <col width="11.453125" customWidth="1" style="99" min="11" max="11"/>
    <col width="8.453125" customWidth="1" style="99" min="13" max="13"/>
    <col width="10.6328125" customWidth="1" style="99" min="14" max="14"/>
    <col width="16.6328125" customWidth="1" style="99" min="16" max="16"/>
    <col width="17.36328125" customWidth="1" style="99" min="17" max="17"/>
    <col width="16.1796875" customWidth="1" style="99" min="19" max="19"/>
    <col width="13.1796875" customWidth="1" style="99" min="21" max="21"/>
  </cols>
  <sheetData>
    <row r="1" ht="15.5" customHeight="1" s="99">
      <c r="A1" s="3" t="inlineStr">
        <is>
          <t>ALVERSTOKE STOCK ACCOUNT</t>
        </is>
      </c>
    </row>
    <row r="2" ht="15.5" customHeight="1" s="99">
      <c r="A2" s="3" t="n"/>
    </row>
    <row r="3" ht="17" customHeight="1" s="99">
      <c r="A3" s="20" t="n"/>
      <c r="B3" s="20" t="n"/>
      <c r="C3" s="103" t="inlineStr">
        <is>
          <t>added</t>
        </is>
      </c>
      <c r="G3" s="100" t="inlineStr">
        <is>
          <t>subtracted</t>
        </is>
      </c>
      <c r="K3" s="20" t="n"/>
      <c r="L3" s="20" t="n"/>
      <c r="M3" s="20" t="n"/>
      <c r="N3" s="20" t="n"/>
      <c r="O3" s="20" t="n"/>
      <c r="P3" s="30" t="n"/>
      <c r="Q3" s="20" t="n"/>
      <c r="R3" s="20" t="n"/>
      <c r="S3" s="20" t="n"/>
      <c r="T3" s="20" t="n"/>
    </row>
    <row r="4" ht="46.5" customHeight="1" s="99">
      <c r="A4" s="23" t="inlineStr">
        <is>
          <t>Livestock</t>
        </is>
      </c>
      <c r="B4" s="17" t="inlineStr">
        <is>
          <t>Inherited stock</t>
        </is>
      </c>
      <c r="C4" s="17" t="inlineStr">
        <is>
          <t>added</t>
        </is>
      </c>
      <c r="D4" s="3" t="inlineStr">
        <is>
          <t>strays</t>
        </is>
      </c>
      <c r="E4" s="3" t="inlineStr">
        <is>
          <t>herbage</t>
        </is>
      </c>
      <c r="F4" s="3" t="inlineStr">
        <is>
          <t>churchscot</t>
        </is>
      </c>
      <c r="G4" s="3" t="inlineStr">
        <is>
          <t>of which in default</t>
        </is>
      </c>
      <c r="H4" s="17" t="inlineStr">
        <is>
          <t>sold</t>
        </is>
      </c>
      <c r="I4" s="17" t="inlineStr">
        <is>
          <t>in murrain</t>
        </is>
      </c>
      <c r="J4" s="17" t="inlineStr">
        <is>
          <t>accounted for elsewhere</t>
        </is>
      </c>
      <c r="K4" s="17" t="inlineStr">
        <is>
          <t>End-period  stock</t>
        </is>
      </c>
      <c r="L4" s="17" t="inlineStr">
        <is>
          <t>cross-check</t>
        </is>
      </c>
      <c r="M4" s="17" t="inlineStr">
        <is>
          <t>stock building</t>
        </is>
      </c>
      <c r="N4" s="17" t="inlineStr">
        <is>
          <t>raw production</t>
        </is>
      </c>
      <c r="O4" s="17" t="inlineStr">
        <is>
          <t>Unit price (£)</t>
        </is>
      </c>
      <c r="P4" s="31" t="inlineStr">
        <is>
          <t>Value of stock  (£) at given value</t>
        </is>
      </c>
      <c r="Q4" s="23" t="inlineStr">
        <is>
          <t>Value of stock  (£) at sales prices</t>
        </is>
      </c>
      <c r="R4" s="23" t="inlineStr">
        <is>
          <t>Sales in (£)</t>
        </is>
      </c>
      <c r="S4" s="23" t="inlineStr">
        <is>
          <t>Value of stock building (£)</t>
        </is>
      </c>
      <c r="T4" s="74" t="inlineStr">
        <is>
          <t>Value of production (£) at sales prices</t>
        </is>
      </c>
      <c r="U4" s="17" t="inlineStr">
        <is>
          <t>Details</t>
        </is>
      </c>
    </row>
    <row r="5">
      <c r="A5" s="20" t="inlineStr">
        <is>
          <t>Cart-horses</t>
        </is>
      </c>
      <c r="B5" t="n">
        <v>0</v>
      </c>
      <c r="C5" t="n">
        <v>0</v>
      </c>
      <c r="H5" t="n">
        <v>0</v>
      </c>
      <c r="I5" t="n">
        <v>0</v>
      </c>
      <c r="K5">
        <f>B5+C5-H5-I5</f>
        <v/>
      </c>
      <c r="L5">
        <f>B5+C5-H5</f>
        <v/>
      </c>
      <c r="M5">
        <f>L5-B5</f>
        <v/>
      </c>
      <c r="N5">
        <f>C5</f>
        <v/>
      </c>
      <c r="O5" t="n">
        <v>0</v>
      </c>
      <c r="P5" s="29">
        <f>O5*K5</f>
        <v/>
      </c>
      <c r="R5" t="n">
        <v>0</v>
      </c>
      <c r="S5">
        <f>O5*M5</f>
        <v/>
      </c>
      <c r="T5">
        <f>O5*N5</f>
        <v/>
      </c>
    </row>
    <row r="6">
      <c r="A6" s="20" t="inlineStr">
        <is>
          <t>Mares</t>
        </is>
      </c>
      <c r="B6" t="n">
        <v>0</v>
      </c>
      <c r="C6" t="n">
        <v>0</v>
      </c>
      <c r="H6" t="n">
        <v>0</v>
      </c>
      <c r="I6" t="n">
        <v>0</v>
      </c>
      <c r="K6">
        <f>B6+C6-H6-I6</f>
        <v/>
      </c>
      <c r="L6">
        <f>B6+C6-H6</f>
        <v/>
      </c>
      <c r="M6">
        <f>L6-B6</f>
        <v/>
      </c>
      <c r="N6">
        <f>C6</f>
        <v/>
      </c>
      <c r="O6" t="n">
        <v>0</v>
      </c>
      <c r="P6" s="29">
        <f>O6*K6</f>
        <v/>
      </c>
      <c r="R6" t="n">
        <v>0</v>
      </c>
      <c r="S6">
        <f>O6*M6</f>
        <v/>
      </c>
      <c r="T6">
        <f>O6*N6</f>
        <v/>
      </c>
    </row>
    <row r="7">
      <c r="A7" t="inlineStr">
        <is>
          <t>Plough horses</t>
        </is>
      </c>
      <c r="B7" t="n">
        <v>0</v>
      </c>
      <c r="C7" t="n">
        <v>0</v>
      </c>
      <c r="H7" t="n">
        <v>0</v>
      </c>
      <c r="I7" t="n">
        <v>0</v>
      </c>
      <c r="K7">
        <f>B7+C7-H7-I7</f>
        <v/>
      </c>
      <c r="L7">
        <f>B7+C7-H7</f>
        <v/>
      </c>
      <c r="M7">
        <f>L7-B7</f>
        <v/>
      </c>
      <c r="N7">
        <f>C7</f>
        <v/>
      </c>
      <c r="O7" t="n">
        <v>0</v>
      </c>
      <c r="P7" s="29">
        <f>O7*K7</f>
        <v/>
      </c>
      <c r="R7" t="n">
        <v>0</v>
      </c>
      <c r="S7">
        <f>O7*M7</f>
        <v/>
      </c>
      <c r="T7">
        <f>O7*N7</f>
        <v/>
      </c>
    </row>
    <row r="8">
      <c r="A8" t="inlineStr">
        <is>
          <t>Colts (unspecified years)</t>
        </is>
      </c>
      <c r="B8" t="n">
        <v>0</v>
      </c>
      <c r="C8" t="n">
        <v>0</v>
      </c>
      <c r="H8" t="n">
        <v>0</v>
      </c>
      <c r="I8" t="n">
        <v>0</v>
      </c>
      <c r="K8">
        <f>B8+C8-H8-I8</f>
        <v/>
      </c>
      <c r="L8">
        <f>B8+C8-H8</f>
        <v/>
      </c>
      <c r="M8">
        <f>L8-B8</f>
        <v/>
      </c>
      <c r="N8">
        <f>C8</f>
        <v/>
      </c>
      <c r="O8" t="n">
        <v>0</v>
      </c>
      <c r="P8" s="29">
        <f>O8*K8</f>
        <v/>
      </c>
      <c r="R8" t="n">
        <v>0</v>
      </c>
      <c r="S8">
        <f>O8*M8</f>
        <v/>
      </c>
      <c r="T8">
        <f>O8*N8</f>
        <v/>
      </c>
    </row>
    <row r="9">
      <c r="A9" t="inlineStr">
        <is>
          <t>Colts (2 years)</t>
        </is>
      </c>
      <c r="B9" t="n">
        <v>0</v>
      </c>
      <c r="C9" t="n">
        <v>0</v>
      </c>
      <c r="H9" t="n">
        <v>0</v>
      </c>
      <c r="I9" t="n">
        <v>0</v>
      </c>
      <c r="K9">
        <f>B9+C9-H9-I9</f>
        <v/>
      </c>
      <c r="L9">
        <f>B9+C9-H9</f>
        <v/>
      </c>
      <c r="M9">
        <f>L9-B9</f>
        <v/>
      </c>
      <c r="N9">
        <f>C9</f>
        <v/>
      </c>
      <c r="O9" t="n">
        <v>0</v>
      </c>
      <c r="P9" s="29">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29">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29">
        <f>O11*K11</f>
        <v/>
      </c>
      <c r="R11" t="n">
        <v>0</v>
      </c>
      <c r="S11">
        <f>O11*M11</f>
        <v/>
      </c>
      <c r="T11">
        <f>O11*N11</f>
        <v/>
      </c>
    </row>
    <row r="12">
      <c r="A12" t="inlineStr">
        <is>
          <t>Oxen</t>
        </is>
      </c>
      <c r="B12" t="n">
        <v>0</v>
      </c>
      <c r="C12" t="n">
        <v>0</v>
      </c>
      <c r="H12" t="n">
        <v>0</v>
      </c>
      <c r="I12" t="n">
        <v>0</v>
      </c>
      <c r="K12">
        <f>B12+C12-H12-I12</f>
        <v/>
      </c>
      <c r="L12">
        <f>B12+C12-H12</f>
        <v/>
      </c>
      <c r="M12">
        <f>L12-B12</f>
        <v/>
      </c>
      <c r="N12">
        <f>C12</f>
        <v/>
      </c>
      <c r="O12" t="n">
        <v>0</v>
      </c>
      <c r="P12" s="29">
        <f>O12*K12</f>
        <v/>
      </c>
      <c r="R12" t="n">
        <v>0</v>
      </c>
      <c r="S12">
        <f>O12*M12</f>
        <v/>
      </c>
      <c r="T12">
        <f>O12*N12</f>
        <v/>
      </c>
    </row>
    <row r="13">
      <c r="A13" t="inlineStr">
        <is>
          <t>Bulls</t>
        </is>
      </c>
      <c r="B13" t="n">
        <v>0</v>
      </c>
      <c r="C13" t="n">
        <v>0</v>
      </c>
      <c r="H13" t="n">
        <v>0</v>
      </c>
      <c r="I13" t="n">
        <v>0</v>
      </c>
      <c r="K13">
        <f>B13+C13-H13-I13</f>
        <v/>
      </c>
      <c r="L13">
        <f>B13+C13-H13</f>
        <v/>
      </c>
      <c r="M13">
        <f>L13-B13</f>
        <v/>
      </c>
      <c r="N13">
        <f>C13</f>
        <v/>
      </c>
      <c r="O13" t="n">
        <v>0</v>
      </c>
      <c r="P13" s="29">
        <f>O13*K13</f>
        <v/>
      </c>
      <c r="R13" t="n">
        <v>0</v>
      </c>
      <c r="S13">
        <f>O13*M13</f>
        <v/>
      </c>
      <c r="T13">
        <f>O13*N13</f>
        <v/>
      </c>
    </row>
    <row r="14">
      <c r="A14" t="inlineStr">
        <is>
          <t>Cows</t>
        </is>
      </c>
      <c r="B14" t="n">
        <v>0</v>
      </c>
      <c r="C14" t="n">
        <v>0</v>
      </c>
      <c r="H14" t="n">
        <v>0</v>
      </c>
      <c r="I14" t="n">
        <v>0</v>
      </c>
      <c r="K14">
        <f>B14+C14-H14-I14</f>
        <v/>
      </c>
      <c r="L14">
        <f>B14+C14-H14</f>
        <v/>
      </c>
      <c r="M14">
        <f>L14-B14</f>
        <v/>
      </c>
      <c r="N14">
        <f>C14</f>
        <v/>
      </c>
      <c r="O14" t="n">
        <v>0</v>
      </c>
      <c r="P14" s="29">
        <f>O14*K14</f>
        <v/>
      </c>
      <c r="R14" t="n">
        <v>0</v>
      </c>
      <c r="S14">
        <f>O14*M14</f>
        <v/>
      </c>
      <c r="T14">
        <f>O14*N14</f>
        <v/>
      </c>
    </row>
    <row r="15">
      <c r="A15" t="inlineStr">
        <is>
          <t>Steers</t>
        </is>
      </c>
      <c r="B15" t="n">
        <v>0</v>
      </c>
      <c r="C15" t="n">
        <v>0</v>
      </c>
      <c r="H15" t="n">
        <v>0</v>
      </c>
      <c r="I15" t="n">
        <v>0</v>
      </c>
      <c r="K15">
        <f>B15+C15-H15-I15</f>
        <v/>
      </c>
      <c r="L15">
        <f>B15+C15-H15</f>
        <v/>
      </c>
      <c r="M15">
        <f>L15-B15</f>
        <v/>
      </c>
      <c r="N15">
        <f>C15</f>
        <v/>
      </c>
      <c r="O15" t="n">
        <v>0</v>
      </c>
      <c r="P15" s="29">
        <f>O15*K15</f>
        <v/>
      </c>
      <c r="R15" t="n">
        <v>0</v>
      </c>
      <c r="S15">
        <f>O15*M15</f>
        <v/>
      </c>
      <c r="T15">
        <f>O15*N15</f>
        <v/>
      </c>
    </row>
    <row r="16">
      <c r="A16" t="inlineStr">
        <is>
          <t>Bullocks</t>
        </is>
      </c>
      <c r="B16" t="n">
        <v>0</v>
      </c>
      <c r="C16" t="n">
        <v>0</v>
      </c>
      <c r="H16" t="n">
        <v>0</v>
      </c>
      <c r="I16" t="n">
        <v>0</v>
      </c>
      <c r="K16">
        <f>B16+C16-H16-I16</f>
        <v/>
      </c>
      <c r="L16">
        <f>B16+C16-H16</f>
        <v/>
      </c>
      <c r="M16">
        <f>L16-B16</f>
        <v/>
      </c>
      <c r="N16">
        <f>C16</f>
        <v/>
      </c>
      <c r="O16" t="n">
        <v>0</v>
      </c>
      <c r="P16" s="29">
        <f>O16*K16</f>
        <v/>
      </c>
      <c r="R16" t="n">
        <v>0</v>
      </c>
      <c r="S16">
        <f>O16*M16</f>
        <v/>
      </c>
      <c r="T16">
        <f>O16*N16</f>
        <v/>
      </c>
    </row>
    <row r="17">
      <c r="A17" t="inlineStr">
        <is>
          <t>Yearlings</t>
        </is>
      </c>
      <c r="B17" t="n">
        <v>0</v>
      </c>
      <c r="C17" t="n">
        <v>0</v>
      </c>
      <c r="H17" t="n">
        <v>0</v>
      </c>
      <c r="I17" t="n">
        <v>0</v>
      </c>
      <c r="K17">
        <f>B17+C17-H17-I17</f>
        <v/>
      </c>
      <c r="L17">
        <f>B17+C17-H17</f>
        <v/>
      </c>
      <c r="M17">
        <f>L17-B17</f>
        <v/>
      </c>
      <c r="N17">
        <f>C17</f>
        <v/>
      </c>
      <c r="O17" t="n">
        <v>0</v>
      </c>
      <c r="P17" s="29">
        <f>O17*K17</f>
        <v/>
      </c>
      <c r="R17" t="n">
        <v>0</v>
      </c>
      <c r="S17">
        <f>O17*M17</f>
        <v/>
      </c>
      <c r="T17">
        <f>O17*N17</f>
        <v/>
      </c>
    </row>
    <row r="18">
      <c r="A18" t="inlineStr">
        <is>
          <t>Calves</t>
        </is>
      </c>
      <c r="B18" t="n">
        <v>0</v>
      </c>
      <c r="C18" t="n">
        <v>0</v>
      </c>
      <c r="H18" t="n">
        <v>0</v>
      </c>
      <c r="I18" t="n">
        <v>0</v>
      </c>
      <c r="K18">
        <f>B18+C18-H18-I18</f>
        <v/>
      </c>
      <c r="L18">
        <f>B18+C18-H18</f>
        <v/>
      </c>
      <c r="M18">
        <f>L18-B18</f>
        <v/>
      </c>
      <c r="N18">
        <f>C18</f>
        <v/>
      </c>
      <c r="O18" t="n">
        <v>0</v>
      </c>
      <c r="P18" s="29">
        <f>O18*K18</f>
        <v/>
      </c>
      <c r="R18" t="n">
        <v>0</v>
      </c>
      <c r="S18">
        <f>O18*M18</f>
        <v/>
      </c>
      <c r="T18">
        <f>O18*N18</f>
        <v/>
      </c>
    </row>
    <row r="19">
      <c r="A19" t="inlineStr">
        <is>
          <t>Wethers</t>
        </is>
      </c>
      <c r="B19" t="n">
        <v>0</v>
      </c>
      <c r="C19" t="n">
        <v>0</v>
      </c>
      <c r="H19" t="n">
        <v>0</v>
      </c>
      <c r="I19" t="n">
        <v>0</v>
      </c>
      <c r="K19">
        <f>B19+C19-H19-I19</f>
        <v/>
      </c>
      <c r="L19">
        <f>B19+C19-H19</f>
        <v/>
      </c>
      <c r="M19">
        <f>L19-B19</f>
        <v/>
      </c>
      <c r="N19">
        <f>C19</f>
        <v/>
      </c>
      <c r="O19" t="n">
        <v>0</v>
      </c>
      <c r="P19" s="29">
        <f>O19*K19</f>
        <v/>
      </c>
      <c r="R19" t="n">
        <v>0</v>
      </c>
      <c r="S19">
        <f>O19*M19</f>
        <v/>
      </c>
      <c r="T19">
        <f>O19*N19</f>
        <v/>
      </c>
    </row>
    <row r="20">
      <c r="A20" t="inlineStr">
        <is>
          <t>Rams</t>
        </is>
      </c>
      <c r="B20" t="n">
        <v>0</v>
      </c>
      <c r="C20" t="n">
        <v>0</v>
      </c>
      <c r="H20" t="n">
        <v>0</v>
      </c>
      <c r="I20" t="n">
        <v>0</v>
      </c>
      <c r="K20">
        <f>B20+C20-H20-I20</f>
        <v/>
      </c>
      <c r="L20">
        <f>B20+C20-H20</f>
        <v/>
      </c>
      <c r="M20">
        <f>L20-B20</f>
        <v/>
      </c>
      <c r="N20">
        <f>C20</f>
        <v/>
      </c>
      <c r="O20" t="n">
        <v>0</v>
      </c>
      <c r="P20" s="29">
        <f>O20*K20</f>
        <v/>
      </c>
      <c r="R20" t="n">
        <v>0</v>
      </c>
      <c r="S20">
        <f>O20*M20</f>
        <v/>
      </c>
      <c r="T20">
        <f>O20*N20</f>
        <v/>
      </c>
    </row>
    <row r="21">
      <c r="A21" t="inlineStr">
        <is>
          <t>Ewes</t>
        </is>
      </c>
      <c r="B21" t="n">
        <v>0</v>
      </c>
      <c r="C21" t="n">
        <v>0</v>
      </c>
      <c r="H21" t="n">
        <v>0</v>
      </c>
      <c r="I21" t="n">
        <v>0</v>
      </c>
      <c r="K21">
        <f>B21+C21-H21-I21</f>
        <v/>
      </c>
      <c r="L21">
        <f>B21+C21-H21</f>
        <v/>
      </c>
      <c r="M21">
        <f>L21-B21</f>
        <v/>
      </c>
      <c r="N21">
        <f>C21</f>
        <v/>
      </c>
      <c r="O21" t="n">
        <v>0</v>
      </c>
      <c r="P21" s="29">
        <f>O21*K21</f>
        <v/>
      </c>
      <c r="Q21" t="n">
        <v>0</v>
      </c>
      <c r="R21" t="n">
        <v>0</v>
      </c>
      <c r="S21">
        <f>O21*M21</f>
        <v/>
      </c>
      <c r="T21">
        <f>O21*N21</f>
        <v/>
      </c>
    </row>
    <row r="22">
      <c r="A22" t="inlineStr">
        <is>
          <t>Hoggs</t>
        </is>
      </c>
      <c r="B22" t="n">
        <v>0</v>
      </c>
      <c r="C22" t="n">
        <v>0</v>
      </c>
      <c r="H22" t="n">
        <v>0</v>
      </c>
      <c r="I22" t="n">
        <v>0</v>
      </c>
      <c r="K22">
        <f>B22+C22-H22-I22</f>
        <v/>
      </c>
      <c r="L22">
        <f>B22+C22-H22</f>
        <v/>
      </c>
      <c r="M22">
        <f>L22-B22</f>
        <v/>
      </c>
      <c r="N22">
        <f>C22</f>
        <v/>
      </c>
      <c r="O22" t="n">
        <v>0</v>
      </c>
      <c r="P22" s="29">
        <f>O22*K22</f>
        <v/>
      </c>
      <c r="R22" t="n">
        <v>0</v>
      </c>
      <c r="S22">
        <f>O22*M22</f>
        <v/>
      </c>
      <c r="T22">
        <f>O22*N22</f>
        <v/>
      </c>
    </row>
    <row r="23">
      <c r="A23" t="inlineStr">
        <is>
          <t>Lambs</t>
        </is>
      </c>
      <c r="B23" t="n">
        <v>0</v>
      </c>
      <c r="C23" t="n">
        <v>0</v>
      </c>
      <c r="H23" t="n">
        <v>0</v>
      </c>
      <c r="I23" t="n">
        <v>0</v>
      </c>
      <c r="K23">
        <f>B23+C23-H23-I23</f>
        <v/>
      </c>
      <c r="L23">
        <f>B23+C23-H23</f>
        <v/>
      </c>
      <c r="M23">
        <f>L23-B23</f>
        <v/>
      </c>
      <c r="N23">
        <f>C23</f>
        <v/>
      </c>
      <c r="O23" t="n">
        <v>0</v>
      </c>
      <c r="P23" s="29">
        <f>O23*K23</f>
        <v/>
      </c>
      <c r="R23" t="n">
        <v>0</v>
      </c>
      <c r="S23">
        <f>O23*M23</f>
        <v/>
      </c>
      <c r="T23">
        <f>O23*N23</f>
        <v/>
      </c>
    </row>
    <row r="24">
      <c r="A24" t="inlineStr">
        <is>
          <t>Boars</t>
        </is>
      </c>
      <c r="B24" t="n">
        <v>0</v>
      </c>
      <c r="C24" t="n">
        <v>0</v>
      </c>
      <c r="H24" t="n">
        <v>0</v>
      </c>
      <c r="I24" t="n">
        <v>0</v>
      </c>
      <c r="K24">
        <f>B24+C24-H24-I24</f>
        <v/>
      </c>
      <c r="L24">
        <f>B24+C24-H24</f>
        <v/>
      </c>
      <c r="M24">
        <f>L24-B24</f>
        <v/>
      </c>
      <c r="N24">
        <f>C24</f>
        <v/>
      </c>
      <c r="O24" t="n">
        <v>0</v>
      </c>
      <c r="P24" s="29">
        <f>O24*K24</f>
        <v/>
      </c>
      <c r="R24" t="n">
        <v>0</v>
      </c>
      <c r="S24">
        <f>O24*M24</f>
        <v/>
      </c>
      <c r="T24">
        <f>O24*N24</f>
        <v/>
      </c>
    </row>
    <row r="25">
      <c r="A25" t="inlineStr">
        <is>
          <t>Sows</t>
        </is>
      </c>
      <c r="B25" t="n">
        <v>0</v>
      </c>
      <c r="C25" t="n">
        <v>0</v>
      </c>
      <c r="H25" t="n">
        <v>0</v>
      </c>
      <c r="I25" t="n">
        <v>0</v>
      </c>
      <c r="K25">
        <f>B25+C25-H25-I25</f>
        <v/>
      </c>
      <c r="L25">
        <f>B25+C25-H25</f>
        <v/>
      </c>
      <c r="M25">
        <f>L25-B25</f>
        <v/>
      </c>
      <c r="N25">
        <f>C25</f>
        <v/>
      </c>
      <c r="O25" t="n">
        <v>0</v>
      </c>
      <c r="P25" s="29">
        <f>O25*K25</f>
        <v/>
      </c>
      <c r="R25" t="n">
        <v>0</v>
      </c>
      <c r="S25">
        <f>O25*M25</f>
        <v/>
      </c>
      <c r="T25">
        <f>O25*N25</f>
        <v/>
      </c>
    </row>
    <row r="26">
      <c r="A26" t="inlineStr">
        <is>
          <t>Pigs</t>
        </is>
      </c>
      <c r="B26" t="n">
        <v>0</v>
      </c>
      <c r="C26" t="n">
        <v>0</v>
      </c>
      <c r="H26" t="n">
        <v>0</v>
      </c>
      <c r="I26" t="n">
        <v>0</v>
      </c>
      <c r="K26">
        <f>B26+C26-H26-I26</f>
        <v/>
      </c>
      <c r="L26">
        <f>B26+C26-H26</f>
        <v/>
      </c>
      <c r="M26">
        <f>L26-B26</f>
        <v/>
      </c>
      <c r="N26">
        <f>C26</f>
        <v/>
      </c>
      <c r="O26" t="n">
        <v>0</v>
      </c>
      <c r="P26" s="29">
        <f>O26*K26</f>
        <v/>
      </c>
      <c r="R26" t="n">
        <v>0</v>
      </c>
      <c r="S26">
        <f>O26*M26</f>
        <v/>
      </c>
      <c r="T26">
        <f>O26*N26</f>
        <v/>
      </c>
    </row>
    <row r="27">
      <c r="A27" t="inlineStr">
        <is>
          <t>Hoggets</t>
        </is>
      </c>
      <c r="B27" t="n">
        <v>0</v>
      </c>
      <c r="C27" t="n">
        <v>0</v>
      </c>
      <c r="H27" t="n">
        <v>0</v>
      </c>
      <c r="I27" t="n">
        <v>0</v>
      </c>
      <c r="K27">
        <f>B27+C27-H27-I27</f>
        <v/>
      </c>
      <c r="L27">
        <f>B27+C27-H27</f>
        <v/>
      </c>
      <c r="M27">
        <f>L27-B27</f>
        <v/>
      </c>
      <c r="N27">
        <f>C27</f>
        <v/>
      </c>
      <c r="O27" t="n">
        <v>0</v>
      </c>
      <c r="P27" s="29">
        <f>O27*K27</f>
        <v/>
      </c>
      <c r="R27" t="n">
        <v>0</v>
      </c>
      <c r="S27">
        <f>O27*M27</f>
        <v/>
      </c>
      <c r="T27">
        <f>O27*N27</f>
        <v/>
      </c>
    </row>
    <row r="28">
      <c r="A28" t="inlineStr">
        <is>
          <t>Piglets</t>
        </is>
      </c>
      <c r="B28" t="n">
        <v>0</v>
      </c>
      <c r="C28" t="n">
        <v>0</v>
      </c>
      <c r="H28" t="n">
        <v>0</v>
      </c>
      <c r="I28" t="n">
        <v>0</v>
      </c>
      <c r="K28">
        <f>B28+C28-H28-I28</f>
        <v/>
      </c>
      <c r="L28">
        <f>B28+C28-H28</f>
        <v/>
      </c>
      <c r="M28">
        <f>L28-B28</f>
        <v/>
      </c>
      <c r="N28">
        <f>C28</f>
        <v/>
      </c>
      <c r="O28" t="n">
        <v>0</v>
      </c>
      <c r="P28" s="29">
        <f>O28*K28</f>
        <v/>
      </c>
      <c r="R28" t="n">
        <v>0</v>
      </c>
      <c r="S28">
        <f>O28*M28</f>
        <v/>
      </c>
      <c r="T28">
        <f>O28*N28</f>
        <v/>
      </c>
    </row>
    <row r="29">
      <c r="A29" t="inlineStr">
        <is>
          <t>Swans</t>
        </is>
      </c>
      <c r="B29" t="n">
        <v>0</v>
      </c>
      <c r="C29" t="n">
        <v>0</v>
      </c>
      <c r="H29" t="n">
        <v>0</v>
      </c>
      <c r="I29" t="n">
        <v>0</v>
      </c>
      <c r="K29">
        <f>B29+C29-H29-I29</f>
        <v/>
      </c>
      <c r="L29">
        <f>B29+C29-H29</f>
        <v/>
      </c>
      <c r="M29">
        <f>L29-B29</f>
        <v/>
      </c>
      <c r="N29">
        <f>C29</f>
        <v/>
      </c>
      <c r="O29" t="n">
        <v>0</v>
      </c>
      <c r="P29" s="29">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29">
        <f>O30*K30</f>
        <v/>
      </c>
      <c r="R30" t="n">
        <v>0</v>
      </c>
      <c r="S30">
        <f>O30*M30</f>
        <v/>
      </c>
      <c r="T30">
        <f>O30*N30</f>
        <v/>
      </c>
    </row>
    <row r="31" ht="15.5" customHeight="1" s="99">
      <c r="A31" s="24" t="inlineStr">
        <is>
          <t>Total Value</t>
        </is>
      </c>
    </row>
    <row r="34" ht="15.5" customHeight="1" s="99">
      <c r="A34" s="23"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s="99">
      <c r="A39" s="24"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s="99">
      <c r="A42" s="23"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25" t="inlineStr">
        <is>
          <t>pigs</t>
        </is>
      </c>
      <c r="B47" t="n">
        <v>0</v>
      </c>
      <c r="C47" t="n">
        <v>0</v>
      </c>
      <c r="H47" t="n">
        <v>0</v>
      </c>
      <c r="I47" t="n">
        <v>0</v>
      </c>
    </row>
    <row r="48">
      <c r="A48" t="inlineStr">
        <is>
          <t xml:space="preserve">Woolskins </t>
        </is>
      </c>
    </row>
    <row r="49">
      <c r="A49" s="16" t="inlineStr">
        <is>
          <t>wethers</t>
        </is>
      </c>
    </row>
    <row r="50">
      <c r="A50" s="16" t="inlineStr">
        <is>
          <t>rams</t>
        </is>
      </c>
    </row>
    <row r="51">
      <c r="A51" s="16" t="inlineStr">
        <is>
          <t>ewes</t>
        </is>
      </c>
    </row>
    <row r="52">
      <c r="A52" s="16" t="inlineStr">
        <is>
          <t>hoggs</t>
        </is>
      </c>
    </row>
    <row r="53">
      <c r="A53" s="26" t="inlineStr">
        <is>
          <t>Woolskins total</t>
        </is>
      </c>
      <c r="B53" t="n">
        <v>0</v>
      </c>
      <c r="C53" t="n">
        <v>0</v>
      </c>
      <c r="H53" t="n">
        <v>0</v>
      </c>
      <c r="I53" t="n">
        <v>0</v>
      </c>
    </row>
    <row r="54">
      <c r="A54" s="19" t="inlineStr">
        <is>
          <t>Bareskins</t>
        </is>
      </c>
    </row>
    <row r="55">
      <c r="A55" s="16" t="inlineStr">
        <is>
          <t>wethers</t>
        </is>
      </c>
    </row>
    <row r="56">
      <c r="A56" s="16" t="inlineStr">
        <is>
          <t>rams</t>
        </is>
      </c>
    </row>
    <row r="57">
      <c r="A57" s="16" t="inlineStr">
        <is>
          <t>ewes</t>
        </is>
      </c>
    </row>
    <row r="58">
      <c r="A58" s="16" t="inlineStr">
        <is>
          <t>hoggs</t>
        </is>
      </c>
    </row>
    <row r="59">
      <c r="A59" s="26"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27" t="inlineStr">
        <is>
          <t xml:space="preserve">Total </t>
        </is>
      </c>
    </row>
    <row r="66" ht="15.5" customHeight="1" s="99">
      <c r="A66" s="23" t="inlineStr">
        <is>
          <t>Poultry stock</t>
        </is>
      </c>
    </row>
    <row r="67">
      <c r="A67" s="20"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27" t="inlineStr">
        <is>
          <t>Total poultry stock</t>
        </is>
      </c>
    </row>
    <row r="72">
      <c r="A72" s="28" t="inlineStr">
        <is>
          <t>Total poultry excluding churchscot</t>
        </is>
      </c>
    </row>
    <row r="74" ht="15.5" customHeight="1" s="99">
      <c r="A74" s="3"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27" t="inlineStr">
        <is>
          <t>Total</t>
        </is>
      </c>
    </row>
    <row r="81" ht="15.5" customHeight="1" s="99">
      <c r="A81" s="3"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s="99">
      <c r="A85" s="22" t="inlineStr">
        <is>
          <t xml:space="preserve">Total </t>
        </is>
      </c>
    </row>
    <row r="87" ht="15.5" customHeight="1" s="99">
      <c r="A87" s="3"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s="99">
      <c r="A90" s="22" t="inlineStr">
        <is>
          <t>Total</t>
        </is>
      </c>
    </row>
    <row r="92" ht="15.5" customHeight="1" s="99">
      <c r="A92" s="3" t="inlineStr">
        <is>
          <t>Butter</t>
        </is>
      </c>
    </row>
    <row r="93">
      <c r="A93" t="inlineStr">
        <is>
          <t>Butter</t>
        </is>
      </c>
      <c r="B93" t="n">
        <v>0</v>
      </c>
      <c r="C93" t="n">
        <v>0</v>
      </c>
      <c r="H93" t="n">
        <v>0</v>
      </c>
      <c r="I93" t="n">
        <v>0</v>
      </c>
      <c r="S93">
        <f>O93*M93</f>
        <v/>
      </c>
      <c r="T93">
        <f>O93*N93</f>
        <v/>
      </c>
    </row>
    <row r="94" ht="15.5" customHeight="1" s="99">
      <c r="A94" s="22" t="inlineStr">
        <is>
          <t>Total</t>
        </is>
      </c>
    </row>
    <row r="95" ht="15.5" customHeight="1" s="99">
      <c r="A95" s="4" t="n"/>
    </row>
    <row r="96" ht="15.5" customHeight="1" s="99">
      <c r="A96" s="22" t="inlineStr">
        <is>
          <t>Total Dairy Sales</t>
        </is>
      </c>
    </row>
    <row r="99" ht="15.5" customHeight="1" s="99">
      <c r="A99" s="3" t="inlineStr">
        <is>
          <t>Cider</t>
        </is>
      </c>
      <c r="B99" t="n">
        <v>0</v>
      </c>
      <c r="C99" t="n">
        <v>0</v>
      </c>
      <c r="H99" t="n">
        <v>0</v>
      </c>
      <c r="I99" t="n">
        <v>0</v>
      </c>
    </row>
    <row r="102" ht="15.5" customHeight="1" s="99">
      <c r="A102" s="4" t="inlineStr">
        <is>
          <t>Additional Information (not necessarily useful)</t>
        </is>
      </c>
    </row>
    <row r="103" ht="15.5" customHeight="1" s="99">
      <c r="A103" s="3"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D29"/>
  <sheetViews>
    <sheetView workbookViewId="0">
      <selection activeCell="A1" sqref="A1"/>
    </sheetView>
  </sheetViews>
  <sheetFormatPr baseColWidth="8" defaultRowHeight="14.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Alverstoke</t>
        </is>
      </c>
      <c r="B2" t="inlineStr">
        <is>
          <t>The account of John Weston’, bailiff there, from Michaelmas of the fifth year of the translation of Henry Beaufort’, lord bishop of Winchester, until Michaelmas of the sixth year, for one whole year, and the elevent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6 shilling 8pence of arrears from his last account of the preceding year.</t>
        </is>
      </c>
      <c r="C3" t="n">
        <v>0.33</v>
      </c>
      <c r="D3" t="n">
        <v>0</v>
      </c>
      <c r="E3" t="n">
        <v>6</v>
      </c>
      <c r="F3" t="n">
        <v>8</v>
      </c>
      <c r="H3" t="n">
        <v>0</v>
      </c>
      <c r="I3" t="n">
        <v>0</v>
      </c>
      <c r="J3" t="n">
        <v>0</v>
      </c>
      <c r="K3" t="n">
        <v>0</v>
      </c>
      <c r="L3" t="n">
        <v>0</v>
      </c>
      <c r="M3" t="n">
        <v>0</v>
      </c>
      <c r="N3" t="n">
        <v>0</v>
      </c>
    </row>
    <row r="4">
      <c r="A4" t="inlineStr">
        <is>
          <t>Arrears</t>
        </is>
      </c>
      <c r="B4" t="inlineStr">
        <is>
          <t>Total, 6 shilling 8pence.</t>
        </is>
      </c>
      <c r="C4" t="n">
        <v>0.33</v>
      </c>
      <c r="D4" t="n">
        <v>0</v>
      </c>
      <c r="E4" t="n">
        <v>6</v>
      </c>
      <c r="F4" t="n">
        <v>8</v>
      </c>
      <c r="H4" t="n">
        <v>0</v>
      </c>
      <c r="I4" t="n">
        <v>0</v>
      </c>
      <c r="J4" t="n">
        <v>0</v>
      </c>
      <c r="K4" t="n">
        <v>0</v>
      </c>
      <c r="L4" t="n">
        <v>0</v>
      </c>
      <c r="M4" t="n">
        <v>0</v>
      </c>
      <c r="N4" t="n">
        <v>0</v>
      </c>
    </row>
    <row r="5">
      <c r="A5" t="inlineStr">
        <is>
          <t>Rents of assize</t>
        </is>
      </c>
      <c r="B5" t="inlineStr">
        <is>
          <t>And for £13 for all rents of assize at All Saints (1 November).</t>
        </is>
      </c>
      <c r="C5" t="n">
        <v>13</v>
      </c>
      <c r="D5" t="n">
        <v>13</v>
      </c>
      <c r="E5" t="n">
        <v>0</v>
      </c>
      <c r="F5" t="n">
        <v>0</v>
      </c>
      <c r="H5" t="n">
        <v>0</v>
      </c>
      <c r="I5" t="n">
        <v>0</v>
      </c>
      <c r="J5" t="n">
        <v>0</v>
      </c>
      <c r="K5" t="n">
        <v>0</v>
      </c>
      <c r="L5" t="n">
        <v>0</v>
      </c>
      <c r="M5" t="n">
        <v>0</v>
      </c>
      <c r="N5" t="n">
        <v>0</v>
      </c>
    </row>
    <row r="6">
      <c r="A6" t="inlineStr">
        <is>
          <t>Rents of assize</t>
        </is>
      </c>
      <c r="B6" t="inlineStr">
        <is>
          <t>£13 at the Purification (2 February).</t>
        </is>
      </c>
      <c r="C6" t="n">
        <v>13</v>
      </c>
      <c r="D6" t="n">
        <v>13</v>
      </c>
      <c r="E6" t="n">
        <v>0</v>
      </c>
      <c r="F6" t="n">
        <v>0</v>
      </c>
      <c r="H6" t="n">
        <v>0</v>
      </c>
      <c r="I6" t="n">
        <v>0</v>
      </c>
      <c r="J6" t="n">
        <v>0</v>
      </c>
      <c r="K6" t="n">
        <v>0</v>
      </c>
      <c r="L6" t="n">
        <v>0</v>
      </c>
      <c r="M6" t="n">
        <v>0</v>
      </c>
      <c r="N6" t="n">
        <v>0</v>
      </c>
    </row>
    <row r="7">
      <c r="A7" t="inlineStr">
        <is>
          <t>Rents of assize</t>
        </is>
      </c>
      <c r="B7" t="inlineStr">
        <is>
          <t>£13 at the Invention of the Cross in May (3 May).</t>
        </is>
      </c>
      <c r="C7" t="n">
        <v>13</v>
      </c>
      <c r="D7" t="n">
        <v>13</v>
      </c>
      <c r="E7" t="n">
        <v>0</v>
      </c>
      <c r="F7" t="n">
        <v>0</v>
      </c>
      <c r="H7" t="n">
        <v>0</v>
      </c>
      <c r="I7" t="n">
        <v>0</v>
      </c>
      <c r="J7" t="n">
        <v>0</v>
      </c>
      <c r="K7" t="n">
        <v>0</v>
      </c>
      <c r="L7" t="n">
        <v>0</v>
      </c>
      <c r="M7" t="n">
        <v>0</v>
      </c>
      <c r="N7" t="n">
        <v>0</v>
      </c>
    </row>
    <row r="8">
      <c r="A8" t="inlineStr">
        <is>
          <t>Rents of assize</t>
        </is>
      </c>
      <c r="B8" t="inlineStr">
        <is>
          <t>£14 6pence at Michaelmas (29 September).</t>
        </is>
      </c>
      <c r="C8" t="n">
        <v>14.03</v>
      </c>
      <c r="D8" t="n">
        <v>14</v>
      </c>
      <c r="E8" t="n">
        <v>0</v>
      </c>
      <c r="F8" t="n">
        <v>6</v>
      </c>
      <c r="H8" t="n">
        <v>0</v>
      </c>
      <c r="I8" t="n">
        <v>0</v>
      </c>
      <c r="J8" t="n">
        <v>0</v>
      </c>
      <c r="K8" t="n">
        <v>0</v>
      </c>
      <c r="L8" t="n">
        <v>0</v>
      </c>
      <c r="M8" t="n">
        <v>0</v>
      </c>
      <c r="N8" t="n">
        <v>0</v>
      </c>
    </row>
    <row r="9">
      <c r="A9" t="inlineStr">
        <is>
          <t>Rents of assize</t>
        </is>
      </c>
      <c r="B9" t="inlineStr">
        <is>
          <t>10 shilling from John Chark' for 1 messuage and 1 virgate of villein land in Chark' at the said Michaelmas.</t>
        </is>
      </c>
      <c r="C9" t="n">
        <v>0.5</v>
      </c>
      <c r="D9" t="n">
        <v>0</v>
      </c>
      <c r="E9" t="n">
        <v>10</v>
      </c>
      <c r="F9" t="n">
        <v>0</v>
      </c>
      <c r="H9" t="n">
        <v>0</v>
      </c>
      <c r="I9" t="n">
        <v>0</v>
      </c>
      <c r="J9" t="n">
        <v>0</v>
      </c>
      <c r="K9" t="n">
        <v>0</v>
      </c>
      <c r="L9" t="n">
        <v>0</v>
      </c>
      <c r="M9" t="n">
        <v>0</v>
      </c>
      <c r="N9" t="n">
        <v>0</v>
      </c>
    </row>
    <row r="10">
      <c r="A10" t="inlineStr">
        <is>
          <t>Rents of assize</t>
        </is>
      </c>
      <c r="B10" t="inlineStr">
        <is>
          <t>8pence from John Crede and Alice Upton' for 2 streams (fluetr) and 1 marsh at the same.</t>
        </is>
      </c>
      <c r="C10" t="n">
        <v>0.03</v>
      </c>
      <c r="D10" t="n">
        <v>0</v>
      </c>
      <c r="E10" t="n">
        <v>0</v>
      </c>
      <c r="F10" t="n">
        <v>8</v>
      </c>
      <c r="H10" t="n">
        <v>0</v>
      </c>
      <c r="I10" t="n">
        <v>0</v>
      </c>
      <c r="J10" t="n">
        <v>0</v>
      </c>
      <c r="K10" t="n">
        <v>0</v>
      </c>
      <c r="L10" t="n">
        <v>0</v>
      </c>
      <c r="M10" t="n">
        <v>0</v>
      </c>
      <c r="N10" t="n">
        <v>0</v>
      </c>
    </row>
    <row r="11">
      <c r="A11" t="inlineStr">
        <is>
          <t>Rents of assize</t>
        </is>
      </c>
      <c r="B11" t="inlineStr">
        <is>
          <t>Total, £53 11 shilling 2.5pence.</t>
        </is>
      </c>
      <c r="C11" t="n">
        <v>53.56</v>
      </c>
      <c r="D11" t="n">
        <v>53</v>
      </c>
      <c r="E11" t="n">
        <v>11</v>
      </c>
      <c r="F11" t="n">
        <v>2.5</v>
      </c>
      <c r="H11" t="n">
        <v>0</v>
      </c>
      <c r="I11" t="n">
        <v>0</v>
      </c>
      <c r="J11" t="n">
        <v>0</v>
      </c>
      <c r="K11" t="n">
        <v>0</v>
      </c>
      <c r="L11" t="n">
        <v>0</v>
      </c>
      <c r="M11" t="n">
        <v>0</v>
      </c>
      <c r="N11" t="n">
        <v>0</v>
      </c>
    </row>
    <row r="12">
      <c r="A12" t="inlineStr">
        <is>
          <t>Mills</t>
        </is>
      </c>
      <c r="B12" t="inlineStr">
        <is>
          <t>Nothing for the farm of the mill because it is completely destroyed.</t>
        </is>
      </c>
      <c r="C12" t="n">
        <v>0</v>
      </c>
      <c r="D12" t="n">
        <v>0</v>
      </c>
      <c r="E12" t="n">
        <v>0</v>
      </c>
      <c r="F12" t="n">
        <v>0</v>
      </c>
      <c r="H12" t="n">
        <v>0</v>
      </c>
      <c r="I12" t="n">
        <v>0</v>
      </c>
      <c r="J12" t="n">
        <v>0</v>
      </c>
      <c r="K12" t="n">
        <v>0</v>
      </c>
      <c r="L12" t="n">
        <v>0</v>
      </c>
      <c r="M12" t="n">
        <v>0</v>
      </c>
      <c r="N12" t="n">
        <v>0</v>
      </c>
    </row>
    <row r="13">
      <c r="A13" t="inlineStr">
        <is>
          <t>Mills</t>
        </is>
      </c>
      <c r="B13" t="inlineStr">
        <is>
          <t>Nothing for annual recognizance this year.</t>
        </is>
      </c>
      <c r="C13" t="n">
        <v>0</v>
      </c>
      <c r="D13" t="n">
        <v>0</v>
      </c>
      <c r="E13" t="n">
        <v>0</v>
      </c>
      <c r="F13" t="n">
        <v>0</v>
      </c>
      <c r="H13" t="n">
        <v>0</v>
      </c>
      <c r="I13" t="n">
        <v>0</v>
      </c>
      <c r="J13" t="n">
        <v>0</v>
      </c>
      <c r="K13" t="n">
        <v>0</v>
      </c>
      <c r="L13" t="n">
        <v>0</v>
      </c>
      <c r="M13" t="n">
        <v>0</v>
      </c>
      <c r="N13" t="n">
        <v>0</v>
      </c>
    </row>
    <row r="14">
      <c r="A14" t="inlineStr">
        <is>
          <t>Issues of the land</t>
        </is>
      </c>
      <c r="B14" t="inlineStr">
        <is>
          <t>And for 3 shilling 4pence from the issue of 2 cottages with 2 curtilages and 1.5 acres in Elston' Brokhurst and Forton which belonged to John Carpent', fugitive felon, demised on top of the ancient rent this year.</t>
        </is>
      </c>
      <c r="C14" t="n">
        <v>0.17</v>
      </c>
      <c r="D14" t="n">
        <v>0</v>
      </c>
      <c r="E14" t="n">
        <v>3</v>
      </c>
      <c r="F14" t="n">
        <v>4</v>
      </c>
      <c r="H14" t="n">
        <v>0</v>
      </c>
      <c r="I14" t="n">
        <v>0</v>
      </c>
      <c r="J14" t="n">
        <v>0</v>
      </c>
      <c r="K14" t="n">
        <v>0</v>
      </c>
      <c r="L14" t="n">
        <v>0</v>
      </c>
      <c r="M14" t="n">
        <v>0</v>
      </c>
      <c r="N14" t="n">
        <v>0</v>
      </c>
    </row>
    <row r="15">
      <c r="A15" t="inlineStr">
        <is>
          <t>Issues of the land</t>
        </is>
      </c>
      <c r="B15" t="inlineStr">
        <is>
          <t>1 shilling 6pence from the issue of 1 piece of land called Kyngeslonde which belonged to the said John, who had estate for the term of his life, demised on top of the fixed rent this year.</t>
        </is>
      </c>
      <c r="C15" t="n">
        <v>0.08</v>
      </c>
      <c r="D15" t="n">
        <v>0</v>
      </c>
      <c r="E15" t="n">
        <v>1</v>
      </c>
      <c r="F15" t="n">
        <v>6</v>
      </c>
      <c r="H15" t="n">
        <v>0</v>
      </c>
      <c r="I15" t="n">
        <v>0</v>
      </c>
      <c r="J15" t="n">
        <v>0</v>
      </c>
      <c r="K15" t="n">
        <v>0</v>
      </c>
      <c r="L15" t="n">
        <v>0</v>
      </c>
      <c r="M15" t="n">
        <v>0</v>
      </c>
      <c r="N15" t="n">
        <v>0</v>
      </c>
    </row>
    <row r="16">
      <c r="A16" t="inlineStr">
        <is>
          <t>Issues of the land</t>
        </is>
      </c>
      <c r="B16" t="inlineStr">
        <is>
          <t>Total, 4 shilling 10pence.</t>
        </is>
      </c>
      <c r="C16" t="n">
        <v>0.24</v>
      </c>
      <c r="D16" t="n">
        <v>0</v>
      </c>
      <c r="E16" t="n">
        <v>4</v>
      </c>
      <c r="F16" t="n">
        <v>10</v>
      </c>
      <c r="H16" t="n">
        <v>0</v>
      </c>
      <c r="I16" t="n">
        <v>0</v>
      </c>
      <c r="J16" t="n">
        <v>0</v>
      </c>
      <c r="K16" t="n">
        <v>0</v>
      </c>
      <c r="L16" t="n">
        <v>0</v>
      </c>
      <c r="M16" t="n">
        <v>0</v>
      </c>
      <c r="N16" t="n">
        <v>0</v>
      </c>
    </row>
    <row r="17">
      <c r="A17" t="inlineStr">
        <is>
          <t>Annual farms</t>
        </is>
      </c>
      <c r="B17" t="inlineStr">
        <is>
          <t>And for 3 shilling 4pence for the annual farm of Thomas le Mulward', so that he will not be prosecuted (occasionetur)1 because he grinds the malt of the tenants in Alverstoke in his horse-mill, whilst it pleases the lord.</t>
        </is>
      </c>
      <c r="C17" t="n">
        <v>0.17</v>
      </c>
      <c r="D17" t="n">
        <v>0</v>
      </c>
      <c r="E17" t="n">
        <v>3</v>
      </c>
      <c r="F17" t="n">
        <v>4</v>
      </c>
      <c r="G17" t="inlineStr">
        <is>
          <t>malt</t>
        </is>
      </c>
      <c r="H17" t="n">
        <v>0</v>
      </c>
      <c r="I17" t="n">
        <v>0</v>
      </c>
      <c r="J17" t="n">
        <v>0</v>
      </c>
      <c r="K17" t="n">
        <v>0</v>
      </c>
      <c r="L17" t="n">
        <v>0</v>
      </c>
      <c r="M17" t="n">
        <v>0</v>
      </c>
      <c r="N17" t="n">
        <v>0</v>
      </c>
    </row>
    <row r="18">
      <c r="A18" t="inlineStr">
        <is>
          <t>Annual farms</t>
        </is>
      </c>
      <c r="B18" t="inlineStr">
        <is>
          <t>nothing of the 8 shilling from John Norton' for 1 messuage and 22 acres of land in Bury which belonged to Richard Caugemyle because Richard Russell' made relief for the same as the heir and kinsman of the said Richard.</t>
        </is>
      </c>
      <c r="C18" t="n">
        <v>0.4</v>
      </c>
      <c r="D18" t="n">
        <v>0</v>
      </c>
      <c r="E18" t="n">
        <v>8</v>
      </c>
      <c r="F18" t="n">
        <v>0</v>
      </c>
      <c r="H18" t="n">
        <v>0</v>
      </c>
      <c r="I18" t="n">
        <v>0</v>
      </c>
      <c r="J18" t="n">
        <v>0</v>
      </c>
      <c r="K18" t="n">
        <v>0</v>
      </c>
      <c r="L18" t="n">
        <v>0</v>
      </c>
      <c r="M18" t="n">
        <v>0</v>
      </c>
      <c r="N18" t="n">
        <v>0</v>
      </c>
    </row>
    <row r="19">
      <c r="A19" t="inlineStr">
        <is>
          <t>Annual farms</t>
        </is>
      </c>
      <c r="B19" t="inlineStr">
        <is>
          <t>Total, 3 shilling 4pence.</t>
        </is>
      </c>
      <c r="C19" t="n">
        <v>0.17</v>
      </c>
      <c r="D19" t="n">
        <v>0</v>
      </c>
      <c r="E19" t="n">
        <v>3</v>
      </c>
      <c r="F19" t="n">
        <v>4</v>
      </c>
      <c r="H19" t="n">
        <v>0</v>
      </c>
      <c r="I19" t="n">
        <v>0</v>
      </c>
      <c r="J19" t="n">
        <v>0</v>
      </c>
      <c r="K19" t="n">
        <v>0</v>
      </c>
      <c r="L19" t="n">
        <v>0</v>
      </c>
      <c r="M19" t="n">
        <v>0</v>
      </c>
      <c r="N19" t="n">
        <v>0</v>
      </c>
    </row>
    <row r="20">
      <c r="A20" t="inlineStr">
        <is>
          <t>Reliefs</t>
        </is>
      </c>
      <c r="B20" t="inlineStr">
        <is>
          <t>And for 3 shilling 2pence for the relief of Agnes, wife of John Swele, to have 1 toft and certain land and a tenement in Elston' which descended to her by hereditary right after the death of Thomas Carpent' her brother.</t>
        </is>
      </c>
      <c r="C20" t="n">
        <v>0.16</v>
      </c>
      <c r="D20" t="n">
        <v>0</v>
      </c>
      <c r="E20" t="n">
        <v>3</v>
      </c>
      <c r="F20" t="n">
        <v>2</v>
      </c>
      <c r="H20" t="n">
        <v>0</v>
      </c>
      <c r="I20" t="n">
        <v>0</v>
      </c>
      <c r="J20" t="n">
        <v>0</v>
      </c>
      <c r="K20" t="n">
        <v>0</v>
      </c>
      <c r="L20" t="n">
        <v>0</v>
      </c>
      <c r="M20" t="n">
        <v>0</v>
      </c>
      <c r="N20" t="n">
        <v>0</v>
      </c>
    </row>
    <row r="21">
      <c r="A21" t="inlineStr">
        <is>
          <t>Reliefs</t>
        </is>
      </c>
      <c r="B21" t="inlineStr">
        <is>
          <t>Total, 3 shilling 2pence.</t>
        </is>
      </c>
      <c r="C21" t="n">
        <v>0.16</v>
      </c>
      <c r="D21" t="n">
        <v>0</v>
      </c>
      <c r="E21" t="n">
        <v>3</v>
      </c>
      <c r="F21" t="n">
        <v>2</v>
      </c>
      <c r="H21" t="n">
        <v>0</v>
      </c>
      <c r="I21" t="n">
        <v>0</v>
      </c>
      <c r="J21" t="n">
        <v>0</v>
      </c>
      <c r="K21" t="n">
        <v>0</v>
      </c>
      <c r="L21" t="n">
        <v>0</v>
      </c>
      <c r="M21" t="n">
        <v>0</v>
      </c>
      <c r="N21" t="n">
        <v>0</v>
      </c>
    </row>
    <row r="22">
      <c r="A22" t="inlineStr">
        <is>
          <t>Perquisites</t>
        </is>
      </c>
      <c r="B22" t="inlineStr">
        <is>
          <t>And for 6 shilling 1pence from the perquisites of the tourn of Martinmas (11 November).</t>
        </is>
      </c>
      <c r="C22" t="n">
        <v>0.3</v>
      </c>
      <c r="D22" t="n">
        <v>0</v>
      </c>
      <c r="E22" t="n">
        <v>6</v>
      </c>
      <c r="F22" t="n">
        <v>1</v>
      </c>
      <c r="H22" t="n">
        <v>0</v>
      </c>
      <c r="I22" t="n">
        <v>0</v>
      </c>
      <c r="J22" t="n">
        <v>0</v>
      </c>
      <c r="K22" t="n">
        <v>0</v>
      </c>
      <c r="L22" t="n">
        <v>0</v>
      </c>
      <c r="M22" t="n">
        <v>0</v>
      </c>
      <c r="N22" t="n">
        <v>0</v>
      </c>
    </row>
    <row r="23">
      <c r="A23" t="inlineStr">
        <is>
          <t>Perquisites</t>
        </is>
      </c>
      <c r="B23" t="inlineStr">
        <is>
          <t>4 shilling 7pence from the perquisites of the tourn of Hockday (1 April).</t>
        </is>
      </c>
      <c r="C23" t="n">
        <v>0.23</v>
      </c>
      <c r="D23" t="n">
        <v>0</v>
      </c>
      <c r="E23" t="n">
        <v>4</v>
      </c>
      <c r="F23" t="n">
        <v>7</v>
      </c>
      <c r="H23" t="n">
        <v>0</v>
      </c>
      <c r="I23" t="n">
        <v>0</v>
      </c>
      <c r="J23" t="n">
        <v>0</v>
      </c>
      <c r="K23" t="n">
        <v>0</v>
      </c>
      <c r="L23" t="n">
        <v>0</v>
      </c>
      <c r="M23" t="n">
        <v>0</v>
      </c>
      <c r="N23" t="n">
        <v>0</v>
      </c>
    </row>
    <row r="24">
      <c r="A24" t="inlineStr">
        <is>
          <t>Perquisites</t>
        </is>
      </c>
      <c r="B24" t="inlineStr">
        <is>
          <t>7 shilling 3pence from the perquisites of the courts held by the bailiff.</t>
        </is>
      </c>
      <c r="C24" t="n">
        <v>0.36</v>
      </c>
      <c r="D24" t="n">
        <v>0</v>
      </c>
      <c r="E24" t="n">
        <v>7</v>
      </c>
      <c r="F24" t="n">
        <v>3</v>
      </c>
      <c r="H24" t="n">
        <v>0</v>
      </c>
      <c r="I24" t="n">
        <v>0</v>
      </c>
      <c r="J24" t="n">
        <v>0</v>
      </c>
      <c r="K24" t="n">
        <v>0</v>
      </c>
      <c r="L24" t="n">
        <v>0</v>
      </c>
      <c r="M24" t="n">
        <v>0</v>
      </c>
      <c r="N24" t="n">
        <v>0</v>
      </c>
    </row>
    <row r="25">
      <c r="A25" t="inlineStr">
        <is>
          <t>Perquisites</t>
        </is>
      </c>
      <c r="B25" t="inlineStr">
        <is>
          <t>Total, 17 shilling 11pence.</t>
        </is>
      </c>
      <c r="C25" t="n">
        <v>0.9</v>
      </c>
      <c r="D25" t="n">
        <v>0</v>
      </c>
      <c r="E25" t="n">
        <v>17</v>
      </c>
      <c r="F25" t="n">
        <v>11</v>
      </c>
      <c r="H25" t="n">
        <v>0</v>
      </c>
      <c r="I25" t="n">
        <v>0</v>
      </c>
      <c r="J25" t="n">
        <v>0</v>
      </c>
      <c r="K25" t="n">
        <v>0</v>
      </c>
      <c r="L25" t="n">
        <v>0</v>
      </c>
      <c r="M25" t="n">
        <v>0</v>
      </c>
      <c r="N25" t="n">
        <v>0</v>
      </c>
    </row>
    <row r="26">
      <c r="A26" t="inlineStr">
        <is>
          <t>Total of all receipts with arrears</t>
        </is>
      </c>
      <c r="B26" t="inlineStr">
        <is>
          <t>Total of all receipts with arrears, £55 7 shilling 1.5pence.</t>
        </is>
      </c>
      <c r="C26" t="n">
        <v>55.36</v>
      </c>
      <c r="D26" t="n">
        <v>55</v>
      </c>
      <c r="E26" t="n">
        <v>7</v>
      </c>
      <c r="F26" t="n">
        <v>1.5</v>
      </c>
      <c r="H26" t="n">
        <v>0</v>
      </c>
      <c r="I26" t="n">
        <v>0</v>
      </c>
      <c r="J26" t="n">
        <v>0</v>
      </c>
      <c r="K26" t="n">
        <v>0</v>
      </c>
      <c r="L26" t="n">
        <v>0</v>
      </c>
      <c r="M26" t="n">
        <v>0</v>
      </c>
      <c r="N26" t="n">
        <v>0</v>
      </c>
    </row>
    <row r="27">
      <c r="A27" t="inlineStr">
        <is>
          <t>Cash deliveries</t>
        </is>
      </c>
      <c r="B27" t="inlineStr">
        <is>
          <t>Delivered to John Arnold', receiver of Wolvesey, by 1 tally, £55 5.5pence.</t>
        </is>
      </c>
      <c r="C27" t="n">
        <v>55.02</v>
      </c>
      <c r="D27" t="n">
        <v>55</v>
      </c>
      <c r="E27" t="n">
        <v>0</v>
      </c>
      <c r="F27" t="n">
        <v>5.5</v>
      </c>
      <c r="H27" t="n">
        <v>0</v>
      </c>
      <c r="I27" t="n">
        <v>0</v>
      </c>
      <c r="J27" t="n">
        <v>0</v>
      </c>
      <c r="K27" t="n">
        <v>0</v>
      </c>
      <c r="L27" t="n">
        <v>0</v>
      </c>
      <c r="M27" t="n">
        <v>0</v>
      </c>
      <c r="N27" t="n">
        <v>0</v>
      </c>
    </row>
    <row r="28">
      <c r="A28" t="inlineStr">
        <is>
          <t>Cash deliveries</t>
        </is>
      </c>
      <c r="B28" t="inlineStr">
        <is>
          <t>Total, £55 5.5pence.</t>
        </is>
      </c>
      <c r="C28" t="n">
        <v>55.02</v>
      </c>
      <c r="D28" t="n">
        <v>55</v>
      </c>
      <c r="E28" t="n">
        <v>0</v>
      </c>
      <c r="F28" t="n">
        <v>5.5</v>
      </c>
      <c r="H28" t="n">
        <v>0</v>
      </c>
      <c r="I28" t="n">
        <v>0</v>
      </c>
      <c r="J28" t="n">
        <v>0</v>
      </c>
      <c r="K28" t="n">
        <v>0</v>
      </c>
      <c r="L28" t="n">
        <v>0</v>
      </c>
      <c r="M28" t="n">
        <v>0</v>
      </c>
      <c r="N28" t="n">
        <v>0</v>
      </c>
    </row>
    <row r="29">
      <c r="A29" t="inlineStr">
        <is>
          <t>And he owes clear</t>
        </is>
      </c>
      <c r="B29" t="inlineStr">
        <is>
          <t>And he owes clear, 6 shilling 8pence, all of which is in the hands of the escheator, for which he is charged in the following account.</t>
        </is>
      </c>
      <c r="C29" t="n">
        <v>0.33</v>
      </c>
      <c r="D29" t="n">
        <v>0</v>
      </c>
      <c r="E29" t="n">
        <v>6</v>
      </c>
      <c r="F29" t="n">
        <v>8</v>
      </c>
      <c r="H29" t="n">
        <v>0</v>
      </c>
      <c r="I29" t="n">
        <v>0</v>
      </c>
      <c r="J29" t="n">
        <v>0</v>
      </c>
      <c r="K29" t="n">
        <v>0</v>
      </c>
      <c r="L29" t="n">
        <v>0</v>
      </c>
      <c r="M29" t="n">
        <v>0</v>
      </c>
      <c r="N29"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2026-02-04T20:29:28Z</dcterms:modified>
  <cp:lastModifiedBy>Kowalski, Kuba</cp:lastModifiedBy>
</cp:coreProperties>
</file>
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xr:revisionPtr revIDLastSave="1" documentId="11_C85A55988B81EFBA440E4B1E96C1F8075BB05AED" xr6:coauthVersionLast="47" xr6:coauthVersionMax="47" xr10:uidLastSave="{73F827B8-3350-461D-BFFE-6F79212B6AF4}"/>
  <bookViews>
    <workbookView xWindow="-34035" yWindow="7680" windowWidth="32985" windowHeight="18180" xr2:uid="{00000000-000D-0000-FFFF-FFFF00000000}"/>
  </bookViews>
  <sheets>
    <sheet name="Overview" sheetId="1" r:id="rId1"/>
    <sheet name="Receipts" sheetId="2" r:id="rId2"/>
    <sheet name="Expenses" sheetId="3" r:id="rId3"/>
    <sheet name="Stock" sheetId="4" r:id="rId4"/>
    <sheet name="raw data" sheetId="5" r:id="rId5"/>
    <sheet name="Stock_raw" sheetId="6" r:id="rId6"/>
    <sheet name="Issues of the Mills" sheetId="7" r:id="rId7"/>
    <sheet name="Prices" sheetId="8" r:id="rId8"/>
    <sheet name="Labour Rents" sheetId="9" r:id="rId9"/>
    <sheet name="not needed" sheetId="10" r:id="rId10"/>
    <sheet name="Issues of the Grange raw" sheetId="11" r:id="rId11"/>
    <sheet name="Issues of the Grange" sheetId="12" r:id="rId12"/>
    <sheet name="Sale of Corn Prices"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3" i="4" l="1"/>
  <c r="S93" i="4"/>
  <c r="T89" i="4"/>
  <c r="S89" i="4"/>
  <c r="T88" i="4"/>
  <c r="S88" i="4"/>
  <c r="T84" i="4"/>
  <c r="S84" i="4"/>
  <c r="T83" i="4"/>
  <c r="S83" i="4"/>
  <c r="T82" i="4"/>
  <c r="S82" i="4"/>
  <c r="T76" i="4"/>
  <c r="S76" i="4"/>
  <c r="T75" i="4"/>
  <c r="T77" i="4" s="1"/>
  <c r="S75" i="4"/>
  <c r="S77" i="4" s="1"/>
  <c r="Q70" i="4"/>
  <c r="N70" i="4"/>
  <c r="T70" i="4" s="1"/>
  <c r="L70" i="4"/>
  <c r="M70" i="4" s="1"/>
  <c r="S70" i="4" s="1"/>
  <c r="Q69" i="4"/>
  <c r="N69" i="4"/>
  <c r="T69" i="4" s="1"/>
  <c r="L69" i="4"/>
  <c r="M69" i="4" s="1"/>
  <c r="S69" i="4" s="1"/>
  <c r="Q68" i="4"/>
  <c r="N68" i="4"/>
  <c r="T68" i="4" s="1"/>
  <c r="L68" i="4"/>
  <c r="M68" i="4" s="1"/>
  <c r="S68" i="4" s="1"/>
  <c r="Q67" i="4"/>
  <c r="N67" i="4"/>
  <c r="T67" i="4" s="1"/>
  <c r="L67" i="4"/>
  <c r="M67" i="4" s="1"/>
  <c r="S67" i="4" s="1"/>
  <c r="N30" i="4"/>
  <c r="T30" i="4" s="1"/>
  <c r="L30" i="4"/>
  <c r="M30" i="4" s="1"/>
  <c r="S30" i="4" s="1"/>
  <c r="K30" i="4"/>
  <c r="P30" i="4" s="1"/>
  <c r="N29" i="4"/>
  <c r="T29" i="4" s="1"/>
  <c r="L29" i="4"/>
  <c r="M29" i="4" s="1"/>
  <c r="S29" i="4" s="1"/>
  <c r="K29" i="4"/>
  <c r="P29" i="4" s="1"/>
  <c r="N28" i="4"/>
  <c r="T28" i="4" s="1"/>
  <c r="L28" i="4"/>
  <c r="M28" i="4" s="1"/>
  <c r="S28" i="4" s="1"/>
  <c r="K28" i="4"/>
  <c r="P28" i="4" s="1"/>
  <c r="N27" i="4"/>
  <c r="T27" i="4" s="1"/>
  <c r="L27" i="4"/>
  <c r="M27" i="4" s="1"/>
  <c r="S27" i="4" s="1"/>
  <c r="K27" i="4"/>
  <c r="P27" i="4" s="1"/>
  <c r="N26" i="4"/>
  <c r="T26" i="4" s="1"/>
  <c r="L26" i="4"/>
  <c r="M26" i="4" s="1"/>
  <c r="S26" i="4" s="1"/>
  <c r="K26" i="4"/>
  <c r="P26" i="4" s="1"/>
  <c r="N25" i="4"/>
  <c r="T25" i="4" s="1"/>
  <c r="L25" i="4"/>
  <c r="M25" i="4" s="1"/>
  <c r="S25" i="4" s="1"/>
  <c r="K25" i="4"/>
  <c r="P25" i="4" s="1"/>
  <c r="N24" i="4"/>
  <c r="T24" i="4" s="1"/>
  <c r="L24" i="4"/>
  <c r="M24" i="4" s="1"/>
  <c r="S24" i="4" s="1"/>
  <c r="K24" i="4"/>
  <c r="P24" i="4" s="1"/>
  <c r="N23" i="4"/>
  <c r="T23" i="4" s="1"/>
  <c r="L23" i="4"/>
  <c r="M23" i="4" s="1"/>
  <c r="S23" i="4" s="1"/>
  <c r="K23" i="4"/>
  <c r="P23" i="4" s="1"/>
  <c r="N22" i="4"/>
  <c r="T22" i="4" s="1"/>
  <c r="L22" i="4"/>
  <c r="M22" i="4" s="1"/>
  <c r="S22" i="4" s="1"/>
  <c r="K22" i="4"/>
  <c r="P22" i="4" s="1"/>
  <c r="N21" i="4"/>
  <c r="T21" i="4" s="1"/>
  <c r="L21" i="4"/>
  <c r="M21" i="4" s="1"/>
  <c r="S21" i="4" s="1"/>
  <c r="K21" i="4"/>
  <c r="P21" i="4" s="1"/>
  <c r="N20" i="4"/>
  <c r="T20" i="4" s="1"/>
  <c r="L20" i="4"/>
  <c r="M20" i="4" s="1"/>
  <c r="S20" i="4" s="1"/>
  <c r="K20" i="4"/>
  <c r="P20" i="4" s="1"/>
  <c r="N19" i="4"/>
  <c r="T19" i="4" s="1"/>
  <c r="L19" i="4"/>
  <c r="M19" i="4" s="1"/>
  <c r="S19" i="4" s="1"/>
  <c r="K19" i="4"/>
  <c r="P19" i="4" s="1"/>
  <c r="N18" i="4"/>
  <c r="T18" i="4" s="1"/>
  <c r="L18" i="4"/>
  <c r="M18" i="4" s="1"/>
  <c r="S18" i="4" s="1"/>
  <c r="K18" i="4"/>
  <c r="P18" i="4" s="1"/>
  <c r="N17" i="4"/>
  <c r="T17" i="4" s="1"/>
  <c r="L17" i="4"/>
  <c r="M17" i="4" s="1"/>
  <c r="S17" i="4" s="1"/>
  <c r="K17" i="4"/>
  <c r="P17" i="4" s="1"/>
  <c r="N16" i="4"/>
  <c r="T16" i="4" s="1"/>
  <c r="L16" i="4"/>
  <c r="M16" i="4" s="1"/>
  <c r="S16" i="4" s="1"/>
  <c r="K16" i="4"/>
  <c r="P16" i="4" s="1"/>
  <c r="N15" i="4"/>
  <c r="T15" i="4" s="1"/>
  <c r="L15" i="4"/>
  <c r="M15" i="4" s="1"/>
  <c r="S15" i="4" s="1"/>
  <c r="K15" i="4"/>
  <c r="P15" i="4" s="1"/>
  <c r="N14" i="4"/>
  <c r="T14" i="4" s="1"/>
  <c r="L14" i="4"/>
  <c r="M14" i="4" s="1"/>
  <c r="S14" i="4" s="1"/>
  <c r="K14" i="4"/>
  <c r="P14" i="4" s="1"/>
  <c r="N13" i="4"/>
  <c r="T13" i="4" s="1"/>
  <c r="L13" i="4"/>
  <c r="M13" i="4" s="1"/>
  <c r="S13" i="4" s="1"/>
  <c r="K13" i="4"/>
  <c r="P13" i="4" s="1"/>
  <c r="N12" i="4"/>
  <c r="T12" i="4" s="1"/>
  <c r="L12" i="4"/>
  <c r="M12" i="4" s="1"/>
  <c r="S12" i="4" s="1"/>
  <c r="K12" i="4"/>
  <c r="P12" i="4" s="1"/>
  <c r="N11" i="4"/>
  <c r="T11" i="4" s="1"/>
  <c r="L11" i="4"/>
  <c r="M11" i="4" s="1"/>
  <c r="S11" i="4" s="1"/>
  <c r="K11" i="4"/>
  <c r="P11" i="4" s="1"/>
  <c r="N10" i="4"/>
  <c r="T10" i="4" s="1"/>
  <c r="L10" i="4"/>
  <c r="M10" i="4" s="1"/>
  <c r="S10" i="4" s="1"/>
  <c r="K10" i="4"/>
  <c r="P10" i="4" s="1"/>
  <c r="N9" i="4"/>
  <c r="T9" i="4" s="1"/>
  <c r="L9" i="4"/>
  <c r="M9" i="4" s="1"/>
  <c r="S9" i="4" s="1"/>
  <c r="K9" i="4"/>
  <c r="P9" i="4" s="1"/>
  <c r="N8" i="4"/>
  <c r="T8" i="4" s="1"/>
  <c r="L8" i="4"/>
  <c r="M8" i="4" s="1"/>
  <c r="S8" i="4" s="1"/>
  <c r="K8" i="4"/>
  <c r="P8" i="4" s="1"/>
  <c r="N7" i="4"/>
  <c r="T7" i="4" s="1"/>
  <c r="L7" i="4"/>
  <c r="M7" i="4" s="1"/>
  <c r="S7" i="4" s="1"/>
  <c r="K7" i="4"/>
  <c r="P7" i="4" s="1"/>
  <c r="N6" i="4"/>
  <c r="T6" i="4" s="1"/>
  <c r="L6" i="4"/>
  <c r="M6" i="4" s="1"/>
  <c r="S6" i="4" s="1"/>
  <c r="K6" i="4"/>
  <c r="P6" i="4" s="1"/>
  <c r="N5" i="4"/>
  <c r="T5" i="4" s="1"/>
  <c r="L5" i="4"/>
  <c r="M5" i="4" s="1"/>
  <c r="S5" i="4" s="1"/>
  <c r="K5" i="4"/>
  <c r="P5" i="4" s="1"/>
  <c r="F50" i="3"/>
  <c r="F49" i="3"/>
  <c r="F48" i="3"/>
  <c r="J26" i="3"/>
  <c r="F51" i="3" s="1"/>
  <c r="F107" i="2"/>
  <c r="F108" i="2" s="1"/>
  <c r="G108" i="2" s="1"/>
  <c r="B177" i="1"/>
  <c r="F169" i="1"/>
  <c r="F162" i="1"/>
  <c r="F156" i="1"/>
  <c r="F154" i="1"/>
  <c r="C154" i="1"/>
  <c r="D154" i="1" s="1"/>
  <c r="F153" i="1"/>
  <c r="C153" i="1"/>
  <c r="D153" i="1" s="1"/>
  <c r="F152" i="1"/>
  <c r="C152" i="1"/>
  <c r="B152" i="1"/>
  <c r="D152" i="1" s="1"/>
  <c r="F151" i="1"/>
  <c r="F155" i="1" s="1"/>
  <c r="C151" i="1"/>
  <c r="B151" i="1"/>
  <c r="D151" i="1" s="1"/>
  <c r="F123" i="1"/>
  <c r="F115" i="1"/>
  <c r="F114" i="1"/>
  <c r="F112" i="1"/>
  <c r="C112" i="1"/>
  <c r="D112" i="1" s="1"/>
  <c r="G112" i="1" s="1"/>
  <c r="F111" i="1"/>
  <c r="C111" i="1"/>
  <c r="D111" i="1" s="1"/>
  <c r="G111" i="1" s="1"/>
  <c r="F110" i="1"/>
  <c r="C110" i="1"/>
  <c r="D110" i="1" s="1"/>
  <c r="G110" i="1" s="1"/>
  <c r="F109" i="1"/>
  <c r="C109" i="1"/>
  <c r="D109" i="1" s="1"/>
  <c r="G109" i="1" s="1"/>
  <c r="F108" i="1"/>
  <c r="C108" i="1"/>
  <c r="D108" i="1" s="1"/>
  <c r="G108" i="1" s="1"/>
  <c r="F107" i="1"/>
  <c r="C107" i="1"/>
  <c r="D107" i="1" s="1"/>
  <c r="G107" i="1" s="1"/>
  <c r="F106" i="1"/>
  <c r="C106" i="1"/>
  <c r="D106" i="1" s="1"/>
  <c r="G106" i="1" s="1"/>
  <c r="F105" i="1"/>
  <c r="C105" i="1"/>
  <c r="D105" i="1" s="1"/>
  <c r="G105" i="1" s="1"/>
  <c r="F104" i="1"/>
  <c r="C104" i="1"/>
  <c r="D104" i="1" s="1"/>
  <c r="G104" i="1" s="1"/>
  <c r="F103" i="1"/>
  <c r="C103" i="1"/>
  <c r="D103" i="1" s="1"/>
  <c r="G103" i="1" s="1"/>
  <c r="F102" i="1"/>
  <c r="C102" i="1"/>
  <c r="D102" i="1" s="1"/>
  <c r="G102" i="1" s="1"/>
  <c r="F101" i="1"/>
  <c r="C101" i="1"/>
  <c r="D101" i="1" s="1"/>
  <c r="G101" i="1" s="1"/>
  <c r="F100" i="1"/>
  <c r="C100" i="1"/>
  <c r="D100" i="1" s="1"/>
  <c r="G100" i="1" s="1"/>
  <c r="F99" i="1"/>
  <c r="C99" i="1"/>
  <c r="D99" i="1" s="1"/>
  <c r="G99" i="1" s="1"/>
  <c r="F98" i="1"/>
  <c r="C98" i="1"/>
  <c r="D98" i="1" s="1"/>
  <c r="G98" i="1" s="1"/>
  <c r="F97" i="1"/>
  <c r="C97" i="1"/>
  <c r="D97" i="1" s="1"/>
  <c r="G97" i="1" s="1"/>
  <c r="F96" i="1"/>
  <c r="C96" i="1"/>
  <c r="D96" i="1" s="1"/>
  <c r="G96" i="1" s="1"/>
  <c r="F95" i="1"/>
  <c r="C95" i="1"/>
  <c r="D95" i="1" s="1"/>
  <c r="G95" i="1" s="1"/>
  <c r="F94" i="1"/>
  <c r="C94" i="1"/>
  <c r="D94" i="1" s="1"/>
  <c r="G94" i="1" s="1"/>
  <c r="F93" i="1"/>
  <c r="C93" i="1"/>
  <c r="D93" i="1" s="1"/>
  <c r="G93" i="1" s="1"/>
  <c r="F92" i="1"/>
  <c r="C92" i="1"/>
  <c r="D92" i="1" s="1"/>
  <c r="G92" i="1" s="1"/>
  <c r="F91" i="1"/>
  <c r="C91" i="1"/>
  <c r="D91" i="1" s="1"/>
  <c r="G91" i="1" s="1"/>
  <c r="F90" i="1"/>
  <c r="C90" i="1"/>
  <c r="D90" i="1" s="1"/>
  <c r="G90" i="1" s="1"/>
  <c r="F89" i="1"/>
  <c r="C89" i="1"/>
  <c r="D89" i="1" s="1"/>
  <c r="G89" i="1" s="1"/>
  <c r="F88" i="1"/>
  <c r="C88" i="1"/>
  <c r="D88" i="1" s="1"/>
  <c r="G88" i="1" s="1"/>
  <c r="F87" i="1"/>
  <c r="F113" i="1" s="1"/>
  <c r="C87" i="1"/>
  <c r="D87" i="1" s="1"/>
  <c r="G87" i="1" s="1"/>
  <c r="G113" i="1" s="1"/>
  <c r="E72" i="1"/>
  <c r="E71" i="1"/>
  <c r="B54" i="1"/>
  <c r="B57" i="1" s="1"/>
  <c r="B47" i="1"/>
  <c r="B46" i="1"/>
  <c r="B45" i="1"/>
  <c r="B44" i="1"/>
  <c r="B26" i="1"/>
  <c r="B25" i="1"/>
  <c r="B24" i="1"/>
  <c r="B23" i="1"/>
  <c r="B49" i="1" l="1"/>
  <c r="C25" i="1"/>
  <c r="B176" i="1"/>
  <c r="B175" i="1"/>
  <c r="B178" i="1" l="1"/>
  <c r="B181" i="1" s="1"/>
  <c r="B18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F86" authorId="0" shapeId="0" xr:uid="{00000000-0006-0000-0000-000001000000}">
      <text>
        <r>
          <rPr>
            <sz val="11"/>
            <color theme="1"/>
            <rFont val="Calibri"/>
            <family val="2"/>
            <scheme val="minor"/>
          </rPr>
          <t>Victoria Gierok:
valued at sales prices where available</t>
        </r>
      </text>
    </comment>
    <comment ref="F117" authorId="0" shapeId="0" xr:uid="{00000000-0006-0000-0000-000002000000}">
      <text>
        <r>
          <rPr>
            <sz val="11"/>
            <color theme="1"/>
            <rFont val="Calibri"/>
            <family val="2"/>
            <scheme val="minor"/>
          </rPr>
          <t>Victoria Gierok:
valued at sales prices where available</t>
        </r>
      </text>
    </comment>
    <comment ref="F126" authorId="0" shapeId="0" xr:uid="{00000000-0006-0000-0000-000003000000}">
      <text>
        <r>
          <rPr>
            <sz val="11"/>
            <color theme="1"/>
            <rFont val="Calibri"/>
            <family val="2"/>
            <scheme val="minor"/>
          </rPr>
          <t>Victoria Gierok:
valued at sales prices where available</t>
        </r>
      </text>
    </comment>
    <comment ref="F150" authorId="0" shapeId="0" xr:uid="{00000000-0006-0000-0000-000004000000}">
      <text>
        <r>
          <rPr>
            <sz val="11"/>
            <color theme="1"/>
            <rFont val="Calibri"/>
            <family val="2"/>
            <scheme val="minor"/>
          </rPr>
          <t>Victoria Gierok:
valued at sales prices where available</t>
        </r>
      </text>
    </comment>
    <comment ref="F158" authorId="0" shapeId="0" xr:uid="{00000000-0006-0000-0000-000005000000}">
      <text>
        <r>
          <rPr>
            <sz val="11"/>
            <color theme="1"/>
            <rFont val="Calibri"/>
            <family val="2"/>
            <scheme val="minor"/>
          </rPr>
          <t>Victoria Gierok:
valued at sales prices where available</t>
        </r>
      </text>
    </comment>
    <comment ref="F165" authorId="0" shapeId="0" xr:uid="{00000000-0006-0000-0000-000006000000}">
      <text>
        <r>
          <rPr>
            <sz val="11"/>
            <color theme="1"/>
            <rFont val="Calibri"/>
            <family val="2"/>
            <scheme val="minor"/>
          </rPr>
          <t>Victoria Gierok:
valued at sales prices where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00000000-0006-0000-0300-000001000000}">
      <text>
        <r>
          <rPr>
            <sz val="11"/>
            <color theme="1"/>
            <rFont val="Calibri"/>
            <family val="2"/>
            <scheme val="minor"/>
          </rPr>
          <t>Victoria Gierok:
strays that the seem to have added to their own stock?</t>
        </r>
      </text>
    </comment>
    <comment ref="E4" authorId="0" shapeId="0" xr:uid="{00000000-0006-0000-0300-000002000000}">
      <text>
        <r>
          <rPr>
            <sz val="11"/>
            <color theme="1"/>
            <rFont val="Calibri"/>
            <family val="2"/>
            <scheme val="minor"/>
          </rPr>
          <t>Victoria Gierok:
herbage = a type of customary payment to the lord; hence an addition to the stock</t>
        </r>
      </text>
    </comment>
  </commentList>
</comments>
</file>

<file path=xl/sharedStrings.xml><?xml version="1.0" encoding="utf-8"?>
<sst xmlns="http://schemas.openxmlformats.org/spreadsheetml/2006/main" count="1564" uniqueCount="807">
  <si>
    <t>ADDERBURY OVERVIEW - COMPLETED</t>
  </si>
  <si>
    <t>Total in £</t>
  </si>
  <si>
    <t>Error</t>
  </si>
  <si>
    <t>Note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</si>
  <si>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</si>
  <si>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</si>
  <si>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</si>
  <si>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</si>
  <si>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</si>
  <si>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</si>
  <si>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</si>
  <si>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</si>
  <si>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</si>
  <si>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</si>
  <si>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</si>
  <si>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</si>
  <si>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</si>
  <si>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</si>
  <si>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</si>
  <si>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</si>
  <si>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</si>
  <si>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</si>
  <si>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</si>
  <si>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</si>
  <si>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</si>
  <si>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</si>
  <si>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</si>
  <si>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</si>
  <si>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</si>
  <si>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</si>
  <si>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</si>
  <si>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</si>
  <si>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</si>
  <si>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</si>
  <si>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</si>
  <si>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</si>
  <si>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</si>
  <si>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</si>
  <si>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</si>
  <si>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</si>
  <si>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</si>
  <si>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</si>
  <si>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</si>
  <si>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</si>
  <si>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</si>
  <si>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</si>
  <si>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</si>
  <si>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</si>
  <si>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</si>
  <si>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</si>
  <si>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</si>
  <si>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</si>
  <si>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</si>
  <si>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</si>
  <si>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</si>
  <si>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</si>
  <si>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</si>
  <si>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</si>
  <si>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Value of total gross production in £</t>
  </si>
  <si>
    <t>Value of total net production in £</t>
  </si>
  <si>
    <t>Grange</t>
  </si>
  <si>
    <t>qrs</t>
  </si>
  <si>
    <t>bus</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</si>
  <si>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</si>
  <si>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</si>
  <si>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</si>
  <si>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</si>
  <si>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</si>
  <si>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</si>
  <si>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</si>
  <si>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</si>
  <si>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</si>
  <si>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</si>
  <si>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</si>
  <si>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</si>
  <si>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</si>
  <si>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</si>
  <si>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</si>
  <si>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</si>
  <si>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</si>
  <si>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</si>
  <si>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</si>
  <si>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</si>
  <si>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</si>
  <si>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Begin stock</t>
  </si>
  <si>
    <t>End stock</t>
  </si>
  <si>
    <t>Stockbuilding</t>
  </si>
  <si>
    <t>Value of stock in £</t>
  </si>
  <si>
    <t>Value of stockbuilding</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</si>
  <si>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</si>
  <si>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</si>
  <si>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</si>
  <si>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</si>
  <si>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</si>
  <si>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</si>
  <si>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</si>
  <si>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</si>
  <si>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</si>
  <si>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</si>
  <si>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</si>
  <si>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</si>
  <si>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</si>
  <si>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</si>
  <si>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</si>
  <si>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</si>
  <si>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</si>
  <si>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</si>
  <si>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</si>
  <si>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</si>
  <si>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</si>
  <si>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</si>
  <si>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</si>
  <si>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</si>
  <si>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</si>
  <si>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</si>
  <si>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</si>
  <si>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</si>
  <si>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</si>
  <si>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</si>
  <si>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</si>
  <si>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</si>
  <si>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</si>
  <si>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</si>
  <si>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</si>
  <si>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</si>
  <si>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</si>
  <si>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</si>
  <si>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</si>
  <si>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</si>
  <si>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</si>
  <si>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</si>
  <si>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</si>
  <si>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</si>
  <si>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</si>
  <si>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</si>
  <si>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</si>
  <si>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</si>
  <si>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</si>
  <si>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</si>
  <si>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</si>
  <si>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</si>
  <si>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</si>
  <si>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</si>
  <si>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</si>
  <si>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</si>
  <si>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</si>
  <si>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</si>
  <si>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</si>
  <si>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</si>
  <si>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</si>
  <si>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</si>
  <si>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</si>
  <si>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</si>
  <si>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</si>
  <si>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</si>
  <si>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</si>
  <si>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</si>
  <si>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</si>
  <si>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</si>
  <si>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</si>
  <si>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</si>
  <si>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</si>
  <si>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</si>
  <si>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t>% of capital expenses as calculated previously</t>
  </si>
  <si>
    <t>n/a</t>
  </si>
  <si>
    <t>ADDERBURY RECEIPTS</t>
  </si>
  <si>
    <t>Heading</t>
  </si>
  <si>
    <t>£</t>
  </si>
  <si>
    <t>s</t>
  </si>
  <si>
    <t>d</t>
  </si>
  <si>
    <t>Notes</t>
  </si>
  <si>
    <t>Own notes</t>
  </si>
  <si>
    <t>Rents of assize</t>
  </si>
  <si>
    <t>And for £6 9 shilling 6.25pence for all rents of assize at St Thomas the Apostle (21 December).</t>
  </si>
  <si>
    <t>£6 9 shilling 8.5pence at Easter (23 March).</t>
  </si>
  <si>
    <t>£6 9 shilling 6.25pence at the Nativity of St John the Baptist (24 June).</t>
  </si>
  <si>
    <t>£6 10 shilling 1.5pence at Michaelmas (29 September).</t>
  </si>
  <si>
    <t>Total, £25 18 shilling 10.5pence.</t>
  </si>
  <si>
    <t>Total</t>
  </si>
  <si>
    <t>Defaults of rent</t>
  </si>
  <si>
    <t>Default of the meadow which John Bryddesthorn' held for his life drawn into demesne, 10 shilling for the year.</t>
  </si>
  <si>
    <t>1 toft and 1 curtilage of villein land called Cokpedehall', in the lord's hands from a want of tenants because noone wished to hold it, 6pence.</t>
  </si>
  <si>
    <t>Total, 10 shilling6pence.</t>
  </si>
  <si>
    <t>Total of quittances and defaults of rent</t>
  </si>
  <si>
    <t>Total of quittances and defaults of rent, £4 11 shilling 7pence.</t>
  </si>
  <si>
    <t>Total of rents remaining clear</t>
  </si>
  <si>
    <t>Total of rents remaining clear, £21 7 shilling 3.5pence.</t>
  </si>
  <si>
    <t>Annual recognizance</t>
  </si>
  <si>
    <t>And for 2pence from Robert Coupere so that he may dwell within the lord's liberty as long as it pleases the lord and come to the 2 tourns.</t>
  </si>
  <si>
    <t>2pence from John Balfr' for the same, coming to the tourn of Hockday.</t>
  </si>
  <si>
    <t>3pence from Thomas Shiperde for the same, coming to the 2 tourns for the year.</t>
  </si>
  <si>
    <t>3pence from Philip Berners for the same.</t>
  </si>
  <si>
    <t>2pence from Roger Grynder' for the same.</t>
  </si>
  <si>
    <t>2pence from John Aubry for the same, coming to the tourn of Hockday for the year.</t>
  </si>
  <si>
    <t>2pence from William Ropere, coming to the tourn of Martinmas.</t>
  </si>
  <si>
    <t>2pence from William Carpis' for the same, coming to the tourn of Hockday.</t>
  </si>
  <si>
    <t>2pence from Hubert Beverle for the same, coming to the tourn of Martinmas.</t>
  </si>
  <si>
    <t>2pence from William Glovere for the same, coming to the tourn of Hockday.</t>
  </si>
  <si>
    <t>2pence from Thomas Gentylman for the same, coming to the tourn of Hockday.</t>
  </si>
  <si>
    <t>1 shilling from William Buryman' so that he may dwell outside the lord's liberty as long as it pleases the lord and come to the tourn of Hockday and remain the lord's villein as before.</t>
  </si>
  <si>
    <t>1 shilling from Richard Somer for the same, remaining the lord's villein as before.</t>
  </si>
  <si>
    <t>3pence from John Spycer so that he may dwell within the lord's liberty as long as it pleases the lord and himself and come to the tourn of Hockday for the year.</t>
  </si>
  <si>
    <t>2pence from William Shenston for the same.</t>
  </si>
  <si>
    <t>2pence from William Wener' for the same.</t>
  </si>
  <si>
    <t>4pence from John Boys and Simon Bailly for the same.</t>
  </si>
  <si>
    <t>Total, 4 shilling 11pence.</t>
  </si>
  <si>
    <t>Annual recognizance total</t>
  </si>
  <si>
    <t>Issues of the manor</t>
  </si>
  <si>
    <t>And for 5 shilling 6.5pence from the pannage of the pigs of the customary tenants at Martinmas.</t>
  </si>
  <si>
    <t>nothing from the pasturage in le Wymore because it pertains to the farmer.</t>
  </si>
  <si>
    <t>nothing from the pasturage in Mykelham, Buryhok', Halywellesturton', Fulput and Slopet for the aforesaid reason.</t>
  </si>
  <si>
    <t>nothing from the agistment of cattle with the lord's cattle for the aforesaid reason.</t>
  </si>
  <si>
    <t>nothing from winter and summer pasturage in Goldwellefurlong' because it is demised to William Bourton' as made clear in the farms above.</t>
  </si>
  <si>
    <t>nothing of the 3 shilling for the winter pasturage in Wynesterwell' because it is demised to John Jakeman as made clear in the farms above.</t>
  </si>
  <si>
    <t>nothing from the pasturage in Sweteneye because it pertains to the fanner.</t>
  </si>
  <si>
    <t>£1 from refusals to stack this year.</t>
  </si>
  <si>
    <t>nothing of the 13 shilling 4pence for the farm of the fishery in the Cherwell because it pertains to the farmer.</t>
  </si>
  <si>
    <t>3 shilling from John Eadburbury for oven-dues.</t>
  </si>
  <si>
    <t>nothing of the 13 shilling 4pence for the farm of the oven-dues which belonged to John Benne because that rent is discharged by council of Adam, recently lord bishop of Winchester, as is made clear at the foot of the account for the sixth year of the same Adam (1338-9).</t>
  </si>
  <si>
    <t>nothing from the herbage in Mikelham and Longmore because it is demised to the farmer.</t>
  </si>
  <si>
    <t>6 shilling from John Eadburbury for release of his labour services.</t>
  </si>
  <si>
    <t>nothing from geese sold.</t>
  </si>
  <si>
    <t>1 shilling 6pence from 61 capons sold as made clear elsewhere, at 3pence each.</t>
  </si>
  <si>
    <t>1 shilling 8pence from 10 cocks and hens sold, at 2pence each.</t>
  </si>
  <si>
    <t>nothing from hens' eggs sold.</t>
  </si>
  <si>
    <t>nothing from the milking of cows or ewes.</t>
  </si>
  <si>
    <t>nothing for the farm of the lands and tenements in the lord's hands here because they are given separately below.</t>
  </si>
  <si>
    <t>nothing from wool sold this year.</t>
  </si>
  <si>
    <t>nothing from hay sold this year.</t>
  </si>
  <si>
    <t>1 shilling from 250 stone slates sold because unsuitable (inutil') for the use of the lord.</t>
  </si>
  <si>
    <t>3 shilling 4pence from 400 laths sold, at 10pence a 100.</t>
  </si>
  <si>
    <t>6pence from 6 worn out hurdles sold.</t>
  </si>
  <si>
    <t>Total, £2 2 shilling 7.5pence.</t>
  </si>
  <si>
    <t>Issues of the manor total</t>
  </si>
  <si>
    <t>Sale of corn</t>
  </si>
  <si>
    <t>Nothing from the sale of corn for the reason made clear elsewhere.</t>
  </si>
  <si>
    <t>Sale of stock</t>
  </si>
  <si>
    <t>And for 10 shilling 6pence from 1 horse sold as made clear elsewhere.</t>
  </si>
  <si>
    <t>5 shilling from 1 colt sold as made clear elsewhere.</t>
  </si>
  <si>
    <t>£1 10 shilling from 3 cows sold as made clear elsewhere.</t>
  </si>
  <si>
    <t>8pence from 1 ewe sold as made clear elsewhere.</t>
  </si>
  <si>
    <t>Total, £2 6 shilling 2pence.</t>
  </si>
  <si>
    <t>Sale of stock total</t>
  </si>
  <si>
    <t>Entry and marriage fines</t>
  </si>
  <si>
    <t>And for £1 from fixed payments (certus visus) and tithingpenny at Martinmas.</t>
  </si>
  <si>
    <t>£1 from fixed payments and tithingpenny at Hockday.</t>
  </si>
  <si>
    <t>3 shilling 4pence from Thomas Mason' to have 3.5 acres of arable land and 1 acre of meadow in Bodicote by surrender of Richard Umfray and Alice his wife, and she is examined about this in court.</t>
  </si>
  <si>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</si>
  <si>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</si>
  <si>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</si>
  <si>
    <t>6 shilling 8pence from Amice, daughter of Thomas Hogg', for marrying herself outside.</t>
  </si>
  <si>
    <t>10 shilling from William, son of Thomas Benne, to have 1 messuage and .5 virgate of villein land in Adderbury which belonged to the aforesaid Thomas his father.</t>
  </si>
  <si>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</si>
  <si>
    <t>£2 from Simon Holte to have 1 messuage 16 acres of land, 2 cottages, 9 acres of land and 1 acre of meadow, 1 messuage and 1 virgate of villein land and 1 water-mill in Bodicote.</t>
  </si>
  <si>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</si>
  <si>
    <t>£3 6 shilling 8pence from John Appuldor, of Bodicote to have 1 messuage and 1 virgate of villein land in Bodicote by surrender of Adam Chapeleyn.</t>
  </si>
  <si>
    <t>£1 from William Verneye to have the reversion of the moiety of 1 messuage 2.5 virgates of land and 6 acres of meadow in Bodicote, for which Emma, who was wife of John Whyte, had the estate for the term of her life.</t>
  </si>
  <si>
    <t>£1 from John White to have the reversion of the moiety of 1 messuage 2.5 virgates of land and 6 acres of meadow in Bodicote by surrender of William Verneye.</t>
  </si>
  <si>
    <t>2 shilling from William to have 1 toft with a croft and 2 acres of villein land in Adderbury by 'surrender of John Rundell' and Agnes his wife, and she is examined about this in court.</t>
  </si>
  <si>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</si>
  <si>
    <t>8pence from Adam Taillour to have 1 pig-sty of purpresture in Adderbury by surrender of John Coupere.</t>
  </si>
  <si>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</si>
  <si>
    <t>Total, £24 16 shilling.</t>
  </si>
  <si>
    <t>Perquisites</t>
  </si>
  <si>
    <t>And for 2 shilling 5pence from the perquisites of the tourn of Martinmas (11 November).</t>
  </si>
  <si>
    <t>14 shilling 4pence from the perquisites of the courts held by the bailiff between the 2 tourns.</t>
  </si>
  <si>
    <t>12 shilling 2pence from the perquisites of the tourn of Hockday (1 April).</t>
  </si>
  <si>
    <t>8 shilling 1pence from the perquisites of the courts held by the bailiff after the said tourn of Hockday.</t>
  </si>
  <si>
    <t>Total, £1 17 shilling.</t>
  </si>
  <si>
    <t>Perquisites total</t>
  </si>
  <si>
    <t>Total of all receipts</t>
  </si>
  <si>
    <t>Total of all receipts, £981 10 shilling 6pence.</t>
  </si>
  <si>
    <t>Total of all receipts recorded in accounts (calculated here)</t>
  </si>
  <si>
    <t>ADDERBURY EXPENSES</t>
  </si>
  <si>
    <t>Sentence</t>
  </si>
  <si>
    <t>Fixed Investments</t>
  </si>
  <si>
    <t>Demesne Fixed Investments</t>
  </si>
  <si>
    <t>Cost of buildings</t>
  </si>
  <si>
    <t>In 6,200 lath-nails bought for mending and making the barn, the hall and half of the kitchen 9 shilling 4.5pence, at 1 shilling 6pence a 1,000..</t>
  </si>
  <si>
    <t>board-nails and clout-nails bought for the same 1 shilling 4pence.</t>
  </si>
  <si>
    <t>4 quarters 4 bushels of limestone bought at Walton' 5 shilling 3pence, at 1 shilling 2pence a qr.</t>
  </si>
  <si>
    <t>carrying the same 4pence.</t>
  </si>
  <si>
    <t>8 quarters of limestone bought at Witney 10 shilling 4pence, at 1 shilling 31 pence a qr.</t>
  </si>
  <si>
    <t>carrying the same from Witney to Adderbury 3 shilling 8pence.</t>
  </si>
  <si>
    <t>1,500 stone slates bought 6 shilling, at 4 shilling a 1,000..</t>
  </si>
  <si>
    <t>500 eaves-stones bought 2 shilling 6pence, at 6pence a 100..</t>
  </si>
  <si>
    <t>6,000 pins bought 2 shilling, at 4pence a 1,000..</t>
  </si>
  <si>
    <t>50 ridge-tiles bought 6 shilling 3pence, at 1.5pence each.</t>
  </si>
  <si>
    <t>sand bought and dug and quarried at Tadmarton 10pence.</t>
  </si>
  <si>
    <t>stipend of 1 man going to Walton' to quarry lime there 2pence.</t>
  </si>
  <si>
    <t>expenses of 12 men coming for a boon-work with 6 carts to quarry sand at Newotele and carry it to Adderbury, with the digging, 2 shilling 3pence.</t>
  </si>
  <si>
    <t>hiring 1 man to carry sand and lime from the warrener's chamber to the barn by piece-work 4pence.</t>
  </si>
  <si>
    <t>carrying the ridge-tiles bought above 8pence.</t>
  </si>
  <si>
    <t>expenses of various men coming for a boon-work to buy slates at Aynho and carry them to Adderbury with the expenses of 1 man there mending the said slates 2d 1 shilling 9.5pence.</t>
  </si>
  <si>
    <t>1 tine bought 8pence.</t>
  </si>
  <si>
    <t>1 bucket bought 3.5pence.</t>
  </si>
  <si>
    <t>1 riddle (redell') bought 2pence.</t>
  </si>
  <si>
    <t>1 ladder bought 1 shilling 4pence.</t>
  </si>
  <si>
    <t>1 table bought to make 2 hawk-boards therefrom zd n agreement made with a certain slater to mend, remove and cover with laths various defects on the corn barn, hall and half of the kitchen by piece-work £6 13 shilling 4pence.</t>
  </si>
  <si>
    <t>Total, £9 9 shilling 1.5pence.</t>
  </si>
  <si>
    <t>In wages of Thomas Bekyngham, bailiff, in part payment of his wages, £3 6 shilling 8pence.</t>
  </si>
  <si>
    <t>Total, £3 6 shilling 8pence.</t>
  </si>
  <si>
    <t>Wages of the bailiff total</t>
  </si>
  <si>
    <t>Expenses of the steward</t>
  </si>
  <si>
    <t>In expenses of Richard Wyot', steward, coming there to hold the tourns of Martinmas and Hockday, by 2 sealed bills, 14 shilling 9pence.</t>
  </si>
  <si>
    <t>Expenses of the steward total</t>
  </si>
  <si>
    <t>Total of all expenses</t>
  </si>
  <si>
    <t>Total of all expenses, £33 10 shilling 6.5pence.</t>
  </si>
  <si>
    <t>Allowances without writ</t>
  </si>
  <si>
    <t>In allowance to the reeve for 6 shilling 8pence for the reward made to the warrener for summoning the courts and raising the money from the estreat of the courts this year, which was not allowed to him above.</t>
  </si>
  <si>
    <t>Total, 6 shilling 8pence.</t>
  </si>
  <si>
    <t>Allowances without writ total</t>
  </si>
  <si>
    <t>And he owes</t>
  </si>
  <si>
    <t>And he owes, £64 19 shilling 11.5pence.</t>
  </si>
  <si>
    <t>And he owes total</t>
  </si>
  <si>
    <t>Delivered to John Arnold', receiver of Wolvesey, by 1 tally, £64 13 shilling 3.5pence.</t>
  </si>
  <si>
    <t>Cash deliveries total</t>
  </si>
  <si>
    <t>Total, £64 13 shilling 3.5pence.</t>
  </si>
  <si>
    <t>ADDERBURY STOCK ACCOUNT</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</si>
  <si>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</si>
  <si>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</si>
  <si>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</si>
  <si>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</si>
  <si>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</si>
  <si>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</si>
  <si>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</si>
  <si>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</si>
  <si>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</si>
  <si>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</si>
  <si>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</si>
  <si>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</si>
  <si>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</si>
  <si>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</si>
  <si>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</si>
  <si>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</si>
  <si>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</si>
  <si>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</si>
  <si>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</si>
  <si>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</si>
  <si>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</si>
  <si>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Colts (unspecified years)</t>
  </si>
  <si>
    <t>Total Value</t>
  </si>
  <si>
    <t>Total wool</t>
  </si>
  <si>
    <t>Mare</t>
  </si>
  <si>
    <t>Steer</t>
  </si>
  <si>
    <t>calves</t>
  </si>
  <si>
    <t>pigs</t>
  </si>
  <si>
    <t xml:space="preserve">Woolskins </t>
  </si>
  <si>
    <t>wethers</t>
  </si>
  <si>
    <t>rams</t>
  </si>
  <si>
    <t>ewes</t>
  </si>
  <si>
    <t>hoggs</t>
  </si>
  <si>
    <t>Woolskins total</t>
  </si>
  <si>
    <t>Bareskins</t>
  </si>
  <si>
    <t>Bareskins total</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</si>
  <si>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</si>
  <si>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</si>
  <si>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</si>
  <si>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</si>
  <si>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</si>
  <si>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</si>
  <si>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</si>
  <si>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</si>
  <si>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</si>
  <si>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</si>
  <si>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</si>
  <si>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</si>
  <si>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</si>
  <si>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</si>
  <si>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</si>
  <si>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</si>
  <si>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</si>
  <si>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</si>
  <si>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</si>
  <si>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</si>
  <si>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</si>
  <si>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</si>
  <si>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</si>
  <si>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</si>
  <si>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</si>
  <si>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</si>
  <si>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</si>
  <si>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</si>
  <si>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</si>
  <si>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</si>
  <si>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</si>
  <si>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</si>
  <si>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</si>
  <si>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</si>
  <si>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</si>
  <si>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</si>
  <si>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</si>
  <si>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</si>
  <si>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</si>
  <si>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</si>
  <si>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</si>
  <si>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</si>
  <si>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</si>
  <si>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</si>
  <si>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</si>
  <si>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</si>
  <si>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</si>
  <si>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</si>
  <si>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</si>
  <si>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</si>
  <si>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</si>
  <si>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</si>
  <si>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</si>
  <si>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</si>
  <si>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</si>
  <si>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</si>
  <si>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</si>
  <si>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</si>
  <si>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</si>
  <si>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</si>
  <si>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</si>
  <si>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</si>
  <si>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</si>
  <si>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</si>
  <si>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</si>
  <si>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</si>
  <si>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</si>
  <si>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adderbury</t>
  </si>
  <si>
    <t>the account2 of william jakeman, reeve there, for the sixth year of the translation of henry beaufort', lord bishop of winchester, and the eleventh year of the reign of king henry the fourth.</t>
  </si>
  <si>
    <t>arrears</t>
  </si>
  <si>
    <t>none.</t>
  </si>
  <si>
    <t>rents of assize</t>
  </si>
  <si>
    <t>and for £6 9 shilling 6.25pence for all rents of assize at st thomas the apostle (21 december).</t>
  </si>
  <si>
    <t>£6 9 shilling 8.5pence at easter (23 march).</t>
  </si>
  <si>
    <t>£6 9 shilling 6.25pence at the nativity of st john the baptist (24 june).</t>
  </si>
  <si>
    <t>£6 10 shilling 1.5pence at michaelmas (29 september).</t>
  </si>
  <si>
    <t>total, £25 18 shilling 10.5pence.</t>
  </si>
  <si>
    <t>quittances of rent</t>
  </si>
  <si>
    <t>in quittance of rent of 1 reeve for the year 5 shilling.</t>
  </si>
  <si>
    <t>nothing this year of the 4 shilling for 1 smith forging the ironwork of 2 ploughs for the year.</t>
  </si>
  <si>
    <t>nothing this year of the 4 shilling for 1 shepherd keeping the lord's wethers for the year.</t>
  </si>
  <si>
    <t>nothing this year of the 4 shilling for 1 swineherd for the year.</t>
  </si>
  <si>
    <t>nothing this year of the 4 shilling for 1 cowherd for the year.</t>
  </si>
  <si>
    <t>nothing this year of the 2 shilling 7.5pence for 1 customary tenant who was accustomed to provide all the necessaries pertaining to 1 plough, apart from iron and steel, with 1 man.</t>
  </si>
  <si>
    <t>nothing this year of the 5 shilling 4pence for 2 drovers for the year.</t>
  </si>
  <si>
    <t>37 virgaters working every other day between the nativity of st john the baptist and michaelmas £1 7 shilling 9pence, or 9pence a virgate.</t>
  </si>
  <si>
    <t>2 cotlanders holding in tenure working for the same time 1 shilling, or 6pence each, and not more because 6 cotlands are in the lord's hands.</t>
  </si>
  <si>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</si>
  <si>
    <t>total, £1 13 shilling 9pence.</t>
  </si>
  <si>
    <t>defaults of rent</t>
  </si>
  <si>
    <t>default of the meadow which john bryddesthorn' held for his life drawn into demesne, 10 shilling for the year.</t>
  </si>
  <si>
    <t>1 toft and 1 curtilage of villein land called cokpedehall', in the lord's hands from a want of tenants because noone wished to hold it, 6pence.</t>
  </si>
  <si>
    <t>total, 10 shilling6pence.</t>
  </si>
  <si>
    <t>defaults of rent through the pestilence</t>
  </si>
  <si>
    <t>in default of 1 messuage and 1 acreland formerly of richard bolt, in the lord's hands from a want of tenants, 4 shilling 10pence for the year, and demised at farm as made clear below.</t>
  </si>
  <si>
    <t>1 messuage and 1 acreland formerly of john stephen' and afterwards of mabel dawe in the lord's hands, 2 shilling 6pence for the year, and at farm as made clear below.</t>
  </si>
  <si>
    <t>1 messuage and 1 acreland formerly of richard dolphin in the lord's hands, 2 shilling 9pence for the year, and at farm as made clear below.</t>
  </si>
  <si>
    <t>1 messuage and 1 acreland formerly of richard acreman and afterwards of alan acreman in the lord's hands, 5 shilling 6pence for the year, and at farm as made clear below.</t>
  </si>
  <si>
    <t>1 messuage and 1 acreland formerly of john osbarn' and afterwards of john dolphyn in the lord's hands, 2 shilling 6pence for the year, and at farm as made clear below.</t>
  </si>
  <si>
    <t>1 messuage and 1 acreland formerly of john buryman in the lord's hands, 2 shilling 6pence for the year, and at farm as made clear below.</t>
  </si>
  <si>
    <t>1 messuage and 1 acreland formerly of john geffray and afterwards of richard smyth' in the lord's hands, 2 shilling 9pence for the year, and at farm as made clear below.</t>
  </si>
  <si>
    <t>cotlands</t>
  </si>
  <si>
    <t>in default of 1 messuage and 1 cotland formerly of gilbert buryman and afterwards of william som' in the lord's hands, 4 shilling for the year, and at farm as made clear below.</t>
  </si>
  <si>
    <t>1 messuage and 1 cotland formerly of richard janekyn and afterwards of william smyth in the lord's hands, 4 shilling for the year,' and at farm as made clear below.</t>
  </si>
  <si>
    <t>1 messuage and 1 cotland formerly of walter bolt and afterwards of william bolt in the lord's hands, 4 shilling for the year, and at farm as made clear below.</t>
  </si>
  <si>
    <t>1 messuage and 1 cotland formerly of richard skreveyn and afterwards of richard andrew in the lord's hands, 4 shilling for the year, and at farm as made clear below.</t>
  </si>
  <si>
    <t>1 messuage and 1 cotland formerly of john gylot and afterwards of william gylot in the lord's hands, 4 shilling for the year, and at farm as made clear below.</t>
  </si>
  <si>
    <t>1 messuage and 1 cotland formerly of alice atte halle and afterwards of thomas benne in the lord's hands, 4 shilling for the year, and at farm as made clear below.</t>
  </si>
  <si>
    <t>total, £2 7 shilling 4pence.</t>
  </si>
  <si>
    <t>total of quittances and defaults of rent</t>
  </si>
  <si>
    <t>total of quittances and defaults of rent, £4 11 shilling 7pence.</t>
  </si>
  <si>
    <t>total of rents remaining clear</t>
  </si>
  <si>
    <t>total of rents remaining clear, £21 7 shilling 3.5pence.</t>
  </si>
  <si>
    <t>farms</t>
  </si>
  <si>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</si>
  <si>
    <t>6 shilling 8pence from john jakeman for the farm of 6 selions in le estfeld' and 6 selions in le westfeld', with the small pasture annexed to the said furlong called wyneswell , in severalty every other year whilst it pleases the lord, to be paid as before.</t>
  </si>
  <si>
    <t>16 shilling from robert box, william lemburgh' and william malle for the farm of 13 acres of demesne land in le westfeld' called newelond' and 4 acres at the headland of wyneswell' whilst it pleases the lord, to be paid as before.</t>
  </si>
  <si>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</si>
  <si>
    <t>1 shilling from thomas shiperde for the farm of 3 acres of demesne land demised to him whilst it pleases the lord, to be paid as before.</t>
  </si>
  <si>
    <t>1 shilling 8pence from john spencer for the farm of 5 acres of demesne land lying in middelfurlong',.</t>
  </si>
  <si>
    <t>demised to the same for 8 years, this year being the sixth, to be paid as before.</t>
  </si>
  <si>
    <t>8pence from william webbe for the farm of 2 acres of demesne land lying in middelfurlong', demised to him for 8 years, this year being the sixth, to be paid as before.</t>
  </si>
  <si>
    <t>8pence from william rundell' for the farm of 2 acres of demesne land lying in middelfurlong' demised to him this year.</t>
  </si>
  <si>
    <t>total, £2 4 shilling 6pence.</t>
  </si>
  <si>
    <t>annual recognizance</t>
  </si>
  <si>
    <t>and for 2pence from robert coupere so that he may dwell within the lord's liberty as long as it pleases the lord and come to the 2 tourns.</t>
  </si>
  <si>
    <t>2pence from john balfr' for the same, coming to the tourn of hockday.</t>
  </si>
  <si>
    <t>3pence from thomas shiperde for the same, coming to the 2 tourns for the year.</t>
  </si>
  <si>
    <t>3pence from philip berners for the same.</t>
  </si>
  <si>
    <t>2pence from roger grynder' for the same.</t>
  </si>
  <si>
    <t>2pence from john aubry for the same, coming to the tourn of hockday for the year.</t>
  </si>
  <si>
    <t>2pence from william ropere, coming to the tourn of martinmas.</t>
  </si>
  <si>
    <t>2pence from william carpis' for the same, coming to the tourn of hockday.</t>
  </si>
  <si>
    <t>2pence from hubert beverle for the same, coming to the tourn of martinmas.</t>
  </si>
  <si>
    <t>2pence from william glovere for the same, coming to the tourn of hockday.</t>
  </si>
  <si>
    <t>2pence from thomas gentylman for the same, coming to the tourn of hockday.</t>
  </si>
  <si>
    <t>1 shilling from william buryman' so that he may dwell outside the lord's liberty as long as it pleases the lord and come to the tourn of hockday and remain the lord's villein as before.</t>
  </si>
  <si>
    <t>1 shilling from richard somer for the same, remaining the lord's villein as before.</t>
  </si>
  <si>
    <t>3pence from john spycer so that he may dwell within the lord's liberty as long as it pleases the lord and himself and come to the tourn of hockday for the year.</t>
  </si>
  <si>
    <t>2pence from william shenston for the same.</t>
  </si>
  <si>
    <t>2pence from william wener' for the same.</t>
  </si>
  <si>
    <t>4pence from john boys and simon bailly for the same.</t>
  </si>
  <si>
    <t>total, 4 shilling 11pence.</t>
  </si>
  <si>
    <t>issues of the manor</t>
  </si>
  <si>
    <t>and for 5 shilling 6.5pence from the pannage of the pigs of the customary tenants at martinmas.</t>
  </si>
  <si>
    <t>nothing from the pasturage in le wymore because it pertains to the farmer.</t>
  </si>
  <si>
    <t>nothing from the pasturage in mykelham, buryhok', halywellesturton', fulput and slopet for the aforesaid reason.</t>
  </si>
  <si>
    <t>nothing from winter and summer pasturage in goldwellefurlong' because it is demised to william bourton' as made clear in the farms above.</t>
  </si>
  <si>
    <t>nothing of the 3 shilling for the winter pasturage in wynesterwell' because it is demised to john jakeman as made clear in the farms above.</t>
  </si>
  <si>
    <t>nothing from the pasturage in sweteneye because it pertains to the fanner.</t>
  </si>
  <si>
    <t>nothing of the 13 shilling 4pence for the farm of the fishery in the cherwell because it pertains to the farmer.</t>
  </si>
  <si>
    <t>3 shilling from john eadburbury for oven-dues.</t>
  </si>
  <si>
    <t>nothing of the 13 shilling 4pence for the farm of the oven-dues which belonged to john benne because that rent is discharged by council of adam, recently lord bishop of winchester, as is made clear at the foot of the account for the sixth year of the same adam (1338-9).</t>
  </si>
  <si>
    <t>nothing from the herbage in mikelham and longmore because it is demised to the farmer.</t>
  </si>
  <si>
    <t>6 shilling from john eadburbury for release of his labour services.</t>
  </si>
  <si>
    <t>total, £2 2 shilling 7.5pence.</t>
  </si>
  <si>
    <t>issues of the tenements in the lord's hands</t>
  </si>
  <si>
    <t>and for 10 shilling from richard atte mulle for the farm of 1 toft and 1 acreland formerly of richard bolt in the lord's hands.</t>
  </si>
  <si>
    <t>7 shilling 1pence from john jakeman for the farm for the year of 1 messuage and 1 acreland formerly of john stephen' and afterwards of mabel dawe in the lord's hands.</t>
  </si>
  <si>
    <t>10 shilling 8pence from william atte lee for the farm of 1 messuage and 1 acreland formerly of richard dolphin in the lord's hands.</t>
  </si>
  <si>
    <t>19 shilling 1pence from john andrew of bodicote for the farm of 1 messuage and 2 acrelands formerly of richard acreman and afterwards of alan acreman demised to the same at farm.</t>
  </si>
  <si>
    <t>12 shilling from richard atte mulle for the farm of 1 toft and 1 acreland formerly of john osebam' and afterwards of john dolphyn demised to the same.</t>
  </si>
  <si>
    <t>12 shilling 8pence from john stoketon' for the farm of 1 messuage and 1 acreland formerly of john buryman in the lord's hands.</t>
  </si>
  <si>
    <t>14 shilling from thomas lanure for 1 messuage and 1 acreland formerly of john geffrey and afterwards of richard smyth' in the lord's hands.</t>
  </si>
  <si>
    <t>and for 14 shilling from john knyght for the farm of 1 messuage and 1 cotland formerly of gilbert buryman and afterwards of william somer in the lord's hands.</t>
  </si>
  <si>
    <t>13 shilling 4pence from william rundell' for the farm of 1 messuage and 1 cotland formerly of richard janekyn and afterwards of william smyth' demised to the same at farm.</t>
  </si>
  <si>
    <t>12 shilling from john berewyk for the farm of 1 messuage and 1 cotland formerly of walter bolt and afterwards of thomas bolt demised to the same at farm.</t>
  </si>
  <si>
    <t>18 shilling from john yonge for the farm of 1 messuage and 1 cotland formerly of richard scryveyn and afterwards of richard andrew demised to the same at farm.</t>
  </si>
  <si>
    <t>12 shilling from richard clerk for the farm of 1 messuage and 1 cotland formerly of john gylot and william gylot demised to the same as above.</t>
  </si>
  <si>
    <t>10 shilling from henry gille for the farm of 1 messuage and 1 cotland formerly of alice atte halle and afterwards of thomas benne demised to the same as above.</t>
  </si>
  <si>
    <t>total, £8 3 shilling 10pence.</t>
  </si>
  <si>
    <t>sale of labour services</t>
  </si>
  <si>
    <t>and for £1 1 shilling for release of the labour services of 3.5 hides in bodicote this year, at 6 shillinga hide.</t>
  </si>
  <si>
    <t>£16 13 shilling for release of the labour services of 37 virgates for the year, at 9 shilling a virgate, and not more because of the 38 customary tenants to hold of the same tenure 1 is reeve and is quit by reason of his office.</t>
  </si>
  <si>
    <t>6 shilling 8pence from 40 cottars for 40 labour services making hay sold to the same this year, at 2pence a labour service.</t>
  </si>
  <si>
    <t>3 shilling 6pence from 21 cottars for 21 labour services weeding corn sold to the same this year, at 2pence a labour service.</t>
  </si>
  <si>
    <t>8 shilling from 16 cottars for 32 boon-works sold to the same this year, at 3pence a labour service.</t>
  </si>
  <si>
    <t>16 shilling for release of the labour services of 2 cotlands, at 8 shilling a cotland, and not more because of the 8 customary tenants to hold of the same tenure 6 are in the lord's hands, as made clear under the heading, issues of the tenements.</t>
  </si>
  <si>
    <t>total, £19 8 shilling 2pence.</t>
  </si>
  <si>
    <t>sale of corn</t>
  </si>
  <si>
    <t>nothing from the sale of corn for the reason made clear elsewhere.</t>
  </si>
  <si>
    <t>sale of stock</t>
  </si>
  <si>
    <t>and for 10 shilling 6pence from 1 horse sold as made clear elsewhere.</t>
  </si>
  <si>
    <t>total, £2 6 shilling 2pence.</t>
  </si>
  <si>
    <t>entry and marriage fines</t>
  </si>
  <si>
    <t>and for £1 from fixed payments (certus visus) and tithingpenny at martinmas.</t>
  </si>
  <si>
    <t>£1 from fixed payments and tithingpenny at hockday.</t>
  </si>
  <si>
    <t>3 shilling 4pence from thomas mason' to have 3.5 acres of arable land and 1 acre of meadow in bodicote by surrender of richard umfray and alice his wife, and she is examined about this in court.</t>
  </si>
  <si>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</si>
  <si>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</si>
  <si>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</si>
  <si>
    <t>6 shilling 8pence from amice, daughter of thomas hogg', for marrying herself outside.</t>
  </si>
  <si>
    <t>10 shilling from william, son of thomas benne, to have 1 messuage and .5 virgate of villein land in adderbury which belonged to the aforesaid thomas his father.</t>
  </si>
  <si>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</si>
  <si>
    <t>£2 from simon holte to have 1 messuage 16 acres of land, 2 cottages, 9 acres of land and 1 acre of meadow, 1 messuage and 1 virgate of villein land and 1 water-mill in bodicote.</t>
  </si>
  <si>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</si>
  <si>
    <t>£3 6 shilling 8pence from john appuldor, of bodicote to have 1 messuage and 1 virgate of villein land in bodicote by surrender of adam chapeleyn.</t>
  </si>
  <si>
    <t>£1 from william verneye to have the reversion of the moiety of 1 messuage 2.5 virgates of land and 6 acres of meadow in bodicote, for which emma, who was wife of john whyte, had the estate for the term of her life.</t>
  </si>
  <si>
    <t>£1 from john white to have the reversion of the moiety of 1 messuage 2.5 virgates of land and 6 acres of meadow in bodicote by surrender of william verneye.</t>
  </si>
  <si>
    <t>2 shilling from william to have 1 toft with a croft and 2 acres of villein land in adderbury by 'surrender of john rundell' and agnes his wife, and she is examined about this in court.</t>
  </si>
  <si>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</si>
  <si>
    <t>8pence from adam taillour to have 1 pig-sty of purpresture in adderbury by surrender of john coupere.</t>
  </si>
  <si>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</si>
  <si>
    <t>total, £24 16 shilling.</t>
  </si>
  <si>
    <t>perquisites</t>
  </si>
  <si>
    <t>and for 2 shilling 5pence from the perquisites of the tourn of martinmas (11 november).</t>
  </si>
  <si>
    <t>12 shilling 2pence from the perquisites of the tourn of hockday (1 april).</t>
  </si>
  <si>
    <t>8 shilling 1pence from the perquisites of the courts held by the bailiff after the said tourn of hockday.</t>
  </si>
  <si>
    <t>total, £1 17 shilling.</t>
  </si>
  <si>
    <t>forfeited chattels</t>
  </si>
  <si>
    <t>and for 3 shilling from the chattels of a waif as made clear at the tourn of hockday.</t>
  </si>
  <si>
    <t>total, 3 shilling.</t>
  </si>
  <si>
    <t>farm of the demesne land</t>
  </si>
  <si>
    <t>and for £15 16 shilling for the farm of the demesne land demised to john eadburbury for 12 years, this year being the fifth.</t>
  </si>
  <si>
    <t>total, £15 16 shilling.</t>
  </si>
  <si>
    <t>total of all receipts</t>
  </si>
  <si>
    <t>total of all receipts, £981 10 shilling 6pence.</t>
  </si>
  <si>
    <t>cost of buildings</t>
  </si>
  <si>
    <t>in 6,200 lath-nails bought for mending and making the barn, the hall and half of the kitchen 9 shilling 4.5pence, at 1 shilling 6pence a 1,000..</t>
  </si>
  <si>
    <t>4 quarters 4 bushels of limestone bought at walton' 5 shilling 3pence, at 1 shilling 2pence a quarters.</t>
  </si>
  <si>
    <t>8 quarters of limestone bought at witney 10 shilling 4pence, at 1 shilling 31 pence a quarters.</t>
  </si>
  <si>
    <t>carrying the same from witney to adderbury 3 shilling 8pence.</t>
  </si>
  <si>
    <t>sand bought and dug and quarried at tadmarton 10pence.</t>
  </si>
  <si>
    <t>stipend of 1 man going to walton' to quarry lime there 2pence.</t>
  </si>
  <si>
    <t>expenses of 12 men coming for a boon-work with 6 carts to quarry sand at newotele and carry it to adderbury, with the digging, 2 shilling 3pence.</t>
  </si>
  <si>
    <t>expenses of various men coming for a boon-work to buy slates at aynho and carry them to adderbury with the expenses of 1 man there mending the said slates 2d 1 shilling 9.5pence.</t>
  </si>
  <si>
    <t>total, £9 9 shilling 1.5pence.</t>
  </si>
  <si>
    <t>wages of the bailiff</t>
  </si>
  <si>
    <t>in wages of thomas bekyngham, bailiff, in part payment of his wages, £3 6 shilling 8pence.</t>
  </si>
  <si>
    <t>total, £3 6 shilling 8pence.</t>
  </si>
  <si>
    <t>expenses of the steward</t>
  </si>
  <si>
    <t>in expenses of richard wyot', steward, coming there to hold the tourns of martinmas and hockday, by 2 sealed bills, 14 shilling 9pence.</t>
  </si>
  <si>
    <t>annual fees</t>
  </si>
  <si>
    <t>paid to john wylkotes for the annual fee granted to him for the term of his life as made clear by the lord's letters patent and the quittance of the payment made therefor £20..</t>
  </si>
  <si>
    <t>total, £20..</t>
  </si>
  <si>
    <t>total of all expenses</t>
  </si>
  <si>
    <t>total of all expenses, £33 10 shilling 6.5pence.</t>
  </si>
  <si>
    <t>and he owes</t>
  </si>
  <si>
    <t>and he owes, £64 19 shilling 11.5pence.</t>
  </si>
  <si>
    <t>allowances without writ</t>
  </si>
  <si>
    <t>in allowance to the reeve for 6 shilling 8pence for the reward made to the warrener for summoning the courts and raising the money from the estreat of the courts this year, which was not allowed to him above.</t>
  </si>
  <si>
    <t>total, 6 shilling 8pence.</t>
  </si>
  <si>
    <t>cash deliveries</t>
  </si>
  <si>
    <t>delivered to john arnold', receiver of wolvesey, by 1 tally, £64 13 shilling 3.5pence.</t>
  </si>
  <si>
    <t>total, £64 13 shilling 3.5pence.</t>
  </si>
  <si>
    <t>total of all allowances</t>
  </si>
  <si>
    <t>total of all allowances and cash deliveries, £64 19 shilling 11.5pence he is quit.</t>
  </si>
  <si>
    <t>wheat</t>
  </si>
  <si>
    <t>william jakeman, reeve there, answers for 3 quarters of wheat remaining..</t>
  </si>
  <si>
    <t>total, 3 quarters..</t>
  </si>
  <si>
    <t>3 quarters remain in the keeping of john eadburbury, farmer there, to be handed back and restored at the end of his farm of 12 years, this year being the fifth.</t>
  </si>
  <si>
    <t>rye</t>
  </si>
  <si>
    <t>and for 34 quarters of rye remaining..</t>
  </si>
  <si>
    <t>total, 34 quarters..</t>
  </si>
  <si>
    <t>34 quarters remain in the keeping of the said john eadburbury, farmer there, to be handed back and restored at the end of his farm as before.</t>
  </si>
  <si>
    <t>dredge</t>
  </si>
  <si>
    <t>and for 30 quarters of dredge remaining..</t>
  </si>
  <si>
    <t>total, 30 quarters..</t>
  </si>
  <si>
    <t>30 quarters remain in the keeping of the said john eadburbury, farmer there, to be handed back and restored as before.</t>
  </si>
  <si>
    <t>pulses</t>
  </si>
  <si>
    <t>none remain.</t>
  </si>
  <si>
    <t>oats</t>
  </si>
  <si>
    <t>and for 10 quarters of oats..</t>
  </si>
  <si>
    <t>total, 10 quarters..</t>
  </si>
  <si>
    <t>10 quarters remain in the keeping of the said john eadburbury, farmer there, to be handed back and restored as before.</t>
  </si>
  <si>
    <t>eadburbury, farmer, to be handed back and restored at the end of his farm or the value of the same as before.</t>
  </si>
  <si>
    <t>stock</t>
  </si>
  <si>
    <t>horses: 4 remain.</t>
  </si>
  <si>
    <t>1 from the heriot of william rundell'.</t>
  </si>
  <si>
    <t>total 5. 1 sold within.</t>
  </si>
  <si>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</si>
  <si>
    <t>plough-horses: 6 remain.</t>
  </si>
  <si>
    <t>total, 6. 6 remain, worth £2, in the keeping of john.</t>
  </si>
  <si>
    <t>colts: 1 from the heriot of john diconurn.</t>
  </si>
  <si>
    <t>sold within.</t>
  </si>
  <si>
    <t>bulls: 2 remain.</t>
  </si>
  <si>
    <t>total, 2. 2 remain, worth 10 shilling each, in the keeping of the said john, to be handed back and restored at the end of his farm as before.</t>
  </si>
  <si>
    <t>oxen: none.</t>
  </si>
  <si>
    <t>cows: 19 remain.</t>
  </si>
  <si>
    <t>1 from the heriot of adam chapeleyn.</t>
  </si>
  <si>
    <t>1 from the heriot of john rundell'.</t>
  </si>
  <si>
    <t>1 from the heriot of john forde.</t>
  </si>
  <si>
    <t>total, 22. 3 sold within.</t>
  </si>
  <si>
    <t>total, 3. 19 remain, worth 10 shilling each, in the keeping of the said john, to be handed back and restored at the end of his farm as before.</t>
  </si>
  <si>
    <t>yearlings: 10 remain.</t>
  </si>
  <si>
    <t>total, 10. 10 remain, worth 3 shilling 4pence each, in the keeping of the said john, farmer, to be handed back and restored at the end of his farm as before.</t>
  </si>
  <si>
    <t>no calves this year.</t>
  </si>
  <si>
    <t>no wethers.</t>
  </si>
  <si>
    <t>no rams.</t>
  </si>
  <si>
    <t>ewes: 1 from the heriot of richard asser.</t>
  </si>
  <si>
    <t>none: no hoggs.</t>
  </si>
  <si>
    <t>no lambs.</t>
  </si>
  <si>
    <t>no boars.</t>
  </si>
  <si>
    <t>no sows.</t>
  </si>
  <si>
    <t>no pigs.</t>
  </si>
  <si>
    <t>no hoggets.</t>
  </si>
  <si>
    <t>no piglets.</t>
  </si>
  <si>
    <t>no hides.</t>
  </si>
  <si>
    <t>no wool.</t>
  </si>
  <si>
    <t>no skins.</t>
  </si>
  <si>
    <t>no milking.</t>
  </si>
  <si>
    <t>no geese.</t>
  </si>
  <si>
    <t>capons: none from stock.</t>
  </si>
  <si>
    <t>6 for the rent of emma atte mulle.</t>
  </si>
  <si>
    <t>total, 6. sold within.</t>
  </si>
  <si>
    <t>cocks and hens: none from stock.</t>
  </si>
  <si>
    <t>28 from churchscot at martinmas, of which 4 are from william prew, 3 from william tut, 4 from richard smyth' and john buryman, 6 from alice aylon, and 4 from alan acreman for 2 cotlands.</t>
  </si>
  <si>
    <t>total, 28. 4 in default of the churchscot of 1 cotland of john dawe which formerly belonged to william gilot and william gille because their tenements are in the lord's hands and at farm as made clear within.</t>
  </si>
  <si>
    <t>1 in default of 1 messuage and 1 acreland, containing 12 acres of land, and 1 acre of meadow formerly of richard smyth' and now of gregory benet, because he pays a fixed rent this year.</t>
  </si>
  <si>
    <t>6 in default of the churchscot of 2 acrelands formerly of richard bolt, mabel dawe and john dolphyn and now of richard white, alice wylot and richard atte mulle for the aforesaid reason.</t>
  </si>
  <si>
    <t>4 in default of 2 acrelands formerly of alan acreman and now of william jakeman and robert atte style for the aforesaid reason.</t>
  </si>
  <si>
    <t>1 in default of 1 acreland formerly of richard buryman and now of john scot for the aforesaid reason.</t>
  </si>
  <si>
    <t>2 in default of 1 cotland formerly of alice aylon and now of henry gille for the aforesaid reason.</t>
  </si>
  <si>
    <t>10 sold within.</t>
  </si>
  <si>
    <t>total as before.</t>
  </si>
  <si>
    <t>laths: 2,700 laths remain.</t>
  </si>
  <si>
    <t>total, 2,700. 2,000 used to repair the lord's barn, hall and kitchen.</t>
  </si>
  <si>
    <t>400 sold within.</t>
  </si>
  <si>
    <t>total, 2,400. 300 remain.</t>
  </si>
  <si>
    <t>lime: 6 quarters of limestone remain.</t>
  </si>
  <si>
    <t>4 quarters 4 bushels bought at walton'.</t>
  </si>
  <si>
    <t>8 quarters bought at wi.t ney.</t>
  </si>
  <si>
    <t>total, 18 quarters 4 bushels used to repair the lord's barn, hall and kitchen.</t>
  </si>
  <si>
    <t>none remains.</t>
  </si>
  <si>
    <t>stone slates: 3,000 stone slates remain.</t>
  </si>
  <si>
    <t>200 large stones remain.</t>
  </si>
  <si>
    <t>1,500 stone slates bought.</t>
  </si>
  <si>
    <t>500 eaves-stones bought.</t>
  </si>
  <si>
    <t>total, 5,200. 250 sold within because unsuitable for the use of the lord.</t>
  </si>
  <si>
    <t>4,950 used in mending the lord's barn, hall and kitchen.</t>
  </si>
  <si>
    <t>hurdles: 6 remain.</t>
  </si>
  <si>
    <t>total, 6. sold because useless for the stock.</t>
  </si>
  <si>
    <t>none remain. mid.</t>
  </si>
  <si>
    <t>inherited stock</t>
  </si>
  <si>
    <t>murrain</t>
  </si>
  <si>
    <t>Stock</t>
  </si>
  <si>
    <t>Horses: 4 remain.</t>
  </si>
  <si>
    <t>4</t>
  </si>
  <si>
    <t>1 from the heriot of William Rundell'.</t>
  </si>
  <si>
    <t>Total 5. 1 sold within.</t>
  </si>
  <si>
    <t>1</t>
  </si>
  <si>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</si>
  <si>
    <t>Plough-horses: 6 remain.</t>
  </si>
  <si>
    <t>Plough-horses</t>
  </si>
  <si>
    <t>6</t>
  </si>
  <si>
    <t>Total, 6. 6 remain, worth £2, in the keeping of John.</t>
  </si>
  <si>
    <t>Colts: 1 from the heriot of John Diconurn.</t>
  </si>
  <si>
    <t>Bulls: 2 remain.</t>
  </si>
  <si>
    <t>2</t>
  </si>
  <si>
    <t>Total, 2. 2 remain, worth 10 shilling each, in the keeping of the said John, to be handed back and restored at the end of his farm as before.</t>
  </si>
  <si>
    <t>Oxen: none.</t>
  </si>
  <si>
    <t>Cows: 19 remain.</t>
  </si>
  <si>
    <t>19</t>
  </si>
  <si>
    <t>1 from the heriot of Adam Chapeleyn.</t>
  </si>
  <si>
    <t>1 from the heriot of John Rundell'.</t>
  </si>
  <si>
    <t>1 from the heriot of John Forde.</t>
  </si>
  <si>
    <t>Total, 22. 3 sold within.</t>
  </si>
  <si>
    <t>3</t>
  </si>
  <si>
    <t>Total, 3. 19 remain, worth 10 shilling each, in the keeping of the said John, to be handed back and restored at the end of his farm as before.</t>
  </si>
  <si>
    <t>Yearlings: 10 remain.</t>
  </si>
  <si>
    <t>10</t>
  </si>
  <si>
    <t>Total, 10. 10 remain, worth 3 shilling 4pence each, in the keeping of the said John, farmer, to be handed back and restored at the end of his farm as before.</t>
  </si>
  <si>
    <t>No calves this year.</t>
  </si>
  <si>
    <t>No wethers.</t>
  </si>
  <si>
    <t>No rams.</t>
  </si>
  <si>
    <t>Ewes: 1 from the heriot of Richard Asser.</t>
  </si>
  <si>
    <t>None: No hoggs.</t>
  </si>
  <si>
    <t>No lambs.</t>
  </si>
  <si>
    <t>No boars.</t>
  </si>
  <si>
    <t>No sows.</t>
  </si>
  <si>
    <t>No pigs.</t>
  </si>
  <si>
    <t>No hoggets.</t>
  </si>
  <si>
    <t>No piglets.</t>
  </si>
  <si>
    <t>No hides.</t>
  </si>
  <si>
    <t>No wool.</t>
  </si>
  <si>
    <t>No skins.</t>
  </si>
  <si>
    <t>No milking.</t>
  </si>
  <si>
    <t>No geese.</t>
  </si>
  <si>
    <t>Capons: none from stock.</t>
  </si>
  <si>
    <t>6 for the rent of Emma atte Mulle.</t>
  </si>
  <si>
    <t>Total, 6. Sold within.</t>
  </si>
  <si>
    <t>Cocks and hens: none from stock.</t>
  </si>
  <si>
    <t>28 from churchscot at Martinmas, of which 4 are from William Prew, 3 from William Tut, 4 from Richard Smyth' and John Buryman, 6 from Alice Aylon, and 4 from Alan Acreman for 2 cotlands.</t>
  </si>
  <si>
    <t>Total, 28. 4 in default of the churchscot of 1 cotland of John Dawe which formerly belonged to William Gilot and William Gille because their tenements are in the lord's hands and at farm as made clear within.</t>
  </si>
  <si>
    <t>1 in default of 1 messuage and 1 acreland, containing 12 acres of land, and 1 acre of meadow formerly of Richard Smyth' and now of Gregory Benet, because he pays a fixed rent this year.</t>
  </si>
  <si>
    <t>6 in default of the churchscot of 2 acrelands formerly of Richard Bolt, Mabel Dawe and John Dolphyn and now of Richard White, Alice Wylot and Richard atte Mulle for the aforesaid reason.</t>
  </si>
  <si>
    <t>4 in default of 2 acrelands formerly of Alan Acreman and now of William Jakeman and Robert atte Style for the aforesaid reason.</t>
  </si>
  <si>
    <t>1 in default of 1 acreland formerly of Richard Buryman and now of John Scot for the aforesaid reason.</t>
  </si>
  <si>
    <t>2 in default of 1 cotland formerly of Alice Aylon and now of Henry Gille for the aforesaid reason.</t>
  </si>
  <si>
    <t>Total as before.</t>
  </si>
  <si>
    <t>None remain.</t>
  </si>
  <si>
    <t>Laths: 2,700 laths remain.</t>
  </si>
  <si>
    <t>700</t>
  </si>
  <si>
    <t>Total, 2,700. 2,000 used to repair the lord's barn, hall and kitchen.</t>
  </si>
  <si>
    <t>400</t>
  </si>
  <si>
    <t>Total, 2,400. 300 remain.</t>
  </si>
  <si>
    <t>Lime: 6 quarters of limestone remain.</t>
  </si>
  <si>
    <t>4 quarters 4 bushels bought at Walton'.</t>
  </si>
  <si>
    <t>8</t>
  </si>
  <si>
    <t>Total, 18 quarters 4 bushels Used to repair the lord's barn, hall and kitchen.</t>
  </si>
  <si>
    <t>Stone slates: 3,000 stone slates remain.</t>
  </si>
  <si>
    <t>500</t>
  </si>
  <si>
    <t>Total, 5,200. 250 sold within because unsuitable for the use of the lord.</t>
  </si>
  <si>
    <t>250</t>
  </si>
  <si>
    <t>Hurdles: 6 remain.</t>
  </si>
  <si>
    <t>Total, 6. Sold because useless for the stock.</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</si>
  <si>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</si>
  <si>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</si>
  <si>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</si>
  <si>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</si>
  <si>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</si>
  <si>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</si>
  <si>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</si>
  <si>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</si>
  <si>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</si>
  <si>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</si>
  <si>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</si>
  <si>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</si>
  <si>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</si>
  <si>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</si>
  <si>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</si>
  <si>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</si>
  <si>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</si>
  <si>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</si>
  <si>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</si>
  <si>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</si>
  <si>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</si>
  <si>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</si>
  <si>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</si>
  <si>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Total Bought Quarters</t>
  </si>
  <si>
    <t>total</t>
  </si>
  <si>
    <t>Gross Output</t>
  </si>
  <si>
    <t>Bought Only Aggregated</t>
  </si>
  <si>
    <t>Total Corn Quantity</t>
  </si>
  <si>
    <t>Difference Produced+Bought-Sold</t>
  </si>
  <si>
    <t>Weighted Average Price per Quarter</t>
  </si>
  <si>
    <t>Non-Weighted Average Price per Quarter</t>
  </si>
  <si>
    <t>Value of Total Production weighted</t>
  </si>
  <si>
    <t>Value of Total Production unweighted</t>
  </si>
  <si>
    <t>Mancorn</t>
  </si>
  <si>
    <t>First-grade malt</t>
  </si>
  <si>
    <t>Second-grade malt</t>
  </si>
  <si>
    <t>Malt</t>
  </si>
  <si>
    <t>Meal</t>
  </si>
  <si>
    <t>Quarters 0</t>
  </si>
  <si>
    <t>Bushels 0</t>
  </si>
  <si>
    <t>£ a quarter 1</t>
  </si>
  <si>
    <t>£ a quarter 2</t>
  </si>
  <si>
    <t>£ a quarter 3</t>
  </si>
  <si>
    <t>£ a quarter 4</t>
  </si>
  <si>
    <t>Quarters Sold</t>
  </si>
  <si>
    <t>Corn lowercase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</si>
</sst>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theme="1"/>
      <name val="Calibri (Body)"/>
    </font>
    <font>
      <b/>
      <sz val="12"/>
      <color rgb="FFFF0000"/>
      <name val="Calibri (Body)"/>
    </font>
    <font>
      <b/>
      <sz val="12"/>
      <name val="Calibri"/>
      <family val="2"/>
    </font>
    <font>
      <b/>
      <sz val="12"/>
      <color rgb="FF000000"/>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i/>
      <sz val="12"/>
      <color rgb="FF000000"/>
      <name val="Calibri"/>
      <family val="2"/>
      <scheme val="minor"/>
    </font>
    <font>
      <b/>
      <i/>
      <sz val="12"/>
      <color rgb="FF000000"/>
      <name val="Calibri"/>
      <family val="2"/>
      <scheme val="minor"/>
    </font>
    <font>
      <sz val="12"/>
      <color rgb="FFFF0000"/>
      <name val="Calibri (Body)"/>
    </font>
    <font>
      <b/>
      <sz val="11"/>
      <color theme="1"/>
      <name val="Calibri"/>
      <family val="2"/>
      <scheme val="minor"/>
    </font>
    <font>
      <b/>
      <sz val="12"/>
      <color rgb="FFFF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4.9989318521683403E-2"/>
        <bgColor rgb="FF000000"/>
      </patternFill>
    </fill>
    <fill>
      <patternFill patternType="solid">
        <fgColor rgb="FFF2F2F2"/>
        <bgColor rgb="FFF2F2F2"/>
      </patternFill>
    </fill>
    <fill>
      <patternFill patternType="solid">
        <fgColor rgb="FFFFFF00"/>
        <bgColor rgb="FFF2F2F2"/>
      </patternFill>
    </fill>
  </fills>
  <borders count="18">
    <border>
      <left/>
      <right/>
      <top/>
      <bottom/>
      <diagonal/>
    </border>
    <border>
      <left/>
      <right/>
      <top/>
      <bottom style="thin">
        <color rgb="FFA6A6A6"/>
      </bottom>
      <diagonal/>
    </border>
    <border>
      <left/>
      <right/>
      <top/>
      <bottom style="thin">
        <color indexed="64"/>
      </bottom>
      <diagonal/>
    </border>
    <border>
      <left/>
      <right/>
      <top/>
      <bottom style="thin">
        <color theme="0" tint="-0.34998626667073579"/>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15"/>
  </cellStyleXfs>
  <cellXfs count="105">
    <xf numFmtId="0" fontId="0" fillId="0" borderId="0" xfId="0" applyBorder="1"/>
    <xf numFmtId="0" fontId="11" fillId="0" borderId="1" xfId="0" applyFont="1" applyBorder="1"/>
    <xf numFmtId="0" fontId="11" fillId="0" borderId="1" xfId="0" applyFont="1" applyBorder="1" applyAlignment="1">
      <alignment horizontal="left"/>
    </xf>
    <xf numFmtId="0" fontId="0" fillId="0" borderId="3" xfId="0" applyBorder="1"/>
    <xf numFmtId="0" fontId="0" fillId="0" borderId="3" xfId="0" applyBorder="1" applyAlignment="1">
      <alignment horizontal="left"/>
    </xf>
    <xf numFmtId="0" fontId="2" fillId="0" borderId="0" xfId="0" applyFont="1" applyBorder="1"/>
    <xf numFmtId="0" fontId="3" fillId="0" borderId="5" xfId="0" applyFont="1" applyBorder="1"/>
    <xf numFmtId="0" fontId="10" fillId="5" borderId="5" xfId="0" applyFont="1" applyFill="1" applyBorder="1"/>
    <xf numFmtId="0" fontId="11" fillId="0" borderId="2" xfId="0" applyFont="1" applyBorder="1"/>
    <xf numFmtId="0" fontId="3" fillId="0" borderId="2" xfId="0" applyFont="1" applyBorder="1"/>
    <xf numFmtId="0" fontId="12" fillId="2" borderId="6" xfId="0" applyFont="1" applyFill="1" applyBorder="1"/>
    <xf numFmtId="0" fontId="12" fillId="4" borderId="6" xfId="0" applyFont="1" applyFill="1" applyBorder="1"/>
    <xf numFmtId="0" fontId="11" fillId="0" borderId="6" xfId="0" applyFont="1" applyBorder="1"/>
    <xf numFmtId="10" fontId="12" fillId="2" borderId="6" xfId="0" applyNumberFormat="1" applyFont="1" applyFill="1" applyBorder="1"/>
    <xf numFmtId="10" fontId="12" fillId="4" borderId="8" xfId="0" applyNumberFormat="1" applyFont="1" applyFill="1" applyBorder="1"/>
    <xf numFmtId="0" fontId="3" fillId="0" borderId="9" xfId="0" applyFont="1" applyBorder="1"/>
    <xf numFmtId="0" fontId="11" fillId="5" borderId="11" xfId="0" applyFont="1" applyFill="1" applyBorder="1"/>
    <xf numFmtId="2" fontId="8" fillId="5" borderId="12" xfId="0" applyNumberFormat="1" applyFont="1" applyFill="1" applyBorder="1" applyAlignment="1">
      <alignment horizontal="right"/>
    </xf>
    <xf numFmtId="0" fontId="3" fillId="5" borderId="12" xfId="0" applyFont="1" applyFill="1" applyBorder="1"/>
    <xf numFmtId="0" fontId="5" fillId="0" borderId="14" xfId="0" applyFont="1" applyBorder="1"/>
    <xf numFmtId="0" fontId="0" fillId="0" borderId="15" xfId="0"/>
    <xf numFmtId="0" fontId="7" fillId="0" borderId="16" xfId="0" applyFont="1" applyBorder="1" applyAlignment="1">
      <alignment horizontal="center" vertical="top"/>
    </xf>
    <xf numFmtId="4" fontId="5" fillId="0" borderId="17" xfId="0" applyNumberFormat="1" applyFont="1" applyBorder="1" applyAlignment="1">
      <alignment horizontal="right"/>
    </xf>
    <xf numFmtId="0" fontId="5" fillId="0" borderId="17" xfId="0" applyFont="1" applyBorder="1" applyAlignment="1">
      <alignment horizontal="right"/>
    </xf>
    <xf numFmtId="4" fontId="4" fillId="0" borderId="17" xfId="0" applyNumberFormat="1" applyFont="1" applyBorder="1" applyAlignment="1">
      <alignment horizontal="center"/>
    </xf>
    <xf numFmtId="0" fontId="6" fillId="0" borderId="17" xfId="0" applyFont="1" applyBorder="1" applyAlignment="1">
      <alignment horizontal="center" vertical="top"/>
    </xf>
    <xf numFmtId="0" fontId="7" fillId="0" borderId="17" xfId="0" applyFont="1" applyBorder="1" applyAlignment="1">
      <alignment horizontal="left" vertical="top"/>
    </xf>
    <xf numFmtId="0" fontId="10" fillId="0" borderId="17" xfId="0" applyFont="1" applyBorder="1"/>
    <xf numFmtId="0" fontId="15" fillId="0" borderId="14" xfId="0" applyFont="1" applyBorder="1"/>
    <xf numFmtId="0" fontId="0" fillId="0" borderId="14" xfId="0" applyBorder="1"/>
    <xf numFmtId="0" fontId="15" fillId="9" borderId="14" xfId="0" applyFont="1" applyFill="1" applyBorder="1"/>
    <xf numFmtId="0" fontId="15" fillId="9" borderId="15" xfId="0" applyFont="1" applyFill="1"/>
    <xf numFmtId="0" fontId="7" fillId="0" borderId="16" xfId="0" applyFont="1" applyBorder="1" applyAlignment="1">
      <alignment horizontal="center" vertical="center"/>
    </xf>
    <xf numFmtId="4" fontId="5" fillId="0" borderId="17" xfId="0" applyNumberFormat="1" applyFont="1" applyBorder="1" applyAlignment="1">
      <alignment horizontal="center" vertical="center"/>
    </xf>
    <xf numFmtId="0" fontId="5" fillId="0" borderId="17" xfId="0" applyFont="1" applyBorder="1" applyAlignment="1">
      <alignment horizontal="center" vertical="center"/>
    </xf>
    <xf numFmtId="0" fontId="0" fillId="0" borderId="17" xfId="0" applyBorder="1"/>
    <xf numFmtId="2" fontId="4" fillId="0" borderId="17" xfId="0" applyNumberFormat="1" applyFont="1" applyBorder="1" applyAlignment="1">
      <alignment horizontal="center" vertical="center"/>
    </xf>
    <xf numFmtId="2" fontId="6" fillId="0" borderId="17" xfId="0" applyNumberFormat="1" applyFont="1" applyBorder="1" applyAlignment="1">
      <alignment horizontal="center" vertical="center"/>
    </xf>
    <xf numFmtId="0" fontId="7" fillId="0" borderId="17" xfId="0" applyFont="1" applyBorder="1" applyAlignment="1">
      <alignment horizontal="center" vertical="center"/>
    </xf>
    <xf numFmtId="0" fontId="3" fillId="0" borderId="0" xfId="0" applyFont="1" applyBorder="1"/>
    <xf numFmtId="0" fontId="0" fillId="0" borderId="0" xfId="0" applyBorder="1"/>
    <xf numFmtId="0" fontId="15" fillId="10" borderId="15" xfId="0" applyFont="1" applyFill="1"/>
    <xf numFmtId="0" fontId="0" fillId="7" borderId="15" xfId="0" applyFill="1"/>
    <xf numFmtId="0" fontId="4" fillId="5" borderId="15" xfId="0" applyFont="1" applyFill="1" applyAlignment="1">
      <alignment horizontal="center"/>
    </xf>
    <xf numFmtId="0" fontId="0" fillId="0" borderId="15" xfId="0" applyAlignment="1">
      <alignment horizontal="center" wrapText="1"/>
    </xf>
    <xf numFmtId="0" fontId="0" fillId="0" borderId="4" xfId="0" applyBorder="1" applyAlignment="1">
      <alignment horizontal="center" wrapText="1"/>
    </xf>
    <xf numFmtId="0" fontId="8" fillId="0" borderId="15" xfId="0" applyFont="1" applyBorder="1"/>
    <xf numFmtId="2" fontId="8" fillId="0" borderId="15" xfId="0" applyNumberFormat="1" applyFont="1" applyBorder="1" applyAlignment="1">
      <alignment horizontal="right"/>
    </xf>
    <xf numFmtId="2" fontId="16" fillId="0" borderId="15" xfId="0" applyNumberFormat="1" applyFont="1" applyBorder="1" applyAlignment="1">
      <alignment horizontal="right"/>
    </xf>
    <xf numFmtId="0" fontId="4" fillId="0" borderId="15" xfId="0" applyFont="1" applyBorder="1"/>
    <xf numFmtId="0" fontId="1" fillId="0" borderId="15" xfId="0" applyFont="1" applyBorder="1"/>
    <xf numFmtId="0" fontId="3" fillId="0" borderId="15" xfId="0" applyFont="1" applyBorder="1"/>
    <xf numFmtId="0" fontId="8" fillId="2" borderId="15" xfId="0" applyFont="1" applyFill="1" applyBorder="1"/>
    <xf numFmtId="0" fontId="11" fillId="0" borderId="15" xfId="0" applyFont="1" applyBorder="1"/>
    <xf numFmtId="0" fontId="9" fillId="0" borderId="15" xfId="0" applyFont="1" applyBorder="1"/>
    <xf numFmtId="0" fontId="1" fillId="7" borderId="15" xfId="0" applyFont="1" applyFill="1" applyBorder="1"/>
    <xf numFmtId="0" fontId="1" fillId="0" borderId="2" xfId="0" applyFont="1" applyBorder="1"/>
    <xf numFmtId="0" fontId="1" fillId="0" borderId="5" xfId="0" applyFont="1" applyBorder="1"/>
    <xf numFmtId="0" fontId="10" fillId="5" borderId="15" xfId="0" applyFont="1" applyFill="1" applyBorder="1"/>
    <xf numFmtId="0" fontId="0" fillId="0" borderId="15" xfId="0" applyBorder="1"/>
    <xf numFmtId="0" fontId="13" fillId="2" borderId="15" xfId="0" applyFont="1" applyFill="1" applyBorder="1"/>
    <xf numFmtId="2" fontId="1" fillId="0" borderId="15" xfId="0" applyNumberFormat="1" applyFont="1" applyBorder="1"/>
    <xf numFmtId="2" fontId="1" fillId="7" borderId="15" xfId="0" applyNumberFormat="1" applyFont="1" applyFill="1" applyBorder="1"/>
    <xf numFmtId="2" fontId="1" fillId="0" borderId="2" xfId="0" applyNumberFormat="1" applyFont="1" applyBorder="1"/>
    <xf numFmtId="0" fontId="11" fillId="3" borderId="15" xfId="0" applyFont="1" applyFill="1" applyBorder="1"/>
    <xf numFmtId="0" fontId="12" fillId="3" borderId="15" xfId="0" applyFont="1" applyFill="1" applyBorder="1"/>
    <xf numFmtId="0" fontId="12" fillId="4" borderId="15" xfId="0" applyFont="1" applyFill="1" applyBorder="1"/>
    <xf numFmtId="0" fontId="3" fillId="0" borderId="15" xfId="0" applyFont="1" applyBorder="1" applyAlignment="1"/>
    <xf numFmtId="2" fontId="4" fillId="5" borderId="15" xfId="0" applyNumberFormat="1" applyFont="1" applyFill="1" applyBorder="1"/>
    <xf numFmtId="4" fontId="4" fillId="0" borderId="15" xfId="0" applyNumberFormat="1" applyFont="1" applyBorder="1" applyAlignment="1">
      <alignment horizontal="right"/>
    </xf>
    <xf numFmtId="0" fontId="4" fillId="0" borderId="15" xfId="0" applyFont="1" applyBorder="1" applyAlignment="1">
      <alignment horizontal="right"/>
    </xf>
    <xf numFmtId="0" fontId="12" fillId="2" borderId="15" xfId="0" applyFont="1" applyFill="1" applyBorder="1"/>
    <xf numFmtId="0" fontId="1" fillId="5" borderId="15" xfId="0" applyFont="1" applyFill="1" applyBorder="1"/>
    <xf numFmtId="0" fontId="3" fillId="5" borderId="15" xfId="0" applyFont="1" applyFill="1" applyBorder="1"/>
    <xf numFmtId="2" fontId="8" fillId="5" borderId="15" xfId="0" applyNumberFormat="1" applyFont="1" applyFill="1" applyBorder="1" applyAlignment="1">
      <alignment horizontal="right"/>
    </xf>
    <xf numFmtId="0" fontId="8" fillId="8" borderId="15" xfId="0" applyFont="1" applyFill="1" applyBorder="1"/>
    <xf numFmtId="0" fontId="8" fillId="5" borderId="15" xfId="0" applyFont="1" applyFill="1" applyBorder="1"/>
    <xf numFmtId="0" fontId="4" fillId="5" borderId="15" xfId="0" applyFont="1" applyFill="1" applyBorder="1" applyAlignment="1">
      <alignment horizontal="right"/>
    </xf>
    <xf numFmtId="0" fontId="4" fillId="5" borderId="15" xfId="0" applyFont="1" applyFill="1" applyBorder="1"/>
    <xf numFmtId="0" fontId="11" fillId="0" borderId="15" xfId="0" applyFont="1" applyBorder="1" applyAlignment="1">
      <alignment wrapText="1"/>
    </xf>
    <xf numFmtId="2" fontId="1" fillId="5" borderId="15" xfId="0" applyNumberFormat="1" applyFont="1" applyFill="1" applyBorder="1"/>
    <xf numFmtId="0" fontId="12" fillId="8" borderId="15" xfId="0" applyFont="1" applyFill="1" applyBorder="1"/>
    <xf numFmtId="0" fontId="11" fillId="0" borderId="15" xfId="0" applyFont="1" applyBorder="1" applyAlignment="1">
      <alignment horizontal="right"/>
    </xf>
    <xf numFmtId="0" fontId="1" fillId="5" borderId="12" xfId="0" applyFont="1" applyFill="1" applyBorder="1"/>
    <xf numFmtId="0" fontId="1" fillId="5" borderId="13" xfId="0" applyFont="1" applyFill="1" applyBorder="1"/>
    <xf numFmtId="0" fontId="1" fillId="0" borderId="7" xfId="0" applyFont="1" applyBorder="1"/>
    <xf numFmtId="10" fontId="1" fillId="0" borderId="15" xfId="0" applyNumberFormat="1" applyFont="1" applyBorder="1"/>
    <xf numFmtId="0" fontId="1" fillId="0" borderId="9" xfId="0" applyFont="1" applyBorder="1"/>
    <xf numFmtId="0" fontId="1" fillId="0" borderId="10" xfId="0" applyFont="1" applyBorder="1"/>
    <xf numFmtId="0" fontId="15" fillId="0" borderId="15" xfId="0" applyFont="1" applyBorder="1"/>
    <xf numFmtId="0" fontId="0" fillId="7" borderId="15" xfId="0" applyFill="1" applyBorder="1"/>
    <xf numFmtId="2" fontId="14" fillId="0" borderId="15" xfId="0" applyNumberFormat="1" applyFont="1" applyBorder="1"/>
    <xf numFmtId="0" fontId="0" fillId="0" borderId="15" xfId="0" applyBorder="1" applyAlignment="1">
      <alignment wrapText="1"/>
    </xf>
    <xf numFmtId="0" fontId="0" fillId="0" borderId="15" xfId="0" applyBorder="1" applyAlignment="1"/>
    <xf numFmtId="2" fontId="0" fillId="0" borderId="15" xfId="0" applyNumberFormat="1" applyBorder="1" applyAlignment="1">
      <alignment wrapText="1"/>
    </xf>
    <xf numFmtId="0" fontId="4" fillId="0" borderId="15" xfId="0" applyFont="1" applyBorder="1" applyAlignment="1">
      <alignment wrapText="1"/>
    </xf>
    <xf numFmtId="0" fontId="4" fillId="0" borderId="15" xfId="0" applyFont="1" applyBorder="1" applyAlignment="1">
      <alignment horizontal="right" wrapText="1"/>
    </xf>
    <xf numFmtId="2" fontId="4" fillId="0" borderId="15" xfId="0" applyNumberFormat="1" applyFont="1" applyBorder="1" applyAlignment="1">
      <alignment wrapText="1"/>
    </xf>
    <xf numFmtId="2" fontId="8" fillId="0" borderId="15" xfId="0" applyNumberFormat="1" applyFont="1" applyBorder="1" applyAlignment="1">
      <alignment horizontal="left" vertical="center" wrapText="1"/>
    </xf>
    <xf numFmtId="2" fontId="0" fillId="0" borderId="15" xfId="0" applyNumberFormat="1" applyBorder="1"/>
    <xf numFmtId="0" fontId="9" fillId="6" borderId="15" xfId="0" applyFont="1" applyFill="1" applyBorder="1"/>
    <xf numFmtId="0" fontId="0" fillId="0" borderId="15" xfId="0" applyBorder="1" applyAlignment="1">
      <alignment horizontal="right"/>
    </xf>
    <xf numFmtId="0" fontId="0" fillId="0" borderId="15" xfId="0" applyBorder="1" applyAlignment="1">
      <alignment horizontal="left"/>
    </xf>
    <xf numFmtId="0" fontId="0" fillId="5" borderId="15" xfId="0" applyFill="1" applyBorder="1"/>
    <xf numFmtId="0" fontId="9" fillId="5" borderId="15"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
  <sheetViews>
    <sheetView tabSelected="1" topLeftCell="A166" workbookViewId="0">
      <selection activeCell="E73" sqref="E73"/>
    </sheetView>
  </sheetViews>
  <sheetFormatPr defaultColWidth="10.85546875" defaultRowHeight="15.6"/>
  <cols>
    <col min="1" max="1" width="80" style="5" bestFit="1" customWidth="1"/>
    <col min="2" max="2" width="10.85546875" style="5" customWidth="1"/>
    <col min="3" max="3" width="10.85546875" style="39" customWidth="1"/>
    <col min="4" max="4" width="30.85546875" style="5" bestFit="1" customWidth="1"/>
    <col min="5" max="5" width="29.42578125" style="5" bestFit="1" customWidth="1"/>
    <col min="6" max="6" width="35.42578125" style="5" bestFit="1" customWidth="1"/>
    <col min="7" max="7" width="21.140625" style="5" customWidth="1"/>
    <col min="8" max="9" width="10.85546875" style="5" customWidth="1"/>
    <col min="10" max="16384" width="10.85546875" style="5"/>
  </cols>
  <sheetData>
    <row r="1" spans="1:5">
      <c r="A1" s="46" t="s">
        <v>0</v>
      </c>
      <c r="B1" s="47" t="s">
        <v>1</v>
      </c>
      <c r="C1" s="48" t="s">
        <v>2</v>
      </c>
      <c r="D1" s="49" t="s">
        <v>3</v>
      </c>
      <c r="E1" s="49"/>
    </row>
    <row r="2" spans="1:5">
      <c r="A2" s="46" t="s">
        <v>4</v>
      </c>
      <c r="B2" s="50"/>
      <c r="C2" s="51"/>
      <c r="D2" s="50"/>
      <c r="E2" s="50"/>
    </row>
    <row r="3" spans="1:5">
      <c r="A3" s="52" t="s">
        <v>5</v>
      </c>
      <c r="B3" s="50"/>
      <c r="C3" s="51"/>
      <c r="D3" s="50"/>
      <c r="E3" s="50"/>
    </row>
    <row r="4" spans="1:5">
      <c r="A4" s="53" t="s">
        <v>6</v>
      </c>
      <c r="B4" s="50"/>
      <c r="C4" s="51"/>
      <c r="D4" s="54"/>
      <c r="E4" s="54"/>
    </row>
    <row r="5" spans="1:5">
      <c r="A5" s="53" t="s">
        <v>7</v>
      </c>
      <c r="B5" s="50">
        <v>25.96</v>
      </c>
      <c r="C5" s="51"/>
      <c r="D5" s="50"/>
      <c r="E5" s="50"/>
    </row>
    <row r="6" spans="1:5">
      <c r="A6" s="53" t="s">
        <v>8</v>
      </c>
      <c r="B6" s="50"/>
      <c r="C6" s="51"/>
      <c r="D6" s="50"/>
      <c r="E6" s="50"/>
    </row>
    <row r="7" spans="1:5">
      <c r="A7" s="53" t="s">
        <v>9</v>
      </c>
      <c r="B7" s="50">
        <v>0.53</v>
      </c>
      <c r="C7" s="51"/>
      <c r="D7" s="50"/>
      <c r="E7" s="50"/>
    </row>
    <row r="8" spans="1:5">
      <c r="A8" s="50" t="s">
        <v>10</v>
      </c>
      <c r="B8" s="50"/>
      <c r="C8" s="51"/>
      <c r="D8" s="50"/>
      <c r="E8" s="50"/>
    </row>
    <row r="9" spans="1:5">
      <c r="A9" s="50" t="s">
        <v>11</v>
      </c>
      <c r="B9" s="50"/>
      <c r="C9" s="51"/>
      <c r="D9" s="50"/>
      <c r="E9" s="50"/>
    </row>
    <row r="10" spans="1:5">
      <c r="A10" s="50" t="s">
        <v>12</v>
      </c>
      <c r="B10" s="50"/>
      <c r="C10" s="51"/>
      <c r="D10" s="50"/>
      <c r="E10" s="50"/>
    </row>
    <row r="11" spans="1:5">
      <c r="A11" s="50" t="s">
        <v>13</v>
      </c>
      <c r="B11" s="50">
        <v>4.58</v>
      </c>
      <c r="C11" s="51"/>
      <c r="D11" s="50"/>
      <c r="E11" s="50"/>
    </row>
    <row r="12" spans="1:5">
      <c r="A12" s="50" t="s">
        <v>14</v>
      </c>
      <c r="B12" s="50">
        <v>21.36</v>
      </c>
      <c r="C12" s="51"/>
      <c r="D12" s="50"/>
      <c r="E12" s="50"/>
    </row>
    <row r="13" spans="1:5">
      <c r="A13" s="50" t="s">
        <v>15</v>
      </c>
      <c r="B13" s="50"/>
      <c r="C13" s="51"/>
      <c r="D13" s="50"/>
      <c r="E13" s="50"/>
    </row>
    <row r="14" spans="1:5">
      <c r="A14" s="53" t="s">
        <v>16</v>
      </c>
      <c r="B14" s="50">
        <v>0.26</v>
      </c>
      <c r="C14" s="51"/>
      <c r="D14" s="50"/>
      <c r="E14" s="50"/>
    </row>
    <row r="15" spans="1:5">
      <c r="A15" s="53" t="s">
        <v>17</v>
      </c>
      <c r="B15" s="50">
        <v>3.63</v>
      </c>
      <c r="C15" s="51"/>
      <c r="D15" s="50"/>
      <c r="E15" s="50"/>
    </row>
    <row r="16" spans="1:5">
      <c r="A16" s="50" t="s">
        <v>18</v>
      </c>
      <c r="B16" s="50"/>
      <c r="C16" s="51"/>
      <c r="D16" s="50"/>
      <c r="E16" s="50"/>
    </row>
    <row r="17" spans="1:5">
      <c r="A17" s="50" t="s">
        <v>19</v>
      </c>
      <c r="B17" s="50"/>
      <c r="C17" s="51"/>
      <c r="D17" s="50"/>
      <c r="E17" s="50"/>
    </row>
    <row r="18" spans="1:5">
      <c r="A18" s="53" t="s">
        <v>20</v>
      </c>
      <c r="B18" s="50">
        <v>0</v>
      </c>
      <c r="C18" s="51"/>
      <c r="D18" s="50"/>
      <c r="E18" s="50"/>
    </row>
    <row r="19" spans="1:5">
      <c r="A19" s="53" t="s">
        <v>21</v>
      </c>
      <c r="B19" s="50">
        <v>23.78</v>
      </c>
      <c r="C19" s="51"/>
      <c r="D19" s="50"/>
      <c r="E19" s="50"/>
    </row>
    <row r="20" spans="1:5">
      <c r="A20" s="53" t="s">
        <v>22</v>
      </c>
      <c r="B20" s="55">
        <v>1.85</v>
      </c>
      <c r="C20" s="51"/>
      <c r="D20" s="50"/>
      <c r="E20" s="50"/>
    </row>
    <row r="21" spans="1:5">
      <c r="A21" s="50" t="s">
        <v>23</v>
      </c>
      <c r="B21" s="50"/>
      <c r="C21" s="51"/>
      <c r="D21" s="50"/>
      <c r="E21" s="50"/>
    </row>
    <row r="22" spans="1:5">
      <c r="A22" s="50" t="s">
        <v>24</v>
      </c>
      <c r="B22" s="50"/>
      <c r="C22" s="51"/>
      <c r="D22" s="56"/>
      <c r="E22" s="50"/>
    </row>
    <row r="23" spans="1:5">
      <c r="A23" s="7" t="s">
        <v>25</v>
      </c>
      <c r="B23" s="57">
        <f>SUM(B5:B11)</f>
        <v>31.07</v>
      </c>
      <c r="C23" s="6"/>
      <c r="D23" s="50"/>
      <c r="E23" s="50"/>
    </row>
    <row r="24" spans="1:5">
      <c r="A24" s="58" t="s">
        <v>26</v>
      </c>
      <c r="B24" s="59">
        <f>SUM(B4:B11)</f>
        <v>31.07</v>
      </c>
      <c r="C24" s="51"/>
      <c r="D24" s="54"/>
      <c r="E24" s="54"/>
    </row>
    <row r="25" spans="1:5">
      <c r="A25" s="60" t="s">
        <v>27</v>
      </c>
      <c r="B25" s="50">
        <f>Receipts!F107</f>
        <v>84.259999999999991</v>
      </c>
      <c r="C25" s="51">
        <f>B23-B25</f>
        <v>-53.189999999999991</v>
      </c>
      <c r="D25" s="50"/>
      <c r="E25" s="50"/>
    </row>
    <row r="26" spans="1:5">
      <c r="A26" s="60" t="s">
        <v>28</v>
      </c>
      <c r="B26" s="59">
        <f>Receipts!F108</f>
        <v>84.259999999999991</v>
      </c>
      <c r="C26" s="51"/>
      <c r="D26" s="54"/>
      <c r="E26" s="54"/>
    </row>
    <row r="27" spans="1:5">
      <c r="A27" s="53"/>
      <c r="B27" s="50"/>
      <c r="C27" s="51"/>
      <c r="D27" s="50"/>
      <c r="E27" s="50"/>
    </row>
    <row r="28" spans="1:5">
      <c r="A28" s="53"/>
      <c r="B28" s="50"/>
      <c r="C28" s="51"/>
      <c r="D28" s="50"/>
      <c r="E28" s="50"/>
    </row>
    <row r="29" spans="1:5">
      <c r="A29" s="52" t="s">
        <v>29</v>
      </c>
      <c r="B29" s="50"/>
      <c r="C29" s="51"/>
      <c r="D29" s="50"/>
      <c r="E29" s="50"/>
    </row>
    <row r="30" spans="1:5">
      <c r="A30" s="53" t="s">
        <v>30</v>
      </c>
      <c r="B30" s="50"/>
      <c r="C30" s="51"/>
      <c r="D30" s="50"/>
      <c r="E30" s="50"/>
    </row>
    <row r="31" spans="1:5">
      <c r="A31" s="53" t="s">
        <v>31</v>
      </c>
      <c r="B31" s="50"/>
      <c r="C31" s="51"/>
      <c r="D31" s="50"/>
      <c r="E31" s="50"/>
    </row>
    <row r="32" spans="1:5">
      <c r="A32" s="53" t="s">
        <v>32</v>
      </c>
      <c r="B32" s="50"/>
      <c r="C32" s="51"/>
      <c r="D32" s="50"/>
      <c r="E32" s="50"/>
    </row>
    <row r="33" spans="1:4">
      <c r="A33" s="53" t="s">
        <v>33</v>
      </c>
      <c r="B33" s="50"/>
      <c r="C33" s="51"/>
      <c r="D33" s="50"/>
    </row>
    <row r="34" spans="1:4">
      <c r="A34" s="53" t="s">
        <v>34</v>
      </c>
      <c r="B34" s="50"/>
      <c r="C34" s="51"/>
      <c r="D34" s="50"/>
    </row>
    <row r="35" spans="1:4">
      <c r="A35" s="53" t="s">
        <v>35</v>
      </c>
      <c r="B35" s="50"/>
      <c r="C35" s="51"/>
      <c r="D35" s="50"/>
    </row>
    <row r="36" spans="1:4">
      <c r="A36" s="53" t="s">
        <v>36</v>
      </c>
      <c r="B36" s="61">
        <v>9.4600000000000009</v>
      </c>
      <c r="C36" s="51"/>
      <c r="D36" s="50"/>
    </row>
    <row r="37" spans="1:4">
      <c r="A37" s="53" t="s">
        <v>37</v>
      </c>
      <c r="B37" s="50"/>
      <c r="C37" s="51"/>
      <c r="D37" s="50"/>
    </row>
    <row r="38" spans="1:4">
      <c r="A38" s="53" t="s">
        <v>38</v>
      </c>
      <c r="B38" s="50"/>
      <c r="C38" s="51"/>
      <c r="D38" s="50"/>
    </row>
    <row r="39" spans="1:4">
      <c r="A39" s="53" t="s">
        <v>39</v>
      </c>
      <c r="B39" s="50"/>
      <c r="C39" s="51"/>
      <c r="D39" s="50"/>
    </row>
    <row r="40" spans="1:4">
      <c r="A40" s="53" t="s">
        <v>40</v>
      </c>
      <c r="B40" s="50"/>
      <c r="C40" s="51"/>
      <c r="D40" s="50"/>
    </row>
    <row r="41" spans="1:4">
      <c r="A41" s="53" t="s">
        <v>41</v>
      </c>
      <c r="B41" s="62">
        <v>3.33</v>
      </c>
      <c r="C41" s="51"/>
      <c r="D41" s="50"/>
    </row>
    <row r="42" spans="1:4">
      <c r="A42" s="53" t="s">
        <v>42</v>
      </c>
      <c r="B42" s="61">
        <v>0.74</v>
      </c>
      <c r="C42" s="51"/>
      <c r="D42" s="50"/>
    </row>
    <row r="43" spans="1:4">
      <c r="A43" s="8" t="s">
        <v>43</v>
      </c>
      <c r="B43" s="63"/>
      <c r="C43" s="9"/>
      <c r="D43" s="56"/>
    </row>
    <row r="44" spans="1:4">
      <c r="A44" s="58" t="s">
        <v>44</v>
      </c>
      <c r="B44" s="61">
        <f>Expenses!F48</f>
        <v>33.53</v>
      </c>
      <c r="C44" s="51"/>
      <c r="D44" s="50"/>
    </row>
    <row r="45" spans="1:4">
      <c r="A45" s="58" t="s">
        <v>45</v>
      </c>
      <c r="B45" s="61">
        <f>Expenses!F49</f>
        <v>13.530000000000001</v>
      </c>
      <c r="C45" s="51"/>
      <c r="D45" s="50"/>
    </row>
    <row r="46" spans="1:4">
      <c r="A46" s="58" t="s">
        <v>46</v>
      </c>
      <c r="B46" s="62">
        <f>Expenses!F50</f>
        <v>9.4600000000000009</v>
      </c>
      <c r="C46" s="51"/>
      <c r="D46" s="50"/>
    </row>
    <row r="47" spans="1:4">
      <c r="A47" s="58" t="s">
        <v>47</v>
      </c>
      <c r="B47" s="62">
        <f>Expenses!F51</f>
        <v>3.1533333333333338</v>
      </c>
      <c r="C47" s="51"/>
      <c r="D47" s="50"/>
    </row>
    <row r="48" spans="1:4">
      <c r="A48" s="49"/>
      <c r="B48" s="50"/>
      <c r="C48" s="51"/>
      <c r="D48" s="50"/>
    </row>
    <row r="49" spans="1:6">
      <c r="A49" s="64" t="s">
        <v>48</v>
      </c>
      <c r="B49" s="61">
        <f>B23-B45</f>
        <v>17.54</v>
      </c>
      <c r="C49" s="51"/>
      <c r="D49" s="50"/>
      <c r="E49" s="50"/>
      <c r="F49" s="50"/>
    </row>
    <row r="50" spans="1:6">
      <c r="A50" s="64" t="s">
        <v>49</v>
      </c>
      <c r="B50" s="61">
        <v>65</v>
      </c>
      <c r="C50" s="51"/>
      <c r="D50" s="50"/>
      <c r="E50" s="50"/>
      <c r="F50" s="50"/>
    </row>
    <row r="51" spans="1:6">
      <c r="A51" s="53"/>
      <c r="B51" s="50"/>
      <c r="C51" s="51"/>
      <c r="D51" s="50"/>
      <c r="E51" s="50"/>
      <c r="F51" s="50"/>
    </row>
    <row r="52" spans="1:6">
      <c r="A52" s="64" t="s">
        <v>50</v>
      </c>
      <c r="B52" s="61"/>
      <c r="C52" s="51"/>
      <c r="D52" s="50"/>
      <c r="E52" s="50"/>
      <c r="F52" s="50"/>
    </row>
    <row r="53" spans="1:6">
      <c r="A53" s="64" t="s">
        <v>51</v>
      </c>
      <c r="B53" s="61">
        <v>64.66</v>
      </c>
      <c r="C53" s="51"/>
      <c r="D53" s="50"/>
      <c r="E53" s="50"/>
      <c r="F53" s="50"/>
    </row>
    <row r="54" spans="1:6">
      <c r="A54" s="65" t="s">
        <v>52</v>
      </c>
      <c r="B54" s="61">
        <f>SUM(B52:B53)</f>
        <v>64.66</v>
      </c>
      <c r="C54" s="51"/>
      <c r="D54" s="50"/>
      <c r="E54" s="50"/>
      <c r="F54" s="50"/>
    </row>
    <row r="55" spans="1:6">
      <c r="A55" s="66" t="s">
        <v>53</v>
      </c>
      <c r="B55" s="50"/>
      <c r="C55" s="51"/>
      <c r="D55" s="50"/>
      <c r="E55" s="50"/>
      <c r="F55" s="50"/>
    </row>
    <row r="56" spans="1:6">
      <c r="A56" s="53"/>
      <c r="B56" s="50"/>
      <c r="C56" s="51"/>
      <c r="D56" s="50"/>
      <c r="E56" s="50"/>
      <c r="F56" s="50"/>
    </row>
    <row r="57" spans="1:6">
      <c r="A57" s="64" t="s">
        <v>54</v>
      </c>
      <c r="B57" s="61">
        <f>B50-B54</f>
        <v>0.34000000000000341</v>
      </c>
      <c r="C57" s="51"/>
      <c r="D57" s="50"/>
      <c r="E57" s="50"/>
      <c r="F57" s="50"/>
    </row>
    <row r="58" spans="1:6">
      <c r="A58" s="64" t="s">
        <v>55</v>
      </c>
      <c r="B58" s="50"/>
      <c r="C58" s="51"/>
      <c r="D58" s="50"/>
      <c r="E58" s="50"/>
      <c r="F58" s="50"/>
    </row>
    <row r="59" spans="1:6">
      <c r="A59" s="53"/>
      <c r="B59" s="50"/>
      <c r="C59" s="51"/>
      <c r="D59" s="50"/>
      <c r="E59" s="50"/>
      <c r="F59" s="50"/>
    </row>
    <row r="60" spans="1:6">
      <c r="A60" s="52" t="s">
        <v>56</v>
      </c>
      <c r="B60" s="43" t="s">
        <v>57</v>
      </c>
      <c r="C60" s="67"/>
      <c r="D60" s="68" t="s">
        <v>58</v>
      </c>
      <c r="E60" s="68" t="s">
        <v>59</v>
      </c>
      <c r="F60" s="50"/>
    </row>
    <row r="61" spans="1:6">
      <c r="A61" s="46" t="s">
        <v>60</v>
      </c>
      <c r="B61" s="69" t="s">
        <v>61</v>
      </c>
      <c r="C61" s="70" t="s">
        <v>62</v>
      </c>
      <c r="D61" s="50"/>
      <c r="E61" s="50"/>
      <c r="F61" s="50"/>
    </row>
    <row r="62" spans="1:6">
      <c r="A62" s="50" t="s">
        <v>63</v>
      </c>
      <c r="B62" s="59">
        <v>0</v>
      </c>
      <c r="C62" s="59">
        <v>0</v>
      </c>
      <c r="D62" s="50">
        <v>0</v>
      </c>
      <c r="E62" s="59">
        <v>0</v>
      </c>
      <c r="F62" s="54"/>
    </row>
    <row r="63" spans="1:6">
      <c r="A63" s="50" t="s">
        <v>64</v>
      </c>
      <c r="B63" s="59">
        <v>0</v>
      </c>
      <c r="C63" s="59">
        <v>0</v>
      </c>
      <c r="D63" s="50">
        <v>0</v>
      </c>
      <c r="E63" s="59">
        <v>0</v>
      </c>
      <c r="F63" s="54"/>
    </row>
    <row r="64" spans="1:6">
      <c r="A64" s="50" t="s">
        <v>65</v>
      </c>
      <c r="B64" s="59">
        <v>0</v>
      </c>
      <c r="C64" s="59">
        <v>0</v>
      </c>
      <c r="D64" s="50">
        <v>0</v>
      </c>
      <c r="E64" s="59">
        <v>0</v>
      </c>
      <c r="F64" s="54"/>
    </row>
    <row r="65" spans="1:6">
      <c r="A65" s="50" t="s">
        <v>66</v>
      </c>
      <c r="B65" s="59">
        <v>0</v>
      </c>
      <c r="C65" s="59">
        <v>0</v>
      </c>
      <c r="D65" s="50">
        <v>0</v>
      </c>
      <c r="E65" s="59">
        <v>0</v>
      </c>
      <c r="F65" s="54"/>
    </row>
    <row r="66" spans="1:6">
      <c r="A66" s="50" t="s">
        <v>67</v>
      </c>
      <c r="B66" s="59">
        <v>0</v>
      </c>
      <c r="C66" s="59">
        <v>0</v>
      </c>
      <c r="D66" s="50">
        <v>0</v>
      </c>
      <c r="E66" s="59">
        <v>0</v>
      </c>
      <c r="F66" s="54"/>
    </row>
    <row r="67" spans="1:6">
      <c r="A67" s="50" t="s">
        <v>68</v>
      </c>
      <c r="B67" s="59">
        <v>0</v>
      </c>
      <c r="C67" s="59">
        <v>0</v>
      </c>
      <c r="D67" s="50">
        <v>0</v>
      </c>
      <c r="E67" s="59">
        <v>0</v>
      </c>
      <c r="F67" s="54"/>
    </row>
    <row r="68" spans="1:6">
      <c r="A68" s="50" t="s">
        <v>69</v>
      </c>
      <c r="B68" s="59">
        <v>0</v>
      </c>
      <c r="C68" s="59">
        <v>0</v>
      </c>
      <c r="D68" s="50">
        <v>0</v>
      </c>
      <c r="E68" s="59">
        <v>0</v>
      </c>
      <c r="F68" s="54"/>
    </row>
    <row r="69" spans="1:6">
      <c r="A69" s="50" t="s">
        <v>70</v>
      </c>
      <c r="B69" s="59">
        <v>0</v>
      </c>
      <c r="C69" s="59">
        <v>0</v>
      </c>
      <c r="D69" s="50">
        <v>0</v>
      </c>
      <c r="E69" s="59">
        <v>0</v>
      </c>
      <c r="F69" s="54"/>
    </row>
    <row r="70" spans="1:6">
      <c r="A70" s="50" t="s">
        <v>71</v>
      </c>
      <c r="B70" s="59">
        <v>0</v>
      </c>
      <c r="C70" s="59">
        <v>0</v>
      </c>
      <c r="D70" s="50">
        <v>0</v>
      </c>
      <c r="E70" s="59">
        <v>0</v>
      </c>
      <c r="F70" s="50"/>
    </row>
    <row r="71" spans="1:6">
      <c r="A71" s="71" t="s">
        <v>72</v>
      </c>
      <c r="B71" s="72"/>
      <c r="C71" s="73"/>
      <c r="D71" s="72"/>
      <c r="E71" s="72">
        <f>SUM(D62:D70)</f>
        <v>0</v>
      </c>
      <c r="F71" s="50"/>
    </row>
    <row r="72" spans="1:6">
      <c r="A72" s="71" t="s">
        <v>73</v>
      </c>
      <c r="B72" s="72"/>
      <c r="C72" s="73"/>
      <c r="D72" s="72"/>
      <c r="E72" s="72">
        <f>SUM(E62:E70)</f>
        <v>0</v>
      </c>
      <c r="F72" s="50"/>
    </row>
    <row r="73" spans="1:6">
      <c r="A73" s="71" t="s">
        <v>74</v>
      </c>
      <c r="B73" s="72"/>
      <c r="C73" s="73"/>
      <c r="D73" s="72"/>
      <c r="E73" s="72">
        <v>0</v>
      </c>
      <c r="F73" s="50"/>
    </row>
    <row r="74" spans="1:6">
      <c r="A74" s="53"/>
      <c r="B74" s="50"/>
      <c r="C74" s="51"/>
      <c r="D74" s="50"/>
      <c r="E74" s="50"/>
      <c r="F74" s="50"/>
    </row>
    <row r="75" spans="1:6">
      <c r="A75" s="52" t="s">
        <v>75</v>
      </c>
      <c r="B75" s="43" t="s">
        <v>57</v>
      </c>
      <c r="C75" s="67"/>
      <c r="D75" s="74" t="s">
        <v>1</v>
      </c>
      <c r="E75" s="74"/>
      <c r="F75" s="50"/>
    </row>
    <row r="76" spans="1:6">
      <c r="A76" s="46" t="s">
        <v>76</v>
      </c>
      <c r="B76" s="69" t="s">
        <v>61</v>
      </c>
      <c r="C76" s="70" t="s">
        <v>62</v>
      </c>
      <c r="D76" s="50"/>
      <c r="E76" s="50"/>
      <c r="F76" s="50"/>
    </row>
    <row r="77" spans="1:6">
      <c r="A77" s="53" t="s">
        <v>63</v>
      </c>
      <c r="B77" s="50"/>
      <c r="C77" s="51"/>
      <c r="D77" s="50"/>
      <c r="E77" s="50"/>
      <c r="F77" s="54"/>
    </row>
    <row r="78" spans="1:6">
      <c r="A78" s="53" t="s">
        <v>77</v>
      </c>
      <c r="B78" s="50"/>
      <c r="C78" s="51"/>
      <c r="D78" s="50"/>
      <c r="E78" s="50"/>
      <c r="F78" s="50"/>
    </row>
    <row r="79" spans="1:6">
      <c r="A79" s="53" t="s">
        <v>78</v>
      </c>
      <c r="B79" s="50"/>
      <c r="C79" s="51"/>
      <c r="D79" s="50"/>
      <c r="E79" s="50"/>
      <c r="F79" s="50"/>
    </row>
    <row r="80" spans="1:6">
      <c r="A80" s="53" t="s">
        <v>79</v>
      </c>
      <c r="B80" s="50"/>
      <c r="C80" s="51"/>
      <c r="D80" s="50"/>
      <c r="E80" s="50"/>
      <c r="F80" s="50"/>
    </row>
    <row r="81" spans="1:7">
      <c r="A81" s="53" t="s">
        <v>80</v>
      </c>
      <c r="B81" s="50"/>
      <c r="C81" s="51"/>
      <c r="D81" s="50"/>
      <c r="E81" s="50"/>
      <c r="F81" s="50"/>
      <c r="G81" s="50"/>
    </row>
    <row r="82" spans="1:7">
      <c r="A82" s="71" t="s">
        <v>81</v>
      </c>
      <c r="B82" s="72"/>
      <c r="C82" s="73"/>
      <c r="D82" s="72"/>
      <c r="E82" s="72"/>
      <c r="F82" s="50"/>
      <c r="G82" s="50"/>
    </row>
    <row r="83" spans="1:7">
      <c r="A83" s="71" t="s">
        <v>74</v>
      </c>
      <c r="B83" s="72"/>
      <c r="C83" s="73"/>
      <c r="D83" s="72"/>
      <c r="E83" s="72"/>
      <c r="F83" s="50"/>
      <c r="G83" s="50"/>
    </row>
    <row r="84" spans="1:7">
      <c r="A84" s="53"/>
      <c r="B84" s="50"/>
      <c r="C84" s="51"/>
      <c r="D84" s="50"/>
      <c r="E84" s="50"/>
      <c r="F84" s="50"/>
      <c r="G84" s="50"/>
    </row>
    <row r="85" spans="1:7">
      <c r="A85" s="75" t="s">
        <v>82</v>
      </c>
      <c r="B85" s="72"/>
      <c r="C85" s="73"/>
      <c r="D85" s="72"/>
      <c r="E85" s="72"/>
      <c r="F85" s="72"/>
      <c r="G85" s="72"/>
    </row>
    <row r="86" spans="1:7">
      <c r="A86" s="76" t="s">
        <v>83</v>
      </c>
      <c r="B86" s="77" t="s">
        <v>84</v>
      </c>
      <c r="C86" s="77" t="s">
        <v>85</v>
      </c>
      <c r="D86" s="77" t="s">
        <v>86</v>
      </c>
      <c r="E86" s="77"/>
      <c r="F86" s="77" t="s">
        <v>87</v>
      </c>
      <c r="G86" s="78" t="s">
        <v>88</v>
      </c>
    </row>
    <row r="87" spans="1:7">
      <c r="A87" s="79" t="s">
        <v>89</v>
      </c>
      <c r="B87" s="50">
        <v>0</v>
      </c>
      <c r="C87" s="50">
        <f>Stock!L5</f>
        <v>0</v>
      </c>
      <c r="D87" s="50">
        <f>C87-B87</f>
        <v>0</v>
      </c>
      <c r="E87" s="50"/>
      <c r="F87" s="61">
        <f>Stock!L5*Stock!O5</f>
        <v>0</v>
      </c>
      <c r="G87" s="61">
        <f>D87*Stock!O5</f>
        <v>0</v>
      </c>
    </row>
    <row r="88" spans="1:7">
      <c r="A88" s="79" t="s">
        <v>90</v>
      </c>
      <c r="B88" s="50">
        <v>0</v>
      </c>
      <c r="C88" s="50">
        <f>Stock!L6</f>
        <v>0</v>
      </c>
      <c r="D88" s="50">
        <f>C88-B88</f>
        <v>0</v>
      </c>
      <c r="E88" s="50"/>
      <c r="F88" s="61">
        <f>Stock!L6*Stock!O6</f>
        <v>0</v>
      </c>
      <c r="G88" s="61">
        <f>D88*Stock!O6</f>
        <v>0</v>
      </c>
    </row>
    <row r="89" spans="1:7">
      <c r="A89" s="53" t="s">
        <v>91</v>
      </c>
      <c r="B89" s="50">
        <v>6</v>
      </c>
      <c r="C89" s="50">
        <f>Stock!L7</f>
        <v>6</v>
      </c>
      <c r="D89" s="50">
        <f>C89-B89</f>
        <v>0</v>
      </c>
      <c r="E89" s="50"/>
      <c r="F89" s="61">
        <f>Stock!L7*Stock!O7</f>
        <v>0</v>
      </c>
      <c r="G89" s="61">
        <f>D89*Stock!O7</f>
        <v>0</v>
      </c>
    </row>
    <row r="90" spans="1:7">
      <c r="A90" s="53" t="s">
        <v>92</v>
      </c>
      <c r="B90" s="50">
        <v>0</v>
      </c>
      <c r="C90" s="50">
        <f>Stock!L9</f>
        <v>0</v>
      </c>
      <c r="D90" s="50">
        <f>C90-B90</f>
        <v>0</v>
      </c>
      <c r="E90" s="50"/>
      <c r="F90" s="61">
        <f>Stock!L9*Stock!O9</f>
        <v>0</v>
      </c>
      <c r="G90" s="61">
        <f>D90*Stock!O9</f>
        <v>0</v>
      </c>
    </row>
    <row r="91" spans="1:7">
      <c r="A91" s="53" t="s">
        <v>92</v>
      </c>
      <c r="B91" s="50">
        <v>0</v>
      </c>
      <c r="C91" s="50">
        <f>Stock!L9</f>
        <v>0</v>
      </c>
      <c r="D91" s="50">
        <f>C91-B91</f>
        <v>0</v>
      </c>
      <c r="E91" s="50"/>
      <c r="F91" s="61">
        <f>Stock!L9*Stock!O9</f>
        <v>0</v>
      </c>
      <c r="G91" s="61">
        <f>D91*Stock!O9</f>
        <v>0</v>
      </c>
    </row>
    <row r="92" spans="1:7">
      <c r="A92" s="53" t="s">
        <v>93</v>
      </c>
      <c r="B92" s="50">
        <v>0</v>
      </c>
      <c r="C92" s="50">
        <f>Stock!L10</f>
        <v>0</v>
      </c>
      <c r="D92" s="50">
        <f>C92-B92</f>
        <v>0</v>
      </c>
      <c r="E92" s="50"/>
      <c r="F92" s="61">
        <f>Stock!L10*Stock!O10</f>
        <v>0</v>
      </c>
      <c r="G92" s="61">
        <f>D92*Stock!O10</f>
        <v>0</v>
      </c>
    </row>
    <row r="93" spans="1:7">
      <c r="A93" s="53" t="s">
        <v>94</v>
      </c>
      <c r="B93" s="50">
        <v>0</v>
      </c>
      <c r="C93" s="50">
        <f>Stock!L11</f>
        <v>0</v>
      </c>
      <c r="D93" s="50">
        <f>C93-B93</f>
        <v>0</v>
      </c>
      <c r="E93" s="50"/>
      <c r="F93" s="61">
        <f>Stock!L11*Stock!O11</f>
        <v>0</v>
      </c>
      <c r="G93" s="61">
        <f>D93*Stock!O11</f>
        <v>0</v>
      </c>
    </row>
    <row r="94" spans="1:7">
      <c r="A94" s="53" t="s">
        <v>95</v>
      </c>
      <c r="B94" s="50">
        <v>0</v>
      </c>
      <c r="C94" s="50">
        <f>Stock!L12</f>
        <v>0</v>
      </c>
      <c r="D94" s="50">
        <f>C94-B94</f>
        <v>0</v>
      </c>
      <c r="E94" s="50"/>
      <c r="F94" s="61">
        <f>Stock!L12*Stock!O12</f>
        <v>0</v>
      </c>
      <c r="G94" s="61">
        <f>D94*Stock!O12</f>
        <v>0</v>
      </c>
    </row>
    <row r="95" spans="1:7">
      <c r="A95" s="53" t="s">
        <v>96</v>
      </c>
      <c r="B95" s="50">
        <v>2</v>
      </c>
      <c r="C95" s="50">
        <f>Stock!L13</f>
        <v>2</v>
      </c>
      <c r="D95" s="50">
        <f>C95-B95</f>
        <v>0</v>
      </c>
      <c r="E95" s="50"/>
      <c r="F95" s="61">
        <f>Stock!L13*Stock!O13</f>
        <v>0</v>
      </c>
      <c r="G95" s="61">
        <f>D95*Stock!O13</f>
        <v>0</v>
      </c>
    </row>
    <row r="96" spans="1:7">
      <c r="A96" s="53" t="s">
        <v>97</v>
      </c>
      <c r="B96" s="50">
        <v>19</v>
      </c>
      <c r="C96" s="50">
        <f>Stock!L14</f>
        <v>16</v>
      </c>
      <c r="D96" s="50">
        <f>C96-B96</f>
        <v>-3</v>
      </c>
      <c r="E96" s="50"/>
      <c r="F96" s="61">
        <f>Stock!L14*Stock!O14</f>
        <v>8</v>
      </c>
      <c r="G96" s="61">
        <f>D96*Stock!O14</f>
        <v>-1.5</v>
      </c>
    </row>
    <row r="97" spans="1:7">
      <c r="A97" s="53" t="s">
        <v>98</v>
      </c>
      <c r="B97" s="50">
        <v>0</v>
      </c>
      <c r="C97" s="50">
        <f>Stock!L15</f>
        <v>0</v>
      </c>
      <c r="D97" s="50">
        <f>C97-B97</f>
        <v>0</v>
      </c>
      <c r="E97" s="50"/>
      <c r="F97" s="61">
        <f>Stock!L15*Stock!O15</f>
        <v>0</v>
      </c>
      <c r="G97" s="61">
        <f>D97*Stock!O15</f>
        <v>0</v>
      </c>
    </row>
    <row r="98" spans="1:7">
      <c r="A98" s="53" t="s">
        <v>99</v>
      </c>
      <c r="B98" s="50">
        <v>0</v>
      </c>
      <c r="C98" s="50">
        <f>Stock!L16</f>
        <v>0</v>
      </c>
      <c r="D98" s="50">
        <f>C98-B98</f>
        <v>0</v>
      </c>
      <c r="E98" s="50"/>
      <c r="F98" s="61">
        <f>Stock!L16*Stock!O16</f>
        <v>0</v>
      </c>
      <c r="G98" s="61">
        <f>D98*Stock!O16</f>
        <v>0</v>
      </c>
    </row>
    <row r="99" spans="1:7">
      <c r="A99" s="53" t="s">
        <v>100</v>
      </c>
      <c r="B99" s="50">
        <v>10</v>
      </c>
      <c r="C99" s="50">
        <f>Stock!L17</f>
        <v>10</v>
      </c>
      <c r="D99" s="50">
        <f>C99-B99</f>
        <v>0</v>
      </c>
      <c r="E99" s="50"/>
      <c r="F99" s="61">
        <f>Stock!L17*Stock!O17</f>
        <v>0</v>
      </c>
      <c r="G99" s="61">
        <f>D99*Stock!O17</f>
        <v>0</v>
      </c>
    </row>
    <row r="100" spans="1:7">
      <c r="A100" s="53" t="s">
        <v>101</v>
      </c>
      <c r="B100" s="50">
        <v>0</v>
      </c>
      <c r="C100" s="50">
        <f>Stock!L18</f>
        <v>0</v>
      </c>
      <c r="D100" s="50">
        <f>C100-B100</f>
        <v>0</v>
      </c>
      <c r="E100" s="50"/>
      <c r="F100" s="61">
        <f>Stock!L18*Stock!O18</f>
        <v>0</v>
      </c>
      <c r="G100" s="61">
        <f>D100*Stock!O18</f>
        <v>0</v>
      </c>
    </row>
    <row r="101" spans="1:7">
      <c r="A101" s="53" t="s">
        <v>102</v>
      </c>
      <c r="B101" s="50">
        <v>0</v>
      </c>
      <c r="C101" s="50">
        <f>Stock!L19</f>
        <v>0</v>
      </c>
      <c r="D101" s="50">
        <f>C101-B101</f>
        <v>0</v>
      </c>
      <c r="E101" s="50"/>
      <c r="F101" s="61">
        <f>Stock!L19*Stock!O19</f>
        <v>0</v>
      </c>
      <c r="G101" s="61">
        <f>D101*Stock!O19</f>
        <v>0</v>
      </c>
    </row>
    <row r="102" spans="1:7">
      <c r="A102" s="53" t="s">
        <v>103</v>
      </c>
      <c r="B102" s="50">
        <v>0</v>
      </c>
      <c r="C102" s="50">
        <f>Stock!L20</f>
        <v>0</v>
      </c>
      <c r="D102" s="50">
        <f>C102-B102</f>
        <v>0</v>
      </c>
      <c r="E102" s="50"/>
      <c r="F102" s="61">
        <f>Stock!L20*Stock!O20</f>
        <v>0</v>
      </c>
      <c r="G102" s="61">
        <f>D102*Stock!O20</f>
        <v>0</v>
      </c>
    </row>
    <row r="103" spans="1:7">
      <c r="A103" s="53" t="s">
        <v>104</v>
      </c>
      <c r="B103" s="50">
        <v>0</v>
      </c>
      <c r="C103" s="50">
        <f>Stock!L21</f>
        <v>0</v>
      </c>
      <c r="D103" s="50">
        <f>C103-B103</f>
        <v>0</v>
      </c>
      <c r="E103" s="50"/>
      <c r="F103" s="61">
        <f>Stock!L21*Stock!O21</f>
        <v>0</v>
      </c>
      <c r="G103" s="61">
        <f>D103*Stock!O21</f>
        <v>0</v>
      </c>
    </row>
    <row r="104" spans="1:7">
      <c r="A104" s="53" t="s">
        <v>105</v>
      </c>
      <c r="B104" s="50">
        <v>0</v>
      </c>
      <c r="C104" s="50">
        <f>Stock!L22</f>
        <v>0</v>
      </c>
      <c r="D104" s="50">
        <f>C104-B104</f>
        <v>0</v>
      </c>
      <c r="E104" s="50"/>
      <c r="F104" s="61">
        <f>Stock!L22*Stock!O22</f>
        <v>0</v>
      </c>
      <c r="G104" s="61">
        <f>D104*Stock!O22</f>
        <v>0</v>
      </c>
    </row>
    <row r="105" spans="1:7">
      <c r="A105" s="53" t="s">
        <v>106</v>
      </c>
      <c r="B105" s="50">
        <v>0</v>
      </c>
      <c r="C105" s="50">
        <f>Stock!L23</f>
        <v>0</v>
      </c>
      <c r="D105" s="50">
        <f>C105-B105</f>
        <v>0</v>
      </c>
      <c r="E105" s="50"/>
      <c r="F105" s="61">
        <f>Stock!L23*Stock!O23</f>
        <v>0</v>
      </c>
      <c r="G105" s="61">
        <f>D105*Stock!O23</f>
        <v>0</v>
      </c>
    </row>
    <row r="106" spans="1:7">
      <c r="A106" s="53" t="s">
        <v>107</v>
      </c>
      <c r="B106" s="50">
        <v>0</v>
      </c>
      <c r="C106" s="50">
        <f>Stock!L24</f>
        <v>0</v>
      </c>
      <c r="D106" s="50">
        <f>C106-B106</f>
        <v>0</v>
      </c>
      <c r="E106" s="50"/>
      <c r="F106" s="61">
        <f>Stock!L24*Stock!O24</f>
        <v>0</v>
      </c>
      <c r="G106" s="61">
        <f>D106*Stock!O24</f>
        <v>0</v>
      </c>
    </row>
    <row r="107" spans="1:7">
      <c r="A107" s="53" t="s">
        <v>108</v>
      </c>
      <c r="B107" s="50">
        <v>0</v>
      </c>
      <c r="C107" s="50">
        <f>Stock!L25</f>
        <v>0</v>
      </c>
      <c r="D107" s="50">
        <f>C107-B107</f>
        <v>0</v>
      </c>
      <c r="E107" s="50"/>
      <c r="F107" s="61">
        <f>Stock!L25*Stock!O25</f>
        <v>0</v>
      </c>
      <c r="G107" s="61">
        <f>D107*Stock!O25</f>
        <v>0</v>
      </c>
    </row>
    <row r="108" spans="1:7">
      <c r="A108" s="53" t="s">
        <v>109</v>
      </c>
      <c r="B108" s="50">
        <v>0</v>
      </c>
      <c r="C108" s="50">
        <f>Stock!L26</f>
        <v>0</v>
      </c>
      <c r="D108" s="50">
        <f>C108-B108</f>
        <v>0</v>
      </c>
      <c r="E108" s="50"/>
      <c r="F108" s="61">
        <f>Stock!L26*Stock!O26</f>
        <v>0</v>
      </c>
      <c r="G108" s="61">
        <f>D108*Stock!O26</f>
        <v>0</v>
      </c>
    </row>
    <row r="109" spans="1:7">
      <c r="A109" s="53" t="s">
        <v>110</v>
      </c>
      <c r="B109" s="50">
        <v>0</v>
      </c>
      <c r="C109" s="50">
        <f>Stock!L27</f>
        <v>0</v>
      </c>
      <c r="D109" s="50">
        <f>C109-B109</f>
        <v>0</v>
      </c>
      <c r="E109" s="50"/>
      <c r="F109" s="61">
        <f>Stock!L27*Stock!O27</f>
        <v>0</v>
      </c>
      <c r="G109" s="61">
        <f>D109*Stock!O27</f>
        <v>0</v>
      </c>
    </row>
    <row r="110" spans="1:7">
      <c r="A110" s="53" t="s">
        <v>111</v>
      </c>
      <c r="B110" s="50">
        <v>0</v>
      </c>
      <c r="C110" s="50">
        <f>Stock!L28</f>
        <v>0</v>
      </c>
      <c r="D110" s="50">
        <f>C110-B110</f>
        <v>0</v>
      </c>
      <c r="E110" s="50"/>
      <c r="F110" s="61">
        <f>Stock!L28*Stock!O28</f>
        <v>0</v>
      </c>
      <c r="G110" s="61">
        <f>D110*Stock!O28</f>
        <v>0</v>
      </c>
    </row>
    <row r="111" spans="1:7">
      <c r="A111" s="53" t="s">
        <v>112</v>
      </c>
      <c r="B111" s="50">
        <v>0</v>
      </c>
      <c r="C111" s="50">
        <f>Stock!L29</f>
        <v>0</v>
      </c>
      <c r="D111" s="50">
        <f>C111-B111</f>
        <v>0</v>
      </c>
      <c r="E111" s="50"/>
      <c r="F111" s="61">
        <f>Stock!L29*Stock!O29</f>
        <v>0</v>
      </c>
      <c r="G111" s="61">
        <f>D111*Stock!O29</f>
        <v>0</v>
      </c>
    </row>
    <row r="112" spans="1:7">
      <c r="A112" s="53" t="s">
        <v>113</v>
      </c>
      <c r="B112" s="50">
        <v>0</v>
      </c>
      <c r="C112" s="50">
        <f>Stock!L30</f>
        <v>0</v>
      </c>
      <c r="D112" s="50">
        <f>C112-B112</f>
        <v>0</v>
      </c>
      <c r="E112" s="50"/>
      <c r="F112" s="61">
        <f>Stock!L30*Stock!O30</f>
        <v>0</v>
      </c>
      <c r="G112" s="61">
        <f>D112*Stock!O30</f>
        <v>0</v>
      </c>
    </row>
    <row r="113" spans="1:7">
      <c r="A113" s="71" t="s">
        <v>114</v>
      </c>
      <c r="B113" s="72"/>
      <c r="C113" s="73"/>
      <c r="D113" s="72"/>
      <c r="E113" s="72"/>
      <c r="F113" s="80">
        <f>SUM(F87:F112)</f>
        <v>8</v>
      </c>
      <c r="G113" s="80">
        <f>SUM(G87:G112)</f>
        <v>-1.5</v>
      </c>
    </row>
    <row r="114" spans="1:7">
      <c r="A114" s="71" t="s">
        <v>115</v>
      </c>
      <c r="B114" s="72"/>
      <c r="C114" s="73"/>
      <c r="D114" s="72"/>
      <c r="E114" s="72"/>
      <c r="F114" s="80">
        <f>SUM(Stock!T5:T30)</f>
        <v>0</v>
      </c>
      <c r="G114" s="80"/>
    </row>
    <row r="115" spans="1:7">
      <c r="A115" s="71" t="s">
        <v>74</v>
      </c>
      <c r="B115" s="72"/>
      <c r="C115" s="73"/>
      <c r="D115" s="72"/>
      <c r="E115" s="72"/>
      <c r="F115" s="80">
        <f>SUM(Stock!R5:R30)</f>
        <v>1.5</v>
      </c>
      <c r="G115" s="80"/>
    </row>
    <row r="116" spans="1:7">
      <c r="A116" s="53"/>
      <c r="B116" s="50"/>
      <c r="C116" s="51"/>
      <c r="D116" s="50"/>
      <c r="E116" s="50"/>
      <c r="F116" s="50"/>
      <c r="G116" s="50"/>
    </row>
    <row r="117" spans="1:7">
      <c r="A117" s="52" t="s">
        <v>116</v>
      </c>
      <c r="B117" s="77" t="s">
        <v>84</v>
      </c>
      <c r="C117" s="77" t="s">
        <v>85</v>
      </c>
      <c r="D117" s="77" t="s">
        <v>86</v>
      </c>
      <c r="E117" s="77"/>
      <c r="F117" s="77" t="s">
        <v>87</v>
      </c>
      <c r="G117" s="50"/>
    </row>
    <row r="118" spans="1:7">
      <c r="A118" s="79" t="s">
        <v>117</v>
      </c>
      <c r="B118" s="59">
        <v>0</v>
      </c>
      <c r="C118" s="59">
        <v>0</v>
      </c>
      <c r="D118" s="59">
        <v>0</v>
      </c>
      <c r="E118" s="50"/>
      <c r="F118" s="50"/>
      <c r="G118" s="50"/>
    </row>
    <row r="119" spans="1:7">
      <c r="A119" s="53" t="s">
        <v>118</v>
      </c>
      <c r="B119" s="59">
        <v>0</v>
      </c>
      <c r="C119" s="59">
        <v>0</v>
      </c>
      <c r="D119" s="59">
        <v>0</v>
      </c>
      <c r="E119" s="50"/>
      <c r="F119" s="50"/>
      <c r="G119" s="50"/>
    </row>
    <row r="120" spans="1:7">
      <c r="A120" s="53" t="s">
        <v>119</v>
      </c>
      <c r="B120" s="59">
        <v>0</v>
      </c>
      <c r="C120" s="59">
        <v>0</v>
      </c>
      <c r="D120" s="59">
        <v>0</v>
      </c>
      <c r="E120" s="50"/>
      <c r="F120" s="50"/>
      <c r="G120" s="50"/>
    </row>
    <row r="121" spans="1:7">
      <c r="A121" s="53" t="s">
        <v>120</v>
      </c>
      <c r="B121" s="59">
        <v>0</v>
      </c>
      <c r="C121" s="59">
        <v>0</v>
      </c>
      <c r="D121" s="59">
        <v>0</v>
      </c>
      <c r="E121" s="50"/>
      <c r="F121" s="50"/>
      <c r="G121" s="50"/>
    </row>
    <row r="122" spans="1:7">
      <c r="A122" s="53" t="s">
        <v>121</v>
      </c>
      <c r="B122" s="59">
        <v>0</v>
      </c>
      <c r="C122" s="59">
        <v>0</v>
      </c>
      <c r="D122" s="59">
        <v>0</v>
      </c>
      <c r="E122" s="50"/>
      <c r="F122" s="50"/>
      <c r="G122" s="50"/>
    </row>
    <row r="123" spans="1:7">
      <c r="A123" s="81" t="s">
        <v>81</v>
      </c>
      <c r="B123" s="72"/>
      <c r="C123" s="73"/>
      <c r="D123" s="72"/>
      <c r="E123" s="72"/>
      <c r="F123" s="72">
        <f>SUM(F118:F122)</f>
        <v>0</v>
      </c>
      <c r="G123" s="50"/>
    </row>
    <row r="124" spans="1:7">
      <c r="A124" s="81" t="s">
        <v>74</v>
      </c>
      <c r="B124" s="72"/>
      <c r="C124" s="73"/>
      <c r="D124" s="72"/>
      <c r="E124" s="72"/>
      <c r="F124" s="72"/>
      <c r="G124" s="50"/>
    </row>
    <row r="125" spans="1:7">
      <c r="A125" s="46"/>
      <c r="B125" s="50"/>
      <c r="C125" s="51"/>
      <c r="D125" s="50"/>
      <c r="E125" s="50"/>
      <c r="F125" s="50"/>
      <c r="G125" s="50"/>
    </row>
    <row r="126" spans="1:7">
      <c r="A126" s="52" t="s">
        <v>122</v>
      </c>
      <c r="B126" s="77" t="s">
        <v>84</v>
      </c>
      <c r="C126" s="77" t="s">
        <v>85</v>
      </c>
      <c r="D126" s="77" t="s">
        <v>86</v>
      </c>
      <c r="E126" s="77"/>
      <c r="F126" s="77" t="s">
        <v>87</v>
      </c>
      <c r="G126" s="50"/>
    </row>
    <row r="127" spans="1:7">
      <c r="A127" s="53" t="s">
        <v>123</v>
      </c>
      <c r="B127" s="59">
        <v>0</v>
      </c>
      <c r="C127" s="59">
        <v>0</v>
      </c>
      <c r="D127" s="59">
        <v>0</v>
      </c>
      <c r="E127" s="50"/>
      <c r="F127" s="50"/>
      <c r="G127" s="50"/>
    </row>
    <row r="128" spans="1:7">
      <c r="A128" s="53" t="s">
        <v>124</v>
      </c>
      <c r="B128" s="59">
        <v>0</v>
      </c>
      <c r="C128" s="59">
        <v>0</v>
      </c>
      <c r="D128" s="59">
        <v>0</v>
      </c>
      <c r="E128" s="50"/>
      <c r="F128" s="50"/>
      <c r="G128" s="50"/>
    </row>
    <row r="129" spans="1:4">
      <c r="A129" s="53" t="s">
        <v>125</v>
      </c>
      <c r="B129" s="59">
        <v>0</v>
      </c>
      <c r="C129" s="59">
        <v>0</v>
      </c>
      <c r="D129" s="59">
        <v>0</v>
      </c>
    </row>
    <row r="130" spans="1:4">
      <c r="A130" s="53" t="s">
        <v>126</v>
      </c>
      <c r="B130" s="59">
        <v>0</v>
      </c>
      <c r="C130" s="59">
        <v>0</v>
      </c>
      <c r="D130" s="59">
        <v>0</v>
      </c>
    </row>
    <row r="131" spans="1:4">
      <c r="A131" s="53" t="s">
        <v>127</v>
      </c>
      <c r="B131" s="59">
        <v>0</v>
      </c>
      <c r="C131" s="59">
        <v>0</v>
      </c>
      <c r="D131" s="59">
        <v>0</v>
      </c>
    </row>
    <row r="132" spans="1:4">
      <c r="A132" s="53" t="s">
        <v>128</v>
      </c>
      <c r="B132" s="59">
        <v>0</v>
      </c>
      <c r="C132" s="59">
        <v>0</v>
      </c>
      <c r="D132" s="59">
        <v>0</v>
      </c>
    </row>
    <row r="133" spans="1:4">
      <c r="A133" s="1" t="s">
        <v>129</v>
      </c>
      <c r="B133" s="59">
        <v>0</v>
      </c>
      <c r="C133" s="59">
        <v>0</v>
      </c>
      <c r="D133" s="59">
        <v>0</v>
      </c>
    </row>
    <row r="134" spans="1:4">
      <c r="A134" s="82" t="s">
        <v>130</v>
      </c>
      <c r="B134" s="50"/>
      <c r="C134" s="51"/>
      <c r="D134" s="50"/>
    </row>
    <row r="135" spans="1:4">
      <c r="A135" s="82" t="s">
        <v>131</v>
      </c>
      <c r="B135" s="50"/>
      <c r="C135" s="51"/>
      <c r="D135" s="50"/>
    </row>
    <row r="136" spans="1:4">
      <c r="A136" s="82" t="s">
        <v>132</v>
      </c>
      <c r="B136" s="50"/>
      <c r="C136" s="51"/>
      <c r="D136" s="50"/>
    </row>
    <row r="137" spans="1:4">
      <c r="A137" s="82" t="s">
        <v>133</v>
      </c>
      <c r="B137" s="50"/>
      <c r="C137" s="51"/>
      <c r="D137" s="50"/>
    </row>
    <row r="138" spans="1:4">
      <c r="A138" s="2" t="s">
        <v>134</v>
      </c>
      <c r="B138" s="59">
        <v>0</v>
      </c>
      <c r="C138" s="59">
        <v>0</v>
      </c>
      <c r="D138" s="59">
        <v>0</v>
      </c>
    </row>
    <row r="139" spans="1:4">
      <c r="A139" s="82" t="s">
        <v>135</v>
      </c>
      <c r="B139" s="50"/>
      <c r="C139" s="51"/>
      <c r="D139" s="50"/>
    </row>
    <row r="140" spans="1:4">
      <c r="A140" s="82" t="s">
        <v>136</v>
      </c>
      <c r="B140" s="50"/>
      <c r="C140" s="51"/>
      <c r="D140" s="50"/>
    </row>
    <row r="141" spans="1:4">
      <c r="A141" s="82" t="s">
        <v>137</v>
      </c>
      <c r="B141" s="50"/>
      <c r="C141" s="51"/>
      <c r="D141" s="50"/>
    </row>
    <row r="142" spans="1:4">
      <c r="A142" s="82" t="s">
        <v>138</v>
      </c>
      <c r="B142" s="50"/>
      <c r="C142" s="51"/>
      <c r="D142" s="50"/>
    </row>
    <row r="143" spans="1:4">
      <c r="A143" s="2" t="s">
        <v>139</v>
      </c>
      <c r="B143" s="59">
        <v>0</v>
      </c>
      <c r="C143" s="59">
        <v>0</v>
      </c>
      <c r="D143" s="59">
        <v>0</v>
      </c>
    </row>
    <row r="144" spans="1:4">
      <c r="A144" s="53" t="s">
        <v>140</v>
      </c>
      <c r="B144" s="59">
        <v>0</v>
      </c>
      <c r="C144" s="59">
        <v>0</v>
      </c>
      <c r="D144" s="59">
        <v>0</v>
      </c>
    </row>
    <row r="145" spans="1:7">
      <c r="A145" s="53" t="s">
        <v>141</v>
      </c>
      <c r="B145" s="59">
        <v>0</v>
      </c>
      <c r="C145" s="59">
        <v>0</v>
      </c>
      <c r="D145" s="59">
        <v>0</v>
      </c>
      <c r="E145" s="50"/>
      <c r="F145" s="50"/>
      <c r="G145" s="50"/>
    </row>
    <row r="146" spans="1:7">
      <c r="A146" s="53" t="s">
        <v>142</v>
      </c>
      <c r="B146" s="59">
        <v>0</v>
      </c>
      <c r="C146" s="59">
        <v>0</v>
      </c>
      <c r="D146" s="59">
        <v>0</v>
      </c>
      <c r="E146" s="50"/>
      <c r="F146" s="50"/>
      <c r="G146" s="50"/>
    </row>
    <row r="147" spans="1:7">
      <c r="A147" s="71" t="s">
        <v>81</v>
      </c>
      <c r="B147" s="72"/>
      <c r="C147" s="73"/>
      <c r="D147" s="72"/>
      <c r="E147" s="72"/>
      <c r="F147" s="72"/>
      <c r="G147" s="50"/>
    </row>
    <row r="148" spans="1:7">
      <c r="A148" s="71" t="s">
        <v>74</v>
      </c>
      <c r="B148" s="72"/>
      <c r="C148" s="73"/>
      <c r="D148" s="72"/>
      <c r="E148" s="72"/>
      <c r="F148" s="72"/>
      <c r="G148" s="50"/>
    </row>
    <row r="149" spans="1:7">
      <c r="A149" s="53"/>
      <c r="B149" s="50"/>
      <c r="C149" s="51"/>
      <c r="D149" s="50"/>
      <c r="E149" s="50"/>
      <c r="F149" s="50"/>
      <c r="G149" s="50"/>
    </row>
    <row r="150" spans="1:7">
      <c r="A150" s="52" t="s">
        <v>143</v>
      </c>
      <c r="B150" s="77" t="s">
        <v>84</v>
      </c>
      <c r="C150" s="77" t="s">
        <v>85</v>
      </c>
      <c r="D150" s="77" t="s">
        <v>86</v>
      </c>
      <c r="E150" s="77"/>
      <c r="F150" s="77" t="s">
        <v>87</v>
      </c>
      <c r="G150" s="50"/>
    </row>
    <row r="151" spans="1:7">
      <c r="A151" s="79" t="s">
        <v>144</v>
      </c>
      <c r="B151" s="50">
        <f>Stock!B67</f>
        <v>0</v>
      </c>
      <c r="C151" s="50">
        <f>Stock!B67-Stock!M67</f>
        <v>0</v>
      </c>
      <c r="D151" s="50">
        <f>B151-C151</f>
        <v>0</v>
      </c>
      <c r="E151" s="50"/>
      <c r="F151" s="50">
        <f>Stock!Q67</f>
        <v>0</v>
      </c>
      <c r="G151" s="50"/>
    </row>
    <row r="152" spans="1:7">
      <c r="A152" s="53" t="s">
        <v>145</v>
      </c>
      <c r="B152" s="50">
        <f>Stock!B68</f>
        <v>0</v>
      </c>
      <c r="C152" s="50">
        <f>Stock!B68-Stock!M68</f>
        <v>0</v>
      </c>
      <c r="D152" s="50">
        <f>B152-C152</f>
        <v>0</v>
      </c>
      <c r="E152" s="50"/>
      <c r="F152" s="50">
        <f>Stock!Q68</f>
        <v>0</v>
      </c>
      <c r="G152" s="50"/>
    </row>
    <row r="153" spans="1:7">
      <c r="A153" s="53" t="s">
        <v>146</v>
      </c>
      <c r="B153" s="50">
        <v>0</v>
      </c>
      <c r="C153" s="50">
        <f>Stock!B69-Stock!M69</f>
        <v>0</v>
      </c>
      <c r="D153" s="50">
        <f>B153-C153</f>
        <v>0</v>
      </c>
      <c r="E153" s="50"/>
      <c r="F153" s="50">
        <f>Stock!Q69</f>
        <v>0</v>
      </c>
      <c r="G153" s="50"/>
    </row>
    <row r="154" spans="1:7">
      <c r="A154" s="53" t="s">
        <v>147</v>
      </c>
      <c r="B154" s="50">
        <v>0</v>
      </c>
      <c r="C154" s="50">
        <f>Stock!B70-Stock!M70</f>
        <v>10</v>
      </c>
      <c r="D154" s="50">
        <f>B154-C154</f>
        <v>-10</v>
      </c>
      <c r="E154" s="50"/>
      <c r="F154" s="50">
        <f>Stock!Q70</f>
        <v>0</v>
      </c>
      <c r="G154" s="50"/>
    </row>
    <row r="155" spans="1:7">
      <c r="A155" s="81" t="s">
        <v>81</v>
      </c>
      <c r="B155" s="72"/>
      <c r="C155" s="72"/>
      <c r="D155" s="72"/>
      <c r="E155" s="72"/>
      <c r="F155" s="72">
        <f>SUM(F151:F154)</f>
        <v>0</v>
      </c>
      <c r="G155" s="50"/>
    </row>
    <row r="156" spans="1:7">
      <c r="A156" s="81" t="s">
        <v>74</v>
      </c>
      <c r="B156" s="72"/>
      <c r="C156" s="73"/>
      <c r="D156" s="72"/>
      <c r="E156" s="72"/>
      <c r="F156" s="72">
        <f>SUM(Stock!R67:R70)</f>
        <v>0.08</v>
      </c>
      <c r="G156" s="50"/>
    </row>
    <row r="157" spans="1:7">
      <c r="A157" s="53"/>
      <c r="B157" s="50"/>
      <c r="C157" s="51"/>
      <c r="D157" s="50"/>
      <c r="E157" s="50"/>
      <c r="F157" s="50"/>
      <c r="G157" s="50"/>
    </row>
    <row r="158" spans="1:7">
      <c r="A158" s="52" t="s">
        <v>148</v>
      </c>
      <c r="B158" s="77" t="s">
        <v>84</v>
      </c>
      <c r="C158" s="77" t="s">
        <v>85</v>
      </c>
      <c r="D158" s="77" t="s">
        <v>86</v>
      </c>
      <c r="E158" s="77"/>
      <c r="F158" s="77" t="s">
        <v>87</v>
      </c>
      <c r="G158" s="50"/>
    </row>
    <row r="159" spans="1:7">
      <c r="A159" s="53" t="s">
        <v>149</v>
      </c>
      <c r="B159" s="59">
        <v>0</v>
      </c>
      <c r="C159" s="59">
        <v>0</v>
      </c>
      <c r="D159" s="59">
        <v>0</v>
      </c>
      <c r="E159" s="50"/>
      <c r="F159" s="50"/>
      <c r="G159" s="50"/>
    </row>
    <row r="160" spans="1:7">
      <c r="A160" s="53" t="s">
        <v>150</v>
      </c>
      <c r="B160" s="59">
        <v>0</v>
      </c>
      <c r="C160" s="59">
        <v>0</v>
      </c>
      <c r="D160" s="59">
        <v>0</v>
      </c>
      <c r="E160" s="50"/>
      <c r="F160" s="50"/>
      <c r="G160" s="50"/>
    </row>
    <row r="161" spans="1:7">
      <c r="A161" s="53" t="s">
        <v>151</v>
      </c>
      <c r="B161" s="59">
        <v>0</v>
      </c>
      <c r="C161" s="59">
        <v>0</v>
      </c>
      <c r="D161" s="59">
        <v>0</v>
      </c>
      <c r="E161" s="50"/>
      <c r="F161" s="50"/>
      <c r="G161" s="50"/>
    </row>
    <row r="162" spans="1:7">
      <c r="A162" s="71" t="s">
        <v>152</v>
      </c>
      <c r="B162" s="72"/>
      <c r="C162" s="73"/>
      <c r="D162" s="72"/>
      <c r="E162" s="72"/>
      <c r="F162" s="72">
        <f>SUM(F159:F160)</f>
        <v>0</v>
      </c>
      <c r="G162" s="50"/>
    </row>
    <row r="163" spans="1:7">
      <c r="A163" s="71" t="s">
        <v>74</v>
      </c>
      <c r="B163" s="72"/>
      <c r="C163" s="73"/>
      <c r="D163" s="72"/>
      <c r="E163" s="72"/>
      <c r="F163" s="72"/>
      <c r="G163" s="50"/>
    </row>
    <row r="164" spans="1:7">
      <c r="A164" s="53"/>
      <c r="B164" s="50"/>
      <c r="C164" s="51"/>
      <c r="D164" s="50"/>
      <c r="E164" s="50"/>
      <c r="F164" s="50"/>
      <c r="G164" s="50"/>
    </row>
    <row r="165" spans="1:7">
      <c r="A165" s="52" t="s">
        <v>153</v>
      </c>
      <c r="B165" s="77" t="s">
        <v>84</v>
      </c>
      <c r="C165" s="77" t="s">
        <v>85</v>
      </c>
      <c r="D165" s="77" t="s">
        <v>86</v>
      </c>
      <c r="E165" s="77"/>
      <c r="F165" s="77" t="s">
        <v>87</v>
      </c>
      <c r="G165" s="50"/>
    </row>
    <row r="166" spans="1:7">
      <c r="A166" s="53" t="s">
        <v>154</v>
      </c>
      <c r="B166" s="59">
        <v>0</v>
      </c>
      <c r="C166" s="59">
        <v>0</v>
      </c>
      <c r="D166" s="59">
        <v>0</v>
      </c>
      <c r="E166" s="50"/>
      <c r="F166" s="50"/>
      <c r="G166" s="50"/>
    </row>
    <row r="167" spans="1:7">
      <c r="A167" s="53" t="s">
        <v>155</v>
      </c>
      <c r="B167" s="59">
        <v>0</v>
      </c>
      <c r="C167" s="59">
        <v>0</v>
      </c>
      <c r="D167" s="59">
        <v>0</v>
      </c>
      <c r="E167" s="50"/>
      <c r="F167" s="50"/>
      <c r="G167" s="50"/>
    </row>
    <row r="168" spans="1:7">
      <c r="A168" s="53" t="s">
        <v>156</v>
      </c>
      <c r="B168" s="59">
        <v>0</v>
      </c>
      <c r="C168" s="59">
        <v>0</v>
      </c>
      <c r="D168" s="59">
        <v>0</v>
      </c>
      <c r="E168" s="50"/>
      <c r="F168" s="50"/>
      <c r="G168" s="50"/>
    </row>
    <row r="169" spans="1:7">
      <c r="A169" s="71" t="s">
        <v>81</v>
      </c>
      <c r="B169" s="72"/>
      <c r="C169" s="73"/>
      <c r="D169" s="72"/>
      <c r="E169" s="72"/>
      <c r="F169" s="72">
        <f>SUM(F166:F168)</f>
        <v>0</v>
      </c>
      <c r="G169" s="50"/>
    </row>
    <row r="170" spans="1:7">
      <c r="A170" s="71" t="s">
        <v>74</v>
      </c>
      <c r="B170" s="72"/>
      <c r="C170" s="73"/>
      <c r="D170" s="72"/>
      <c r="E170" s="72"/>
      <c r="F170" s="72"/>
      <c r="G170" s="50"/>
    </row>
    <row r="171" spans="1:7">
      <c r="A171" s="53"/>
      <c r="B171" s="50"/>
      <c r="C171" s="51"/>
      <c r="D171" s="50"/>
      <c r="E171" s="50"/>
      <c r="F171" s="50"/>
      <c r="G171" s="50"/>
    </row>
    <row r="172" spans="1:7">
      <c r="A172" s="53"/>
      <c r="B172" s="50"/>
      <c r="C172" s="51"/>
      <c r="D172" s="50"/>
      <c r="E172" s="50"/>
      <c r="F172" s="50"/>
      <c r="G172" s="50"/>
    </row>
    <row r="173" spans="1:7" ht="15.95" customHeight="1" thickBot="1">
      <c r="A173" s="50"/>
      <c r="B173" s="50"/>
      <c r="C173" s="51"/>
      <c r="D173" s="50"/>
      <c r="E173" s="50"/>
      <c r="F173" s="50"/>
      <c r="G173" s="50"/>
    </row>
    <row r="174" spans="1:7" ht="15.95" customHeight="1" thickBot="1">
      <c r="A174" s="16"/>
      <c r="B174" s="17" t="s">
        <v>1</v>
      </c>
      <c r="C174" s="18"/>
      <c r="D174" s="83"/>
      <c r="E174" s="83"/>
      <c r="F174" s="84"/>
      <c r="G174" s="50"/>
    </row>
    <row r="175" spans="1:7">
      <c r="A175" s="10" t="s">
        <v>157</v>
      </c>
      <c r="B175" s="61">
        <f>F169+F162+F155+F147+F123+F115+E72</f>
        <v>1.5</v>
      </c>
      <c r="C175" s="51"/>
      <c r="D175" s="50"/>
      <c r="E175" s="50"/>
      <c r="F175" s="85"/>
      <c r="G175" s="50"/>
    </row>
    <row r="176" spans="1:7">
      <c r="A176" s="11" t="s">
        <v>158</v>
      </c>
      <c r="B176" s="61">
        <f>F170+F163+F156+F148+F124+F115+D73</f>
        <v>1.58</v>
      </c>
      <c r="C176" s="51"/>
      <c r="D176" s="50"/>
      <c r="E176" s="50"/>
      <c r="F176" s="85"/>
      <c r="G176" s="50"/>
    </row>
    <row r="177" spans="1:6">
      <c r="A177" s="11" t="s">
        <v>159</v>
      </c>
      <c r="B177" s="61">
        <f>B15+B18</f>
        <v>3.63</v>
      </c>
      <c r="C177" s="51"/>
      <c r="D177" s="50"/>
      <c r="E177" s="50"/>
      <c r="F177" s="85"/>
    </row>
    <row r="178" spans="1:6">
      <c r="A178" s="11" t="s">
        <v>160</v>
      </c>
      <c r="B178" s="61">
        <f>B175+B12+B13+B14+B16+B17+B19+B20+B21+B22</f>
        <v>48.750000000000007</v>
      </c>
      <c r="C178" s="51"/>
      <c r="D178" s="50"/>
      <c r="E178" s="50"/>
      <c r="F178" s="85"/>
    </row>
    <row r="179" spans="1:6">
      <c r="A179" s="12"/>
      <c r="B179" s="50"/>
      <c r="C179" s="51"/>
      <c r="D179" s="50"/>
      <c r="E179" s="50"/>
      <c r="F179" s="85"/>
    </row>
    <row r="180" spans="1:6">
      <c r="A180" s="13" t="s">
        <v>161</v>
      </c>
      <c r="B180" s="86">
        <f>B47/B175</f>
        <v>2.1022222222222227</v>
      </c>
      <c r="C180" s="54"/>
      <c r="D180" s="50"/>
      <c r="E180" s="50"/>
      <c r="F180" s="85"/>
    </row>
    <row r="181" spans="1:6">
      <c r="A181" s="11" t="s">
        <v>162</v>
      </c>
      <c r="B181" s="86">
        <f>B47/B178</f>
        <v>6.468376068376068E-2</v>
      </c>
      <c r="C181" s="51"/>
      <c r="D181" s="50"/>
      <c r="E181" s="50"/>
      <c r="F181" s="85"/>
    </row>
    <row r="182" spans="1:6">
      <c r="A182" s="12"/>
      <c r="B182" s="50"/>
      <c r="C182" s="51"/>
      <c r="D182" s="50"/>
      <c r="E182" s="50"/>
      <c r="F182" s="85"/>
    </row>
    <row r="183" spans="1:6" ht="15.95" customHeight="1" thickBot="1">
      <c r="A183" s="14" t="s">
        <v>163</v>
      </c>
      <c r="B183" s="87" t="s">
        <v>164</v>
      </c>
      <c r="C183" s="15"/>
      <c r="D183" s="87"/>
      <c r="E183" s="87"/>
      <c r="F183" s="88"/>
    </row>
  </sheetData>
  <mergeCells count="2">
    <mergeCell ref="B60:C60"/>
    <mergeCell ref="B75:C7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8"/>
  <sheetViews>
    <sheetView topLeftCell="A66" workbookViewId="0"/>
  </sheetViews>
  <sheetFormatPr defaultRowHeight="14.45"/>
  <cols>
    <col min="1" max="1" width="41.42578125" style="40" customWidth="1"/>
    <col min="2" max="2" width="8.85546875" style="40" customWidth="1"/>
    <col min="6" max="6" width="12.85546875" style="40" customWidth="1"/>
    <col min="7" max="7" width="8.85546875" style="40" customWidth="1"/>
    <col min="8" max="8" width="12.42578125" style="40" customWidth="1"/>
    <col min="9" max="10" width="8.85546875" style="40" customWidth="1"/>
  </cols>
  <sheetData>
    <row r="1" spans="1:9" ht="15.6" customHeight="1">
      <c r="A1" s="19" t="s">
        <v>165</v>
      </c>
      <c r="B1" s="20"/>
      <c r="C1" s="20"/>
      <c r="D1" s="20"/>
      <c r="E1" s="20"/>
      <c r="F1" s="20"/>
      <c r="G1" s="20"/>
      <c r="H1" s="20"/>
      <c r="I1" s="20"/>
    </row>
    <row r="2" spans="1:9" ht="15.6" customHeight="1">
      <c r="A2" s="21" t="s">
        <v>166</v>
      </c>
      <c r="B2" s="22" t="s">
        <v>167</v>
      </c>
      <c r="C2" s="23" t="s">
        <v>168</v>
      </c>
      <c r="D2" s="23" t="s">
        <v>169</v>
      </c>
      <c r="E2" s="23"/>
      <c r="F2" s="24" t="s">
        <v>1</v>
      </c>
      <c r="G2" s="25" t="s">
        <v>2</v>
      </c>
      <c r="H2" s="26" t="s">
        <v>170</v>
      </c>
      <c r="I2" s="27" t="s">
        <v>171</v>
      </c>
    </row>
    <row r="3" spans="1:9">
      <c r="A3" s="28" t="s">
        <v>172</v>
      </c>
      <c r="B3" s="20">
        <v>6</v>
      </c>
      <c r="C3" s="20">
        <v>9</v>
      </c>
      <c r="D3" s="20">
        <v>6.25</v>
      </c>
      <c r="E3" s="20"/>
      <c r="F3" s="20">
        <v>6.48</v>
      </c>
      <c r="G3" s="20"/>
      <c r="H3" s="20" t="s">
        <v>173</v>
      </c>
      <c r="I3" s="20"/>
    </row>
    <row r="4" spans="1:9">
      <c r="A4" s="29" t="s">
        <v>172</v>
      </c>
      <c r="B4" s="20">
        <v>6</v>
      </c>
      <c r="C4" s="20">
        <v>9</v>
      </c>
      <c r="D4" s="20">
        <v>8.5</v>
      </c>
      <c r="E4" s="20"/>
      <c r="F4" s="20">
        <v>6.49</v>
      </c>
      <c r="G4" s="20"/>
      <c r="H4" s="20" t="s">
        <v>174</v>
      </c>
      <c r="I4" s="20"/>
    </row>
    <row r="5" spans="1:9">
      <c r="A5" s="29" t="s">
        <v>172</v>
      </c>
      <c r="B5" s="20">
        <v>6</v>
      </c>
      <c r="C5" s="20">
        <v>9</v>
      </c>
      <c r="D5" s="20">
        <v>6.25</v>
      </c>
      <c r="E5" s="20"/>
      <c r="F5" s="20">
        <v>6.48</v>
      </c>
      <c r="G5" s="20"/>
      <c r="H5" s="20" t="s">
        <v>175</v>
      </c>
      <c r="I5" s="20"/>
    </row>
    <row r="6" spans="1:9">
      <c r="A6" s="29" t="s">
        <v>172</v>
      </c>
      <c r="B6" s="20">
        <v>6</v>
      </c>
      <c r="C6" s="20">
        <v>10</v>
      </c>
      <c r="D6" s="20">
        <v>1.5</v>
      </c>
      <c r="E6" s="20"/>
      <c r="F6" s="20">
        <v>6.51</v>
      </c>
      <c r="G6" s="20"/>
      <c r="H6" s="20" t="s">
        <v>176</v>
      </c>
      <c r="I6" s="20"/>
    </row>
    <row r="7" spans="1:9">
      <c r="A7" s="29" t="s">
        <v>172</v>
      </c>
      <c r="B7" s="20">
        <v>25</v>
      </c>
      <c r="C7" s="20">
        <v>18</v>
      </c>
      <c r="D7" s="20">
        <v>10.5</v>
      </c>
      <c r="E7" s="20"/>
      <c r="F7" s="20">
        <v>25.94</v>
      </c>
      <c r="G7" s="20"/>
      <c r="H7" s="20" t="s">
        <v>177</v>
      </c>
      <c r="I7" s="20"/>
    </row>
    <row r="8" spans="1:9">
      <c r="A8" s="30" t="s">
        <v>7</v>
      </c>
      <c r="B8" s="31"/>
      <c r="C8" s="31"/>
      <c r="D8" s="31"/>
      <c r="E8" s="31"/>
      <c r="F8" s="31">
        <v>25.96</v>
      </c>
      <c r="G8" s="31">
        <v>0.02</v>
      </c>
      <c r="H8" s="31" t="s">
        <v>178</v>
      </c>
      <c r="I8" s="31"/>
    </row>
    <row r="9" spans="1:9">
      <c r="A9" s="29"/>
      <c r="B9" s="20"/>
      <c r="C9" s="20"/>
      <c r="D9" s="20"/>
      <c r="E9" s="20"/>
      <c r="F9" s="20"/>
      <c r="G9" s="20"/>
      <c r="H9" s="20"/>
      <c r="I9" s="20"/>
    </row>
    <row r="10" spans="1:9">
      <c r="A10" s="28" t="s">
        <v>179</v>
      </c>
      <c r="B10" s="20">
        <v>0</v>
      </c>
      <c r="C10" s="20">
        <v>10</v>
      </c>
      <c r="D10" s="20">
        <v>0</v>
      </c>
      <c r="E10" s="20"/>
      <c r="F10" s="20">
        <v>0.5</v>
      </c>
      <c r="G10" s="20"/>
      <c r="H10" s="20" t="s">
        <v>180</v>
      </c>
      <c r="I10" s="20"/>
    </row>
    <row r="11" spans="1:9">
      <c r="A11" s="29" t="s">
        <v>179</v>
      </c>
      <c r="B11" s="20">
        <v>0</v>
      </c>
      <c r="C11" s="20">
        <v>0</v>
      </c>
      <c r="D11" s="20">
        <v>6</v>
      </c>
      <c r="E11" s="20"/>
      <c r="F11" s="20">
        <v>0.03</v>
      </c>
      <c r="G11" s="20"/>
      <c r="H11" s="20" t="s">
        <v>181</v>
      </c>
      <c r="I11" s="20"/>
    </row>
    <row r="12" spans="1:9">
      <c r="A12" s="29" t="s">
        <v>179</v>
      </c>
      <c r="B12" s="20">
        <v>0</v>
      </c>
      <c r="C12" s="20">
        <v>10</v>
      </c>
      <c r="D12" s="20">
        <v>6</v>
      </c>
      <c r="E12" s="20"/>
      <c r="F12" s="20">
        <v>0.53</v>
      </c>
      <c r="G12" s="20"/>
      <c r="H12" s="20" t="s">
        <v>182</v>
      </c>
      <c r="I12" s="20"/>
    </row>
    <row r="13" spans="1:9">
      <c r="A13" s="30" t="s">
        <v>9</v>
      </c>
      <c r="B13" s="31"/>
      <c r="C13" s="31"/>
      <c r="D13" s="31"/>
      <c r="E13" s="31"/>
      <c r="F13" s="31">
        <v>0.53</v>
      </c>
      <c r="G13" s="31">
        <v>0</v>
      </c>
      <c r="H13" s="31" t="s">
        <v>178</v>
      </c>
      <c r="I13" s="31"/>
    </row>
    <row r="14" spans="1:9">
      <c r="A14" s="29"/>
      <c r="B14" s="20"/>
      <c r="C14" s="20"/>
      <c r="D14" s="20"/>
      <c r="E14" s="20"/>
      <c r="F14" s="20"/>
      <c r="G14" s="20"/>
      <c r="H14" s="20"/>
      <c r="I14" s="20"/>
    </row>
    <row r="15" spans="1:9">
      <c r="A15" s="28" t="s">
        <v>183</v>
      </c>
      <c r="B15" s="20">
        <v>4</v>
      </c>
      <c r="C15" s="20">
        <v>11</v>
      </c>
      <c r="D15" s="20">
        <v>7</v>
      </c>
      <c r="E15" s="20"/>
      <c r="F15" s="20">
        <v>4.58</v>
      </c>
      <c r="G15" s="20"/>
      <c r="H15" s="20" t="s">
        <v>184</v>
      </c>
      <c r="I15" s="20"/>
    </row>
    <row r="16" spans="1:9">
      <c r="A16" s="30" t="s">
        <v>13</v>
      </c>
      <c r="B16" s="31"/>
      <c r="C16" s="31"/>
      <c r="D16" s="31"/>
      <c r="E16" s="31"/>
      <c r="F16" s="31">
        <v>4.58</v>
      </c>
      <c r="G16" s="31">
        <v>0</v>
      </c>
      <c r="H16" s="31" t="s">
        <v>178</v>
      </c>
      <c r="I16" s="31"/>
    </row>
    <row r="17" spans="1:9">
      <c r="A17" s="29"/>
      <c r="B17" s="20"/>
      <c r="C17" s="20"/>
      <c r="D17" s="20"/>
      <c r="E17" s="20"/>
      <c r="F17" s="20"/>
      <c r="G17" s="20"/>
      <c r="H17" s="20"/>
      <c r="I17" s="20"/>
    </row>
    <row r="18" spans="1:9">
      <c r="A18" s="28" t="s">
        <v>185</v>
      </c>
      <c r="B18" s="20">
        <v>21</v>
      </c>
      <c r="C18" s="20">
        <v>7</v>
      </c>
      <c r="D18" s="20">
        <v>3.5</v>
      </c>
      <c r="E18" s="20"/>
      <c r="F18" s="20">
        <v>21.36</v>
      </c>
      <c r="G18" s="20"/>
      <c r="H18" s="20" t="s">
        <v>186</v>
      </c>
      <c r="I18" s="20"/>
    </row>
    <row r="19" spans="1:9">
      <c r="A19" s="30" t="s">
        <v>14</v>
      </c>
      <c r="B19" s="31"/>
      <c r="C19" s="31"/>
      <c r="D19" s="31"/>
      <c r="E19" s="31"/>
      <c r="F19" s="31">
        <v>21.36</v>
      </c>
      <c r="G19" s="31">
        <v>0</v>
      </c>
      <c r="H19" s="31" t="s">
        <v>178</v>
      </c>
      <c r="I19" s="31"/>
    </row>
    <row r="20" spans="1:9">
      <c r="A20" s="29"/>
      <c r="B20" s="20"/>
      <c r="C20" s="20"/>
      <c r="D20" s="20"/>
      <c r="E20" s="20"/>
      <c r="F20" s="20"/>
      <c r="G20" s="20"/>
      <c r="H20" s="20"/>
      <c r="I20" s="20"/>
    </row>
    <row r="21" spans="1:9">
      <c r="A21" s="28" t="s">
        <v>187</v>
      </c>
      <c r="B21" s="20">
        <v>0</v>
      </c>
      <c r="C21" s="20">
        <v>0</v>
      </c>
      <c r="D21" s="20">
        <v>2</v>
      </c>
      <c r="E21" s="20"/>
      <c r="F21" s="20">
        <v>0.01</v>
      </c>
      <c r="G21" s="20"/>
      <c r="H21" s="20" t="s">
        <v>188</v>
      </c>
      <c r="I21" s="20"/>
    </row>
    <row r="22" spans="1:9">
      <c r="A22" s="29" t="s">
        <v>187</v>
      </c>
      <c r="B22" s="20">
        <v>0</v>
      </c>
      <c r="C22" s="20">
        <v>0</v>
      </c>
      <c r="D22" s="20">
        <v>2</v>
      </c>
      <c r="E22" s="20"/>
      <c r="F22" s="20">
        <v>0.01</v>
      </c>
      <c r="G22" s="20"/>
      <c r="H22" s="20" t="s">
        <v>189</v>
      </c>
      <c r="I22" s="20"/>
    </row>
    <row r="23" spans="1:9">
      <c r="A23" s="29" t="s">
        <v>187</v>
      </c>
      <c r="B23" s="20">
        <v>0</v>
      </c>
      <c r="C23" s="20">
        <v>0</v>
      </c>
      <c r="D23" s="20">
        <v>3</v>
      </c>
      <c r="E23" s="20"/>
      <c r="F23" s="20">
        <v>0.01</v>
      </c>
      <c r="G23" s="20"/>
      <c r="H23" s="20" t="s">
        <v>190</v>
      </c>
      <c r="I23" s="20"/>
    </row>
    <row r="24" spans="1:9">
      <c r="A24" s="29" t="s">
        <v>187</v>
      </c>
      <c r="B24" s="20">
        <v>0</v>
      </c>
      <c r="C24" s="20">
        <v>0</v>
      </c>
      <c r="D24" s="20">
        <v>3</v>
      </c>
      <c r="E24" s="20"/>
      <c r="F24" s="20">
        <v>0.01</v>
      </c>
      <c r="G24" s="20"/>
      <c r="H24" s="20" t="s">
        <v>191</v>
      </c>
      <c r="I24" s="20"/>
    </row>
    <row r="25" spans="1:9">
      <c r="A25" s="29" t="s">
        <v>187</v>
      </c>
      <c r="B25" s="20">
        <v>0</v>
      </c>
      <c r="C25" s="20">
        <v>0</v>
      </c>
      <c r="D25" s="20">
        <v>2</v>
      </c>
      <c r="E25" s="20"/>
      <c r="F25" s="20">
        <v>0.01</v>
      </c>
      <c r="G25" s="20"/>
      <c r="H25" s="20" t="s">
        <v>192</v>
      </c>
      <c r="I25" s="20"/>
    </row>
    <row r="26" spans="1:9">
      <c r="A26" s="29" t="s">
        <v>187</v>
      </c>
      <c r="B26" s="20">
        <v>0</v>
      </c>
      <c r="C26" s="20">
        <v>0</v>
      </c>
      <c r="D26" s="20">
        <v>2</v>
      </c>
      <c r="E26" s="20"/>
      <c r="F26" s="20">
        <v>0.01</v>
      </c>
      <c r="G26" s="20"/>
      <c r="H26" s="20" t="s">
        <v>193</v>
      </c>
      <c r="I26" s="20"/>
    </row>
    <row r="27" spans="1:9">
      <c r="A27" s="29" t="s">
        <v>187</v>
      </c>
      <c r="B27" s="20">
        <v>0</v>
      </c>
      <c r="C27" s="20">
        <v>0</v>
      </c>
      <c r="D27" s="20">
        <v>2</v>
      </c>
      <c r="E27" s="20"/>
      <c r="F27" s="20">
        <v>0.01</v>
      </c>
      <c r="G27" s="20"/>
      <c r="H27" s="20" t="s">
        <v>194</v>
      </c>
      <c r="I27" s="20"/>
    </row>
    <row r="28" spans="1:9">
      <c r="A28" s="29" t="s">
        <v>187</v>
      </c>
      <c r="B28" s="20">
        <v>0</v>
      </c>
      <c r="C28" s="20">
        <v>0</v>
      </c>
      <c r="D28" s="20">
        <v>2</v>
      </c>
      <c r="E28" s="20"/>
      <c r="F28" s="20">
        <v>0.01</v>
      </c>
      <c r="G28" s="20"/>
      <c r="H28" s="20" t="s">
        <v>195</v>
      </c>
      <c r="I28" s="20"/>
    </row>
    <row r="29" spans="1:9">
      <c r="A29" s="29" t="s">
        <v>187</v>
      </c>
      <c r="B29" s="20">
        <v>0</v>
      </c>
      <c r="C29" s="20">
        <v>0</v>
      </c>
      <c r="D29" s="20">
        <v>2</v>
      </c>
      <c r="E29" s="20"/>
      <c r="F29" s="20">
        <v>0.01</v>
      </c>
      <c r="G29" s="20"/>
      <c r="H29" s="20" t="s">
        <v>196</v>
      </c>
      <c r="I29" s="20"/>
    </row>
    <row r="30" spans="1:9">
      <c r="A30" s="29" t="s">
        <v>187</v>
      </c>
      <c r="B30" s="20">
        <v>0</v>
      </c>
      <c r="C30" s="20">
        <v>0</v>
      </c>
      <c r="D30" s="20">
        <v>2</v>
      </c>
      <c r="E30" s="20"/>
      <c r="F30" s="20">
        <v>0.01</v>
      </c>
      <c r="G30" s="20"/>
      <c r="H30" s="20" t="s">
        <v>197</v>
      </c>
      <c r="I30" s="20"/>
    </row>
    <row r="31" spans="1:9">
      <c r="A31" s="29" t="s">
        <v>187</v>
      </c>
      <c r="B31" s="20">
        <v>0</v>
      </c>
      <c r="C31" s="20">
        <v>0</v>
      </c>
      <c r="D31" s="20">
        <v>2</v>
      </c>
      <c r="E31" s="20"/>
      <c r="F31" s="20">
        <v>0.01</v>
      </c>
      <c r="G31" s="20"/>
      <c r="H31" s="20" t="s">
        <v>198</v>
      </c>
      <c r="I31" s="20"/>
    </row>
    <row r="32" spans="1:9">
      <c r="A32" s="29" t="s">
        <v>187</v>
      </c>
      <c r="B32" s="20">
        <v>0</v>
      </c>
      <c r="C32" s="20">
        <v>1</v>
      </c>
      <c r="D32" s="20">
        <v>0</v>
      </c>
      <c r="E32" s="20"/>
      <c r="F32" s="20">
        <v>0.05</v>
      </c>
      <c r="G32" s="20"/>
      <c r="H32" s="20" t="s">
        <v>199</v>
      </c>
      <c r="I32" s="20"/>
    </row>
    <row r="33" spans="1:9">
      <c r="A33" s="29" t="s">
        <v>187</v>
      </c>
      <c r="B33" s="20">
        <v>0</v>
      </c>
      <c r="C33" s="20">
        <v>1</v>
      </c>
      <c r="D33" s="20">
        <v>0</v>
      </c>
      <c r="E33" s="20"/>
      <c r="F33" s="20">
        <v>0.05</v>
      </c>
      <c r="G33" s="20"/>
      <c r="H33" s="20" t="s">
        <v>200</v>
      </c>
      <c r="I33" s="20"/>
    </row>
    <row r="34" spans="1:9">
      <c r="A34" s="29" t="s">
        <v>187</v>
      </c>
      <c r="B34" s="20">
        <v>0</v>
      </c>
      <c r="C34" s="20">
        <v>0</v>
      </c>
      <c r="D34" s="20">
        <v>3</v>
      </c>
      <c r="E34" s="20"/>
      <c r="F34" s="20">
        <v>0.01</v>
      </c>
      <c r="G34" s="20"/>
      <c r="H34" s="20" t="s">
        <v>201</v>
      </c>
      <c r="I34" s="20"/>
    </row>
    <row r="35" spans="1:9">
      <c r="A35" s="29" t="s">
        <v>187</v>
      </c>
      <c r="B35" s="20">
        <v>0</v>
      </c>
      <c r="C35" s="20">
        <v>0</v>
      </c>
      <c r="D35" s="20">
        <v>2</v>
      </c>
      <c r="E35" s="20"/>
      <c r="F35" s="20">
        <v>0.01</v>
      </c>
      <c r="G35" s="20"/>
      <c r="H35" s="20" t="s">
        <v>202</v>
      </c>
      <c r="I35" s="20"/>
    </row>
    <row r="36" spans="1:9">
      <c r="A36" s="29" t="s">
        <v>187</v>
      </c>
      <c r="B36" s="20">
        <v>0</v>
      </c>
      <c r="C36" s="20">
        <v>0</v>
      </c>
      <c r="D36" s="20">
        <v>2</v>
      </c>
      <c r="E36" s="20"/>
      <c r="F36" s="20">
        <v>0.01</v>
      </c>
      <c r="G36" s="20"/>
      <c r="H36" s="20" t="s">
        <v>203</v>
      </c>
      <c r="I36" s="20"/>
    </row>
    <row r="37" spans="1:9">
      <c r="A37" s="29" t="s">
        <v>187</v>
      </c>
      <c r="B37" s="20">
        <v>0</v>
      </c>
      <c r="C37" s="20">
        <v>0</v>
      </c>
      <c r="D37" s="20">
        <v>4</v>
      </c>
      <c r="E37" s="20"/>
      <c r="F37" s="20">
        <v>0.02</v>
      </c>
      <c r="G37" s="20"/>
      <c r="H37" s="20" t="s">
        <v>204</v>
      </c>
      <c r="I37" s="20"/>
    </row>
    <row r="38" spans="1:9">
      <c r="A38" s="29" t="s">
        <v>187</v>
      </c>
      <c r="B38" s="20">
        <v>0</v>
      </c>
      <c r="C38" s="20">
        <v>4</v>
      </c>
      <c r="D38" s="20">
        <v>11</v>
      </c>
      <c r="E38" s="20"/>
      <c r="F38" s="20">
        <v>0.25</v>
      </c>
      <c r="G38" s="20"/>
      <c r="H38" s="20" t="s">
        <v>205</v>
      </c>
      <c r="I38" s="20"/>
    </row>
    <row r="39" spans="1:9">
      <c r="A39" s="30" t="s">
        <v>206</v>
      </c>
      <c r="B39" s="31"/>
      <c r="C39" s="31"/>
      <c r="D39" s="31"/>
      <c r="E39" s="31"/>
      <c r="F39" s="31">
        <v>0.26</v>
      </c>
      <c r="G39" s="31">
        <v>0.01</v>
      </c>
      <c r="H39" s="31" t="s">
        <v>178</v>
      </c>
      <c r="I39" s="31"/>
    </row>
    <row r="40" spans="1:9">
      <c r="A40" s="29"/>
      <c r="B40" s="20"/>
      <c r="C40" s="20"/>
      <c r="D40" s="20"/>
      <c r="E40" s="20"/>
      <c r="F40" s="20"/>
      <c r="G40" s="20"/>
      <c r="H40" s="20"/>
      <c r="I40" s="20"/>
    </row>
    <row r="41" spans="1:9">
      <c r="A41" s="28" t="s">
        <v>207</v>
      </c>
      <c r="B41" s="20">
        <v>0</v>
      </c>
      <c r="C41" s="20">
        <v>5</v>
      </c>
      <c r="D41" s="20">
        <v>6.5</v>
      </c>
      <c r="E41" s="20"/>
      <c r="F41" s="20">
        <v>0.28000000000000003</v>
      </c>
      <c r="G41" s="20"/>
      <c r="H41" s="20" t="s">
        <v>208</v>
      </c>
      <c r="I41" s="20"/>
    </row>
    <row r="42" spans="1:9">
      <c r="A42" s="29" t="s">
        <v>207</v>
      </c>
      <c r="B42" s="20">
        <v>0</v>
      </c>
      <c r="C42" s="20">
        <v>0</v>
      </c>
      <c r="D42" s="20">
        <v>0</v>
      </c>
      <c r="E42" s="20"/>
      <c r="F42" s="20">
        <v>0</v>
      </c>
      <c r="G42" s="20"/>
      <c r="H42" s="20" t="s">
        <v>209</v>
      </c>
      <c r="I42" s="20"/>
    </row>
    <row r="43" spans="1:9">
      <c r="A43" s="29" t="s">
        <v>207</v>
      </c>
      <c r="B43" s="20">
        <v>0</v>
      </c>
      <c r="C43" s="20">
        <v>0</v>
      </c>
      <c r="D43" s="20">
        <v>0</v>
      </c>
      <c r="E43" s="20"/>
      <c r="F43" s="20">
        <v>0</v>
      </c>
      <c r="G43" s="20"/>
      <c r="H43" s="20" t="s">
        <v>210</v>
      </c>
      <c r="I43" s="20"/>
    </row>
    <row r="44" spans="1:9">
      <c r="A44" s="29" t="s">
        <v>207</v>
      </c>
      <c r="B44" s="20">
        <v>0</v>
      </c>
      <c r="C44" s="20">
        <v>0</v>
      </c>
      <c r="D44" s="20">
        <v>0</v>
      </c>
      <c r="E44" s="20"/>
      <c r="F44" s="20">
        <v>0</v>
      </c>
      <c r="G44" s="20"/>
      <c r="H44" s="20" t="s">
        <v>211</v>
      </c>
      <c r="I44" s="20"/>
    </row>
    <row r="45" spans="1:9">
      <c r="A45" s="29" t="s">
        <v>207</v>
      </c>
      <c r="B45" s="20">
        <v>0</v>
      </c>
      <c r="C45" s="20">
        <v>0</v>
      </c>
      <c r="D45" s="20">
        <v>0</v>
      </c>
      <c r="E45" s="20"/>
      <c r="F45" s="20">
        <v>0</v>
      </c>
      <c r="G45" s="20"/>
      <c r="H45" s="20" t="s">
        <v>212</v>
      </c>
      <c r="I45" s="20"/>
    </row>
    <row r="46" spans="1:9">
      <c r="A46" s="29" t="s">
        <v>207</v>
      </c>
      <c r="B46" s="20">
        <v>0</v>
      </c>
      <c r="C46" s="20">
        <v>3</v>
      </c>
      <c r="D46" s="20">
        <v>0</v>
      </c>
      <c r="E46" s="20"/>
      <c r="F46" s="20">
        <v>0.15</v>
      </c>
      <c r="G46" s="20"/>
      <c r="H46" s="20" t="s">
        <v>213</v>
      </c>
      <c r="I46" s="20"/>
    </row>
    <row r="47" spans="1:9">
      <c r="A47" s="29" t="s">
        <v>207</v>
      </c>
      <c r="B47" s="20">
        <v>0</v>
      </c>
      <c r="C47" s="20">
        <v>0</v>
      </c>
      <c r="D47" s="20">
        <v>0</v>
      </c>
      <c r="E47" s="20"/>
      <c r="F47" s="20">
        <v>0</v>
      </c>
      <c r="G47" s="20"/>
      <c r="H47" s="20" t="s">
        <v>214</v>
      </c>
      <c r="I47" s="20"/>
    </row>
    <row r="48" spans="1:9">
      <c r="A48" s="29" t="s">
        <v>207</v>
      </c>
      <c r="B48" s="20">
        <v>1</v>
      </c>
      <c r="C48" s="20">
        <v>0</v>
      </c>
      <c r="D48" s="20">
        <v>0</v>
      </c>
      <c r="E48" s="20"/>
      <c r="F48" s="20">
        <v>1</v>
      </c>
      <c r="G48" s="20"/>
      <c r="H48" s="20" t="s">
        <v>215</v>
      </c>
      <c r="I48" s="20"/>
    </row>
    <row r="49" spans="1:9">
      <c r="A49" s="29" t="s">
        <v>207</v>
      </c>
      <c r="B49" s="20">
        <v>0</v>
      </c>
      <c r="C49" s="20">
        <v>13</v>
      </c>
      <c r="D49" s="20">
        <v>4</v>
      </c>
      <c r="E49" s="20"/>
      <c r="F49" s="20">
        <v>0.67</v>
      </c>
      <c r="G49" s="20"/>
      <c r="H49" s="20" t="s">
        <v>216</v>
      </c>
      <c r="I49" s="20"/>
    </row>
    <row r="50" spans="1:9">
      <c r="A50" s="29" t="s">
        <v>207</v>
      </c>
      <c r="B50" s="20">
        <v>0</v>
      </c>
      <c r="C50" s="20">
        <v>3</v>
      </c>
      <c r="D50" s="20">
        <v>0</v>
      </c>
      <c r="E50" s="20"/>
      <c r="F50" s="20">
        <v>0.15</v>
      </c>
      <c r="G50" s="20"/>
      <c r="H50" s="20" t="s">
        <v>217</v>
      </c>
      <c r="I50" s="20"/>
    </row>
    <row r="51" spans="1:9">
      <c r="A51" s="29" t="s">
        <v>207</v>
      </c>
      <c r="B51" s="20">
        <v>0</v>
      </c>
      <c r="C51" s="20">
        <v>13</v>
      </c>
      <c r="D51" s="20">
        <v>4</v>
      </c>
      <c r="E51" s="20"/>
      <c r="F51" s="20">
        <v>0.67</v>
      </c>
      <c r="G51" s="20"/>
      <c r="H51" s="20" t="s">
        <v>218</v>
      </c>
      <c r="I51" s="20"/>
    </row>
    <row r="52" spans="1:9">
      <c r="A52" s="29" t="s">
        <v>207</v>
      </c>
      <c r="B52" s="20">
        <v>0</v>
      </c>
      <c r="C52" s="20">
        <v>0</v>
      </c>
      <c r="D52" s="20">
        <v>0</v>
      </c>
      <c r="E52" s="20"/>
      <c r="F52" s="20">
        <v>0</v>
      </c>
      <c r="G52" s="20"/>
      <c r="H52" s="20" t="s">
        <v>219</v>
      </c>
      <c r="I52" s="20"/>
    </row>
    <row r="53" spans="1:9">
      <c r="A53" s="29" t="s">
        <v>207</v>
      </c>
      <c r="B53" s="20">
        <v>0</v>
      </c>
      <c r="C53" s="20">
        <v>6</v>
      </c>
      <c r="D53" s="20">
        <v>0</v>
      </c>
      <c r="E53" s="20"/>
      <c r="F53" s="20">
        <v>0.3</v>
      </c>
      <c r="G53" s="20"/>
      <c r="H53" s="20" t="s">
        <v>220</v>
      </c>
      <c r="I53" s="20"/>
    </row>
    <row r="54" spans="1:9">
      <c r="A54" s="29" t="s">
        <v>207</v>
      </c>
      <c r="B54" s="20">
        <v>0</v>
      </c>
      <c r="C54" s="20">
        <v>0</v>
      </c>
      <c r="D54" s="20">
        <v>0</v>
      </c>
      <c r="E54" s="20"/>
      <c r="F54" s="20">
        <v>0</v>
      </c>
      <c r="G54" s="20"/>
      <c r="H54" s="20" t="s">
        <v>221</v>
      </c>
      <c r="I54" s="20"/>
    </row>
    <row r="55" spans="1:9">
      <c r="A55" s="29" t="s">
        <v>207</v>
      </c>
      <c r="B55" s="20">
        <v>0</v>
      </c>
      <c r="C55" s="20">
        <v>1</v>
      </c>
      <c r="D55" s="20">
        <v>6</v>
      </c>
      <c r="E55" s="20"/>
      <c r="F55" s="20">
        <v>0.08</v>
      </c>
      <c r="G55" s="20"/>
      <c r="H55" s="20" t="s">
        <v>222</v>
      </c>
      <c r="I55" s="20"/>
    </row>
    <row r="56" spans="1:9">
      <c r="A56" s="29" t="s">
        <v>207</v>
      </c>
      <c r="B56" s="20">
        <v>0</v>
      </c>
      <c r="C56" s="20">
        <v>1</v>
      </c>
      <c r="D56" s="20">
        <v>8</v>
      </c>
      <c r="E56" s="20"/>
      <c r="F56" s="20">
        <v>0.08</v>
      </c>
      <c r="G56" s="20"/>
      <c r="H56" s="20" t="s">
        <v>223</v>
      </c>
      <c r="I56" s="20"/>
    </row>
    <row r="57" spans="1:9">
      <c r="A57" s="29" t="s">
        <v>207</v>
      </c>
      <c r="B57" s="20">
        <v>0</v>
      </c>
      <c r="C57" s="20">
        <v>0</v>
      </c>
      <c r="D57" s="20">
        <v>0</v>
      </c>
      <c r="E57" s="20"/>
      <c r="F57" s="20">
        <v>0</v>
      </c>
      <c r="G57" s="20"/>
      <c r="H57" s="20" t="s">
        <v>224</v>
      </c>
      <c r="I57" s="20"/>
    </row>
    <row r="58" spans="1:9">
      <c r="A58" s="29" t="s">
        <v>207</v>
      </c>
      <c r="B58" s="20">
        <v>0</v>
      </c>
      <c r="C58" s="20">
        <v>0</v>
      </c>
      <c r="D58" s="20">
        <v>0</v>
      </c>
      <c r="E58" s="20"/>
      <c r="F58" s="20">
        <v>0</v>
      </c>
      <c r="G58" s="20"/>
      <c r="H58" s="20" t="s">
        <v>225</v>
      </c>
      <c r="I58" s="20"/>
    </row>
    <row r="59" spans="1:9">
      <c r="A59" s="29" t="s">
        <v>207</v>
      </c>
      <c r="B59" s="20">
        <v>0</v>
      </c>
      <c r="C59" s="20">
        <v>0</v>
      </c>
      <c r="D59" s="20">
        <v>0</v>
      </c>
      <c r="E59" s="20"/>
      <c r="F59" s="20">
        <v>0</v>
      </c>
      <c r="G59" s="20"/>
      <c r="H59" s="20" t="s">
        <v>226</v>
      </c>
      <c r="I59" s="20"/>
    </row>
    <row r="60" spans="1:9">
      <c r="A60" s="29" t="s">
        <v>207</v>
      </c>
      <c r="B60" s="20">
        <v>0</v>
      </c>
      <c r="C60" s="20">
        <v>0</v>
      </c>
      <c r="D60" s="20">
        <v>0</v>
      </c>
      <c r="E60" s="20"/>
      <c r="F60" s="20">
        <v>0</v>
      </c>
      <c r="G60" s="20"/>
      <c r="H60" s="20" t="s">
        <v>227</v>
      </c>
      <c r="I60" s="20"/>
    </row>
    <row r="61" spans="1:9">
      <c r="A61" s="29" t="s">
        <v>207</v>
      </c>
      <c r="B61" s="20">
        <v>0</v>
      </c>
      <c r="C61" s="20">
        <v>0</v>
      </c>
      <c r="D61" s="20">
        <v>0</v>
      </c>
      <c r="E61" s="20"/>
      <c r="F61" s="20">
        <v>0</v>
      </c>
      <c r="G61" s="20"/>
      <c r="H61" s="20" t="s">
        <v>228</v>
      </c>
      <c r="I61" s="20"/>
    </row>
    <row r="62" spans="1:9">
      <c r="A62" s="29" t="s">
        <v>207</v>
      </c>
      <c r="B62" s="20">
        <v>0</v>
      </c>
      <c r="C62" s="20">
        <v>1</v>
      </c>
      <c r="D62" s="20">
        <v>0</v>
      </c>
      <c r="E62" s="20"/>
      <c r="F62" s="20">
        <v>0.05</v>
      </c>
      <c r="G62" s="20"/>
      <c r="H62" s="20" t="s">
        <v>229</v>
      </c>
      <c r="I62" s="20"/>
    </row>
    <row r="63" spans="1:9">
      <c r="A63" s="29" t="s">
        <v>207</v>
      </c>
      <c r="B63" s="20">
        <v>0</v>
      </c>
      <c r="C63" s="20">
        <v>3</v>
      </c>
      <c r="D63" s="20">
        <v>4</v>
      </c>
      <c r="E63" s="20"/>
      <c r="F63" s="20">
        <v>0.17</v>
      </c>
      <c r="G63" s="20"/>
      <c r="H63" s="20" t="s">
        <v>230</v>
      </c>
      <c r="I63" s="20"/>
    </row>
    <row r="64" spans="1:9">
      <c r="A64" s="29" t="s">
        <v>207</v>
      </c>
      <c r="B64" s="20">
        <v>0</v>
      </c>
      <c r="C64" s="20">
        <v>0</v>
      </c>
      <c r="D64" s="20">
        <v>6</v>
      </c>
      <c r="E64" s="20"/>
      <c r="F64" s="20">
        <v>0.03</v>
      </c>
      <c r="G64" s="20"/>
      <c r="H64" s="20" t="s">
        <v>231</v>
      </c>
      <c r="I64" s="20"/>
    </row>
    <row r="65" spans="1:9">
      <c r="A65" s="29" t="s">
        <v>207</v>
      </c>
      <c r="B65" s="20">
        <v>2</v>
      </c>
      <c r="C65" s="20">
        <v>2</v>
      </c>
      <c r="D65" s="20">
        <v>7.5</v>
      </c>
      <c r="E65" s="20"/>
      <c r="F65" s="20">
        <v>2.13</v>
      </c>
      <c r="G65" s="20"/>
      <c r="H65" s="20" t="s">
        <v>232</v>
      </c>
      <c r="I65" s="20"/>
    </row>
    <row r="66" spans="1:9">
      <c r="A66" s="30" t="s">
        <v>233</v>
      </c>
      <c r="B66" s="31"/>
      <c r="C66" s="31"/>
      <c r="D66" s="31"/>
      <c r="E66" s="31"/>
      <c r="F66" s="31">
        <v>3.63</v>
      </c>
      <c r="G66" s="31">
        <v>1.5</v>
      </c>
      <c r="H66" s="31" t="s">
        <v>178</v>
      </c>
      <c r="I66" s="31"/>
    </row>
    <row r="67" spans="1:9">
      <c r="A67" s="29"/>
      <c r="B67" s="20"/>
      <c r="C67" s="20"/>
      <c r="D67" s="20"/>
      <c r="E67" s="20"/>
      <c r="F67" s="20"/>
      <c r="G67" s="20"/>
      <c r="H67" s="20"/>
      <c r="I67" s="20"/>
    </row>
    <row r="68" spans="1:9">
      <c r="A68" s="28" t="s">
        <v>234</v>
      </c>
      <c r="B68" s="20">
        <v>0</v>
      </c>
      <c r="C68" s="20">
        <v>0</v>
      </c>
      <c r="D68" s="20">
        <v>0</v>
      </c>
      <c r="E68" s="20"/>
      <c r="F68" s="20">
        <v>0</v>
      </c>
      <c r="G68" s="20"/>
      <c r="H68" s="20" t="s">
        <v>235</v>
      </c>
      <c r="I68" s="20"/>
    </row>
    <row r="69" spans="1:9">
      <c r="A69" s="30" t="s">
        <v>20</v>
      </c>
      <c r="B69" s="31"/>
      <c r="C69" s="31"/>
      <c r="D69" s="31"/>
      <c r="E69" s="31"/>
      <c r="F69" s="31">
        <v>0</v>
      </c>
      <c r="G69" s="31">
        <v>0</v>
      </c>
      <c r="H69" s="31" t="s">
        <v>178</v>
      </c>
      <c r="I69" s="31"/>
    </row>
    <row r="70" spans="1:9">
      <c r="A70" s="29"/>
      <c r="B70" s="20"/>
      <c r="C70" s="20"/>
      <c r="D70" s="20"/>
      <c r="E70" s="20"/>
      <c r="F70" s="20"/>
      <c r="G70" s="20"/>
      <c r="H70" s="20"/>
      <c r="I70" s="20"/>
    </row>
    <row r="71" spans="1:9">
      <c r="A71" s="28" t="s">
        <v>236</v>
      </c>
      <c r="B71" s="20">
        <v>0</v>
      </c>
      <c r="C71" s="20">
        <v>10</v>
      </c>
      <c r="D71" s="20">
        <v>6</v>
      </c>
      <c r="E71" s="20"/>
      <c r="F71" s="20">
        <v>0.53</v>
      </c>
      <c r="G71" s="20"/>
      <c r="H71" s="20" t="s">
        <v>237</v>
      </c>
      <c r="I71" s="20"/>
    </row>
    <row r="72" spans="1:9">
      <c r="A72" s="29" t="s">
        <v>236</v>
      </c>
      <c r="B72" s="20">
        <v>0</v>
      </c>
      <c r="C72" s="20">
        <v>5</v>
      </c>
      <c r="D72" s="20">
        <v>0</v>
      </c>
      <c r="E72" s="20"/>
      <c r="F72" s="20">
        <v>0.25</v>
      </c>
      <c r="G72" s="20"/>
      <c r="H72" s="20" t="s">
        <v>238</v>
      </c>
      <c r="I72" s="20"/>
    </row>
    <row r="73" spans="1:9">
      <c r="A73" s="29" t="s">
        <v>236</v>
      </c>
      <c r="B73" s="20">
        <v>1</v>
      </c>
      <c r="C73" s="20">
        <v>10</v>
      </c>
      <c r="D73" s="20">
        <v>0</v>
      </c>
      <c r="E73" s="20"/>
      <c r="F73" s="20">
        <v>1.5</v>
      </c>
      <c r="G73" s="20"/>
      <c r="H73" s="20" t="s">
        <v>239</v>
      </c>
      <c r="I73" s="20"/>
    </row>
    <row r="74" spans="1:9">
      <c r="A74" s="29" t="s">
        <v>236</v>
      </c>
      <c r="B74" s="20">
        <v>0</v>
      </c>
      <c r="C74" s="20">
        <v>0</v>
      </c>
      <c r="D74" s="20">
        <v>8</v>
      </c>
      <c r="E74" s="20"/>
      <c r="F74" s="20">
        <v>0.03</v>
      </c>
      <c r="G74" s="20"/>
      <c r="H74" s="20" t="s">
        <v>240</v>
      </c>
      <c r="I74" s="20"/>
    </row>
    <row r="75" spans="1:9">
      <c r="A75" s="29" t="s">
        <v>236</v>
      </c>
      <c r="B75" s="20">
        <v>2</v>
      </c>
      <c r="C75" s="20">
        <v>6</v>
      </c>
      <c r="D75" s="20">
        <v>2</v>
      </c>
      <c r="E75" s="20"/>
      <c r="F75" s="20">
        <v>2.31</v>
      </c>
      <c r="G75" s="20"/>
      <c r="H75" s="20" t="s">
        <v>241</v>
      </c>
      <c r="I75" s="20"/>
    </row>
    <row r="76" spans="1:9">
      <c r="A76" s="30" t="s">
        <v>242</v>
      </c>
      <c r="B76" s="31"/>
      <c r="C76" s="31"/>
      <c r="D76" s="31"/>
      <c r="E76" s="31"/>
      <c r="F76" s="31">
        <v>2.31</v>
      </c>
      <c r="G76" s="31">
        <v>0</v>
      </c>
      <c r="H76" s="31" t="s">
        <v>178</v>
      </c>
      <c r="I76" s="31"/>
    </row>
    <row r="77" spans="1:9">
      <c r="A77" s="29"/>
      <c r="B77" s="20"/>
      <c r="C77" s="20"/>
      <c r="D77" s="20"/>
      <c r="E77" s="20"/>
      <c r="F77" s="20"/>
      <c r="G77" s="20"/>
      <c r="H77" s="20"/>
      <c r="I77" s="20"/>
    </row>
    <row r="78" spans="1:9">
      <c r="A78" s="28" t="s">
        <v>243</v>
      </c>
      <c r="B78" s="20">
        <v>1</v>
      </c>
      <c r="C78" s="20">
        <v>0</v>
      </c>
      <c r="D78" s="20">
        <v>0</v>
      </c>
      <c r="E78" s="20"/>
      <c r="F78" s="20">
        <v>1</v>
      </c>
      <c r="G78" s="20"/>
      <c r="H78" s="20" t="s">
        <v>244</v>
      </c>
      <c r="I78" s="20"/>
    </row>
    <row r="79" spans="1:9">
      <c r="A79" s="29" t="s">
        <v>243</v>
      </c>
      <c r="B79" s="20">
        <v>1</v>
      </c>
      <c r="C79" s="20">
        <v>0</v>
      </c>
      <c r="D79" s="20">
        <v>0</v>
      </c>
      <c r="E79" s="20"/>
      <c r="F79" s="20">
        <v>1</v>
      </c>
      <c r="G79" s="20"/>
      <c r="H79" s="20" t="s">
        <v>245</v>
      </c>
      <c r="I79" s="20"/>
    </row>
    <row r="80" spans="1:9">
      <c r="A80" s="29" t="s">
        <v>243</v>
      </c>
      <c r="B80" s="20">
        <v>0</v>
      </c>
      <c r="C80" s="20">
        <v>3</v>
      </c>
      <c r="D80" s="20">
        <v>4</v>
      </c>
      <c r="E80" s="20"/>
      <c r="F80" s="20">
        <v>0.17</v>
      </c>
      <c r="G80" s="20"/>
      <c r="H80" s="20" t="s">
        <v>246</v>
      </c>
      <c r="I80" s="20"/>
    </row>
    <row r="81" spans="1:9">
      <c r="A81" s="29" t="s">
        <v>243</v>
      </c>
      <c r="B81" s="20">
        <v>1</v>
      </c>
      <c r="C81" s="20">
        <v>0</v>
      </c>
      <c r="D81" s="20">
        <v>0</v>
      </c>
      <c r="E81" s="20"/>
      <c r="F81" s="20">
        <v>1</v>
      </c>
      <c r="G81" s="20"/>
      <c r="H81" s="20" t="s">
        <v>247</v>
      </c>
      <c r="I81" s="20"/>
    </row>
    <row r="82" spans="1:9">
      <c r="A82" s="29" t="s">
        <v>243</v>
      </c>
      <c r="B82" s="20">
        <v>1</v>
      </c>
      <c r="C82" s="20">
        <v>6</v>
      </c>
      <c r="D82" s="20">
        <v>8</v>
      </c>
      <c r="E82" s="20"/>
      <c r="F82" s="20">
        <v>1.33</v>
      </c>
      <c r="G82" s="20"/>
      <c r="H82" s="20" t="s">
        <v>248</v>
      </c>
      <c r="I82" s="20"/>
    </row>
    <row r="83" spans="1:9">
      <c r="A83" s="29" t="s">
        <v>243</v>
      </c>
      <c r="B83" s="20">
        <v>2</v>
      </c>
      <c r="C83" s="20">
        <v>0</v>
      </c>
      <c r="D83" s="20">
        <v>0</v>
      </c>
      <c r="E83" s="20"/>
      <c r="F83" s="20">
        <v>2</v>
      </c>
      <c r="G83" s="20"/>
      <c r="H83" s="20" t="s">
        <v>249</v>
      </c>
      <c r="I83" s="20"/>
    </row>
    <row r="84" spans="1:9">
      <c r="A84" s="29" t="s">
        <v>243</v>
      </c>
      <c r="B84" s="20">
        <v>0</v>
      </c>
      <c r="C84" s="20">
        <v>6</v>
      </c>
      <c r="D84" s="20">
        <v>8</v>
      </c>
      <c r="E84" s="20"/>
      <c r="F84" s="20">
        <v>0.33</v>
      </c>
      <c r="G84" s="20"/>
      <c r="H84" s="20" t="s">
        <v>250</v>
      </c>
      <c r="I84" s="20"/>
    </row>
    <row r="85" spans="1:9">
      <c r="A85" s="29" t="s">
        <v>243</v>
      </c>
      <c r="B85" s="20">
        <v>0</v>
      </c>
      <c r="C85" s="20">
        <v>10</v>
      </c>
      <c r="D85" s="20">
        <v>0</v>
      </c>
      <c r="E85" s="20"/>
      <c r="F85" s="20">
        <v>0.5</v>
      </c>
      <c r="G85" s="20"/>
      <c r="H85" s="20" t="s">
        <v>251</v>
      </c>
      <c r="I85" s="20"/>
    </row>
    <row r="86" spans="1:9">
      <c r="A86" s="29" t="s">
        <v>243</v>
      </c>
      <c r="B86" s="20">
        <v>1</v>
      </c>
      <c r="C86" s="20">
        <v>0</v>
      </c>
      <c r="D86" s="20">
        <v>0</v>
      </c>
      <c r="E86" s="20"/>
      <c r="F86" s="20">
        <v>1</v>
      </c>
      <c r="G86" s="20"/>
      <c r="H86" s="20" t="s">
        <v>252</v>
      </c>
      <c r="I86" s="20"/>
    </row>
    <row r="87" spans="1:9">
      <c r="A87" s="29" t="s">
        <v>243</v>
      </c>
      <c r="B87" s="20">
        <v>2</v>
      </c>
      <c r="C87" s="20">
        <v>0</v>
      </c>
      <c r="D87" s="20">
        <v>0</v>
      </c>
      <c r="E87" s="20"/>
      <c r="F87" s="20">
        <v>2</v>
      </c>
      <c r="G87" s="20"/>
      <c r="H87" s="20" t="s">
        <v>253</v>
      </c>
      <c r="I87" s="20"/>
    </row>
    <row r="88" spans="1:9">
      <c r="A88" s="29" t="s">
        <v>243</v>
      </c>
      <c r="B88" s="20">
        <v>4</v>
      </c>
      <c r="C88" s="20">
        <v>6</v>
      </c>
      <c r="D88" s="20">
        <v>8</v>
      </c>
      <c r="E88" s="20"/>
      <c r="F88" s="20">
        <v>4.33</v>
      </c>
      <c r="G88" s="20"/>
      <c r="H88" s="20" t="s">
        <v>254</v>
      </c>
      <c r="I88" s="20"/>
    </row>
    <row r="89" spans="1:9">
      <c r="A89" s="29" t="s">
        <v>243</v>
      </c>
      <c r="B89" s="20">
        <v>3</v>
      </c>
      <c r="C89" s="20">
        <v>6</v>
      </c>
      <c r="D89" s="20">
        <v>8</v>
      </c>
      <c r="E89" s="20"/>
      <c r="F89" s="20">
        <v>3.33</v>
      </c>
      <c r="G89" s="20"/>
      <c r="H89" s="20" t="s">
        <v>255</v>
      </c>
      <c r="I89" s="20"/>
    </row>
    <row r="90" spans="1:9">
      <c r="A90" s="29" t="s">
        <v>243</v>
      </c>
      <c r="B90" s="20">
        <v>1</v>
      </c>
      <c r="C90" s="20">
        <v>0</v>
      </c>
      <c r="D90" s="20">
        <v>0</v>
      </c>
      <c r="E90" s="20"/>
      <c r="F90" s="20">
        <v>1</v>
      </c>
      <c r="G90" s="20"/>
      <c r="H90" s="20" t="s">
        <v>256</v>
      </c>
      <c r="I90" s="20"/>
    </row>
    <row r="91" spans="1:9">
      <c r="A91" s="29" t="s">
        <v>243</v>
      </c>
      <c r="B91" s="20">
        <v>1</v>
      </c>
      <c r="C91" s="20">
        <v>0</v>
      </c>
      <c r="D91" s="20">
        <v>0</v>
      </c>
      <c r="E91" s="20"/>
      <c r="F91" s="20">
        <v>1</v>
      </c>
      <c r="G91" s="20"/>
      <c r="H91" s="20" t="s">
        <v>257</v>
      </c>
      <c r="I91" s="20"/>
    </row>
    <row r="92" spans="1:9">
      <c r="A92" s="29" t="s">
        <v>243</v>
      </c>
      <c r="B92" s="20">
        <v>0</v>
      </c>
      <c r="C92" s="20">
        <v>2</v>
      </c>
      <c r="D92" s="20">
        <v>0</v>
      </c>
      <c r="E92" s="20"/>
      <c r="F92" s="20">
        <v>0.1</v>
      </c>
      <c r="G92" s="20"/>
      <c r="H92" s="20" t="s">
        <v>258</v>
      </c>
      <c r="I92" s="20"/>
    </row>
    <row r="93" spans="1:9">
      <c r="A93" s="29" t="s">
        <v>243</v>
      </c>
      <c r="B93" s="20">
        <v>3</v>
      </c>
      <c r="C93" s="20">
        <v>6</v>
      </c>
      <c r="D93" s="20">
        <v>8</v>
      </c>
      <c r="E93" s="20"/>
      <c r="F93" s="20">
        <v>3.33</v>
      </c>
      <c r="G93" s="20"/>
      <c r="H93" s="20" t="s">
        <v>259</v>
      </c>
      <c r="I93" s="20"/>
    </row>
    <row r="94" spans="1:9">
      <c r="A94" s="29" t="s">
        <v>243</v>
      </c>
      <c r="B94" s="20">
        <v>0</v>
      </c>
      <c r="C94" s="20">
        <v>0</v>
      </c>
      <c r="D94" s="20">
        <v>8</v>
      </c>
      <c r="E94" s="20"/>
      <c r="F94" s="20">
        <v>0.03</v>
      </c>
      <c r="G94" s="20"/>
      <c r="H94" s="20" t="s">
        <v>260</v>
      </c>
      <c r="I94" s="20"/>
    </row>
    <row r="95" spans="1:9">
      <c r="A95" s="29" t="s">
        <v>243</v>
      </c>
      <c r="B95" s="20">
        <v>0</v>
      </c>
      <c r="C95" s="20">
        <v>6</v>
      </c>
      <c r="D95" s="20">
        <v>8</v>
      </c>
      <c r="E95" s="20"/>
      <c r="F95" s="20">
        <v>0.33</v>
      </c>
      <c r="G95" s="20"/>
      <c r="H95" s="20" t="s">
        <v>261</v>
      </c>
      <c r="I95" s="20"/>
    </row>
    <row r="96" spans="1:9">
      <c r="A96" s="29" t="s">
        <v>243</v>
      </c>
      <c r="B96" s="20">
        <v>24</v>
      </c>
      <c r="C96" s="20">
        <v>16</v>
      </c>
      <c r="D96" s="20">
        <v>0</v>
      </c>
      <c r="E96" s="20"/>
      <c r="F96" s="20">
        <v>24.8</v>
      </c>
      <c r="G96" s="20"/>
      <c r="H96" s="20" t="s">
        <v>262</v>
      </c>
      <c r="I96" s="20"/>
    </row>
    <row r="97" spans="1:9">
      <c r="A97" s="30" t="s">
        <v>21</v>
      </c>
      <c r="B97" s="31"/>
      <c r="C97" s="31"/>
      <c r="D97" s="31"/>
      <c r="E97" s="31"/>
      <c r="F97" s="31">
        <v>23.78</v>
      </c>
      <c r="G97" s="31">
        <v>-1.02</v>
      </c>
      <c r="H97" s="31" t="s">
        <v>178</v>
      </c>
      <c r="I97" s="31"/>
    </row>
    <row r="98" spans="1:9">
      <c r="A98" s="29"/>
      <c r="B98" s="20"/>
      <c r="C98" s="20"/>
      <c r="D98" s="20"/>
      <c r="E98" s="20"/>
      <c r="F98" s="20"/>
      <c r="G98" s="20"/>
      <c r="H98" s="20"/>
      <c r="I98" s="20"/>
    </row>
    <row r="99" spans="1:9">
      <c r="A99" s="28" t="s">
        <v>263</v>
      </c>
      <c r="B99" s="20">
        <v>0</v>
      </c>
      <c r="C99" s="20">
        <v>2</v>
      </c>
      <c r="D99" s="20">
        <v>5</v>
      </c>
      <c r="E99" s="20"/>
      <c r="F99" s="20">
        <v>0.12</v>
      </c>
      <c r="G99" s="20"/>
      <c r="H99" s="20" t="s">
        <v>264</v>
      </c>
      <c r="I99" s="20"/>
    </row>
    <row r="100" spans="1:9">
      <c r="A100" s="29" t="s">
        <v>263</v>
      </c>
      <c r="B100" s="20">
        <v>0</v>
      </c>
      <c r="C100" s="20">
        <v>14</v>
      </c>
      <c r="D100" s="20">
        <v>4</v>
      </c>
      <c r="E100" s="20"/>
      <c r="F100" s="20">
        <v>0.72</v>
      </c>
      <c r="G100" s="20"/>
      <c r="H100" s="20" t="s">
        <v>265</v>
      </c>
      <c r="I100" s="20"/>
    </row>
    <row r="101" spans="1:9">
      <c r="A101" s="29" t="s">
        <v>263</v>
      </c>
      <c r="B101" s="20">
        <v>0</v>
      </c>
      <c r="C101" s="20">
        <v>12</v>
      </c>
      <c r="D101" s="20">
        <v>2</v>
      </c>
      <c r="E101" s="20"/>
      <c r="F101" s="20">
        <v>0.61</v>
      </c>
      <c r="G101" s="20"/>
      <c r="H101" s="20" t="s">
        <v>266</v>
      </c>
      <c r="I101" s="20"/>
    </row>
    <row r="102" spans="1:9">
      <c r="A102" s="29" t="s">
        <v>263</v>
      </c>
      <c r="B102" s="20">
        <v>0</v>
      </c>
      <c r="C102" s="20">
        <v>8</v>
      </c>
      <c r="D102" s="20">
        <v>1</v>
      </c>
      <c r="E102" s="20"/>
      <c r="F102" s="20">
        <v>0.4</v>
      </c>
      <c r="G102" s="20"/>
      <c r="H102" s="20" t="s">
        <v>267</v>
      </c>
      <c r="I102" s="20"/>
    </row>
    <row r="103" spans="1:9">
      <c r="A103" s="29" t="s">
        <v>263</v>
      </c>
      <c r="B103" s="20">
        <v>1</v>
      </c>
      <c r="C103" s="20">
        <v>17</v>
      </c>
      <c r="D103" s="20">
        <v>0</v>
      </c>
      <c r="E103" s="20"/>
      <c r="F103" s="20">
        <v>1.85</v>
      </c>
      <c r="G103" s="20"/>
      <c r="H103" s="20" t="s">
        <v>268</v>
      </c>
      <c r="I103" s="20"/>
    </row>
    <row r="104" spans="1:9">
      <c r="A104" s="30" t="s">
        <v>269</v>
      </c>
      <c r="B104" s="31"/>
      <c r="C104" s="31"/>
      <c r="D104" s="31"/>
      <c r="E104" s="31"/>
      <c r="F104" s="31">
        <v>1.85</v>
      </c>
      <c r="G104" s="31">
        <v>0</v>
      </c>
      <c r="H104" s="31" t="s">
        <v>178</v>
      </c>
      <c r="I104" s="31"/>
    </row>
    <row r="105" spans="1:9">
      <c r="A105" s="29"/>
      <c r="B105" s="20"/>
      <c r="C105" s="20"/>
      <c r="D105" s="20"/>
      <c r="E105" s="20"/>
      <c r="F105" s="20"/>
      <c r="G105" s="20"/>
      <c r="H105" s="20"/>
      <c r="I105" s="20"/>
    </row>
    <row r="106" spans="1:9">
      <c r="A106" s="29" t="s">
        <v>270</v>
      </c>
      <c r="B106" s="20">
        <v>981</v>
      </c>
      <c r="C106" s="20">
        <v>10</v>
      </c>
      <c r="D106" s="20">
        <v>6</v>
      </c>
      <c r="E106" s="20"/>
      <c r="F106" s="20">
        <v>981.52</v>
      </c>
      <c r="G106" s="20"/>
      <c r="H106" s="20" t="s">
        <v>271</v>
      </c>
      <c r="I106" s="20"/>
    </row>
    <row r="107" spans="1:9">
      <c r="A107" s="89" t="s">
        <v>272</v>
      </c>
      <c r="B107" s="59"/>
      <c r="C107" s="59"/>
      <c r="D107" s="59"/>
      <c r="E107" s="59"/>
      <c r="F107" s="59">
        <f>SUMIF(A1:A106,"* total",F1:F106)-SUMIF(A1:A106,"Arrears total",F1:F106)</f>
        <v>84.259999999999991</v>
      </c>
      <c r="G107" s="59"/>
      <c r="H107" s="59"/>
      <c r="I107" s="59"/>
    </row>
    <row r="108" spans="1:9">
      <c r="A108" s="89" t="s">
        <v>26</v>
      </c>
      <c r="B108" s="59"/>
      <c r="C108" s="59"/>
      <c r="D108" s="59"/>
      <c r="E108" s="59"/>
      <c r="F108" s="59">
        <f>F107+SUMIF(A1:A106,"Arrears total",F1:F106)</f>
        <v>84.259999999999991</v>
      </c>
      <c r="G108" s="59">
        <f>F106-F108</f>
        <v>897.26</v>
      </c>
      <c r="H108" s="59"/>
      <c r="I108" s="5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1"/>
  <sheetViews>
    <sheetView topLeftCell="A15" workbookViewId="0">
      <selection activeCell="F50" sqref="F50:F51"/>
    </sheetView>
  </sheetViews>
  <sheetFormatPr defaultRowHeight="14.45"/>
  <cols>
    <col min="1" max="1" width="34.42578125" style="40" customWidth="1"/>
    <col min="2" max="2" width="8.85546875" style="40" customWidth="1"/>
    <col min="6" max="7" width="8.85546875" style="40" customWidth="1"/>
    <col min="8" max="8" width="43" style="40" customWidth="1"/>
  </cols>
  <sheetData>
    <row r="1" spans="1:10" ht="15.6" customHeight="1">
      <c r="A1" s="19" t="s">
        <v>273</v>
      </c>
      <c r="B1" s="20"/>
      <c r="C1" s="20"/>
      <c r="D1" s="20"/>
      <c r="E1" s="20"/>
      <c r="F1" s="20"/>
      <c r="G1" s="20"/>
      <c r="H1" s="20"/>
      <c r="I1" s="59"/>
      <c r="J1" s="59"/>
    </row>
    <row r="2" spans="1:10" ht="30.95" customHeight="1">
      <c r="A2" s="32" t="s">
        <v>166</v>
      </c>
      <c r="B2" s="33" t="s">
        <v>167</v>
      </c>
      <c r="C2" s="34" t="s">
        <v>168</v>
      </c>
      <c r="D2" s="34" t="s">
        <v>169</v>
      </c>
      <c r="E2" s="35"/>
      <c r="F2" s="36" t="s">
        <v>1</v>
      </c>
      <c r="G2" s="37" t="s">
        <v>2</v>
      </c>
      <c r="H2" s="38" t="s">
        <v>274</v>
      </c>
      <c r="I2" s="59" t="s">
        <v>275</v>
      </c>
      <c r="J2" s="59" t="s">
        <v>276</v>
      </c>
    </row>
    <row r="3" spans="1:10">
      <c r="A3" s="29"/>
      <c r="B3" s="20"/>
      <c r="C3" s="20"/>
      <c r="D3" s="20"/>
      <c r="E3" s="20"/>
      <c r="F3" s="20"/>
      <c r="G3" s="20"/>
      <c r="H3" s="20"/>
      <c r="I3" s="59"/>
      <c r="J3" s="59"/>
    </row>
    <row r="4" spans="1:10">
      <c r="A4" s="28" t="s">
        <v>277</v>
      </c>
      <c r="B4" s="20">
        <v>0</v>
      </c>
      <c r="C4" s="20">
        <v>9</v>
      </c>
      <c r="D4" s="20">
        <v>4.5</v>
      </c>
      <c r="E4" s="20"/>
      <c r="F4" s="20">
        <v>0.47</v>
      </c>
      <c r="G4" s="20"/>
      <c r="H4" s="20" t="s">
        <v>278</v>
      </c>
      <c r="I4" s="42">
        <v>0.47</v>
      </c>
      <c r="J4" s="59"/>
    </row>
    <row r="5" spans="1:10">
      <c r="A5" s="29" t="s">
        <v>277</v>
      </c>
      <c r="B5" s="20">
        <v>0</v>
      </c>
      <c r="C5" s="20">
        <v>1</v>
      </c>
      <c r="D5" s="20">
        <v>4</v>
      </c>
      <c r="E5" s="20"/>
      <c r="F5" s="20">
        <v>7.0000000000000007E-2</v>
      </c>
      <c r="G5" s="20"/>
      <c r="H5" s="20" t="s">
        <v>279</v>
      </c>
      <c r="I5" s="42">
        <v>7.0000000000000007E-2</v>
      </c>
      <c r="J5" s="59"/>
    </row>
    <row r="6" spans="1:10">
      <c r="A6" s="29" t="s">
        <v>277</v>
      </c>
      <c r="B6" s="20">
        <v>0</v>
      </c>
      <c r="C6" s="20">
        <v>5</v>
      </c>
      <c r="D6" s="20">
        <v>3</v>
      </c>
      <c r="E6" s="20"/>
      <c r="F6" s="20">
        <v>0.26</v>
      </c>
      <c r="G6" s="20"/>
      <c r="H6" s="20" t="s">
        <v>280</v>
      </c>
      <c r="I6" s="42">
        <v>0.26</v>
      </c>
      <c r="J6" s="59"/>
    </row>
    <row r="7" spans="1:10">
      <c r="A7" s="29" t="s">
        <v>277</v>
      </c>
      <c r="B7" s="20">
        <v>0</v>
      </c>
      <c r="C7" s="20">
        <v>0</v>
      </c>
      <c r="D7" s="20">
        <v>4</v>
      </c>
      <c r="E7" s="20"/>
      <c r="F7" s="20">
        <v>0.02</v>
      </c>
      <c r="G7" s="20"/>
      <c r="H7" s="20" t="s">
        <v>281</v>
      </c>
      <c r="I7" s="42">
        <v>0.02</v>
      </c>
      <c r="J7" s="59"/>
    </row>
    <row r="8" spans="1:10">
      <c r="A8" s="29" t="s">
        <v>277</v>
      </c>
      <c r="B8" s="20">
        <v>0</v>
      </c>
      <c r="C8" s="20">
        <v>10</v>
      </c>
      <c r="D8" s="20">
        <v>4</v>
      </c>
      <c r="E8" s="20"/>
      <c r="F8" s="20">
        <v>0.52</v>
      </c>
      <c r="G8" s="20"/>
      <c r="H8" s="20" t="s">
        <v>282</v>
      </c>
      <c r="I8" s="42">
        <v>0.52</v>
      </c>
      <c r="J8" s="59"/>
    </row>
    <row r="9" spans="1:10">
      <c r="A9" s="29" t="s">
        <v>277</v>
      </c>
      <c r="B9" s="20">
        <v>0</v>
      </c>
      <c r="C9" s="20">
        <v>3</v>
      </c>
      <c r="D9" s="20">
        <v>8</v>
      </c>
      <c r="E9" s="20"/>
      <c r="F9" s="20">
        <v>0.18</v>
      </c>
      <c r="G9" s="20"/>
      <c r="H9" s="20" t="s">
        <v>283</v>
      </c>
      <c r="I9" s="42">
        <v>0.18</v>
      </c>
      <c r="J9" s="59"/>
    </row>
    <row r="10" spans="1:10">
      <c r="A10" s="29" t="s">
        <v>277</v>
      </c>
      <c r="B10" s="20">
        <v>0</v>
      </c>
      <c r="C10" s="20">
        <v>6</v>
      </c>
      <c r="D10" s="20">
        <v>0</v>
      </c>
      <c r="E10" s="20"/>
      <c r="F10" s="20">
        <v>0.3</v>
      </c>
      <c r="G10" s="20"/>
      <c r="H10" s="20" t="s">
        <v>284</v>
      </c>
      <c r="I10" s="42">
        <v>0.3</v>
      </c>
      <c r="J10" s="59"/>
    </row>
    <row r="11" spans="1:10">
      <c r="A11" s="29" t="s">
        <v>277</v>
      </c>
      <c r="B11" s="20">
        <v>0</v>
      </c>
      <c r="C11" s="20">
        <v>2</v>
      </c>
      <c r="D11" s="20">
        <v>6</v>
      </c>
      <c r="E11" s="20"/>
      <c r="F11" s="20">
        <v>0.12</v>
      </c>
      <c r="G11" s="20"/>
      <c r="H11" s="20" t="s">
        <v>285</v>
      </c>
      <c r="I11" s="42">
        <v>0.12</v>
      </c>
      <c r="J11" s="59"/>
    </row>
    <row r="12" spans="1:10">
      <c r="A12" s="29" t="s">
        <v>277</v>
      </c>
      <c r="B12" s="20">
        <v>0</v>
      </c>
      <c r="C12" s="20">
        <v>2</v>
      </c>
      <c r="D12" s="20">
        <v>4</v>
      </c>
      <c r="E12" s="20"/>
      <c r="F12" s="20">
        <v>0.12</v>
      </c>
      <c r="G12" s="20"/>
      <c r="H12" s="20" t="s">
        <v>286</v>
      </c>
      <c r="I12" s="42">
        <v>0.12</v>
      </c>
      <c r="J12" s="59"/>
    </row>
    <row r="13" spans="1:10">
      <c r="A13" s="29" t="s">
        <v>277</v>
      </c>
      <c r="B13" s="20">
        <v>0</v>
      </c>
      <c r="C13" s="20">
        <v>6</v>
      </c>
      <c r="D13" s="20">
        <v>3</v>
      </c>
      <c r="E13" s="20"/>
      <c r="F13" s="20">
        <v>0.31</v>
      </c>
      <c r="G13" s="20"/>
      <c r="H13" s="20" t="s">
        <v>287</v>
      </c>
      <c r="I13" s="42">
        <v>0.31</v>
      </c>
      <c r="J13" s="59"/>
    </row>
    <row r="14" spans="1:10">
      <c r="A14" s="29" t="s">
        <v>277</v>
      </c>
      <c r="B14" s="20">
        <v>0</v>
      </c>
      <c r="C14" s="20">
        <v>0</v>
      </c>
      <c r="D14" s="20">
        <v>10</v>
      </c>
      <c r="E14" s="20"/>
      <c r="F14" s="20">
        <v>0.04</v>
      </c>
      <c r="G14" s="20"/>
      <c r="H14" s="20" t="s">
        <v>288</v>
      </c>
      <c r="I14" s="42">
        <v>0.04</v>
      </c>
      <c r="J14" s="59"/>
    </row>
    <row r="15" spans="1:10">
      <c r="A15" s="29" t="s">
        <v>277</v>
      </c>
      <c r="B15" s="20">
        <v>0</v>
      </c>
      <c r="C15" s="20">
        <v>0</v>
      </c>
      <c r="D15" s="20">
        <v>2</v>
      </c>
      <c r="E15" s="20"/>
      <c r="F15" s="20">
        <v>0.01</v>
      </c>
      <c r="G15" s="20"/>
      <c r="H15" s="20" t="s">
        <v>289</v>
      </c>
      <c r="I15" s="42">
        <v>0.01</v>
      </c>
      <c r="J15" s="59"/>
    </row>
    <row r="16" spans="1:10">
      <c r="A16" s="29" t="s">
        <v>277</v>
      </c>
      <c r="B16" s="20">
        <v>0</v>
      </c>
      <c r="C16" s="20">
        <v>2</v>
      </c>
      <c r="D16" s="20">
        <v>3</v>
      </c>
      <c r="E16" s="20"/>
      <c r="F16" s="20">
        <v>0.11</v>
      </c>
      <c r="G16" s="20"/>
      <c r="H16" s="20" t="s">
        <v>290</v>
      </c>
      <c r="I16" s="42">
        <v>0.11</v>
      </c>
      <c r="J16" s="59"/>
    </row>
    <row r="17" spans="1:10">
      <c r="A17" s="29" t="s">
        <v>277</v>
      </c>
      <c r="B17" s="20">
        <v>0</v>
      </c>
      <c r="C17" s="20">
        <v>0</v>
      </c>
      <c r="D17" s="20">
        <v>4</v>
      </c>
      <c r="E17" s="20"/>
      <c r="F17" s="20">
        <v>0.02</v>
      </c>
      <c r="G17" s="20"/>
      <c r="H17" s="20" t="s">
        <v>291</v>
      </c>
      <c r="I17" s="42">
        <v>0.02</v>
      </c>
      <c r="J17" s="59"/>
    </row>
    <row r="18" spans="1:10">
      <c r="A18" s="29" t="s">
        <v>277</v>
      </c>
      <c r="B18" s="20">
        <v>0</v>
      </c>
      <c r="C18" s="20">
        <v>0</v>
      </c>
      <c r="D18" s="20">
        <v>8</v>
      </c>
      <c r="E18" s="20"/>
      <c r="F18" s="20">
        <v>0.03</v>
      </c>
      <c r="G18" s="20"/>
      <c r="H18" s="20" t="s">
        <v>292</v>
      </c>
      <c r="I18" s="42">
        <v>0.03</v>
      </c>
      <c r="J18" s="59"/>
    </row>
    <row r="19" spans="1:10">
      <c r="A19" s="29" t="s">
        <v>277</v>
      </c>
      <c r="B19" s="20">
        <v>0</v>
      </c>
      <c r="C19" s="20">
        <v>1</v>
      </c>
      <c r="D19" s="20">
        <v>9.5</v>
      </c>
      <c r="E19" s="20"/>
      <c r="F19" s="20">
        <v>0.09</v>
      </c>
      <c r="G19" s="20"/>
      <c r="H19" s="20" t="s">
        <v>293</v>
      </c>
      <c r="I19" s="42">
        <v>0.09</v>
      </c>
      <c r="J19" s="59"/>
    </row>
    <row r="20" spans="1:10">
      <c r="A20" s="29" t="s">
        <v>277</v>
      </c>
      <c r="B20" s="20">
        <v>0</v>
      </c>
      <c r="C20" s="20">
        <v>0</v>
      </c>
      <c r="D20" s="20">
        <v>8</v>
      </c>
      <c r="E20" s="20"/>
      <c r="F20" s="20">
        <v>0.03</v>
      </c>
      <c r="G20" s="20"/>
      <c r="H20" s="20" t="s">
        <v>294</v>
      </c>
      <c r="I20" s="42">
        <v>0.03</v>
      </c>
      <c r="J20" s="59"/>
    </row>
    <row r="21" spans="1:10">
      <c r="A21" s="29" t="s">
        <v>277</v>
      </c>
      <c r="B21" s="20">
        <v>0</v>
      </c>
      <c r="C21" s="20">
        <v>0</v>
      </c>
      <c r="D21" s="20">
        <v>3.5</v>
      </c>
      <c r="E21" s="20"/>
      <c r="F21" s="20">
        <v>0.01</v>
      </c>
      <c r="G21" s="20"/>
      <c r="H21" s="20" t="s">
        <v>295</v>
      </c>
      <c r="I21" s="42">
        <v>0.01</v>
      </c>
      <c r="J21" s="59"/>
    </row>
    <row r="22" spans="1:10">
      <c r="A22" s="29" t="s">
        <v>277</v>
      </c>
      <c r="B22" s="20">
        <v>0</v>
      </c>
      <c r="C22" s="20">
        <v>0</v>
      </c>
      <c r="D22" s="20">
        <v>2</v>
      </c>
      <c r="E22" s="20"/>
      <c r="F22" s="20">
        <v>0.01</v>
      </c>
      <c r="G22" s="20"/>
      <c r="H22" s="20" t="s">
        <v>296</v>
      </c>
      <c r="I22" s="42">
        <v>0.01</v>
      </c>
      <c r="J22" s="59"/>
    </row>
    <row r="23" spans="1:10">
      <c r="A23" s="29" t="s">
        <v>277</v>
      </c>
      <c r="B23" s="20">
        <v>0</v>
      </c>
      <c r="C23" s="20">
        <v>1</v>
      </c>
      <c r="D23" s="20">
        <v>4</v>
      </c>
      <c r="E23" s="20"/>
      <c r="F23" s="20">
        <v>7.0000000000000007E-2</v>
      </c>
      <c r="G23" s="20"/>
      <c r="H23" s="20" t="s">
        <v>297</v>
      </c>
      <c r="I23" s="42">
        <v>7.0000000000000007E-2</v>
      </c>
      <c r="J23" s="59"/>
    </row>
    <row r="24" spans="1:10">
      <c r="A24" s="29" t="s">
        <v>277</v>
      </c>
      <c r="B24" s="20">
        <v>6</v>
      </c>
      <c r="C24" s="20">
        <v>13</v>
      </c>
      <c r="D24" s="20">
        <v>4</v>
      </c>
      <c r="E24" s="20"/>
      <c r="F24" s="20">
        <v>6.67</v>
      </c>
      <c r="G24" s="20"/>
      <c r="H24" s="20" t="s">
        <v>298</v>
      </c>
      <c r="I24" s="42">
        <v>6.67</v>
      </c>
      <c r="J24" s="59"/>
    </row>
    <row r="25" spans="1:10">
      <c r="A25" s="29" t="s">
        <v>277</v>
      </c>
      <c r="B25" s="20">
        <v>9</v>
      </c>
      <c r="C25" s="20">
        <v>9</v>
      </c>
      <c r="D25" s="20">
        <v>1.5</v>
      </c>
      <c r="E25" s="20"/>
      <c r="F25" s="20">
        <v>9.4600000000000009</v>
      </c>
      <c r="G25" s="20"/>
      <c r="H25" s="20" t="s">
        <v>299</v>
      </c>
      <c r="I25" s="42">
        <v>9.4600000000000009</v>
      </c>
      <c r="J25" s="59"/>
    </row>
    <row r="26" spans="1:10">
      <c r="A26" s="30" t="s">
        <v>36</v>
      </c>
      <c r="B26" s="31"/>
      <c r="C26" s="31"/>
      <c r="D26" s="31"/>
      <c r="E26" s="31"/>
      <c r="F26" s="31">
        <v>9.4600000000000009</v>
      </c>
      <c r="G26" s="31">
        <v>0</v>
      </c>
      <c r="H26" s="31" t="s">
        <v>178</v>
      </c>
      <c r="I26" s="41">
        <v>9.4600000000000009</v>
      </c>
      <c r="J26" s="90">
        <f>I26/3</f>
        <v>3.1533333333333338</v>
      </c>
    </row>
    <row r="27" spans="1:10">
      <c r="A27" s="29"/>
      <c r="B27" s="20"/>
      <c r="C27" s="20"/>
      <c r="D27" s="20"/>
      <c r="E27" s="20"/>
      <c r="F27" s="20"/>
      <c r="G27" s="20"/>
      <c r="H27" s="20"/>
      <c r="I27" s="59"/>
      <c r="J27" s="59"/>
    </row>
    <row r="28" spans="1:10" ht="15.6" customHeight="1">
      <c r="A28" s="49" t="s">
        <v>41</v>
      </c>
      <c r="B28" s="50">
        <v>3</v>
      </c>
      <c r="C28" s="50">
        <v>6</v>
      </c>
      <c r="D28" s="50">
        <v>8</v>
      </c>
      <c r="E28" s="50"/>
      <c r="F28" s="61">
        <v>3.33</v>
      </c>
      <c r="G28" s="91"/>
      <c r="H28" s="50" t="s">
        <v>300</v>
      </c>
      <c r="I28" s="59"/>
      <c r="J28" s="59"/>
    </row>
    <row r="29" spans="1:10" ht="15.6" customHeight="1">
      <c r="A29" s="50" t="s">
        <v>41</v>
      </c>
      <c r="B29" s="50">
        <v>3</v>
      </c>
      <c r="C29" s="50">
        <v>6</v>
      </c>
      <c r="D29" s="50">
        <v>8</v>
      </c>
      <c r="E29" s="50"/>
      <c r="F29" s="61">
        <v>3.33</v>
      </c>
      <c r="G29" s="91"/>
      <c r="H29" s="50" t="s">
        <v>301</v>
      </c>
      <c r="I29" s="59"/>
      <c r="J29" s="59"/>
    </row>
    <row r="30" spans="1:10" ht="15.6" customHeight="1">
      <c r="A30" s="49" t="s">
        <v>302</v>
      </c>
      <c r="B30" s="50"/>
      <c r="C30" s="50"/>
      <c r="D30" s="50"/>
      <c r="E30" s="50"/>
      <c r="F30" s="61">
        <v>3.33</v>
      </c>
      <c r="G30" s="91">
        <v>0</v>
      </c>
      <c r="H30" s="50" t="s">
        <v>178</v>
      </c>
      <c r="I30" s="59"/>
      <c r="J30" s="59"/>
    </row>
    <row r="31" spans="1:10">
      <c r="A31" s="29"/>
      <c r="B31" s="20"/>
      <c r="C31" s="20"/>
      <c r="D31" s="20"/>
      <c r="E31" s="20"/>
      <c r="F31" s="20"/>
      <c r="G31" s="20"/>
      <c r="H31" s="20"/>
      <c r="I31" s="59"/>
      <c r="J31" s="59"/>
    </row>
    <row r="32" spans="1:10">
      <c r="A32" s="28" t="s">
        <v>303</v>
      </c>
      <c r="B32" s="20">
        <v>0</v>
      </c>
      <c r="C32" s="20">
        <v>14</v>
      </c>
      <c r="D32" s="20">
        <v>9</v>
      </c>
      <c r="E32" s="20"/>
      <c r="F32" s="20">
        <v>0.74</v>
      </c>
      <c r="G32" s="20"/>
      <c r="H32" s="20" t="s">
        <v>304</v>
      </c>
      <c r="I32" s="59"/>
      <c r="J32" s="59"/>
    </row>
    <row r="33" spans="1:8">
      <c r="A33" s="30" t="s">
        <v>305</v>
      </c>
      <c r="B33" s="31"/>
      <c r="C33" s="31"/>
      <c r="D33" s="31"/>
      <c r="E33" s="31"/>
      <c r="F33" s="31">
        <v>0.74</v>
      </c>
      <c r="G33" s="31">
        <v>0</v>
      </c>
      <c r="H33" s="31" t="s">
        <v>178</v>
      </c>
    </row>
    <row r="34" spans="1:8">
      <c r="A34" s="29"/>
      <c r="B34" s="20"/>
      <c r="C34" s="20"/>
      <c r="D34" s="20"/>
      <c r="E34" s="20"/>
      <c r="F34" s="20"/>
      <c r="G34" s="20"/>
      <c r="H34" s="20"/>
    </row>
    <row r="35" spans="1:8">
      <c r="A35" s="29" t="s">
        <v>306</v>
      </c>
      <c r="B35" s="20">
        <v>33</v>
      </c>
      <c r="C35" s="20">
        <v>10</v>
      </c>
      <c r="D35" s="20">
        <v>6.5</v>
      </c>
      <c r="E35" s="20"/>
      <c r="F35" s="20">
        <v>33.53</v>
      </c>
      <c r="G35" s="20"/>
      <c r="H35" s="20" t="s">
        <v>307</v>
      </c>
    </row>
    <row r="36" spans="1:8">
      <c r="A36" s="29" t="s">
        <v>306</v>
      </c>
      <c r="B36" s="20"/>
      <c r="C36" s="20"/>
      <c r="D36" s="20"/>
      <c r="E36" s="20"/>
      <c r="F36" s="20">
        <v>0</v>
      </c>
      <c r="G36" s="20">
        <v>-33.53</v>
      </c>
      <c r="H36" s="20" t="s">
        <v>178</v>
      </c>
    </row>
    <row r="37" spans="1:8">
      <c r="A37" s="29"/>
      <c r="B37" s="20"/>
      <c r="C37" s="20"/>
      <c r="D37" s="20"/>
      <c r="E37" s="20"/>
      <c r="F37" s="20"/>
      <c r="G37" s="20"/>
      <c r="H37" s="20"/>
    </row>
    <row r="38" spans="1:8" ht="15.6" customHeight="1">
      <c r="A38" s="50" t="s">
        <v>308</v>
      </c>
      <c r="B38" s="50">
        <v>0</v>
      </c>
      <c r="C38" s="50">
        <v>6</v>
      </c>
      <c r="D38" s="50">
        <v>8</v>
      </c>
      <c r="E38" s="50"/>
      <c r="F38" s="61">
        <v>0.33</v>
      </c>
      <c r="G38" s="91"/>
      <c r="H38" s="50" t="s">
        <v>309</v>
      </c>
    </row>
    <row r="39" spans="1:8" ht="15.6" customHeight="1">
      <c r="A39" s="50" t="s">
        <v>308</v>
      </c>
      <c r="B39" s="50">
        <v>0</v>
      </c>
      <c r="C39" s="50">
        <v>6</v>
      </c>
      <c r="D39" s="50">
        <v>8</v>
      </c>
      <c r="E39" s="50"/>
      <c r="F39" s="61">
        <v>0.33</v>
      </c>
      <c r="G39" s="91"/>
      <c r="H39" s="50" t="s">
        <v>310</v>
      </c>
    </row>
    <row r="40" spans="1:8" ht="15.6" customHeight="1">
      <c r="A40" s="49" t="s">
        <v>311</v>
      </c>
      <c r="B40" s="50"/>
      <c r="C40" s="50"/>
      <c r="D40" s="50"/>
      <c r="E40" s="50"/>
      <c r="F40" s="61">
        <v>0.33</v>
      </c>
      <c r="G40" s="91">
        <v>0</v>
      </c>
      <c r="H40" s="50" t="s">
        <v>178</v>
      </c>
    </row>
    <row r="41" spans="1:8">
      <c r="A41" s="29"/>
      <c r="B41" s="20"/>
      <c r="C41" s="20"/>
      <c r="D41" s="20"/>
      <c r="E41" s="20"/>
      <c r="F41" s="20"/>
      <c r="G41" s="20"/>
      <c r="H41" s="20"/>
    </row>
    <row r="42" spans="1:8">
      <c r="A42" s="28" t="s">
        <v>312</v>
      </c>
      <c r="B42" s="20">
        <v>64</v>
      </c>
      <c r="C42" s="20">
        <v>19</v>
      </c>
      <c r="D42" s="20">
        <v>11.5</v>
      </c>
      <c r="E42" s="20"/>
      <c r="F42" s="20">
        <v>65</v>
      </c>
      <c r="G42" s="20"/>
      <c r="H42" s="20" t="s">
        <v>313</v>
      </c>
    </row>
    <row r="43" spans="1:8">
      <c r="A43" s="30" t="s">
        <v>314</v>
      </c>
      <c r="B43" s="31"/>
      <c r="C43" s="31"/>
      <c r="D43" s="31"/>
      <c r="E43" s="31"/>
      <c r="F43" s="31">
        <v>65</v>
      </c>
      <c r="G43" s="31">
        <v>0</v>
      </c>
      <c r="H43" s="31" t="s">
        <v>178</v>
      </c>
    </row>
    <row r="44" spans="1:8">
      <c r="A44" s="29"/>
      <c r="B44" s="20"/>
      <c r="C44" s="20"/>
      <c r="D44" s="20"/>
      <c r="E44" s="20"/>
      <c r="F44" s="20"/>
      <c r="G44" s="20"/>
      <c r="H44" s="20"/>
    </row>
    <row r="45" spans="1:8">
      <c r="A45" s="28" t="s">
        <v>51</v>
      </c>
      <c r="B45" s="20">
        <v>64</v>
      </c>
      <c r="C45" s="20">
        <v>13</v>
      </c>
      <c r="D45" s="20">
        <v>3.5</v>
      </c>
      <c r="E45" s="20"/>
      <c r="F45" s="20">
        <v>64.66</v>
      </c>
      <c r="G45" s="20"/>
      <c r="H45" s="20" t="s">
        <v>315</v>
      </c>
    </row>
    <row r="46" spans="1:8">
      <c r="A46" s="30" t="s">
        <v>316</v>
      </c>
      <c r="B46" s="31">
        <v>64</v>
      </c>
      <c r="C46" s="31">
        <v>13</v>
      </c>
      <c r="D46" s="31">
        <v>3.5</v>
      </c>
      <c r="E46" s="31"/>
      <c r="F46" s="31">
        <v>64.66</v>
      </c>
      <c r="G46" s="31">
        <v>0</v>
      </c>
      <c r="H46" s="31" t="s">
        <v>317</v>
      </c>
    </row>
    <row r="48" spans="1:8">
      <c r="A48" s="89" t="s">
        <v>44</v>
      </c>
      <c r="B48" s="59">
        <v>33</v>
      </c>
      <c r="C48" s="59">
        <v>10</v>
      </c>
      <c r="D48" s="59">
        <v>6.5</v>
      </c>
      <c r="E48" s="59"/>
      <c r="F48" s="59">
        <f>F35</f>
        <v>33.53</v>
      </c>
      <c r="G48" s="59"/>
      <c r="H48" s="59"/>
    </row>
    <row r="49" spans="1:6">
      <c r="A49" s="89" t="s">
        <v>45</v>
      </c>
      <c r="B49" s="59"/>
      <c r="C49" s="59"/>
      <c r="D49" s="59"/>
      <c r="E49" s="59"/>
      <c r="F49" s="59">
        <f>SUMIF(A1:A34,"* total",F1:F34)</f>
        <v>13.530000000000001</v>
      </c>
    </row>
    <row r="50" spans="1:6">
      <c r="A50" s="89" t="s">
        <v>46</v>
      </c>
      <c r="B50" s="59"/>
      <c r="C50" s="59"/>
      <c r="D50" s="59"/>
      <c r="E50" s="59"/>
      <c r="F50" s="90">
        <f>I26</f>
        <v>9.4600000000000009</v>
      </c>
    </row>
    <row r="51" spans="1:6">
      <c r="A51" s="89" t="s">
        <v>47</v>
      </c>
      <c r="B51" s="59"/>
      <c r="C51" s="59"/>
      <c r="D51" s="59"/>
      <c r="E51" s="59"/>
      <c r="F51" s="90">
        <f>J26</f>
        <v>3.1533333333333338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8"/>
  <sheetViews>
    <sheetView workbookViewId="0"/>
  </sheetViews>
  <sheetFormatPr defaultRowHeight="14.45"/>
  <cols>
    <col min="1" max="1" width="44.42578125" style="40" customWidth="1"/>
    <col min="2" max="2" width="14.42578125" style="40" customWidth="1"/>
    <col min="6" max="6" width="9.85546875" style="40" customWidth="1"/>
    <col min="7" max="7" width="16.5703125" style="40" customWidth="1"/>
    <col min="10" max="10" width="16.140625" style="40" customWidth="1"/>
    <col min="11" max="11" width="11.42578125" style="40" customWidth="1"/>
    <col min="13" max="13" width="8.42578125" style="40" customWidth="1"/>
    <col min="14" max="14" width="10.5703125" style="40" customWidth="1"/>
    <col min="16" max="16" width="16.5703125" style="40" customWidth="1"/>
    <col min="17" max="17" width="17.42578125" style="40" customWidth="1"/>
    <col min="19" max="19" width="16.140625" style="40" customWidth="1"/>
    <col min="21" max="21" width="13.140625" style="40" customWidth="1"/>
  </cols>
  <sheetData>
    <row r="1" spans="1:21" ht="15.6" customHeight="1">
      <c r="A1" s="49" t="s">
        <v>318</v>
      </c>
      <c r="B1" s="59"/>
      <c r="C1" s="59"/>
      <c r="D1" s="59"/>
      <c r="E1" s="59"/>
      <c r="F1" s="59"/>
      <c r="G1" s="59"/>
      <c r="H1" s="59"/>
      <c r="I1" s="59"/>
      <c r="J1" s="59"/>
      <c r="K1" s="59"/>
      <c r="L1" s="59"/>
      <c r="M1" s="59"/>
      <c r="N1" s="59"/>
      <c r="O1" s="59"/>
      <c r="P1" s="59"/>
      <c r="Q1" s="59"/>
      <c r="R1" s="59"/>
      <c r="S1" s="59"/>
      <c r="T1" s="59"/>
      <c r="U1" s="59"/>
    </row>
    <row r="2" spans="1:21" ht="15.6" customHeight="1">
      <c r="A2" s="49"/>
      <c r="B2" s="59"/>
      <c r="C2" s="59"/>
      <c r="D2" s="59"/>
      <c r="E2" s="59"/>
      <c r="F2" s="59"/>
      <c r="G2" s="59"/>
      <c r="H2" s="59"/>
      <c r="I2" s="59"/>
      <c r="J2" s="59"/>
      <c r="K2" s="59"/>
      <c r="L2" s="59"/>
      <c r="M2" s="59"/>
      <c r="N2" s="59"/>
      <c r="O2" s="59"/>
      <c r="P2" s="59"/>
      <c r="Q2" s="59"/>
      <c r="R2" s="59"/>
      <c r="S2" s="59"/>
      <c r="T2" s="59"/>
      <c r="U2" s="59"/>
    </row>
    <row r="3" spans="1:21" ht="17.100000000000001" customHeight="1">
      <c r="A3" s="92"/>
      <c r="B3" s="92"/>
      <c r="C3" s="44" t="s">
        <v>319</v>
      </c>
      <c r="D3" s="93"/>
      <c r="E3" s="93"/>
      <c r="F3" s="93"/>
      <c r="G3" s="45" t="s">
        <v>320</v>
      </c>
      <c r="H3" s="93"/>
      <c r="I3" s="93"/>
      <c r="J3" s="93"/>
      <c r="K3" s="92"/>
      <c r="L3" s="92"/>
      <c r="M3" s="92"/>
      <c r="N3" s="92"/>
      <c r="O3" s="92"/>
      <c r="P3" s="94"/>
      <c r="Q3" s="92"/>
      <c r="R3" s="92"/>
      <c r="S3" s="92"/>
      <c r="T3" s="92"/>
      <c r="U3" s="59"/>
    </row>
    <row r="4" spans="1:21" ht="46.5" customHeight="1">
      <c r="A4" s="95" t="s">
        <v>83</v>
      </c>
      <c r="B4" s="96" t="s">
        <v>321</v>
      </c>
      <c r="C4" s="96" t="s">
        <v>319</v>
      </c>
      <c r="D4" s="49" t="s">
        <v>322</v>
      </c>
      <c r="E4" s="49" t="s">
        <v>323</v>
      </c>
      <c r="F4" s="49" t="s">
        <v>324</v>
      </c>
      <c r="G4" s="49" t="s">
        <v>325</v>
      </c>
      <c r="H4" s="96" t="s">
        <v>326</v>
      </c>
      <c r="I4" s="96" t="s">
        <v>327</v>
      </c>
      <c r="J4" s="96" t="s">
        <v>328</v>
      </c>
      <c r="K4" s="96" t="s">
        <v>329</v>
      </c>
      <c r="L4" s="96" t="s">
        <v>330</v>
      </c>
      <c r="M4" s="96" t="s">
        <v>331</v>
      </c>
      <c r="N4" s="96" t="s">
        <v>332</v>
      </c>
      <c r="O4" s="96" t="s">
        <v>333</v>
      </c>
      <c r="P4" s="97" t="s">
        <v>334</v>
      </c>
      <c r="Q4" s="95" t="s">
        <v>335</v>
      </c>
      <c r="R4" s="95" t="s">
        <v>336</v>
      </c>
      <c r="S4" s="95" t="s">
        <v>337</v>
      </c>
      <c r="T4" s="98" t="s">
        <v>338</v>
      </c>
      <c r="U4" s="96" t="s">
        <v>339</v>
      </c>
    </row>
    <row r="5" spans="1:21">
      <c r="A5" s="92" t="s">
        <v>89</v>
      </c>
      <c r="B5" s="59">
        <v>0</v>
      </c>
      <c r="C5" s="59">
        <v>0</v>
      </c>
      <c r="D5" s="59"/>
      <c r="E5" s="59"/>
      <c r="F5" s="59"/>
      <c r="G5" s="59"/>
      <c r="H5" s="59">
        <v>0</v>
      </c>
      <c r="I5" s="59">
        <v>0</v>
      </c>
      <c r="J5" s="59"/>
      <c r="K5" s="59">
        <f>B5+C5-H5-I5</f>
        <v>0</v>
      </c>
      <c r="L5" s="59">
        <f>B5+C5-H5</f>
        <v>0</v>
      </c>
      <c r="M5" s="59">
        <f>L5-B5</f>
        <v>0</v>
      </c>
      <c r="N5" s="59">
        <f>C5</f>
        <v>0</v>
      </c>
      <c r="O5" s="59">
        <v>0</v>
      </c>
      <c r="P5" s="99">
        <f>O5*K5</f>
        <v>0</v>
      </c>
      <c r="Q5" s="59"/>
      <c r="R5" s="59">
        <v>0</v>
      </c>
      <c r="S5" s="59">
        <f>O5*M5</f>
        <v>0</v>
      </c>
      <c r="T5" s="59">
        <f>O5*N5</f>
        <v>0</v>
      </c>
      <c r="U5" s="59"/>
    </row>
    <row r="6" spans="1:21">
      <c r="A6" s="92" t="s">
        <v>90</v>
      </c>
      <c r="B6" s="59">
        <v>0</v>
      </c>
      <c r="C6" s="59">
        <v>0</v>
      </c>
      <c r="D6" s="59"/>
      <c r="E6" s="59"/>
      <c r="F6" s="59"/>
      <c r="G6" s="59"/>
      <c r="H6" s="59">
        <v>0</v>
      </c>
      <c r="I6" s="59">
        <v>0</v>
      </c>
      <c r="J6" s="59"/>
      <c r="K6" s="59">
        <f>B6+C6-H6-I6</f>
        <v>0</v>
      </c>
      <c r="L6" s="59">
        <f>B6+C6-H6</f>
        <v>0</v>
      </c>
      <c r="M6" s="59">
        <f>L6-B6</f>
        <v>0</v>
      </c>
      <c r="N6" s="59">
        <f>C6</f>
        <v>0</v>
      </c>
      <c r="O6" s="59">
        <v>0</v>
      </c>
      <c r="P6" s="99">
        <f>O6*K6</f>
        <v>0</v>
      </c>
      <c r="Q6" s="59"/>
      <c r="R6" s="59">
        <v>0</v>
      </c>
      <c r="S6" s="59">
        <f>O6*M6</f>
        <v>0</v>
      </c>
      <c r="T6" s="59">
        <f>O6*N6</f>
        <v>0</v>
      </c>
      <c r="U6" s="59"/>
    </row>
    <row r="7" spans="1:21">
      <c r="A7" s="59" t="s">
        <v>91</v>
      </c>
      <c r="B7" s="59">
        <v>6</v>
      </c>
      <c r="C7" s="59">
        <v>0</v>
      </c>
      <c r="D7" s="59"/>
      <c r="E7" s="59"/>
      <c r="F7" s="59"/>
      <c r="G7" s="59"/>
      <c r="H7" s="59">
        <v>0</v>
      </c>
      <c r="I7" s="59">
        <v>0</v>
      </c>
      <c r="J7" s="59"/>
      <c r="K7" s="59">
        <f>B7+C7-H7-I7</f>
        <v>6</v>
      </c>
      <c r="L7" s="59">
        <f>B7+C7-H7</f>
        <v>6</v>
      </c>
      <c r="M7" s="59">
        <f>L7-B7</f>
        <v>0</v>
      </c>
      <c r="N7" s="59">
        <f>C7</f>
        <v>0</v>
      </c>
      <c r="O7" s="59">
        <v>0</v>
      </c>
      <c r="P7" s="99">
        <f>O7*K7</f>
        <v>0</v>
      </c>
      <c r="Q7" s="59"/>
      <c r="R7" s="59">
        <v>0</v>
      </c>
      <c r="S7" s="59">
        <f>O7*M7</f>
        <v>0</v>
      </c>
      <c r="T7" s="59">
        <f>O7*N7</f>
        <v>0</v>
      </c>
      <c r="U7" s="59"/>
    </row>
    <row r="8" spans="1:21">
      <c r="A8" s="59" t="s">
        <v>340</v>
      </c>
      <c r="B8" s="59">
        <v>0</v>
      </c>
      <c r="C8" s="59">
        <v>0</v>
      </c>
      <c r="D8" s="59"/>
      <c r="E8" s="59"/>
      <c r="F8" s="59"/>
      <c r="G8" s="59"/>
      <c r="H8" s="59">
        <v>0</v>
      </c>
      <c r="I8" s="59">
        <v>0</v>
      </c>
      <c r="J8" s="59"/>
      <c r="K8" s="59">
        <f>B8+C8-H8-I8</f>
        <v>0</v>
      </c>
      <c r="L8" s="59">
        <f>B8+C8-H8</f>
        <v>0</v>
      </c>
      <c r="M8" s="59">
        <f>L8-B8</f>
        <v>0</v>
      </c>
      <c r="N8" s="59">
        <f>C8</f>
        <v>0</v>
      </c>
      <c r="O8" s="59">
        <v>0</v>
      </c>
      <c r="P8" s="99">
        <f>O8*K8</f>
        <v>0</v>
      </c>
      <c r="Q8" s="59"/>
      <c r="R8" s="59">
        <v>0</v>
      </c>
      <c r="S8" s="59">
        <f>O8*M8</f>
        <v>0</v>
      </c>
      <c r="T8" s="59">
        <f>O8*N8</f>
        <v>0</v>
      </c>
      <c r="U8" s="59"/>
    </row>
    <row r="9" spans="1:21">
      <c r="A9" s="59" t="s">
        <v>92</v>
      </c>
      <c r="B9" s="59">
        <v>0</v>
      </c>
      <c r="C9" s="59">
        <v>0</v>
      </c>
      <c r="D9" s="59"/>
      <c r="E9" s="59"/>
      <c r="F9" s="59"/>
      <c r="G9" s="59"/>
      <c r="H9" s="59">
        <v>0</v>
      </c>
      <c r="I9" s="59">
        <v>0</v>
      </c>
      <c r="J9" s="59"/>
      <c r="K9" s="59">
        <f>B9+C9-H9-I9</f>
        <v>0</v>
      </c>
      <c r="L9" s="59">
        <f>B9+C9-H9</f>
        <v>0</v>
      </c>
      <c r="M9" s="59">
        <f>L9-B9</f>
        <v>0</v>
      </c>
      <c r="N9" s="59">
        <f>C9</f>
        <v>0</v>
      </c>
      <c r="O9" s="59">
        <v>0</v>
      </c>
      <c r="P9" s="99">
        <f>O9*K9</f>
        <v>0</v>
      </c>
      <c r="Q9" s="59"/>
      <c r="R9" s="59">
        <v>0</v>
      </c>
      <c r="S9" s="59">
        <f>O9*M9</f>
        <v>0</v>
      </c>
      <c r="T9" s="59">
        <f>O9*N9</f>
        <v>0</v>
      </c>
      <c r="U9" s="59"/>
    </row>
    <row r="10" spans="1:21">
      <c r="A10" s="59" t="s">
        <v>93</v>
      </c>
      <c r="B10" s="59">
        <v>0</v>
      </c>
      <c r="C10" s="59">
        <v>0</v>
      </c>
      <c r="D10" s="59"/>
      <c r="E10" s="59"/>
      <c r="F10" s="59"/>
      <c r="G10" s="59"/>
      <c r="H10" s="59">
        <v>0</v>
      </c>
      <c r="I10" s="59">
        <v>0</v>
      </c>
      <c r="J10" s="59"/>
      <c r="K10" s="59">
        <f>B10+C10-H10-I10</f>
        <v>0</v>
      </c>
      <c r="L10" s="59">
        <f>B10+C10-H10</f>
        <v>0</v>
      </c>
      <c r="M10" s="59">
        <f>L10-B10</f>
        <v>0</v>
      </c>
      <c r="N10" s="59">
        <f>C10</f>
        <v>0</v>
      </c>
      <c r="O10" s="59">
        <v>0</v>
      </c>
      <c r="P10" s="99">
        <f>O10*K10</f>
        <v>0</v>
      </c>
      <c r="Q10" s="59"/>
      <c r="R10" s="59">
        <v>0</v>
      </c>
      <c r="S10" s="59">
        <f>O10*M10</f>
        <v>0</v>
      </c>
      <c r="T10" s="59">
        <f>O10*N10</f>
        <v>0</v>
      </c>
      <c r="U10" s="59"/>
    </row>
    <row r="11" spans="1:21">
      <c r="A11" s="59" t="s">
        <v>94</v>
      </c>
      <c r="B11" s="59">
        <v>0</v>
      </c>
      <c r="C11" s="59">
        <v>0</v>
      </c>
      <c r="D11" s="59"/>
      <c r="E11" s="59"/>
      <c r="F11" s="59"/>
      <c r="G11" s="59"/>
      <c r="H11" s="59">
        <v>0</v>
      </c>
      <c r="I11" s="59">
        <v>0</v>
      </c>
      <c r="J11" s="59"/>
      <c r="K11" s="59">
        <f>B11+C11-H11-I11</f>
        <v>0</v>
      </c>
      <c r="L11" s="59">
        <f>B11+C11-H11</f>
        <v>0</v>
      </c>
      <c r="M11" s="59">
        <f>L11-B11</f>
        <v>0</v>
      </c>
      <c r="N11" s="59">
        <f>C11</f>
        <v>0</v>
      </c>
      <c r="O11" s="59">
        <v>0</v>
      </c>
      <c r="P11" s="99">
        <f>O11*K11</f>
        <v>0</v>
      </c>
      <c r="Q11" s="59"/>
      <c r="R11" s="59">
        <v>0</v>
      </c>
      <c r="S11" s="59">
        <f>O11*M11</f>
        <v>0</v>
      </c>
      <c r="T11" s="59">
        <f>O11*N11</f>
        <v>0</v>
      </c>
      <c r="U11" s="59"/>
    </row>
    <row r="12" spans="1:21">
      <c r="A12" s="59" t="s">
        <v>95</v>
      </c>
      <c r="B12" s="59">
        <v>0</v>
      </c>
      <c r="C12" s="59">
        <v>0</v>
      </c>
      <c r="D12" s="59"/>
      <c r="E12" s="59"/>
      <c r="F12" s="59"/>
      <c r="G12" s="59"/>
      <c r="H12" s="59">
        <v>0</v>
      </c>
      <c r="I12" s="59">
        <v>0</v>
      </c>
      <c r="J12" s="59"/>
      <c r="K12" s="59">
        <f>B12+C12-H12-I12</f>
        <v>0</v>
      </c>
      <c r="L12" s="59">
        <f>B12+C12-H12</f>
        <v>0</v>
      </c>
      <c r="M12" s="59">
        <f>L12-B12</f>
        <v>0</v>
      </c>
      <c r="N12" s="59">
        <f>C12</f>
        <v>0</v>
      </c>
      <c r="O12" s="59">
        <v>0</v>
      </c>
      <c r="P12" s="99">
        <f>O12*K12</f>
        <v>0</v>
      </c>
      <c r="Q12" s="59"/>
      <c r="R12" s="59">
        <v>0</v>
      </c>
      <c r="S12" s="59">
        <f>O12*M12</f>
        <v>0</v>
      </c>
      <c r="T12" s="59">
        <f>O12*N12</f>
        <v>0</v>
      </c>
      <c r="U12" s="59"/>
    </row>
    <row r="13" spans="1:21">
      <c r="A13" s="59" t="s">
        <v>96</v>
      </c>
      <c r="B13" s="59">
        <v>2</v>
      </c>
      <c r="C13" s="59">
        <v>0</v>
      </c>
      <c r="D13" s="59"/>
      <c r="E13" s="59"/>
      <c r="F13" s="59"/>
      <c r="G13" s="59"/>
      <c r="H13" s="59">
        <v>0</v>
      </c>
      <c r="I13" s="59">
        <v>0</v>
      </c>
      <c r="J13" s="59"/>
      <c r="K13" s="59">
        <f>B13+C13-H13-I13</f>
        <v>2</v>
      </c>
      <c r="L13" s="59">
        <f>B13+C13-H13</f>
        <v>2</v>
      </c>
      <c r="M13" s="59">
        <f>L13-B13</f>
        <v>0</v>
      </c>
      <c r="N13" s="59">
        <f>C13</f>
        <v>0</v>
      </c>
      <c r="O13" s="59">
        <v>0</v>
      </c>
      <c r="P13" s="99">
        <f>O13*K13</f>
        <v>0</v>
      </c>
      <c r="Q13" s="59"/>
      <c r="R13" s="59">
        <v>0</v>
      </c>
      <c r="S13" s="59">
        <f>O13*M13</f>
        <v>0</v>
      </c>
      <c r="T13" s="59">
        <f>O13*N13</f>
        <v>0</v>
      </c>
      <c r="U13" s="59"/>
    </row>
    <row r="14" spans="1:21">
      <c r="A14" s="59" t="s">
        <v>97</v>
      </c>
      <c r="B14" s="59">
        <v>19</v>
      </c>
      <c r="C14" s="59">
        <v>0</v>
      </c>
      <c r="D14" s="59"/>
      <c r="E14" s="59"/>
      <c r="F14" s="59"/>
      <c r="G14" s="59"/>
      <c r="H14" s="59">
        <v>3</v>
      </c>
      <c r="I14" s="59">
        <v>0</v>
      </c>
      <c r="J14" s="59"/>
      <c r="K14" s="59">
        <f>B14+C14-H14-I14</f>
        <v>16</v>
      </c>
      <c r="L14" s="59">
        <f>B14+C14-H14</f>
        <v>16</v>
      </c>
      <c r="M14" s="59">
        <f>L14-B14</f>
        <v>-3</v>
      </c>
      <c r="N14" s="59">
        <f>C14</f>
        <v>0</v>
      </c>
      <c r="O14" s="59">
        <v>0.5</v>
      </c>
      <c r="P14" s="99">
        <f>O14*K14</f>
        <v>8</v>
      </c>
      <c r="Q14" s="59"/>
      <c r="R14" s="59">
        <v>1.5</v>
      </c>
      <c r="S14" s="59">
        <f>O14*M14</f>
        <v>-1.5</v>
      </c>
      <c r="T14" s="59">
        <f>O14*N14</f>
        <v>0</v>
      </c>
      <c r="U14" s="59"/>
    </row>
    <row r="15" spans="1:21">
      <c r="A15" s="59" t="s">
        <v>98</v>
      </c>
      <c r="B15" s="59">
        <v>0</v>
      </c>
      <c r="C15" s="59">
        <v>0</v>
      </c>
      <c r="D15" s="59"/>
      <c r="E15" s="59"/>
      <c r="F15" s="59"/>
      <c r="G15" s="59"/>
      <c r="H15" s="59">
        <v>0</v>
      </c>
      <c r="I15" s="59">
        <v>0</v>
      </c>
      <c r="J15" s="59"/>
      <c r="K15" s="59">
        <f>B15+C15-H15-I15</f>
        <v>0</v>
      </c>
      <c r="L15" s="59">
        <f>B15+C15-H15</f>
        <v>0</v>
      </c>
      <c r="M15" s="59">
        <f>L15-B15</f>
        <v>0</v>
      </c>
      <c r="N15" s="59">
        <f>C15</f>
        <v>0</v>
      </c>
      <c r="O15" s="59">
        <v>0</v>
      </c>
      <c r="P15" s="99">
        <f>O15*K15</f>
        <v>0</v>
      </c>
      <c r="Q15" s="59"/>
      <c r="R15" s="59">
        <v>0</v>
      </c>
      <c r="S15" s="59">
        <f>O15*M15</f>
        <v>0</v>
      </c>
      <c r="T15" s="59">
        <f>O15*N15</f>
        <v>0</v>
      </c>
      <c r="U15" s="59"/>
    </row>
    <row r="16" spans="1:21">
      <c r="A16" s="59" t="s">
        <v>99</v>
      </c>
      <c r="B16" s="59">
        <v>0</v>
      </c>
      <c r="C16" s="59">
        <v>0</v>
      </c>
      <c r="D16" s="59"/>
      <c r="E16" s="59"/>
      <c r="F16" s="59"/>
      <c r="G16" s="59"/>
      <c r="H16" s="59">
        <v>0</v>
      </c>
      <c r="I16" s="59">
        <v>0</v>
      </c>
      <c r="J16" s="59"/>
      <c r="K16" s="59">
        <f>B16+C16-H16-I16</f>
        <v>0</v>
      </c>
      <c r="L16" s="59">
        <f>B16+C16-H16</f>
        <v>0</v>
      </c>
      <c r="M16" s="59">
        <f>L16-B16</f>
        <v>0</v>
      </c>
      <c r="N16" s="59">
        <f>C16</f>
        <v>0</v>
      </c>
      <c r="O16" s="59">
        <v>0</v>
      </c>
      <c r="P16" s="99">
        <f>O16*K16</f>
        <v>0</v>
      </c>
      <c r="Q16" s="59"/>
      <c r="R16" s="59">
        <v>0</v>
      </c>
      <c r="S16" s="59">
        <f>O16*M16</f>
        <v>0</v>
      </c>
      <c r="T16" s="59">
        <f>O16*N16</f>
        <v>0</v>
      </c>
      <c r="U16" s="59"/>
    </row>
    <row r="17" spans="1:20">
      <c r="A17" s="59" t="s">
        <v>100</v>
      </c>
      <c r="B17" s="59">
        <v>10</v>
      </c>
      <c r="C17" s="59">
        <v>0</v>
      </c>
      <c r="D17" s="59"/>
      <c r="E17" s="59"/>
      <c r="F17" s="59"/>
      <c r="G17" s="59"/>
      <c r="H17" s="59">
        <v>0</v>
      </c>
      <c r="I17" s="59">
        <v>0</v>
      </c>
      <c r="J17" s="59"/>
      <c r="K17" s="59">
        <f>B17+C17-H17-I17</f>
        <v>10</v>
      </c>
      <c r="L17" s="59">
        <f>B17+C17-H17</f>
        <v>10</v>
      </c>
      <c r="M17" s="59">
        <f>L17-B17</f>
        <v>0</v>
      </c>
      <c r="N17" s="59">
        <f>C17</f>
        <v>0</v>
      </c>
      <c r="O17" s="59">
        <v>0</v>
      </c>
      <c r="P17" s="99">
        <f>O17*K17</f>
        <v>0</v>
      </c>
      <c r="Q17" s="59"/>
      <c r="R17" s="59">
        <v>0</v>
      </c>
      <c r="S17" s="59">
        <f>O17*M17</f>
        <v>0</v>
      </c>
      <c r="T17" s="59">
        <f>O17*N17</f>
        <v>0</v>
      </c>
    </row>
    <row r="18" spans="1:20">
      <c r="A18" s="59" t="s">
        <v>101</v>
      </c>
      <c r="B18" s="59">
        <v>0</v>
      </c>
      <c r="C18" s="59">
        <v>0</v>
      </c>
      <c r="D18" s="59"/>
      <c r="E18" s="59"/>
      <c r="F18" s="59"/>
      <c r="G18" s="59"/>
      <c r="H18" s="59">
        <v>0</v>
      </c>
      <c r="I18" s="59">
        <v>0</v>
      </c>
      <c r="J18" s="59"/>
      <c r="K18" s="59">
        <f>B18+C18-H18-I18</f>
        <v>0</v>
      </c>
      <c r="L18" s="59">
        <f>B18+C18-H18</f>
        <v>0</v>
      </c>
      <c r="M18" s="59">
        <f>L18-B18</f>
        <v>0</v>
      </c>
      <c r="N18" s="59">
        <f>C18</f>
        <v>0</v>
      </c>
      <c r="O18" s="59">
        <v>0</v>
      </c>
      <c r="P18" s="99">
        <f>O18*K18</f>
        <v>0</v>
      </c>
      <c r="Q18" s="59"/>
      <c r="R18" s="59">
        <v>0</v>
      </c>
      <c r="S18" s="59">
        <f>O18*M18</f>
        <v>0</v>
      </c>
      <c r="T18" s="59">
        <f>O18*N18</f>
        <v>0</v>
      </c>
    </row>
    <row r="19" spans="1:20">
      <c r="A19" s="59" t="s">
        <v>102</v>
      </c>
      <c r="B19" s="59">
        <v>0</v>
      </c>
      <c r="C19" s="59">
        <v>0</v>
      </c>
      <c r="D19" s="59"/>
      <c r="E19" s="59"/>
      <c r="F19" s="59"/>
      <c r="G19" s="59"/>
      <c r="H19" s="59">
        <v>0</v>
      </c>
      <c r="I19" s="59">
        <v>0</v>
      </c>
      <c r="J19" s="59"/>
      <c r="K19" s="59">
        <f>B19+C19-H19-I19</f>
        <v>0</v>
      </c>
      <c r="L19" s="59">
        <f>B19+C19-H19</f>
        <v>0</v>
      </c>
      <c r="M19" s="59">
        <f>L19-B19</f>
        <v>0</v>
      </c>
      <c r="N19" s="59">
        <f>C19</f>
        <v>0</v>
      </c>
      <c r="O19" s="59">
        <v>0</v>
      </c>
      <c r="P19" s="99">
        <f>O19*K19</f>
        <v>0</v>
      </c>
      <c r="Q19" s="59"/>
      <c r="R19" s="59">
        <v>0</v>
      </c>
      <c r="S19" s="59">
        <f>O19*M19</f>
        <v>0</v>
      </c>
      <c r="T19" s="59">
        <f>O19*N19</f>
        <v>0</v>
      </c>
    </row>
    <row r="20" spans="1:20">
      <c r="A20" s="59" t="s">
        <v>103</v>
      </c>
      <c r="B20" s="59">
        <v>0</v>
      </c>
      <c r="C20" s="59">
        <v>0</v>
      </c>
      <c r="D20" s="59"/>
      <c r="E20" s="59"/>
      <c r="F20" s="59"/>
      <c r="G20" s="59"/>
      <c r="H20" s="59">
        <v>0</v>
      </c>
      <c r="I20" s="59">
        <v>0</v>
      </c>
      <c r="J20" s="59"/>
      <c r="K20" s="59">
        <f>B20+C20-H20-I20</f>
        <v>0</v>
      </c>
      <c r="L20" s="59">
        <f>B20+C20-H20</f>
        <v>0</v>
      </c>
      <c r="M20" s="59">
        <f>L20-B20</f>
        <v>0</v>
      </c>
      <c r="N20" s="59">
        <f>C20</f>
        <v>0</v>
      </c>
      <c r="O20" s="59">
        <v>0</v>
      </c>
      <c r="P20" s="99">
        <f>O20*K20</f>
        <v>0</v>
      </c>
      <c r="Q20" s="59"/>
      <c r="R20" s="59">
        <v>0</v>
      </c>
      <c r="S20" s="59">
        <f>O20*M20</f>
        <v>0</v>
      </c>
      <c r="T20" s="59">
        <f>O20*N20</f>
        <v>0</v>
      </c>
    </row>
    <row r="21" spans="1:20">
      <c r="A21" s="59" t="s">
        <v>104</v>
      </c>
      <c r="B21" s="59">
        <v>0</v>
      </c>
      <c r="C21" s="59">
        <v>0</v>
      </c>
      <c r="D21" s="59"/>
      <c r="E21" s="59"/>
      <c r="F21" s="59"/>
      <c r="G21" s="59"/>
      <c r="H21" s="59">
        <v>0</v>
      </c>
      <c r="I21" s="59">
        <v>0</v>
      </c>
      <c r="J21" s="59"/>
      <c r="K21" s="59">
        <f>B21+C21-H21-I21</f>
        <v>0</v>
      </c>
      <c r="L21" s="59">
        <f>B21+C21-H21</f>
        <v>0</v>
      </c>
      <c r="M21" s="59">
        <f>L21-B21</f>
        <v>0</v>
      </c>
      <c r="N21" s="59">
        <f>C21</f>
        <v>0</v>
      </c>
      <c r="O21" s="59">
        <v>0</v>
      </c>
      <c r="P21" s="99">
        <f>O21*K21</f>
        <v>0</v>
      </c>
      <c r="Q21" s="59">
        <v>0</v>
      </c>
      <c r="R21" s="59">
        <v>0</v>
      </c>
      <c r="S21" s="59">
        <f>O21*M21</f>
        <v>0</v>
      </c>
      <c r="T21" s="59">
        <f>O21*N21</f>
        <v>0</v>
      </c>
    </row>
    <row r="22" spans="1:20">
      <c r="A22" s="59" t="s">
        <v>105</v>
      </c>
      <c r="B22" s="59">
        <v>0</v>
      </c>
      <c r="C22" s="59">
        <v>0</v>
      </c>
      <c r="D22" s="59"/>
      <c r="E22" s="59"/>
      <c r="F22" s="59"/>
      <c r="G22" s="59"/>
      <c r="H22" s="59">
        <v>0</v>
      </c>
      <c r="I22" s="59">
        <v>0</v>
      </c>
      <c r="J22" s="59"/>
      <c r="K22" s="59">
        <f>B22+C22-H22-I22</f>
        <v>0</v>
      </c>
      <c r="L22" s="59">
        <f>B22+C22-H22</f>
        <v>0</v>
      </c>
      <c r="M22" s="59">
        <f>L22-B22</f>
        <v>0</v>
      </c>
      <c r="N22" s="59">
        <f>C22</f>
        <v>0</v>
      </c>
      <c r="O22" s="59">
        <v>0</v>
      </c>
      <c r="P22" s="99">
        <f>O22*K22</f>
        <v>0</v>
      </c>
      <c r="Q22" s="59"/>
      <c r="R22" s="59">
        <v>0</v>
      </c>
      <c r="S22" s="59">
        <f>O22*M22</f>
        <v>0</v>
      </c>
      <c r="T22" s="59">
        <f>O22*N22</f>
        <v>0</v>
      </c>
    </row>
    <row r="23" spans="1:20">
      <c r="A23" s="59" t="s">
        <v>106</v>
      </c>
      <c r="B23" s="59">
        <v>0</v>
      </c>
      <c r="C23" s="59">
        <v>0</v>
      </c>
      <c r="D23" s="59"/>
      <c r="E23" s="59"/>
      <c r="F23" s="59"/>
      <c r="G23" s="59"/>
      <c r="H23" s="59">
        <v>0</v>
      </c>
      <c r="I23" s="59">
        <v>0</v>
      </c>
      <c r="J23" s="59"/>
      <c r="K23" s="59">
        <f>B23+C23-H23-I23</f>
        <v>0</v>
      </c>
      <c r="L23" s="59">
        <f>B23+C23-H23</f>
        <v>0</v>
      </c>
      <c r="M23" s="59">
        <f>L23-B23</f>
        <v>0</v>
      </c>
      <c r="N23" s="59">
        <f>C23</f>
        <v>0</v>
      </c>
      <c r="O23" s="59">
        <v>0</v>
      </c>
      <c r="P23" s="99">
        <f>O23*K23</f>
        <v>0</v>
      </c>
      <c r="Q23" s="59"/>
      <c r="R23" s="59">
        <v>0</v>
      </c>
      <c r="S23" s="59">
        <f>O23*M23</f>
        <v>0</v>
      </c>
      <c r="T23" s="59">
        <f>O23*N23</f>
        <v>0</v>
      </c>
    </row>
    <row r="24" spans="1:20">
      <c r="A24" s="59" t="s">
        <v>107</v>
      </c>
      <c r="B24" s="59">
        <v>0</v>
      </c>
      <c r="C24" s="59">
        <v>0</v>
      </c>
      <c r="D24" s="59"/>
      <c r="E24" s="59"/>
      <c r="F24" s="59"/>
      <c r="G24" s="59"/>
      <c r="H24" s="59">
        <v>0</v>
      </c>
      <c r="I24" s="59">
        <v>0</v>
      </c>
      <c r="J24" s="59"/>
      <c r="K24" s="59">
        <f>B24+C24-H24-I24</f>
        <v>0</v>
      </c>
      <c r="L24" s="59">
        <f>B24+C24-H24</f>
        <v>0</v>
      </c>
      <c r="M24" s="59">
        <f>L24-B24</f>
        <v>0</v>
      </c>
      <c r="N24" s="59">
        <f>C24</f>
        <v>0</v>
      </c>
      <c r="O24" s="59">
        <v>0</v>
      </c>
      <c r="P24" s="99">
        <f>O24*K24</f>
        <v>0</v>
      </c>
      <c r="Q24" s="59"/>
      <c r="R24" s="59">
        <v>0</v>
      </c>
      <c r="S24" s="59">
        <f>O24*M24</f>
        <v>0</v>
      </c>
      <c r="T24" s="59">
        <f>O24*N24</f>
        <v>0</v>
      </c>
    </row>
    <row r="25" spans="1:20">
      <c r="A25" s="59" t="s">
        <v>108</v>
      </c>
      <c r="B25" s="59">
        <v>0</v>
      </c>
      <c r="C25" s="59">
        <v>0</v>
      </c>
      <c r="D25" s="59"/>
      <c r="E25" s="59"/>
      <c r="F25" s="59"/>
      <c r="G25" s="59"/>
      <c r="H25" s="59">
        <v>0</v>
      </c>
      <c r="I25" s="59">
        <v>0</v>
      </c>
      <c r="J25" s="59"/>
      <c r="K25" s="59">
        <f>B25+C25-H25-I25</f>
        <v>0</v>
      </c>
      <c r="L25" s="59">
        <f>B25+C25-H25</f>
        <v>0</v>
      </c>
      <c r="M25" s="59">
        <f>L25-B25</f>
        <v>0</v>
      </c>
      <c r="N25" s="59">
        <f>C25</f>
        <v>0</v>
      </c>
      <c r="O25" s="59">
        <v>0</v>
      </c>
      <c r="P25" s="99">
        <f>O25*K25</f>
        <v>0</v>
      </c>
      <c r="Q25" s="59"/>
      <c r="R25" s="59">
        <v>0</v>
      </c>
      <c r="S25" s="59">
        <f>O25*M25</f>
        <v>0</v>
      </c>
      <c r="T25" s="59">
        <f>O25*N25</f>
        <v>0</v>
      </c>
    </row>
    <row r="26" spans="1:20">
      <c r="A26" s="59" t="s">
        <v>109</v>
      </c>
      <c r="B26" s="59">
        <v>0</v>
      </c>
      <c r="C26" s="59">
        <v>0</v>
      </c>
      <c r="D26" s="59"/>
      <c r="E26" s="59"/>
      <c r="F26" s="59"/>
      <c r="G26" s="59"/>
      <c r="H26" s="59">
        <v>0</v>
      </c>
      <c r="I26" s="59">
        <v>0</v>
      </c>
      <c r="J26" s="59"/>
      <c r="K26" s="59">
        <f>B26+C26-H26-I26</f>
        <v>0</v>
      </c>
      <c r="L26" s="59">
        <f>B26+C26-H26</f>
        <v>0</v>
      </c>
      <c r="M26" s="59">
        <f>L26-B26</f>
        <v>0</v>
      </c>
      <c r="N26" s="59">
        <f>C26</f>
        <v>0</v>
      </c>
      <c r="O26" s="59">
        <v>0</v>
      </c>
      <c r="P26" s="99">
        <f>O26*K26</f>
        <v>0</v>
      </c>
      <c r="Q26" s="59"/>
      <c r="R26" s="59">
        <v>0</v>
      </c>
      <c r="S26" s="59">
        <f>O26*M26</f>
        <v>0</v>
      </c>
      <c r="T26" s="59">
        <f>O26*N26</f>
        <v>0</v>
      </c>
    </row>
    <row r="27" spans="1:20">
      <c r="A27" s="59" t="s">
        <v>110</v>
      </c>
      <c r="B27" s="59">
        <v>0</v>
      </c>
      <c r="C27" s="59">
        <v>0</v>
      </c>
      <c r="D27" s="59"/>
      <c r="E27" s="59"/>
      <c r="F27" s="59"/>
      <c r="G27" s="59"/>
      <c r="H27" s="59">
        <v>0</v>
      </c>
      <c r="I27" s="59">
        <v>0</v>
      </c>
      <c r="J27" s="59"/>
      <c r="K27" s="59">
        <f>B27+C27-H27-I27</f>
        <v>0</v>
      </c>
      <c r="L27" s="59">
        <f>B27+C27-H27</f>
        <v>0</v>
      </c>
      <c r="M27" s="59">
        <f>L27-B27</f>
        <v>0</v>
      </c>
      <c r="N27" s="59">
        <f>C27</f>
        <v>0</v>
      </c>
      <c r="O27" s="59">
        <v>0</v>
      </c>
      <c r="P27" s="99">
        <f>O27*K27</f>
        <v>0</v>
      </c>
      <c r="Q27" s="59"/>
      <c r="R27" s="59">
        <v>0</v>
      </c>
      <c r="S27" s="59">
        <f>O27*M27</f>
        <v>0</v>
      </c>
      <c r="T27" s="59">
        <f>O27*N27</f>
        <v>0</v>
      </c>
    </row>
    <row r="28" spans="1:20">
      <c r="A28" s="59" t="s">
        <v>111</v>
      </c>
      <c r="B28" s="59">
        <v>0</v>
      </c>
      <c r="C28" s="59">
        <v>0</v>
      </c>
      <c r="D28" s="59"/>
      <c r="E28" s="59"/>
      <c r="F28" s="59"/>
      <c r="G28" s="59"/>
      <c r="H28" s="59">
        <v>0</v>
      </c>
      <c r="I28" s="59">
        <v>0</v>
      </c>
      <c r="J28" s="59"/>
      <c r="K28" s="59">
        <f>B28+C28-H28-I28</f>
        <v>0</v>
      </c>
      <c r="L28" s="59">
        <f>B28+C28-H28</f>
        <v>0</v>
      </c>
      <c r="M28" s="59">
        <f>L28-B28</f>
        <v>0</v>
      </c>
      <c r="N28" s="59">
        <f>C28</f>
        <v>0</v>
      </c>
      <c r="O28" s="59">
        <v>0</v>
      </c>
      <c r="P28" s="99">
        <f>O28*K28</f>
        <v>0</v>
      </c>
      <c r="Q28" s="59"/>
      <c r="R28" s="59">
        <v>0</v>
      </c>
      <c r="S28" s="59">
        <f>O28*M28</f>
        <v>0</v>
      </c>
      <c r="T28" s="59">
        <f>O28*N28</f>
        <v>0</v>
      </c>
    </row>
    <row r="29" spans="1:20">
      <c r="A29" s="59" t="s">
        <v>112</v>
      </c>
      <c r="B29" s="59">
        <v>0</v>
      </c>
      <c r="C29" s="59">
        <v>0</v>
      </c>
      <c r="D29" s="59"/>
      <c r="E29" s="59"/>
      <c r="F29" s="59"/>
      <c r="G29" s="59"/>
      <c r="H29" s="59">
        <v>0</v>
      </c>
      <c r="I29" s="59">
        <v>0</v>
      </c>
      <c r="J29" s="59"/>
      <c r="K29" s="59">
        <f>B29+C29-H29-I29</f>
        <v>0</v>
      </c>
      <c r="L29" s="59">
        <f>B29+C29-H29</f>
        <v>0</v>
      </c>
      <c r="M29" s="59">
        <f>L29-B29</f>
        <v>0</v>
      </c>
      <c r="N29" s="59">
        <f>C29</f>
        <v>0</v>
      </c>
      <c r="O29" s="59">
        <v>0</v>
      </c>
      <c r="P29" s="99">
        <f>O29*K29</f>
        <v>0</v>
      </c>
      <c r="Q29" s="59"/>
      <c r="R29" s="59">
        <v>0</v>
      </c>
      <c r="S29" s="59">
        <f>O29*M29</f>
        <v>0</v>
      </c>
      <c r="T29" s="59">
        <f>O29*N29</f>
        <v>0</v>
      </c>
    </row>
    <row r="30" spans="1:20">
      <c r="A30" s="59" t="s">
        <v>113</v>
      </c>
      <c r="B30" s="59">
        <v>0</v>
      </c>
      <c r="C30" s="59">
        <v>0</v>
      </c>
      <c r="D30" s="59"/>
      <c r="E30" s="59"/>
      <c r="F30" s="59"/>
      <c r="G30" s="59"/>
      <c r="H30" s="59">
        <v>0</v>
      </c>
      <c r="I30" s="59">
        <v>0</v>
      </c>
      <c r="J30" s="59"/>
      <c r="K30" s="59">
        <f>B30+C30-H30-I30</f>
        <v>0</v>
      </c>
      <c r="L30" s="59">
        <f>B30+C30-H30</f>
        <v>0</v>
      </c>
      <c r="M30" s="59">
        <f>L30-B30</f>
        <v>0</v>
      </c>
      <c r="N30" s="59">
        <f>C30</f>
        <v>0</v>
      </c>
      <c r="O30" s="59">
        <v>0</v>
      </c>
      <c r="P30" s="99">
        <f>O30*K30</f>
        <v>0</v>
      </c>
      <c r="Q30" s="59"/>
      <c r="R30" s="59">
        <v>0</v>
      </c>
      <c r="S30" s="59">
        <f>O30*M30</f>
        <v>0</v>
      </c>
      <c r="T30" s="59">
        <f>O30*N30</f>
        <v>0</v>
      </c>
    </row>
    <row r="31" spans="1:20" ht="15.6" customHeight="1">
      <c r="A31" s="100" t="s">
        <v>341</v>
      </c>
      <c r="B31" s="59"/>
      <c r="C31" s="59"/>
      <c r="D31" s="59"/>
      <c r="E31" s="59"/>
      <c r="F31" s="59"/>
      <c r="G31" s="59"/>
      <c r="H31" s="59"/>
      <c r="I31" s="59"/>
      <c r="J31" s="59"/>
      <c r="K31" s="59"/>
      <c r="L31" s="59"/>
      <c r="M31" s="59"/>
      <c r="N31" s="59"/>
      <c r="O31" s="59"/>
      <c r="P31" s="59"/>
      <c r="Q31" s="59"/>
      <c r="R31" s="59"/>
      <c r="S31" s="59"/>
      <c r="T31" s="59"/>
    </row>
    <row r="34" spans="1:9" ht="15.6" customHeight="1">
      <c r="A34" s="95" t="s">
        <v>116</v>
      </c>
      <c r="B34" s="59">
        <v>0</v>
      </c>
      <c r="C34" s="59">
        <v>0</v>
      </c>
      <c r="D34" s="59"/>
      <c r="E34" s="59"/>
      <c r="F34" s="59"/>
      <c r="G34" s="59"/>
      <c r="H34" s="59">
        <v>0</v>
      </c>
      <c r="I34" s="59">
        <v>0</v>
      </c>
    </row>
    <row r="35" spans="1:9">
      <c r="A35" s="59" t="s">
        <v>118</v>
      </c>
      <c r="B35" s="59">
        <v>0</v>
      </c>
      <c r="C35" s="59">
        <v>0</v>
      </c>
      <c r="D35" s="59"/>
      <c r="E35" s="59"/>
      <c r="F35" s="59"/>
      <c r="G35" s="59"/>
      <c r="H35" s="59">
        <v>0</v>
      </c>
      <c r="I35" s="59">
        <v>0</v>
      </c>
    </row>
    <row r="36" spans="1:9">
      <c r="A36" s="59" t="s">
        <v>119</v>
      </c>
      <c r="B36" s="59">
        <v>0</v>
      </c>
      <c r="C36" s="59">
        <v>0</v>
      </c>
      <c r="D36" s="59"/>
      <c r="E36" s="59"/>
      <c r="F36" s="59"/>
      <c r="G36" s="59"/>
      <c r="H36" s="59">
        <v>0</v>
      </c>
      <c r="I36" s="59">
        <v>0</v>
      </c>
    </row>
    <row r="37" spans="1:9">
      <c r="A37" s="59" t="s">
        <v>120</v>
      </c>
      <c r="B37" s="59">
        <v>0</v>
      </c>
      <c r="C37" s="59">
        <v>0</v>
      </c>
      <c r="D37" s="59"/>
      <c r="E37" s="59"/>
      <c r="F37" s="59"/>
      <c r="G37" s="59"/>
      <c r="H37" s="59">
        <v>0</v>
      </c>
      <c r="I37" s="59">
        <v>0</v>
      </c>
    </row>
    <row r="38" spans="1:9">
      <c r="A38" s="59" t="s">
        <v>121</v>
      </c>
      <c r="B38" s="59">
        <v>0</v>
      </c>
      <c r="C38" s="59">
        <v>0</v>
      </c>
      <c r="D38" s="59"/>
      <c r="E38" s="59"/>
      <c r="F38" s="59"/>
      <c r="G38" s="59"/>
      <c r="H38" s="59">
        <v>0</v>
      </c>
      <c r="I38" s="59">
        <v>0</v>
      </c>
    </row>
    <row r="39" spans="1:9" ht="15.6" customHeight="1">
      <c r="A39" s="100" t="s">
        <v>342</v>
      </c>
      <c r="B39" s="59">
        <v>0</v>
      </c>
      <c r="C39" s="59">
        <v>0</v>
      </c>
      <c r="D39" s="59"/>
      <c r="E39" s="59"/>
      <c r="F39" s="59"/>
      <c r="G39" s="59"/>
      <c r="H39" s="59">
        <v>0</v>
      </c>
      <c r="I39" s="59">
        <v>0</v>
      </c>
    </row>
    <row r="40" spans="1:9">
      <c r="A40" s="59"/>
      <c r="B40" s="59">
        <v>0</v>
      </c>
      <c r="C40" s="59">
        <v>0</v>
      </c>
      <c r="D40" s="59"/>
      <c r="E40" s="59"/>
      <c r="F40" s="59"/>
      <c r="G40" s="59"/>
      <c r="H40" s="59">
        <v>0</v>
      </c>
      <c r="I40" s="59">
        <v>0</v>
      </c>
    </row>
    <row r="41" spans="1:9">
      <c r="A41" s="59"/>
      <c r="B41" s="59">
        <v>0</v>
      </c>
      <c r="C41" s="59">
        <v>0</v>
      </c>
      <c r="D41" s="59"/>
      <c r="E41" s="59"/>
      <c r="F41" s="59"/>
      <c r="G41" s="59"/>
      <c r="H41" s="59">
        <v>0</v>
      </c>
      <c r="I41" s="59">
        <v>0</v>
      </c>
    </row>
    <row r="42" spans="1:9" ht="15.6" customHeight="1">
      <c r="A42" s="95" t="s">
        <v>122</v>
      </c>
      <c r="B42" s="59">
        <v>0</v>
      </c>
      <c r="C42" s="59">
        <v>0</v>
      </c>
      <c r="D42" s="59"/>
      <c r="E42" s="59"/>
      <c r="F42" s="59"/>
      <c r="G42" s="59"/>
      <c r="H42" s="59">
        <v>0</v>
      </c>
      <c r="I42" s="59">
        <v>0</v>
      </c>
    </row>
    <row r="43" spans="1:9">
      <c r="A43" s="59" t="s">
        <v>123</v>
      </c>
      <c r="B43" s="59">
        <v>0</v>
      </c>
      <c r="C43" s="59">
        <v>0</v>
      </c>
      <c r="D43" s="59"/>
      <c r="E43" s="59"/>
      <c r="F43" s="59"/>
      <c r="G43" s="59"/>
      <c r="H43" s="59">
        <v>0</v>
      </c>
      <c r="I43" s="59">
        <v>0</v>
      </c>
    </row>
    <row r="44" spans="1:9">
      <c r="A44" s="59" t="s">
        <v>343</v>
      </c>
      <c r="B44" s="59">
        <v>0</v>
      </c>
      <c r="C44" s="59">
        <v>0</v>
      </c>
      <c r="D44" s="59"/>
      <c r="E44" s="59"/>
      <c r="F44" s="59"/>
      <c r="G44" s="59"/>
      <c r="H44" s="59">
        <v>0</v>
      </c>
      <c r="I44" s="59">
        <v>0</v>
      </c>
    </row>
    <row r="45" spans="1:9">
      <c r="A45" s="59" t="s">
        <v>344</v>
      </c>
      <c r="B45" s="59">
        <v>0</v>
      </c>
      <c r="C45" s="59">
        <v>0</v>
      </c>
      <c r="D45" s="59"/>
      <c r="E45" s="59"/>
      <c r="F45" s="59"/>
      <c r="G45" s="59"/>
      <c r="H45" s="59">
        <v>0</v>
      </c>
      <c r="I45" s="59">
        <v>0</v>
      </c>
    </row>
    <row r="46" spans="1:9">
      <c r="A46" s="59" t="s">
        <v>345</v>
      </c>
      <c r="B46" s="59">
        <v>0</v>
      </c>
      <c r="C46" s="59">
        <v>0</v>
      </c>
      <c r="D46" s="59"/>
      <c r="E46" s="59"/>
      <c r="F46" s="59"/>
      <c r="G46" s="59"/>
      <c r="H46" s="59">
        <v>0</v>
      </c>
      <c r="I46" s="59">
        <v>0</v>
      </c>
    </row>
    <row r="47" spans="1:9">
      <c r="A47" s="3" t="s">
        <v>346</v>
      </c>
      <c r="B47" s="59">
        <v>0</v>
      </c>
      <c r="C47" s="59">
        <v>0</v>
      </c>
      <c r="D47" s="59"/>
      <c r="E47" s="59"/>
      <c r="F47" s="59"/>
      <c r="G47" s="59"/>
      <c r="H47" s="59">
        <v>0</v>
      </c>
      <c r="I47" s="59">
        <v>0</v>
      </c>
    </row>
    <row r="48" spans="1:9">
      <c r="A48" s="59" t="s">
        <v>347</v>
      </c>
      <c r="B48" s="59"/>
      <c r="C48" s="59"/>
      <c r="D48" s="59"/>
      <c r="E48" s="59"/>
      <c r="F48" s="59"/>
      <c r="G48" s="59"/>
      <c r="H48" s="59"/>
      <c r="I48" s="59"/>
    </row>
    <row r="49" spans="1:9">
      <c r="A49" s="101" t="s">
        <v>348</v>
      </c>
      <c r="B49" s="59"/>
      <c r="C49" s="59"/>
      <c r="D49" s="59"/>
      <c r="E49" s="59"/>
      <c r="F49" s="59"/>
      <c r="G49" s="59"/>
      <c r="H49" s="59"/>
      <c r="I49" s="59"/>
    </row>
    <row r="50" spans="1:9">
      <c r="A50" s="101" t="s">
        <v>349</v>
      </c>
      <c r="B50" s="59"/>
      <c r="C50" s="59"/>
      <c r="D50" s="59"/>
      <c r="E50" s="59"/>
      <c r="F50" s="59"/>
      <c r="G50" s="59"/>
      <c r="H50" s="59"/>
      <c r="I50" s="59"/>
    </row>
    <row r="51" spans="1:9">
      <c r="A51" s="101" t="s">
        <v>350</v>
      </c>
      <c r="B51" s="59"/>
      <c r="C51" s="59"/>
      <c r="D51" s="59"/>
      <c r="E51" s="59"/>
      <c r="F51" s="59"/>
      <c r="G51" s="59"/>
      <c r="H51" s="59"/>
      <c r="I51" s="59"/>
    </row>
    <row r="52" spans="1:9">
      <c r="A52" s="101" t="s">
        <v>351</v>
      </c>
      <c r="B52" s="59"/>
      <c r="C52" s="59"/>
      <c r="D52" s="59"/>
      <c r="E52" s="59"/>
      <c r="F52" s="59"/>
      <c r="G52" s="59"/>
      <c r="H52" s="59"/>
      <c r="I52" s="59"/>
    </row>
    <row r="53" spans="1:9">
      <c r="A53" s="4" t="s">
        <v>352</v>
      </c>
      <c r="B53" s="59">
        <v>0</v>
      </c>
      <c r="C53" s="59">
        <v>0</v>
      </c>
      <c r="D53" s="59"/>
      <c r="E53" s="59"/>
      <c r="F53" s="59"/>
      <c r="G53" s="59"/>
      <c r="H53" s="59">
        <v>0</v>
      </c>
      <c r="I53" s="59">
        <v>0</v>
      </c>
    </row>
    <row r="54" spans="1:9">
      <c r="A54" s="102" t="s">
        <v>353</v>
      </c>
      <c r="B54" s="59"/>
      <c r="C54" s="59"/>
      <c r="D54" s="59"/>
      <c r="E54" s="59"/>
      <c r="F54" s="59"/>
      <c r="G54" s="59"/>
      <c r="H54" s="59"/>
      <c r="I54" s="59"/>
    </row>
    <row r="55" spans="1:9">
      <c r="A55" s="101" t="s">
        <v>348</v>
      </c>
      <c r="B55" s="59"/>
      <c r="C55" s="59"/>
      <c r="D55" s="59"/>
      <c r="E55" s="59"/>
      <c r="F55" s="59"/>
      <c r="G55" s="59"/>
      <c r="H55" s="59"/>
      <c r="I55" s="59"/>
    </row>
    <row r="56" spans="1:9">
      <c r="A56" s="101" t="s">
        <v>349</v>
      </c>
      <c r="B56" s="59"/>
      <c r="C56" s="59"/>
      <c r="D56" s="59"/>
      <c r="E56" s="59"/>
      <c r="F56" s="59"/>
      <c r="G56" s="59"/>
      <c r="H56" s="59"/>
      <c r="I56" s="59"/>
    </row>
    <row r="57" spans="1:9">
      <c r="A57" s="101" t="s">
        <v>350</v>
      </c>
      <c r="B57" s="59"/>
      <c r="C57" s="59"/>
      <c r="D57" s="59"/>
      <c r="E57" s="59"/>
      <c r="F57" s="59"/>
      <c r="G57" s="59"/>
      <c r="H57" s="59"/>
      <c r="I57" s="59"/>
    </row>
    <row r="58" spans="1:9">
      <c r="A58" s="101" t="s">
        <v>351</v>
      </c>
      <c r="B58" s="59"/>
      <c r="C58" s="59"/>
      <c r="D58" s="59"/>
      <c r="E58" s="59"/>
      <c r="F58" s="59"/>
      <c r="G58" s="59"/>
      <c r="H58" s="59"/>
      <c r="I58" s="59"/>
    </row>
    <row r="59" spans="1:9">
      <c r="A59" s="4" t="s">
        <v>354</v>
      </c>
      <c r="B59" s="59">
        <v>0</v>
      </c>
      <c r="C59" s="59">
        <v>0</v>
      </c>
      <c r="D59" s="59"/>
      <c r="E59" s="59"/>
      <c r="F59" s="59"/>
      <c r="G59" s="59"/>
      <c r="H59" s="59">
        <v>0</v>
      </c>
      <c r="I59" s="59">
        <v>0</v>
      </c>
    </row>
    <row r="60" spans="1:9">
      <c r="A60" s="59" t="s">
        <v>140</v>
      </c>
      <c r="B60" s="59">
        <v>0</v>
      </c>
      <c r="C60" s="59">
        <v>0</v>
      </c>
      <c r="D60" s="59"/>
      <c r="E60" s="59"/>
      <c r="F60" s="59"/>
      <c r="G60" s="59"/>
      <c r="H60" s="59">
        <v>0</v>
      </c>
      <c r="I60" s="59">
        <v>0</v>
      </c>
    </row>
    <row r="61" spans="1:9">
      <c r="A61" s="59" t="s">
        <v>141</v>
      </c>
      <c r="B61" s="59">
        <v>0</v>
      </c>
      <c r="C61" s="59">
        <v>0</v>
      </c>
      <c r="D61" s="59"/>
      <c r="E61" s="59"/>
      <c r="F61" s="59"/>
      <c r="G61" s="59"/>
      <c r="H61" s="59">
        <v>0</v>
      </c>
      <c r="I61" s="59">
        <v>0</v>
      </c>
    </row>
    <row r="62" spans="1:9">
      <c r="A62" s="59" t="s">
        <v>142</v>
      </c>
      <c r="B62" s="59">
        <v>0</v>
      </c>
      <c r="C62" s="59">
        <v>0</v>
      </c>
      <c r="D62" s="59"/>
      <c r="E62" s="59"/>
      <c r="F62" s="59"/>
      <c r="G62" s="59"/>
      <c r="H62" s="59">
        <v>0</v>
      </c>
      <c r="I62" s="59">
        <v>0</v>
      </c>
    </row>
    <row r="63" spans="1:9">
      <c r="A63" s="103" t="s">
        <v>355</v>
      </c>
      <c r="B63" s="59"/>
      <c r="C63" s="59"/>
      <c r="D63" s="59"/>
      <c r="E63" s="59"/>
      <c r="F63" s="59"/>
      <c r="G63" s="59"/>
      <c r="H63" s="59"/>
      <c r="I63" s="59"/>
    </row>
    <row r="66" spans="1:20" ht="15.6" customHeight="1">
      <c r="A66" s="95" t="s">
        <v>143</v>
      </c>
      <c r="B66" s="59"/>
      <c r="C66" s="59"/>
      <c r="D66" s="59"/>
      <c r="E66" s="59"/>
      <c r="F66" s="59"/>
      <c r="G66" s="59"/>
      <c r="H66" s="59"/>
      <c r="I66" s="59"/>
      <c r="J66" s="59"/>
      <c r="K66" s="59"/>
      <c r="L66" s="59"/>
      <c r="M66" s="59"/>
      <c r="N66" s="59"/>
      <c r="O66" s="59"/>
      <c r="P66" s="59"/>
      <c r="Q66" s="59"/>
      <c r="R66" s="59"/>
      <c r="S66" s="59"/>
      <c r="T66" s="59"/>
    </row>
    <row r="67" spans="1:20">
      <c r="A67" s="92" t="s">
        <v>144</v>
      </c>
      <c r="B67" s="59"/>
      <c r="C67" s="59"/>
      <c r="D67" s="59"/>
      <c r="E67" s="59"/>
      <c r="F67" s="59"/>
      <c r="G67" s="59"/>
      <c r="H67" s="59"/>
      <c r="I67" s="59"/>
      <c r="J67" s="59"/>
      <c r="K67" s="59"/>
      <c r="L67" s="59">
        <f>B67+C67-H67</f>
        <v>0</v>
      </c>
      <c r="M67" s="59">
        <f>L67-B67</f>
        <v>0</v>
      </c>
      <c r="N67" s="59">
        <f>C67</f>
        <v>0</v>
      </c>
      <c r="O67" s="59">
        <v>0</v>
      </c>
      <c r="P67" s="59"/>
      <c r="Q67" s="59">
        <f>R67*K67</f>
        <v>0</v>
      </c>
      <c r="R67" s="59">
        <v>0.08</v>
      </c>
      <c r="S67" s="59">
        <f>O67*M67</f>
        <v>0</v>
      </c>
      <c r="T67" s="59">
        <f>O67*N67</f>
        <v>0</v>
      </c>
    </row>
    <row r="68" spans="1:20">
      <c r="A68" s="59" t="s">
        <v>145</v>
      </c>
      <c r="B68" s="59"/>
      <c r="C68" s="59"/>
      <c r="D68" s="59"/>
      <c r="E68" s="59"/>
      <c r="F68" s="59"/>
      <c r="G68" s="59"/>
      <c r="H68" s="59"/>
      <c r="I68" s="59"/>
      <c r="J68" s="59"/>
      <c r="K68" s="59"/>
      <c r="L68" s="59">
        <f>B68+C68-H68</f>
        <v>0</v>
      </c>
      <c r="M68" s="59">
        <f>L68-B68</f>
        <v>0</v>
      </c>
      <c r="N68" s="59">
        <f>C68</f>
        <v>0</v>
      </c>
      <c r="O68" s="59">
        <v>0</v>
      </c>
      <c r="P68" s="59"/>
      <c r="Q68" s="59">
        <f>R68*K68</f>
        <v>0</v>
      </c>
      <c r="R68" s="59">
        <v>0</v>
      </c>
      <c r="S68" s="59">
        <f>O68*M68</f>
        <v>0</v>
      </c>
      <c r="T68" s="59">
        <f>O68*N68</f>
        <v>0</v>
      </c>
    </row>
    <row r="69" spans="1:20">
      <c r="A69" s="59" t="s">
        <v>146</v>
      </c>
      <c r="B69" s="59">
        <v>0</v>
      </c>
      <c r="C69" s="59">
        <v>6</v>
      </c>
      <c r="D69" s="59"/>
      <c r="E69" s="59"/>
      <c r="F69" s="59"/>
      <c r="G69" s="59"/>
      <c r="H69" s="59">
        <v>6</v>
      </c>
      <c r="I69" s="59"/>
      <c r="J69" s="59"/>
      <c r="K69" s="59">
        <v>0</v>
      </c>
      <c r="L69" s="59">
        <f>B69+C69-H69</f>
        <v>0</v>
      </c>
      <c r="M69" s="59">
        <f>L69-B69</f>
        <v>0</v>
      </c>
      <c r="N69" s="59">
        <f>C69</f>
        <v>6</v>
      </c>
      <c r="O69" s="59">
        <v>0</v>
      </c>
      <c r="P69" s="59"/>
      <c r="Q69" s="59">
        <f>R69*K69</f>
        <v>0</v>
      </c>
      <c r="R69" s="59">
        <v>0</v>
      </c>
      <c r="S69" s="59">
        <f>O69*M69</f>
        <v>0</v>
      </c>
      <c r="T69" s="59">
        <f>O69*N69</f>
        <v>0</v>
      </c>
    </row>
    <row r="70" spans="1:20">
      <c r="A70" s="59" t="s">
        <v>147</v>
      </c>
      <c r="B70" s="59">
        <v>0</v>
      </c>
      <c r="C70" s="59"/>
      <c r="D70" s="59"/>
      <c r="E70" s="59"/>
      <c r="F70" s="59">
        <v>28</v>
      </c>
      <c r="G70" s="59">
        <v>18</v>
      </c>
      <c r="H70" s="59">
        <v>10</v>
      </c>
      <c r="I70" s="59"/>
      <c r="J70" s="59"/>
      <c r="K70" s="59">
        <v>0</v>
      </c>
      <c r="L70" s="59">
        <f>B70+C70-H70</f>
        <v>-10</v>
      </c>
      <c r="M70" s="59">
        <f>L70-B70</f>
        <v>-10</v>
      </c>
      <c r="N70" s="59">
        <f>C70</f>
        <v>0</v>
      </c>
      <c r="O70" s="59">
        <v>0</v>
      </c>
      <c r="P70" s="59"/>
      <c r="Q70" s="59">
        <f>R70*K70</f>
        <v>0</v>
      </c>
      <c r="R70" s="59">
        <v>0</v>
      </c>
      <c r="S70" s="59">
        <f>O70*M70</f>
        <v>0</v>
      </c>
      <c r="T70" s="59">
        <f>O70*N70</f>
        <v>0</v>
      </c>
    </row>
    <row r="71" spans="1:20">
      <c r="A71" s="103" t="s">
        <v>356</v>
      </c>
      <c r="B71" s="59"/>
      <c r="C71" s="59"/>
      <c r="D71" s="59"/>
      <c r="E71" s="59"/>
      <c r="F71" s="59"/>
      <c r="G71" s="59"/>
      <c r="H71" s="59"/>
      <c r="I71" s="59"/>
      <c r="J71" s="59"/>
      <c r="K71" s="59"/>
      <c r="L71" s="59"/>
      <c r="M71" s="59"/>
      <c r="N71" s="59"/>
      <c r="O71" s="59"/>
      <c r="P71" s="59"/>
      <c r="Q71" s="59"/>
      <c r="R71" s="59"/>
      <c r="S71" s="59"/>
      <c r="T71" s="59"/>
    </row>
    <row r="72" spans="1:20">
      <c r="A72" s="90" t="s">
        <v>357</v>
      </c>
      <c r="B72" s="59"/>
      <c r="C72" s="59"/>
      <c r="D72" s="59"/>
      <c r="E72" s="59"/>
      <c r="F72" s="59"/>
      <c r="G72" s="59"/>
      <c r="H72" s="59"/>
      <c r="I72" s="59"/>
      <c r="J72" s="59"/>
      <c r="K72" s="59"/>
      <c r="L72" s="59"/>
      <c r="M72" s="59"/>
      <c r="N72" s="59"/>
      <c r="O72" s="59"/>
      <c r="P72" s="59"/>
      <c r="Q72" s="59"/>
      <c r="R72" s="59"/>
      <c r="S72" s="59"/>
      <c r="T72" s="59"/>
    </row>
    <row r="74" spans="1:20" ht="15.6" customHeight="1">
      <c r="A74" s="49" t="s">
        <v>148</v>
      </c>
      <c r="B74" s="59"/>
      <c r="C74" s="59"/>
      <c r="D74" s="59"/>
      <c r="E74" s="59"/>
      <c r="F74" s="59"/>
      <c r="G74" s="59"/>
      <c r="H74" s="59"/>
      <c r="I74" s="59"/>
      <c r="J74" s="59"/>
      <c r="K74" s="59"/>
      <c r="L74" s="59"/>
      <c r="M74" s="59"/>
      <c r="N74" s="59"/>
      <c r="O74" s="59"/>
      <c r="P74" s="59"/>
      <c r="Q74" s="59"/>
      <c r="R74" s="59"/>
      <c r="S74" s="59"/>
      <c r="T74" s="59"/>
    </row>
    <row r="75" spans="1:20">
      <c r="A75" s="59" t="s">
        <v>149</v>
      </c>
      <c r="B75" s="59">
        <v>0</v>
      </c>
      <c r="C75" s="59">
        <v>0</v>
      </c>
      <c r="D75" s="59"/>
      <c r="E75" s="59"/>
      <c r="F75" s="59"/>
      <c r="G75" s="59"/>
      <c r="H75" s="59">
        <v>0</v>
      </c>
      <c r="I75" s="59">
        <v>0</v>
      </c>
      <c r="J75" s="59"/>
      <c r="K75" s="59"/>
      <c r="L75" s="59"/>
      <c r="M75" s="59"/>
      <c r="N75" s="59"/>
      <c r="O75" s="59"/>
      <c r="P75" s="59"/>
      <c r="Q75" s="59"/>
      <c r="R75" s="59"/>
      <c r="S75" s="59">
        <f>O75*M75</f>
        <v>0</v>
      </c>
      <c r="T75" s="59">
        <f>O75*N75</f>
        <v>0</v>
      </c>
    </row>
    <row r="76" spans="1:20">
      <c r="A76" s="59" t="s">
        <v>150</v>
      </c>
      <c r="B76" s="59">
        <v>0</v>
      </c>
      <c r="C76" s="59">
        <v>0</v>
      </c>
      <c r="D76" s="59"/>
      <c r="E76" s="59"/>
      <c r="F76" s="59"/>
      <c r="G76" s="59"/>
      <c r="H76" s="59">
        <v>0</v>
      </c>
      <c r="I76" s="59">
        <v>0</v>
      </c>
      <c r="J76" s="59"/>
      <c r="K76" s="59"/>
      <c r="L76" s="59"/>
      <c r="M76" s="59"/>
      <c r="N76" s="59"/>
      <c r="O76" s="59"/>
      <c r="P76" s="59"/>
      <c r="Q76" s="59"/>
      <c r="R76" s="59"/>
      <c r="S76" s="59">
        <f>O76*M76</f>
        <v>0</v>
      </c>
      <c r="T76" s="59">
        <f>O76*N76</f>
        <v>0</v>
      </c>
    </row>
    <row r="77" spans="1:20">
      <c r="A77" s="59" t="s">
        <v>151</v>
      </c>
      <c r="B77" s="59"/>
      <c r="C77" s="59"/>
      <c r="D77" s="59"/>
      <c r="E77" s="59"/>
      <c r="F77" s="59"/>
      <c r="G77" s="59"/>
      <c r="H77" s="59"/>
      <c r="I77" s="59"/>
      <c r="J77" s="59"/>
      <c r="K77" s="59"/>
      <c r="L77" s="59"/>
      <c r="M77" s="59"/>
      <c r="N77" s="59"/>
      <c r="O77" s="59"/>
      <c r="P77" s="59"/>
      <c r="Q77" s="59"/>
      <c r="R77" s="59"/>
      <c r="S77" s="59">
        <f>SUM(S75:S76)</f>
        <v>0</v>
      </c>
      <c r="T77" s="59">
        <f>SUM(T75:T76)</f>
        <v>0</v>
      </c>
    </row>
    <row r="78" spans="1:20">
      <c r="A78" s="103" t="s">
        <v>178</v>
      </c>
      <c r="B78" s="59"/>
      <c r="C78" s="59"/>
      <c r="D78" s="59"/>
      <c r="E78" s="59"/>
      <c r="F78" s="59"/>
      <c r="G78" s="59"/>
      <c r="H78" s="59"/>
      <c r="I78" s="59"/>
      <c r="J78" s="59"/>
      <c r="K78" s="59"/>
      <c r="L78" s="59"/>
      <c r="M78" s="59"/>
      <c r="N78" s="59"/>
      <c r="O78" s="59"/>
      <c r="P78" s="59"/>
      <c r="Q78" s="59"/>
      <c r="R78" s="59"/>
      <c r="S78" s="59"/>
      <c r="T78" s="59"/>
    </row>
    <row r="81" spans="1:20" ht="15.6" customHeight="1">
      <c r="A81" s="49" t="s">
        <v>358</v>
      </c>
      <c r="B81" s="59"/>
      <c r="C81" s="59"/>
      <c r="D81" s="59"/>
      <c r="E81" s="59"/>
      <c r="F81" s="59"/>
      <c r="G81" s="59"/>
      <c r="H81" s="59"/>
      <c r="I81" s="59"/>
      <c r="J81" s="59"/>
      <c r="K81" s="59"/>
      <c r="L81" s="59"/>
      <c r="M81" s="59"/>
      <c r="N81" s="59"/>
      <c r="O81" s="59"/>
      <c r="P81" s="59"/>
      <c r="Q81" s="59"/>
      <c r="R81" s="59"/>
      <c r="S81" s="59"/>
      <c r="T81" s="59"/>
    </row>
    <row r="82" spans="1:20">
      <c r="A82" s="59" t="s">
        <v>359</v>
      </c>
      <c r="B82" s="59">
        <v>0</v>
      </c>
      <c r="C82" s="59">
        <v>0</v>
      </c>
      <c r="D82" s="59"/>
      <c r="E82" s="59"/>
      <c r="F82" s="59"/>
      <c r="G82" s="59"/>
      <c r="H82" s="59">
        <v>0</v>
      </c>
      <c r="I82" s="59">
        <v>0</v>
      </c>
      <c r="J82" s="59"/>
      <c r="K82" s="59"/>
      <c r="L82" s="59"/>
      <c r="M82" s="59"/>
      <c r="N82" s="59"/>
      <c r="O82" s="59"/>
      <c r="P82" s="59"/>
      <c r="Q82" s="59"/>
      <c r="R82" s="59"/>
      <c r="S82" s="59">
        <f>O82*M82</f>
        <v>0</v>
      </c>
      <c r="T82" s="59">
        <f>O82*N82</f>
        <v>0</v>
      </c>
    </row>
    <row r="83" spans="1:20">
      <c r="A83" s="59" t="s">
        <v>360</v>
      </c>
      <c r="B83" s="59">
        <v>0</v>
      </c>
      <c r="C83" s="59">
        <v>0</v>
      </c>
      <c r="D83" s="59"/>
      <c r="E83" s="59"/>
      <c r="F83" s="59"/>
      <c r="G83" s="59"/>
      <c r="H83" s="59">
        <v>0</v>
      </c>
      <c r="I83" s="59">
        <v>0</v>
      </c>
      <c r="J83" s="59"/>
      <c r="K83" s="59"/>
      <c r="L83" s="59"/>
      <c r="M83" s="59"/>
      <c r="N83" s="59"/>
      <c r="O83" s="59"/>
      <c r="P83" s="59"/>
      <c r="Q83" s="59"/>
      <c r="R83" s="59"/>
      <c r="S83" s="59">
        <f>O83*M83</f>
        <v>0</v>
      </c>
      <c r="T83" s="59">
        <f>O83*N83</f>
        <v>0</v>
      </c>
    </row>
    <row r="84" spans="1:20">
      <c r="A84" s="59" t="s">
        <v>361</v>
      </c>
      <c r="B84" s="59">
        <v>0</v>
      </c>
      <c r="C84" s="59">
        <v>0</v>
      </c>
      <c r="D84" s="59"/>
      <c r="E84" s="59"/>
      <c r="F84" s="59"/>
      <c r="G84" s="59"/>
      <c r="H84" s="59">
        <v>0</v>
      </c>
      <c r="I84" s="59">
        <v>0</v>
      </c>
      <c r="J84" s="59"/>
      <c r="K84" s="59"/>
      <c r="L84" s="59"/>
      <c r="M84" s="59"/>
      <c r="N84" s="59"/>
      <c r="O84" s="59"/>
      <c r="P84" s="59"/>
      <c r="Q84" s="59"/>
      <c r="R84" s="59"/>
      <c r="S84" s="59">
        <f>O84*M84</f>
        <v>0</v>
      </c>
      <c r="T84" s="59">
        <f>O84*N84</f>
        <v>0</v>
      </c>
    </row>
    <row r="85" spans="1:20" ht="15.6" customHeight="1">
      <c r="A85" s="104" t="s">
        <v>355</v>
      </c>
      <c r="B85" s="59"/>
      <c r="C85" s="59"/>
      <c r="D85" s="59"/>
      <c r="E85" s="59"/>
      <c r="F85" s="59"/>
      <c r="G85" s="59"/>
      <c r="H85" s="59"/>
      <c r="I85" s="59"/>
      <c r="J85" s="59"/>
      <c r="K85" s="59"/>
      <c r="L85" s="59"/>
      <c r="M85" s="59"/>
      <c r="N85" s="59"/>
      <c r="O85" s="59"/>
      <c r="P85" s="59"/>
      <c r="Q85" s="59"/>
      <c r="R85" s="59"/>
      <c r="S85" s="59"/>
      <c r="T85" s="59"/>
    </row>
    <row r="87" spans="1:20" ht="15.6" customHeight="1">
      <c r="A87" s="49" t="s">
        <v>362</v>
      </c>
      <c r="B87" s="59"/>
      <c r="C87" s="59"/>
      <c r="D87" s="59"/>
      <c r="E87" s="59"/>
      <c r="F87" s="59"/>
      <c r="G87" s="59"/>
      <c r="H87" s="59"/>
      <c r="I87" s="59"/>
      <c r="J87" s="59"/>
      <c r="K87" s="59"/>
      <c r="L87" s="59"/>
      <c r="M87" s="59"/>
      <c r="N87" s="59"/>
      <c r="O87" s="59"/>
      <c r="P87" s="59"/>
      <c r="Q87" s="59"/>
      <c r="R87" s="59"/>
      <c r="S87" s="59"/>
      <c r="T87" s="59"/>
    </row>
    <row r="88" spans="1:20">
      <c r="A88" s="59" t="s">
        <v>363</v>
      </c>
      <c r="B88" s="59">
        <v>0</v>
      </c>
      <c r="C88" s="59">
        <v>0</v>
      </c>
      <c r="D88" s="59"/>
      <c r="E88" s="59"/>
      <c r="F88" s="59"/>
      <c r="G88" s="59"/>
      <c r="H88" s="59">
        <v>0</v>
      </c>
      <c r="I88" s="59">
        <v>0</v>
      </c>
      <c r="J88" s="59"/>
      <c r="K88" s="59"/>
      <c r="L88" s="59"/>
      <c r="M88" s="59"/>
      <c r="N88" s="59"/>
      <c r="O88" s="59"/>
      <c r="P88" s="59"/>
      <c r="Q88" s="59"/>
      <c r="R88" s="59"/>
      <c r="S88" s="59">
        <f>O88*M88</f>
        <v>0</v>
      </c>
      <c r="T88" s="59">
        <f>O88*N88</f>
        <v>0</v>
      </c>
    </row>
    <row r="89" spans="1:20">
      <c r="A89" s="59" t="s">
        <v>364</v>
      </c>
      <c r="B89" s="59">
        <v>0</v>
      </c>
      <c r="C89" s="59">
        <v>0</v>
      </c>
      <c r="D89" s="59"/>
      <c r="E89" s="59"/>
      <c r="F89" s="59"/>
      <c r="G89" s="59"/>
      <c r="H89" s="59">
        <v>0</v>
      </c>
      <c r="I89" s="59">
        <v>0</v>
      </c>
      <c r="J89" s="59"/>
      <c r="K89" s="59"/>
      <c r="L89" s="59"/>
      <c r="M89" s="59"/>
      <c r="N89" s="59"/>
      <c r="O89" s="59"/>
      <c r="P89" s="59"/>
      <c r="Q89" s="59"/>
      <c r="R89" s="59"/>
      <c r="S89" s="59">
        <f>O89*M89</f>
        <v>0</v>
      </c>
      <c r="T89" s="59">
        <f>O89*N89</f>
        <v>0</v>
      </c>
    </row>
    <row r="90" spans="1:20" ht="15.6" customHeight="1">
      <c r="A90" s="104" t="s">
        <v>178</v>
      </c>
      <c r="B90" s="59"/>
      <c r="C90" s="59"/>
      <c r="D90" s="59"/>
      <c r="E90" s="59"/>
      <c r="F90" s="59"/>
      <c r="G90" s="59"/>
      <c r="H90" s="59"/>
      <c r="I90" s="59"/>
      <c r="J90" s="59"/>
      <c r="K90" s="59"/>
      <c r="L90" s="59"/>
      <c r="M90" s="59"/>
      <c r="N90" s="59"/>
      <c r="O90" s="59"/>
      <c r="P90" s="59"/>
      <c r="Q90" s="59"/>
      <c r="R90" s="59"/>
      <c r="S90" s="59"/>
      <c r="T90" s="59"/>
    </row>
    <row r="92" spans="1:20" ht="15.6" customHeight="1">
      <c r="A92" s="49" t="s">
        <v>154</v>
      </c>
      <c r="B92" s="59"/>
      <c r="C92" s="59"/>
      <c r="D92" s="59"/>
      <c r="E92" s="59"/>
      <c r="F92" s="59"/>
      <c r="G92" s="59"/>
      <c r="H92" s="59"/>
      <c r="I92" s="59"/>
      <c r="J92" s="59"/>
      <c r="K92" s="59"/>
      <c r="L92" s="59"/>
      <c r="M92" s="59"/>
      <c r="N92" s="59"/>
      <c r="O92" s="59"/>
      <c r="P92" s="59"/>
      <c r="Q92" s="59"/>
      <c r="R92" s="59"/>
      <c r="S92" s="59"/>
      <c r="T92" s="59"/>
    </row>
    <row r="93" spans="1:20">
      <c r="A93" s="59" t="s">
        <v>154</v>
      </c>
      <c r="B93" s="59">
        <v>0</v>
      </c>
      <c r="C93" s="59">
        <v>0</v>
      </c>
      <c r="D93" s="59"/>
      <c r="E93" s="59"/>
      <c r="F93" s="59"/>
      <c r="G93" s="59"/>
      <c r="H93" s="59">
        <v>0</v>
      </c>
      <c r="I93" s="59">
        <v>0</v>
      </c>
      <c r="J93" s="59"/>
      <c r="K93" s="59"/>
      <c r="L93" s="59"/>
      <c r="M93" s="59"/>
      <c r="N93" s="59"/>
      <c r="O93" s="59"/>
      <c r="P93" s="59"/>
      <c r="Q93" s="59"/>
      <c r="R93" s="59"/>
      <c r="S93" s="59">
        <f>O93*M93</f>
        <v>0</v>
      </c>
      <c r="T93" s="59">
        <f>O93*N93</f>
        <v>0</v>
      </c>
    </row>
    <row r="94" spans="1:20" ht="15.6" customHeight="1">
      <c r="A94" s="104" t="s">
        <v>178</v>
      </c>
      <c r="B94" s="59"/>
      <c r="C94" s="59"/>
      <c r="D94" s="59"/>
      <c r="E94" s="59"/>
      <c r="F94" s="59"/>
      <c r="G94" s="59"/>
      <c r="H94" s="59"/>
      <c r="I94" s="59"/>
      <c r="J94" s="59"/>
      <c r="K94" s="59"/>
      <c r="L94" s="59"/>
      <c r="M94" s="59"/>
      <c r="N94" s="59"/>
      <c r="O94" s="59"/>
      <c r="P94" s="59"/>
      <c r="Q94" s="59"/>
      <c r="R94" s="59"/>
      <c r="S94" s="59"/>
      <c r="T94" s="59"/>
    </row>
    <row r="95" spans="1:20" ht="15.6" customHeight="1">
      <c r="A95" s="54"/>
      <c r="B95" s="59"/>
      <c r="C95" s="59"/>
      <c r="D95" s="59"/>
      <c r="E95" s="59"/>
      <c r="F95" s="59"/>
      <c r="G95" s="59"/>
      <c r="H95" s="59"/>
      <c r="I95" s="59"/>
      <c r="J95" s="59"/>
      <c r="K95" s="59"/>
      <c r="L95" s="59"/>
      <c r="M95" s="59"/>
      <c r="N95" s="59"/>
      <c r="O95" s="59"/>
      <c r="P95" s="59"/>
      <c r="Q95" s="59"/>
      <c r="R95" s="59"/>
      <c r="S95" s="59"/>
      <c r="T95" s="59"/>
    </row>
    <row r="96" spans="1:20" ht="15.6" customHeight="1">
      <c r="A96" s="104" t="s">
        <v>365</v>
      </c>
      <c r="B96" s="59"/>
      <c r="C96" s="59"/>
      <c r="D96" s="59"/>
      <c r="E96" s="59"/>
      <c r="F96" s="59"/>
      <c r="G96" s="59"/>
      <c r="H96" s="59"/>
      <c r="I96" s="59"/>
      <c r="J96" s="59"/>
      <c r="K96" s="59"/>
      <c r="L96" s="59"/>
      <c r="M96" s="59"/>
      <c r="N96" s="59"/>
      <c r="O96" s="59"/>
      <c r="P96" s="59"/>
      <c r="Q96" s="59"/>
      <c r="R96" s="59"/>
      <c r="S96" s="59"/>
      <c r="T96" s="59"/>
    </row>
    <row r="99" spans="1:9" ht="15.6" customHeight="1">
      <c r="A99" s="49" t="s">
        <v>366</v>
      </c>
      <c r="B99" s="59">
        <v>0</v>
      </c>
      <c r="C99" s="59">
        <v>0</v>
      </c>
      <c r="D99" s="59"/>
      <c r="E99" s="59"/>
      <c r="F99" s="59"/>
      <c r="G99" s="59"/>
      <c r="H99" s="59">
        <v>0</v>
      </c>
      <c r="I99" s="59">
        <v>0</v>
      </c>
    </row>
    <row r="102" spans="1:9" ht="15.6" customHeight="1">
      <c r="A102" s="54" t="s">
        <v>367</v>
      </c>
      <c r="B102" s="59"/>
      <c r="C102" s="59"/>
      <c r="D102" s="59"/>
      <c r="E102" s="59"/>
      <c r="F102" s="59"/>
      <c r="G102" s="59"/>
      <c r="H102" s="59"/>
      <c r="I102" s="59"/>
    </row>
    <row r="103" spans="1:9" ht="15.6" customHeight="1">
      <c r="A103" s="49" t="s">
        <v>368</v>
      </c>
      <c r="B103" s="59"/>
      <c r="C103" s="59"/>
      <c r="D103" s="59"/>
      <c r="E103" s="59"/>
      <c r="F103" s="59"/>
      <c r="G103" s="59"/>
      <c r="H103" s="59"/>
      <c r="I103" s="59"/>
    </row>
    <row r="104" spans="1:9">
      <c r="A104" s="59" t="s">
        <v>369</v>
      </c>
      <c r="B104" s="59"/>
      <c r="C104" s="59"/>
      <c r="D104" s="59"/>
      <c r="E104" s="59"/>
      <c r="F104" s="59"/>
      <c r="G104" s="59"/>
      <c r="H104" s="59"/>
      <c r="I104" s="59"/>
    </row>
    <row r="105" spans="1:9">
      <c r="A105" s="59" t="s">
        <v>370</v>
      </c>
      <c r="B105" s="59"/>
      <c r="C105" s="59"/>
      <c r="D105" s="59"/>
      <c r="E105" s="59"/>
      <c r="F105" s="59"/>
      <c r="G105" s="59"/>
      <c r="H105" s="59"/>
      <c r="I105" s="59"/>
    </row>
    <row r="106" spans="1:9">
      <c r="A106" s="59" t="s">
        <v>371</v>
      </c>
      <c r="B106" s="59"/>
      <c r="C106" s="59"/>
      <c r="D106" s="59"/>
      <c r="E106" s="59"/>
      <c r="F106" s="59"/>
      <c r="G106" s="59"/>
      <c r="H106" s="59"/>
      <c r="I106" s="59"/>
    </row>
    <row r="107" spans="1:9">
      <c r="A107" s="59" t="s">
        <v>372</v>
      </c>
      <c r="B107" s="59"/>
      <c r="C107" s="59"/>
      <c r="D107" s="59"/>
      <c r="E107" s="59"/>
      <c r="F107" s="59"/>
      <c r="G107" s="59"/>
      <c r="H107" s="59"/>
      <c r="I107" s="59"/>
    </row>
    <row r="108" spans="1:9">
      <c r="A108" s="59" t="s">
        <v>373</v>
      </c>
      <c r="B108" s="59"/>
      <c r="C108" s="59"/>
      <c r="D108" s="59"/>
      <c r="E108" s="59"/>
      <c r="F108" s="59"/>
      <c r="G108" s="59"/>
      <c r="H108" s="59"/>
      <c r="I108" s="59"/>
    </row>
    <row r="109" spans="1:9">
      <c r="A109" s="59" t="s">
        <v>374</v>
      </c>
      <c r="B109" s="59"/>
      <c r="C109" s="59"/>
      <c r="D109" s="59"/>
      <c r="E109" s="59"/>
      <c r="F109" s="59"/>
      <c r="G109" s="59"/>
      <c r="H109" s="59"/>
      <c r="I109" s="59"/>
    </row>
    <row r="110" spans="1:9">
      <c r="A110" s="59" t="s">
        <v>375</v>
      </c>
      <c r="B110" s="59"/>
      <c r="C110" s="59"/>
      <c r="D110" s="59"/>
      <c r="E110" s="59"/>
      <c r="F110" s="59"/>
      <c r="G110" s="59"/>
      <c r="H110" s="59"/>
      <c r="I110" s="59"/>
    </row>
    <row r="111" spans="1:9">
      <c r="A111" s="59" t="s">
        <v>376</v>
      </c>
      <c r="B111" s="59"/>
      <c r="C111" s="59"/>
      <c r="D111" s="59"/>
      <c r="E111" s="59"/>
      <c r="F111" s="59"/>
      <c r="G111" s="59"/>
      <c r="H111" s="59"/>
      <c r="I111" s="59"/>
    </row>
    <row r="112" spans="1:9">
      <c r="A112" s="59" t="s">
        <v>377</v>
      </c>
      <c r="B112" s="59"/>
      <c r="C112" s="59"/>
      <c r="D112" s="59"/>
      <c r="E112" s="59"/>
      <c r="F112" s="59"/>
      <c r="G112" s="59"/>
      <c r="H112" s="59"/>
      <c r="I112" s="59"/>
    </row>
    <row r="113" spans="1:1">
      <c r="A113" s="59" t="s">
        <v>378</v>
      </c>
    </row>
    <row r="114" spans="1:1">
      <c r="A114" s="59" t="s">
        <v>379</v>
      </c>
    </row>
    <row r="115" spans="1:1">
      <c r="A115" s="59" t="s">
        <v>380</v>
      </c>
    </row>
    <row r="116" spans="1:1">
      <c r="A116" s="59" t="s">
        <v>381</v>
      </c>
    </row>
    <row r="117" spans="1:1">
      <c r="A117" s="59" t="s">
        <v>382</v>
      </c>
    </row>
    <row r="118" spans="1:1">
      <c r="A118" s="59" t="s">
        <v>383</v>
      </c>
    </row>
    <row r="119" spans="1:1">
      <c r="A119" s="59" t="s">
        <v>384</v>
      </c>
    </row>
    <row r="120" spans="1:1">
      <c r="A120" s="59" t="s">
        <v>385</v>
      </c>
    </row>
    <row r="121" spans="1:1">
      <c r="A121" s="59" t="s">
        <v>386</v>
      </c>
    </row>
    <row r="122" spans="1:1">
      <c r="A122" s="59" t="s">
        <v>387</v>
      </c>
    </row>
    <row r="123" spans="1:1">
      <c r="A123" s="59" t="s">
        <v>388</v>
      </c>
    </row>
    <row r="124" spans="1:1">
      <c r="A124" s="59" t="s">
        <v>389</v>
      </c>
    </row>
    <row r="125" spans="1:1">
      <c r="A125" s="59" t="s">
        <v>390</v>
      </c>
    </row>
    <row r="126" spans="1:1">
      <c r="A126" s="59" t="s">
        <v>391</v>
      </c>
    </row>
    <row r="127" spans="1:1">
      <c r="A127" s="59" t="s">
        <v>392</v>
      </c>
    </row>
    <row r="128" spans="1:1">
      <c r="A128" s="59" t="s">
        <v>393</v>
      </c>
    </row>
  </sheetData>
  <mergeCells count="2">
    <mergeCell ref="C3:F3"/>
    <mergeCell ref="G3:J3"/>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68"/>
  <sheetViews>
    <sheetView topLeftCell="A151" workbookViewId="0">
      <selection activeCell="A171" sqref="A171"/>
    </sheetView>
  </sheetViews>
  <sheetFormatPr defaultRowHeight="14.45"/>
  <sheetData>
    <row r="1" spans="1:30">
      <c r="A1" s="59" t="s">
        <v>166</v>
      </c>
      <c r="B1" s="59" t="s">
        <v>274</v>
      </c>
      <c r="C1" s="59" t="s">
        <v>394</v>
      </c>
      <c r="D1" s="59" t="s">
        <v>395</v>
      </c>
      <c r="E1" s="59" t="s">
        <v>396</v>
      </c>
      <c r="F1" s="59" t="s">
        <v>397</v>
      </c>
      <c r="G1" s="59" t="s">
        <v>398</v>
      </c>
      <c r="H1" s="59" t="s">
        <v>399</v>
      </c>
      <c r="I1" s="59" t="s">
        <v>400</v>
      </c>
      <c r="J1" s="59" t="s">
        <v>401</v>
      </c>
      <c r="K1" s="59" t="s">
        <v>402</v>
      </c>
      <c r="L1" s="59" t="s">
        <v>403</v>
      </c>
      <c r="M1" s="59" t="s">
        <v>404</v>
      </c>
      <c r="N1" s="59" t="s">
        <v>405</v>
      </c>
      <c r="O1" s="59" t="s">
        <v>406</v>
      </c>
      <c r="P1" s="59" t="s">
        <v>407</v>
      </c>
      <c r="Q1" s="59" t="s">
        <v>408</v>
      </c>
      <c r="R1" s="59" t="s">
        <v>409</v>
      </c>
      <c r="S1" s="59" t="s">
        <v>410</v>
      </c>
      <c r="T1" s="59" t="s">
        <v>411</v>
      </c>
      <c r="U1" s="59" t="s">
        <v>412</v>
      </c>
      <c r="V1" s="59" t="s">
        <v>413</v>
      </c>
      <c r="W1" s="59" t="s">
        <v>414</v>
      </c>
      <c r="X1" s="59" t="s">
        <v>415</v>
      </c>
      <c r="Y1" s="59" t="s">
        <v>416</v>
      </c>
      <c r="Z1" s="59" t="s">
        <v>417</v>
      </c>
      <c r="AA1" s="59" t="s">
        <v>418</v>
      </c>
      <c r="AB1" s="59" t="s">
        <v>419</v>
      </c>
      <c r="AC1" s="59" t="s">
        <v>420</v>
      </c>
      <c r="AD1" s="59" t="s">
        <v>421</v>
      </c>
    </row>
    <row r="2" spans="1:30">
      <c r="A2" s="59" t="s">
        <v>422</v>
      </c>
      <c r="B2" s="59" t="s">
        <v>423</v>
      </c>
      <c r="C2" s="59">
        <v>0</v>
      </c>
      <c r="D2" s="59">
        <v>0</v>
      </c>
      <c r="E2" s="59">
        <v>0</v>
      </c>
      <c r="F2" s="59">
        <v>0</v>
      </c>
      <c r="G2" s="59"/>
      <c r="H2" s="59">
        <v>0</v>
      </c>
      <c r="I2" s="59">
        <v>0</v>
      </c>
      <c r="J2" s="59">
        <v>0</v>
      </c>
      <c r="K2" s="59">
        <v>0</v>
      </c>
      <c r="L2" s="59">
        <v>0</v>
      </c>
      <c r="M2" s="59">
        <v>0</v>
      </c>
      <c r="N2" s="59">
        <v>0</v>
      </c>
      <c r="O2" s="59"/>
      <c r="P2" s="59"/>
      <c r="Q2" s="59"/>
      <c r="R2" s="59"/>
      <c r="S2" s="59"/>
      <c r="T2" s="59"/>
      <c r="U2" s="59"/>
      <c r="V2" s="59"/>
      <c r="W2" s="59"/>
      <c r="X2" s="59"/>
      <c r="Y2" s="59"/>
      <c r="Z2" s="59"/>
      <c r="AA2" s="59"/>
      <c r="AB2" s="59"/>
      <c r="AC2" s="59"/>
      <c r="AD2" s="59"/>
    </row>
    <row r="3" spans="1:30">
      <c r="A3" s="59" t="s">
        <v>424</v>
      </c>
      <c r="B3" s="59" t="s">
        <v>425</v>
      </c>
      <c r="C3" s="59">
        <v>0</v>
      </c>
      <c r="D3" s="59">
        <v>0</v>
      </c>
      <c r="E3" s="59">
        <v>0</v>
      </c>
      <c r="F3" s="59">
        <v>0</v>
      </c>
      <c r="G3" s="59"/>
      <c r="H3" s="59">
        <v>0</v>
      </c>
      <c r="I3" s="59">
        <v>0</v>
      </c>
      <c r="J3" s="59">
        <v>0</v>
      </c>
      <c r="K3" s="59">
        <v>0</v>
      </c>
      <c r="L3" s="59">
        <v>0</v>
      </c>
      <c r="M3" s="59">
        <v>0</v>
      </c>
      <c r="N3" s="59">
        <v>0</v>
      </c>
      <c r="O3" s="59"/>
      <c r="P3" s="59"/>
      <c r="Q3" s="59"/>
      <c r="R3" s="59"/>
      <c r="S3" s="59"/>
      <c r="T3" s="59"/>
      <c r="U3" s="59"/>
      <c r="V3" s="59"/>
      <c r="W3" s="59"/>
      <c r="X3" s="59"/>
      <c r="Y3" s="59"/>
      <c r="Z3" s="59"/>
      <c r="AA3" s="59"/>
      <c r="AB3" s="59"/>
      <c r="AC3" s="59"/>
      <c r="AD3" s="59"/>
    </row>
    <row r="4" spans="1:30">
      <c r="A4" s="59" t="s">
        <v>426</v>
      </c>
      <c r="B4" s="59" t="s">
        <v>427</v>
      </c>
      <c r="C4" s="59">
        <v>6.48</v>
      </c>
      <c r="D4" s="59">
        <v>6</v>
      </c>
      <c r="E4" s="59">
        <v>9</v>
      </c>
      <c r="F4" s="59">
        <v>6.25</v>
      </c>
      <c r="G4" s="59"/>
      <c r="H4" s="59">
        <v>0</v>
      </c>
      <c r="I4" s="59">
        <v>0</v>
      </c>
      <c r="J4" s="59">
        <v>0</v>
      </c>
      <c r="K4" s="59">
        <v>0</v>
      </c>
      <c r="L4" s="59">
        <v>0</v>
      </c>
      <c r="M4" s="59">
        <v>0</v>
      </c>
      <c r="N4" s="59">
        <v>0</v>
      </c>
      <c r="O4" s="59"/>
      <c r="P4" s="59"/>
      <c r="Q4" s="59"/>
      <c r="R4" s="59"/>
      <c r="S4" s="59"/>
      <c r="T4" s="59"/>
      <c r="U4" s="59"/>
      <c r="V4" s="59"/>
      <c r="W4" s="59"/>
      <c r="X4" s="59"/>
      <c r="Y4" s="59"/>
      <c r="Z4" s="59"/>
      <c r="AA4" s="59"/>
      <c r="AB4" s="59"/>
      <c r="AC4" s="59"/>
      <c r="AD4" s="59"/>
    </row>
    <row r="5" spans="1:30">
      <c r="A5" s="59" t="s">
        <v>426</v>
      </c>
      <c r="B5" s="59" t="s">
        <v>428</v>
      </c>
      <c r="C5" s="59">
        <v>6.49</v>
      </c>
      <c r="D5" s="59">
        <v>6</v>
      </c>
      <c r="E5" s="59">
        <v>9</v>
      </c>
      <c r="F5" s="59">
        <v>8.5</v>
      </c>
      <c r="G5" s="59"/>
      <c r="H5" s="59">
        <v>0</v>
      </c>
      <c r="I5" s="59">
        <v>0</v>
      </c>
      <c r="J5" s="59">
        <v>0</v>
      </c>
      <c r="K5" s="59">
        <v>0</v>
      </c>
      <c r="L5" s="59">
        <v>0</v>
      </c>
      <c r="M5" s="59">
        <v>0</v>
      </c>
      <c r="N5" s="59">
        <v>0</v>
      </c>
      <c r="O5" s="59"/>
      <c r="P5" s="59"/>
      <c r="Q5" s="59"/>
      <c r="R5" s="59"/>
      <c r="S5" s="59"/>
      <c r="T5" s="59"/>
      <c r="U5" s="59"/>
      <c r="V5" s="59"/>
      <c r="W5" s="59"/>
      <c r="X5" s="59"/>
      <c r="Y5" s="59"/>
      <c r="Z5" s="59"/>
      <c r="AA5" s="59"/>
      <c r="AB5" s="59"/>
      <c r="AC5" s="59"/>
      <c r="AD5" s="59"/>
    </row>
    <row r="6" spans="1:30">
      <c r="A6" s="59" t="s">
        <v>426</v>
      </c>
      <c r="B6" s="59" t="s">
        <v>429</v>
      </c>
      <c r="C6" s="59">
        <v>6.48</v>
      </c>
      <c r="D6" s="59">
        <v>6</v>
      </c>
      <c r="E6" s="59">
        <v>9</v>
      </c>
      <c r="F6" s="59">
        <v>6.25</v>
      </c>
      <c r="G6" s="59"/>
      <c r="H6" s="59">
        <v>0</v>
      </c>
      <c r="I6" s="59">
        <v>0</v>
      </c>
      <c r="J6" s="59">
        <v>0</v>
      </c>
      <c r="K6" s="59">
        <v>0</v>
      </c>
      <c r="L6" s="59">
        <v>0</v>
      </c>
      <c r="M6" s="59">
        <v>0</v>
      </c>
      <c r="N6" s="59">
        <v>0</v>
      </c>
      <c r="O6" s="59"/>
      <c r="P6" s="59"/>
      <c r="Q6" s="59"/>
      <c r="R6" s="59"/>
      <c r="S6" s="59"/>
      <c r="T6" s="59"/>
      <c r="U6" s="59"/>
      <c r="V6" s="59"/>
      <c r="W6" s="59"/>
      <c r="X6" s="59"/>
      <c r="Y6" s="59"/>
      <c r="Z6" s="59"/>
      <c r="AA6" s="59"/>
      <c r="AB6" s="59"/>
      <c r="AC6" s="59"/>
      <c r="AD6" s="59"/>
    </row>
    <row r="7" spans="1:30">
      <c r="A7" s="59" t="s">
        <v>426</v>
      </c>
      <c r="B7" s="59" t="s">
        <v>430</v>
      </c>
      <c r="C7" s="59">
        <v>6.51</v>
      </c>
      <c r="D7" s="59">
        <v>6</v>
      </c>
      <c r="E7" s="59">
        <v>10</v>
      </c>
      <c r="F7" s="59">
        <v>1.5</v>
      </c>
      <c r="G7" s="59"/>
      <c r="H7" s="59">
        <v>0</v>
      </c>
      <c r="I7" s="59">
        <v>0</v>
      </c>
      <c r="J7" s="59">
        <v>0</v>
      </c>
      <c r="K7" s="59">
        <v>0</v>
      </c>
      <c r="L7" s="59">
        <v>0</v>
      </c>
      <c r="M7" s="59">
        <v>0</v>
      </c>
      <c r="N7" s="59">
        <v>0</v>
      </c>
      <c r="O7" s="59"/>
      <c r="P7" s="59"/>
      <c r="Q7" s="59"/>
      <c r="R7" s="59"/>
      <c r="S7" s="59"/>
      <c r="T7" s="59"/>
      <c r="U7" s="59"/>
      <c r="V7" s="59"/>
      <c r="W7" s="59"/>
      <c r="X7" s="59"/>
      <c r="Y7" s="59"/>
      <c r="Z7" s="59"/>
      <c r="AA7" s="59"/>
      <c r="AB7" s="59"/>
      <c r="AC7" s="59"/>
      <c r="AD7" s="59"/>
    </row>
    <row r="8" spans="1:30">
      <c r="A8" s="59" t="s">
        <v>426</v>
      </c>
      <c r="B8" s="59" t="s">
        <v>431</v>
      </c>
      <c r="C8" s="59">
        <v>25.94</v>
      </c>
      <c r="D8" s="59">
        <v>25</v>
      </c>
      <c r="E8" s="59">
        <v>18</v>
      </c>
      <c r="F8" s="59">
        <v>10.5</v>
      </c>
      <c r="G8" s="59"/>
      <c r="H8" s="59">
        <v>0</v>
      </c>
      <c r="I8" s="59">
        <v>0</v>
      </c>
      <c r="J8" s="59">
        <v>0</v>
      </c>
      <c r="K8" s="59">
        <v>0</v>
      </c>
      <c r="L8" s="59">
        <v>0</v>
      </c>
      <c r="M8" s="59">
        <v>0</v>
      </c>
      <c r="N8" s="59">
        <v>0</v>
      </c>
      <c r="O8" s="59"/>
      <c r="P8" s="59"/>
      <c r="Q8" s="59"/>
      <c r="R8" s="59"/>
      <c r="S8" s="59"/>
      <c r="T8" s="59"/>
      <c r="U8" s="59"/>
      <c r="V8" s="59"/>
      <c r="W8" s="59"/>
      <c r="X8" s="59"/>
      <c r="Y8" s="59"/>
      <c r="Z8" s="59"/>
      <c r="AA8" s="59"/>
      <c r="AB8" s="59"/>
      <c r="AC8" s="59"/>
      <c r="AD8" s="59"/>
    </row>
    <row r="9" spans="1:30">
      <c r="A9" s="59" t="s">
        <v>432</v>
      </c>
      <c r="B9" s="59" t="s">
        <v>433</v>
      </c>
      <c r="C9" s="59">
        <v>0.25</v>
      </c>
      <c r="D9" s="59">
        <v>0</v>
      </c>
      <c r="E9" s="59">
        <v>5</v>
      </c>
      <c r="F9" s="59">
        <v>0</v>
      </c>
      <c r="G9" s="59"/>
      <c r="H9" s="59">
        <v>0</v>
      </c>
      <c r="I9" s="59">
        <v>0</v>
      </c>
      <c r="J9" s="59">
        <v>0</v>
      </c>
      <c r="K9" s="59">
        <v>0</v>
      </c>
      <c r="L9" s="59">
        <v>0</v>
      </c>
      <c r="M9" s="59">
        <v>0</v>
      </c>
      <c r="N9" s="59">
        <v>0</v>
      </c>
      <c r="O9" s="59"/>
      <c r="P9" s="59"/>
      <c r="Q9" s="59"/>
      <c r="R9" s="59"/>
      <c r="S9" s="59"/>
      <c r="T9" s="59"/>
      <c r="U9" s="59"/>
      <c r="V9" s="59"/>
      <c r="W9" s="59"/>
      <c r="X9" s="59"/>
      <c r="Y9" s="59"/>
      <c r="Z9" s="59"/>
      <c r="AA9" s="59"/>
      <c r="AB9" s="59"/>
      <c r="AC9" s="59"/>
      <c r="AD9" s="59"/>
    </row>
    <row r="10" spans="1:30">
      <c r="A10" s="59" t="s">
        <v>432</v>
      </c>
      <c r="B10" s="59" t="s">
        <v>434</v>
      </c>
      <c r="C10" s="59">
        <v>0.2</v>
      </c>
      <c r="D10" s="59">
        <v>0</v>
      </c>
      <c r="E10" s="59">
        <v>4</v>
      </c>
      <c r="F10" s="59">
        <v>0</v>
      </c>
      <c r="G10" s="59"/>
      <c r="H10" s="59">
        <v>0</v>
      </c>
      <c r="I10" s="59">
        <v>0</v>
      </c>
      <c r="J10" s="59">
        <v>0</v>
      </c>
      <c r="K10" s="59">
        <v>0</v>
      </c>
      <c r="L10" s="59">
        <v>0</v>
      </c>
      <c r="M10" s="59">
        <v>0</v>
      </c>
      <c r="N10" s="59">
        <v>0</v>
      </c>
      <c r="O10" s="59"/>
      <c r="P10" s="59"/>
      <c r="Q10" s="59"/>
      <c r="R10" s="59"/>
      <c r="S10" s="59"/>
      <c r="T10" s="59"/>
      <c r="U10" s="59"/>
      <c r="V10" s="59"/>
      <c r="W10" s="59"/>
      <c r="X10" s="59"/>
      <c r="Y10" s="59"/>
      <c r="Z10" s="59"/>
      <c r="AA10" s="59"/>
      <c r="AB10" s="59"/>
      <c r="AC10" s="59"/>
      <c r="AD10" s="59"/>
    </row>
    <row r="11" spans="1:30">
      <c r="A11" s="59" t="s">
        <v>432</v>
      </c>
      <c r="B11" s="59" t="s">
        <v>435</v>
      </c>
      <c r="C11" s="59">
        <v>0.2</v>
      </c>
      <c r="D11" s="59">
        <v>0</v>
      </c>
      <c r="E11" s="59">
        <v>4</v>
      </c>
      <c r="F11" s="59">
        <v>0</v>
      </c>
      <c r="G11" s="59"/>
      <c r="H11" s="59">
        <v>0</v>
      </c>
      <c r="I11" s="59">
        <v>0</v>
      </c>
      <c r="J11" s="59">
        <v>0</v>
      </c>
      <c r="K11" s="59">
        <v>0</v>
      </c>
      <c r="L11" s="59">
        <v>0</v>
      </c>
      <c r="M11" s="59">
        <v>0</v>
      </c>
      <c r="N11" s="59">
        <v>0</v>
      </c>
      <c r="O11" s="59"/>
      <c r="P11" s="59"/>
      <c r="Q11" s="59"/>
      <c r="R11" s="59"/>
      <c r="S11" s="59"/>
      <c r="T11" s="59"/>
      <c r="U11" s="59"/>
      <c r="V11" s="59"/>
      <c r="W11" s="59"/>
      <c r="X11" s="59"/>
      <c r="Y11" s="59"/>
      <c r="Z11" s="59"/>
      <c r="AA11" s="59"/>
      <c r="AB11" s="59"/>
      <c r="AC11" s="59"/>
      <c r="AD11" s="59"/>
    </row>
    <row r="12" spans="1:30">
      <c r="A12" s="59" t="s">
        <v>432</v>
      </c>
      <c r="B12" s="59" t="s">
        <v>436</v>
      </c>
      <c r="C12" s="59">
        <v>0.2</v>
      </c>
      <c r="D12" s="59">
        <v>0</v>
      </c>
      <c r="E12" s="59">
        <v>4</v>
      </c>
      <c r="F12" s="59">
        <v>0</v>
      </c>
      <c r="G12" s="59"/>
      <c r="H12" s="59">
        <v>0</v>
      </c>
      <c r="I12" s="59">
        <v>0</v>
      </c>
      <c r="J12" s="59">
        <v>0</v>
      </c>
      <c r="K12" s="59">
        <v>0</v>
      </c>
      <c r="L12" s="59">
        <v>0</v>
      </c>
      <c r="M12" s="59">
        <v>0</v>
      </c>
      <c r="N12" s="59">
        <v>0</v>
      </c>
      <c r="O12" s="59"/>
      <c r="P12" s="59"/>
      <c r="Q12" s="59"/>
      <c r="R12" s="59"/>
      <c r="S12" s="59"/>
      <c r="T12" s="59"/>
      <c r="U12" s="59"/>
      <c r="V12" s="59"/>
      <c r="W12" s="59"/>
      <c r="X12" s="59"/>
      <c r="Y12" s="59"/>
      <c r="Z12" s="59"/>
      <c r="AA12" s="59"/>
      <c r="AB12" s="59"/>
      <c r="AC12" s="59"/>
      <c r="AD12" s="59"/>
    </row>
    <row r="13" spans="1:30">
      <c r="A13" s="59" t="s">
        <v>432</v>
      </c>
      <c r="B13" s="59" t="s">
        <v>437</v>
      </c>
      <c r="C13" s="59">
        <v>0.2</v>
      </c>
      <c r="D13" s="59">
        <v>0</v>
      </c>
      <c r="E13" s="59">
        <v>4</v>
      </c>
      <c r="F13" s="59">
        <v>0</v>
      </c>
      <c r="G13" s="59"/>
      <c r="H13" s="59">
        <v>0</v>
      </c>
      <c r="I13" s="59">
        <v>0</v>
      </c>
      <c r="J13" s="59">
        <v>0</v>
      </c>
      <c r="K13" s="59">
        <v>0</v>
      </c>
      <c r="L13" s="59">
        <v>0</v>
      </c>
      <c r="M13" s="59">
        <v>0</v>
      </c>
      <c r="N13" s="59">
        <v>0</v>
      </c>
      <c r="O13" s="59"/>
      <c r="P13" s="59"/>
      <c r="Q13" s="59"/>
      <c r="R13" s="59"/>
      <c r="S13" s="59"/>
      <c r="T13" s="59"/>
      <c r="U13" s="59"/>
      <c r="V13" s="59"/>
      <c r="W13" s="59"/>
      <c r="X13" s="59"/>
      <c r="Y13" s="59"/>
      <c r="Z13" s="59"/>
      <c r="AA13" s="59"/>
      <c r="AB13" s="59"/>
      <c r="AC13" s="59"/>
      <c r="AD13" s="59"/>
    </row>
    <row r="14" spans="1:30">
      <c r="A14" s="59" t="s">
        <v>432</v>
      </c>
      <c r="B14" s="59" t="s">
        <v>438</v>
      </c>
      <c r="C14" s="59">
        <v>0.13</v>
      </c>
      <c r="D14" s="59">
        <v>0</v>
      </c>
      <c r="E14" s="59">
        <v>2</v>
      </c>
      <c r="F14" s="59">
        <v>7.5</v>
      </c>
      <c r="G14" s="59"/>
      <c r="H14" s="59">
        <v>0</v>
      </c>
      <c r="I14" s="59">
        <v>0</v>
      </c>
      <c r="J14" s="59">
        <v>0</v>
      </c>
      <c r="K14" s="59">
        <v>0</v>
      </c>
      <c r="L14" s="59">
        <v>0</v>
      </c>
      <c r="M14" s="59">
        <v>0</v>
      </c>
      <c r="N14" s="59">
        <v>0</v>
      </c>
      <c r="O14" s="59"/>
      <c r="P14" s="59"/>
      <c r="Q14" s="59"/>
      <c r="R14" s="59"/>
      <c r="S14" s="59"/>
      <c r="T14" s="59"/>
      <c r="U14" s="59"/>
      <c r="V14" s="59"/>
      <c r="W14" s="59"/>
      <c r="X14" s="59"/>
      <c r="Y14" s="59"/>
      <c r="Z14" s="59"/>
      <c r="AA14" s="59"/>
      <c r="AB14" s="59"/>
      <c r="AC14" s="59"/>
      <c r="AD14" s="59"/>
    </row>
    <row r="15" spans="1:30">
      <c r="A15" s="59" t="s">
        <v>432</v>
      </c>
      <c r="B15" s="59" t="s">
        <v>439</v>
      </c>
      <c r="C15" s="59">
        <v>0.27</v>
      </c>
      <c r="D15" s="59">
        <v>0</v>
      </c>
      <c r="E15" s="59">
        <v>5</v>
      </c>
      <c r="F15" s="59">
        <v>4</v>
      </c>
      <c r="G15" s="59"/>
      <c r="H15" s="59">
        <v>0</v>
      </c>
      <c r="I15" s="59">
        <v>0</v>
      </c>
      <c r="J15" s="59">
        <v>0</v>
      </c>
      <c r="K15" s="59">
        <v>0</v>
      </c>
      <c r="L15" s="59">
        <v>0</v>
      </c>
      <c r="M15" s="59">
        <v>0</v>
      </c>
      <c r="N15" s="59">
        <v>0</v>
      </c>
      <c r="O15" s="59"/>
      <c r="P15" s="59"/>
      <c r="Q15" s="59"/>
      <c r="R15" s="59"/>
      <c r="S15" s="59"/>
      <c r="T15" s="59"/>
      <c r="U15" s="59"/>
      <c r="V15" s="59"/>
      <c r="W15" s="59"/>
      <c r="X15" s="59"/>
      <c r="Y15" s="59"/>
      <c r="Z15" s="59"/>
      <c r="AA15" s="59"/>
      <c r="AB15" s="59"/>
      <c r="AC15" s="59"/>
      <c r="AD15" s="59"/>
    </row>
    <row r="16" spans="1:30">
      <c r="A16" s="59" t="s">
        <v>432</v>
      </c>
      <c r="B16" s="59" t="s">
        <v>440</v>
      </c>
      <c r="C16" s="59">
        <v>1.39</v>
      </c>
      <c r="D16" s="59">
        <v>1</v>
      </c>
      <c r="E16" s="59">
        <v>7</v>
      </c>
      <c r="F16" s="59">
        <v>9</v>
      </c>
      <c r="G16" s="59"/>
      <c r="H16" s="59">
        <v>0</v>
      </c>
      <c r="I16" s="59">
        <v>0</v>
      </c>
      <c r="J16" s="59">
        <v>0</v>
      </c>
      <c r="K16" s="59">
        <v>0</v>
      </c>
      <c r="L16" s="59">
        <v>0</v>
      </c>
      <c r="M16" s="59">
        <v>0</v>
      </c>
      <c r="N16" s="59">
        <v>0</v>
      </c>
      <c r="O16" s="59"/>
      <c r="P16" s="59"/>
      <c r="Q16" s="59"/>
      <c r="R16" s="59"/>
      <c r="S16" s="59"/>
      <c r="T16" s="59"/>
      <c r="U16" s="59"/>
      <c r="V16" s="59"/>
      <c r="W16" s="59"/>
      <c r="X16" s="59"/>
      <c r="Y16" s="59"/>
      <c r="Z16" s="59"/>
      <c r="AA16" s="59"/>
      <c r="AB16" s="59"/>
      <c r="AC16" s="59"/>
      <c r="AD16" s="59"/>
    </row>
    <row r="17" spans="1:14">
      <c r="A17" s="59" t="s">
        <v>432</v>
      </c>
      <c r="B17" s="59" t="s">
        <v>441</v>
      </c>
      <c r="C17" s="59">
        <v>0.08</v>
      </c>
      <c r="D17" s="59">
        <v>0</v>
      </c>
      <c r="E17" s="59">
        <v>1</v>
      </c>
      <c r="F17" s="59">
        <v>6</v>
      </c>
      <c r="G17" s="59"/>
      <c r="H17" s="59">
        <v>0</v>
      </c>
      <c r="I17" s="59">
        <v>0</v>
      </c>
      <c r="J17" s="59">
        <v>0</v>
      </c>
      <c r="K17" s="59">
        <v>0</v>
      </c>
      <c r="L17" s="59">
        <v>0</v>
      </c>
      <c r="M17" s="59">
        <v>0</v>
      </c>
      <c r="N17" s="59">
        <v>0</v>
      </c>
    </row>
    <row r="18" spans="1:14">
      <c r="A18" s="59" t="s">
        <v>432</v>
      </c>
      <c r="B18" s="59" t="s">
        <v>442</v>
      </c>
      <c r="C18" s="59">
        <v>0</v>
      </c>
      <c r="D18" s="59">
        <v>0</v>
      </c>
      <c r="E18" s="59">
        <v>0</v>
      </c>
      <c r="F18" s="59">
        <v>0</v>
      </c>
      <c r="G18" s="59"/>
      <c r="H18" s="59">
        <v>0</v>
      </c>
      <c r="I18" s="59">
        <v>0</v>
      </c>
      <c r="J18" s="59">
        <v>0</v>
      </c>
      <c r="K18" s="59">
        <v>0</v>
      </c>
      <c r="L18" s="59">
        <v>0</v>
      </c>
      <c r="M18" s="59">
        <v>0</v>
      </c>
      <c r="N18" s="59">
        <v>0</v>
      </c>
    </row>
    <row r="19" spans="1:14">
      <c r="A19" s="59" t="s">
        <v>432</v>
      </c>
      <c r="B19" s="59" t="s">
        <v>443</v>
      </c>
      <c r="C19" s="59">
        <v>1.69</v>
      </c>
      <c r="D19" s="59">
        <v>1</v>
      </c>
      <c r="E19" s="59">
        <v>13</v>
      </c>
      <c r="F19" s="59">
        <v>9</v>
      </c>
      <c r="G19" s="59"/>
      <c r="H19" s="59">
        <v>0</v>
      </c>
      <c r="I19" s="59">
        <v>0</v>
      </c>
      <c r="J19" s="59">
        <v>0</v>
      </c>
      <c r="K19" s="59">
        <v>0</v>
      </c>
      <c r="L19" s="59">
        <v>0</v>
      </c>
      <c r="M19" s="59">
        <v>0</v>
      </c>
      <c r="N19" s="59">
        <v>0</v>
      </c>
    </row>
    <row r="20" spans="1:14">
      <c r="A20" s="59" t="s">
        <v>444</v>
      </c>
      <c r="B20" s="59" t="s">
        <v>445</v>
      </c>
      <c r="C20" s="59">
        <v>0.5</v>
      </c>
      <c r="D20" s="59">
        <v>0</v>
      </c>
      <c r="E20" s="59">
        <v>10</v>
      </c>
      <c r="F20" s="59">
        <v>0</v>
      </c>
      <c r="G20" s="59"/>
      <c r="H20" s="59">
        <v>0</v>
      </c>
      <c r="I20" s="59">
        <v>0</v>
      </c>
      <c r="J20" s="59">
        <v>0</v>
      </c>
      <c r="K20" s="59">
        <v>0</v>
      </c>
      <c r="L20" s="59">
        <v>0</v>
      </c>
      <c r="M20" s="59">
        <v>0</v>
      </c>
      <c r="N20" s="59">
        <v>0</v>
      </c>
    </row>
    <row r="21" spans="1:14">
      <c r="A21" s="59" t="s">
        <v>444</v>
      </c>
      <c r="B21" s="59" t="s">
        <v>446</v>
      </c>
      <c r="C21" s="59">
        <v>0.03</v>
      </c>
      <c r="D21" s="59">
        <v>0</v>
      </c>
      <c r="E21" s="59">
        <v>0</v>
      </c>
      <c r="F21" s="59">
        <v>6</v>
      </c>
      <c r="G21" s="59"/>
      <c r="H21" s="59">
        <v>0</v>
      </c>
      <c r="I21" s="59">
        <v>0</v>
      </c>
      <c r="J21" s="59">
        <v>0</v>
      </c>
      <c r="K21" s="59">
        <v>0</v>
      </c>
      <c r="L21" s="59">
        <v>0</v>
      </c>
      <c r="M21" s="59">
        <v>0</v>
      </c>
      <c r="N21" s="59">
        <v>0</v>
      </c>
    </row>
    <row r="22" spans="1:14">
      <c r="A22" s="59" t="s">
        <v>444</v>
      </c>
      <c r="B22" s="59" t="s">
        <v>447</v>
      </c>
      <c r="C22" s="59">
        <v>0.53</v>
      </c>
      <c r="D22" s="59">
        <v>0</v>
      </c>
      <c r="E22" s="59">
        <v>10</v>
      </c>
      <c r="F22" s="59">
        <v>6</v>
      </c>
      <c r="G22" s="59"/>
      <c r="H22" s="59">
        <v>0</v>
      </c>
      <c r="I22" s="59">
        <v>0</v>
      </c>
      <c r="J22" s="59">
        <v>0</v>
      </c>
      <c r="K22" s="59">
        <v>0</v>
      </c>
      <c r="L22" s="59">
        <v>0</v>
      </c>
      <c r="M22" s="59">
        <v>0</v>
      </c>
      <c r="N22" s="59">
        <v>0</v>
      </c>
    </row>
    <row r="23" spans="1:14">
      <c r="A23" s="59" t="s">
        <v>448</v>
      </c>
      <c r="B23" s="59" t="s">
        <v>449</v>
      </c>
      <c r="C23" s="59">
        <v>0.24</v>
      </c>
      <c r="D23" s="59">
        <v>0</v>
      </c>
      <c r="E23" s="59">
        <v>4</v>
      </c>
      <c r="F23" s="59">
        <v>10</v>
      </c>
      <c r="G23" s="59"/>
      <c r="H23" s="59">
        <v>0</v>
      </c>
      <c r="I23" s="59">
        <v>0</v>
      </c>
      <c r="J23" s="59">
        <v>0</v>
      </c>
      <c r="K23" s="59">
        <v>0</v>
      </c>
      <c r="L23" s="59">
        <v>0</v>
      </c>
      <c r="M23" s="59">
        <v>0</v>
      </c>
      <c r="N23" s="59">
        <v>0</v>
      </c>
    </row>
    <row r="24" spans="1:14">
      <c r="A24" s="59" t="s">
        <v>448</v>
      </c>
      <c r="B24" s="59" t="s">
        <v>450</v>
      </c>
      <c r="C24" s="59">
        <v>0.12</v>
      </c>
      <c r="D24" s="59">
        <v>0</v>
      </c>
      <c r="E24" s="59">
        <v>2</v>
      </c>
      <c r="F24" s="59">
        <v>6</v>
      </c>
      <c r="G24" s="59"/>
      <c r="H24" s="59">
        <v>0</v>
      </c>
      <c r="I24" s="59">
        <v>0</v>
      </c>
      <c r="J24" s="59">
        <v>0</v>
      </c>
      <c r="K24" s="59">
        <v>0</v>
      </c>
      <c r="L24" s="59">
        <v>0</v>
      </c>
      <c r="M24" s="59">
        <v>0</v>
      </c>
      <c r="N24" s="59">
        <v>0</v>
      </c>
    </row>
    <row r="25" spans="1:14">
      <c r="A25" s="59" t="s">
        <v>448</v>
      </c>
      <c r="B25" s="59" t="s">
        <v>451</v>
      </c>
      <c r="C25" s="59">
        <v>0.14000000000000001</v>
      </c>
      <c r="D25" s="59">
        <v>0</v>
      </c>
      <c r="E25" s="59">
        <v>2</v>
      </c>
      <c r="F25" s="59">
        <v>9</v>
      </c>
      <c r="G25" s="59"/>
      <c r="H25" s="59">
        <v>0</v>
      </c>
      <c r="I25" s="59">
        <v>0</v>
      </c>
      <c r="J25" s="59">
        <v>0</v>
      </c>
      <c r="K25" s="59">
        <v>0</v>
      </c>
      <c r="L25" s="59">
        <v>0</v>
      </c>
      <c r="M25" s="59">
        <v>0</v>
      </c>
      <c r="N25" s="59">
        <v>0</v>
      </c>
    </row>
    <row r="26" spans="1:14">
      <c r="A26" s="59" t="s">
        <v>448</v>
      </c>
      <c r="B26" s="59" t="s">
        <v>452</v>
      </c>
      <c r="C26" s="59">
        <v>0.28000000000000003</v>
      </c>
      <c r="D26" s="59">
        <v>0</v>
      </c>
      <c r="E26" s="59">
        <v>5</v>
      </c>
      <c r="F26" s="59">
        <v>6</v>
      </c>
      <c r="G26" s="59"/>
      <c r="H26" s="59">
        <v>0</v>
      </c>
      <c r="I26" s="59">
        <v>0</v>
      </c>
      <c r="J26" s="59">
        <v>0</v>
      </c>
      <c r="K26" s="59">
        <v>0</v>
      </c>
      <c r="L26" s="59">
        <v>0</v>
      </c>
      <c r="M26" s="59">
        <v>0</v>
      </c>
      <c r="N26" s="59">
        <v>0</v>
      </c>
    </row>
    <row r="27" spans="1:14">
      <c r="A27" s="59" t="s">
        <v>448</v>
      </c>
      <c r="B27" s="59" t="s">
        <v>453</v>
      </c>
      <c r="C27" s="59">
        <v>0.12</v>
      </c>
      <c r="D27" s="59">
        <v>0</v>
      </c>
      <c r="E27" s="59">
        <v>2</v>
      </c>
      <c r="F27" s="59">
        <v>6</v>
      </c>
      <c r="G27" s="59"/>
      <c r="H27" s="59">
        <v>0</v>
      </c>
      <c r="I27" s="59">
        <v>0</v>
      </c>
      <c r="J27" s="59">
        <v>0</v>
      </c>
      <c r="K27" s="59">
        <v>0</v>
      </c>
      <c r="L27" s="59">
        <v>0</v>
      </c>
      <c r="M27" s="59">
        <v>0</v>
      </c>
      <c r="N27" s="59">
        <v>0</v>
      </c>
    </row>
    <row r="28" spans="1:14">
      <c r="A28" s="59" t="s">
        <v>448</v>
      </c>
      <c r="B28" s="59" t="s">
        <v>454</v>
      </c>
      <c r="C28" s="59">
        <v>0.12</v>
      </c>
      <c r="D28" s="59">
        <v>0</v>
      </c>
      <c r="E28" s="59">
        <v>2</v>
      </c>
      <c r="F28" s="59">
        <v>6</v>
      </c>
      <c r="G28" s="59"/>
      <c r="H28" s="59">
        <v>0</v>
      </c>
      <c r="I28" s="59">
        <v>0</v>
      </c>
      <c r="J28" s="59">
        <v>0</v>
      </c>
      <c r="K28" s="59">
        <v>0</v>
      </c>
      <c r="L28" s="59">
        <v>0</v>
      </c>
      <c r="M28" s="59">
        <v>0</v>
      </c>
      <c r="N28" s="59">
        <v>0</v>
      </c>
    </row>
    <row r="29" spans="1:14">
      <c r="A29" s="59" t="s">
        <v>448</v>
      </c>
      <c r="B29" s="59" t="s">
        <v>455</v>
      </c>
      <c r="C29" s="59">
        <v>0.14000000000000001</v>
      </c>
      <c r="D29" s="59">
        <v>0</v>
      </c>
      <c r="E29" s="59">
        <v>2</v>
      </c>
      <c r="F29" s="59">
        <v>9</v>
      </c>
      <c r="G29" s="59"/>
      <c r="H29" s="59">
        <v>0</v>
      </c>
      <c r="I29" s="59">
        <v>0</v>
      </c>
      <c r="J29" s="59">
        <v>0</v>
      </c>
      <c r="K29" s="59">
        <v>0</v>
      </c>
      <c r="L29" s="59">
        <v>0</v>
      </c>
      <c r="M29" s="59">
        <v>0</v>
      </c>
      <c r="N29" s="59">
        <v>0</v>
      </c>
    </row>
    <row r="30" spans="1:14">
      <c r="A30" s="59" t="s">
        <v>456</v>
      </c>
      <c r="B30" s="59" t="s">
        <v>457</v>
      </c>
      <c r="C30" s="59">
        <v>0.2</v>
      </c>
      <c r="D30" s="59">
        <v>0</v>
      </c>
      <c r="E30" s="59">
        <v>4</v>
      </c>
      <c r="F30" s="59">
        <v>0</v>
      </c>
      <c r="G30" s="59"/>
      <c r="H30" s="59">
        <v>0</v>
      </c>
      <c r="I30" s="59">
        <v>0</v>
      </c>
      <c r="J30" s="59">
        <v>0</v>
      </c>
      <c r="K30" s="59">
        <v>0</v>
      </c>
      <c r="L30" s="59">
        <v>0</v>
      </c>
      <c r="M30" s="59">
        <v>0</v>
      </c>
      <c r="N30" s="59">
        <v>0</v>
      </c>
    </row>
    <row r="31" spans="1:14">
      <c r="A31" s="59" t="s">
        <v>456</v>
      </c>
      <c r="B31" s="59" t="s">
        <v>458</v>
      </c>
      <c r="C31" s="59">
        <v>0.2</v>
      </c>
      <c r="D31" s="59">
        <v>0</v>
      </c>
      <c r="E31" s="59">
        <v>4</v>
      </c>
      <c r="F31" s="59">
        <v>0</v>
      </c>
      <c r="G31" s="59"/>
      <c r="H31" s="59">
        <v>0</v>
      </c>
      <c r="I31" s="59">
        <v>0</v>
      </c>
      <c r="J31" s="59">
        <v>0</v>
      </c>
      <c r="K31" s="59">
        <v>0</v>
      </c>
      <c r="L31" s="59">
        <v>0</v>
      </c>
      <c r="M31" s="59">
        <v>0</v>
      </c>
      <c r="N31" s="59">
        <v>0</v>
      </c>
    </row>
    <row r="32" spans="1:14">
      <c r="A32" s="59" t="s">
        <v>456</v>
      </c>
      <c r="B32" s="59" t="s">
        <v>459</v>
      </c>
      <c r="C32" s="59">
        <v>0.2</v>
      </c>
      <c r="D32" s="59">
        <v>0</v>
      </c>
      <c r="E32" s="59">
        <v>4</v>
      </c>
      <c r="F32" s="59">
        <v>0</v>
      </c>
      <c r="G32" s="59"/>
      <c r="H32" s="59">
        <v>0</v>
      </c>
      <c r="I32" s="59">
        <v>0</v>
      </c>
      <c r="J32" s="59">
        <v>0</v>
      </c>
      <c r="K32" s="59">
        <v>0</v>
      </c>
      <c r="L32" s="59">
        <v>0</v>
      </c>
      <c r="M32" s="59">
        <v>0</v>
      </c>
      <c r="N32" s="59">
        <v>0</v>
      </c>
    </row>
    <row r="33" spans="1:14">
      <c r="A33" s="59" t="s">
        <v>456</v>
      </c>
      <c r="B33" s="59" t="s">
        <v>460</v>
      </c>
      <c r="C33" s="59">
        <v>0.2</v>
      </c>
      <c r="D33" s="59">
        <v>0</v>
      </c>
      <c r="E33" s="59">
        <v>4</v>
      </c>
      <c r="F33" s="59">
        <v>0</v>
      </c>
      <c r="G33" s="59"/>
      <c r="H33" s="59">
        <v>0</v>
      </c>
      <c r="I33" s="59">
        <v>0</v>
      </c>
      <c r="J33" s="59">
        <v>0</v>
      </c>
      <c r="K33" s="59">
        <v>0</v>
      </c>
      <c r="L33" s="59">
        <v>0</v>
      </c>
      <c r="M33" s="59">
        <v>0</v>
      </c>
      <c r="N33" s="59">
        <v>0</v>
      </c>
    </row>
    <row r="34" spans="1:14">
      <c r="A34" s="59" t="s">
        <v>456</v>
      </c>
      <c r="B34" s="59" t="s">
        <v>461</v>
      </c>
      <c r="C34" s="59">
        <v>0.2</v>
      </c>
      <c r="D34" s="59">
        <v>0</v>
      </c>
      <c r="E34" s="59">
        <v>4</v>
      </c>
      <c r="F34" s="59">
        <v>0</v>
      </c>
      <c r="G34" s="59"/>
      <c r="H34" s="59">
        <v>0</v>
      </c>
      <c r="I34" s="59">
        <v>0</v>
      </c>
      <c r="J34" s="59">
        <v>0</v>
      </c>
      <c r="K34" s="59">
        <v>0</v>
      </c>
      <c r="L34" s="59">
        <v>0</v>
      </c>
      <c r="M34" s="59">
        <v>0</v>
      </c>
      <c r="N34" s="59">
        <v>0</v>
      </c>
    </row>
    <row r="35" spans="1:14">
      <c r="A35" s="59" t="s">
        <v>456</v>
      </c>
      <c r="B35" s="59" t="s">
        <v>462</v>
      </c>
      <c r="C35" s="59">
        <v>0.2</v>
      </c>
      <c r="D35" s="59">
        <v>0</v>
      </c>
      <c r="E35" s="59">
        <v>4</v>
      </c>
      <c r="F35" s="59">
        <v>0</v>
      </c>
      <c r="G35" s="59"/>
      <c r="H35" s="59">
        <v>0</v>
      </c>
      <c r="I35" s="59">
        <v>0</v>
      </c>
      <c r="J35" s="59">
        <v>0</v>
      </c>
      <c r="K35" s="59">
        <v>0</v>
      </c>
      <c r="L35" s="59">
        <v>0</v>
      </c>
      <c r="M35" s="59">
        <v>0</v>
      </c>
      <c r="N35" s="59">
        <v>0</v>
      </c>
    </row>
    <row r="36" spans="1:14">
      <c r="A36" s="59" t="s">
        <v>456</v>
      </c>
      <c r="B36" s="59" t="s">
        <v>463</v>
      </c>
      <c r="C36" s="59">
        <v>2.37</v>
      </c>
      <c r="D36" s="59">
        <v>2</v>
      </c>
      <c r="E36" s="59">
        <v>7</v>
      </c>
      <c r="F36" s="59">
        <v>4</v>
      </c>
      <c r="G36" s="59"/>
      <c r="H36" s="59">
        <v>0</v>
      </c>
      <c r="I36" s="59">
        <v>0</v>
      </c>
      <c r="J36" s="59">
        <v>0</v>
      </c>
      <c r="K36" s="59">
        <v>0</v>
      </c>
      <c r="L36" s="59">
        <v>0</v>
      </c>
      <c r="M36" s="59">
        <v>0</v>
      </c>
      <c r="N36" s="59">
        <v>0</v>
      </c>
    </row>
    <row r="37" spans="1:14">
      <c r="A37" s="59" t="s">
        <v>464</v>
      </c>
      <c r="B37" s="59" t="s">
        <v>465</v>
      </c>
      <c r="C37" s="59">
        <v>4.58</v>
      </c>
      <c r="D37" s="59">
        <v>4</v>
      </c>
      <c r="E37" s="59">
        <v>11</v>
      </c>
      <c r="F37" s="59">
        <v>7</v>
      </c>
      <c r="G37" s="59"/>
      <c r="H37" s="59">
        <v>0</v>
      </c>
      <c r="I37" s="59">
        <v>0</v>
      </c>
      <c r="J37" s="59">
        <v>0</v>
      </c>
      <c r="K37" s="59">
        <v>0</v>
      </c>
      <c r="L37" s="59">
        <v>0</v>
      </c>
      <c r="M37" s="59">
        <v>0</v>
      </c>
      <c r="N37" s="59">
        <v>0</v>
      </c>
    </row>
    <row r="38" spans="1:14">
      <c r="A38" s="59" t="s">
        <v>466</v>
      </c>
      <c r="B38" s="59" t="s">
        <v>467</v>
      </c>
      <c r="C38" s="59">
        <v>21.36</v>
      </c>
      <c r="D38" s="59">
        <v>21</v>
      </c>
      <c r="E38" s="59">
        <v>7</v>
      </c>
      <c r="F38" s="59">
        <v>3.5</v>
      </c>
      <c r="G38" s="59"/>
      <c r="H38" s="59">
        <v>0</v>
      </c>
      <c r="I38" s="59">
        <v>0</v>
      </c>
      <c r="J38" s="59">
        <v>0</v>
      </c>
      <c r="K38" s="59">
        <v>0</v>
      </c>
      <c r="L38" s="59">
        <v>0</v>
      </c>
      <c r="M38" s="59">
        <v>0</v>
      </c>
      <c r="N38" s="59">
        <v>0</v>
      </c>
    </row>
    <row r="39" spans="1:14">
      <c r="A39" s="59" t="s">
        <v>468</v>
      </c>
      <c r="B39" s="59" t="s">
        <v>469</v>
      </c>
      <c r="C39" s="59">
        <v>0.8</v>
      </c>
      <c r="D39" s="59">
        <v>0</v>
      </c>
      <c r="E39" s="59">
        <v>16</v>
      </c>
      <c r="F39" s="59">
        <v>0</v>
      </c>
      <c r="G39" s="59"/>
      <c r="H39" s="59">
        <v>0</v>
      </c>
      <c r="I39" s="59">
        <v>0</v>
      </c>
      <c r="J39" s="59">
        <v>0</v>
      </c>
      <c r="K39" s="59">
        <v>0</v>
      </c>
      <c r="L39" s="59">
        <v>0</v>
      </c>
      <c r="M39" s="59">
        <v>0</v>
      </c>
      <c r="N39" s="59">
        <v>0</v>
      </c>
    </row>
    <row r="40" spans="1:14">
      <c r="A40" s="59" t="s">
        <v>468</v>
      </c>
      <c r="B40" s="59" t="s">
        <v>470</v>
      </c>
      <c r="C40" s="59">
        <v>0.33</v>
      </c>
      <c r="D40" s="59">
        <v>0</v>
      </c>
      <c r="E40" s="59">
        <v>6</v>
      </c>
      <c r="F40" s="59">
        <v>8</v>
      </c>
      <c r="G40" s="59"/>
      <c r="H40" s="59">
        <v>0</v>
      </c>
      <c r="I40" s="59">
        <v>0</v>
      </c>
      <c r="J40" s="59">
        <v>0</v>
      </c>
      <c r="K40" s="59">
        <v>0</v>
      </c>
      <c r="L40" s="59">
        <v>0</v>
      </c>
      <c r="M40" s="59">
        <v>0</v>
      </c>
      <c r="N40" s="59">
        <v>0</v>
      </c>
    </row>
    <row r="41" spans="1:14">
      <c r="A41" s="59" t="s">
        <v>468</v>
      </c>
      <c r="B41" s="59" t="s">
        <v>471</v>
      </c>
      <c r="C41" s="59">
        <v>0.8</v>
      </c>
      <c r="D41" s="59">
        <v>0</v>
      </c>
      <c r="E41" s="59">
        <v>16</v>
      </c>
      <c r="F41" s="59">
        <v>0</v>
      </c>
      <c r="G41" s="59"/>
      <c r="H41" s="59">
        <v>0</v>
      </c>
      <c r="I41" s="59">
        <v>0</v>
      </c>
      <c r="J41" s="59">
        <v>0</v>
      </c>
      <c r="K41" s="59">
        <v>0</v>
      </c>
      <c r="L41" s="59">
        <v>0</v>
      </c>
      <c r="M41" s="59">
        <v>0</v>
      </c>
      <c r="N41" s="59">
        <v>0</v>
      </c>
    </row>
    <row r="42" spans="1:14">
      <c r="A42" s="59" t="s">
        <v>468</v>
      </c>
      <c r="B42" s="59" t="s">
        <v>472</v>
      </c>
      <c r="C42" s="59">
        <v>0.09</v>
      </c>
      <c r="D42" s="59">
        <v>0</v>
      </c>
      <c r="E42" s="59">
        <v>1</v>
      </c>
      <c r="F42" s="59">
        <v>10</v>
      </c>
      <c r="G42" s="59"/>
      <c r="H42" s="59">
        <v>0</v>
      </c>
      <c r="I42" s="59">
        <v>0</v>
      </c>
      <c r="J42" s="59">
        <v>0</v>
      </c>
      <c r="K42" s="59">
        <v>0</v>
      </c>
      <c r="L42" s="59">
        <v>0</v>
      </c>
      <c r="M42" s="59">
        <v>0</v>
      </c>
      <c r="N42" s="59">
        <v>0</v>
      </c>
    </row>
    <row r="43" spans="1:14">
      <c r="A43" s="59" t="s">
        <v>468</v>
      </c>
      <c r="B43" s="59" t="s">
        <v>473</v>
      </c>
      <c r="C43" s="59">
        <v>0.05</v>
      </c>
      <c r="D43" s="59">
        <v>0</v>
      </c>
      <c r="E43" s="59">
        <v>1</v>
      </c>
      <c r="F43" s="59">
        <v>0</v>
      </c>
      <c r="G43" s="59"/>
      <c r="H43" s="59">
        <v>0</v>
      </c>
      <c r="I43" s="59">
        <v>0</v>
      </c>
      <c r="J43" s="59">
        <v>0</v>
      </c>
      <c r="K43" s="59">
        <v>0</v>
      </c>
      <c r="L43" s="59">
        <v>0</v>
      </c>
      <c r="M43" s="59">
        <v>0</v>
      </c>
      <c r="N43" s="59">
        <v>0</v>
      </c>
    </row>
    <row r="44" spans="1:14">
      <c r="A44" s="59" t="s">
        <v>468</v>
      </c>
      <c r="B44" s="59" t="s">
        <v>474</v>
      </c>
      <c r="C44" s="59">
        <v>0.08</v>
      </c>
      <c r="D44" s="59">
        <v>0</v>
      </c>
      <c r="E44" s="59">
        <v>1</v>
      </c>
      <c r="F44" s="59">
        <v>8</v>
      </c>
      <c r="G44" s="59"/>
      <c r="H44" s="59">
        <v>0</v>
      </c>
      <c r="I44" s="59">
        <v>0</v>
      </c>
      <c r="J44" s="59">
        <v>0</v>
      </c>
      <c r="K44" s="59">
        <v>0</v>
      </c>
      <c r="L44" s="59">
        <v>0</v>
      </c>
      <c r="M44" s="59">
        <v>0</v>
      </c>
      <c r="N44" s="59">
        <v>0</v>
      </c>
    </row>
    <row r="45" spans="1:14">
      <c r="A45" s="59" t="s">
        <v>468</v>
      </c>
      <c r="B45" s="59" t="s">
        <v>475</v>
      </c>
      <c r="C45" s="59">
        <v>0</v>
      </c>
      <c r="D45" s="59">
        <v>0</v>
      </c>
      <c r="E45" s="59">
        <v>0</v>
      </c>
      <c r="F45" s="59">
        <v>0</v>
      </c>
      <c r="G45" s="59"/>
      <c r="H45" s="59">
        <v>0</v>
      </c>
      <c r="I45" s="59">
        <v>0</v>
      </c>
      <c r="J45" s="59">
        <v>0</v>
      </c>
      <c r="K45" s="59">
        <v>0</v>
      </c>
      <c r="L45" s="59">
        <v>0</v>
      </c>
      <c r="M45" s="59">
        <v>0</v>
      </c>
      <c r="N45" s="59">
        <v>0</v>
      </c>
    </row>
    <row r="46" spans="1:14">
      <c r="A46" s="59" t="s">
        <v>468</v>
      </c>
      <c r="B46" s="59" t="s">
        <v>476</v>
      </c>
      <c r="C46" s="59">
        <v>0.03</v>
      </c>
      <c r="D46" s="59">
        <v>0</v>
      </c>
      <c r="E46" s="59">
        <v>0</v>
      </c>
      <c r="F46" s="59">
        <v>8</v>
      </c>
      <c r="G46" s="59"/>
      <c r="H46" s="59">
        <v>0</v>
      </c>
      <c r="I46" s="59">
        <v>0</v>
      </c>
      <c r="J46" s="59">
        <v>0</v>
      </c>
      <c r="K46" s="59">
        <v>0</v>
      </c>
      <c r="L46" s="59">
        <v>0</v>
      </c>
      <c r="M46" s="59">
        <v>0</v>
      </c>
      <c r="N46" s="59">
        <v>0</v>
      </c>
    </row>
    <row r="47" spans="1:14">
      <c r="A47" s="59" t="s">
        <v>468</v>
      </c>
      <c r="B47" s="59" t="s">
        <v>477</v>
      </c>
      <c r="C47" s="59">
        <v>0.03</v>
      </c>
      <c r="D47" s="59">
        <v>0</v>
      </c>
      <c r="E47" s="59">
        <v>0</v>
      </c>
      <c r="F47" s="59">
        <v>8</v>
      </c>
      <c r="G47" s="59"/>
      <c r="H47" s="59">
        <v>0</v>
      </c>
      <c r="I47" s="59">
        <v>0</v>
      </c>
      <c r="J47" s="59">
        <v>0</v>
      </c>
      <c r="K47" s="59">
        <v>0</v>
      </c>
      <c r="L47" s="59">
        <v>0</v>
      </c>
      <c r="M47" s="59">
        <v>0</v>
      </c>
      <c r="N47" s="59">
        <v>0</v>
      </c>
    </row>
    <row r="48" spans="1:14">
      <c r="A48" s="59" t="s">
        <v>468</v>
      </c>
      <c r="B48" s="59" t="s">
        <v>478</v>
      </c>
      <c r="C48" s="59">
        <v>2.23</v>
      </c>
      <c r="D48" s="59">
        <v>2</v>
      </c>
      <c r="E48" s="59">
        <v>4</v>
      </c>
      <c r="F48" s="59">
        <v>6</v>
      </c>
      <c r="G48" s="59"/>
      <c r="H48" s="59">
        <v>0</v>
      </c>
      <c r="I48" s="59">
        <v>0</v>
      </c>
      <c r="J48" s="59">
        <v>0</v>
      </c>
      <c r="K48" s="59">
        <v>0</v>
      </c>
      <c r="L48" s="59">
        <v>0</v>
      </c>
      <c r="M48" s="59">
        <v>0</v>
      </c>
      <c r="N48" s="59">
        <v>0</v>
      </c>
    </row>
    <row r="49" spans="1:14">
      <c r="A49" s="59" t="s">
        <v>479</v>
      </c>
      <c r="B49" s="59" t="s">
        <v>480</v>
      </c>
      <c r="C49" s="59">
        <v>0.01</v>
      </c>
      <c r="D49" s="59">
        <v>0</v>
      </c>
      <c r="E49" s="59">
        <v>0</v>
      </c>
      <c r="F49" s="59">
        <v>2</v>
      </c>
      <c r="G49" s="59"/>
      <c r="H49" s="59">
        <v>0</v>
      </c>
      <c r="I49" s="59">
        <v>0</v>
      </c>
      <c r="J49" s="59">
        <v>0</v>
      </c>
      <c r="K49" s="59">
        <v>0</v>
      </c>
      <c r="L49" s="59">
        <v>0</v>
      </c>
      <c r="M49" s="59">
        <v>0</v>
      </c>
      <c r="N49" s="59">
        <v>0</v>
      </c>
    </row>
    <row r="50" spans="1:14">
      <c r="A50" s="59" t="s">
        <v>479</v>
      </c>
      <c r="B50" s="59" t="s">
        <v>481</v>
      </c>
      <c r="C50" s="59">
        <v>0.01</v>
      </c>
      <c r="D50" s="59">
        <v>0</v>
      </c>
      <c r="E50" s="59">
        <v>0</v>
      </c>
      <c r="F50" s="59">
        <v>2</v>
      </c>
      <c r="G50" s="59"/>
      <c r="H50" s="59">
        <v>0</v>
      </c>
      <c r="I50" s="59">
        <v>0</v>
      </c>
      <c r="J50" s="59">
        <v>0</v>
      </c>
      <c r="K50" s="59">
        <v>0</v>
      </c>
      <c r="L50" s="59">
        <v>0</v>
      </c>
      <c r="M50" s="59">
        <v>0</v>
      </c>
      <c r="N50" s="59">
        <v>0</v>
      </c>
    </row>
    <row r="51" spans="1:14">
      <c r="A51" s="59" t="s">
        <v>479</v>
      </c>
      <c r="B51" s="59" t="s">
        <v>482</v>
      </c>
      <c r="C51" s="59">
        <v>0.01</v>
      </c>
      <c r="D51" s="59">
        <v>0</v>
      </c>
      <c r="E51" s="59">
        <v>0</v>
      </c>
      <c r="F51" s="59">
        <v>3</v>
      </c>
      <c r="G51" s="59"/>
      <c r="H51" s="59">
        <v>0</v>
      </c>
      <c r="I51" s="59">
        <v>0</v>
      </c>
      <c r="J51" s="59">
        <v>0</v>
      </c>
      <c r="K51" s="59">
        <v>0</v>
      </c>
      <c r="L51" s="59">
        <v>0</v>
      </c>
      <c r="M51" s="59">
        <v>0</v>
      </c>
      <c r="N51" s="59">
        <v>0</v>
      </c>
    </row>
    <row r="52" spans="1:14">
      <c r="A52" s="59" t="s">
        <v>479</v>
      </c>
      <c r="B52" s="59" t="s">
        <v>483</v>
      </c>
      <c r="C52" s="59">
        <v>0.01</v>
      </c>
      <c r="D52" s="59">
        <v>0</v>
      </c>
      <c r="E52" s="59">
        <v>0</v>
      </c>
      <c r="F52" s="59">
        <v>3</v>
      </c>
      <c r="G52" s="59"/>
      <c r="H52" s="59">
        <v>0</v>
      </c>
      <c r="I52" s="59">
        <v>0</v>
      </c>
      <c r="J52" s="59">
        <v>0</v>
      </c>
      <c r="K52" s="59">
        <v>0</v>
      </c>
      <c r="L52" s="59">
        <v>0</v>
      </c>
      <c r="M52" s="59">
        <v>0</v>
      </c>
      <c r="N52" s="59">
        <v>0</v>
      </c>
    </row>
    <row r="53" spans="1:14">
      <c r="A53" s="59" t="s">
        <v>479</v>
      </c>
      <c r="B53" s="59" t="s">
        <v>484</v>
      </c>
      <c r="C53" s="59">
        <v>0.01</v>
      </c>
      <c r="D53" s="59">
        <v>0</v>
      </c>
      <c r="E53" s="59">
        <v>0</v>
      </c>
      <c r="F53" s="59">
        <v>2</v>
      </c>
      <c r="G53" s="59"/>
      <c r="H53" s="59">
        <v>0</v>
      </c>
      <c r="I53" s="59">
        <v>0</v>
      </c>
      <c r="J53" s="59">
        <v>0</v>
      </c>
      <c r="K53" s="59">
        <v>0</v>
      </c>
      <c r="L53" s="59">
        <v>0</v>
      </c>
      <c r="M53" s="59">
        <v>0</v>
      </c>
      <c r="N53" s="59">
        <v>0</v>
      </c>
    </row>
    <row r="54" spans="1:14">
      <c r="A54" s="59" t="s">
        <v>479</v>
      </c>
      <c r="B54" s="59" t="s">
        <v>485</v>
      </c>
      <c r="C54" s="59">
        <v>0.01</v>
      </c>
      <c r="D54" s="59">
        <v>0</v>
      </c>
      <c r="E54" s="59">
        <v>0</v>
      </c>
      <c r="F54" s="59">
        <v>2</v>
      </c>
      <c r="G54" s="59"/>
      <c r="H54" s="59">
        <v>0</v>
      </c>
      <c r="I54" s="59">
        <v>0</v>
      </c>
      <c r="J54" s="59">
        <v>0</v>
      </c>
      <c r="K54" s="59">
        <v>0</v>
      </c>
      <c r="L54" s="59">
        <v>0</v>
      </c>
      <c r="M54" s="59">
        <v>0</v>
      </c>
      <c r="N54" s="59">
        <v>0</v>
      </c>
    </row>
    <row r="55" spans="1:14">
      <c r="A55" s="59" t="s">
        <v>479</v>
      </c>
      <c r="B55" s="59" t="s">
        <v>486</v>
      </c>
      <c r="C55" s="59">
        <v>0.01</v>
      </c>
      <c r="D55" s="59">
        <v>0</v>
      </c>
      <c r="E55" s="59">
        <v>0</v>
      </c>
      <c r="F55" s="59">
        <v>2</v>
      </c>
      <c r="G55" s="59"/>
      <c r="H55" s="59">
        <v>0</v>
      </c>
      <c r="I55" s="59">
        <v>0</v>
      </c>
      <c r="J55" s="59">
        <v>0</v>
      </c>
      <c r="K55" s="59">
        <v>0</v>
      </c>
      <c r="L55" s="59">
        <v>0</v>
      </c>
      <c r="M55" s="59">
        <v>0</v>
      </c>
      <c r="N55" s="59">
        <v>0</v>
      </c>
    </row>
    <row r="56" spans="1:14">
      <c r="A56" s="59" t="s">
        <v>479</v>
      </c>
      <c r="B56" s="59" t="s">
        <v>487</v>
      </c>
      <c r="C56" s="59">
        <v>0.01</v>
      </c>
      <c r="D56" s="59">
        <v>0</v>
      </c>
      <c r="E56" s="59">
        <v>0</v>
      </c>
      <c r="F56" s="59">
        <v>2</v>
      </c>
      <c r="G56" s="59"/>
      <c r="H56" s="59">
        <v>0</v>
      </c>
      <c r="I56" s="59">
        <v>0</v>
      </c>
      <c r="J56" s="59">
        <v>0</v>
      </c>
      <c r="K56" s="59">
        <v>0</v>
      </c>
      <c r="L56" s="59">
        <v>0</v>
      </c>
      <c r="M56" s="59">
        <v>0</v>
      </c>
      <c r="N56" s="59">
        <v>0</v>
      </c>
    </row>
    <row r="57" spans="1:14">
      <c r="A57" s="59" t="s">
        <v>479</v>
      </c>
      <c r="B57" s="59" t="s">
        <v>488</v>
      </c>
      <c r="C57" s="59">
        <v>0.01</v>
      </c>
      <c r="D57" s="59">
        <v>0</v>
      </c>
      <c r="E57" s="59">
        <v>0</v>
      </c>
      <c r="F57" s="59">
        <v>2</v>
      </c>
      <c r="G57" s="59"/>
      <c r="H57" s="59">
        <v>0</v>
      </c>
      <c r="I57" s="59">
        <v>0</v>
      </c>
      <c r="J57" s="59">
        <v>0</v>
      </c>
      <c r="K57" s="59">
        <v>0</v>
      </c>
      <c r="L57" s="59">
        <v>0</v>
      </c>
      <c r="M57" s="59">
        <v>0</v>
      </c>
      <c r="N57" s="59">
        <v>0</v>
      </c>
    </row>
    <row r="58" spans="1:14">
      <c r="A58" s="59" t="s">
        <v>479</v>
      </c>
      <c r="B58" s="59" t="s">
        <v>489</v>
      </c>
      <c r="C58" s="59">
        <v>0.01</v>
      </c>
      <c r="D58" s="59">
        <v>0</v>
      </c>
      <c r="E58" s="59">
        <v>0</v>
      </c>
      <c r="F58" s="59">
        <v>2</v>
      </c>
      <c r="G58" s="59"/>
      <c r="H58" s="59">
        <v>0</v>
      </c>
      <c r="I58" s="59">
        <v>0</v>
      </c>
      <c r="J58" s="59">
        <v>0</v>
      </c>
      <c r="K58" s="59">
        <v>0</v>
      </c>
      <c r="L58" s="59">
        <v>0</v>
      </c>
      <c r="M58" s="59">
        <v>0</v>
      </c>
      <c r="N58" s="59">
        <v>0</v>
      </c>
    </row>
    <row r="59" spans="1:14">
      <c r="A59" s="59" t="s">
        <v>479</v>
      </c>
      <c r="B59" s="59" t="s">
        <v>490</v>
      </c>
      <c r="C59" s="59">
        <v>0.01</v>
      </c>
      <c r="D59" s="59">
        <v>0</v>
      </c>
      <c r="E59" s="59">
        <v>0</v>
      </c>
      <c r="F59" s="59">
        <v>2</v>
      </c>
      <c r="G59" s="59"/>
      <c r="H59" s="59">
        <v>0</v>
      </c>
      <c r="I59" s="59">
        <v>0</v>
      </c>
      <c r="J59" s="59">
        <v>0</v>
      </c>
      <c r="K59" s="59">
        <v>0</v>
      </c>
      <c r="L59" s="59">
        <v>0</v>
      </c>
      <c r="M59" s="59">
        <v>0</v>
      </c>
      <c r="N59" s="59">
        <v>0</v>
      </c>
    </row>
    <row r="60" spans="1:14">
      <c r="A60" s="59" t="s">
        <v>479</v>
      </c>
      <c r="B60" s="59" t="s">
        <v>491</v>
      </c>
      <c r="C60" s="59">
        <v>0.05</v>
      </c>
      <c r="D60" s="59">
        <v>0</v>
      </c>
      <c r="E60" s="59">
        <v>1</v>
      </c>
      <c r="F60" s="59">
        <v>0</v>
      </c>
      <c r="G60" s="59"/>
      <c r="H60" s="59">
        <v>0</v>
      </c>
      <c r="I60" s="59">
        <v>0</v>
      </c>
      <c r="J60" s="59">
        <v>0</v>
      </c>
      <c r="K60" s="59">
        <v>0</v>
      </c>
      <c r="L60" s="59">
        <v>0</v>
      </c>
      <c r="M60" s="59">
        <v>0</v>
      </c>
      <c r="N60" s="59">
        <v>0</v>
      </c>
    </row>
    <row r="61" spans="1:14">
      <c r="A61" s="59" t="s">
        <v>479</v>
      </c>
      <c r="B61" s="59" t="s">
        <v>492</v>
      </c>
      <c r="C61" s="59">
        <v>0.05</v>
      </c>
      <c r="D61" s="59">
        <v>0</v>
      </c>
      <c r="E61" s="59">
        <v>1</v>
      </c>
      <c r="F61" s="59">
        <v>0</v>
      </c>
      <c r="G61" s="59"/>
      <c r="H61" s="59">
        <v>0</v>
      </c>
      <c r="I61" s="59">
        <v>0</v>
      </c>
      <c r="J61" s="59">
        <v>0</v>
      </c>
      <c r="K61" s="59">
        <v>0</v>
      </c>
      <c r="L61" s="59">
        <v>0</v>
      </c>
      <c r="M61" s="59">
        <v>0</v>
      </c>
      <c r="N61" s="59">
        <v>0</v>
      </c>
    </row>
    <row r="62" spans="1:14">
      <c r="A62" s="59" t="s">
        <v>479</v>
      </c>
      <c r="B62" s="59" t="s">
        <v>493</v>
      </c>
      <c r="C62" s="59">
        <v>0.01</v>
      </c>
      <c r="D62" s="59">
        <v>0</v>
      </c>
      <c r="E62" s="59">
        <v>0</v>
      </c>
      <c r="F62" s="59">
        <v>3</v>
      </c>
      <c r="G62" s="59"/>
      <c r="H62" s="59">
        <v>0</v>
      </c>
      <c r="I62" s="59">
        <v>0</v>
      </c>
      <c r="J62" s="59">
        <v>0</v>
      </c>
      <c r="K62" s="59">
        <v>0</v>
      </c>
      <c r="L62" s="59">
        <v>0</v>
      </c>
      <c r="M62" s="59">
        <v>0</v>
      </c>
      <c r="N62" s="59">
        <v>0</v>
      </c>
    </row>
    <row r="63" spans="1:14">
      <c r="A63" s="59" t="s">
        <v>479</v>
      </c>
      <c r="B63" s="59" t="s">
        <v>494</v>
      </c>
      <c r="C63" s="59">
        <v>0.01</v>
      </c>
      <c r="D63" s="59">
        <v>0</v>
      </c>
      <c r="E63" s="59">
        <v>0</v>
      </c>
      <c r="F63" s="59">
        <v>2</v>
      </c>
      <c r="G63" s="59"/>
      <c r="H63" s="59">
        <v>0</v>
      </c>
      <c r="I63" s="59">
        <v>0</v>
      </c>
      <c r="J63" s="59">
        <v>0</v>
      </c>
      <c r="K63" s="59">
        <v>0</v>
      </c>
      <c r="L63" s="59">
        <v>0</v>
      </c>
      <c r="M63" s="59">
        <v>0</v>
      </c>
      <c r="N63" s="59">
        <v>0</v>
      </c>
    </row>
    <row r="64" spans="1:14">
      <c r="A64" s="59" t="s">
        <v>479</v>
      </c>
      <c r="B64" s="59" t="s">
        <v>495</v>
      </c>
      <c r="C64" s="59">
        <v>0.01</v>
      </c>
      <c r="D64" s="59">
        <v>0</v>
      </c>
      <c r="E64" s="59">
        <v>0</v>
      </c>
      <c r="F64" s="59">
        <v>2</v>
      </c>
      <c r="G64" s="59"/>
      <c r="H64" s="59">
        <v>0</v>
      </c>
      <c r="I64" s="59">
        <v>0</v>
      </c>
      <c r="J64" s="59">
        <v>0</v>
      </c>
      <c r="K64" s="59">
        <v>0</v>
      </c>
      <c r="L64" s="59">
        <v>0</v>
      </c>
      <c r="M64" s="59">
        <v>0</v>
      </c>
      <c r="N64" s="59">
        <v>0</v>
      </c>
    </row>
    <row r="65" spans="1:14">
      <c r="A65" s="59" t="s">
        <v>479</v>
      </c>
      <c r="B65" s="59" t="s">
        <v>496</v>
      </c>
      <c r="C65" s="59">
        <v>0.02</v>
      </c>
      <c r="D65" s="59">
        <v>0</v>
      </c>
      <c r="E65" s="59">
        <v>0</v>
      </c>
      <c r="F65" s="59">
        <v>4</v>
      </c>
      <c r="G65" s="59"/>
      <c r="H65" s="59">
        <v>0</v>
      </c>
      <c r="I65" s="59">
        <v>0</v>
      </c>
      <c r="J65" s="59">
        <v>0</v>
      </c>
      <c r="K65" s="59">
        <v>0</v>
      </c>
      <c r="L65" s="59">
        <v>0</v>
      </c>
      <c r="M65" s="59">
        <v>0</v>
      </c>
      <c r="N65" s="59">
        <v>0</v>
      </c>
    </row>
    <row r="66" spans="1:14">
      <c r="A66" s="59" t="s">
        <v>479</v>
      </c>
      <c r="B66" s="59" t="s">
        <v>497</v>
      </c>
      <c r="C66" s="59">
        <v>0.25</v>
      </c>
      <c r="D66" s="59">
        <v>0</v>
      </c>
      <c r="E66" s="59">
        <v>4</v>
      </c>
      <c r="F66" s="59">
        <v>11</v>
      </c>
      <c r="G66" s="59"/>
      <c r="H66" s="59">
        <v>0</v>
      </c>
      <c r="I66" s="59">
        <v>0</v>
      </c>
      <c r="J66" s="59">
        <v>0</v>
      </c>
      <c r="K66" s="59">
        <v>0</v>
      </c>
      <c r="L66" s="59">
        <v>0</v>
      </c>
      <c r="M66" s="59">
        <v>0</v>
      </c>
      <c r="N66" s="59">
        <v>0</v>
      </c>
    </row>
    <row r="67" spans="1:14">
      <c r="A67" s="59" t="s">
        <v>498</v>
      </c>
      <c r="B67" s="59" t="s">
        <v>499</v>
      </c>
      <c r="C67" s="59">
        <v>0.28000000000000003</v>
      </c>
      <c r="D67" s="59">
        <v>0</v>
      </c>
      <c r="E67" s="59">
        <v>5</v>
      </c>
      <c r="F67" s="59">
        <v>6.5</v>
      </c>
      <c r="G67" s="59"/>
      <c r="H67" s="59">
        <v>0</v>
      </c>
      <c r="I67" s="59">
        <v>0</v>
      </c>
      <c r="J67" s="59">
        <v>0</v>
      </c>
      <c r="K67" s="59">
        <v>0</v>
      </c>
      <c r="L67" s="59">
        <v>0</v>
      </c>
      <c r="M67" s="59">
        <v>0</v>
      </c>
      <c r="N67" s="59">
        <v>0</v>
      </c>
    </row>
    <row r="68" spans="1:14">
      <c r="A68" s="59" t="s">
        <v>498</v>
      </c>
      <c r="B68" s="59" t="s">
        <v>500</v>
      </c>
      <c r="C68" s="59">
        <v>0</v>
      </c>
      <c r="D68" s="59">
        <v>0</v>
      </c>
      <c r="E68" s="59">
        <v>0</v>
      </c>
      <c r="F68" s="59">
        <v>0</v>
      </c>
      <c r="G68" s="59"/>
      <c r="H68" s="59">
        <v>0</v>
      </c>
      <c r="I68" s="59">
        <v>0</v>
      </c>
      <c r="J68" s="59">
        <v>0</v>
      </c>
      <c r="K68" s="59">
        <v>0</v>
      </c>
      <c r="L68" s="59">
        <v>0</v>
      </c>
      <c r="M68" s="59">
        <v>0</v>
      </c>
      <c r="N68" s="59">
        <v>0</v>
      </c>
    </row>
    <row r="69" spans="1:14">
      <c r="A69" s="59" t="s">
        <v>498</v>
      </c>
      <c r="B69" s="59" t="s">
        <v>501</v>
      </c>
      <c r="C69" s="59">
        <v>0</v>
      </c>
      <c r="D69" s="59">
        <v>0</v>
      </c>
      <c r="E69" s="59">
        <v>0</v>
      </c>
      <c r="F69" s="59">
        <v>0</v>
      </c>
      <c r="G69" s="59"/>
      <c r="H69" s="59">
        <v>0</v>
      </c>
      <c r="I69" s="59">
        <v>0</v>
      </c>
      <c r="J69" s="59">
        <v>0</v>
      </c>
      <c r="K69" s="59">
        <v>0</v>
      </c>
      <c r="L69" s="59">
        <v>0</v>
      </c>
      <c r="M69" s="59">
        <v>0</v>
      </c>
      <c r="N69" s="59">
        <v>0</v>
      </c>
    </row>
    <row r="70" spans="1:14">
      <c r="A70" s="59" t="s">
        <v>498</v>
      </c>
      <c r="B70" s="59" t="s">
        <v>211</v>
      </c>
      <c r="C70" s="59">
        <v>0</v>
      </c>
      <c r="D70" s="59">
        <v>0</v>
      </c>
      <c r="E70" s="59">
        <v>0</v>
      </c>
      <c r="F70" s="59">
        <v>0</v>
      </c>
      <c r="G70" s="59"/>
      <c r="H70" s="59">
        <v>0</v>
      </c>
      <c r="I70" s="59">
        <v>0</v>
      </c>
      <c r="J70" s="59">
        <v>0</v>
      </c>
      <c r="K70" s="59">
        <v>0</v>
      </c>
      <c r="L70" s="59">
        <v>0</v>
      </c>
      <c r="M70" s="59">
        <v>0</v>
      </c>
      <c r="N70" s="59">
        <v>0</v>
      </c>
    </row>
    <row r="71" spans="1:14">
      <c r="A71" s="59" t="s">
        <v>498</v>
      </c>
      <c r="B71" s="59" t="s">
        <v>502</v>
      </c>
      <c r="C71" s="59">
        <v>0</v>
      </c>
      <c r="D71" s="59">
        <v>0</v>
      </c>
      <c r="E71" s="59">
        <v>0</v>
      </c>
      <c r="F71" s="59">
        <v>0</v>
      </c>
      <c r="G71" s="59"/>
      <c r="H71" s="59">
        <v>0</v>
      </c>
      <c r="I71" s="59">
        <v>0</v>
      </c>
      <c r="J71" s="59">
        <v>0</v>
      </c>
      <c r="K71" s="59">
        <v>0</v>
      </c>
      <c r="L71" s="59">
        <v>0</v>
      </c>
      <c r="M71" s="59">
        <v>0</v>
      </c>
      <c r="N71" s="59">
        <v>0</v>
      </c>
    </row>
    <row r="72" spans="1:14">
      <c r="A72" s="59" t="s">
        <v>498</v>
      </c>
      <c r="B72" s="59" t="s">
        <v>503</v>
      </c>
      <c r="C72" s="59">
        <v>0.15</v>
      </c>
      <c r="D72" s="59">
        <v>0</v>
      </c>
      <c r="E72" s="59">
        <v>3</v>
      </c>
      <c r="F72" s="59">
        <v>0</v>
      </c>
      <c r="G72" s="59"/>
      <c r="H72" s="59">
        <v>0</v>
      </c>
      <c r="I72" s="59">
        <v>0</v>
      </c>
      <c r="J72" s="59">
        <v>0</v>
      </c>
      <c r="K72" s="59">
        <v>0</v>
      </c>
      <c r="L72" s="59">
        <v>0</v>
      </c>
      <c r="M72" s="59">
        <v>0</v>
      </c>
      <c r="N72" s="59">
        <v>0</v>
      </c>
    </row>
    <row r="73" spans="1:14">
      <c r="A73" s="59" t="s">
        <v>498</v>
      </c>
      <c r="B73" s="59" t="s">
        <v>504</v>
      </c>
      <c r="C73" s="59">
        <v>0</v>
      </c>
      <c r="D73" s="59">
        <v>0</v>
      </c>
      <c r="E73" s="59">
        <v>0</v>
      </c>
      <c r="F73" s="59">
        <v>0</v>
      </c>
      <c r="G73" s="59"/>
      <c r="H73" s="59">
        <v>0</v>
      </c>
      <c r="I73" s="59">
        <v>0</v>
      </c>
      <c r="J73" s="59">
        <v>0</v>
      </c>
      <c r="K73" s="59">
        <v>0</v>
      </c>
      <c r="L73" s="59">
        <v>0</v>
      </c>
      <c r="M73" s="59">
        <v>0</v>
      </c>
      <c r="N73" s="59">
        <v>0</v>
      </c>
    </row>
    <row r="74" spans="1:14">
      <c r="A74" s="59" t="s">
        <v>498</v>
      </c>
      <c r="B74" s="59" t="s">
        <v>215</v>
      </c>
      <c r="C74" s="59">
        <v>1</v>
      </c>
      <c r="D74" s="59">
        <v>1</v>
      </c>
      <c r="E74" s="59">
        <v>0</v>
      </c>
      <c r="F74" s="59">
        <v>0</v>
      </c>
      <c r="G74" s="59"/>
      <c r="H74" s="59">
        <v>0</v>
      </c>
      <c r="I74" s="59">
        <v>0</v>
      </c>
      <c r="J74" s="59">
        <v>0</v>
      </c>
      <c r="K74" s="59">
        <v>0</v>
      </c>
      <c r="L74" s="59">
        <v>0</v>
      </c>
      <c r="M74" s="59">
        <v>0</v>
      </c>
      <c r="N74" s="59">
        <v>0</v>
      </c>
    </row>
    <row r="75" spans="1:14">
      <c r="A75" s="59" t="s">
        <v>498</v>
      </c>
      <c r="B75" s="59" t="s">
        <v>505</v>
      </c>
      <c r="C75" s="59">
        <v>0.67</v>
      </c>
      <c r="D75" s="59">
        <v>0</v>
      </c>
      <c r="E75" s="59">
        <v>13</v>
      </c>
      <c r="F75" s="59">
        <v>4</v>
      </c>
      <c r="G75" s="59"/>
      <c r="H75" s="59">
        <v>0</v>
      </c>
      <c r="I75" s="59">
        <v>0</v>
      </c>
      <c r="J75" s="59">
        <v>0</v>
      </c>
      <c r="K75" s="59">
        <v>0</v>
      </c>
      <c r="L75" s="59">
        <v>0</v>
      </c>
      <c r="M75" s="59">
        <v>0</v>
      </c>
      <c r="N75" s="59">
        <v>0</v>
      </c>
    </row>
    <row r="76" spans="1:14">
      <c r="A76" s="59" t="s">
        <v>498</v>
      </c>
      <c r="B76" s="59" t="s">
        <v>506</v>
      </c>
      <c r="C76" s="59">
        <v>0.15</v>
      </c>
      <c r="D76" s="59">
        <v>0</v>
      </c>
      <c r="E76" s="59">
        <v>3</v>
      </c>
      <c r="F76" s="59">
        <v>0</v>
      </c>
      <c r="G76" s="59"/>
      <c r="H76" s="59">
        <v>0</v>
      </c>
      <c r="I76" s="59">
        <v>0</v>
      </c>
      <c r="J76" s="59">
        <v>0</v>
      </c>
      <c r="K76" s="59">
        <v>0</v>
      </c>
      <c r="L76" s="59">
        <v>0</v>
      </c>
      <c r="M76" s="59">
        <v>0</v>
      </c>
      <c r="N76" s="59">
        <v>0</v>
      </c>
    </row>
    <row r="77" spans="1:14">
      <c r="A77" s="59" t="s">
        <v>498</v>
      </c>
      <c r="B77" s="59" t="s">
        <v>507</v>
      </c>
      <c r="C77" s="59">
        <v>0.67</v>
      </c>
      <c r="D77" s="59">
        <v>0</v>
      </c>
      <c r="E77" s="59">
        <v>13</v>
      </c>
      <c r="F77" s="59">
        <v>4</v>
      </c>
      <c r="G77" s="59"/>
      <c r="H77" s="59">
        <v>0</v>
      </c>
      <c r="I77" s="59">
        <v>0</v>
      </c>
      <c r="J77" s="59">
        <v>0</v>
      </c>
      <c r="K77" s="59">
        <v>0</v>
      </c>
      <c r="L77" s="59">
        <v>0</v>
      </c>
      <c r="M77" s="59">
        <v>0</v>
      </c>
      <c r="N77" s="59">
        <v>0</v>
      </c>
    </row>
    <row r="78" spans="1:14">
      <c r="A78" s="59" t="s">
        <v>498</v>
      </c>
      <c r="B78" s="59" t="s">
        <v>508</v>
      </c>
      <c r="C78" s="59">
        <v>0</v>
      </c>
      <c r="D78" s="59">
        <v>0</v>
      </c>
      <c r="E78" s="59">
        <v>0</v>
      </c>
      <c r="F78" s="59">
        <v>0</v>
      </c>
      <c r="G78" s="59"/>
      <c r="H78" s="59">
        <v>0</v>
      </c>
      <c r="I78" s="59">
        <v>0</v>
      </c>
      <c r="J78" s="59">
        <v>0</v>
      </c>
      <c r="K78" s="59">
        <v>0</v>
      </c>
      <c r="L78" s="59">
        <v>0</v>
      </c>
      <c r="M78" s="59">
        <v>0</v>
      </c>
      <c r="N78" s="59">
        <v>0</v>
      </c>
    </row>
    <row r="79" spans="1:14">
      <c r="A79" s="59" t="s">
        <v>498</v>
      </c>
      <c r="B79" s="59" t="s">
        <v>509</v>
      </c>
      <c r="C79" s="59">
        <v>0.3</v>
      </c>
      <c r="D79" s="59">
        <v>0</v>
      </c>
      <c r="E79" s="59">
        <v>6</v>
      </c>
      <c r="F79" s="59">
        <v>0</v>
      </c>
      <c r="G79" s="59"/>
      <c r="H79" s="59">
        <v>0</v>
      </c>
      <c r="I79" s="59">
        <v>0</v>
      </c>
      <c r="J79" s="59">
        <v>0</v>
      </c>
      <c r="K79" s="59">
        <v>0</v>
      </c>
      <c r="L79" s="59">
        <v>0</v>
      </c>
      <c r="M79" s="59">
        <v>0</v>
      </c>
      <c r="N79" s="59">
        <v>0</v>
      </c>
    </row>
    <row r="80" spans="1:14">
      <c r="A80" s="59" t="s">
        <v>498</v>
      </c>
      <c r="B80" s="59" t="s">
        <v>221</v>
      </c>
      <c r="C80" s="59">
        <v>0</v>
      </c>
      <c r="D80" s="59">
        <v>0</v>
      </c>
      <c r="E80" s="59">
        <v>0</v>
      </c>
      <c r="F80" s="59">
        <v>0</v>
      </c>
      <c r="G80" s="59"/>
      <c r="H80" s="59">
        <v>0</v>
      </c>
      <c r="I80" s="59">
        <v>0</v>
      </c>
      <c r="J80" s="59">
        <v>0</v>
      </c>
      <c r="K80" s="59">
        <v>0</v>
      </c>
      <c r="L80" s="59">
        <v>0</v>
      </c>
      <c r="M80" s="59">
        <v>0</v>
      </c>
      <c r="N80" s="59">
        <v>0</v>
      </c>
    </row>
    <row r="81" spans="1:14">
      <c r="A81" s="59" t="s">
        <v>498</v>
      </c>
      <c r="B81" s="59" t="s">
        <v>222</v>
      </c>
      <c r="C81" s="59">
        <v>0.08</v>
      </c>
      <c r="D81" s="59">
        <v>0</v>
      </c>
      <c r="E81" s="59">
        <v>1</v>
      </c>
      <c r="F81" s="59">
        <v>6</v>
      </c>
      <c r="G81" s="59"/>
      <c r="H81" s="59">
        <v>0</v>
      </c>
      <c r="I81" s="59">
        <v>0</v>
      </c>
      <c r="J81" s="59">
        <v>0</v>
      </c>
      <c r="K81" s="59">
        <v>0</v>
      </c>
      <c r="L81" s="59">
        <v>0</v>
      </c>
      <c r="M81" s="59">
        <v>0</v>
      </c>
      <c r="N81" s="59">
        <v>0</v>
      </c>
    </row>
    <row r="82" spans="1:14">
      <c r="A82" s="59" t="s">
        <v>498</v>
      </c>
      <c r="B82" s="59" t="s">
        <v>223</v>
      </c>
      <c r="C82" s="59">
        <v>0.08</v>
      </c>
      <c r="D82" s="59">
        <v>0</v>
      </c>
      <c r="E82" s="59">
        <v>1</v>
      </c>
      <c r="F82" s="59">
        <v>8</v>
      </c>
      <c r="G82" s="59"/>
      <c r="H82" s="59">
        <v>0</v>
      </c>
      <c r="I82" s="59">
        <v>0</v>
      </c>
      <c r="J82" s="59">
        <v>0</v>
      </c>
      <c r="K82" s="59">
        <v>0</v>
      </c>
      <c r="L82" s="59">
        <v>0</v>
      </c>
      <c r="M82" s="59">
        <v>0</v>
      </c>
      <c r="N82" s="59">
        <v>0</v>
      </c>
    </row>
    <row r="83" spans="1:14">
      <c r="A83" s="59" t="s">
        <v>498</v>
      </c>
      <c r="B83" s="59" t="s">
        <v>224</v>
      </c>
      <c r="C83" s="59">
        <v>0</v>
      </c>
      <c r="D83" s="59">
        <v>0</v>
      </c>
      <c r="E83" s="59">
        <v>0</v>
      </c>
      <c r="F83" s="59">
        <v>0</v>
      </c>
      <c r="G83" s="59"/>
      <c r="H83" s="59">
        <v>0</v>
      </c>
      <c r="I83" s="59">
        <v>0</v>
      </c>
      <c r="J83" s="59">
        <v>0</v>
      </c>
      <c r="K83" s="59">
        <v>0</v>
      </c>
      <c r="L83" s="59">
        <v>0</v>
      </c>
      <c r="M83" s="59">
        <v>0</v>
      </c>
      <c r="N83" s="59">
        <v>0</v>
      </c>
    </row>
    <row r="84" spans="1:14">
      <c r="A84" s="59" t="s">
        <v>498</v>
      </c>
      <c r="B84" s="59" t="s">
        <v>225</v>
      </c>
      <c r="C84" s="59">
        <v>0</v>
      </c>
      <c r="D84" s="59">
        <v>0</v>
      </c>
      <c r="E84" s="59">
        <v>0</v>
      </c>
      <c r="F84" s="59">
        <v>0</v>
      </c>
      <c r="G84" s="59"/>
      <c r="H84" s="59">
        <v>0</v>
      </c>
      <c r="I84" s="59">
        <v>0</v>
      </c>
      <c r="J84" s="59">
        <v>0</v>
      </c>
      <c r="K84" s="59">
        <v>0</v>
      </c>
      <c r="L84" s="59">
        <v>0</v>
      </c>
      <c r="M84" s="59">
        <v>0</v>
      </c>
      <c r="N84" s="59">
        <v>0</v>
      </c>
    </row>
    <row r="85" spans="1:14">
      <c r="A85" s="59" t="s">
        <v>498</v>
      </c>
      <c r="B85" s="59" t="s">
        <v>226</v>
      </c>
      <c r="C85" s="59">
        <v>0</v>
      </c>
      <c r="D85" s="59">
        <v>0</v>
      </c>
      <c r="E85" s="59">
        <v>0</v>
      </c>
      <c r="F85" s="59">
        <v>0</v>
      </c>
      <c r="G85" s="59"/>
      <c r="H85" s="59">
        <v>0</v>
      </c>
      <c r="I85" s="59">
        <v>0</v>
      </c>
      <c r="J85" s="59">
        <v>0</v>
      </c>
      <c r="K85" s="59">
        <v>0</v>
      </c>
      <c r="L85" s="59">
        <v>0</v>
      </c>
      <c r="M85" s="59">
        <v>0</v>
      </c>
      <c r="N85" s="59">
        <v>0</v>
      </c>
    </row>
    <row r="86" spans="1:14">
      <c r="A86" s="59" t="s">
        <v>498</v>
      </c>
      <c r="B86" s="59" t="s">
        <v>227</v>
      </c>
      <c r="C86" s="59">
        <v>0</v>
      </c>
      <c r="D86" s="59">
        <v>0</v>
      </c>
      <c r="E86" s="59">
        <v>0</v>
      </c>
      <c r="F86" s="59">
        <v>0</v>
      </c>
      <c r="G86" s="59"/>
      <c r="H86" s="59">
        <v>0</v>
      </c>
      <c r="I86" s="59">
        <v>0</v>
      </c>
      <c r="J86" s="59">
        <v>0</v>
      </c>
      <c r="K86" s="59">
        <v>0</v>
      </c>
      <c r="L86" s="59">
        <v>0</v>
      </c>
      <c r="M86" s="59">
        <v>0</v>
      </c>
      <c r="N86" s="59">
        <v>0</v>
      </c>
    </row>
    <row r="87" spans="1:14">
      <c r="A87" s="59" t="s">
        <v>498</v>
      </c>
      <c r="B87" s="59" t="s">
        <v>228</v>
      </c>
      <c r="C87" s="59">
        <v>0</v>
      </c>
      <c r="D87" s="59">
        <v>0</v>
      </c>
      <c r="E87" s="59">
        <v>0</v>
      </c>
      <c r="F87" s="59">
        <v>0</v>
      </c>
      <c r="G87" s="59"/>
      <c r="H87" s="59">
        <v>0</v>
      </c>
      <c r="I87" s="59">
        <v>0</v>
      </c>
      <c r="J87" s="59">
        <v>0</v>
      </c>
      <c r="K87" s="59">
        <v>0</v>
      </c>
      <c r="L87" s="59">
        <v>0</v>
      </c>
      <c r="M87" s="59">
        <v>0</v>
      </c>
      <c r="N87" s="59">
        <v>0</v>
      </c>
    </row>
    <row r="88" spans="1:14">
      <c r="A88" s="59" t="s">
        <v>498</v>
      </c>
      <c r="B88" s="59" t="s">
        <v>229</v>
      </c>
      <c r="C88" s="59">
        <v>0.05</v>
      </c>
      <c r="D88" s="59">
        <v>0</v>
      </c>
      <c r="E88" s="59">
        <v>1</v>
      </c>
      <c r="F88" s="59">
        <v>0</v>
      </c>
      <c r="G88" s="59"/>
      <c r="H88" s="59">
        <v>0</v>
      </c>
      <c r="I88" s="59">
        <v>0</v>
      </c>
      <c r="J88" s="59">
        <v>0</v>
      </c>
      <c r="K88" s="59">
        <v>0</v>
      </c>
      <c r="L88" s="59">
        <v>0</v>
      </c>
      <c r="M88" s="59">
        <v>0</v>
      </c>
      <c r="N88" s="59">
        <v>0</v>
      </c>
    </row>
    <row r="89" spans="1:14">
      <c r="A89" s="59" t="s">
        <v>498</v>
      </c>
      <c r="B89" s="59" t="s">
        <v>230</v>
      </c>
      <c r="C89" s="59">
        <v>0.17</v>
      </c>
      <c r="D89" s="59">
        <v>0</v>
      </c>
      <c r="E89" s="59">
        <v>3</v>
      </c>
      <c r="F89" s="59">
        <v>4</v>
      </c>
      <c r="G89" s="59"/>
      <c r="H89" s="59">
        <v>0</v>
      </c>
      <c r="I89" s="59">
        <v>0</v>
      </c>
      <c r="J89" s="59">
        <v>0</v>
      </c>
      <c r="K89" s="59">
        <v>0</v>
      </c>
      <c r="L89" s="59">
        <v>0</v>
      </c>
      <c r="M89" s="59">
        <v>0</v>
      </c>
      <c r="N89" s="59">
        <v>0</v>
      </c>
    </row>
    <row r="90" spans="1:14">
      <c r="A90" s="59" t="s">
        <v>498</v>
      </c>
      <c r="B90" s="59" t="s">
        <v>231</v>
      </c>
      <c r="C90" s="59">
        <v>0.03</v>
      </c>
      <c r="D90" s="59">
        <v>0</v>
      </c>
      <c r="E90" s="59">
        <v>0</v>
      </c>
      <c r="F90" s="59">
        <v>6</v>
      </c>
      <c r="G90" s="59"/>
      <c r="H90" s="59">
        <v>0</v>
      </c>
      <c r="I90" s="59">
        <v>0</v>
      </c>
      <c r="J90" s="59">
        <v>0</v>
      </c>
      <c r="K90" s="59">
        <v>0</v>
      </c>
      <c r="L90" s="59">
        <v>0</v>
      </c>
      <c r="M90" s="59">
        <v>0</v>
      </c>
      <c r="N90" s="59">
        <v>0</v>
      </c>
    </row>
    <row r="91" spans="1:14">
      <c r="A91" s="59" t="s">
        <v>498</v>
      </c>
      <c r="B91" s="59" t="s">
        <v>510</v>
      </c>
      <c r="C91" s="59">
        <v>2.13</v>
      </c>
      <c r="D91" s="59">
        <v>2</v>
      </c>
      <c r="E91" s="59">
        <v>2</v>
      </c>
      <c r="F91" s="59">
        <v>7.5</v>
      </c>
      <c r="G91" s="59"/>
      <c r="H91" s="59">
        <v>0</v>
      </c>
      <c r="I91" s="59">
        <v>0</v>
      </c>
      <c r="J91" s="59">
        <v>0</v>
      </c>
      <c r="K91" s="59">
        <v>0</v>
      </c>
      <c r="L91" s="59">
        <v>0</v>
      </c>
      <c r="M91" s="59">
        <v>0</v>
      </c>
      <c r="N91" s="59">
        <v>0</v>
      </c>
    </row>
    <row r="92" spans="1:14">
      <c r="A92" s="59" t="s">
        <v>511</v>
      </c>
      <c r="B92" s="59" t="s">
        <v>512</v>
      </c>
      <c r="C92" s="59">
        <v>0.5</v>
      </c>
      <c r="D92" s="59">
        <v>0</v>
      </c>
      <c r="E92" s="59">
        <v>10</v>
      </c>
      <c r="F92" s="59">
        <v>0</v>
      </c>
      <c r="G92" s="59"/>
      <c r="H92" s="59">
        <v>0</v>
      </c>
      <c r="I92" s="59">
        <v>0</v>
      </c>
      <c r="J92" s="59">
        <v>0</v>
      </c>
      <c r="K92" s="59">
        <v>0</v>
      </c>
      <c r="L92" s="59">
        <v>0</v>
      </c>
      <c r="M92" s="59">
        <v>0</v>
      </c>
      <c r="N92" s="59">
        <v>0</v>
      </c>
    </row>
    <row r="93" spans="1:14">
      <c r="A93" s="59" t="s">
        <v>511</v>
      </c>
      <c r="B93" s="59" t="s">
        <v>513</v>
      </c>
      <c r="C93" s="59">
        <v>0.35</v>
      </c>
      <c r="D93" s="59">
        <v>0</v>
      </c>
      <c r="E93" s="59">
        <v>7</v>
      </c>
      <c r="F93" s="59">
        <v>1</v>
      </c>
      <c r="G93" s="59"/>
      <c r="H93" s="59">
        <v>0</v>
      </c>
      <c r="I93" s="59">
        <v>0</v>
      </c>
      <c r="J93" s="59">
        <v>0</v>
      </c>
      <c r="K93" s="59">
        <v>0</v>
      </c>
      <c r="L93" s="59">
        <v>0</v>
      </c>
      <c r="M93" s="59">
        <v>0</v>
      </c>
      <c r="N93" s="59">
        <v>0</v>
      </c>
    </row>
    <row r="94" spans="1:14">
      <c r="A94" s="59" t="s">
        <v>511</v>
      </c>
      <c r="B94" s="59" t="s">
        <v>514</v>
      </c>
      <c r="C94" s="59">
        <v>0.53</v>
      </c>
      <c r="D94" s="59">
        <v>0</v>
      </c>
      <c r="E94" s="59">
        <v>10</v>
      </c>
      <c r="F94" s="59">
        <v>8</v>
      </c>
      <c r="G94" s="59"/>
      <c r="H94" s="59">
        <v>0</v>
      </c>
      <c r="I94" s="59">
        <v>0</v>
      </c>
      <c r="J94" s="59">
        <v>0</v>
      </c>
      <c r="K94" s="59">
        <v>0</v>
      </c>
      <c r="L94" s="59">
        <v>0</v>
      </c>
      <c r="M94" s="59">
        <v>0</v>
      </c>
      <c r="N94" s="59">
        <v>0</v>
      </c>
    </row>
    <row r="95" spans="1:14">
      <c r="A95" s="59" t="s">
        <v>511</v>
      </c>
      <c r="B95" s="59" t="s">
        <v>515</v>
      </c>
      <c r="C95" s="59">
        <v>0.95</v>
      </c>
      <c r="D95" s="59">
        <v>0</v>
      </c>
      <c r="E95" s="59">
        <v>19</v>
      </c>
      <c r="F95" s="59">
        <v>1</v>
      </c>
      <c r="G95" s="59"/>
      <c r="H95" s="59">
        <v>0</v>
      </c>
      <c r="I95" s="59">
        <v>0</v>
      </c>
      <c r="J95" s="59">
        <v>0</v>
      </c>
      <c r="K95" s="59">
        <v>0</v>
      </c>
      <c r="L95" s="59">
        <v>0</v>
      </c>
      <c r="M95" s="59">
        <v>0</v>
      </c>
      <c r="N95" s="59">
        <v>0</v>
      </c>
    </row>
    <row r="96" spans="1:14">
      <c r="A96" s="59" t="s">
        <v>511</v>
      </c>
      <c r="B96" s="59" t="s">
        <v>516</v>
      </c>
      <c r="C96" s="59">
        <v>0.6</v>
      </c>
      <c r="D96" s="59">
        <v>0</v>
      </c>
      <c r="E96" s="59">
        <v>12</v>
      </c>
      <c r="F96" s="59">
        <v>0</v>
      </c>
      <c r="G96" s="59"/>
      <c r="H96" s="59">
        <v>0</v>
      </c>
      <c r="I96" s="59">
        <v>0</v>
      </c>
      <c r="J96" s="59">
        <v>0</v>
      </c>
      <c r="K96" s="59">
        <v>0</v>
      </c>
      <c r="L96" s="59">
        <v>0</v>
      </c>
      <c r="M96" s="59">
        <v>0</v>
      </c>
      <c r="N96" s="59">
        <v>0</v>
      </c>
    </row>
    <row r="97" spans="1:14">
      <c r="A97" s="59" t="s">
        <v>511</v>
      </c>
      <c r="B97" s="59" t="s">
        <v>517</v>
      </c>
      <c r="C97" s="59">
        <v>0.63</v>
      </c>
      <c r="D97" s="59">
        <v>0</v>
      </c>
      <c r="E97" s="59">
        <v>12</v>
      </c>
      <c r="F97" s="59">
        <v>8</v>
      </c>
      <c r="G97" s="59"/>
      <c r="H97" s="59">
        <v>0</v>
      </c>
      <c r="I97" s="59">
        <v>0</v>
      </c>
      <c r="J97" s="59">
        <v>0</v>
      </c>
      <c r="K97" s="59">
        <v>0</v>
      </c>
      <c r="L97" s="59">
        <v>0</v>
      </c>
      <c r="M97" s="59">
        <v>0</v>
      </c>
      <c r="N97" s="59">
        <v>0</v>
      </c>
    </row>
    <row r="98" spans="1:14">
      <c r="A98" s="59" t="s">
        <v>511</v>
      </c>
      <c r="B98" s="59" t="s">
        <v>518</v>
      </c>
      <c r="C98" s="59">
        <v>0.7</v>
      </c>
      <c r="D98" s="59">
        <v>0</v>
      </c>
      <c r="E98" s="59">
        <v>14</v>
      </c>
      <c r="F98" s="59">
        <v>0</v>
      </c>
      <c r="G98" s="59"/>
      <c r="H98" s="59">
        <v>0</v>
      </c>
      <c r="I98" s="59">
        <v>0</v>
      </c>
      <c r="J98" s="59">
        <v>0</v>
      </c>
      <c r="K98" s="59">
        <v>0</v>
      </c>
      <c r="L98" s="59">
        <v>0</v>
      </c>
      <c r="M98" s="59">
        <v>0</v>
      </c>
      <c r="N98" s="59">
        <v>0</v>
      </c>
    </row>
    <row r="99" spans="1:14">
      <c r="A99" s="59" t="s">
        <v>456</v>
      </c>
      <c r="B99" s="59" t="s">
        <v>519</v>
      </c>
      <c r="C99" s="59">
        <v>0.7</v>
      </c>
      <c r="D99" s="59">
        <v>0</v>
      </c>
      <c r="E99" s="59">
        <v>14</v>
      </c>
      <c r="F99" s="59">
        <v>0</v>
      </c>
      <c r="G99" s="59"/>
      <c r="H99" s="59">
        <v>0</v>
      </c>
      <c r="I99" s="59">
        <v>0</v>
      </c>
      <c r="J99" s="59">
        <v>0</v>
      </c>
      <c r="K99" s="59">
        <v>0</v>
      </c>
      <c r="L99" s="59">
        <v>0</v>
      </c>
      <c r="M99" s="59">
        <v>0</v>
      </c>
      <c r="N99" s="59">
        <v>0</v>
      </c>
    </row>
    <row r="100" spans="1:14">
      <c r="A100" s="59" t="s">
        <v>456</v>
      </c>
      <c r="B100" s="59" t="s">
        <v>520</v>
      </c>
      <c r="C100" s="59">
        <v>0.67</v>
      </c>
      <c r="D100" s="59">
        <v>0</v>
      </c>
      <c r="E100" s="59">
        <v>13</v>
      </c>
      <c r="F100" s="59">
        <v>4</v>
      </c>
      <c r="G100" s="59"/>
      <c r="H100" s="59">
        <v>0</v>
      </c>
      <c r="I100" s="59">
        <v>0</v>
      </c>
      <c r="J100" s="59">
        <v>0</v>
      </c>
      <c r="K100" s="59">
        <v>0</v>
      </c>
      <c r="L100" s="59">
        <v>0</v>
      </c>
      <c r="M100" s="59">
        <v>0</v>
      </c>
      <c r="N100" s="59">
        <v>0</v>
      </c>
    </row>
    <row r="101" spans="1:14">
      <c r="A101" s="59" t="s">
        <v>456</v>
      </c>
      <c r="B101" s="59" t="s">
        <v>521</v>
      </c>
      <c r="C101" s="59">
        <v>0.6</v>
      </c>
      <c r="D101" s="59">
        <v>0</v>
      </c>
      <c r="E101" s="59">
        <v>12</v>
      </c>
      <c r="F101" s="59">
        <v>0</v>
      </c>
      <c r="G101" s="59"/>
      <c r="H101" s="59">
        <v>0</v>
      </c>
      <c r="I101" s="59">
        <v>0</v>
      </c>
      <c r="J101" s="59">
        <v>0</v>
      </c>
      <c r="K101" s="59">
        <v>0</v>
      </c>
      <c r="L101" s="59">
        <v>0</v>
      </c>
      <c r="M101" s="59">
        <v>0</v>
      </c>
      <c r="N101" s="59">
        <v>0</v>
      </c>
    </row>
    <row r="102" spans="1:14">
      <c r="A102" s="59" t="s">
        <v>456</v>
      </c>
      <c r="B102" s="59" t="s">
        <v>522</v>
      </c>
      <c r="C102" s="59">
        <v>0.9</v>
      </c>
      <c r="D102" s="59">
        <v>0</v>
      </c>
      <c r="E102" s="59">
        <v>18</v>
      </c>
      <c r="F102" s="59">
        <v>0</v>
      </c>
      <c r="G102" s="59"/>
      <c r="H102" s="59">
        <v>0</v>
      </c>
      <c r="I102" s="59">
        <v>0</v>
      </c>
      <c r="J102" s="59">
        <v>0</v>
      </c>
      <c r="K102" s="59">
        <v>0</v>
      </c>
      <c r="L102" s="59">
        <v>0</v>
      </c>
      <c r="M102" s="59">
        <v>0</v>
      </c>
      <c r="N102" s="59">
        <v>0</v>
      </c>
    </row>
    <row r="103" spans="1:14">
      <c r="A103" s="59" t="s">
        <v>456</v>
      </c>
      <c r="B103" s="59" t="s">
        <v>523</v>
      </c>
      <c r="C103" s="59">
        <v>0.6</v>
      </c>
      <c r="D103" s="59">
        <v>0</v>
      </c>
      <c r="E103" s="59">
        <v>12</v>
      </c>
      <c r="F103" s="59">
        <v>0</v>
      </c>
      <c r="G103" s="59"/>
      <c r="H103" s="59">
        <v>0</v>
      </c>
      <c r="I103" s="59">
        <v>0</v>
      </c>
      <c r="J103" s="59">
        <v>0</v>
      </c>
      <c r="K103" s="59">
        <v>0</v>
      </c>
      <c r="L103" s="59">
        <v>0</v>
      </c>
      <c r="M103" s="59">
        <v>0</v>
      </c>
      <c r="N103" s="59">
        <v>0</v>
      </c>
    </row>
    <row r="104" spans="1:14">
      <c r="A104" s="59" t="s">
        <v>456</v>
      </c>
      <c r="B104" s="59" t="s">
        <v>524</v>
      </c>
      <c r="C104" s="59">
        <v>0.5</v>
      </c>
      <c r="D104" s="59">
        <v>0</v>
      </c>
      <c r="E104" s="59">
        <v>10</v>
      </c>
      <c r="F104" s="59">
        <v>0</v>
      </c>
      <c r="G104" s="59"/>
      <c r="H104" s="59">
        <v>0</v>
      </c>
      <c r="I104" s="59">
        <v>0</v>
      </c>
      <c r="J104" s="59">
        <v>0</v>
      </c>
      <c r="K104" s="59">
        <v>0</v>
      </c>
      <c r="L104" s="59">
        <v>0</v>
      </c>
      <c r="M104" s="59">
        <v>0</v>
      </c>
      <c r="N104" s="59">
        <v>0</v>
      </c>
    </row>
    <row r="105" spans="1:14">
      <c r="A105" s="59" t="s">
        <v>456</v>
      </c>
      <c r="B105" s="59" t="s">
        <v>525</v>
      </c>
      <c r="C105" s="59">
        <v>8.19</v>
      </c>
      <c r="D105" s="59">
        <v>8</v>
      </c>
      <c r="E105" s="59">
        <v>3</v>
      </c>
      <c r="F105" s="59">
        <v>10</v>
      </c>
      <c r="G105" s="59"/>
      <c r="H105" s="59">
        <v>0</v>
      </c>
      <c r="I105" s="59">
        <v>0</v>
      </c>
      <c r="J105" s="59">
        <v>0</v>
      </c>
      <c r="K105" s="59">
        <v>0</v>
      </c>
      <c r="L105" s="59">
        <v>0</v>
      </c>
      <c r="M105" s="59">
        <v>0</v>
      </c>
      <c r="N105" s="59">
        <v>0</v>
      </c>
    </row>
    <row r="106" spans="1:14">
      <c r="A106" s="59" t="s">
        <v>526</v>
      </c>
      <c r="B106" s="59" t="s">
        <v>527</v>
      </c>
      <c r="C106" s="59">
        <v>1.05</v>
      </c>
      <c r="D106" s="59">
        <v>1</v>
      </c>
      <c r="E106" s="59">
        <v>1</v>
      </c>
      <c r="F106" s="59">
        <v>0</v>
      </c>
      <c r="G106" s="59"/>
      <c r="H106" s="59">
        <v>0</v>
      </c>
      <c r="I106" s="59">
        <v>0</v>
      </c>
      <c r="J106" s="59">
        <v>0</v>
      </c>
      <c r="K106" s="59">
        <v>0</v>
      </c>
      <c r="L106" s="59">
        <v>0</v>
      </c>
      <c r="M106" s="59">
        <v>0</v>
      </c>
      <c r="N106" s="59">
        <v>0</v>
      </c>
    </row>
    <row r="107" spans="1:14">
      <c r="A107" s="59" t="s">
        <v>526</v>
      </c>
      <c r="B107" s="59" t="s">
        <v>528</v>
      </c>
      <c r="C107" s="59">
        <v>16.649999999999999</v>
      </c>
      <c r="D107" s="59">
        <v>16</v>
      </c>
      <c r="E107" s="59">
        <v>13</v>
      </c>
      <c r="F107" s="59">
        <v>0</v>
      </c>
      <c r="G107" s="59"/>
      <c r="H107" s="59">
        <v>0</v>
      </c>
      <c r="I107" s="59">
        <v>0</v>
      </c>
      <c r="J107" s="59">
        <v>0</v>
      </c>
      <c r="K107" s="59">
        <v>0</v>
      </c>
      <c r="L107" s="59">
        <v>0</v>
      </c>
      <c r="M107" s="59">
        <v>0</v>
      </c>
      <c r="N107" s="59">
        <v>0</v>
      </c>
    </row>
    <row r="108" spans="1:14">
      <c r="A108" s="59" t="s">
        <v>526</v>
      </c>
      <c r="B108" s="59" t="s">
        <v>529</v>
      </c>
      <c r="C108" s="59">
        <v>0.33</v>
      </c>
      <c r="D108" s="59">
        <v>0</v>
      </c>
      <c r="E108" s="59">
        <v>6</v>
      </c>
      <c r="F108" s="59">
        <v>8</v>
      </c>
      <c r="G108" s="59"/>
      <c r="H108" s="59">
        <v>0</v>
      </c>
      <c r="I108" s="59">
        <v>0</v>
      </c>
      <c r="J108" s="59">
        <v>0</v>
      </c>
      <c r="K108" s="59">
        <v>0</v>
      </c>
      <c r="L108" s="59">
        <v>0</v>
      </c>
      <c r="M108" s="59">
        <v>0</v>
      </c>
      <c r="N108" s="59">
        <v>0</v>
      </c>
    </row>
    <row r="109" spans="1:14">
      <c r="A109" s="59" t="s">
        <v>526</v>
      </c>
      <c r="B109" s="59" t="s">
        <v>530</v>
      </c>
      <c r="C109" s="59">
        <v>0.17</v>
      </c>
      <c r="D109" s="59">
        <v>0</v>
      </c>
      <c r="E109" s="59">
        <v>3</v>
      </c>
      <c r="F109" s="59">
        <v>6</v>
      </c>
      <c r="G109" s="59"/>
      <c r="H109" s="59">
        <v>0</v>
      </c>
      <c r="I109" s="59">
        <v>0</v>
      </c>
      <c r="J109" s="59">
        <v>0</v>
      </c>
      <c r="K109" s="59">
        <v>0</v>
      </c>
      <c r="L109" s="59">
        <v>0</v>
      </c>
      <c r="M109" s="59">
        <v>0</v>
      </c>
      <c r="N109" s="59">
        <v>0</v>
      </c>
    </row>
    <row r="110" spans="1:14">
      <c r="A110" s="59" t="s">
        <v>526</v>
      </c>
      <c r="B110" s="59" t="s">
        <v>531</v>
      </c>
      <c r="C110" s="59">
        <v>0.41</v>
      </c>
      <c r="D110" s="59">
        <v>0</v>
      </c>
      <c r="E110" s="59">
        <v>8</v>
      </c>
      <c r="F110" s="59">
        <v>3</v>
      </c>
      <c r="G110" s="59"/>
      <c r="H110" s="59">
        <v>0</v>
      </c>
      <c r="I110" s="59">
        <v>0</v>
      </c>
      <c r="J110" s="59">
        <v>0</v>
      </c>
      <c r="K110" s="59">
        <v>0</v>
      </c>
      <c r="L110" s="59">
        <v>0</v>
      </c>
      <c r="M110" s="59">
        <v>0</v>
      </c>
      <c r="N110" s="59">
        <v>0</v>
      </c>
    </row>
    <row r="111" spans="1:14">
      <c r="A111" s="59" t="s">
        <v>526</v>
      </c>
      <c r="B111" s="59" t="s">
        <v>532</v>
      </c>
      <c r="C111" s="59">
        <v>0.8</v>
      </c>
      <c r="D111" s="59">
        <v>0</v>
      </c>
      <c r="E111" s="59">
        <v>16</v>
      </c>
      <c r="F111" s="59">
        <v>0</v>
      </c>
      <c r="G111" s="59"/>
      <c r="H111" s="59">
        <v>0</v>
      </c>
      <c r="I111" s="59">
        <v>0</v>
      </c>
      <c r="J111" s="59">
        <v>0</v>
      </c>
      <c r="K111" s="59">
        <v>0</v>
      </c>
      <c r="L111" s="59">
        <v>0</v>
      </c>
      <c r="M111" s="59">
        <v>0</v>
      </c>
      <c r="N111" s="59">
        <v>0</v>
      </c>
    </row>
    <row r="112" spans="1:14">
      <c r="A112" s="59" t="s">
        <v>526</v>
      </c>
      <c r="B112" s="59" t="s">
        <v>533</v>
      </c>
      <c r="C112" s="59">
        <v>19.41</v>
      </c>
      <c r="D112" s="59">
        <v>19</v>
      </c>
      <c r="E112" s="59">
        <v>8</v>
      </c>
      <c r="F112" s="59">
        <v>2</v>
      </c>
      <c r="G112" s="59"/>
      <c r="H112" s="59">
        <v>0</v>
      </c>
      <c r="I112" s="59">
        <v>0</v>
      </c>
      <c r="J112" s="59">
        <v>0</v>
      </c>
      <c r="K112" s="59">
        <v>0</v>
      </c>
      <c r="L112" s="59">
        <v>0</v>
      </c>
      <c r="M112" s="59">
        <v>0</v>
      </c>
      <c r="N112" s="59">
        <v>0</v>
      </c>
    </row>
    <row r="113" spans="1:14">
      <c r="A113" s="59" t="s">
        <v>534</v>
      </c>
      <c r="B113" s="59" t="s">
        <v>535</v>
      </c>
      <c r="C113" s="59">
        <v>0</v>
      </c>
      <c r="D113" s="59">
        <v>0</v>
      </c>
      <c r="E113" s="59">
        <v>0</v>
      </c>
      <c r="F113" s="59">
        <v>0</v>
      </c>
      <c r="G113" s="59"/>
      <c r="H113" s="59">
        <v>0</v>
      </c>
      <c r="I113" s="59">
        <v>0</v>
      </c>
      <c r="J113" s="59">
        <v>0</v>
      </c>
      <c r="K113" s="59">
        <v>0</v>
      </c>
      <c r="L113" s="59">
        <v>0</v>
      </c>
      <c r="M113" s="59">
        <v>0</v>
      </c>
      <c r="N113" s="59">
        <v>0</v>
      </c>
    </row>
    <row r="114" spans="1:14">
      <c r="A114" s="59" t="s">
        <v>536</v>
      </c>
      <c r="B114" s="59" t="s">
        <v>537</v>
      </c>
      <c r="C114" s="59">
        <v>0.53</v>
      </c>
      <c r="D114" s="59">
        <v>0</v>
      </c>
      <c r="E114" s="59">
        <v>10</v>
      </c>
      <c r="F114" s="59">
        <v>6</v>
      </c>
      <c r="G114" s="59"/>
      <c r="H114" s="59">
        <v>0</v>
      </c>
      <c r="I114" s="59">
        <v>0</v>
      </c>
      <c r="J114" s="59">
        <v>0</v>
      </c>
      <c r="K114" s="59">
        <v>0</v>
      </c>
      <c r="L114" s="59">
        <v>0</v>
      </c>
      <c r="M114" s="59">
        <v>0</v>
      </c>
      <c r="N114" s="59">
        <v>0</v>
      </c>
    </row>
    <row r="115" spans="1:14">
      <c r="A115" s="59" t="s">
        <v>536</v>
      </c>
      <c r="B115" s="59" t="s">
        <v>238</v>
      </c>
      <c r="C115" s="59">
        <v>0.25</v>
      </c>
      <c r="D115" s="59">
        <v>0</v>
      </c>
      <c r="E115" s="59">
        <v>5</v>
      </c>
      <c r="F115" s="59">
        <v>0</v>
      </c>
      <c r="G115" s="59"/>
      <c r="H115" s="59">
        <v>0</v>
      </c>
      <c r="I115" s="59">
        <v>0</v>
      </c>
      <c r="J115" s="59">
        <v>0</v>
      </c>
      <c r="K115" s="59">
        <v>0</v>
      </c>
      <c r="L115" s="59">
        <v>0</v>
      </c>
      <c r="M115" s="59">
        <v>0</v>
      </c>
      <c r="N115" s="59">
        <v>0</v>
      </c>
    </row>
    <row r="116" spans="1:14">
      <c r="A116" s="59" t="s">
        <v>536</v>
      </c>
      <c r="B116" s="59" t="s">
        <v>239</v>
      </c>
      <c r="C116" s="59">
        <v>1.5</v>
      </c>
      <c r="D116" s="59">
        <v>1</v>
      </c>
      <c r="E116" s="59">
        <v>10</v>
      </c>
      <c r="F116" s="59">
        <v>0</v>
      </c>
      <c r="G116" s="59"/>
      <c r="H116" s="59">
        <v>0</v>
      </c>
      <c r="I116" s="59">
        <v>0</v>
      </c>
      <c r="J116" s="59">
        <v>0</v>
      </c>
      <c r="K116" s="59">
        <v>0</v>
      </c>
      <c r="L116" s="59">
        <v>0</v>
      </c>
      <c r="M116" s="59">
        <v>0</v>
      </c>
      <c r="N116" s="59">
        <v>0</v>
      </c>
    </row>
    <row r="117" spans="1:14">
      <c r="A117" s="59" t="s">
        <v>536</v>
      </c>
      <c r="B117" s="59" t="s">
        <v>240</v>
      </c>
      <c r="C117" s="59">
        <v>0.03</v>
      </c>
      <c r="D117" s="59">
        <v>0</v>
      </c>
      <c r="E117" s="59">
        <v>0</v>
      </c>
      <c r="F117" s="59">
        <v>8</v>
      </c>
      <c r="G117" s="59"/>
      <c r="H117" s="59">
        <v>0</v>
      </c>
      <c r="I117" s="59">
        <v>0</v>
      </c>
      <c r="J117" s="59">
        <v>0</v>
      </c>
      <c r="K117" s="59">
        <v>0</v>
      </c>
      <c r="L117" s="59">
        <v>0</v>
      </c>
      <c r="M117" s="59">
        <v>0</v>
      </c>
      <c r="N117" s="59">
        <v>0</v>
      </c>
    </row>
    <row r="118" spans="1:14">
      <c r="A118" s="59" t="s">
        <v>536</v>
      </c>
      <c r="B118" s="59" t="s">
        <v>538</v>
      </c>
      <c r="C118" s="59">
        <v>2.31</v>
      </c>
      <c r="D118" s="59">
        <v>2</v>
      </c>
      <c r="E118" s="59">
        <v>6</v>
      </c>
      <c r="F118" s="59">
        <v>2</v>
      </c>
      <c r="G118" s="59"/>
      <c r="H118" s="59">
        <v>0</v>
      </c>
      <c r="I118" s="59">
        <v>0</v>
      </c>
      <c r="J118" s="59">
        <v>0</v>
      </c>
      <c r="K118" s="59">
        <v>0</v>
      </c>
      <c r="L118" s="59">
        <v>0</v>
      </c>
      <c r="M118" s="59">
        <v>0</v>
      </c>
      <c r="N118" s="59">
        <v>0</v>
      </c>
    </row>
    <row r="119" spans="1:14">
      <c r="A119" s="59" t="s">
        <v>539</v>
      </c>
      <c r="B119" s="59" t="s">
        <v>540</v>
      </c>
      <c r="C119" s="59">
        <v>1</v>
      </c>
      <c r="D119" s="59">
        <v>1</v>
      </c>
      <c r="E119" s="59">
        <v>0</v>
      </c>
      <c r="F119" s="59">
        <v>0</v>
      </c>
      <c r="G119" s="59"/>
      <c r="H119" s="59">
        <v>0</v>
      </c>
      <c r="I119" s="59">
        <v>0</v>
      </c>
      <c r="J119" s="59">
        <v>0</v>
      </c>
      <c r="K119" s="59">
        <v>0</v>
      </c>
      <c r="L119" s="59">
        <v>0</v>
      </c>
      <c r="M119" s="59">
        <v>0</v>
      </c>
      <c r="N119" s="59">
        <v>0</v>
      </c>
    </row>
    <row r="120" spans="1:14">
      <c r="A120" s="59" t="s">
        <v>539</v>
      </c>
      <c r="B120" s="59" t="s">
        <v>541</v>
      </c>
      <c r="C120" s="59">
        <v>1</v>
      </c>
      <c r="D120" s="59">
        <v>1</v>
      </c>
      <c r="E120" s="59">
        <v>0</v>
      </c>
      <c r="F120" s="59">
        <v>0</v>
      </c>
      <c r="G120" s="59"/>
      <c r="H120" s="59">
        <v>0</v>
      </c>
      <c r="I120" s="59">
        <v>0</v>
      </c>
      <c r="J120" s="59">
        <v>0</v>
      </c>
      <c r="K120" s="59">
        <v>0</v>
      </c>
      <c r="L120" s="59">
        <v>0</v>
      </c>
      <c r="M120" s="59">
        <v>0</v>
      </c>
      <c r="N120" s="59">
        <v>0</v>
      </c>
    </row>
    <row r="121" spans="1:14">
      <c r="A121" s="59" t="s">
        <v>539</v>
      </c>
      <c r="B121" s="59" t="s">
        <v>542</v>
      </c>
      <c r="C121" s="59">
        <v>0.17</v>
      </c>
      <c r="D121" s="59">
        <v>0</v>
      </c>
      <c r="E121" s="59">
        <v>3</v>
      </c>
      <c r="F121" s="59">
        <v>4</v>
      </c>
      <c r="G121" s="59"/>
      <c r="H121" s="59">
        <v>0</v>
      </c>
      <c r="I121" s="59">
        <v>0</v>
      </c>
      <c r="J121" s="59">
        <v>0</v>
      </c>
      <c r="K121" s="59">
        <v>0</v>
      </c>
      <c r="L121" s="59">
        <v>0</v>
      </c>
      <c r="M121" s="59">
        <v>0</v>
      </c>
      <c r="N121" s="59">
        <v>0</v>
      </c>
    </row>
    <row r="122" spans="1:14">
      <c r="A122" s="59" t="s">
        <v>539</v>
      </c>
      <c r="B122" s="59" t="s">
        <v>543</v>
      </c>
      <c r="C122" s="59">
        <v>1</v>
      </c>
      <c r="D122" s="59">
        <v>1</v>
      </c>
      <c r="E122" s="59">
        <v>0</v>
      </c>
      <c r="F122" s="59">
        <v>0</v>
      </c>
      <c r="G122" s="59"/>
      <c r="H122" s="59">
        <v>0</v>
      </c>
      <c r="I122" s="59">
        <v>0</v>
      </c>
      <c r="J122" s="59">
        <v>0</v>
      </c>
      <c r="K122" s="59">
        <v>0</v>
      </c>
      <c r="L122" s="59">
        <v>0</v>
      </c>
      <c r="M122" s="59">
        <v>0</v>
      </c>
      <c r="N122" s="59">
        <v>0</v>
      </c>
    </row>
    <row r="123" spans="1:14">
      <c r="A123" s="59" t="s">
        <v>539</v>
      </c>
      <c r="B123" s="59" t="s">
        <v>544</v>
      </c>
      <c r="C123" s="59">
        <v>1.33</v>
      </c>
      <c r="D123" s="59">
        <v>1</v>
      </c>
      <c r="E123" s="59">
        <v>6</v>
      </c>
      <c r="F123" s="59">
        <v>8</v>
      </c>
      <c r="G123" s="59"/>
      <c r="H123" s="59">
        <v>0</v>
      </c>
      <c r="I123" s="59">
        <v>0</v>
      </c>
      <c r="J123" s="59">
        <v>0</v>
      </c>
      <c r="K123" s="59">
        <v>0</v>
      </c>
      <c r="L123" s="59">
        <v>0</v>
      </c>
      <c r="M123" s="59">
        <v>0</v>
      </c>
      <c r="N123" s="59">
        <v>0</v>
      </c>
    </row>
    <row r="124" spans="1:14">
      <c r="A124" s="59" t="s">
        <v>539</v>
      </c>
      <c r="B124" s="59" t="s">
        <v>545</v>
      </c>
      <c r="C124" s="59">
        <v>2</v>
      </c>
      <c r="D124" s="59">
        <v>2</v>
      </c>
      <c r="E124" s="59">
        <v>0</v>
      </c>
      <c r="F124" s="59">
        <v>0</v>
      </c>
      <c r="G124" s="59"/>
      <c r="H124" s="59">
        <v>0</v>
      </c>
      <c r="I124" s="59">
        <v>0</v>
      </c>
      <c r="J124" s="59">
        <v>0</v>
      </c>
      <c r="K124" s="59">
        <v>0</v>
      </c>
      <c r="L124" s="59">
        <v>0</v>
      </c>
      <c r="M124" s="59">
        <v>0</v>
      </c>
      <c r="N124" s="59">
        <v>0</v>
      </c>
    </row>
    <row r="125" spans="1:14">
      <c r="A125" s="59" t="s">
        <v>539</v>
      </c>
      <c r="B125" s="59" t="s">
        <v>546</v>
      </c>
      <c r="C125" s="59">
        <v>0.33</v>
      </c>
      <c r="D125" s="59">
        <v>0</v>
      </c>
      <c r="E125" s="59">
        <v>6</v>
      </c>
      <c r="F125" s="59">
        <v>8</v>
      </c>
      <c r="G125" s="59"/>
      <c r="H125" s="59">
        <v>0</v>
      </c>
      <c r="I125" s="59">
        <v>0</v>
      </c>
      <c r="J125" s="59">
        <v>0</v>
      </c>
      <c r="K125" s="59">
        <v>0</v>
      </c>
      <c r="L125" s="59">
        <v>0</v>
      </c>
      <c r="M125" s="59">
        <v>0</v>
      </c>
      <c r="N125" s="59">
        <v>0</v>
      </c>
    </row>
    <row r="126" spans="1:14">
      <c r="A126" s="59" t="s">
        <v>539</v>
      </c>
      <c r="B126" s="59" t="s">
        <v>547</v>
      </c>
      <c r="C126" s="59">
        <v>0.5</v>
      </c>
      <c r="D126" s="59">
        <v>0</v>
      </c>
      <c r="E126" s="59">
        <v>10</v>
      </c>
      <c r="F126" s="59">
        <v>0</v>
      </c>
      <c r="G126" s="59"/>
      <c r="H126" s="59">
        <v>0</v>
      </c>
      <c r="I126" s="59">
        <v>0</v>
      </c>
      <c r="J126" s="59">
        <v>0</v>
      </c>
      <c r="K126" s="59">
        <v>0</v>
      </c>
      <c r="L126" s="59">
        <v>0</v>
      </c>
      <c r="M126" s="59">
        <v>0</v>
      </c>
      <c r="N126" s="59">
        <v>0</v>
      </c>
    </row>
    <row r="127" spans="1:14">
      <c r="A127" s="59" t="s">
        <v>539</v>
      </c>
      <c r="B127" s="59" t="s">
        <v>548</v>
      </c>
      <c r="C127" s="59">
        <v>1</v>
      </c>
      <c r="D127" s="59">
        <v>1</v>
      </c>
      <c r="E127" s="59">
        <v>0</v>
      </c>
      <c r="F127" s="59">
        <v>0</v>
      </c>
      <c r="G127" s="59"/>
      <c r="H127" s="59">
        <v>0</v>
      </c>
      <c r="I127" s="59">
        <v>0</v>
      </c>
      <c r="J127" s="59">
        <v>0</v>
      </c>
      <c r="K127" s="59">
        <v>0</v>
      </c>
      <c r="L127" s="59">
        <v>0</v>
      </c>
      <c r="M127" s="59">
        <v>0</v>
      </c>
      <c r="N127" s="59">
        <v>0</v>
      </c>
    </row>
    <row r="128" spans="1:14">
      <c r="A128" s="59" t="s">
        <v>539</v>
      </c>
      <c r="B128" s="59" t="s">
        <v>549</v>
      </c>
      <c r="C128" s="59">
        <v>2</v>
      </c>
      <c r="D128" s="59">
        <v>2</v>
      </c>
      <c r="E128" s="59">
        <v>0</v>
      </c>
      <c r="F128" s="59">
        <v>0</v>
      </c>
      <c r="G128" s="59"/>
      <c r="H128" s="59">
        <v>0</v>
      </c>
      <c r="I128" s="59">
        <v>0</v>
      </c>
      <c r="J128" s="59">
        <v>0</v>
      </c>
      <c r="K128" s="59">
        <v>0</v>
      </c>
      <c r="L128" s="59">
        <v>0</v>
      </c>
      <c r="M128" s="59">
        <v>0</v>
      </c>
      <c r="N128" s="59">
        <v>0</v>
      </c>
    </row>
    <row r="129" spans="1:14">
      <c r="A129" s="59" t="s">
        <v>539</v>
      </c>
      <c r="B129" s="59" t="s">
        <v>550</v>
      </c>
      <c r="C129" s="59">
        <v>4.33</v>
      </c>
      <c r="D129" s="59">
        <v>4</v>
      </c>
      <c r="E129" s="59">
        <v>6</v>
      </c>
      <c r="F129" s="59">
        <v>8</v>
      </c>
      <c r="G129" s="59"/>
      <c r="H129" s="59">
        <v>0</v>
      </c>
      <c r="I129" s="59">
        <v>0</v>
      </c>
      <c r="J129" s="59">
        <v>0</v>
      </c>
      <c r="K129" s="59">
        <v>0</v>
      </c>
      <c r="L129" s="59">
        <v>0</v>
      </c>
      <c r="M129" s="59">
        <v>0</v>
      </c>
      <c r="N129" s="59">
        <v>0</v>
      </c>
    </row>
    <row r="130" spans="1:14">
      <c r="A130" s="59" t="s">
        <v>539</v>
      </c>
      <c r="B130" s="59" t="s">
        <v>551</v>
      </c>
      <c r="C130" s="59">
        <v>3.33</v>
      </c>
      <c r="D130" s="59">
        <v>3</v>
      </c>
      <c r="E130" s="59">
        <v>6</v>
      </c>
      <c r="F130" s="59">
        <v>8</v>
      </c>
      <c r="G130" s="59"/>
      <c r="H130" s="59">
        <v>0</v>
      </c>
      <c r="I130" s="59">
        <v>0</v>
      </c>
      <c r="J130" s="59">
        <v>0</v>
      </c>
      <c r="K130" s="59">
        <v>0</v>
      </c>
      <c r="L130" s="59">
        <v>0</v>
      </c>
      <c r="M130" s="59">
        <v>0</v>
      </c>
      <c r="N130" s="59">
        <v>0</v>
      </c>
    </row>
    <row r="131" spans="1:14">
      <c r="A131" s="59" t="s">
        <v>539</v>
      </c>
      <c r="B131" s="59" t="s">
        <v>552</v>
      </c>
      <c r="C131" s="59">
        <v>1</v>
      </c>
      <c r="D131" s="59">
        <v>1</v>
      </c>
      <c r="E131" s="59">
        <v>0</v>
      </c>
      <c r="F131" s="59">
        <v>0</v>
      </c>
      <c r="G131" s="59"/>
      <c r="H131" s="59">
        <v>0</v>
      </c>
      <c r="I131" s="59">
        <v>0</v>
      </c>
      <c r="J131" s="59">
        <v>0</v>
      </c>
      <c r="K131" s="59">
        <v>0</v>
      </c>
      <c r="L131" s="59">
        <v>0</v>
      </c>
      <c r="M131" s="59">
        <v>0</v>
      </c>
      <c r="N131" s="59">
        <v>0</v>
      </c>
    </row>
    <row r="132" spans="1:14">
      <c r="A132" s="59" t="s">
        <v>539</v>
      </c>
      <c r="B132" s="59" t="s">
        <v>553</v>
      </c>
      <c r="C132" s="59">
        <v>1</v>
      </c>
      <c r="D132" s="59">
        <v>1</v>
      </c>
      <c r="E132" s="59">
        <v>0</v>
      </c>
      <c r="F132" s="59">
        <v>0</v>
      </c>
      <c r="G132" s="59"/>
      <c r="H132" s="59">
        <v>0</v>
      </c>
      <c r="I132" s="59">
        <v>0</v>
      </c>
      <c r="J132" s="59">
        <v>0</v>
      </c>
      <c r="K132" s="59">
        <v>0</v>
      </c>
      <c r="L132" s="59">
        <v>0</v>
      </c>
      <c r="M132" s="59">
        <v>0</v>
      </c>
      <c r="N132" s="59">
        <v>0</v>
      </c>
    </row>
    <row r="133" spans="1:14">
      <c r="A133" s="59" t="s">
        <v>539</v>
      </c>
      <c r="B133" s="59" t="s">
        <v>554</v>
      </c>
      <c r="C133" s="59">
        <v>0.1</v>
      </c>
      <c r="D133" s="59">
        <v>0</v>
      </c>
      <c r="E133" s="59">
        <v>2</v>
      </c>
      <c r="F133" s="59">
        <v>0</v>
      </c>
      <c r="G133" s="59"/>
      <c r="H133" s="59">
        <v>0</v>
      </c>
      <c r="I133" s="59">
        <v>0</v>
      </c>
      <c r="J133" s="59">
        <v>0</v>
      </c>
      <c r="K133" s="59">
        <v>0</v>
      </c>
      <c r="L133" s="59">
        <v>0</v>
      </c>
      <c r="M133" s="59">
        <v>0</v>
      </c>
      <c r="N133" s="59">
        <v>0</v>
      </c>
    </row>
    <row r="134" spans="1:14">
      <c r="A134" s="59" t="s">
        <v>539</v>
      </c>
      <c r="B134" s="59" t="s">
        <v>555</v>
      </c>
      <c r="C134" s="59">
        <v>3.33</v>
      </c>
      <c r="D134" s="59">
        <v>3</v>
      </c>
      <c r="E134" s="59">
        <v>6</v>
      </c>
      <c r="F134" s="59">
        <v>8</v>
      </c>
      <c r="G134" s="59"/>
      <c r="H134" s="59">
        <v>0</v>
      </c>
      <c r="I134" s="59">
        <v>0</v>
      </c>
      <c r="J134" s="59">
        <v>0</v>
      </c>
      <c r="K134" s="59">
        <v>0</v>
      </c>
      <c r="L134" s="59">
        <v>0</v>
      </c>
      <c r="M134" s="59">
        <v>0</v>
      </c>
      <c r="N134" s="59">
        <v>0</v>
      </c>
    </row>
    <row r="135" spans="1:14">
      <c r="A135" s="59" t="s">
        <v>539</v>
      </c>
      <c r="B135" s="59" t="s">
        <v>556</v>
      </c>
      <c r="C135" s="59">
        <v>0.03</v>
      </c>
      <c r="D135" s="59">
        <v>0</v>
      </c>
      <c r="E135" s="59">
        <v>0</v>
      </c>
      <c r="F135" s="59">
        <v>8</v>
      </c>
      <c r="G135" s="59"/>
      <c r="H135" s="59">
        <v>0</v>
      </c>
      <c r="I135" s="59">
        <v>0</v>
      </c>
      <c r="J135" s="59">
        <v>0</v>
      </c>
      <c r="K135" s="59">
        <v>0</v>
      </c>
      <c r="L135" s="59">
        <v>0</v>
      </c>
      <c r="M135" s="59">
        <v>0</v>
      </c>
      <c r="N135" s="59">
        <v>0</v>
      </c>
    </row>
    <row r="136" spans="1:14">
      <c r="A136" s="59" t="s">
        <v>539</v>
      </c>
      <c r="B136" s="59" t="s">
        <v>557</v>
      </c>
      <c r="C136" s="59">
        <v>0.33</v>
      </c>
      <c r="D136" s="59">
        <v>0</v>
      </c>
      <c r="E136" s="59">
        <v>6</v>
      </c>
      <c r="F136" s="59">
        <v>8</v>
      </c>
      <c r="G136" s="59"/>
      <c r="H136" s="59">
        <v>0</v>
      </c>
      <c r="I136" s="59">
        <v>0</v>
      </c>
      <c r="J136" s="59">
        <v>0</v>
      </c>
      <c r="K136" s="59">
        <v>0</v>
      </c>
      <c r="L136" s="59">
        <v>0</v>
      </c>
      <c r="M136" s="59">
        <v>0</v>
      </c>
      <c r="N136" s="59">
        <v>0</v>
      </c>
    </row>
    <row r="137" spans="1:14">
      <c r="A137" s="59" t="s">
        <v>539</v>
      </c>
      <c r="B137" s="59" t="s">
        <v>558</v>
      </c>
      <c r="C137" s="59">
        <v>24.8</v>
      </c>
      <c r="D137" s="59">
        <v>24</v>
      </c>
      <c r="E137" s="59">
        <v>16</v>
      </c>
      <c r="F137" s="59">
        <v>0</v>
      </c>
      <c r="G137" s="59"/>
      <c r="H137" s="59">
        <v>0</v>
      </c>
      <c r="I137" s="59">
        <v>0</v>
      </c>
      <c r="J137" s="59">
        <v>0</v>
      </c>
      <c r="K137" s="59">
        <v>0</v>
      </c>
      <c r="L137" s="59">
        <v>0</v>
      </c>
      <c r="M137" s="59">
        <v>0</v>
      </c>
      <c r="N137" s="59">
        <v>0</v>
      </c>
    </row>
    <row r="138" spans="1:14">
      <c r="A138" s="59" t="s">
        <v>559</v>
      </c>
      <c r="B138" s="59" t="s">
        <v>560</v>
      </c>
      <c r="C138" s="59">
        <v>0.12</v>
      </c>
      <c r="D138" s="59">
        <v>0</v>
      </c>
      <c r="E138" s="59">
        <v>2</v>
      </c>
      <c r="F138" s="59">
        <v>5</v>
      </c>
      <c r="G138" s="59"/>
      <c r="H138" s="59">
        <v>0</v>
      </c>
      <c r="I138" s="59">
        <v>0</v>
      </c>
      <c r="J138" s="59">
        <v>0</v>
      </c>
      <c r="K138" s="59">
        <v>0</v>
      </c>
      <c r="L138" s="59">
        <v>0</v>
      </c>
      <c r="M138" s="59">
        <v>0</v>
      </c>
      <c r="N138" s="59">
        <v>0</v>
      </c>
    </row>
    <row r="139" spans="1:14">
      <c r="A139" s="59" t="s">
        <v>559</v>
      </c>
      <c r="B139" s="59" t="s">
        <v>265</v>
      </c>
      <c r="C139" s="59">
        <v>0.72</v>
      </c>
      <c r="D139" s="59">
        <v>0</v>
      </c>
      <c r="E139" s="59">
        <v>14</v>
      </c>
      <c r="F139" s="59">
        <v>4</v>
      </c>
      <c r="G139" s="59"/>
      <c r="H139" s="59">
        <v>0</v>
      </c>
      <c r="I139" s="59">
        <v>0</v>
      </c>
      <c r="J139" s="59">
        <v>0</v>
      </c>
      <c r="K139" s="59">
        <v>0</v>
      </c>
      <c r="L139" s="59">
        <v>0</v>
      </c>
      <c r="M139" s="59">
        <v>0</v>
      </c>
      <c r="N139" s="59">
        <v>0</v>
      </c>
    </row>
    <row r="140" spans="1:14">
      <c r="A140" s="59" t="s">
        <v>559</v>
      </c>
      <c r="B140" s="59" t="s">
        <v>561</v>
      </c>
      <c r="C140" s="59">
        <v>0.61</v>
      </c>
      <c r="D140" s="59">
        <v>0</v>
      </c>
      <c r="E140" s="59">
        <v>12</v>
      </c>
      <c r="F140" s="59">
        <v>2</v>
      </c>
      <c r="G140" s="59"/>
      <c r="H140" s="59">
        <v>0</v>
      </c>
      <c r="I140" s="59">
        <v>0</v>
      </c>
      <c r="J140" s="59">
        <v>0</v>
      </c>
      <c r="K140" s="59">
        <v>0</v>
      </c>
      <c r="L140" s="59">
        <v>0</v>
      </c>
      <c r="M140" s="59">
        <v>0</v>
      </c>
      <c r="N140" s="59">
        <v>0</v>
      </c>
    </row>
    <row r="141" spans="1:14">
      <c r="A141" s="59" t="s">
        <v>559</v>
      </c>
      <c r="B141" s="59" t="s">
        <v>562</v>
      </c>
      <c r="C141" s="59">
        <v>0.4</v>
      </c>
      <c r="D141" s="59">
        <v>0</v>
      </c>
      <c r="E141" s="59">
        <v>8</v>
      </c>
      <c r="F141" s="59">
        <v>1</v>
      </c>
      <c r="G141" s="59"/>
      <c r="H141" s="59">
        <v>0</v>
      </c>
      <c r="I141" s="59">
        <v>0</v>
      </c>
      <c r="J141" s="59">
        <v>0</v>
      </c>
      <c r="K141" s="59">
        <v>0</v>
      </c>
      <c r="L141" s="59">
        <v>0</v>
      </c>
      <c r="M141" s="59">
        <v>0</v>
      </c>
      <c r="N141" s="59">
        <v>0</v>
      </c>
    </row>
    <row r="142" spans="1:14">
      <c r="A142" s="59" t="s">
        <v>559</v>
      </c>
      <c r="B142" s="59" t="s">
        <v>563</v>
      </c>
      <c r="C142" s="59">
        <v>1.85</v>
      </c>
      <c r="D142" s="59">
        <v>1</v>
      </c>
      <c r="E142" s="59">
        <v>17</v>
      </c>
      <c r="F142" s="59">
        <v>0</v>
      </c>
      <c r="G142" s="59"/>
      <c r="H142" s="59">
        <v>0</v>
      </c>
      <c r="I142" s="59">
        <v>0</v>
      </c>
      <c r="J142" s="59">
        <v>0</v>
      </c>
      <c r="K142" s="59">
        <v>0</v>
      </c>
      <c r="L142" s="59">
        <v>0</v>
      </c>
      <c r="M142" s="59">
        <v>0</v>
      </c>
      <c r="N142" s="59">
        <v>0</v>
      </c>
    </row>
    <row r="143" spans="1:14">
      <c r="A143" s="59" t="s">
        <v>564</v>
      </c>
      <c r="B143" s="59" t="s">
        <v>565</v>
      </c>
      <c r="C143" s="59">
        <v>0.15</v>
      </c>
      <c r="D143" s="59">
        <v>0</v>
      </c>
      <c r="E143" s="59">
        <v>3</v>
      </c>
      <c r="F143" s="59">
        <v>0</v>
      </c>
      <c r="G143" s="59"/>
      <c r="H143" s="59">
        <v>0</v>
      </c>
      <c r="I143" s="59">
        <v>0</v>
      </c>
      <c r="J143" s="59">
        <v>0</v>
      </c>
      <c r="K143" s="59">
        <v>0</v>
      </c>
      <c r="L143" s="59">
        <v>0</v>
      </c>
      <c r="M143" s="59">
        <v>0</v>
      </c>
      <c r="N143" s="59">
        <v>0</v>
      </c>
    </row>
    <row r="144" spans="1:14">
      <c r="A144" s="59" t="s">
        <v>564</v>
      </c>
      <c r="B144" s="59" t="s">
        <v>566</v>
      </c>
      <c r="C144" s="59">
        <v>0.15</v>
      </c>
      <c r="D144" s="59">
        <v>0</v>
      </c>
      <c r="E144" s="59">
        <v>3</v>
      </c>
      <c r="F144" s="59">
        <v>0</v>
      </c>
      <c r="G144" s="59"/>
      <c r="H144" s="59">
        <v>0</v>
      </c>
      <c r="I144" s="59">
        <v>0</v>
      </c>
      <c r="J144" s="59">
        <v>0</v>
      </c>
      <c r="K144" s="59">
        <v>0</v>
      </c>
      <c r="L144" s="59">
        <v>0</v>
      </c>
      <c r="M144" s="59">
        <v>0</v>
      </c>
      <c r="N144" s="59">
        <v>0</v>
      </c>
    </row>
    <row r="145" spans="1:16">
      <c r="A145" s="59" t="s">
        <v>567</v>
      </c>
      <c r="B145" s="59" t="s">
        <v>568</v>
      </c>
      <c r="C145" s="59">
        <v>15.8</v>
      </c>
      <c r="D145" s="59">
        <v>15</v>
      </c>
      <c r="E145" s="59">
        <v>16</v>
      </c>
      <c r="F145" s="59">
        <v>0</v>
      </c>
      <c r="G145" s="59"/>
      <c r="H145" s="59">
        <v>0</v>
      </c>
      <c r="I145" s="59">
        <v>0</v>
      </c>
      <c r="J145" s="59">
        <v>0</v>
      </c>
      <c r="K145" s="59">
        <v>0</v>
      </c>
      <c r="L145" s="59">
        <v>0</v>
      </c>
      <c r="M145" s="59">
        <v>0</v>
      </c>
      <c r="N145" s="59">
        <v>0</v>
      </c>
      <c r="O145" s="59"/>
      <c r="P145" s="59"/>
    </row>
    <row r="146" spans="1:16">
      <c r="A146" s="59" t="s">
        <v>567</v>
      </c>
      <c r="B146" s="59" t="s">
        <v>569</v>
      </c>
      <c r="C146" s="59">
        <v>15.8</v>
      </c>
      <c r="D146" s="59">
        <v>15</v>
      </c>
      <c r="E146" s="59">
        <v>16</v>
      </c>
      <c r="F146" s="59">
        <v>0</v>
      </c>
      <c r="G146" s="59"/>
      <c r="H146" s="59">
        <v>0</v>
      </c>
      <c r="I146" s="59">
        <v>0</v>
      </c>
      <c r="J146" s="59">
        <v>0</v>
      </c>
      <c r="K146" s="59">
        <v>0</v>
      </c>
      <c r="L146" s="59">
        <v>0</v>
      </c>
      <c r="M146" s="59">
        <v>0</v>
      </c>
      <c r="N146" s="59">
        <v>0</v>
      </c>
      <c r="O146" s="59"/>
      <c r="P146" s="59"/>
    </row>
    <row r="147" spans="1:16">
      <c r="A147" s="59" t="s">
        <v>570</v>
      </c>
      <c r="B147" s="59" t="s">
        <v>571</v>
      </c>
      <c r="C147" s="59">
        <v>981.52</v>
      </c>
      <c r="D147" s="59">
        <v>981</v>
      </c>
      <c r="E147" s="59">
        <v>10</v>
      </c>
      <c r="F147" s="59">
        <v>6</v>
      </c>
      <c r="G147" s="59"/>
      <c r="H147" s="59">
        <v>0</v>
      </c>
      <c r="I147" s="59">
        <v>0</v>
      </c>
      <c r="J147" s="59">
        <v>0</v>
      </c>
      <c r="K147" s="59">
        <v>0</v>
      </c>
      <c r="L147" s="59">
        <v>0</v>
      </c>
      <c r="M147" s="59">
        <v>0</v>
      </c>
      <c r="N147" s="59">
        <v>0</v>
      </c>
      <c r="O147" s="59"/>
      <c r="P147" s="59"/>
    </row>
    <row r="148" spans="1:16">
      <c r="A148" s="59" t="s">
        <v>572</v>
      </c>
      <c r="B148" s="59" t="s">
        <v>573</v>
      </c>
      <c r="C148" s="59">
        <v>0.47</v>
      </c>
      <c r="D148" s="59">
        <v>0</v>
      </c>
      <c r="E148" s="59">
        <v>9</v>
      </c>
      <c r="F148" s="59">
        <v>4.5</v>
      </c>
      <c r="G148" s="59"/>
      <c r="H148" s="59">
        <v>0</v>
      </c>
      <c r="I148" s="59">
        <v>0</v>
      </c>
      <c r="J148" s="59">
        <v>0</v>
      </c>
      <c r="K148" s="59">
        <v>0</v>
      </c>
      <c r="L148" s="59">
        <v>0</v>
      </c>
      <c r="M148" s="59">
        <v>0</v>
      </c>
      <c r="N148" s="59">
        <v>0</v>
      </c>
      <c r="O148" s="59"/>
      <c r="P148" s="59"/>
    </row>
    <row r="149" spans="1:16">
      <c r="A149" s="59" t="s">
        <v>572</v>
      </c>
      <c r="B149" s="59" t="s">
        <v>279</v>
      </c>
      <c r="C149" s="59">
        <v>7.0000000000000007E-2</v>
      </c>
      <c r="D149" s="59">
        <v>0</v>
      </c>
      <c r="E149" s="59">
        <v>1</v>
      </c>
      <c r="F149" s="59">
        <v>4</v>
      </c>
      <c r="G149" s="59"/>
      <c r="H149" s="59">
        <v>0</v>
      </c>
      <c r="I149" s="59">
        <v>0</v>
      </c>
      <c r="J149" s="59">
        <v>0</v>
      </c>
      <c r="K149" s="59">
        <v>0</v>
      </c>
      <c r="L149" s="59">
        <v>0</v>
      </c>
      <c r="M149" s="59">
        <v>0</v>
      </c>
      <c r="N149" s="59">
        <v>0</v>
      </c>
      <c r="O149" s="59"/>
      <c r="P149" s="59"/>
    </row>
    <row r="150" spans="1:16">
      <c r="A150" s="59" t="s">
        <v>572</v>
      </c>
      <c r="B150" s="59" t="s">
        <v>574</v>
      </c>
      <c r="C150" s="59">
        <v>0.26</v>
      </c>
      <c r="D150" s="59">
        <v>0</v>
      </c>
      <c r="E150" s="59">
        <v>5</v>
      </c>
      <c r="F150" s="59">
        <v>3</v>
      </c>
      <c r="G150" s="59"/>
      <c r="H150" s="59">
        <v>4</v>
      </c>
      <c r="I150" s="59">
        <v>4</v>
      </c>
      <c r="J150" s="59">
        <v>4.5</v>
      </c>
      <c r="K150" s="59">
        <v>4.5</v>
      </c>
      <c r="L150" s="59">
        <v>0</v>
      </c>
      <c r="M150" s="59">
        <v>4</v>
      </c>
      <c r="N150" s="59">
        <v>4</v>
      </c>
      <c r="O150" s="59">
        <v>1</v>
      </c>
      <c r="P150" s="59">
        <v>2</v>
      </c>
    </row>
    <row r="151" spans="1:16">
      <c r="A151" s="59" t="s">
        <v>572</v>
      </c>
      <c r="B151" s="59" t="s">
        <v>281</v>
      </c>
      <c r="C151" s="59">
        <v>0.02</v>
      </c>
      <c r="D151" s="59">
        <v>0</v>
      </c>
      <c r="E151" s="59">
        <v>0</v>
      </c>
      <c r="F151" s="59">
        <v>4</v>
      </c>
      <c r="G151" s="59"/>
      <c r="H151" s="59">
        <v>0</v>
      </c>
      <c r="I151" s="59">
        <v>0</v>
      </c>
      <c r="J151" s="59">
        <v>0</v>
      </c>
      <c r="K151" s="59">
        <v>0</v>
      </c>
      <c r="L151" s="59">
        <v>0</v>
      </c>
      <c r="M151" s="59">
        <v>0</v>
      </c>
      <c r="N151" s="59">
        <v>0</v>
      </c>
      <c r="O151" s="59"/>
      <c r="P151" s="59"/>
    </row>
    <row r="152" spans="1:16">
      <c r="A152" s="59" t="s">
        <v>572</v>
      </c>
      <c r="B152" s="59" t="s">
        <v>575</v>
      </c>
      <c r="C152" s="59">
        <v>0.52</v>
      </c>
      <c r="D152" s="59">
        <v>0</v>
      </c>
      <c r="E152" s="59">
        <v>10</v>
      </c>
      <c r="F152" s="59">
        <v>4</v>
      </c>
      <c r="G152" s="59"/>
      <c r="H152" s="59">
        <v>8</v>
      </c>
      <c r="I152" s="59">
        <v>0</v>
      </c>
      <c r="J152" s="59">
        <v>8</v>
      </c>
      <c r="K152" s="59">
        <v>8</v>
      </c>
      <c r="L152" s="59">
        <v>0</v>
      </c>
      <c r="M152" s="59">
        <v>8</v>
      </c>
      <c r="N152" s="59">
        <v>0</v>
      </c>
      <c r="O152" s="59">
        <v>1</v>
      </c>
      <c r="P152" s="59">
        <v>31</v>
      </c>
    </row>
    <row r="153" spans="1:16">
      <c r="A153" s="59" t="s">
        <v>572</v>
      </c>
      <c r="B153" s="59" t="s">
        <v>576</v>
      </c>
      <c r="C153" s="59">
        <v>0.18</v>
      </c>
      <c r="D153" s="59">
        <v>0</v>
      </c>
      <c r="E153" s="59">
        <v>3</v>
      </c>
      <c r="F153" s="59">
        <v>8</v>
      </c>
      <c r="G153" s="59"/>
      <c r="H153" s="59">
        <v>0</v>
      </c>
      <c r="I153" s="59">
        <v>0</v>
      </c>
      <c r="J153" s="59">
        <v>0</v>
      </c>
      <c r="K153" s="59">
        <v>0</v>
      </c>
      <c r="L153" s="59">
        <v>0</v>
      </c>
      <c r="M153" s="59">
        <v>0</v>
      </c>
      <c r="N153" s="59">
        <v>0</v>
      </c>
      <c r="O153" s="59"/>
      <c r="P153" s="59"/>
    </row>
    <row r="154" spans="1:16">
      <c r="A154" s="59" t="s">
        <v>572</v>
      </c>
      <c r="B154" s="59" t="s">
        <v>284</v>
      </c>
      <c r="C154" s="59">
        <v>0.3</v>
      </c>
      <c r="D154" s="59">
        <v>0</v>
      </c>
      <c r="E154" s="59">
        <v>6</v>
      </c>
      <c r="F154" s="59">
        <v>0</v>
      </c>
      <c r="G154" s="59"/>
      <c r="H154" s="59">
        <v>0</v>
      </c>
      <c r="I154" s="59">
        <v>0</v>
      </c>
      <c r="J154" s="59">
        <v>0</v>
      </c>
      <c r="K154" s="59">
        <v>0</v>
      </c>
      <c r="L154" s="59">
        <v>0</v>
      </c>
      <c r="M154" s="59">
        <v>0</v>
      </c>
      <c r="N154" s="59">
        <v>0</v>
      </c>
      <c r="O154" s="59"/>
      <c r="P154" s="59"/>
    </row>
    <row r="155" spans="1:16">
      <c r="A155" s="59" t="s">
        <v>572</v>
      </c>
      <c r="B155" s="59" t="s">
        <v>285</v>
      </c>
      <c r="C155" s="59">
        <v>0.12</v>
      </c>
      <c r="D155" s="59">
        <v>0</v>
      </c>
      <c r="E155" s="59">
        <v>2</v>
      </c>
      <c r="F155" s="59">
        <v>6</v>
      </c>
      <c r="G155" s="59"/>
      <c r="H155" s="59">
        <v>0</v>
      </c>
      <c r="I155" s="59">
        <v>0</v>
      </c>
      <c r="J155" s="59">
        <v>0</v>
      </c>
      <c r="K155" s="59">
        <v>0</v>
      </c>
      <c r="L155" s="59">
        <v>0</v>
      </c>
      <c r="M155" s="59">
        <v>0</v>
      </c>
      <c r="N155" s="59">
        <v>0</v>
      </c>
      <c r="O155" s="59"/>
      <c r="P155" s="59"/>
    </row>
    <row r="156" spans="1:16">
      <c r="A156" s="59" t="s">
        <v>572</v>
      </c>
      <c r="B156" s="59" t="s">
        <v>286</v>
      </c>
      <c r="C156" s="59">
        <v>0.12</v>
      </c>
      <c r="D156" s="59">
        <v>0</v>
      </c>
      <c r="E156" s="59">
        <v>2</v>
      </c>
      <c r="F156" s="59">
        <v>4</v>
      </c>
      <c r="G156" s="59"/>
      <c r="H156" s="59">
        <v>0</v>
      </c>
      <c r="I156" s="59">
        <v>0</v>
      </c>
      <c r="J156" s="59">
        <v>0</v>
      </c>
      <c r="K156" s="59">
        <v>0</v>
      </c>
      <c r="L156" s="59">
        <v>0</v>
      </c>
      <c r="M156" s="59">
        <v>0</v>
      </c>
      <c r="N156" s="59">
        <v>0</v>
      </c>
      <c r="O156" s="59"/>
      <c r="P156" s="59"/>
    </row>
    <row r="157" spans="1:16">
      <c r="A157" s="59" t="s">
        <v>572</v>
      </c>
      <c r="B157" s="59" t="s">
        <v>287</v>
      </c>
      <c r="C157" s="59">
        <v>0.31</v>
      </c>
      <c r="D157" s="59">
        <v>0</v>
      </c>
      <c r="E157" s="59">
        <v>6</v>
      </c>
      <c r="F157" s="59">
        <v>3</v>
      </c>
      <c r="G157" s="59"/>
      <c r="H157" s="59">
        <v>0</v>
      </c>
      <c r="I157" s="59">
        <v>0</v>
      </c>
      <c r="J157" s="59">
        <v>0</v>
      </c>
      <c r="K157" s="59">
        <v>0</v>
      </c>
      <c r="L157" s="59">
        <v>0</v>
      </c>
      <c r="M157" s="59">
        <v>0</v>
      </c>
      <c r="N157" s="59">
        <v>0</v>
      </c>
      <c r="O157" s="59"/>
      <c r="P157" s="59"/>
    </row>
    <row r="158" spans="1:16">
      <c r="A158" s="59" t="s">
        <v>572</v>
      </c>
      <c r="B158" s="59" t="s">
        <v>577</v>
      </c>
      <c r="C158" s="59">
        <v>0.04</v>
      </c>
      <c r="D158" s="59">
        <v>0</v>
      </c>
      <c r="E158" s="59">
        <v>0</v>
      </c>
      <c r="F158" s="59">
        <v>10</v>
      </c>
      <c r="G158" s="59"/>
      <c r="H158" s="59">
        <v>0</v>
      </c>
      <c r="I158" s="59">
        <v>0</v>
      </c>
      <c r="J158" s="59">
        <v>0</v>
      </c>
      <c r="K158" s="59">
        <v>0</v>
      </c>
      <c r="L158" s="59">
        <v>0</v>
      </c>
      <c r="M158" s="59">
        <v>0</v>
      </c>
      <c r="N158" s="59">
        <v>0</v>
      </c>
      <c r="O158" s="59"/>
      <c r="P158" s="59"/>
    </row>
    <row r="159" spans="1:16">
      <c r="A159" s="59" t="s">
        <v>572</v>
      </c>
      <c r="B159" s="59" t="s">
        <v>578</v>
      </c>
      <c r="C159" s="59">
        <v>0.01</v>
      </c>
      <c r="D159" s="59">
        <v>0</v>
      </c>
      <c r="E159" s="59">
        <v>0</v>
      </c>
      <c r="F159" s="59">
        <v>2</v>
      </c>
      <c r="G159" s="59"/>
      <c r="H159" s="59">
        <v>0</v>
      </c>
      <c r="I159" s="59">
        <v>0</v>
      </c>
      <c r="J159" s="59">
        <v>0</v>
      </c>
      <c r="K159" s="59">
        <v>0</v>
      </c>
      <c r="L159" s="59">
        <v>0</v>
      </c>
      <c r="M159" s="59">
        <v>0</v>
      </c>
      <c r="N159" s="59">
        <v>0</v>
      </c>
      <c r="O159" s="59"/>
      <c r="P159" s="59"/>
    </row>
    <row r="160" spans="1:16">
      <c r="A160" s="59" t="s">
        <v>572</v>
      </c>
      <c r="B160" s="59" t="s">
        <v>579</v>
      </c>
      <c r="C160" s="59">
        <v>0.11</v>
      </c>
      <c r="D160" s="59">
        <v>0</v>
      </c>
      <c r="E160" s="59">
        <v>2</v>
      </c>
      <c r="F160" s="59">
        <v>3</v>
      </c>
      <c r="G160" s="59"/>
      <c r="H160" s="59">
        <v>0</v>
      </c>
      <c r="I160" s="59">
        <v>0</v>
      </c>
      <c r="J160" s="59">
        <v>0</v>
      </c>
      <c r="K160" s="59">
        <v>0</v>
      </c>
      <c r="L160" s="59">
        <v>0</v>
      </c>
      <c r="M160" s="59">
        <v>0</v>
      </c>
      <c r="N160" s="59">
        <v>0</v>
      </c>
      <c r="O160" s="59"/>
      <c r="P160" s="59"/>
    </row>
    <row r="161" spans="1:14">
      <c r="A161" s="59" t="s">
        <v>572</v>
      </c>
      <c r="B161" s="59" t="s">
        <v>291</v>
      </c>
      <c r="C161" s="59">
        <v>0.02</v>
      </c>
      <c r="D161" s="59">
        <v>0</v>
      </c>
      <c r="E161" s="59">
        <v>0</v>
      </c>
      <c r="F161" s="59">
        <v>4</v>
      </c>
      <c r="G161" s="59"/>
      <c r="H161" s="59">
        <v>0</v>
      </c>
      <c r="I161" s="59">
        <v>0</v>
      </c>
      <c r="J161" s="59">
        <v>0</v>
      </c>
      <c r="K161" s="59">
        <v>0</v>
      </c>
      <c r="L161" s="59">
        <v>0</v>
      </c>
      <c r="M161" s="59">
        <v>0</v>
      </c>
      <c r="N161" s="59">
        <v>0</v>
      </c>
    </row>
    <row r="162" spans="1:14">
      <c r="A162" s="59" t="s">
        <v>572</v>
      </c>
      <c r="B162" s="59" t="s">
        <v>292</v>
      </c>
      <c r="C162" s="59">
        <v>0.03</v>
      </c>
      <c r="D162" s="59">
        <v>0</v>
      </c>
      <c r="E162" s="59">
        <v>0</v>
      </c>
      <c r="F162" s="59">
        <v>8</v>
      </c>
      <c r="G162" s="59"/>
      <c r="H162" s="59">
        <v>0</v>
      </c>
      <c r="I162" s="59">
        <v>0</v>
      </c>
      <c r="J162" s="59">
        <v>0</v>
      </c>
      <c r="K162" s="59">
        <v>0</v>
      </c>
      <c r="L162" s="59">
        <v>0</v>
      </c>
      <c r="M162" s="59">
        <v>0</v>
      </c>
      <c r="N162" s="59">
        <v>0</v>
      </c>
    </row>
    <row r="163" spans="1:14">
      <c r="A163" s="59" t="s">
        <v>572</v>
      </c>
      <c r="B163" s="59" t="s">
        <v>580</v>
      </c>
      <c r="C163" s="59">
        <v>0.09</v>
      </c>
      <c r="D163" s="59">
        <v>0</v>
      </c>
      <c r="E163" s="59">
        <v>1</v>
      </c>
      <c r="F163" s="59">
        <v>9.5</v>
      </c>
      <c r="G163" s="59"/>
      <c r="H163" s="59">
        <v>0</v>
      </c>
      <c r="I163" s="59">
        <v>0</v>
      </c>
      <c r="J163" s="59">
        <v>0</v>
      </c>
      <c r="K163" s="59">
        <v>0</v>
      </c>
      <c r="L163" s="59">
        <v>0</v>
      </c>
      <c r="M163" s="59">
        <v>0</v>
      </c>
      <c r="N163" s="59">
        <v>0</v>
      </c>
    </row>
    <row r="164" spans="1:14">
      <c r="A164" s="59" t="s">
        <v>572</v>
      </c>
      <c r="B164" s="59" t="s">
        <v>294</v>
      </c>
      <c r="C164" s="59">
        <v>0.03</v>
      </c>
      <c r="D164" s="59">
        <v>0</v>
      </c>
      <c r="E164" s="59">
        <v>0</v>
      </c>
      <c r="F164" s="59">
        <v>8</v>
      </c>
      <c r="G164" s="59"/>
      <c r="H164" s="59">
        <v>0</v>
      </c>
      <c r="I164" s="59">
        <v>0</v>
      </c>
      <c r="J164" s="59">
        <v>0</v>
      </c>
      <c r="K164" s="59">
        <v>0</v>
      </c>
      <c r="L164" s="59">
        <v>0</v>
      </c>
      <c r="M164" s="59">
        <v>0</v>
      </c>
      <c r="N164" s="59">
        <v>0</v>
      </c>
    </row>
    <row r="165" spans="1:14">
      <c r="A165" s="59" t="s">
        <v>572</v>
      </c>
      <c r="B165" s="59" t="s">
        <v>295</v>
      </c>
      <c r="C165" s="59">
        <v>0.01</v>
      </c>
      <c r="D165" s="59">
        <v>0</v>
      </c>
      <c r="E165" s="59">
        <v>0</v>
      </c>
      <c r="F165" s="59">
        <v>3.5</v>
      </c>
      <c r="G165" s="59"/>
      <c r="H165" s="59">
        <v>0</v>
      </c>
      <c r="I165" s="59">
        <v>0</v>
      </c>
      <c r="J165" s="59">
        <v>0</v>
      </c>
      <c r="K165" s="59">
        <v>0</v>
      </c>
      <c r="L165" s="59">
        <v>0</v>
      </c>
      <c r="M165" s="59">
        <v>0</v>
      </c>
      <c r="N165" s="59">
        <v>0</v>
      </c>
    </row>
    <row r="166" spans="1:14">
      <c r="A166" s="59" t="s">
        <v>572</v>
      </c>
      <c r="B166" s="59" t="s">
        <v>296</v>
      </c>
      <c r="C166" s="59">
        <v>0.01</v>
      </c>
      <c r="D166" s="59">
        <v>0</v>
      </c>
      <c r="E166" s="59">
        <v>0</v>
      </c>
      <c r="F166" s="59">
        <v>2</v>
      </c>
      <c r="G166" s="59"/>
      <c r="H166" s="59">
        <v>0</v>
      </c>
      <c r="I166" s="59">
        <v>0</v>
      </c>
      <c r="J166" s="59">
        <v>0</v>
      </c>
      <c r="K166" s="59">
        <v>0</v>
      </c>
      <c r="L166" s="59">
        <v>0</v>
      </c>
      <c r="M166" s="59">
        <v>0</v>
      </c>
      <c r="N166" s="59">
        <v>0</v>
      </c>
    </row>
    <row r="167" spans="1:14">
      <c r="A167" s="59" t="s">
        <v>572</v>
      </c>
      <c r="B167" s="59" t="s">
        <v>297</v>
      </c>
      <c r="C167" s="59">
        <v>7.0000000000000007E-2</v>
      </c>
      <c r="D167" s="59">
        <v>0</v>
      </c>
      <c r="E167" s="59">
        <v>1</v>
      </c>
      <c r="F167" s="59">
        <v>4</v>
      </c>
      <c r="G167" s="59"/>
      <c r="H167" s="59">
        <v>0</v>
      </c>
      <c r="I167" s="59">
        <v>0</v>
      </c>
      <c r="J167" s="59">
        <v>0</v>
      </c>
      <c r="K167" s="59">
        <v>0</v>
      </c>
      <c r="L167" s="59">
        <v>0</v>
      </c>
      <c r="M167" s="59">
        <v>0</v>
      </c>
      <c r="N167" s="59">
        <v>0</v>
      </c>
    </row>
    <row r="168" spans="1:14">
      <c r="A168" s="59" t="s">
        <v>572</v>
      </c>
      <c r="B168" s="59" t="s">
        <v>298</v>
      </c>
      <c r="C168" s="59">
        <v>6.67</v>
      </c>
      <c r="D168" s="59">
        <v>6</v>
      </c>
      <c r="E168" s="59">
        <v>13</v>
      </c>
      <c r="F168" s="59">
        <v>4</v>
      </c>
      <c r="G168" s="59"/>
      <c r="H168" s="59">
        <v>0</v>
      </c>
      <c r="I168" s="59">
        <v>0</v>
      </c>
      <c r="J168" s="59">
        <v>0</v>
      </c>
      <c r="K168" s="59">
        <v>0</v>
      </c>
      <c r="L168" s="59">
        <v>0</v>
      </c>
      <c r="M168" s="59">
        <v>0</v>
      </c>
      <c r="N168" s="59">
        <v>0</v>
      </c>
    </row>
    <row r="169" spans="1:14">
      <c r="A169" s="59" t="s">
        <v>572</v>
      </c>
      <c r="B169" s="59" t="s">
        <v>581</v>
      </c>
      <c r="C169" s="59">
        <v>9.4600000000000009</v>
      </c>
      <c r="D169" s="59">
        <v>9</v>
      </c>
      <c r="E169" s="59">
        <v>9</v>
      </c>
      <c r="F169" s="59">
        <v>1.5</v>
      </c>
      <c r="G169" s="59"/>
      <c r="H169" s="59">
        <v>0</v>
      </c>
      <c r="I169" s="59">
        <v>0</v>
      </c>
      <c r="J169" s="59">
        <v>0</v>
      </c>
      <c r="K169" s="59">
        <v>0</v>
      </c>
      <c r="L169" s="59">
        <v>0</v>
      </c>
      <c r="M169" s="59">
        <v>0</v>
      </c>
      <c r="N169" s="59">
        <v>0</v>
      </c>
    </row>
    <row r="170" spans="1:14">
      <c r="A170" s="59" t="s">
        <v>582</v>
      </c>
      <c r="B170" s="59" t="s">
        <v>583</v>
      </c>
      <c r="C170" s="59">
        <v>3.33</v>
      </c>
      <c r="D170" s="59">
        <v>3</v>
      </c>
      <c r="E170" s="59">
        <v>6</v>
      </c>
      <c r="F170" s="59">
        <v>8</v>
      </c>
      <c r="G170" s="59"/>
      <c r="H170" s="59">
        <v>0</v>
      </c>
      <c r="I170" s="59">
        <v>0</v>
      </c>
      <c r="J170" s="59">
        <v>0</v>
      </c>
      <c r="K170" s="59">
        <v>0</v>
      </c>
      <c r="L170" s="59">
        <v>0</v>
      </c>
      <c r="M170" s="59">
        <v>0</v>
      </c>
      <c r="N170" s="59">
        <v>0</v>
      </c>
    </row>
    <row r="171" spans="1:14">
      <c r="A171" s="59" t="s">
        <v>582</v>
      </c>
      <c r="B171" s="59" t="s">
        <v>584</v>
      </c>
      <c r="C171" s="59">
        <v>3.33</v>
      </c>
      <c r="D171" s="59">
        <v>3</v>
      </c>
      <c r="E171" s="59">
        <v>6</v>
      </c>
      <c r="F171" s="59">
        <v>8</v>
      </c>
      <c r="G171" s="59"/>
      <c r="H171" s="59">
        <v>0</v>
      </c>
      <c r="I171" s="59">
        <v>0</v>
      </c>
      <c r="J171" s="59">
        <v>0</v>
      </c>
      <c r="K171" s="59">
        <v>0</v>
      </c>
      <c r="L171" s="59">
        <v>0</v>
      </c>
      <c r="M171" s="59">
        <v>0</v>
      </c>
      <c r="N171" s="59">
        <v>0</v>
      </c>
    </row>
    <row r="172" spans="1:14">
      <c r="A172" s="59" t="s">
        <v>585</v>
      </c>
      <c r="B172" s="59" t="s">
        <v>586</v>
      </c>
      <c r="C172" s="59">
        <v>0.74</v>
      </c>
      <c r="D172" s="59">
        <v>0</v>
      </c>
      <c r="E172" s="59">
        <v>14</v>
      </c>
      <c r="F172" s="59">
        <v>9</v>
      </c>
      <c r="G172" s="59"/>
      <c r="H172" s="59">
        <v>0</v>
      </c>
      <c r="I172" s="59">
        <v>0</v>
      </c>
      <c r="J172" s="59">
        <v>0</v>
      </c>
      <c r="K172" s="59">
        <v>0</v>
      </c>
      <c r="L172" s="59">
        <v>0</v>
      </c>
      <c r="M172" s="59">
        <v>0</v>
      </c>
      <c r="N172" s="59">
        <v>0</v>
      </c>
    </row>
    <row r="173" spans="1:14">
      <c r="A173" s="59" t="s">
        <v>587</v>
      </c>
      <c r="B173" s="59" t="s">
        <v>588</v>
      </c>
      <c r="C173" s="59">
        <v>20</v>
      </c>
      <c r="D173" s="59">
        <v>20</v>
      </c>
      <c r="E173" s="59">
        <v>0</v>
      </c>
      <c r="F173" s="59">
        <v>0</v>
      </c>
      <c r="G173" s="59"/>
      <c r="H173" s="59">
        <v>0</v>
      </c>
      <c r="I173" s="59">
        <v>0</v>
      </c>
      <c r="J173" s="59">
        <v>0</v>
      </c>
      <c r="K173" s="59">
        <v>0</v>
      </c>
      <c r="L173" s="59">
        <v>0</v>
      </c>
      <c r="M173" s="59">
        <v>0</v>
      </c>
      <c r="N173" s="59">
        <v>0</v>
      </c>
    </row>
    <row r="174" spans="1:14">
      <c r="A174" s="59" t="s">
        <v>587</v>
      </c>
      <c r="B174" s="59" t="s">
        <v>589</v>
      </c>
      <c r="C174" s="59">
        <v>20</v>
      </c>
      <c r="D174" s="59">
        <v>20</v>
      </c>
      <c r="E174" s="59">
        <v>0</v>
      </c>
      <c r="F174" s="59">
        <v>0</v>
      </c>
      <c r="G174" s="59"/>
      <c r="H174" s="59">
        <v>0</v>
      </c>
      <c r="I174" s="59">
        <v>0</v>
      </c>
      <c r="J174" s="59">
        <v>0</v>
      </c>
      <c r="K174" s="59">
        <v>0</v>
      </c>
      <c r="L174" s="59">
        <v>0</v>
      </c>
      <c r="M174" s="59">
        <v>0</v>
      </c>
      <c r="N174" s="59">
        <v>0</v>
      </c>
    </row>
    <row r="175" spans="1:14">
      <c r="A175" s="59" t="s">
        <v>590</v>
      </c>
      <c r="B175" s="59" t="s">
        <v>591</v>
      </c>
      <c r="C175" s="59">
        <v>33.53</v>
      </c>
      <c r="D175" s="59">
        <v>33</v>
      </c>
      <c r="E175" s="59">
        <v>10</v>
      </c>
      <c r="F175" s="59">
        <v>6.5</v>
      </c>
      <c r="G175" s="59"/>
      <c r="H175" s="59">
        <v>0</v>
      </c>
      <c r="I175" s="59">
        <v>0</v>
      </c>
      <c r="J175" s="59">
        <v>0</v>
      </c>
      <c r="K175" s="59">
        <v>0</v>
      </c>
      <c r="L175" s="59">
        <v>0</v>
      </c>
      <c r="M175" s="59">
        <v>0</v>
      </c>
      <c r="N175" s="59">
        <v>0</v>
      </c>
    </row>
    <row r="176" spans="1:14">
      <c r="A176" s="59" t="s">
        <v>592</v>
      </c>
      <c r="B176" s="59" t="s">
        <v>593</v>
      </c>
      <c r="C176" s="59">
        <v>65</v>
      </c>
      <c r="D176" s="59">
        <v>64</v>
      </c>
      <c r="E176" s="59">
        <v>19</v>
      </c>
      <c r="F176" s="59">
        <v>11.5</v>
      </c>
      <c r="G176" s="59"/>
      <c r="H176" s="59">
        <v>0</v>
      </c>
      <c r="I176" s="59">
        <v>0</v>
      </c>
      <c r="J176" s="59">
        <v>0</v>
      </c>
      <c r="K176" s="59">
        <v>0</v>
      </c>
      <c r="L176" s="59">
        <v>0</v>
      </c>
      <c r="M176" s="59">
        <v>0</v>
      </c>
      <c r="N176" s="59">
        <v>0</v>
      </c>
    </row>
    <row r="177" spans="1:14">
      <c r="A177" s="59" t="s">
        <v>594</v>
      </c>
      <c r="B177" s="59" t="s">
        <v>595</v>
      </c>
      <c r="C177" s="59">
        <v>0.33</v>
      </c>
      <c r="D177" s="59">
        <v>0</v>
      </c>
      <c r="E177" s="59">
        <v>6</v>
      </c>
      <c r="F177" s="59">
        <v>8</v>
      </c>
      <c r="G177" s="59"/>
      <c r="H177" s="59">
        <v>0</v>
      </c>
      <c r="I177" s="59">
        <v>0</v>
      </c>
      <c r="J177" s="59">
        <v>0</v>
      </c>
      <c r="K177" s="59">
        <v>0</v>
      </c>
      <c r="L177" s="59">
        <v>0</v>
      </c>
      <c r="M177" s="59">
        <v>0</v>
      </c>
      <c r="N177" s="59">
        <v>0</v>
      </c>
    </row>
    <row r="178" spans="1:14">
      <c r="A178" s="59" t="s">
        <v>594</v>
      </c>
      <c r="B178" s="59" t="s">
        <v>596</v>
      </c>
      <c r="C178" s="59">
        <v>0.33</v>
      </c>
      <c r="D178" s="59">
        <v>0</v>
      </c>
      <c r="E178" s="59">
        <v>6</v>
      </c>
      <c r="F178" s="59">
        <v>8</v>
      </c>
      <c r="G178" s="59"/>
      <c r="H178" s="59">
        <v>0</v>
      </c>
      <c r="I178" s="59">
        <v>0</v>
      </c>
      <c r="J178" s="59">
        <v>0</v>
      </c>
      <c r="K178" s="59">
        <v>0</v>
      </c>
      <c r="L178" s="59">
        <v>0</v>
      </c>
      <c r="M178" s="59">
        <v>0</v>
      </c>
      <c r="N178" s="59">
        <v>0</v>
      </c>
    </row>
    <row r="179" spans="1:14">
      <c r="A179" s="59" t="s">
        <v>597</v>
      </c>
      <c r="B179" s="59" t="s">
        <v>598</v>
      </c>
      <c r="C179" s="59">
        <v>64.66</v>
      </c>
      <c r="D179" s="59">
        <v>64</v>
      </c>
      <c r="E179" s="59">
        <v>13</v>
      </c>
      <c r="F179" s="59">
        <v>3.5</v>
      </c>
      <c r="G179" s="59"/>
      <c r="H179" s="59">
        <v>0</v>
      </c>
      <c r="I179" s="59">
        <v>0</v>
      </c>
      <c r="J179" s="59">
        <v>0</v>
      </c>
      <c r="K179" s="59">
        <v>0</v>
      </c>
      <c r="L179" s="59">
        <v>0</v>
      </c>
      <c r="M179" s="59">
        <v>0</v>
      </c>
      <c r="N179" s="59">
        <v>0</v>
      </c>
    </row>
    <row r="180" spans="1:14">
      <c r="A180" s="59" t="s">
        <v>597</v>
      </c>
      <c r="B180" s="59" t="s">
        <v>599</v>
      </c>
      <c r="C180" s="59">
        <v>64.66</v>
      </c>
      <c r="D180" s="59">
        <v>64</v>
      </c>
      <c r="E180" s="59">
        <v>13</v>
      </c>
      <c r="F180" s="59">
        <v>3.5</v>
      </c>
      <c r="G180" s="59"/>
      <c r="H180" s="59">
        <v>0</v>
      </c>
      <c r="I180" s="59">
        <v>0</v>
      </c>
      <c r="J180" s="59">
        <v>0</v>
      </c>
      <c r="K180" s="59">
        <v>0</v>
      </c>
      <c r="L180" s="59">
        <v>0</v>
      </c>
      <c r="M180" s="59">
        <v>0</v>
      </c>
      <c r="N180" s="59">
        <v>0</v>
      </c>
    </row>
    <row r="181" spans="1:14">
      <c r="A181" s="59" t="s">
        <v>600</v>
      </c>
      <c r="B181" s="59" t="s">
        <v>601</v>
      </c>
      <c r="C181" s="59">
        <v>65</v>
      </c>
      <c r="D181" s="59">
        <v>64</v>
      </c>
      <c r="E181" s="59">
        <v>19</v>
      </c>
      <c r="F181" s="59">
        <v>11.5</v>
      </c>
      <c r="G181" s="59"/>
      <c r="H181" s="59">
        <v>0</v>
      </c>
      <c r="I181" s="59">
        <v>0</v>
      </c>
      <c r="J181" s="59">
        <v>0</v>
      </c>
      <c r="K181" s="59">
        <v>0</v>
      </c>
      <c r="L181" s="59">
        <v>0</v>
      </c>
      <c r="M181" s="59">
        <v>0</v>
      </c>
      <c r="N181" s="59">
        <v>0</v>
      </c>
    </row>
    <row r="182" spans="1:14">
      <c r="A182" s="59" t="s">
        <v>602</v>
      </c>
      <c r="B182" s="59" t="s">
        <v>603</v>
      </c>
      <c r="C182" s="59">
        <v>0</v>
      </c>
      <c r="D182" s="59">
        <v>0</v>
      </c>
      <c r="E182" s="59">
        <v>0</v>
      </c>
      <c r="F182" s="59">
        <v>0</v>
      </c>
      <c r="G182" s="59" t="s">
        <v>602</v>
      </c>
      <c r="H182" s="59">
        <v>3</v>
      </c>
      <c r="I182" s="59">
        <v>0</v>
      </c>
      <c r="J182" s="59">
        <v>3</v>
      </c>
      <c r="K182" s="59">
        <v>3</v>
      </c>
      <c r="L182" s="59">
        <v>0</v>
      </c>
      <c r="M182" s="59">
        <v>3</v>
      </c>
      <c r="N182" s="59">
        <v>0</v>
      </c>
    </row>
    <row r="183" spans="1:14">
      <c r="A183" s="59" t="s">
        <v>602</v>
      </c>
      <c r="B183" s="59" t="s">
        <v>604</v>
      </c>
      <c r="C183" s="59">
        <v>0</v>
      </c>
      <c r="D183" s="59">
        <v>0</v>
      </c>
      <c r="E183" s="59">
        <v>0</v>
      </c>
      <c r="F183" s="59">
        <v>0</v>
      </c>
      <c r="G183" s="59"/>
      <c r="H183" s="59">
        <v>3</v>
      </c>
      <c r="I183" s="59">
        <v>0</v>
      </c>
      <c r="J183" s="59">
        <v>3</v>
      </c>
      <c r="K183" s="59">
        <v>3</v>
      </c>
      <c r="L183" s="59">
        <v>0</v>
      </c>
      <c r="M183" s="59">
        <v>3</v>
      </c>
      <c r="N183" s="59">
        <v>0</v>
      </c>
    </row>
    <row r="184" spans="1:14">
      <c r="A184" s="59" t="s">
        <v>602</v>
      </c>
      <c r="B184" s="59" t="s">
        <v>605</v>
      </c>
      <c r="C184" s="59">
        <v>0</v>
      </c>
      <c r="D184" s="59">
        <v>0</v>
      </c>
      <c r="E184" s="59">
        <v>0</v>
      </c>
      <c r="F184" s="59">
        <v>0</v>
      </c>
      <c r="G184" s="59"/>
      <c r="H184" s="59">
        <v>3</v>
      </c>
      <c r="I184" s="59">
        <v>0</v>
      </c>
      <c r="J184" s="59">
        <v>3</v>
      </c>
      <c r="K184" s="59">
        <v>3</v>
      </c>
      <c r="L184" s="59">
        <v>0</v>
      </c>
      <c r="M184" s="59">
        <v>3</v>
      </c>
      <c r="N184" s="59">
        <v>0</v>
      </c>
    </row>
    <row r="185" spans="1:14">
      <c r="A185" s="59" t="s">
        <v>606</v>
      </c>
      <c r="B185" s="59" t="s">
        <v>607</v>
      </c>
      <c r="C185" s="59">
        <v>0</v>
      </c>
      <c r="D185" s="59">
        <v>0</v>
      </c>
      <c r="E185" s="59">
        <v>0</v>
      </c>
      <c r="F185" s="59">
        <v>0</v>
      </c>
      <c r="G185" s="59" t="s">
        <v>606</v>
      </c>
      <c r="H185" s="59">
        <v>34</v>
      </c>
      <c r="I185" s="59">
        <v>0</v>
      </c>
      <c r="J185" s="59">
        <v>34</v>
      </c>
      <c r="K185" s="59">
        <v>34</v>
      </c>
      <c r="L185" s="59">
        <v>0</v>
      </c>
      <c r="M185" s="59">
        <v>34</v>
      </c>
      <c r="N185" s="59">
        <v>0</v>
      </c>
    </row>
    <row r="186" spans="1:14">
      <c r="A186" s="59" t="s">
        <v>606</v>
      </c>
      <c r="B186" s="59" t="s">
        <v>608</v>
      </c>
      <c r="C186" s="59">
        <v>0</v>
      </c>
      <c r="D186" s="59">
        <v>0</v>
      </c>
      <c r="E186" s="59">
        <v>0</v>
      </c>
      <c r="F186" s="59">
        <v>0</v>
      </c>
      <c r="G186" s="59"/>
      <c r="H186" s="59">
        <v>34</v>
      </c>
      <c r="I186" s="59">
        <v>0</v>
      </c>
      <c r="J186" s="59">
        <v>34</v>
      </c>
      <c r="K186" s="59">
        <v>34</v>
      </c>
      <c r="L186" s="59">
        <v>0</v>
      </c>
      <c r="M186" s="59">
        <v>34</v>
      </c>
      <c r="N186" s="59">
        <v>0</v>
      </c>
    </row>
    <row r="187" spans="1:14">
      <c r="A187" s="59" t="s">
        <v>606</v>
      </c>
      <c r="B187" s="59" t="s">
        <v>609</v>
      </c>
      <c r="C187" s="59">
        <v>0</v>
      </c>
      <c r="D187" s="59">
        <v>0</v>
      </c>
      <c r="E187" s="59">
        <v>0</v>
      </c>
      <c r="F187" s="59">
        <v>0</v>
      </c>
      <c r="G187" s="59"/>
      <c r="H187" s="59">
        <v>34</v>
      </c>
      <c r="I187" s="59">
        <v>0</v>
      </c>
      <c r="J187" s="59">
        <v>34</v>
      </c>
      <c r="K187" s="59">
        <v>34</v>
      </c>
      <c r="L187" s="59">
        <v>0</v>
      </c>
      <c r="M187" s="59">
        <v>34</v>
      </c>
      <c r="N187" s="59">
        <v>0</v>
      </c>
    </row>
    <row r="188" spans="1:14">
      <c r="A188" s="59" t="s">
        <v>610</v>
      </c>
      <c r="B188" s="59" t="s">
        <v>611</v>
      </c>
      <c r="C188" s="59">
        <v>0</v>
      </c>
      <c r="D188" s="59">
        <v>0</v>
      </c>
      <c r="E188" s="59">
        <v>0</v>
      </c>
      <c r="F188" s="59">
        <v>0</v>
      </c>
      <c r="G188" s="59" t="s">
        <v>610</v>
      </c>
      <c r="H188" s="59">
        <v>30</v>
      </c>
      <c r="I188" s="59">
        <v>0</v>
      </c>
      <c r="J188" s="59">
        <v>30</v>
      </c>
      <c r="K188" s="59">
        <v>30</v>
      </c>
      <c r="L188" s="59">
        <v>0</v>
      </c>
      <c r="M188" s="59">
        <v>30</v>
      </c>
      <c r="N188" s="59">
        <v>0</v>
      </c>
    </row>
    <row r="189" spans="1:14">
      <c r="A189" s="59" t="s">
        <v>610</v>
      </c>
      <c r="B189" s="59" t="s">
        <v>612</v>
      </c>
      <c r="C189" s="59">
        <v>0</v>
      </c>
      <c r="D189" s="59">
        <v>0</v>
      </c>
      <c r="E189" s="59">
        <v>0</v>
      </c>
      <c r="F189" s="59">
        <v>0</v>
      </c>
      <c r="G189" s="59"/>
      <c r="H189" s="59">
        <v>30</v>
      </c>
      <c r="I189" s="59">
        <v>0</v>
      </c>
      <c r="J189" s="59">
        <v>30</v>
      </c>
      <c r="K189" s="59">
        <v>30</v>
      </c>
      <c r="L189" s="59">
        <v>0</v>
      </c>
      <c r="M189" s="59">
        <v>30</v>
      </c>
      <c r="N189" s="59">
        <v>0</v>
      </c>
    </row>
    <row r="190" spans="1:14">
      <c r="A190" s="59" t="s">
        <v>610</v>
      </c>
      <c r="B190" s="59" t="s">
        <v>613</v>
      </c>
      <c r="C190" s="59">
        <v>0</v>
      </c>
      <c r="D190" s="59">
        <v>0</v>
      </c>
      <c r="E190" s="59">
        <v>0</v>
      </c>
      <c r="F190" s="59">
        <v>0</v>
      </c>
      <c r="G190" s="59"/>
      <c r="H190" s="59">
        <v>30</v>
      </c>
      <c r="I190" s="59">
        <v>0</v>
      </c>
      <c r="J190" s="59">
        <v>30</v>
      </c>
      <c r="K190" s="59">
        <v>30</v>
      </c>
      <c r="L190" s="59">
        <v>0</v>
      </c>
      <c r="M190" s="59">
        <v>30</v>
      </c>
      <c r="N190" s="59">
        <v>0</v>
      </c>
    </row>
    <row r="191" spans="1:14">
      <c r="A191" s="59" t="s">
        <v>614</v>
      </c>
      <c r="B191" s="59" t="s">
        <v>615</v>
      </c>
      <c r="C191" s="59">
        <v>0</v>
      </c>
      <c r="D191" s="59">
        <v>0</v>
      </c>
      <c r="E191" s="59">
        <v>0</v>
      </c>
      <c r="F191" s="59">
        <v>0</v>
      </c>
      <c r="G191" s="59"/>
      <c r="H191" s="59">
        <v>0</v>
      </c>
      <c r="I191" s="59">
        <v>0</v>
      </c>
      <c r="J191" s="59">
        <v>0</v>
      </c>
      <c r="K191" s="59">
        <v>0</v>
      </c>
      <c r="L191" s="59">
        <v>0</v>
      </c>
      <c r="M191" s="59">
        <v>0</v>
      </c>
      <c r="N191" s="59">
        <v>0</v>
      </c>
    </row>
    <row r="192" spans="1:14">
      <c r="A192" s="59" t="s">
        <v>616</v>
      </c>
      <c r="B192" s="59" t="s">
        <v>617</v>
      </c>
      <c r="C192" s="59">
        <v>0</v>
      </c>
      <c r="D192" s="59">
        <v>0</v>
      </c>
      <c r="E192" s="59">
        <v>0</v>
      </c>
      <c r="F192" s="59">
        <v>0</v>
      </c>
      <c r="G192" s="59" t="s">
        <v>616</v>
      </c>
      <c r="H192" s="59">
        <v>10</v>
      </c>
      <c r="I192" s="59">
        <v>0</v>
      </c>
      <c r="J192" s="59">
        <v>10</v>
      </c>
      <c r="K192" s="59">
        <v>10</v>
      </c>
      <c r="L192" s="59">
        <v>0</v>
      </c>
      <c r="M192" s="59">
        <v>10</v>
      </c>
      <c r="N192" s="59">
        <v>0</v>
      </c>
    </row>
    <row r="193" spans="1:14">
      <c r="A193" s="59" t="s">
        <v>616</v>
      </c>
      <c r="B193" s="59" t="s">
        <v>618</v>
      </c>
      <c r="C193" s="59">
        <v>0</v>
      </c>
      <c r="D193" s="59">
        <v>0</v>
      </c>
      <c r="E193" s="59">
        <v>0</v>
      </c>
      <c r="F193" s="59">
        <v>0</v>
      </c>
      <c r="G193" s="59"/>
      <c r="H193" s="59">
        <v>10</v>
      </c>
      <c r="I193" s="59">
        <v>0</v>
      </c>
      <c r="J193" s="59">
        <v>10</v>
      </c>
      <c r="K193" s="59">
        <v>10</v>
      </c>
      <c r="L193" s="59">
        <v>0</v>
      </c>
      <c r="M193" s="59">
        <v>10</v>
      </c>
      <c r="N193" s="59">
        <v>0</v>
      </c>
    </row>
    <row r="194" spans="1:14">
      <c r="A194" s="59" t="s">
        <v>616</v>
      </c>
      <c r="B194" s="59" t="s">
        <v>619</v>
      </c>
      <c r="C194" s="59">
        <v>0</v>
      </c>
      <c r="D194" s="59">
        <v>0</v>
      </c>
      <c r="E194" s="59">
        <v>0</v>
      </c>
      <c r="F194" s="59">
        <v>0</v>
      </c>
      <c r="G194" s="59"/>
      <c r="H194" s="59">
        <v>10</v>
      </c>
      <c r="I194" s="59">
        <v>0</v>
      </c>
      <c r="J194" s="59">
        <v>10</v>
      </c>
      <c r="K194" s="59">
        <v>10</v>
      </c>
      <c r="L194" s="59">
        <v>0</v>
      </c>
      <c r="M194" s="59">
        <v>10</v>
      </c>
      <c r="N194" s="59">
        <v>0</v>
      </c>
    </row>
    <row r="195" spans="1:14">
      <c r="A195" s="59" t="s">
        <v>616</v>
      </c>
      <c r="B195" s="59" t="s">
        <v>620</v>
      </c>
      <c r="C195" s="59">
        <v>0</v>
      </c>
      <c r="D195" s="59">
        <v>0</v>
      </c>
      <c r="E195" s="59">
        <v>0</v>
      </c>
      <c r="F195" s="59">
        <v>0</v>
      </c>
      <c r="G195" s="59"/>
      <c r="H195" s="59">
        <v>0</v>
      </c>
      <c r="I195" s="59">
        <v>0</v>
      </c>
      <c r="J195" s="59">
        <v>0</v>
      </c>
      <c r="K195" s="59">
        <v>0</v>
      </c>
      <c r="L195" s="59">
        <v>0</v>
      </c>
      <c r="M195" s="59">
        <v>0</v>
      </c>
      <c r="N195" s="59">
        <v>0</v>
      </c>
    </row>
    <row r="196" spans="1:14">
      <c r="A196" s="59" t="s">
        <v>621</v>
      </c>
      <c r="B196" s="59" t="s">
        <v>622</v>
      </c>
      <c r="C196" s="59">
        <v>0</v>
      </c>
      <c r="D196" s="59">
        <v>0</v>
      </c>
      <c r="E196" s="59">
        <v>0</v>
      </c>
      <c r="F196" s="59">
        <v>0</v>
      </c>
      <c r="G196" s="59"/>
      <c r="H196" s="59">
        <v>0</v>
      </c>
      <c r="I196" s="59">
        <v>0</v>
      </c>
      <c r="J196" s="59">
        <v>0</v>
      </c>
      <c r="K196" s="59">
        <v>0</v>
      </c>
      <c r="L196" s="59">
        <v>0</v>
      </c>
      <c r="M196" s="59">
        <v>0</v>
      </c>
      <c r="N196" s="59">
        <v>0</v>
      </c>
    </row>
    <row r="197" spans="1:14">
      <c r="A197" s="59" t="s">
        <v>621</v>
      </c>
      <c r="B197" s="59" t="s">
        <v>623</v>
      </c>
      <c r="C197" s="59">
        <v>0</v>
      </c>
      <c r="D197" s="59">
        <v>0</v>
      </c>
      <c r="E197" s="59">
        <v>0</v>
      </c>
      <c r="F197" s="59">
        <v>0</v>
      </c>
      <c r="G197" s="59"/>
      <c r="H197" s="59">
        <v>0</v>
      </c>
      <c r="I197" s="59">
        <v>0</v>
      </c>
      <c r="J197" s="59">
        <v>0</v>
      </c>
      <c r="K197" s="59">
        <v>0</v>
      </c>
      <c r="L197" s="59">
        <v>0</v>
      </c>
      <c r="M197" s="59">
        <v>0</v>
      </c>
      <c r="N197" s="59">
        <v>0</v>
      </c>
    </row>
    <row r="198" spans="1:14">
      <c r="A198" s="59" t="s">
        <v>621</v>
      </c>
      <c r="B198" s="59" t="s">
        <v>624</v>
      </c>
      <c r="C198" s="59">
        <v>0</v>
      </c>
      <c r="D198" s="59">
        <v>0</v>
      </c>
      <c r="E198" s="59">
        <v>0</v>
      </c>
      <c r="F198" s="59">
        <v>0</v>
      </c>
      <c r="G198" s="59"/>
      <c r="H198" s="59">
        <v>0</v>
      </c>
      <c r="I198" s="59">
        <v>0</v>
      </c>
      <c r="J198" s="59">
        <v>0</v>
      </c>
      <c r="K198" s="59">
        <v>0</v>
      </c>
      <c r="L198" s="59">
        <v>0</v>
      </c>
      <c r="M198" s="59">
        <v>0</v>
      </c>
      <c r="N198" s="59">
        <v>0</v>
      </c>
    </row>
    <row r="199" spans="1:14">
      <c r="A199" s="59" t="s">
        <v>621</v>
      </c>
      <c r="B199" s="59" t="s">
        <v>625</v>
      </c>
      <c r="C199" s="59">
        <v>1</v>
      </c>
      <c r="D199" s="59">
        <v>1</v>
      </c>
      <c r="E199" s="59">
        <v>0</v>
      </c>
      <c r="F199" s="59">
        <v>0</v>
      </c>
      <c r="G199" s="59"/>
      <c r="H199" s="59">
        <v>0</v>
      </c>
      <c r="I199" s="59">
        <v>0</v>
      </c>
      <c r="J199" s="59">
        <v>0</v>
      </c>
      <c r="K199" s="59">
        <v>0</v>
      </c>
      <c r="L199" s="59">
        <v>0</v>
      </c>
      <c r="M199" s="59">
        <v>0</v>
      </c>
      <c r="N199" s="59">
        <v>0</v>
      </c>
    </row>
    <row r="200" spans="1:14">
      <c r="A200" s="59" t="s">
        <v>621</v>
      </c>
      <c r="B200" s="59" t="s">
        <v>626</v>
      </c>
      <c r="C200" s="59">
        <v>0</v>
      </c>
      <c r="D200" s="59">
        <v>0</v>
      </c>
      <c r="E200" s="59">
        <v>0</v>
      </c>
      <c r="F200" s="59">
        <v>0</v>
      </c>
      <c r="G200" s="59"/>
      <c r="H200" s="59">
        <v>0</v>
      </c>
      <c r="I200" s="59">
        <v>0</v>
      </c>
      <c r="J200" s="59">
        <v>0</v>
      </c>
      <c r="K200" s="59">
        <v>0</v>
      </c>
      <c r="L200" s="59">
        <v>0</v>
      </c>
      <c r="M200" s="59">
        <v>0</v>
      </c>
      <c r="N200" s="59">
        <v>0</v>
      </c>
    </row>
    <row r="201" spans="1:14">
      <c r="A201" s="59" t="s">
        <v>621</v>
      </c>
      <c r="B201" s="59" t="s">
        <v>627</v>
      </c>
      <c r="C201" s="59">
        <v>2</v>
      </c>
      <c r="D201" s="59">
        <v>2</v>
      </c>
      <c r="E201" s="59">
        <v>0</v>
      </c>
      <c r="F201" s="59">
        <v>0</v>
      </c>
      <c r="G201" s="59"/>
      <c r="H201" s="59">
        <v>0</v>
      </c>
      <c r="I201" s="59">
        <v>0</v>
      </c>
      <c r="J201" s="59">
        <v>0</v>
      </c>
      <c r="K201" s="59">
        <v>0</v>
      </c>
      <c r="L201" s="59">
        <v>0</v>
      </c>
      <c r="M201" s="59">
        <v>0</v>
      </c>
      <c r="N201" s="59">
        <v>0</v>
      </c>
    </row>
    <row r="202" spans="1:14">
      <c r="A202" s="59" t="s">
        <v>621</v>
      </c>
      <c r="B202" s="59" t="s">
        <v>628</v>
      </c>
      <c r="C202" s="59">
        <v>0</v>
      </c>
      <c r="D202" s="59">
        <v>0</v>
      </c>
      <c r="E202" s="59">
        <v>0</v>
      </c>
      <c r="F202" s="59">
        <v>0</v>
      </c>
      <c r="G202" s="59"/>
      <c r="H202" s="59">
        <v>0</v>
      </c>
      <c r="I202" s="59">
        <v>0</v>
      </c>
      <c r="J202" s="59">
        <v>0</v>
      </c>
      <c r="K202" s="59">
        <v>0</v>
      </c>
      <c r="L202" s="59">
        <v>0</v>
      </c>
      <c r="M202" s="59">
        <v>0</v>
      </c>
      <c r="N202" s="59">
        <v>0</v>
      </c>
    </row>
    <row r="203" spans="1:14">
      <c r="A203" s="59" t="s">
        <v>621</v>
      </c>
      <c r="B203" s="59" t="s">
        <v>629</v>
      </c>
      <c r="C203" s="59">
        <v>0</v>
      </c>
      <c r="D203" s="59">
        <v>0</v>
      </c>
      <c r="E203" s="59">
        <v>0</v>
      </c>
      <c r="F203" s="59">
        <v>0</v>
      </c>
      <c r="G203" s="59"/>
      <c r="H203" s="59">
        <v>0</v>
      </c>
      <c r="I203" s="59">
        <v>0</v>
      </c>
      <c r="J203" s="59">
        <v>0</v>
      </c>
      <c r="K203" s="59">
        <v>0</v>
      </c>
      <c r="L203" s="59">
        <v>0</v>
      </c>
      <c r="M203" s="59">
        <v>0</v>
      </c>
      <c r="N203" s="59">
        <v>0</v>
      </c>
    </row>
    <row r="204" spans="1:14">
      <c r="A204" s="59" t="s">
        <v>621</v>
      </c>
      <c r="B204" s="59" t="s">
        <v>615</v>
      </c>
      <c r="C204" s="59">
        <v>0</v>
      </c>
      <c r="D204" s="59">
        <v>0</v>
      </c>
      <c r="E204" s="59">
        <v>0</v>
      </c>
      <c r="F204" s="59">
        <v>0</v>
      </c>
      <c r="G204" s="59"/>
      <c r="H204" s="59">
        <v>0</v>
      </c>
      <c r="I204" s="59">
        <v>0</v>
      </c>
      <c r="J204" s="59">
        <v>0</v>
      </c>
      <c r="K204" s="59">
        <v>0</v>
      </c>
      <c r="L204" s="59">
        <v>0</v>
      </c>
      <c r="M204" s="59">
        <v>0</v>
      </c>
      <c r="N204" s="59">
        <v>0</v>
      </c>
    </row>
    <row r="205" spans="1:14">
      <c r="A205" s="59" t="s">
        <v>621</v>
      </c>
      <c r="B205" s="59" t="s">
        <v>630</v>
      </c>
      <c r="C205" s="59">
        <v>0</v>
      </c>
      <c r="D205" s="59">
        <v>0</v>
      </c>
      <c r="E205" s="59">
        <v>0</v>
      </c>
      <c r="F205" s="59">
        <v>0</v>
      </c>
      <c r="G205" s="59"/>
      <c r="H205" s="59">
        <v>0</v>
      </c>
      <c r="I205" s="59">
        <v>0</v>
      </c>
      <c r="J205" s="59">
        <v>0</v>
      </c>
      <c r="K205" s="59">
        <v>0</v>
      </c>
      <c r="L205" s="59">
        <v>0</v>
      </c>
      <c r="M205" s="59">
        <v>0</v>
      </c>
      <c r="N205" s="59">
        <v>0</v>
      </c>
    </row>
    <row r="206" spans="1:14">
      <c r="A206" s="59" t="s">
        <v>621</v>
      </c>
      <c r="B206" s="59" t="s">
        <v>631</v>
      </c>
      <c r="C206" s="59">
        <v>0.5</v>
      </c>
      <c r="D206" s="59">
        <v>0</v>
      </c>
      <c r="E206" s="59">
        <v>10</v>
      </c>
      <c r="F206" s="59">
        <v>0</v>
      </c>
      <c r="G206" s="59"/>
      <c r="H206" s="59">
        <v>0</v>
      </c>
      <c r="I206" s="59">
        <v>0</v>
      </c>
      <c r="J206" s="59">
        <v>0</v>
      </c>
      <c r="K206" s="59">
        <v>0</v>
      </c>
      <c r="L206" s="59">
        <v>0</v>
      </c>
      <c r="M206" s="59">
        <v>0</v>
      </c>
      <c r="N206" s="59">
        <v>0</v>
      </c>
    </row>
    <row r="207" spans="1:14">
      <c r="A207" s="59" t="s">
        <v>621</v>
      </c>
      <c r="B207" s="59" t="s">
        <v>632</v>
      </c>
      <c r="C207" s="59">
        <v>0</v>
      </c>
      <c r="D207" s="59">
        <v>0</v>
      </c>
      <c r="E207" s="59">
        <v>0</v>
      </c>
      <c r="F207" s="59">
        <v>0</v>
      </c>
      <c r="G207" s="59"/>
      <c r="H207" s="59">
        <v>0</v>
      </c>
      <c r="I207" s="59">
        <v>0</v>
      </c>
      <c r="J207" s="59">
        <v>0</v>
      </c>
      <c r="K207" s="59">
        <v>0</v>
      </c>
      <c r="L207" s="59">
        <v>0</v>
      </c>
      <c r="M207" s="59">
        <v>0</v>
      </c>
      <c r="N207" s="59">
        <v>0</v>
      </c>
    </row>
    <row r="208" spans="1:14">
      <c r="A208" s="59" t="s">
        <v>621</v>
      </c>
      <c r="B208" s="59" t="s">
        <v>633</v>
      </c>
      <c r="C208" s="59">
        <v>0</v>
      </c>
      <c r="D208" s="59">
        <v>0</v>
      </c>
      <c r="E208" s="59">
        <v>0</v>
      </c>
      <c r="F208" s="59">
        <v>0</v>
      </c>
      <c r="G208" s="59"/>
      <c r="H208" s="59">
        <v>0</v>
      </c>
      <c r="I208" s="59">
        <v>0</v>
      </c>
      <c r="J208" s="59">
        <v>0</v>
      </c>
      <c r="K208" s="59">
        <v>0</v>
      </c>
      <c r="L208" s="59">
        <v>0</v>
      </c>
      <c r="M208" s="59">
        <v>0</v>
      </c>
      <c r="N208" s="59">
        <v>0</v>
      </c>
    </row>
    <row r="209" spans="1:14">
      <c r="A209" s="59" t="s">
        <v>621</v>
      </c>
      <c r="B209" s="59" t="s">
        <v>634</v>
      </c>
      <c r="C209" s="59">
        <v>0</v>
      </c>
      <c r="D209" s="59">
        <v>0</v>
      </c>
      <c r="E209" s="59">
        <v>0</v>
      </c>
      <c r="F209" s="59">
        <v>0</v>
      </c>
      <c r="G209" s="59"/>
      <c r="H209" s="59">
        <v>0</v>
      </c>
      <c r="I209" s="59">
        <v>0</v>
      </c>
      <c r="J209" s="59">
        <v>0</v>
      </c>
      <c r="K209" s="59">
        <v>0</v>
      </c>
      <c r="L209" s="59">
        <v>0</v>
      </c>
      <c r="M209" s="59">
        <v>0</v>
      </c>
      <c r="N209" s="59">
        <v>0</v>
      </c>
    </row>
    <row r="210" spans="1:14">
      <c r="A210" s="59" t="s">
        <v>621</v>
      </c>
      <c r="B210" s="59" t="s">
        <v>635</v>
      </c>
      <c r="C210" s="59">
        <v>0</v>
      </c>
      <c r="D210" s="59">
        <v>0</v>
      </c>
      <c r="E210" s="59">
        <v>0</v>
      </c>
      <c r="F210" s="59">
        <v>0</v>
      </c>
      <c r="G210" s="59"/>
      <c r="H210" s="59">
        <v>0</v>
      </c>
      <c r="I210" s="59">
        <v>0</v>
      </c>
      <c r="J210" s="59">
        <v>0</v>
      </c>
      <c r="K210" s="59">
        <v>0</v>
      </c>
      <c r="L210" s="59">
        <v>0</v>
      </c>
      <c r="M210" s="59">
        <v>0</v>
      </c>
      <c r="N210" s="59">
        <v>0</v>
      </c>
    </row>
    <row r="211" spans="1:14">
      <c r="A211" s="59" t="s">
        <v>621</v>
      </c>
      <c r="B211" s="59" t="s">
        <v>636</v>
      </c>
      <c r="C211" s="59">
        <v>0</v>
      </c>
      <c r="D211" s="59">
        <v>0</v>
      </c>
      <c r="E211" s="59">
        <v>0</v>
      </c>
      <c r="F211" s="59">
        <v>0</v>
      </c>
      <c r="G211" s="59"/>
      <c r="H211" s="59">
        <v>0</v>
      </c>
      <c r="I211" s="59">
        <v>0</v>
      </c>
      <c r="J211" s="59">
        <v>0</v>
      </c>
      <c r="K211" s="59">
        <v>0</v>
      </c>
      <c r="L211" s="59">
        <v>0</v>
      </c>
      <c r="M211" s="59">
        <v>0</v>
      </c>
      <c r="N211" s="59">
        <v>0</v>
      </c>
    </row>
    <row r="212" spans="1:14">
      <c r="A212" s="59" t="s">
        <v>621</v>
      </c>
      <c r="B212" s="59" t="s">
        <v>637</v>
      </c>
      <c r="C212" s="59">
        <v>0</v>
      </c>
      <c r="D212" s="59">
        <v>0</v>
      </c>
      <c r="E212" s="59">
        <v>0</v>
      </c>
      <c r="F212" s="59">
        <v>0</v>
      </c>
      <c r="G212" s="59"/>
      <c r="H212" s="59">
        <v>0</v>
      </c>
      <c r="I212" s="59">
        <v>0</v>
      </c>
      <c r="J212" s="59">
        <v>0</v>
      </c>
      <c r="K212" s="59">
        <v>0</v>
      </c>
      <c r="L212" s="59">
        <v>0</v>
      </c>
      <c r="M212" s="59">
        <v>0</v>
      </c>
      <c r="N212" s="59">
        <v>0</v>
      </c>
    </row>
    <row r="213" spans="1:14">
      <c r="A213" s="59" t="s">
        <v>621</v>
      </c>
      <c r="B213" s="59" t="s">
        <v>638</v>
      </c>
      <c r="C213" s="59">
        <v>0.5</v>
      </c>
      <c r="D213" s="59">
        <v>0</v>
      </c>
      <c r="E213" s="59">
        <v>10</v>
      </c>
      <c r="F213" s="59">
        <v>0</v>
      </c>
      <c r="G213" s="59"/>
      <c r="H213" s="59">
        <v>0</v>
      </c>
      <c r="I213" s="59">
        <v>0</v>
      </c>
      <c r="J213" s="59">
        <v>0</v>
      </c>
      <c r="K213" s="59">
        <v>0</v>
      </c>
      <c r="L213" s="59">
        <v>0</v>
      </c>
      <c r="M213" s="59">
        <v>0</v>
      </c>
      <c r="N213" s="59">
        <v>0</v>
      </c>
    </row>
    <row r="214" spans="1:14">
      <c r="A214" s="59" t="s">
        <v>621</v>
      </c>
      <c r="B214" s="59" t="s">
        <v>639</v>
      </c>
      <c r="C214" s="59">
        <v>0</v>
      </c>
      <c r="D214" s="59">
        <v>0</v>
      </c>
      <c r="E214" s="59">
        <v>0</v>
      </c>
      <c r="F214" s="59">
        <v>0</v>
      </c>
      <c r="G214" s="59"/>
      <c r="H214" s="59">
        <v>0</v>
      </c>
      <c r="I214" s="59">
        <v>0</v>
      </c>
      <c r="J214" s="59">
        <v>0</v>
      </c>
      <c r="K214" s="59">
        <v>0</v>
      </c>
      <c r="L214" s="59">
        <v>0</v>
      </c>
      <c r="M214" s="59">
        <v>0</v>
      </c>
      <c r="N214" s="59">
        <v>0</v>
      </c>
    </row>
    <row r="215" spans="1:14">
      <c r="A215" s="59" t="s">
        <v>621</v>
      </c>
      <c r="B215" s="59" t="s">
        <v>640</v>
      </c>
      <c r="C215" s="59">
        <v>0.17</v>
      </c>
      <c r="D215" s="59">
        <v>0</v>
      </c>
      <c r="E215" s="59">
        <v>3</v>
      </c>
      <c r="F215" s="59">
        <v>4</v>
      </c>
      <c r="G215" s="59"/>
      <c r="H215" s="59">
        <v>0</v>
      </c>
      <c r="I215" s="59">
        <v>0</v>
      </c>
      <c r="J215" s="59">
        <v>0</v>
      </c>
      <c r="K215" s="59">
        <v>0</v>
      </c>
      <c r="L215" s="59">
        <v>0</v>
      </c>
      <c r="M215" s="59">
        <v>0</v>
      </c>
      <c r="N215" s="59">
        <v>0</v>
      </c>
    </row>
    <row r="216" spans="1:14">
      <c r="A216" s="59" t="s">
        <v>621</v>
      </c>
      <c r="B216" s="59" t="s">
        <v>641</v>
      </c>
      <c r="C216" s="59">
        <v>0</v>
      </c>
      <c r="D216" s="59">
        <v>0</v>
      </c>
      <c r="E216" s="59">
        <v>0</v>
      </c>
      <c r="F216" s="59">
        <v>0</v>
      </c>
      <c r="G216" s="59"/>
      <c r="H216" s="59">
        <v>0</v>
      </c>
      <c r="I216" s="59">
        <v>0</v>
      </c>
      <c r="J216" s="59">
        <v>0</v>
      </c>
      <c r="K216" s="59">
        <v>0</v>
      </c>
      <c r="L216" s="59">
        <v>0</v>
      </c>
      <c r="M216" s="59">
        <v>0</v>
      </c>
      <c r="N216" s="59">
        <v>0</v>
      </c>
    </row>
    <row r="217" spans="1:14">
      <c r="A217" s="59" t="s">
        <v>621</v>
      </c>
      <c r="B217" s="59" t="s">
        <v>642</v>
      </c>
      <c r="C217" s="59">
        <v>0</v>
      </c>
      <c r="D217" s="59">
        <v>0</v>
      </c>
      <c r="E217" s="59">
        <v>0</v>
      </c>
      <c r="F217" s="59">
        <v>0</v>
      </c>
      <c r="G217" s="59"/>
      <c r="H217" s="59">
        <v>0</v>
      </c>
      <c r="I217" s="59">
        <v>0</v>
      </c>
      <c r="J217" s="59">
        <v>0</v>
      </c>
      <c r="K217" s="59">
        <v>0</v>
      </c>
      <c r="L217" s="59">
        <v>0</v>
      </c>
      <c r="M217" s="59">
        <v>0</v>
      </c>
      <c r="N217" s="59">
        <v>0</v>
      </c>
    </row>
    <row r="218" spans="1:14">
      <c r="A218" s="59" t="s">
        <v>621</v>
      </c>
      <c r="B218" s="59" t="s">
        <v>643</v>
      </c>
      <c r="C218" s="59">
        <v>0</v>
      </c>
      <c r="D218" s="59">
        <v>0</v>
      </c>
      <c r="E218" s="59">
        <v>0</v>
      </c>
      <c r="F218" s="59">
        <v>0</v>
      </c>
      <c r="G218" s="59"/>
      <c r="H218" s="59">
        <v>0</v>
      </c>
      <c r="I218" s="59">
        <v>0</v>
      </c>
      <c r="J218" s="59">
        <v>0</v>
      </c>
      <c r="K218" s="59">
        <v>0</v>
      </c>
      <c r="L218" s="59">
        <v>0</v>
      </c>
      <c r="M218" s="59">
        <v>0</v>
      </c>
      <c r="N218" s="59">
        <v>0</v>
      </c>
    </row>
    <row r="219" spans="1:14">
      <c r="A219" s="59" t="s">
        <v>621</v>
      </c>
      <c r="B219" s="59" t="s">
        <v>644</v>
      </c>
      <c r="C219" s="59">
        <v>0</v>
      </c>
      <c r="D219" s="59">
        <v>0</v>
      </c>
      <c r="E219" s="59">
        <v>0</v>
      </c>
      <c r="F219" s="59">
        <v>0</v>
      </c>
      <c r="G219" s="59"/>
      <c r="H219" s="59">
        <v>0</v>
      </c>
      <c r="I219" s="59">
        <v>0</v>
      </c>
      <c r="J219" s="59">
        <v>0</v>
      </c>
      <c r="K219" s="59">
        <v>0</v>
      </c>
      <c r="L219" s="59">
        <v>0</v>
      </c>
      <c r="M219" s="59">
        <v>0</v>
      </c>
      <c r="N219" s="59">
        <v>0</v>
      </c>
    </row>
    <row r="220" spans="1:14">
      <c r="A220" s="59" t="s">
        <v>621</v>
      </c>
      <c r="B220" s="59" t="s">
        <v>629</v>
      </c>
      <c r="C220" s="59">
        <v>0</v>
      </c>
      <c r="D220" s="59">
        <v>0</v>
      </c>
      <c r="E220" s="59">
        <v>0</v>
      </c>
      <c r="F220" s="59">
        <v>0</v>
      </c>
      <c r="G220" s="59"/>
      <c r="H220" s="59">
        <v>0</v>
      </c>
      <c r="I220" s="59">
        <v>0</v>
      </c>
      <c r="J220" s="59">
        <v>0</v>
      </c>
      <c r="K220" s="59">
        <v>0</v>
      </c>
      <c r="L220" s="59">
        <v>0</v>
      </c>
      <c r="M220" s="59">
        <v>0</v>
      </c>
      <c r="N220" s="59">
        <v>0</v>
      </c>
    </row>
    <row r="221" spans="1:14">
      <c r="A221" s="59" t="s">
        <v>621</v>
      </c>
      <c r="B221" s="59" t="s">
        <v>615</v>
      </c>
      <c r="C221" s="59">
        <v>0</v>
      </c>
      <c r="D221" s="59">
        <v>0</v>
      </c>
      <c r="E221" s="59">
        <v>0</v>
      </c>
      <c r="F221" s="59">
        <v>0</v>
      </c>
      <c r="G221" s="59"/>
      <c r="H221" s="59">
        <v>0</v>
      </c>
      <c r="I221" s="59">
        <v>0</v>
      </c>
      <c r="J221" s="59">
        <v>0</v>
      </c>
      <c r="K221" s="59">
        <v>0</v>
      </c>
      <c r="L221" s="59">
        <v>0</v>
      </c>
      <c r="M221" s="59">
        <v>0</v>
      </c>
      <c r="N221" s="59">
        <v>0</v>
      </c>
    </row>
    <row r="222" spans="1:14">
      <c r="A222" s="59" t="s">
        <v>621</v>
      </c>
      <c r="B222" s="59" t="s">
        <v>645</v>
      </c>
      <c r="C222" s="59">
        <v>0</v>
      </c>
      <c r="D222" s="59">
        <v>0</v>
      </c>
      <c r="E222" s="59">
        <v>0</v>
      </c>
      <c r="F222" s="59">
        <v>0</v>
      </c>
      <c r="G222" s="59"/>
      <c r="H222" s="59">
        <v>0</v>
      </c>
      <c r="I222" s="59">
        <v>0</v>
      </c>
      <c r="J222" s="59">
        <v>0</v>
      </c>
      <c r="K222" s="59">
        <v>0</v>
      </c>
      <c r="L222" s="59">
        <v>0</v>
      </c>
      <c r="M222" s="59">
        <v>0</v>
      </c>
      <c r="N222" s="59">
        <v>0</v>
      </c>
    </row>
    <row r="223" spans="1:14">
      <c r="A223" s="59" t="s">
        <v>621</v>
      </c>
      <c r="B223" s="59" t="s">
        <v>646</v>
      </c>
      <c r="C223" s="59">
        <v>0</v>
      </c>
      <c r="D223" s="59">
        <v>0</v>
      </c>
      <c r="E223" s="59">
        <v>0</v>
      </c>
      <c r="F223" s="59">
        <v>0</v>
      </c>
      <c r="G223" s="59"/>
      <c r="H223" s="59">
        <v>0</v>
      </c>
      <c r="I223" s="59">
        <v>0</v>
      </c>
      <c r="J223" s="59">
        <v>0</v>
      </c>
      <c r="K223" s="59">
        <v>0</v>
      </c>
      <c r="L223" s="59">
        <v>0</v>
      </c>
      <c r="M223" s="59">
        <v>0</v>
      </c>
      <c r="N223" s="59">
        <v>0</v>
      </c>
    </row>
    <row r="224" spans="1:14">
      <c r="A224" s="59" t="s">
        <v>621</v>
      </c>
      <c r="B224" s="59" t="s">
        <v>647</v>
      </c>
      <c r="C224" s="59">
        <v>0</v>
      </c>
      <c r="D224" s="59">
        <v>0</v>
      </c>
      <c r="E224" s="59">
        <v>0</v>
      </c>
      <c r="F224" s="59">
        <v>0</v>
      </c>
      <c r="G224" s="59"/>
      <c r="H224" s="59">
        <v>0</v>
      </c>
      <c r="I224" s="59">
        <v>0</v>
      </c>
      <c r="J224" s="59">
        <v>0</v>
      </c>
      <c r="K224" s="59">
        <v>0</v>
      </c>
      <c r="L224" s="59">
        <v>0</v>
      </c>
      <c r="M224" s="59">
        <v>0</v>
      </c>
      <c r="N224" s="59">
        <v>0</v>
      </c>
    </row>
    <row r="225" spans="1:14">
      <c r="A225" s="59" t="s">
        <v>621</v>
      </c>
      <c r="B225" s="59" t="s">
        <v>648</v>
      </c>
      <c r="C225" s="59">
        <v>0</v>
      </c>
      <c r="D225" s="59">
        <v>0</v>
      </c>
      <c r="E225" s="59">
        <v>0</v>
      </c>
      <c r="F225" s="59">
        <v>0</v>
      </c>
      <c r="G225" s="59"/>
      <c r="H225" s="59">
        <v>0</v>
      </c>
      <c r="I225" s="59">
        <v>0</v>
      </c>
      <c r="J225" s="59">
        <v>0</v>
      </c>
      <c r="K225" s="59">
        <v>0</v>
      </c>
      <c r="L225" s="59">
        <v>0</v>
      </c>
      <c r="M225" s="59">
        <v>0</v>
      </c>
      <c r="N225" s="59">
        <v>0</v>
      </c>
    </row>
    <row r="226" spans="1:14">
      <c r="A226" s="59" t="s">
        <v>621</v>
      </c>
      <c r="B226" s="59" t="s">
        <v>649</v>
      </c>
      <c r="C226" s="59">
        <v>0</v>
      </c>
      <c r="D226" s="59">
        <v>0</v>
      </c>
      <c r="E226" s="59">
        <v>0</v>
      </c>
      <c r="F226" s="59">
        <v>0</v>
      </c>
      <c r="G226" s="59"/>
      <c r="H226" s="59">
        <v>0</v>
      </c>
      <c r="I226" s="59">
        <v>0</v>
      </c>
      <c r="J226" s="59">
        <v>0</v>
      </c>
      <c r="K226" s="59">
        <v>0</v>
      </c>
      <c r="L226" s="59">
        <v>0</v>
      </c>
      <c r="M226" s="59">
        <v>0</v>
      </c>
      <c r="N226" s="59">
        <v>0</v>
      </c>
    </row>
    <row r="227" spans="1:14">
      <c r="A227" s="59" t="s">
        <v>621</v>
      </c>
      <c r="B227" s="59" t="s">
        <v>650</v>
      </c>
      <c r="C227" s="59">
        <v>0</v>
      </c>
      <c r="D227" s="59">
        <v>0</v>
      </c>
      <c r="E227" s="59">
        <v>0</v>
      </c>
      <c r="F227" s="59">
        <v>0</v>
      </c>
      <c r="G227" s="59"/>
      <c r="H227" s="59">
        <v>0</v>
      </c>
      <c r="I227" s="59">
        <v>0</v>
      </c>
      <c r="J227" s="59">
        <v>0</v>
      </c>
      <c r="K227" s="59">
        <v>0</v>
      </c>
      <c r="L227" s="59">
        <v>0</v>
      </c>
      <c r="M227" s="59">
        <v>0</v>
      </c>
      <c r="N227" s="59">
        <v>0</v>
      </c>
    </row>
    <row r="228" spans="1:14">
      <c r="A228" s="59" t="s">
        <v>621</v>
      </c>
      <c r="B228" s="59" t="s">
        <v>651</v>
      </c>
      <c r="C228" s="59">
        <v>0</v>
      </c>
      <c r="D228" s="59">
        <v>0</v>
      </c>
      <c r="E228" s="59">
        <v>0</v>
      </c>
      <c r="F228" s="59">
        <v>0</v>
      </c>
      <c r="G228" s="59"/>
      <c r="H228" s="59">
        <v>0</v>
      </c>
      <c r="I228" s="59">
        <v>0</v>
      </c>
      <c r="J228" s="59">
        <v>0</v>
      </c>
      <c r="K228" s="59">
        <v>0</v>
      </c>
      <c r="L228" s="59">
        <v>0</v>
      </c>
      <c r="M228" s="59">
        <v>0</v>
      </c>
      <c r="N228" s="59">
        <v>0</v>
      </c>
    </row>
    <row r="229" spans="1:14">
      <c r="A229" s="59" t="s">
        <v>621</v>
      </c>
      <c r="B229" s="59" t="s">
        <v>652</v>
      </c>
      <c r="C229" s="59">
        <v>0</v>
      </c>
      <c r="D229" s="59">
        <v>0</v>
      </c>
      <c r="E229" s="59">
        <v>0</v>
      </c>
      <c r="F229" s="59">
        <v>0</v>
      </c>
      <c r="G229" s="59"/>
      <c r="H229" s="59">
        <v>0</v>
      </c>
      <c r="I229" s="59">
        <v>0</v>
      </c>
      <c r="J229" s="59">
        <v>0</v>
      </c>
      <c r="K229" s="59">
        <v>0</v>
      </c>
      <c r="L229" s="59">
        <v>0</v>
      </c>
      <c r="M229" s="59">
        <v>0</v>
      </c>
      <c r="N229" s="59">
        <v>0</v>
      </c>
    </row>
    <row r="230" spans="1:14">
      <c r="A230" s="59" t="s">
        <v>621</v>
      </c>
      <c r="B230" s="59" t="s">
        <v>653</v>
      </c>
      <c r="C230" s="59">
        <v>0</v>
      </c>
      <c r="D230" s="59">
        <v>0</v>
      </c>
      <c r="E230" s="59">
        <v>0</v>
      </c>
      <c r="F230" s="59">
        <v>0</v>
      </c>
      <c r="G230" s="59"/>
      <c r="H230" s="59">
        <v>0</v>
      </c>
      <c r="I230" s="59">
        <v>0</v>
      </c>
      <c r="J230" s="59">
        <v>0</v>
      </c>
      <c r="K230" s="59">
        <v>0</v>
      </c>
      <c r="L230" s="59">
        <v>0</v>
      </c>
      <c r="M230" s="59">
        <v>0</v>
      </c>
      <c r="N230" s="59">
        <v>0</v>
      </c>
    </row>
    <row r="231" spans="1:14">
      <c r="A231" s="59" t="s">
        <v>621</v>
      </c>
      <c r="B231" s="59" t="s">
        <v>654</v>
      </c>
      <c r="C231" s="59">
        <v>0</v>
      </c>
      <c r="D231" s="59">
        <v>0</v>
      </c>
      <c r="E231" s="59">
        <v>0</v>
      </c>
      <c r="F231" s="59">
        <v>0</v>
      </c>
      <c r="G231" s="59"/>
      <c r="H231" s="59">
        <v>0</v>
      </c>
      <c r="I231" s="59">
        <v>0</v>
      </c>
      <c r="J231" s="59">
        <v>0</v>
      </c>
      <c r="K231" s="59">
        <v>0</v>
      </c>
      <c r="L231" s="59">
        <v>0</v>
      </c>
      <c r="M231" s="59">
        <v>0</v>
      </c>
      <c r="N231" s="59">
        <v>0</v>
      </c>
    </row>
    <row r="232" spans="1:14">
      <c r="A232" s="59" t="s">
        <v>621</v>
      </c>
      <c r="B232" s="59" t="s">
        <v>655</v>
      </c>
      <c r="C232" s="59">
        <v>0</v>
      </c>
      <c r="D232" s="59">
        <v>0</v>
      </c>
      <c r="E232" s="59">
        <v>0</v>
      </c>
      <c r="F232" s="59">
        <v>0</v>
      </c>
      <c r="G232" s="59"/>
      <c r="H232" s="59">
        <v>0</v>
      </c>
      <c r="I232" s="59">
        <v>0</v>
      </c>
      <c r="J232" s="59">
        <v>0</v>
      </c>
      <c r="K232" s="59">
        <v>0</v>
      </c>
      <c r="L232" s="59">
        <v>0</v>
      </c>
      <c r="M232" s="59">
        <v>0</v>
      </c>
      <c r="N232" s="59">
        <v>0</v>
      </c>
    </row>
    <row r="233" spans="1:14">
      <c r="A233" s="59" t="s">
        <v>621</v>
      </c>
      <c r="B233" s="59" t="s">
        <v>656</v>
      </c>
      <c r="C233" s="59">
        <v>0</v>
      </c>
      <c r="D233" s="59">
        <v>0</v>
      </c>
      <c r="E233" s="59">
        <v>0</v>
      </c>
      <c r="F233" s="59">
        <v>0</v>
      </c>
      <c r="G233" s="59"/>
      <c r="H233" s="59">
        <v>0</v>
      </c>
      <c r="I233" s="59">
        <v>0</v>
      </c>
      <c r="J233" s="59">
        <v>0</v>
      </c>
      <c r="K233" s="59">
        <v>0</v>
      </c>
      <c r="L233" s="59">
        <v>0</v>
      </c>
      <c r="M233" s="59">
        <v>0</v>
      </c>
      <c r="N233" s="59">
        <v>0</v>
      </c>
    </row>
    <row r="234" spans="1:14">
      <c r="A234" s="59" t="s">
        <v>621</v>
      </c>
      <c r="B234" s="59" t="s">
        <v>657</v>
      </c>
      <c r="C234" s="59">
        <v>0</v>
      </c>
      <c r="D234" s="59">
        <v>0</v>
      </c>
      <c r="E234" s="59">
        <v>0</v>
      </c>
      <c r="F234" s="59">
        <v>0</v>
      </c>
      <c r="G234" s="59"/>
      <c r="H234" s="59">
        <v>0</v>
      </c>
      <c r="I234" s="59">
        <v>0</v>
      </c>
      <c r="J234" s="59">
        <v>0</v>
      </c>
      <c r="K234" s="59">
        <v>0</v>
      </c>
      <c r="L234" s="59">
        <v>0</v>
      </c>
      <c r="M234" s="59">
        <v>0</v>
      </c>
      <c r="N234" s="59">
        <v>0</v>
      </c>
    </row>
    <row r="235" spans="1:14">
      <c r="A235" s="59" t="s">
        <v>621</v>
      </c>
      <c r="B235" s="59" t="s">
        <v>658</v>
      </c>
      <c r="C235" s="59">
        <v>0</v>
      </c>
      <c r="D235" s="59">
        <v>0</v>
      </c>
      <c r="E235" s="59">
        <v>0</v>
      </c>
      <c r="F235" s="59">
        <v>0</v>
      </c>
      <c r="G235" s="59"/>
      <c r="H235" s="59">
        <v>0</v>
      </c>
      <c r="I235" s="59">
        <v>0</v>
      </c>
      <c r="J235" s="59">
        <v>0</v>
      </c>
      <c r="K235" s="59">
        <v>0</v>
      </c>
      <c r="L235" s="59">
        <v>0</v>
      </c>
      <c r="M235" s="59">
        <v>0</v>
      </c>
      <c r="N235" s="59">
        <v>0</v>
      </c>
    </row>
    <row r="236" spans="1:14">
      <c r="A236" s="59" t="s">
        <v>621</v>
      </c>
      <c r="B236" s="59" t="s">
        <v>659</v>
      </c>
      <c r="C236" s="59">
        <v>0</v>
      </c>
      <c r="D236" s="59">
        <v>0</v>
      </c>
      <c r="E236" s="59">
        <v>0</v>
      </c>
      <c r="F236" s="59">
        <v>0</v>
      </c>
      <c r="G236" s="59"/>
      <c r="H236" s="59">
        <v>0</v>
      </c>
      <c r="I236" s="59">
        <v>0</v>
      </c>
      <c r="J236" s="59">
        <v>0</v>
      </c>
      <c r="K236" s="59">
        <v>0</v>
      </c>
      <c r="L236" s="59">
        <v>0</v>
      </c>
      <c r="M236" s="59">
        <v>0</v>
      </c>
      <c r="N236" s="59">
        <v>0</v>
      </c>
    </row>
    <row r="237" spans="1:14">
      <c r="A237" s="59" t="s">
        <v>621</v>
      </c>
      <c r="B237" s="59" t="s">
        <v>615</v>
      </c>
      <c r="C237" s="59">
        <v>0</v>
      </c>
      <c r="D237" s="59">
        <v>0</v>
      </c>
      <c r="E237" s="59">
        <v>0</v>
      </c>
      <c r="F237" s="59">
        <v>0</v>
      </c>
      <c r="G237" s="59"/>
      <c r="H237" s="59">
        <v>0</v>
      </c>
      <c r="I237" s="59">
        <v>0</v>
      </c>
      <c r="J237" s="59">
        <v>0</v>
      </c>
      <c r="K237" s="59">
        <v>0</v>
      </c>
      <c r="L237" s="59">
        <v>0</v>
      </c>
      <c r="M237" s="59">
        <v>0</v>
      </c>
      <c r="N237" s="59">
        <v>0</v>
      </c>
    </row>
    <row r="238" spans="1:14">
      <c r="A238" s="59" t="s">
        <v>621</v>
      </c>
      <c r="B238" s="59" t="s">
        <v>660</v>
      </c>
      <c r="C238" s="59">
        <v>0</v>
      </c>
      <c r="D238" s="59">
        <v>0</v>
      </c>
      <c r="E238" s="59">
        <v>0</v>
      </c>
      <c r="F238" s="59">
        <v>0</v>
      </c>
      <c r="G238" s="59"/>
      <c r="H238" s="59">
        <v>0</v>
      </c>
      <c r="I238" s="59">
        <v>0</v>
      </c>
      <c r="J238" s="59">
        <v>0</v>
      </c>
      <c r="K238" s="59">
        <v>0</v>
      </c>
      <c r="L238" s="59">
        <v>0</v>
      </c>
      <c r="M238" s="59">
        <v>0</v>
      </c>
      <c r="N238" s="59">
        <v>0</v>
      </c>
    </row>
    <row r="239" spans="1:14">
      <c r="A239" s="59" t="s">
        <v>621</v>
      </c>
      <c r="B239" s="59" t="s">
        <v>661</v>
      </c>
      <c r="C239" s="59">
        <v>0</v>
      </c>
      <c r="D239" s="59">
        <v>0</v>
      </c>
      <c r="E239" s="59">
        <v>0</v>
      </c>
      <c r="F239" s="59">
        <v>0</v>
      </c>
      <c r="G239" s="59"/>
      <c r="H239" s="59">
        <v>0</v>
      </c>
      <c r="I239" s="59">
        <v>0</v>
      </c>
      <c r="J239" s="59">
        <v>0</v>
      </c>
      <c r="K239" s="59">
        <v>0</v>
      </c>
      <c r="L239" s="59">
        <v>0</v>
      </c>
      <c r="M239" s="59">
        <v>0</v>
      </c>
      <c r="N239" s="59">
        <v>0</v>
      </c>
    </row>
    <row r="240" spans="1:14">
      <c r="A240" s="59" t="s">
        <v>621</v>
      </c>
      <c r="B240" s="59" t="s">
        <v>662</v>
      </c>
      <c r="C240" s="59">
        <v>0</v>
      </c>
      <c r="D240" s="59">
        <v>0</v>
      </c>
      <c r="E240" s="59">
        <v>0</v>
      </c>
      <c r="F240" s="59">
        <v>0</v>
      </c>
      <c r="G240" s="59"/>
      <c r="H240" s="59">
        <v>0</v>
      </c>
      <c r="I240" s="59">
        <v>0</v>
      </c>
      <c r="J240" s="59">
        <v>0</v>
      </c>
      <c r="K240" s="59">
        <v>0</v>
      </c>
      <c r="L240" s="59">
        <v>0</v>
      </c>
      <c r="M240" s="59">
        <v>0</v>
      </c>
      <c r="N240" s="59">
        <v>0</v>
      </c>
    </row>
    <row r="241" spans="1:14">
      <c r="A241" s="59" t="s">
        <v>621</v>
      </c>
      <c r="B241" s="59" t="s">
        <v>663</v>
      </c>
      <c r="C241" s="59">
        <v>0</v>
      </c>
      <c r="D241" s="59">
        <v>0</v>
      </c>
      <c r="E241" s="59">
        <v>0</v>
      </c>
      <c r="F241" s="59">
        <v>0</v>
      </c>
      <c r="G241" s="59"/>
      <c r="H241" s="59">
        <v>0</v>
      </c>
      <c r="I241" s="59">
        <v>0</v>
      </c>
      <c r="J241" s="59">
        <v>0</v>
      </c>
      <c r="K241" s="59">
        <v>0</v>
      </c>
      <c r="L241" s="59">
        <v>0</v>
      </c>
      <c r="M241" s="59">
        <v>0</v>
      </c>
      <c r="N241" s="59">
        <v>0</v>
      </c>
    </row>
    <row r="242" spans="1:14">
      <c r="A242" s="59" t="s">
        <v>621</v>
      </c>
      <c r="B242" s="59" t="s">
        <v>664</v>
      </c>
      <c r="C242" s="59">
        <v>0</v>
      </c>
      <c r="D242" s="59">
        <v>0</v>
      </c>
      <c r="E242" s="59">
        <v>0</v>
      </c>
      <c r="F242" s="59">
        <v>0</v>
      </c>
      <c r="G242" s="59"/>
      <c r="H242" s="59">
        <v>0</v>
      </c>
      <c r="I242" s="59">
        <v>0</v>
      </c>
      <c r="J242" s="59">
        <v>0</v>
      </c>
      <c r="K242" s="59">
        <v>0</v>
      </c>
      <c r="L242" s="59">
        <v>0</v>
      </c>
      <c r="M242" s="59">
        <v>0</v>
      </c>
      <c r="N242" s="59">
        <v>0</v>
      </c>
    </row>
    <row r="243" spans="1:14">
      <c r="A243" s="59" t="s">
        <v>621</v>
      </c>
      <c r="B243" s="59" t="s">
        <v>665</v>
      </c>
      <c r="C243" s="59">
        <v>0</v>
      </c>
      <c r="D243" s="59">
        <v>0</v>
      </c>
      <c r="E243" s="59">
        <v>0</v>
      </c>
      <c r="F243" s="59">
        <v>0</v>
      </c>
      <c r="G243" s="59"/>
      <c r="H243" s="59">
        <v>0</v>
      </c>
      <c r="I243" s="59">
        <v>0</v>
      </c>
      <c r="J243" s="59">
        <v>0</v>
      </c>
      <c r="K243" s="59">
        <v>0</v>
      </c>
      <c r="L243" s="59">
        <v>0</v>
      </c>
      <c r="M243" s="59">
        <v>0</v>
      </c>
      <c r="N243" s="59">
        <v>0</v>
      </c>
    </row>
    <row r="244" spans="1:14">
      <c r="A244" s="59" t="s">
        <v>621</v>
      </c>
      <c r="B244" s="59" t="s">
        <v>666</v>
      </c>
      <c r="C244" s="59">
        <v>0</v>
      </c>
      <c r="D244" s="59">
        <v>0</v>
      </c>
      <c r="E244" s="59">
        <v>0</v>
      </c>
      <c r="F244" s="59">
        <v>0</v>
      </c>
      <c r="G244" s="59"/>
      <c r="H244" s="59">
        <v>0</v>
      </c>
      <c r="I244" s="59">
        <v>0</v>
      </c>
      <c r="J244" s="59">
        <v>0</v>
      </c>
      <c r="K244" s="59">
        <v>0</v>
      </c>
      <c r="L244" s="59">
        <v>0</v>
      </c>
      <c r="M244" s="59">
        <v>0</v>
      </c>
      <c r="N244" s="59">
        <v>0</v>
      </c>
    </row>
    <row r="245" spans="1:14">
      <c r="A245" s="59" t="s">
        <v>621</v>
      </c>
      <c r="B245" s="59" t="s">
        <v>667</v>
      </c>
      <c r="C245" s="59">
        <v>0</v>
      </c>
      <c r="D245" s="59">
        <v>0</v>
      </c>
      <c r="E245" s="59">
        <v>0</v>
      </c>
      <c r="F245" s="59">
        <v>0</v>
      </c>
      <c r="G245" s="59"/>
      <c r="H245" s="59">
        <v>0</v>
      </c>
      <c r="I245" s="59">
        <v>0</v>
      </c>
      <c r="J245" s="59">
        <v>0</v>
      </c>
      <c r="K245" s="59">
        <v>0</v>
      </c>
      <c r="L245" s="59">
        <v>0</v>
      </c>
      <c r="M245" s="59">
        <v>0</v>
      </c>
      <c r="N245" s="59">
        <v>0</v>
      </c>
    </row>
    <row r="246" spans="1:14">
      <c r="A246" s="59" t="s">
        <v>621</v>
      </c>
      <c r="B246" s="59" t="s">
        <v>668</v>
      </c>
      <c r="C246" s="59">
        <v>0</v>
      </c>
      <c r="D246" s="59">
        <v>0</v>
      </c>
      <c r="E246" s="59">
        <v>0</v>
      </c>
      <c r="F246" s="59">
        <v>0</v>
      </c>
      <c r="G246" s="59"/>
      <c r="H246" s="59">
        <v>0</v>
      </c>
      <c r="I246" s="59">
        <v>0</v>
      </c>
      <c r="J246" s="59">
        <v>0</v>
      </c>
      <c r="K246" s="59">
        <v>0</v>
      </c>
      <c r="L246" s="59">
        <v>0</v>
      </c>
      <c r="M246" s="59">
        <v>0</v>
      </c>
      <c r="N246" s="59">
        <v>0</v>
      </c>
    </row>
    <row r="247" spans="1:14">
      <c r="A247" s="59" t="s">
        <v>621</v>
      </c>
      <c r="B247" s="59" t="s">
        <v>669</v>
      </c>
      <c r="C247" s="59">
        <v>0</v>
      </c>
      <c r="D247" s="59">
        <v>0</v>
      </c>
      <c r="E247" s="59">
        <v>0</v>
      </c>
      <c r="F247" s="59">
        <v>0</v>
      </c>
      <c r="G247" s="59"/>
      <c r="H247" s="59">
        <v>0</v>
      </c>
      <c r="I247" s="59">
        <v>0</v>
      </c>
      <c r="J247" s="59">
        <v>0</v>
      </c>
      <c r="K247" s="59">
        <v>0</v>
      </c>
      <c r="L247" s="59">
        <v>0</v>
      </c>
      <c r="M247" s="59">
        <v>0</v>
      </c>
      <c r="N247" s="59">
        <v>0</v>
      </c>
    </row>
    <row r="248" spans="1:14">
      <c r="A248" s="59" t="s">
        <v>621</v>
      </c>
      <c r="B248" s="59" t="s">
        <v>615</v>
      </c>
      <c r="C248" s="59">
        <v>0</v>
      </c>
      <c r="D248" s="59">
        <v>0</v>
      </c>
      <c r="E248" s="59">
        <v>0</v>
      </c>
      <c r="F248" s="59">
        <v>0</v>
      </c>
      <c r="G248" s="59"/>
      <c r="H248" s="59">
        <v>0</v>
      </c>
      <c r="I248" s="59">
        <v>0</v>
      </c>
      <c r="J248" s="59">
        <v>0</v>
      </c>
      <c r="K248" s="59">
        <v>0</v>
      </c>
      <c r="L248" s="59">
        <v>0</v>
      </c>
      <c r="M248" s="59">
        <v>0</v>
      </c>
      <c r="N248" s="59">
        <v>0</v>
      </c>
    </row>
    <row r="249" spans="1:14">
      <c r="A249" s="59" t="s">
        <v>621</v>
      </c>
      <c r="B249" s="59" t="s">
        <v>670</v>
      </c>
      <c r="C249" s="59">
        <v>0</v>
      </c>
      <c r="D249" s="59">
        <v>0</v>
      </c>
      <c r="E249" s="59">
        <v>0</v>
      </c>
      <c r="F249" s="59">
        <v>0</v>
      </c>
      <c r="G249" s="59"/>
      <c r="H249" s="59">
        <v>0</v>
      </c>
      <c r="I249" s="59">
        <v>0</v>
      </c>
      <c r="J249" s="59">
        <v>0</v>
      </c>
      <c r="K249" s="59">
        <v>0</v>
      </c>
      <c r="L249" s="59">
        <v>0</v>
      </c>
      <c r="M249" s="59">
        <v>0</v>
      </c>
      <c r="N249" s="59">
        <v>0</v>
      </c>
    </row>
    <row r="250" spans="1:14">
      <c r="A250" s="59" t="s">
        <v>621</v>
      </c>
      <c r="B250" s="59" t="s">
        <v>671</v>
      </c>
      <c r="C250" s="59">
        <v>0</v>
      </c>
      <c r="D250" s="59">
        <v>0</v>
      </c>
      <c r="E250" s="59">
        <v>0</v>
      </c>
      <c r="F250" s="59">
        <v>0</v>
      </c>
      <c r="G250" s="59"/>
      <c r="H250" s="59">
        <v>0</v>
      </c>
      <c r="I250" s="59">
        <v>0</v>
      </c>
      <c r="J250" s="59">
        <v>0</v>
      </c>
      <c r="K250" s="59">
        <v>0</v>
      </c>
      <c r="L250" s="59">
        <v>0</v>
      </c>
      <c r="M250" s="59">
        <v>0</v>
      </c>
      <c r="N250" s="59">
        <v>0</v>
      </c>
    </row>
    <row r="251" spans="1:14">
      <c r="A251" s="59" t="s">
        <v>621</v>
      </c>
      <c r="B251" s="59" t="s">
        <v>672</v>
      </c>
      <c r="C251" s="59">
        <v>0</v>
      </c>
      <c r="D251" s="59">
        <v>0</v>
      </c>
      <c r="E251" s="59">
        <v>0</v>
      </c>
      <c r="F251" s="59">
        <v>0</v>
      </c>
      <c r="G251" s="59"/>
      <c r="H251" s="59">
        <v>0</v>
      </c>
      <c r="I251" s="59">
        <v>0</v>
      </c>
      <c r="J251" s="59">
        <v>0</v>
      </c>
      <c r="K251" s="59">
        <v>0</v>
      </c>
      <c r="L251" s="59">
        <v>0</v>
      </c>
      <c r="M251" s="59">
        <v>0</v>
      </c>
      <c r="N251" s="59">
        <v>0</v>
      </c>
    </row>
    <row r="252" spans="1:14">
      <c r="A252" s="59" t="s">
        <v>621</v>
      </c>
      <c r="B252" s="59" t="s">
        <v>673</v>
      </c>
      <c r="C252" s="59">
        <v>0</v>
      </c>
      <c r="D252" s="59">
        <v>0</v>
      </c>
      <c r="E252" s="59">
        <v>0</v>
      </c>
      <c r="F252" s="59">
        <v>0</v>
      </c>
      <c r="G252" s="59"/>
      <c r="H252" s="59">
        <v>0</v>
      </c>
      <c r="I252" s="59">
        <v>0</v>
      </c>
      <c r="J252" s="59">
        <v>0</v>
      </c>
      <c r="K252" s="59">
        <v>0</v>
      </c>
      <c r="L252" s="59">
        <v>0</v>
      </c>
      <c r="M252" s="59">
        <v>0</v>
      </c>
      <c r="N252" s="59">
        <v>0</v>
      </c>
    </row>
    <row r="253" spans="1:14">
      <c r="A253" s="59" t="s">
        <v>621</v>
      </c>
      <c r="B253" s="59" t="s">
        <v>674</v>
      </c>
      <c r="C253" s="59">
        <v>0</v>
      </c>
      <c r="D253" s="59">
        <v>0</v>
      </c>
      <c r="E253" s="59">
        <v>0</v>
      </c>
      <c r="F253" s="59">
        <v>0</v>
      </c>
      <c r="G253" s="59"/>
      <c r="H253" s="59">
        <v>6</v>
      </c>
      <c r="I253" s="59">
        <v>0</v>
      </c>
      <c r="J253" s="59">
        <v>6</v>
      </c>
      <c r="K253" s="59">
        <v>6</v>
      </c>
      <c r="L253" s="59">
        <v>0</v>
      </c>
      <c r="M253" s="59">
        <v>6</v>
      </c>
      <c r="N253" s="59">
        <v>0</v>
      </c>
    </row>
    <row r="254" spans="1:14">
      <c r="A254" s="59" t="s">
        <v>621</v>
      </c>
      <c r="B254" s="59" t="s">
        <v>675</v>
      </c>
      <c r="C254" s="59">
        <v>0</v>
      </c>
      <c r="D254" s="59">
        <v>0</v>
      </c>
      <c r="E254" s="59">
        <v>0</v>
      </c>
      <c r="F254" s="59">
        <v>0</v>
      </c>
      <c r="G254" s="59"/>
      <c r="H254" s="59">
        <v>4</v>
      </c>
      <c r="I254" s="59">
        <v>4</v>
      </c>
      <c r="J254" s="59">
        <v>4.5</v>
      </c>
      <c r="K254" s="59">
        <v>4.5</v>
      </c>
      <c r="L254" s="59">
        <v>0</v>
      </c>
      <c r="M254" s="59">
        <v>4</v>
      </c>
      <c r="N254" s="59">
        <v>4</v>
      </c>
    </row>
    <row r="255" spans="1:14">
      <c r="A255" s="59" t="s">
        <v>621</v>
      </c>
      <c r="B255" s="59" t="s">
        <v>676</v>
      </c>
      <c r="C255" s="59">
        <v>0</v>
      </c>
      <c r="D255" s="59">
        <v>0</v>
      </c>
      <c r="E255" s="59">
        <v>0</v>
      </c>
      <c r="F255" s="59">
        <v>0</v>
      </c>
      <c r="G255" s="59"/>
      <c r="H255" s="59">
        <v>8</v>
      </c>
      <c r="I255" s="59">
        <v>0</v>
      </c>
      <c r="J255" s="59">
        <v>8</v>
      </c>
      <c r="K255" s="59">
        <v>8</v>
      </c>
      <c r="L255" s="59">
        <v>0</v>
      </c>
      <c r="M255" s="59">
        <v>8</v>
      </c>
      <c r="N255" s="59">
        <v>0</v>
      </c>
    </row>
    <row r="256" spans="1:14">
      <c r="A256" s="59" t="s">
        <v>621</v>
      </c>
      <c r="B256" s="59" t="s">
        <v>677</v>
      </c>
      <c r="C256" s="59">
        <v>0</v>
      </c>
      <c r="D256" s="59">
        <v>0</v>
      </c>
      <c r="E256" s="59">
        <v>0</v>
      </c>
      <c r="F256" s="59">
        <v>0</v>
      </c>
      <c r="G256" s="59"/>
      <c r="H256" s="59">
        <v>18</v>
      </c>
      <c r="I256" s="59">
        <v>4</v>
      </c>
      <c r="J256" s="59">
        <v>18.5</v>
      </c>
      <c r="K256" s="59">
        <v>18.5</v>
      </c>
      <c r="L256" s="59">
        <v>0</v>
      </c>
      <c r="M256" s="59">
        <v>18</v>
      </c>
      <c r="N256" s="59">
        <v>4</v>
      </c>
    </row>
    <row r="257" spans="1:14">
      <c r="A257" s="59" t="s">
        <v>621</v>
      </c>
      <c r="B257" s="59" t="s">
        <v>678</v>
      </c>
      <c r="C257" s="59">
        <v>0</v>
      </c>
      <c r="D257" s="59">
        <v>0</v>
      </c>
      <c r="E257" s="59">
        <v>0</v>
      </c>
      <c r="F257" s="59">
        <v>0</v>
      </c>
      <c r="G257" s="59"/>
      <c r="H257" s="59">
        <v>0</v>
      </c>
      <c r="I257" s="59">
        <v>0</v>
      </c>
      <c r="J257" s="59">
        <v>0</v>
      </c>
      <c r="K257" s="59">
        <v>0</v>
      </c>
      <c r="L257" s="59">
        <v>0</v>
      </c>
      <c r="M257" s="59">
        <v>0</v>
      </c>
      <c r="N257" s="59">
        <v>0</v>
      </c>
    </row>
    <row r="258" spans="1:14">
      <c r="A258" s="59" t="s">
        <v>621</v>
      </c>
      <c r="B258" s="59" t="s">
        <v>679</v>
      </c>
      <c r="C258" s="59">
        <v>0</v>
      </c>
      <c r="D258" s="59">
        <v>0</v>
      </c>
      <c r="E258" s="59">
        <v>0</v>
      </c>
      <c r="F258" s="59">
        <v>0</v>
      </c>
      <c r="G258" s="59"/>
      <c r="H258" s="59">
        <v>0</v>
      </c>
      <c r="I258" s="59">
        <v>0</v>
      </c>
      <c r="J258" s="59">
        <v>0</v>
      </c>
      <c r="K258" s="59">
        <v>0</v>
      </c>
      <c r="L258" s="59">
        <v>0</v>
      </c>
      <c r="M258" s="59">
        <v>0</v>
      </c>
      <c r="N258" s="59">
        <v>0</v>
      </c>
    </row>
    <row r="259" spans="1:14">
      <c r="A259" s="59" t="s">
        <v>621</v>
      </c>
      <c r="B259" s="59" t="s">
        <v>680</v>
      </c>
      <c r="C259" s="59">
        <v>0</v>
      </c>
      <c r="D259" s="59">
        <v>0</v>
      </c>
      <c r="E259" s="59">
        <v>0</v>
      </c>
      <c r="F259" s="59">
        <v>0</v>
      </c>
      <c r="G259" s="59"/>
      <c r="H259" s="59">
        <v>0</v>
      </c>
      <c r="I259" s="59">
        <v>0</v>
      </c>
      <c r="J259" s="59">
        <v>0</v>
      </c>
      <c r="K259" s="59">
        <v>0</v>
      </c>
      <c r="L259" s="59">
        <v>0</v>
      </c>
      <c r="M259" s="59">
        <v>0</v>
      </c>
      <c r="N259" s="59">
        <v>0</v>
      </c>
    </row>
    <row r="260" spans="1:14">
      <c r="A260" s="59" t="s">
        <v>621</v>
      </c>
      <c r="B260" s="59" t="s">
        <v>681</v>
      </c>
      <c r="C260" s="59">
        <v>0</v>
      </c>
      <c r="D260" s="59">
        <v>0</v>
      </c>
      <c r="E260" s="59">
        <v>0</v>
      </c>
      <c r="F260" s="59">
        <v>0</v>
      </c>
      <c r="G260" s="59"/>
      <c r="H260" s="59">
        <v>0</v>
      </c>
      <c r="I260" s="59">
        <v>0</v>
      </c>
      <c r="J260" s="59">
        <v>0</v>
      </c>
      <c r="K260" s="59">
        <v>0</v>
      </c>
      <c r="L260" s="59">
        <v>0</v>
      </c>
      <c r="M260" s="59">
        <v>0</v>
      </c>
      <c r="N260" s="59">
        <v>0</v>
      </c>
    </row>
    <row r="261" spans="1:14">
      <c r="A261" s="59" t="s">
        <v>621</v>
      </c>
      <c r="B261" s="59" t="s">
        <v>682</v>
      </c>
      <c r="C261" s="59">
        <v>0</v>
      </c>
      <c r="D261" s="59">
        <v>0</v>
      </c>
      <c r="E261" s="59">
        <v>0</v>
      </c>
      <c r="F261" s="59">
        <v>0</v>
      </c>
      <c r="G261" s="59"/>
      <c r="H261" s="59">
        <v>0</v>
      </c>
      <c r="I261" s="59">
        <v>0</v>
      </c>
      <c r="J261" s="59">
        <v>0</v>
      </c>
      <c r="K261" s="59">
        <v>0</v>
      </c>
      <c r="L261" s="59">
        <v>0</v>
      </c>
      <c r="M261" s="59">
        <v>0</v>
      </c>
      <c r="N261" s="59">
        <v>0</v>
      </c>
    </row>
    <row r="262" spans="1:14">
      <c r="A262" s="59" t="s">
        <v>621</v>
      </c>
      <c r="B262" s="59" t="s">
        <v>683</v>
      </c>
      <c r="C262" s="59">
        <v>0</v>
      </c>
      <c r="D262" s="59">
        <v>0</v>
      </c>
      <c r="E262" s="59">
        <v>0</v>
      </c>
      <c r="F262" s="59">
        <v>0</v>
      </c>
      <c r="G262" s="59"/>
      <c r="H262" s="59">
        <v>0</v>
      </c>
      <c r="I262" s="59">
        <v>0</v>
      </c>
      <c r="J262" s="59">
        <v>0</v>
      </c>
      <c r="K262" s="59">
        <v>0</v>
      </c>
      <c r="L262" s="59">
        <v>0</v>
      </c>
      <c r="M262" s="59">
        <v>0</v>
      </c>
      <c r="N262" s="59">
        <v>0</v>
      </c>
    </row>
    <row r="263" spans="1:14">
      <c r="A263" s="59" t="s">
        <v>621</v>
      </c>
      <c r="B263" s="59" t="s">
        <v>684</v>
      </c>
      <c r="C263" s="59">
        <v>0</v>
      </c>
      <c r="D263" s="59">
        <v>0</v>
      </c>
      <c r="E263" s="59">
        <v>0</v>
      </c>
      <c r="F263" s="59">
        <v>0</v>
      </c>
      <c r="G263" s="59"/>
      <c r="H263" s="59">
        <v>0</v>
      </c>
      <c r="I263" s="59">
        <v>0</v>
      </c>
      <c r="J263" s="59">
        <v>0</v>
      </c>
      <c r="K263" s="59">
        <v>0</v>
      </c>
      <c r="L263" s="59">
        <v>0</v>
      </c>
      <c r="M263" s="59">
        <v>0</v>
      </c>
      <c r="N263" s="59">
        <v>0</v>
      </c>
    </row>
    <row r="264" spans="1:14">
      <c r="A264" s="59" t="s">
        <v>621</v>
      </c>
      <c r="B264" s="59" t="s">
        <v>669</v>
      </c>
      <c r="C264" s="59">
        <v>0</v>
      </c>
      <c r="D264" s="59">
        <v>0</v>
      </c>
      <c r="E264" s="59">
        <v>0</v>
      </c>
      <c r="F264" s="59">
        <v>0</v>
      </c>
      <c r="G264" s="59"/>
      <c r="H264" s="59">
        <v>0</v>
      </c>
      <c r="I264" s="59">
        <v>0</v>
      </c>
      <c r="J264" s="59">
        <v>0</v>
      </c>
      <c r="K264" s="59">
        <v>0</v>
      </c>
      <c r="L264" s="59">
        <v>0</v>
      </c>
      <c r="M264" s="59">
        <v>0</v>
      </c>
      <c r="N264" s="59">
        <v>0</v>
      </c>
    </row>
    <row r="265" spans="1:14">
      <c r="A265" s="59" t="s">
        <v>621</v>
      </c>
      <c r="B265" s="59" t="s">
        <v>615</v>
      </c>
      <c r="C265" s="59">
        <v>0</v>
      </c>
      <c r="D265" s="59">
        <v>0</v>
      </c>
      <c r="E265" s="59">
        <v>0</v>
      </c>
      <c r="F265" s="59">
        <v>0</v>
      </c>
      <c r="G265" s="59"/>
      <c r="H265" s="59">
        <v>0</v>
      </c>
      <c r="I265" s="59">
        <v>0</v>
      </c>
      <c r="J265" s="59">
        <v>0</v>
      </c>
      <c r="K265" s="59">
        <v>0</v>
      </c>
      <c r="L265" s="59">
        <v>0</v>
      </c>
      <c r="M265" s="59">
        <v>0</v>
      </c>
      <c r="N265" s="59">
        <v>0</v>
      </c>
    </row>
    <row r="266" spans="1:14">
      <c r="A266" s="59" t="s">
        <v>621</v>
      </c>
      <c r="B266" s="59" t="s">
        <v>685</v>
      </c>
      <c r="C266" s="59">
        <v>0</v>
      </c>
      <c r="D266" s="59">
        <v>0</v>
      </c>
      <c r="E266" s="59">
        <v>0</v>
      </c>
      <c r="F266" s="59">
        <v>0</v>
      </c>
      <c r="G266" s="59"/>
      <c r="H266" s="59">
        <v>0</v>
      </c>
      <c r="I266" s="59">
        <v>0</v>
      </c>
      <c r="J266" s="59">
        <v>0</v>
      </c>
      <c r="K266" s="59">
        <v>0</v>
      </c>
      <c r="L266" s="59">
        <v>0</v>
      </c>
      <c r="M266" s="59">
        <v>0</v>
      </c>
      <c r="N266" s="59">
        <v>0</v>
      </c>
    </row>
    <row r="267" spans="1:14">
      <c r="A267" s="59" t="s">
        <v>621</v>
      </c>
      <c r="B267" s="59" t="s">
        <v>686</v>
      </c>
      <c r="C267" s="59">
        <v>0</v>
      </c>
      <c r="D267" s="59">
        <v>0</v>
      </c>
      <c r="E267" s="59">
        <v>0</v>
      </c>
      <c r="F267" s="59">
        <v>0</v>
      </c>
      <c r="G267" s="59"/>
      <c r="H267" s="59">
        <v>0</v>
      </c>
      <c r="I267" s="59">
        <v>0</v>
      </c>
      <c r="J267" s="59">
        <v>0</v>
      </c>
      <c r="K267" s="59">
        <v>0</v>
      </c>
      <c r="L267" s="59">
        <v>0</v>
      </c>
      <c r="M267" s="59">
        <v>0</v>
      </c>
      <c r="N267" s="59">
        <v>0</v>
      </c>
    </row>
    <row r="268" spans="1:14">
      <c r="A268" s="59" t="s">
        <v>621</v>
      </c>
      <c r="B268" s="59" t="s">
        <v>687</v>
      </c>
      <c r="C268" s="59">
        <v>0</v>
      </c>
      <c r="D268" s="59">
        <v>0</v>
      </c>
      <c r="E268" s="59">
        <v>0</v>
      </c>
      <c r="F268" s="59">
        <v>0</v>
      </c>
      <c r="G268" s="59"/>
      <c r="H268" s="59">
        <v>0</v>
      </c>
      <c r="I268" s="59">
        <v>0</v>
      </c>
      <c r="J268" s="59">
        <v>0</v>
      </c>
      <c r="K268" s="59">
        <v>0</v>
      </c>
      <c r="L268" s="59">
        <v>0</v>
      </c>
      <c r="M268" s="59">
        <v>0</v>
      </c>
      <c r="N268" s="59">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6"/>
  <sheetViews>
    <sheetView workbookViewId="0"/>
  </sheetViews>
  <sheetFormatPr defaultRowHeight="14.45"/>
  <sheetData>
    <row r="1" spans="1:9">
      <c r="A1" s="59" t="s">
        <v>166</v>
      </c>
      <c r="B1" s="59" t="s">
        <v>274</v>
      </c>
      <c r="C1" s="59" t="s">
        <v>404</v>
      </c>
      <c r="D1" s="59" t="s">
        <v>405</v>
      </c>
      <c r="E1" s="59" t="s">
        <v>621</v>
      </c>
      <c r="F1" s="59" t="s">
        <v>688</v>
      </c>
      <c r="G1" s="59" t="s">
        <v>319</v>
      </c>
      <c r="H1" s="59" t="s">
        <v>689</v>
      </c>
      <c r="I1" s="59" t="s">
        <v>326</v>
      </c>
    </row>
    <row r="2" spans="1:9">
      <c r="A2" s="59" t="s">
        <v>68</v>
      </c>
      <c r="B2" s="59" t="s">
        <v>178</v>
      </c>
      <c r="C2" s="59">
        <v>0</v>
      </c>
      <c r="D2" s="59">
        <v>0</v>
      </c>
      <c r="E2" s="59"/>
      <c r="F2" s="59"/>
      <c r="G2" s="59"/>
      <c r="H2" s="59"/>
      <c r="I2" s="59"/>
    </row>
    <row r="3" spans="1:9">
      <c r="A3" s="59" t="s">
        <v>690</v>
      </c>
      <c r="B3" s="59" t="s">
        <v>691</v>
      </c>
      <c r="C3" s="59">
        <v>0</v>
      </c>
      <c r="D3" s="59">
        <v>0</v>
      </c>
      <c r="E3" s="59"/>
      <c r="F3" s="59" t="s">
        <v>692</v>
      </c>
      <c r="G3" s="59"/>
      <c r="H3" s="59"/>
      <c r="I3" s="59"/>
    </row>
    <row r="4" spans="1:9">
      <c r="A4" s="59" t="s">
        <v>690</v>
      </c>
      <c r="B4" s="59" t="s">
        <v>693</v>
      </c>
      <c r="C4" s="59">
        <v>0</v>
      </c>
      <c r="D4" s="59">
        <v>0</v>
      </c>
      <c r="E4" s="59"/>
      <c r="F4" s="59"/>
      <c r="G4" s="59"/>
      <c r="H4" s="59"/>
      <c r="I4" s="59"/>
    </row>
    <row r="5" spans="1:9">
      <c r="A5" s="59" t="s">
        <v>690</v>
      </c>
      <c r="B5" s="59" t="s">
        <v>694</v>
      </c>
      <c r="C5" s="59">
        <v>0</v>
      </c>
      <c r="D5" s="59">
        <v>0</v>
      </c>
      <c r="E5" s="59"/>
      <c r="F5" s="59"/>
      <c r="G5" s="59"/>
      <c r="H5" s="59"/>
      <c r="I5" s="59" t="s">
        <v>695</v>
      </c>
    </row>
    <row r="6" spans="1:9">
      <c r="A6" s="59" t="s">
        <v>690</v>
      </c>
      <c r="B6" s="59" t="s">
        <v>696</v>
      </c>
      <c r="C6" s="59">
        <v>0</v>
      </c>
      <c r="D6" s="59">
        <v>0</v>
      </c>
      <c r="E6" s="59"/>
      <c r="F6" s="59"/>
      <c r="G6" s="59"/>
      <c r="H6" s="59"/>
      <c r="I6" s="59"/>
    </row>
    <row r="7" spans="1:9">
      <c r="A7" s="59" t="s">
        <v>690</v>
      </c>
      <c r="B7" s="59" t="s">
        <v>697</v>
      </c>
      <c r="C7" s="59">
        <v>0</v>
      </c>
      <c r="D7" s="59">
        <v>0</v>
      </c>
      <c r="E7" s="59" t="s">
        <v>698</v>
      </c>
      <c r="F7" s="59" t="s">
        <v>699</v>
      </c>
      <c r="G7" s="59"/>
      <c r="H7" s="59"/>
      <c r="I7" s="59"/>
    </row>
    <row r="8" spans="1:9">
      <c r="A8" s="59" t="s">
        <v>690</v>
      </c>
      <c r="B8" s="59" t="s">
        <v>700</v>
      </c>
      <c r="C8" s="59">
        <v>0</v>
      </c>
      <c r="D8" s="59">
        <v>0</v>
      </c>
      <c r="E8" s="59" t="s">
        <v>698</v>
      </c>
      <c r="F8" s="59"/>
      <c r="G8" s="59"/>
      <c r="H8" s="59"/>
      <c r="I8" s="59"/>
    </row>
    <row r="9" spans="1:9">
      <c r="A9" s="59" t="s">
        <v>690</v>
      </c>
      <c r="B9" s="59" t="s">
        <v>701</v>
      </c>
      <c r="C9" s="59">
        <v>0</v>
      </c>
      <c r="D9" s="59">
        <v>0</v>
      </c>
      <c r="E9" s="59" t="s">
        <v>698</v>
      </c>
      <c r="F9" s="59"/>
      <c r="G9" s="59"/>
      <c r="H9" s="59"/>
      <c r="I9" s="59"/>
    </row>
    <row r="10" spans="1:9">
      <c r="A10" s="59" t="s">
        <v>690</v>
      </c>
      <c r="B10" s="59" t="s">
        <v>629</v>
      </c>
      <c r="C10" s="59">
        <v>0</v>
      </c>
      <c r="D10" s="59">
        <v>0</v>
      </c>
      <c r="E10" s="59" t="s">
        <v>698</v>
      </c>
      <c r="F10" s="59"/>
      <c r="G10" s="59"/>
      <c r="H10" s="59"/>
      <c r="I10" s="59"/>
    </row>
    <row r="11" spans="1:9">
      <c r="A11" s="59" t="s">
        <v>690</v>
      </c>
      <c r="B11" s="59" t="s">
        <v>615</v>
      </c>
      <c r="C11" s="59">
        <v>0</v>
      </c>
      <c r="D11" s="59">
        <v>0</v>
      </c>
      <c r="E11" s="59" t="s">
        <v>698</v>
      </c>
      <c r="F11" s="59"/>
      <c r="G11" s="59"/>
      <c r="H11" s="59"/>
      <c r="I11" s="59"/>
    </row>
    <row r="12" spans="1:9">
      <c r="A12" s="59" t="s">
        <v>690</v>
      </c>
      <c r="B12" s="59" t="s">
        <v>702</v>
      </c>
      <c r="C12" s="59">
        <v>0</v>
      </c>
      <c r="D12" s="59">
        <v>0</v>
      </c>
      <c r="E12" s="59" t="s">
        <v>96</v>
      </c>
      <c r="F12" s="59" t="s">
        <v>703</v>
      </c>
      <c r="G12" s="59"/>
      <c r="H12" s="59"/>
      <c r="I12" s="59"/>
    </row>
    <row r="13" spans="1:9">
      <c r="A13" s="59" t="s">
        <v>690</v>
      </c>
      <c r="B13" s="59" t="s">
        <v>704</v>
      </c>
      <c r="C13" s="59">
        <v>0</v>
      </c>
      <c r="D13" s="59">
        <v>0</v>
      </c>
      <c r="E13" s="59" t="s">
        <v>96</v>
      </c>
      <c r="F13" s="59"/>
      <c r="G13" s="59"/>
      <c r="H13" s="59"/>
      <c r="I13" s="59"/>
    </row>
    <row r="14" spans="1:9">
      <c r="A14" s="59" t="s">
        <v>690</v>
      </c>
      <c r="B14" s="59" t="s">
        <v>705</v>
      </c>
      <c r="C14" s="59">
        <v>0</v>
      </c>
      <c r="D14" s="59">
        <v>0</v>
      </c>
      <c r="E14" s="59" t="s">
        <v>95</v>
      </c>
      <c r="F14" s="59"/>
      <c r="G14" s="59"/>
      <c r="H14" s="59"/>
      <c r="I14" s="59"/>
    </row>
    <row r="15" spans="1:9">
      <c r="A15" s="59" t="s">
        <v>690</v>
      </c>
      <c r="B15" s="59" t="s">
        <v>706</v>
      </c>
      <c r="C15" s="59">
        <v>0</v>
      </c>
      <c r="D15" s="59">
        <v>0</v>
      </c>
      <c r="E15" s="59" t="s">
        <v>97</v>
      </c>
      <c r="F15" s="59" t="s">
        <v>707</v>
      </c>
      <c r="G15" s="59"/>
      <c r="H15" s="59"/>
      <c r="I15" s="59"/>
    </row>
    <row r="16" spans="1:9">
      <c r="A16" s="59" t="s">
        <v>690</v>
      </c>
      <c r="B16" s="59" t="s">
        <v>708</v>
      </c>
      <c r="C16" s="59">
        <v>0</v>
      </c>
      <c r="D16" s="59">
        <v>0</v>
      </c>
      <c r="E16" s="59" t="s">
        <v>97</v>
      </c>
      <c r="F16" s="59"/>
      <c r="G16" s="59"/>
      <c r="H16" s="59"/>
      <c r="I16" s="59"/>
    </row>
    <row r="17" spans="1:9">
      <c r="A17" s="59" t="s">
        <v>690</v>
      </c>
      <c r="B17" s="59" t="s">
        <v>709</v>
      </c>
      <c r="C17" s="59">
        <v>0</v>
      </c>
      <c r="D17" s="59">
        <v>0</v>
      </c>
      <c r="E17" s="59" t="s">
        <v>97</v>
      </c>
      <c r="F17" s="59"/>
      <c r="G17" s="59"/>
      <c r="H17" s="59"/>
      <c r="I17" s="59"/>
    </row>
    <row r="18" spans="1:9">
      <c r="A18" s="59" t="s">
        <v>690</v>
      </c>
      <c r="B18" s="59" t="s">
        <v>710</v>
      </c>
      <c r="C18" s="59">
        <v>0</v>
      </c>
      <c r="D18" s="59">
        <v>0</v>
      </c>
      <c r="E18" s="59" t="s">
        <v>97</v>
      </c>
      <c r="F18" s="59"/>
      <c r="G18" s="59"/>
      <c r="H18" s="59"/>
      <c r="I18" s="59"/>
    </row>
    <row r="19" spans="1:9">
      <c r="A19" s="59" t="s">
        <v>690</v>
      </c>
      <c r="B19" s="59" t="s">
        <v>711</v>
      </c>
      <c r="C19" s="59">
        <v>0</v>
      </c>
      <c r="D19" s="59">
        <v>0</v>
      </c>
      <c r="E19" s="59" t="s">
        <v>97</v>
      </c>
      <c r="F19" s="59"/>
      <c r="G19" s="59"/>
      <c r="H19" s="59"/>
      <c r="I19" s="59" t="s">
        <v>712</v>
      </c>
    </row>
    <row r="20" spans="1:9">
      <c r="A20" s="59" t="s">
        <v>690</v>
      </c>
      <c r="B20" s="59" t="s">
        <v>713</v>
      </c>
      <c r="C20" s="59">
        <v>0</v>
      </c>
      <c r="D20" s="59">
        <v>0</v>
      </c>
      <c r="E20" s="59" t="s">
        <v>97</v>
      </c>
      <c r="F20" s="59"/>
      <c r="G20" s="59"/>
      <c r="H20" s="59"/>
      <c r="I20" s="59"/>
    </row>
    <row r="21" spans="1:9">
      <c r="A21" s="59" t="s">
        <v>690</v>
      </c>
      <c r="B21" s="59" t="s">
        <v>714</v>
      </c>
      <c r="C21" s="59">
        <v>0</v>
      </c>
      <c r="D21" s="59">
        <v>0</v>
      </c>
      <c r="E21" s="59" t="s">
        <v>100</v>
      </c>
      <c r="F21" s="59" t="s">
        <v>715</v>
      </c>
      <c r="G21" s="59"/>
      <c r="H21" s="59"/>
      <c r="I21" s="59"/>
    </row>
    <row r="22" spans="1:9">
      <c r="A22" s="59" t="s">
        <v>690</v>
      </c>
      <c r="B22" s="59" t="s">
        <v>716</v>
      </c>
      <c r="C22" s="59">
        <v>0</v>
      </c>
      <c r="D22" s="59">
        <v>0</v>
      </c>
      <c r="E22" s="59" t="s">
        <v>100</v>
      </c>
      <c r="F22" s="59"/>
      <c r="G22" s="59"/>
      <c r="H22" s="59"/>
      <c r="I22" s="59"/>
    </row>
    <row r="23" spans="1:9">
      <c r="A23" s="59" t="s">
        <v>690</v>
      </c>
      <c r="B23" s="59" t="s">
        <v>717</v>
      </c>
      <c r="C23" s="59">
        <v>0</v>
      </c>
      <c r="D23" s="59">
        <v>0</v>
      </c>
      <c r="E23" s="59" t="s">
        <v>100</v>
      </c>
      <c r="F23" s="59"/>
      <c r="G23" s="59"/>
      <c r="H23" s="59"/>
      <c r="I23" s="59"/>
    </row>
    <row r="24" spans="1:9">
      <c r="A24" s="59" t="s">
        <v>690</v>
      </c>
      <c r="B24" s="59" t="s">
        <v>718</v>
      </c>
      <c r="C24" s="59">
        <v>0</v>
      </c>
      <c r="D24" s="59">
        <v>0</v>
      </c>
      <c r="E24" s="59" t="s">
        <v>100</v>
      </c>
      <c r="F24" s="59"/>
      <c r="G24" s="59"/>
      <c r="H24" s="59"/>
      <c r="I24" s="59"/>
    </row>
    <row r="25" spans="1:9">
      <c r="A25" s="59" t="s">
        <v>690</v>
      </c>
      <c r="B25" s="59" t="s">
        <v>719</v>
      </c>
      <c r="C25" s="59">
        <v>0</v>
      </c>
      <c r="D25" s="59">
        <v>0</v>
      </c>
      <c r="E25" s="59" t="s">
        <v>100</v>
      </c>
      <c r="F25" s="59"/>
      <c r="G25" s="59"/>
      <c r="H25" s="59"/>
      <c r="I25" s="59"/>
    </row>
    <row r="26" spans="1:9">
      <c r="A26" s="59" t="s">
        <v>690</v>
      </c>
      <c r="B26" s="59" t="s">
        <v>720</v>
      </c>
      <c r="C26" s="59">
        <v>0</v>
      </c>
      <c r="D26" s="59">
        <v>0</v>
      </c>
      <c r="E26" s="59" t="s">
        <v>104</v>
      </c>
      <c r="F26" s="59"/>
      <c r="G26" s="59"/>
      <c r="H26" s="59"/>
      <c r="I26" s="59"/>
    </row>
    <row r="27" spans="1:9">
      <c r="A27" s="59" t="s">
        <v>690</v>
      </c>
      <c r="B27" s="59" t="s">
        <v>629</v>
      </c>
      <c r="C27" s="59">
        <v>0</v>
      </c>
      <c r="D27" s="59">
        <v>0</v>
      </c>
      <c r="E27" s="59" t="s">
        <v>104</v>
      </c>
      <c r="F27" s="59"/>
      <c r="G27" s="59"/>
      <c r="H27" s="59"/>
      <c r="I27" s="59"/>
    </row>
    <row r="28" spans="1:9">
      <c r="A28" s="59" t="s">
        <v>690</v>
      </c>
      <c r="B28" s="59" t="s">
        <v>615</v>
      </c>
      <c r="C28" s="59">
        <v>0</v>
      </c>
      <c r="D28" s="59">
        <v>0</v>
      </c>
      <c r="E28" s="59" t="s">
        <v>104</v>
      </c>
      <c r="F28" s="59"/>
      <c r="G28" s="59"/>
      <c r="H28" s="59"/>
      <c r="I28" s="59"/>
    </row>
    <row r="29" spans="1:9">
      <c r="A29" s="59" t="s">
        <v>690</v>
      </c>
      <c r="B29" s="59" t="s">
        <v>721</v>
      </c>
      <c r="C29" s="59">
        <v>0</v>
      </c>
      <c r="D29" s="59">
        <v>0</v>
      </c>
      <c r="E29" s="59" t="s">
        <v>104</v>
      </c>
      <c r="F29" s="59"/>
      <c r="G29" s="59"/>
      <c r="H29" s="59"/>
      <c r="I29" s="59"/>
    </row>
    <row r="30" spans="1:9">
      <c r="A30" s="59" t="s">
        <v>690</v>
      </c>
      <c r="B30" s="59" t="s">
        <v>722</v>
      </c>
      <c r="C30" s="59">
        <v>0</v>
      </c>
      <c r="D30" s="59">
        <v>0</v>
      </c>
      <c r="E30" s="59" t="s">
        <v>104</v>
      </c>
      <c r="F30" s="59"/>
      <c r="G30" s="59"/>
      <c r="H30" s="59"/>
      <c r="I30" s="59"/>
    </row>
    <row r="31" spans="1:9">
      <c r="A31" s="59" t="s">
        <v>690</v>
      </c>
      <c r="B31" s="59" t="s">
        <v>723</v>
      </c>
      <c r="C31" s="59">
        <v>0</v>
      </c>
      <c r="D31" s="59">
        <v>0</v>
      </c>
      <c r="E31" s="59" t="s">
        <v>104</v>
      </c>
      <c r="F31" s="59"/>
      <c r="G31" s="59"/>
      <c r="H31" s="59"/>
      <c r="I31" s="59"/>
    </row>
    <row r="32" spans="1:9">
      <c r="A32" s="59" t="s">
        <v>690</v>
      </c>
      <c r="B32" s="59" t="s">
        <v>724</v>
      </c>
      <c r="C32" s="59">
        <v>0</v>
      </c>
      <c r="D32" s="59">
        <v>0</v>
      </c>
      <c r="E32" s="59" t="s">
        <v>104</v>
      </c>
      <c r="F32" s="59"/>
      <c r="G32" s="59"/>
      <c r="H32" s="59"/>
      <c r="I32" s="59"/>
    </row>
    <row r="33" spans="1:5">
      <c r="A33" s="59" t="s">
        <v>690</v>
      </c>
      <c r="B33" s="59" t="s">
        <v>725</v>
      </c>
      <c r="C33" s="59">
        <v>0</v>
      </c>
      <c r="D33" s="59">
        <v>0</v>
      </c>
      <c r="E33" s="59" t="s">
        <v>104</v>
      </c>
    </row>
    <row r="34" spans="1:5">
      <c r="A34" s="59" t="s">
        <v>690</v>
      </c>
      <c r="B34" s="59" t="s">
        <v>726</v>
      </c>
      <c r="C34" s="59">
        <v>0</v>
      </c>
      <c r="D34" s="59">
        <v>0</v>
      </c>
      <c r="E34" s="59" t="s">
        <v>104</v>
      </c>
    </row>
    <row r="35" spans="1:5">
      <c r="A35" s="59" t="s">
        <v>690</v>
      </c>
      <c r="B35" s="59" t="s">
        <v>727</v>
      </c>
      <c r="C35" s="59">
        <v>0</v>
      </c>
      <c r="D35" s="59">
        <v>0</v>
      </c>
      <c r="E35" s="59" t="s">
        <v>104</v>
      </c>
    </row>
    <row r="36" spans="1:5">
      <c r="A36" s="59" t="s">
        <v>690</v>
      </c>
      <c r="B36" s="59" t="s">
        <v>728</v>
      </c>
      <c r="C36" s="59">
        <v>0</v>
      </c>
      <c r="D36" s="59">
        <v>0</v>
      </c>
      <c r="E36" s="59" t="s">
        <v>104</v>
      </c>
    </row>
    <row r="37" spans="1:5">
      <c r="A37" s="59" t="s">
        <v>690</v>
      </c>
      <c r="B37" s="59" t="s">
        <v>729</v>
      </c>
      <c r="C37" s="59">
        <v>0</v>
      </c>
      <c r="D37" s="59">
        <v>0</v>
      </c>
      <c r="E37" s="59" t="s">
        <v>104</v>
      </c>
    </row>
    <row r="38" spans="1:5">
      <c r="A38" s="59" t="s">
        <v>690</v>
      </c>
      <c r="B38" s="59" t="s">
        <v>730</v>
      </c>
      <c r="C38" s="59">
        <v>0</v>
      </c>
      <c r="D38" s="59">
        <v>0</v>
      </c>
      <c r="E38" s="59" t="s">
        <v>104</v>
      </c>
    </row>
    <row r="39" spans="1:5">
      <c r="A39" s="59" t="s">
        <v>690</v>
      </c>
      <c r="B39" s="59" t="s">
        <v>731</v>
      </c>
      <c r="C39" s="59">
        <v>0</v>
      </c>
      <c r="D39" s="59">
        <v>0</v>
      </c>
      <c r="E39" s="59" t="s">
        <v>104</v>
      </c>
    </row>
    <row r="40" spans="1:5">
      <c r="A40" s="59" t="s">
        <v>690</v>
      </c>
      <c r="B40" s="59" t="s">
        <v>732</v>
      </c>
      <c r="C40" s="59">
        <v>0</v>
      </c>
      <c r="D40" s="59">
        <v>0</v>
      </c>
      <c r="E40" s="59" t="s">
        <v>104</v>
      </c>
    </row>
    <row r="41" spans="1:5">
      <c r="A41" s="59" t="s">
        <v>690</v>
      </c>
      <c r="B41" s="59" t="s">
        <v>733</v>
      </c>
      <c r="C41" s="59">
        <v>0</v>
      </c>
      <c r="D41" s="59">
        <v>0</v>
      </c>
      <c r="E41" s="59" t="s">
        <v>104</v>
      </c>
    </row>
    <row r="42" spans="1:5">
      <c r="A42" s="59" t="s">
        <v>690</v>
      </c>
      <c r="B42" s="59" t="s">
        <v>734</v>
      </c>
      <c r="C42" s="59">
        <v>0</v>
      </c>
      <c r="D42" s="59">
        <v>0</v>
      </c>
      <c r="E42" s="59" t="s">
        <v>104</v>
      </c>
    </row>
    <row r="43" spans="1:5">
      <c r="A43" s="59" t="s">
        <v>690</v>
      </c>
      <c r="B43" s="59" t="s">
        <v>735</v>
      </c>
      <c r="C43" s="59">
        <v>0</v>
      </c>
      <c r="D43" s="59">
        <v>0</v>
      </c>
      <c r="E43" s="59" t="s">
        <v>104</v>
      </c>
    </row>
    <row r="44" spans="1:5">
      <c r="A44" s="59" t="s">
        <v>690</v>
      </c>
      <c r="B44" s="59" t="s">
        <v>615</v>
      </c>
      <c r="C44" s="59">
        <v>0</v>
      </c>
      <c r="D44" s="59">
        <v>0</v>
      </c>
      <c r="E44" s="59" t="s">
        <v>104</v>
      </c>
    </row>
    <row r="45" spans="1:5">
      <c r="A45" s="59" t="s">
        <v>690</v>
      </c>
      <c r="B45" s="59" t="s">
        <v>736</v>
      </c>
      <c r="C45" s="59">
        <v>0</v>
      </c>
      <c r="D45" s="59">
        <v>0</v>
      </c>
      <c r="E45" s="59" t="s">
        <v>143</v>
      </c>
    </row>
    <row r="46" spans="1:5">
      <c r="A46" s="59" t="s">
        <v>690</v>
      </c>
      <c r="B46" s="59" t="s">
        <v>737</v>
      </c>
      <c r="C46" s="59">
        <v>0</v>
      </c>
      <c r="D46" s="59">
        <v>0</v>
      </c>
      <c r="E46" s="59" t="s">
        <v>143</v>
      </c>
    </row>
    <row r="47" spans="1:5">
      <c r="A47" s="59" t="s">
        <v>690</v>
      </c>
      <c r="B47" s="59" t="s">
        <v>738</v>
      </c>
      <c r="C47" s="59">
        <v>0</v>
      </c>
      <c r="D47" s="59">
        <v>0</v>
      </c>
      <c r="E47" s="59" t="s">
        <v>143</v>
      </c>
    </row>
    <row r="48" spans="1:5">
      <c r="A48" s="59" t="s">
        <v>690</v>
      </c>
      <c r="B48" s="59" t="s">
        <v>739</v>
      </c>
      <c r="C48" s="59">
        <v>0</v>
      </c>
      <c r="D48" s="59">
        <v>0</v>
      </c>
      <c r="E48" s="59" t="s">
        <v>143</v>
      </c>
    </row>
    <row r="49" spans="1:9">
      <c r="A49" s="59" t="s">
        <v>690</v>
      </c>
      <c r="B49" s="59" t="s">
        <v>740</v>
      </c>
      <c r="C49" s="59">
        <v>0</v>
      </c>
      <c r="D49" s="59">
        <v>0</v>
      </c>
      <c r="E49" s="59" t="s">
        <v>143</v>
      </c>
      <c r="F49" s="59"/>
      <c r="G49" s="59"/>
      <c r="H49" s="59"/>
      <c r="I49" s="59"/>
    </row>
    <row r="50" spans="1:9">
      <c r="A50" s="59" t="s">
        <v>690</v>
      </c>
      <c r="B50" s="59" t="s">
        <v>741</v>
      </c>
      <c r="C50" s="59">
        <v>0</v>
      </c>
      <c r="D50" s="59">
        <v>0</v>
      </c>
      <c r="E50" s="59" t="s">
        <v>143</v>
      </c>
      <c r="F50" s="59"/>
      <c r="G50" s="59"/>
      <c r="H50" s="59"/>
      <c r="I50" s="59"/>
    </row>
    <row r="51" spans="1:9">
      <c r="A51" s="59" t="s">
        <v>690</v>
      </c>
      <c r="B51" s="59" t="s">
        <v>742</v>
      </c>
      <c r="C51" s="59">
        <v>0</v>
      </c>
      <c r="D51" s="59">
        <v>0</v>
      </c>
      <c r="E51" s="59" t="s">
        <v>143</v>
      </c>
      <c r="F51" s="59"/>
      <c r="G51" s="59"/>
      <c r="H51" s="59"/>
      <c r="I51" s="59"/>
    </row>
    <row r="52" spans="1:9">
      <c r="A52" s="59" t="s">
        <v>690</v>
      </c>
      <c r="B52" s="59" t="s">
        <v>743</v>
      </c>
      <c r="C52" s="59">
        <v>0</v>
      </c>
      <c r="D52" s="59">
        <v>0</v>
      </c>
      <c r="E52" s="59" t="s">
        <v>143</v>
      </c>
      <c r="F52" s="59"/>
      <c r="G52" s="59"/>
      <c r="H52" s="59"/>
      <c r="I52" s="59"/>
    </row>
    <row r="53" spans="1:9">
      <c r="A53" s="59" t="s">
        <v>690</v>
      </c>
      <c r="B53" s="59" t="s">
        <v>668</v>
      </c>
      <c r="C53" s="59">
        <v>0</v>
      </c>
      <c r="D53" s="59">
        <v>0</v>
      </c>
      <c r="E53" s="59" t="s">
        <v>143</v>
      </c>
      <c r="F53" s="59"/>
      <c r="G53" s="59"/>
      <c r="H53" s="59"/>
      <c r="I53" s="59" t="s">
        <v>715</v>
      </c>
    </row>
    <row r="54" spans="1:9">
      <c r="A54" s="59" t="s">
        <v>690</v>
      </c>
      <c r="B54" s="59" t="s">
        <v>744</v>
      </c>
      <c r="C54" s="59">
        <v>0</v>
      </c>
      <c r="D54" s="59">
        <v>0</v>
      </c>
      <c r="E54" s="59" t="s">
        <v>143</v>
      </c>
      <c r="F54" s="59"/>
      <c r="G54" s="59"/>
      <c r="H54" s="59"/>
      <c r="I54" s="59"/>
    </row>
    <row r="55" spans="1:9">
      <c r="A55" s="59" t="s">
        <v>690</v>
      </c>
      <c r="B55" s="59" t="s">
        <v>745</v>
      </c>
      <c r="C55" s="59">
        <v>0</v>
      </c>
      <c r="D55" s="59">
        <v>0</v>
      </c>
      <c r="E55" s="59" t="s">
        <v>143</v>
      </c>
      <c r="F55" s="59"/>
      <c r="G55" s="59"/>
      <c r="H55" s="59"/>
      <c r="I55" s="59"/>
    </row>
    <row r="56" spans="1:9">
      <c r="A56" s="59" t="s">
        <v>690</v>
      </c>
      <c r="B56" s="59" t="s">
        <v>746</v>
      </c>
      <c r="C56" s="59">
        <v>0</v>
      </c>
      <c r="D56" s="59">
        <v>0</v>
      </c>
      <c r="E56" s="59" t="s">
        <v>143</v>
      </c>
      <c r="F56" s="59" t="s">
        <v>747</v>
      </c>
      <c r="G56" s="59"/>
      <c r="H56" s="59"/>
      <c r="I56" s="59"/>
    </row>
    <row r="57" spans="1:9">
      <c r="A57" s="59" t="s">
        <v>690</v>
      </c>
      <c r="B57" s="59" t="s">
        <v>748</v>
      </c>
      <c r="C57" s="59">
        <v>0</v>
      </c>
      <c r="D57" s="59">
        <v>0</v>
      </c>
      <c r="E57" s="59" t="s">
        <v>143</v>
      </c>
      <c r="F57" s="59"/>
      <c r="G57" s="59"/>
      <c r="H57" s="59"/>
      <c r="I57" s="59"/>
    </row>
    <row r="58" spans="1:9">
      <c r="A58" s="59" t="s">
        <v>690</v>
      </c>
      <c r="B58" s="59" t="s">
        <v>672</v>
      </c>
      <c r="C58" s="59">
        <v>0</v>
      </c>
      <c r="D58" s="59">
        <v>0</v>
      </c>
      <c r="E58" s="59" t="s">
        <v>143</v>
      </c>
      <c r="F58" s="59"/>
      <c r="G58" s="59"/>
      <c r="H58" s="59"/>
      <c r="I58" s="59" t="s">
        <v>749</v>
      </c>
    </row>
    <row r="59" spans="1:9">
      <c r="A59" s="59" t="s">
        <v>690</v>
      </c>
      <c r="B59" s="59" t="s">
        <v>750</v>
      </c>
      <c r="C59" s="59">
        <v>0</v>
      </c>
      <c r="D59" s="59">
        <v>0</v>
      </c>
      <c r="E59" s="59" t="s">
        <v>143</v>
      </c>
      <c r="F59" s="59"/>
      <c r="G59" s="59"/>
      <c r="H59" s="59"/>
      <c r="I59" s="59"/>
    </row>
    <row r="60" spans="1:9">
      <c r="A60" s="59" t="s">
        <v>690</v>
      </c>
      <c r="B60" s="59" t="s">
        <v>751</v>
      </c>
      <c r="C60" s="59">
        <v>0</v>
      </c>
      <c r="D60" s="59">
        <v>0</v>
      </c>
      <c r="E60" s="59" t="s">
        <v>143</v>
      </c>
      <c r="F60" s="59"/>
      <c r="G60" s="59"/>
      <c r="H60" s="59"/>
      <c r="I60" s="59"/>
    </row>
    <row r="61" spans="1:9">
      <c r="A61" s="59" t="s">
        <v>690</v>
      </c>
      <c r="B61" s="59" t="s">
        <v>752</v>
      </c>
      <c r="C61" s="59">
        <v>0</v>
      </c>
      <c r="D61" s="59">
        <v>0</v>
      </c>
      <c r="E61" s="59" t="s">
        <v>143</v>
      </c>
      <c r="F61" s="59"/>
      <c r="G61" s="59" t="s">
        <v>692</v>
      </c>
      <c r="H61" s="59"/>
      <c r="I61" s="59"/>
    </row>
    <row r="62" spans="1:9">
      <c r="A62" s="59" t="s">
        <v>690</v>
      </c>
      <c r="B62" s="59" t="s">
        <v>676</v>
      </c>
      <c r="C62" s="59">
        <v>0</v>
      </c>
      <c r="D62" s="59">
        <v>0</v>
      </c>
      <c r="E62" s="59" t="s">
        <v>143</v>
      </c>
      <c r="F62" s="59"/>
      <c r="G62" s="59" t="s">
        <v>753</v>
      </c>
      <c r="H62" s="59"/>
      <c r="I62" s="59"/>
    </row>
    <row r="63" spans="1:9">
      <c r="A63" s="59" t="s">
        <v>690</v>
      </c>
      <c r="B63" s="59" t="s">
        <v>754</v>
      </c>
      <c r="C63" s="59">
        <v>0</v>
      </c>
      <c r="D63" s="59">
        <v>0</v>
      </c>
      <c r="E63" s="59" t="s">
        <v>143</v>
      </c>
      <c r="F63" s="59"/>
      <c r="G63" s="59"/>
      <c r="H63" s="59"/>
      <c r="I63" s="59"/>
    </row>
    <row r="64" spans="1:9">
      <c r="A64" s="59" t="s">
        <v>690</v>
      </c>
      <c r="B64" s="59" t="s">
        <v>678</v>
      </c>
      <c r="C64" s="59">
        <v>0</v>
      </c>
      <c r="D64" s="59">
        <v>0</v>
      </c>
      <c r="E64" s="59" t="s">
        <v>143</v>
      </c>
      <c r="F64" s="59"/>
      <c r="G64" s="59"/>
      <c r="H64" s="59"/>
      <c r="I64" s="59"/>
    </row>
    <row r="65" spans="1:9">
      <c r="A65" s="59" t="s">
        <v>690</v>
      </c>
      <c r="B65" s="59" t="s">
        <v>755</v>
      </c>
      <c r="C65" s="59">
        <v>0</v>
      </c>
      <c r="D65" s="59">
        <v>0</v>
      </c>
      <c r="E65" s="59" t="s">
        <v>143</v>
      </c>
      <c r="F65" s="59"/>
      <c r="G65" s="59"/>
      <c r="H65" s="59"/>
      <c r="I65" s="59"/>
    </row>
    <row r="66" spans="1:9">
      <c r="A66" s="59" t="s">
        <v>690</v>
      </c>
      <c r="B66" s="59" t="s">
        <v>680</v>
      </c>
      <c r="C66" s="59">
        <v>0</v>
      </c>
      <c r="D66" s="59">
        <v>0</v>
      </c>
      <c r="E66" s="59" t="s">
        <v>143</v>
      </c>
      <c r="F66" s="59"/>
      <c r="G66" s="59"/>
      <c r="H66" s="59"/>
      <c r="I66" s="59"/>
    </row>
    <row r="67" spans="1:9">
      <c r="A67" s="59" t="s">
        <v>690</v>
      </c>
      <c r="B67" s="59" t="s">
        <v>681</v>
      </c>
      <c r="C67" s="59">
        <v>0</v>
      </c>
      <c r="D67" s="59">
        <v>0</v>
      </c>
      <c r="E67" s="59" t="s">
        <v>143</v>
      </c>
      <c r="F67" s="59"/>
      <c r="G67" s="59" t="s">
        <v>756</v>
      </c>
      <c r="H67" s="59"/>
      <c r="I67" s="59"/>
    </row>
    <row r="68" spans="1:9">
      <c r="A68" s="59" t="s">
        <v>690</v>
      </c>
      <c r="B68" s="59" t="s">
        <v>682</v>
      </c>
      <c r="C68" s="59">
        <v>0</v>
      </c>
      <c r="D68" s="59">
        <v>0</v>
      </c>
      <c r="E68" s="59" t="s">
        <v>143</v>
      </c>
      <c r="F68" s="59"/>
      <c r="G68" s="59" t="s">
        <v>756</v>
      </c>
      <c r="H68" s="59"/>
      <c r="I68" s="59"/>
    </row>
    <row r="69" spans="1:9">
      <c r="A69" s="59" t="s">
        <v>690</v>
      </c>
      <c r="B69" s="59" t="s">
        <v>757</v>
      </c>
      <c r="C69" s="59">
        <v>0</v>
      </c>
      <c r="D69" s="59">
        <v>0</v>
      </c>
      <c r="E69" s="59" t="s">
        <v>143</v>
      </c>
      <c r="F69" s="59"/>
      <c r="G69" s="59"/>
      <c r="H69" s="59"/>
      <c r="I69" s="59" t="s">
        <v>758</v>
      </c>
    </row>
    <row r="70" spans="1:9">
      <c r="A70" s="59" t="s">
        <v>690</v>
      </c>
      <c r="B70" s="59" t="s">
        <v>684</v>
      </c>
      <c r="C70" s="59">
        <v>0</v>
      </c>
      <c r="D70" s="59">
        <v>0</v>
      </c>
      <c r="E70" s="59" t="s">
        <v>143</v>
      </c>
      <c r="F70" s="59"/>
      <c r="G70" s="59"/>
      <c r="H70" s="59"/>
      <c r="I70" s="59"/>
    </row>
    <row r="71" spans="1:9">
      <c r="A71" s="59" t="s">
        <v>690</v>
      </c>
      <c r="B71" s="59" t="s">
        <v>744</v>
      </c>
      <c r="C71" s="59">
        <v>0</v>
      </c>
      <c r="D71" s="59">
        <v>0</v>
      </c>
      <c r="E71" s="59" t="s">
        <v>143</v>
      </c>
      <c r="F71" s="59"/>
      <c r="G71" s="59"/>
      <c r="H71" s="59"/>
      <c r="I71" s="59"/>
    </row>
    <row r="72" spans="1:9">
      <c r="A72" s="59" t="s">
        <v>690</v>
      </c>
      <c r="B72" s="59" t="s">
        <v>745</v>
      </c>
      <c r="C72" s="59">
        <v>0</v>
      </c>
      <c r="D72" s="59">
        <v>0</v>
      </c>
      <c r="E72" s="59" t="s">
        <v>143</v>
      </c>
      <c r="F72" s="59"/>
      <c r="G72" s="59"/>
      <c r="H72" s="59"/>
      <c r="I72" s="59"/>
    </row>
    <row r="73" spans="1:9">
      <c r="A73" s="59" t="s">
        <v>690</v>
      </c>
      <c r="B73" s="59" t="s">
        <v>759</v>
      </c>
      <c r="C73" s="59">
        <v>0</v>
      </c>
      <c r="D73" s="59">
        <v>0</v>
      </c>
      <c r="E73" s="59" t="s">
        <v>143</v>
      </c>
      <c r="F73" s="59"/>
      <c r="G73" s="59"/>
      <c r="H73" s="59"/>
      <c r="I73" s="59"/>
    </row>
    <row r="74" spans="1:9">
      <c r="A74" s="59" t="s">
        <v>690</v>
      </c>
      <c r="B74" s="59" t="s">
        <v>760</v>
      </c>
      <c r="C74" s="59">
        <v>0</v>
      </c>
      <c r="D74" s="59">
        <v>0</v>
      </c>
      <c r="E74" s="59" t="s">
        <v>143</v>
      </c>
      <c r="F74" s="59"/>
      <c r="G74" s="59"/>
      <c r="H74" s="59"/>
      <c r="I74" s="59"/>
    </row>
    <row r="75" spans="1:9">
      <c r="A75" s="59" t="s">
        <v>690</v>
      </c>
      <c r="B75" s="59" t="s">
        <v>687</v>
      </c>
      <c r="C75" s="59">
        <v>0</v>
      </c>
      <c r="D75" s="59">
        <v>0</v>
      </c>
      <c r="E75" s="59" t="s">
        <v>143</v>
      </c>
      <c r="F75" s="59"/>
      <c r="G75" s="59"/>
      <c r="H75" s="59"/>
      <c r="I75" s="59"/>
    </row>
    <row r="76" spans="1:9">
      <c r="A76" s="59" t="s">
        <v>690</v>
      </c>
      <c r="B76" s="59" t="s">
        <v>178</v>
      </c>
      <c r="C76" s="59">
        <v>0</v>
      </c>
      <c r="D76" s="59">
        <v>0</v>
      </c>
      <c r="E76" s="59" t="s">
        <v>143</v>
      </c>
      <c r="F76" s="59"/>
      <c r="G76" s="59"/>
      <c r="H76" s="59"/>
      <c r="I76" s="59"/>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5"/>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5"/>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5"/>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45"/>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18"/>
  <sheetViews>
    <sheetView workbookViewId="0"/>
  </sheetViews>
  <sheetFormatPr defaultRowHeight="14.45"/>
  <sheetData>
    <row r="1" spans="1:31">
      <c r="A1" s="59" t="s">
        <v>166</v>
      </c>
      <c r="B1" s="59" t="s">
        <v>274</v>
      </c>
      <c r="C1" s="59" t="s">
        <v>761</v>
      </c>
      <c r="D1" s="59" t="s">
        <v>762</v>
      </c>
      <c r="E1" s="59" t="s">
        <v>763</v>
      </c>
      <c r="F1" s="59" t="s">
        <v>764</v>
      </c>
      <c r="G1" s="59" t="s">
        <v>765</v>
      </c>
      <c r="H1" s="59" t="s">
        <v>766</v>
      </c>
      <c r="I1" s="59" t="s">
        <v>767</v>
      </c>
      <c r="J1" s="59" t="s">
        <v>768</v>
      </c>
      <c r="K1" s="59" t="s">
        <v>769</v>
      </c>
      <c r="L1" s="59" t="s">
        <v>770</v>
      </c>
      <c r="M1" s="59" t="s">
        <v>771</v>
      </c>
      <c r="N1" s="59" t="s">
        <v>772</v>
      </c>
      <c r="O1" s="59" t="s">
        <v>773</v>
      </c>
      <c r="P1" s="59" t="s">
        <v>774</v>
      </c>
      <c r="Q1" s="59" t="s">
        <v>775</v>
      </c>
      <c r="R1" s="59" t="s">
        <v>776</v>
      </c>
      <c r="S1" s="59" t="s">
        <v>777</v>
      </c>
      <c r="T1" s="59" t="s">
        <v>778</v>
      </c>
      <c r="U1" s="59" t="s">
        <v>779</v>
      </c>
      <c r="V1" s="59" t="s">
        <v>780</v>
      </c>
      <c r="W1" s="59" t="s">
        <v>781</v>
      </c>
      <c r="X1" s="59" t="s">
        <v>399</v>
      </c>
      <c r="Y1" s="59" t="s">
        <v>400</v>
      </c>
      <c r="Z1" s="59" t="s">
        <v>401</v>
      </c>
      <c r="AA1" s="59" t="s">
        <v>402</v>
      </c>
      <c r="AB1" s="59" t="s">
        <v>403</v>
      </c>
      <c r="AC1" s="59" t="s">
        <v>782</v>
      </c>
      <c r="AD1" s="59" t="s">
        <v>783</v>
      </c>
      <c r="AE1" s="59" t="s">
        <v>784</v>
      </c>
    </row>
    <row r="2" spans="1:31">
      <c r="A2" s="59" t="s">
        <v>597</v>
      </c>
      <c r="B2" s="59" t="s">
        <v>785</v>
      </c>
      <c r="C2" s="59">
        <v>0</v>
      </c>
      <c r="D2" s="59">
        <v>0</v>
      </c>
      <c r="E2" s="59">
        <v>0</v>
      </c>
      <c r="F2" s="59">
        <v>0</v>
      </c>
      <c r="G2" s="59">
        <v>0</v>
      </c>
      <c r="H2" s="59">
        <v>0</v>
      </c>
      <c r="I2" s="59">
        <v>0</v>
      </c>
      <c r="J2" s="59">
        <v>0</v>
      </c>
      <c r="K2" s="59">
        <v>0</v>
      </c>
      <c r="L2" s="59">
        <v>0</v>
      </c>
      <c r="M2" s="59">
        <v>0</v>
      </c>
      <c r="N2" s="59">
        <v>0</v>
      </c>
      <c r="O2" s="59">
        <v>0</v>
      </c>
      <c r="P2" s="59">
        <v>0</v>
      </c>
      <c r="Q2" s="59">
        <v>0</v>
      </c>
      <c r="R2" s="59">
        <v>0</v>
      </c>
      <c r="S2" s="59">
        <v>0</v>
      </c>
      <c r="T2" s="59">
        <v>0</v>
      </c>
      <c r="U2" s="59">
        <v>0</v>
      </c>
      <c r="V2" s="59">
        <v>0</v>
      </c>
      <c r="W2" s="59">
        <v>0</v>
      </c>
      <c r="X2" s="59"/>
      <c r="Y2" s="59"/>
      <c r="Z2" s="59"/>
      <c r="AA2" s="59"/>
      <c r="AB2" s="59"/>
      <c r="AC2" s="59"/>
      <c r="AD2" s="59"/>
      <c r="AE2" s="59">
        <v>0</v>
      </c>
    </row>
    <row r="3" spans="1:31">
      <c r="A3" s="59" t="s">
        <v>602</v>
      </c>
      <c r="B3" s="59" t="s">
        <v>603</v>
      </c>
      <c r="C3" s="59">
        <v>0</v>
      </c>
      <c r="D3" s="59">
        <v>0</v>
      </c>
      <c r="E3" s="59">
        <v>0</v>
      </c>
      <c r="F3" s="59">
        <v>0</v>
      </c>
      <c r="G3" s="59">
        <v>0</v>
      </c>
      <c r="H3" s="59">
        <v>0</v>
      </c>
      <c r="I3" s="59">
        <v>0</v>
      </c>
      <c r="J3" s="59">
        <v>0</v>
      </c>
      <c r="K3" s="59">
        <v>0</v>
      </c>
      <c r="L3" s="59">
        <v>0</v>
      </c>
      <c r="M3" s="59">
        <v>0</v>
      </c>
      <c r="N3" s="59">
        <v>0</v>
      </c>
      <c r="O3" s="59">
        <v>0</v>
      </c>
      <c r="P3" s="59">
        <v>0</v>
      </c>
      <c r="Q3" s="59">
        <v>0</v>
      </c>
      <c r="R3" s="59">
        <v>0</v>
      </c>
      <c r="S3" s="59">
        <v>0</v>
      </c>
      <c r="T3" s="59">
        <v>0</v>
      </c>
      <c r="U3" s="59">
        <v>0</v>
      </c>
      <c r="V3" s="59">
        <v>0</v>
      </c>
      <c r="W3" s="59">
        <v>0</v>
      </c>
      <c r="X3" s="59">
        <v>3</v>
      </c>
      <c r="Y3" s="59">
        <v>0</v>
      </c>
      <c r="Z3" s="59">
        <v>3</v>
      </c>
      <c r="AA3" s="59">
        <v>3</v>
      </c>
      <c r="AB3" s="59">
        <v>0</v>
      </c>
      <c r="AC3" s="59">
        <v>3</v>
      </c>
      <c r="AD3" s="59">
        <v>0</v>
      </c>
      <c r="AE3" s="59">
        <v>0</v>
      </c>
    </row>
    <row r="4" spans="1:31">
      <c r="A4" s="59" t="s">
        <v>602</v>
      </c>
      <c r="B4" s="59" t="s">
        <v>604</v>
      </c>
      <c r="C4" s="59">
        <v>0</v>
      </c>
      <c r="D4" s="59">
        <v>0</v>
      </c>
      <c r="E4" s="59">
        <v>0</v>
      </c>
      <c r="F4" s="59">
        <v>0</v>
      </c>
      <c r="G4" s="59">
        <v>0</v>
      </c>
      <c r="H4" s="59">
        <v>0</v>
      </c>
      <c r="I4" s="59">
        <v>0</v>
      </c>
      <c r="J4" s="59">
        <v>0</v>
      </c>
      <c r="K4" s="59">
        <v>0</v>
      </c>
      <c r="L4" s="59">
        <v>0</v>
      </c>
      <c r="M4" s="59">
        <v>0</v>
      </c>
      <c r="N4" s="59">
        <v>0</v>
      </c>
      <c r="O4" s="59">
        <v>0</v>
      </c>
      <c r="P4" s="59">
        <v>0</v>
      </c>
      <c r="Q4" s="59">
        <v>0</v>
      </c>
      <c r="R4" s="59">
        <v>0</v>
      </c>
      <c r="S4" s="59">
        <v>0</v>
      </c>
      <c r="T4" s="59">
        <v>0</v>
      </c>
      <c r="U4" s="59">
        <v>0</v>
      </c>
      <c r="V4" s="59">
        <v>0</v>
      </c>
      <c r="W4" s="59">
        <v>0</v>
      </c>
      <c r="X4" s="59">
        <v>3</v>
      </c>
      <c r="Y4" s="59">
        <v>0</v>
      </c>
      <c r="Z4" s="59">
        <v>3</v>
      </c>
      <c r="AA4" s="59">
        <v>3</v>
      </c>
      <c r="AB4" s="59">
        <v>0</v>
      </c>
      <c r="AC4" s="59">
        <v>3</v>
      </c>
      <c r="AD4" s="59">
        <v>0</v>
      </c>
      <c r="AE4" s="59">
        <v>0</v>
      </c>
    </row>
    <row r="5" spans="1:31">
      <c r="A5" s="59" t="s">
        <v>602</v>
      </c>
      <c r="B5" s="59" t="s">
        <v>605</v>
      </c>
      <c r="C5" s="59">
        <v>0</v>
      </c>
      <c r="D5" s="59">
        <v>0</v>
      </c>
      <c r="E5" s="59">
        <v>0</v>
      </c>
      <c r="F5" s="59">
        <v>0</v>
      </c>
      <c r="G5" s="59">
        <v>0</v>
      </c>
      <c r="H5" s="59">
        <v>0</v>
      </c>
      <c r="I5" s="59">
        <v>0</v>
      </c>
      <c r="J5" s="59">
        <v>0</v>
      </c>
      <c r="K5" s="59">
        <v>0</v>
      </c>
      <c r="L5" s="59">
        <v>0</v>
      </c>
      <c r="M5" s="59">
        <v>0</v>
      </c>
      <c r="N5" s="59">
        <v>0</v>
      </c>
      <c r="O5" s="59">
        <v>0</v>
      </c>
      <c r="P5" s="59">
        <v>0</v>
      </c>
      <c r="Q5" s="59">
        <v>0</v>
      </c>
      <c r="R5" s="59">
        <v>0</v>
      </c>
      <c r="S5" s="59">
        <v>0</v>
      </c>
      <c r="T5" s="59">
        <v>0</v>
      </c>
      <c r="U5" s="59">
        <v>0</v>
      </c>
      <c r="V5" s="59">
        <v>0</v>
      </c>
      <c r="W5" s="59">
        <v>0</v>
      </c>
      <c r="X5" s="59">
        <v>3</v>
      </c>
      <c r="Y5" s="59">
        <v>0</v>
      </c>
      <c r="Z5" s="59">
        <v>3</v>
      </c>
      <c r="AA5" s="59">
        <v>3</v>
      </c>
      <c r="AB5" s="59">
        <v>0</v>
      </c>
      <c r="AC5" s="59">
        <v>3</v>
      </c>
      <c r="AD5" s="59">
        <v>0</v>
      </c>
      <c r="AE5" s="59">
        <v>0</v>
      </c>
    </row>
    <row r="6" spans="1:31">
      <c r="A6" s="59" t="s">
        <v>602</v>
      </c>
      <c r="B6" s="59" t="s">
        <v>785</v>
      </c>
      <c r="C6" s="59">
        <v>0</v>
      </c>
      <c r="D6" s="59">
        <v>0</v>
      </c>
      <c r="E6" s="59">
        <v>0</v>
      </c>
      <c r="F6" s="59">
        <v>0</v>
      </c>
      <c r="G6" s="59">
        <v>0</v>
      </c>
      <c r="H6" s="59">
        <v>0</v>
      </c>
      <c r="I6" s="59">
        <v>0</v>
      </c>
      <c r="J6" s="59">
        <v>0</v>
      </c>
      <c r="K6" s="59">
        <v>0</v>
      </c>
      <c r="L6" s="59">
        <v>0</v>
      </c>
      <c r="M6" s="59">
        <v>0</v>
      </c>
      <c r="N6" s="59">
        <v>0</v>
      </c>
      <c r="O6" s="59">
        <v>0</v>
      </c>
      <c r="P6" s="59">
        <v>0</v>
      </c>
      <c r="Q6" s="59">
        <v>0</v>
      </c>
      <c r="R6" s="59">
        <v>0</v>
      </c>
      <c r="S6" s="59">
        <v>0</v>
      </c>
      <c r="T6" s="59">
        <v>0</v>
      </c>
      <c r="U6" s="59">
        <v>0</v>
      </c>
      <c r="V6" s="59">
        <v>0</v>
      </c>
      <c r="W6" s="59">
        <v>0</v>
      </c>
      <c r="X6" s="59"/>
      <c r="Y6" s="59"/>
      <c r="Z6" s="59"/>
      <c r="AA6" s="59"/>
      <c r="AB6" s="59"/>
      <c r="AC6" s="59"/>
      <c r="AD6" s="59"/>
      <c r="AE6" s="59">
        <v>0</v>
      </c>
    </row>
    <row r="7" spans="1:31">
      <c r="A7" s="59" t="s">
        <v>606</v>
      </c>
      <c r="B7" s="59" t="s">
        <v>607</v>
      </c>
      <c r="C7" s="59">
        <v>0</v>
      </c>
      <c r="D7" s="59">
        <v>0</v>
      </c>
      <c r="E7" s="59">
        <v>0</v>
      </c>
      <c r="F7" s="59">
        <v>0</v>
      </c>
      <c r="G7" s="59">
        <v>0</v>
      </c>
      <c r="H7" s="59">
        <v>0</v>
      </c>
      <c r="I7" s="59">
        <v>0</v>
      </c>
      <c r="J7" s="59">
        <v>0</v>
      </c>
      <c r="K7" s="59">
        <v>0</v>
      </c>
      <c r="L7" s="59">
        <v>0</v>
      </c>
      <c r="M7" s="59">
        <v>0</v>
      </c>
      <c r="N7" s="59">
        <v>0</v>
      </c>
      <c r="O7" s="59">
        <v>0</v>
      </c>
      <c r="P7" s="59">
        <v>0</v>
      </c>
      <c r="Q7" s="59">
        <v>0</v>
      </c>
      <c r="R7" s="59">
        <v>0</v>
      </c>
      <c r="S7" s="59">
        <v>0</v>
      </c>
      <c r="T7" s="59">
        <v>0</v>
      </c>
      <c r="U7" s="59">
        <v>0</v>
      </c>
      <c r="V7" s="59">
        <v>0</v>
      </c>
      <c r="W7" s="59">
        <v>0</v>
      </c>
      <c r="X7" s="59">
        <v>34</v>
      </c>
      <c r="Y7" s="59">
        <v>0</v>
      </c>
      <c r="Z7" s="59">
        <v>34</v>
      </c>
      <c r="AA7" s="59">
        <v>34</v>
      </c>
      <c r="AB7" s="59">
        <v>0</v>
      </c>
      <c r="AC7" s="59">
        <v>34</v>
      </c>
      <c r="AD7" s="59">
        <v>0</v>
      </c>
      <c r="AE7" s="59">
        <v>0</v>
      </c>
    </row>
    <row r="8" spans="1:31">
      <c r="A8" s="59" t="s">
        <v>606</v>
      </c>
      <c r="B8" s="59" t="s">
        <v>608</v>
      </c>
      <c r="C8" s="59">
        <v>0</v>
      </c>
      <c r="D8" s="59">
        <v>0</v>
      </c>
      <c r="E8" s="59">
        <v>0</v>
      </c>
      <c r="F8" s="59">
        <v>0</v>
      </c>
      <c r="G8" s="59">
        <v>0</v>
      </c>
      <c r="H8" s="59">
        <v>0</v>
      </c>
      <c r="I8" s="59">
        <v>0</v>
      </c>
      <c r="J8" s="59">
        <v>0</v>
      </c>
      <c r="K8" s="59">
        <v>0</v>
      </c>
      <c r="L8" s="59">
        <v>0</v>
      </c>
      <c r="M8" s="59">
        <v>0</v>
      </c>
      <c r="N8" s="59">
        <v>0</v>
      </c>
      <c r="O8" s="59">
        <v>0</v>
      </c>
      <c r="P8" s="59">
        <v>0</v>
      </c>
      <c r="Q8" s="59">
        <v>0</v>
      </c>
      <c r="R8" s="59">
        <v>0</v>
      </c>
      <c r="S8" s="59">
        <v>0</v>
      </c>
      <c r="T8" s="59">
        <v>0</v>
      </c>
      <c r="U8" s="59">
        <v>0</v>
      </c>
      <c r="V8" s="59">
        <v>0</v>
      </c>
      <c r="W8" s="59">
        <v>0</v>
      </c>
      <c r="X8" s="59">
        <v>34</v>
      </c>
      <c r="Y8" s="59">
        <v>0</v>
      </c>
      <c r="Z8" s="59">
        <v>34</v>
      </c>
      <c r="AA8" s="59">
        <v>34</v>
      </c>
      <c r="AB8" s="59">
        <v>0</v>
      </c>
      <c r="AC8" s="59">
        <v>34</v>
      </c>
      <c r="AD8" s="59">
        <v>0</v>
      </c>
      <c r="AE8" s="59">
        <v>0</v>
      </c>
    </row>
    <row r="9" spans="1:31">
      <c r="A9" s="59" t="s">
        <v>606</v>
      </c>
      <c r="B9" s="59" t="s">
        <v>609</v>
      </c>
      <c r="C9" s="59">
        <v>0</v>
      </c>
      <c r="D9" s="59">
        <v>0</v>
      </c>
      <c r="E9" s="59">
        <v>0</v>
      </c>
      <c r="F9" s="59">
        <v>0</v>
      </c>
      <c r="G9" s="59">
        <v>0</v>
      </c>
      <c r="H9" s="59">
        <v>0</v>
      </c>
      <c r="I9" s="59">
        <v>0</v>
      </c>
      <c r="J9" s="59">
        <v>0</v>
      </c>
      <c r="K9" s="59">
        <v>0</v>
      </c>
      <c r="L9" s="59">
        <v>0</v>
      </c>
      <c r="M9" s="59">
        <v>0</v>
      </c>
      <c r="N9" s="59">
        <v>0</v>
      </c>
      <c r="O9" s="59">
        <v>0</v>
      </c>
      <c r="P9" s="59">
        <v>0</v>
      </c>
      <c r="Q9" s="59">
        <v>0</v>
      </c>
      <c r="R9" s="59">
        <v>0</v>
      </c>
      <c r="S9" s="59">
        <v>0</v>
      </c>
      <c r="T9" s="59">
        <v>0</v>
      </c>
      <c r="U9" s="59">
        <v>0</v>
      </c>
      <c r="V9" s="59">
        <v>0</v>
      </c>
      <c r="W9" s="59">
        <v>0</v>
      </c>
      <c r="X9" s="59">
        <v>34</v>
      </c>
      <c r="Y9" s="59">
        <v>0</v>
      </c>
      <c r="Z9" s="59">
        <v>34</v>
      </c>
      <c r="AA9" s="59">
        <v>34</v>
      </c>
      <c r="AB9" s="59">
        <v>0</v>
      </c>
      <c r="AC9" s="59">
        <v>34</v>
      </c>
      <c r="AD9" s="59">
        <v>0</v>
      </c>
      <c r="AE9" s="59">
        <v>0</v>
      </c>
    </row>
    <row r="10" spans="1:31">
      <c r="A10" s="59" t="s">
        <v>606</v>
      </c>
      <c r="B10" s="59" t="s">
        <v>785</v>
      </c>
      <c r="C10" s="59">
        <v>0</v>
      </c>
      <c r="D10" s="59">
        <v>0</v>
      </c>
      <c r="E10" s="59">
        <v>0</v>
      </c>
      <c r="F10" s="59">
        <v>0</v>
      </c>
      <c r="G10" s="59">
        <v>0</v>
      </c>
      <c r="H10" s="59">
        <v>0</v>
      </c>
      <c r="I10" s="59">
        <v>0</v>
      </c>
      <c r="J10" s="59">
        <v>0</v>
      </c>
      <c r="K10" s="59">
        <v>0</v>
      </c>
      <c r="L10" s="59">
        <v>0</v>
      </c>
      <c r="M10" s="59">
        <v>0</v>
      </c>
      <c r="N10" s="59">
        <v>0</v>
      </c>
      <c r="O10" s="59">
        <v>0</v>
      </c>
      <c r="P10" s="59">
        <v>0</v>
      </c>
      <c r="Q10" s="59">
        <v>0</v>
      </c>
      <c r="R10" s="59">
        <v>0</v>
      </c>
      <c r="S10" s="59">
        <v>0</v>
      </c>
      <c r="T10" s="59">
        <v>0</v>
      </c>
      <c r="U10" s="59">
        <v>0</v>
      </c>
      <c r="V10" s="59">
        <v>0</v>
      </c>
      <c r="W10" s="59">
        <v>0</v>
      </c>
      <c r="X10" s="59"/>
      <c r="Y10" s="59"/>
      <c r="Z10" s="59"/>
      <c r="AA10" s="59"/>
      <c r="AB10" s="59"/>
      <c r="AC10" s="59"/>
      <c r="AD10" s="59"/>
      <c r="AE10" s="59">
        <v>0</v>
      </c>
    </row>
    <row r="11" spans="1:31">
      <c r="A11" s="59" t="s">
        <v>610</v>
      </c>
      <c r="B11" s="59" t="s">
        <v>611</v>
      </c>
      <c r="C11" s="59">
        <v>0</v>
      </c>
      <c r="D11" s="59">
        <v>0</v>
      </c>
      <c r="E11" s="59">
        <v>0</v>
      </c>
      <c r="F11" s="59">
        <v>0</v>
      </c>
      <c r="G11" s="59">
        <v>0</v>
      </c>
      <c r="H11" s="59">
        <v>0</v>
      </c>
      <c r="I11" s="59">
        <v>0</v>
      </c>
      <c r="J11" s="59">
        <v>0</v>
      </c>
      <c r="K11" s="59">
        <v>0</v>
      </c>
      <c r="L11" s="59">
        <v>0</v>
      </c>
      <c r="M11" s="59">
        <v>0</v>
      </c>
      <c r="N11" s="59">
        <v>0</v>
      </c>
      <c r="O11" s="59">
        <v>0</v>
      </c>
      <c r="P11" s="59">
        <v>0</v>
      </c>
      <c r="Q11" s="59">
        <v>0</v>
      </c>
      <c r="R11" s="59">
        <v>0</v>
      </c>
      <c r="S11" s="59">
        <v>0</v>
      </c>
      <c r="T11" s="59">
        <v>0</v>
      </c>
      <c r="U11" s="59">
        <v>0</v>
      </c>
      <c r="V11" s="59">
        <v>0</v>
      </c>
      <c r="W11" s="59">
        <v>0</v>
      </c>
      <c r="X11" s="59">
        <v>30</v>
      </c>
      <c r="Y11" s="59">
        <v>0</v>
      </c>
      <c r="Z11" s="59">
        <v>30</v>
      </c>
      <c r="AA11" s="59">
        <v>30</v>
      </c>
      <c r="AB11" s="59">
        <v>0</v>
      </c>
      <c r="AC11" s="59">
        <v>30</v>
      </c>
      <c r="AD11" s="59">
        <v>0</v>
      </c>
      <c r="AE11" s="59">
        <v>0</v>
      </c>
    </row>
    <row r="12" spans="1:31">
      <c r="A12" s="59" t="s">
        <v>610</v>
      </c>
      <c r="B12" s="59" t="s">
        <v>612</v>
      </c>
      <c r="C12" s="59">
        <v>0</v>
      </c>
      <c r="D12" s="59">
        <v>0</v>
      </c>
      <c r="E12" s="59">
        <v>0</v>
      </c>
      <c r="F12" s="59">
        <v>0</v>
      </c>
      <c r="G12" s="59">
        <v>0</v>
      </c>
      <c r="H12" s="59">
        <v>0</v>
      </c>
      <c r="I12" s="59">
        <v>0</v>
      </c>
      <c r="J12" s="59">
        <v>0</v>
      </c>
      <c r="K12" s="59">
        <v>0</v>
      </c>
      <c r="L12" s="59">
        <v>0</v>
      </c>
      <c r="M12" s="59">
        <v>0</v>
      </c>
      <c r="N12" s="59">
        <v>0</v>
      </c>
      <c r="O12" s="59">
        <v>0</v>
      </c>
      <c r="P12" s="59">
        <v>0</v>
      </c>
      <c r="Q12" s="59">
        <v>0</v>
      </c>
      <c r="R12" s="59">
        <v>0</v>
      </c>
      <c r="S12" s="59">
        <v>0</v>
      </c>
      <c r="T12" s="59">
        <v>0</v>
      </c>
      <c r="U12" s="59">
        <v>0</v>
      </c>
      <c r="V12" s="59">
        <v>0</v>
      </c>
      <c r="W12" s="59">
        <v>0</v>
      </c>
      <c r="X12" s="59">
        <v>30</v>
      </c>
      <c r="Y12" s="59">
        <v>0</v>
      </c>
      <c r="Z12" s="59">
        <v>30</v>
      </c>
      <c r="AA12" s="59">
        <v>30</v>
      </c>
      <c r="AB12" s="59">
        <v>0</v>
      </c>
      <c r="AC12" s="59">
        <v>30</v>
      </c>
      <c r="AD12" s="59">
        <v>0</v>
      </c>
      <c r="AE12" s="59">
        <v>0</v>
      </c>
    </row>
    <row r="13" spans="1:31">
      <c r="A13" s="59" t="s">
        <v>610</v>
      </c>
      <c r="B13" s="59" t="s">
        <v>613</v>
      </c>
      <c r="C13" s="59">
        <v>0</v>
      </c>
      <c r="D13" s="59">
        <v>0</v>
      </c>
      <c r="E13" s="59">
        <v>0</v>
      </c>
      <c r="F13" s="59">
        <v>0</v>
      </c>
      <c r="G13" s="59">
        <v>0</v>
      </c>
      <c r="H13" s="59">
        <v>0</v>
      </c>
      <c r="I13" s="59">
        <v>0</v>
      </c>
      <c r="J13" s="59">
        <v>0</v>
      </c>
      <c r="K13" s="59">
        <v>0</v>
      </c>
      <c r="L13" s="59">
        <v>0</v>
      </c>
      <c r="M13" s="59">
        <v>0</v>
      </c>
      <c r="N13" s="59">
        <v>0</v>
      </c>
      <c r="O13" s="59">
        <v>0</v>
      </c>
      <c r="P13" s="59">
        <v>0</v>
      </c>
      <c r="Q13" s="59">
        <v>0</v>
      </c>
      <c r="R13" s="59">
        <v>0</v>
      </c>
      <c r="S13" s="59">
        <v>0</v>
      </c>
      <c r="T13" s="59">
        <v>0</v>
      </c>
      <c r="U13" s="59">
        <v>0</v>
      </c>
      <c r="V13" s="59">
        <v>0</v>
      </c>
      <c r="W13" s="59">
        <v>0</v>
      </c>
      <c r="X13" s="59">
        <v>30</v>
      </c>
      <c r="Y13" s="59">
        <v>0</v>
      </c>
      <c r="Z13" s="59">
        <v>30</v>
      </c>
      <c r="AA13" s="59">
        <v>30</v>
      </c>
      <c r="AB13" s="59">
        <v>0</v>
      </c>
      <c r="AC13" s="59">
        <v>30</v>
      </c>
      <c r="AD13" s="59">
        <v>0</v>
      </c>
      <c r="AE13" s="59">
        <v>0</v>
      </c>
    </row>
    <row r="14" spans="1:31">
      <c r="A14" s="59" t="s">
        <v>610</v>
      </c>
      <c r="B14" s="59" t="s">
        <v>785</v>
      </c>
      <c r="C14" s="59">
        <v>0</v>
      </c>
      <c r="D14" s="59">
        <v>0</v>
      </c>
      <c r="E14" s="59">
        <v>0</v>
      </c>
      <c r="F14" s="59">
        <v>0</v>
      </c>
      <c r="G14" s="59">
        <v>0</v>
      </c>
      <c r="H14" s="59">
        <v>0</v>
      </c>
      <c r="I14" s="59">
        <v>0</v>
      </c>
      <c r="J14" s="59">
        <v>0</v>
      </c>
      <c r="K14" s="59">
        <v>0</v>
      </c>
      <c r="L14" s="59">
        <v>0</v>
      </c>
      <c r="M14" s="59">
        <v>0</v>
      </c>
      <c r="N14" s="59">
        <v>0</v>
      </c>
      <c r="O14" s="59">
        <v>0</v>
      </c>
      <c r="P14" s="59">
        <v>0</v>
      </c>
      <c r="Q14" s="59">
        <v>0</v>
      </c>
      <c r="R14" s="59">
        <v>0</v>
      </c>
      <c r="S14" s="59">
        <v>0</v>
      </c>
      <c r="T14" s="59">
        <v>0</v>
      </c>
      <c r="U14" s="59">
        <v>0</v>
      </c>
      <c r="V14" s="59">
        <v>0</v>
      </c>
      <c r="W14" s="59">
        <v>0</v>
      </c>
      <c r="X14" s="59"/>
      <c r="Y14" s="59"/>
      <c r="Z14" s="59"/>
      <c r="AA14" s="59"/>
      <c r="AB14" s="59"/>
      <c r="AC14" s="59"/>
      <c r="AD14" s="59"/>
      <c r="AE14" s="59">
        <v>0</v>
      </c>
    </row>
    <row r="15" spans="1:31">
      <c r="A15" s="59" t="s">
        <v>616</v>
      </c>
      <c r="B15" s="59" t="s">
        <v>617</v>
      </c>
      <c r="C15" s="59">
        <v>0</v>
      </c>
      <c r="D15" s="59">
        <v>0</v>
      </c>
      <c r="E15" s="59">
        <v>0</v>
      </c>
      <c r="F15" s="59">
        <v>0</v>
      </c>
      <c r="G15" s="59">
        <v>0</v>
      </c>
      <c r="H15" s="59">
        <v>0</v>
      </c>
      <c r="I15" s="59">
        <v>0</v>
      </c>
      <c r="J15" s="59">
        <v>0</v>
      </c>
      <c r="K15" s="59">
        <v>0</v>
      </c>
      <c r="L15" s="59">
        <v>0</v>
      </c>
      <c r="M15" s="59">
        <v>0</v>
      </c>
      <c r="N15" s="59">
        <v>0</v>
      </c>
      <c r="O15" s="59">
        <v>0</v>
      </c>
      <c r="P15" s="59">
        <v>0</v>
      </c>
      <c r="Q15" s="59">
        <v>0</v>
      </c>
      <c r="R15" s="59">
        <v>0</v>
      </c>
      <c r="S15" s="59">
        <v>0</v>
      </c>
      <c r="T15" s="59">
        <v>0</v>
      </c>
      <c r="U15" s="59">
        <v>0</v>
      </c>
      <c r="V15" s="59">
        <v>0</v>
      </c>
      <c r="W15" s="59">
        <v>0</v>
      </c>
      <c r="X15" s="59">
        <v>10</v>
      </c>
      <c r="Y15" s="59">
        <v>0</v>
      </c>
      <c r="Z15" s="59">
        <v>10</v>
      </c>
      <c r="AA15" s="59">
        <v>10</v>
      </c>
      <c r="AB15" s="59">
        <v>0</v>
      </c>
      <c r="AC15" s="59">
        <v>10</v>
      </c>
      <c r="AD15" s="59">
        <v>0</v>
      </c>
      <c r="AE15" s="59">
        <v>0</v>
      </c>
    </row>
    <row r="16" spans="1:31">
      <c r="A16" s="59" t="s">
        <v>616</v>
      </c>
      <c r="B16" s="59" t="s">
        <v>618</v>
      </c>
      <c r="C16" s="59">
        <v>0</v>
      </c>
      <c r="D16" s="59">
        <v>0</v>
      </c>
      <c r="E16" s="59">
        <v>0</v>
      </c>
      <c r="F16" s="59">
        <v>0</v>
      </c>
      <c r="G16" s="59">
        <v>0</v>
      </c>
      <c r="H16" s="59">
        <v>0</v>
      </c>
      <c r="I16" s="59">
        <v>0</v>
      </c>
      <c r="J16" s="59">
        <v>0</v>
      </c>
      <c r="K16" s="59">
        <v>0</v>
      </c>
      <c r="L16" s="59">
        <v>0</v>
      </c>
      <c r="M16" s="59">
        <v>0</v>
      </c>
      <c r="N16" s="59">
        <v>0</v>
      </c>
      <c r="O16" s="59">
        <v>0</v>
      </c>
      <c r="P16" s="59">
        <v>0</v>
      </c>
      <c r="Q16" s="59">
        <v>0</v>
      </c>
      <c r="R16" s="59">
        <v>0</v>
      </c>
      <c r="S16" s="59">
        <v>0</v>
      </c>
      <c r="T16" s="59">
        <v>0</v>
      </c>
      <c r="U16" s="59">
        <v>0</v>
      </c>
      <c r="V16" s="59">
        <v>0</v>
      </c>
      <c r="W16" s="59">
        <v>0</v>
      </c>
      <c r="X16" s="59">
        <v>10</v>
      </c>
      <c r="Y16" s="59">
        <v>0</v>
      </c>
      <c r="Z16" s="59">
        <v>10</v>
      </c>
      <c r="AA16" s="59">
        <v>10</v>
      </c>
      <c r="AB16" s="59">
        <v>0</v>
      </c>
      <c r="AC16" s="59">
        <v>10</v>
      </c>
      <c r="AD16" s="59">
        <v>0</v>
      </c>
      <c r="AE16" s="59">
        <v>0</v>
      </c>
    </row>
    <row r="17" spans="1:31">
      <c r="A17" s="59" t="s">
        <v>616</v>
      </c>
      <c r="B17" s="59" t="s">
        <v>619</v>
      </c>
      <c r="C17" s="59">
        <v>0</v>
      </c>
      <c r="D17" s="59">
        <v>0</v>
      </c>
      <c r="E17" s="59">
        <v>0</v>
      </c>
      <c r="F17" s="59">
        <v>0</v>
      </c>
      <c r="G17" s="59">
        <v>0</v>
      </c>
      <c r="H17" s="59">
        <v>0</v>
      </c>
      <c r="I17" s="59">
        <v>0</v>
      </c>
      <c r="J17" s="59">
        <v>0</v>
      </c>
      <c r="K17" s="59">
        <v>0</v>
      </c>
      <c r="L17" s="59">
        <v>0</v>
      </c>
      <c r="M17" s="59">
        <v>0</v>
      </c>
      <c r="N17" s="59">
        <v>0</v>
      </c>
      <c r="O17" s="59">
        <v>0</v>
      </c>
      <c r="P17" s="59">
        <v>0</v>
      </c>
      <c r="Q17" s="59">
        <v>0</v>
      </c>
      <c r="R17" s="59">
        <v>0</v>
      </c>
      <c r="S17" s="59">
        <v>0</v>
      </c>
      <c r="T17" s="59">
        <v>0</v>
      </c>
      <c r="U17" s="59">
        <v>0</v>
      </c>
      <c r="V17" s="59">
        <v>0</v>
      </c>
      <c r="W17" s="59">
        <v>0</v>
      </c>
      <c r="X17" s="59">
        <v>10</v>
      </c>
      <c r="Y17" s="59">
        <v>0</v>
      </c>
      <c r="Z17" s="59">
        <v>10</v>
      </c>
      <c r="AA17" s="59">
        <v>10</v>
      </c>
      <c r="AB17" s="59">
        <v>0</v>
      </c>
      <c r="AC17" s="59">
        <v>10</v>
      </c>
      <c r="AD17" s="59">
        <v>0</v>
      </c>
      <c r="AE17" s="59">
        <v>0</v>
      </c>
    </row>
    <row r="18" spans="1:31">
      <c r="A18" s="59" t="s">
        <v>616</v>
      </c>
      <c r="B18" s="59" t="s">
        <v>620</v>
      </c>
      <c r="C18" s="59">
        <v>0</v>
      </c>
      <c r="D18" s="59">
        <v>0</v>
      </c>
      <c r="E18" s="59">
        <v>0</v>
      </c>
      <c r="F18" s="59">
        <v>0</v>
      </c>
      <c r="G18" s="59">
        <v>0</v>
      </c>
      <c r="H18" s="59">
        <v>0</v>
      </c>
      <c r="I18" s="59">
        <v>0</v>
      </c>
      <c r="J18" s="59">
        <v>0</v>
      </c>
      <c r="K18" s="59">
        <v>0</v>
      </c>
      <c r="L18" s="59">
        <v>0</v>
      </c>
      <c r="M18" s="59">
        <v>0</v>
      </c>
      <c r="N18" s="59">
        <v>0</v>
      </c>
      <c r="O18" s="59">
        <v>0</v>
      </c>
      <c r="P18" s="59">
        <v>0</v>
      </c>
      <c r="Q18" s="59">
        <v>0</v>
      </c>
      <c r="R18" s="59">
        <v>0</v>
      </c>
      <c r="S18" s="59">
        <v>0</v>
      </c>
      <c r="T18" s="59">
        <v>0</v>
      </c>
      <c r="U18" s="59">
        <v>0</v>
      </c>
      <c r="V18" s="59">
        <v>0</v>
      </c>
      <c r="W18" s="59">
        <v>0</v>
      </c>
      <c r="X18" s="59">
        <v>0</v>
      </c>
      <c r="Y18" s="59">
        <v>0</v>
      </c>
      <c r="Z18" s="59">
        <v>0</v>
      </c>
      <c r="AA18" s="59">
        <v>0</v>
      </c>
      <c r="AB18" s="59">
        <v>0</v>
      </c>
      <c r="AC18" s="59">
        <v>0</v>
      </c>
      <c r="AD18" s="59">
        <v>0</v>
      </c>
      <c r="AE18" s="59">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7"/>
  <sheetViews>
    <sheetView workbookViewId="0"/>
  </sheetViews>
  <sheetFormatPr defaultRowHeight="14.45"/>
  <sheetData>
    <row r="1" spans="1:17">
      <c r="A1" s="59" t="s">
        <v>786</v>
      </c>
      <c r="B1" s="59" t="s">
        <v>787</v>
      </c>
      <c r="C1" s="59" t="s">
        <v>778</v>
      </c>
      <c r="D1" s="59" t="s">
        <v>779</v>
      </c>
      <c r="E1" s="59" t="s">
        <v>780</v>
      </c>
      <c r="F1" s="59" t="s">
        <v>766</v>
      </c>
      <c r="G1" s="59" t="s">
        <v>767</v>
      </c>
      <c r="H1" s="59" t="s">
        <v>784</v>
      </c>
      <c r="I1" s="59" t="s">
        <v>775</v>
      </c>
      <c r="J1" s="59" t="s">
        <v>776</v>
      </c>
      <c r="K1" s="59" t="s">
        <v>777</v>
      </c>
      <c r="L1" s="59" t="s">
        <v>788</v>
      </c>
      <c r="M1" s="59" t="s">
        <v>789</v>
      </c>
      <c r="N1" s="59" t="s">
        <v>790</v>
      </c>
      <c r="O1" s="59" t="s">
        <v>791</v>
      </c>
      <c r="P1" s="59" t="s">
        <v>792</v>
      </c>
      <c r="Q1" s="59" t="s">
        <v>793</v>
      </c>
    </row>
    <row r="2" spans="1:17">
      <c r="A2" s="59" t="s">
        <v>597</v>
      </c>
      <c r="B2" s="59">
        <v>0</v>
      </c>
      <c r="C2" s="59">
        <v>0</v>
      </c>
      <c r="D2" s="59">
        <v>0</v>
      </c>
      <c r="E2" s="59">
        <v>0</v>
      </c>
      <c r="F2" s="59">
        <v>0</v>
      </c>
      <c r="G2" s="59">
        <v>0</v>
      </c>
      <c r="H2" s="59">
        <v>0</v>
      </c>
      <c r="I2" s="59">
        <v>0</v>
      </c>
      <c r="J2" s="59">
        <v>0</v>
      </c>
      <c r="K2" s="59">
        <v>0</v>
      </c>
      <c r="L2" s="59">
        <v>0</v>
      </c>
      <c r="M2" s="59">
        <v>0</v>
      </c>
      <c r="N2" s="59"/>
      <c r="O2" s="59"/>
      <c r="P2" s="59"/>
      <c r="Q2" s="59"/>
    </row>
    <row r="3" spans="1:17">
      <c r="A3" s="59" t="s">
        <v>602</v>
      </c>
      <c r="B3" s="59">
        <v>0</v>
      </c>
      <c r="C3" s="59">
        <v>0</v>
      </c>
      <c r="D3" s="59">
        <v>0</v>
      </c>
      <c r="E3" s="59">
        <v>0</v>
      </c>
      <c r="F3" s="59">
        <v>0</v>
      </c>
      <c r="G3" s="59">
        <v>0</v>
      </c>
      <c r="H3" s="59">
        <v>0</v>
      </c>
      <c r="I3" s="59">
        <v>0</v>
      </c>
      <c r="J3" s="59">
        <v>0</v>
      </c>
      <c r="K3" s="59">
        <v>0</v>
      </c>
      <c r="L3" s="59">
        <v>0</v>
      </c>
      <c r="M3" s="59">
        <v>0</v>
      </c>
      <c r="N3" s="59"/>
      <c r="O3" s="59"/>
      <c r="P3" s="59"/>
      <c r="Q3" s="59"/>
    </row>
    <row r="4" spans="1:17">
      <c r="A4" s="59" t="s">
        <v>606</v>
      </c>
      <c r="B4" s="59">
        <v>0</v>
      </c>
      <c r="C4" s="59">
        <v>0</v>
      </c>
      <c r="D4" s="59">
        <v>0</v>
      </c>
      <c r="E4" s="59">
        <v>0</v>
      </c>
      <c r="F4" s="59">
        <v>0</v>
      </c>
      <c r="G4" s="59">
        <v>0</v>
      </c>
      <c r="H4" s="59">
        <v>0</v>
      </c>
      <c r="I4" s="59">
        <v>0</v>
      </c>
      <c r="J4" s="59">
        <v>0</v>
      </c>
      <c r="K4" s="59">
        <v>0</v>
      </c>
      <c r="L4" s="59">
        <v>0</v>
      </c>
      <c r="M4" s="59">
        <v>0</v>
      </c>
      <c r="N4" s="59"/>
      <c r="O4" s="59"/>
      <c r="P4" s="59"/>
      <c r="Q4" s="59"/>
    </row>
    <row r="5" spans="1:17">
      <c r="A5" s="59" t="s">
        <v>610</v>
      </c>
      <c r="B5" s="59">
        <v>0</v>
      </c>
      <c r="C5" s="59">
        <v>0</v>
      </c>
      <c r="D5" s="59">
        <v>0</v>
      </c>
      <c r="E5" s="59">
        <v>0</v>
      </c>
      <c r="F5" s="59">
        <v>0</v>
      </c>
      <c r="G5" s="59">
        <v>0</v>
      </c>
      <c r="H5" s="59">
        <v>0</v>
      </c>
      <c r="I5" s="59">
        <v>0</v>
      </c>
      <c r="J5" s="59">
        <v>0</v>
      </c>
      <c r="K5" s="59">
        <v>0</v>
      </c>
      <c r="L5" s="59">
        <v>0</v>
      </c>
      <c r="M5" s="59">
        <v>0</v>
      </c>
      <c r="N5" s="59"/>
      <c r="O5" s="59"/>
      <c r="P5" s="59"/>
      <c r="Q5" s="59"/>
    </row>
    <row r="6" spans="1:17">
      <c r="A6" s="59" t="s">
        <v>616</v>
      </c>
      <c r="B6" s="59">
        <v>0</v>
      </c>
      <c r="C6" s="59">
        <v>0</v>
      </c>
      <c r="D6" s="59">
        <v>0</v>
      </c>
      <c r="E6" s="59">
        <v>0</v>
      </c>
      <c r="F6" s="59">
        <v>0</v>
      </c>
      <c r="G6" s="59">
        <v>0</v>
      </c>
      <c r="H6" s="59">
        <v>0</v>
      </c>
      <c r="I6" s="59">
        <v>0</v>
      </c>
      <c r="J6" s="59">
        <v>0</v>
      </c>
      <c r="K6" s="59">
        <v>0</v>
      </c>
      <c r="L6" s="59">
        <v>0</v>
      </c>
      <c r="M6" s="59">
        <v>0</v>
      </c>
      <c r="N6" s="59"/>
      <c r="O6" s="59"/>
      <c r="P6" s="59"/>
      <c r="Q6" s="59"/>
    </row>
    <row r="7" spans="1:17">
      <c r="A7" s="59" t="s">
        <v>794</v>
      </c>
      <c r="B7" s="59">
        <v>0</v>
      </c>
      <c r="C7" s="59">
        <v>0</v>
      </c>
      <c r="D7" s="59">
        <v>0</v>
      </c>
      <c r="E7" s="59">
        <v>0</v>
      </c>
      <c r="F7" s="59">
        <v>0</v>
      </c>
      <c r="G7" s="59">
        <v>0</v>
      </c>
      <c r="H7" s="59">
        <v>0</v>
      </c>
      <c r="I7" s="59">
        <v>0</v>
      </c>
      <c r="J7" s="59">
        <v>0</v>
      </c>
      <c r="K7" s="59">
        <v>0</v>
      </c>
      <c r="L7" s="59">
        <v>0</v>
      </c>
      <c r="M7" s="59">
        <v>0</v>
      </c>
      <c r="N7" s="59"/>
      <c r="O7" s="59"/>
      <c r="P7" s="59"/>
      <c r="Q7" s="59"/>
    </row>
    <row r="8" spans="1:17">
      <c r="A8" s="59" t="s">
        <v>80</v>
      </c>
      <c r="B8" s="59">
        <v>0</v>
      </c>
      <c r="C8" s="59">
        <v>0</v>
      </c>
      <c r="D8" s="59">
        <v>0</v>
      </c>
      <c r="E8" s="59">
        <v>0</v>
      </c>
      <c r="F8" s="59">
        <v>0</v>
      </c>
      <c r="G8" s="59">
        <v>0</v>
      </c>
      <c r="H8" s="59">
        <v>0</v>
      </c>
      <c r="I8" s="59">
        <v>0</v>
      </c>
      <c r="J8" s="59">
        <v>0</v>
      </c>
      <c r="K8" s="59">
        <v>0</v>
      </c>
      <c r="L8" s="59">
        <v>0</v>
      </c>
      <c r="M8" s="59">
        <v>0</v>
      </c>
      <c r="N8" s="59"/>
      <c r="O8" s="59"/>
      <c r="P8" s="59"/>
      <c r="Q8" s="59"/>
    </row>
    <row r="9" spans="1:17">
      <c r="A9" s="59" t="s">
        <v>67</v>
      </c>
      <c r="B9" s="59">
        <v>0</v>
      </c>
      <c r="C9" s="59">
        <v>0</v>
      </c>
      <c r="D9" s="59">
        <v>0</v>
      </c>
      <c r="E9" s="59">
        <v>0</v>
      </c>
      <c r="F9" s="59">
        <v>0</v>
      </c>
      <c r="G9" s="59">
        <v>0</v>
      </c>
      <c r="H9" s="59">
        <v>0</v>
      </c>
      <c r="I9" s="59">
        <v>0</v>
      </c>
      <c r="J9" s="59">
        <v>0</v>
      </c>
      <c r="K9" s="59">
        <v>0</v>
      </c>
      <c r="L9" s="59">
        <v>0</v>
      </c>
      <c r="M9" s="59">
        <v>0</v>
      </c>
      <c r="N9" s="59"/>
      <c r="O9" s="59"/>
      <c r="P9" s="59"/>
      <c r="Q9" s="59"/>
    </row>
    <row r="10" spans="1:17">
      <c r="A10" s="59" t="s">
        <v>795</v>
      </c>
      <c r="B10" s="59">
        <v>0</v>
      </c>
      <c r="C10" s="59">
        <v>0</v>
      </c>
      <c r="D10" s="59">
        <v>0</v>
      </c>
      <c r="E10" s="59">
        <v>0</v>
      </c>
      <c r="F10" s="59">
        <v>0</v>
      </c>
      <c r="G10" s="59">
        <v>0</v>
      </c>
      <c r="H10" s="59">
        <v>0</v>
      </c>
      <c r="I10" s="59">
        <v>0</v>
      </c>
      <c r="J10" s="59">
        <v>0</v>
      </c>
      <c r="K10" s="59">
        <v>0</v>
      </c>
      <c r="L10" s="59">
        <v>0</v>
      </c>
      <c r="M10" s="59">
        <v>0</v>
      </c>
      <c r="N10" s="59"/>
      <c r="O10" s="59"/>
      <c r="P10" s="59"/>
      <c r="Q10" s="59"/>
    </row>
    <row r="11" spans="1:17">
      <c r="A11" s="59" t="s">
        <v>796</v>
      </c>
      <c r="B11" s="59">
        <v>0</v>
      </c>
      <c r="C11" s="59">
        <v>0</v>
      </c>
      <c r="D11" s="59">
        <v>0</v>
      </c>
      <c r="E11" s="59">
        <v>0</v>
      </c>
      <c r="F11" s="59">
        <v>0</v>
      </c>
      <c r="G11" s="59">
        <v>0</v>
      </c>
      <c r="H11" s="59">
        <v>0</v>
      </c>
      <c r="I11" s="59">
        <v>0</v>
      </c>
      <c r="J11" s="59">
        <v>0</v>
      </c>
      <c r="K11" s="59">
        <v>0</v>
      </c>
      <c r="L11" s="59">
        <v>0</v>
      </c>
      <c r="M11" s="59">
        <v>0</v>
      </c>
      <c r="N11" s="59"/>
      <c r="O11" s="59"/>
      <c r="P11" s="59"/>
      <c r="Q11" s="59"/>
    </row>
    <row r="12" spans="1:17">
      <c r="A12" s="59" t="s">
        <v>70</v>
      </c>
      <c r="B12" s="59">
        <v>0</v>
      </c>
      <c r="C12" s="59">
        <v>0</v>
      </c>
      <c r="D12" s="59">
        <v>0</v>
      </c>
      <c r="E12" s="59">
        <v>0</v>
      </c>
      <c r="F12" s="59">
        <v>0</v>
      </c>
      <c r="G12" s="59">
        <v>0</v>
      </c>
      <c r="H12" s="59">
        <v>0</v>
      </c>
      <c r="I12" s="59">
        <v>0</v>
      </c>
      <c r="J12" s="59">
        <v>0</v>
      </c>
      <c r="K12" s="59">
        <v>0</v>
      </c>
      <c r="L12" s="59">
        <v>0</v>
      </c>
      <c r="M12" s="59">
        <v>0</v>
      </c>
      <c r="N12" s="59"/>
      <c r="O12" s="59"/>
      <c r="P12" s="59"/>
      <c r="Q12" s="59"/>
    </row>
    <row r="13" spans="1:17">
      <c r="A13" s="59" t="s">
        <v>77</v>
      </c>
      <c r="B13" s="59">
        <v>0</v>
      </c>
      <c r="C13" s="59">
        <v>0</v>
      </c>
      <c r="D13" s="59">
        <v>0</v>
      </c>
      <c r="E13" s="59">
        <v>0</v>
      </c>
      <c r="F13" s="59">
        <v>0</v>
      </c>
      <c r="G13" s="59">
        <v>0</v>
      </c>
      <c r="H13" s="59">
        <v>0</v>
      </c>
      <c r="I13" s="59">
        <v>0</v>
      </c>
      <c r="J13" s="59">
        <v>0</v>
      </c>
      <c r="K13" s="59">
        <v>0</v>
      </c>
      <c r="L13" s="59">
        <v>0</v>
      </c>
      <c r="M13" s="59">
        <v>0</v>
      </c>
      <c r="N13" s="59"/>
      <c r="O13" s="59"/>
      <c r="P13" s="59"/>
      <c r="Q13" s="59"/>
    </row>
    <row r="14" spans="1:17">
      <c r="A14" s="59" t="s">
        <v>71</v>
      </c>
      <c r="B14" s="59">
        <v>0</v>
      </c>
      <c r="C14" s="59">
        <v>0</v>
      </c>
      <c r="D14" s="59">
        <v>0</v>
      </c>
      <c r="E14" s="59">
        <v>0</v>
      </c>
      <c r="F14" s="59">
        <v>0</v>
      </c>
      <c r="G14" s="59">
        <v>0</v>
      </c>
      <c r="H14" s="59">
        <v>0</v>
      </c>
      <c r="I14" s="59">
        <v>0</v>
      </c>
      <c r="J14" s="59">
        <v>0</v>
      </c>
      <c r="K14" s="59">
        <v>0</v>
      </c>
      <c r="L14" s="59">
        <v>0</v>
      </c>
      <c r="M14" s="59">
        <v>0</v>
      </c>
      <c r="N14" s="59"/>
      <c r="O14" s="59"/>
      <c r="P14" s="59"/>
      <c r="Q14" s="59"/>
    </row>
    <row r="15" spans="1:17">
      <c r="A15" s="59" t="s">
        <v>797</v>
      </c>
      <c r="B15" s="59">
        <v>0</v>
      </c>
      <c r="C15" s="59">
        <v>0</v>
      </c>
      <c r="D15" s="59">
        <v>0</v>
      </c>
      <c r="E15" s="59">
        <v>0</v>
      </c>
      <c r="F15" s="59">
        <v>0</v>
      </c>
      <c r="G15" s="59">
        <v>0</v>
      </c>
      <c r="H15" s="59">
        <v>0</v>
      </c>
      <c r="I15" s="59">
        <v>0</v>
      </c>
      <c r="J15" s="59">
        <v>0</v>
      </c>
      <c r="K15" s="59">
        <v>0</v>
      </c>
      <c r="L15" s="59">
        <v>0</v>
      </c>
      <c r="M15" s="59">
        <v>0</v>
      </c>
      <c r="N15" s="59"/>
      <c r="O15" s="59"/>
      <c r="P15" s="59"/>
      <c r="Q15" s="59"/>
    </row>
    <row r="16" spans="1:17">
      <c r="A16" s="59" t="s">
        <v>798</v>
      </c>
      <c r="B16" s="59">
        <v>0</v>
      </c>
      <c r="C16" s="59">
        <v>0</v>
      </c>
      <c r="D16" s="59">
        <v>0</v>
      </c>
      <c r="E16" s="59">
        <v>0</v>
      </c>
      <c r="F16" s="59">
        <v>0</v>
      </c>
      <c r="G16" s="59">
        <v>0</v>
      </c>
      <c r="H16" s="59">
        <v>0</v>
      </c>
      <c r="I16" s="59">
        <v>0</v>
      </c>
      <c r="J16" s="59">
        <v>0</v>
      </c>
      <c r="K16" s="59">
        <v>0</v>
      </c>
      <c r="L16" s="59">
        <v>0</v>
      </c>
      <c r="M16" s="59">
        <v>0</v>
      </c>
      <c r="N16" s="59"/>
      <c r="O16" s="59"/>
      <c r="P16" s="59"/>
      <c r="Q16" s="59"/>
    </row>
    <row r="17" spans="1:13">
      <c r="A17" s="59" t="s">
        <v>66</v>
      </c>
      <c r="B17" s="59">
        <v>0</v>
      </c>
      <c r="C17" s="59">
        <v>0</v>
      </c>
      <c r="D17" s="59">
        <v>0</v>
      </c>
      <c r="E17" s="59">
        <v>0</v>
      </c>
      <c r="F17" s="59">
        <v>0</v>
      </c>
      <c r="G17" s="59">
        <v>0</v>
      </c>
      <c r="H17" s="59">
        <v>0</v>
      </c>
      <c r="I17" s="59">
        <v>0</v>
      </c>
      <c r="J17" s="59">
        <v>0</v>
      </c>
      <c r="K17" s="59">
        <v>0</v>
      </c>
      <c r="L17" s="59">
        <v>0</v>
      </c>
      <c r="M17" s="59">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2"/>
  <sheetViews>
    <sheetView workbookViewId="0"/>
  </sheetViews>
  <sheetFormatPr defaultRowHeight="14.45"/>
  <sheetData>
    <row r="1" spans="1:30">
      <c r="A1" s="59" t="s">
        <v>166</v>
      </c>
      <c r="B1" s="59" t="s">
        <v>274</v>
      </c>
      <c r="C1" s="59" t="s">
        <v>394</v>
      </c>
      <c r="D1" s="59" t="s">
        <v>395</v>
      </c>
      <c r="E1" s="59" t="s">
        <v>396</v>
      </c>
      <c r="F1" s="59" t="s">
        <v>397</v>
      </c>
      <c r="G1" s="59" t="s">
        <v>398</v>
      </c>
      <c r="H1" s="59" t="s">
        <v>399</v>
      </c>
      <c r="I1" s="59" t="s">
        <v>400</v>
      </c>
      <c r="J1" s="59" t="s">
        <v>401</v>
      </c>
      <c r="K1" s="59" t="s">
        <v>402</v>
      </c>
      <c r="L1" s="59" t="s">
        <v>403</v>
      </c>
      <c r="M1" s="59" t="s">
        <v>799</v>
      </c>
      <c r="N1" s="59" t="s">
        <v>800</v>
      </c>
      <c r="O1" s="59" t="s">
        <v>406</v>
      </c>
      <c r="P1" s="59" t="s">
        <v>407</v>
      </c>
      <c r="Q1" s="59" t="s">
        <v>408</v>
      </c>
      <c r="R1" s="59" t="s">
        <v>409</v>
      </c>
      <c r="S1" s="59" t="s">
        <v>410</v>
      </c>
      <c r="T1" s="59" t="s">
        <v>411</v>
      </c>
      <c r="U1" s="59" t="s">
        <v>412</v>
      </c>
      <c r="V1" s="59" t="s">
        <v>413</v>
      </c>
      <c r="W1" s="59" t="s">
        <v>801</v>
      </c>
      <c r="X1" s="59" t="s">
        <v>802</v>
      </c>
      <c r="Y1" s="59" t="s">
        <v>803</v>
      </c>
      <c r="Z1" s="59" t="s">
        <v>804</v>
      </c>
      <c r="AA1" s="59" t="s">
        <v>805</v>
      </c>
      <c r="AB1" s="59" t="s">
        <v>790</v>
      </c>
      <c r="AC1" s="59" t="s">
        <v>791</v>
      </c>
      <c r="AD1" s="59" t="s">
        <v>806</v>
      </c>
    </row>
    <row r="2" spans="1:30">
      <c r="A2" s="59" t="s">
        <v>534</v>
      </c>
      <c r="B2" s="59" t="s">
        <v>535</v>
      </c>
      <c r="C2" s="59">
        <v>0</v>
      </c>
      <c r="D2" s="59">
        <v>0</v>
      </c>
      <c r="E2" s="59">
        <v>0</v>
      </c>
      <c r="F2" s="59">
        <v>0</v>
      </c>
      <c r="G2" s="59"/>
      <c r="H2" s="59">
        <v>0</v>
      </c>
      <c r="I2" s="59">
        <v>0</v>
      </c>
      <c r="J2" s="59">
        <v>0</v>
      </c>
      <c r="K2" s="59">
        <v>0</v>
      </c>
      <c r="L2" s="59">
        <v>0</v>
      </c>
      <c r="M2" s="59">
        <v>0</v>
      </c>
      <c r="N2" s="59">
        <v>0</v>
      </c>
      <c r="O2" s="59"/>
      <c r="P2" s="59"/>
      <c r="Q2" s="59"/>
      <c r="R2" s="59"/>
      <c r="S2" s="59"/>
      <c r="T2" s="59"/>
      <c r="U2" s="59"/>
      <c r="V2" s="59"/>
      <c r="W2" s="59"/>
      <c r="X2" s="59"/>
      <c r="Y2" s="59"/>
      <c r="Z2" s="59"/>
      <c r="AA2" s="59">
        <v>0</v>
      </c>
      <c r="AB2" s="59"/>
      <c r="AC2" s="59"/>
      <c r="AD2" s="5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Kuba Kowalski</cp:lastModifiedBy>
  <cp:revision/>
  <dcterms:created xsi:type="dcterms:W3CDTF">2024-09-06T15:22:17Z</dcterms:created>
  <dcterms:modified xsi:type="dcterms:W3CDTF">2026-02-10T12:45:36Z</dcterms:modified>
  <cp:category/>
  <cp:contentStatus/>
</cp:coreProperties>
</file>
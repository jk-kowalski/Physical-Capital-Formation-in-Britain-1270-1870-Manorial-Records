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wageningenur4-my.sharepoint.com/personal/kuba_kowalski_wur_nl/Documents/WUR/2024-2025/research_assistant_ox/workfolder/output/OCR 1409-1410/manual adjustement/"/>
    </mc:Choice>
  </mc:AlternateContent>
  <xr:revisionPtr revIDLastSave="56" documentId="11_8B80ECC5889BD5BE8D10A352C403A52CD57AF2A9" xr6:coauthVersionLast="47" xr6:coauthVersionMax="47" xr10:uidLastSave="{C0505D40-AE27-4079-9485-75B8ECB6E05C}"/>
  <bookViews>
    <workbookView xWindow="-110" yWindow="-110" windowWidth="38620" windowHeight="21100" activeTab="3" xr2:uid="{00000000-000D-0000-FFFF-FFFF00000000}"/>
  </bookViews>
  <sheets>
    <sheet name="Overview" sheetId="1" r:id="rId1"/>
    <sheet name="Receipts" sheetId="2" r:id="rId2"/>
    <sheet name="Expenses" sheetId="3" r:id="rId3"/>
    <sheet name="Stock" sheetId="4" r:id="rId4"/>
    <sheet name="raw data" sheetId="5" r:id="rId5"/>
    <sheet name="Stock_raw" sheetId="6" r:id="rId6"/>
    <sheet name="Issues of the Mills" sheetId="7" r:id="rId7"/>
    <sheet name="Prices" sheetId="8" r:id="rId8"/>
    <sheet name="Labour Rents" sheetId="9" r:id="rId9"/>
    <sheet name="not needed" sheetId="10" r:id="rId10"/>
    <sheet name="Issues of the Grange raw" sheetId="11" r:id="rId11"/>
    <sheet name="Issues of the Grange" sheetId="12" r:id="rId12"/>
    <sheet name="Sale of Corn Price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4" i="4" l="1"/>
  <c r="O14" i="4"/>
  <c r="O22" i="4"/>
  <c r="O28" i="4"/>
  <c r="F80" i="3"/>
  <c r="F79" i="3"/>
  <c r="T93" i="4"/>
  <c r="S93" i="4"/>
  <c r="T89" i="4"/>
  <c r="S89" i="4"/>
  <c r="T88" i="4"/>
  <c r="S88" i="4"/>
  <c r="T84" i="4"/>
  <c r="S84" i="4"/>
  <c r="T83" i="4"/>
  <c r="S83" i="4"/>
  <c r="T82" i="4"/>
  <c r="S82" i="4"/>
  <c r="T76" i="4"/>
  <c r="S76" i="4"/>
  <c r="T75" i="4"/>
  <c r="T77" i="4" s="1"/>
  <c r="S75" i="4"/>
  <c r="S77" i="4" s="1"/>
  <c r="Q70" i="4"/>
  <c r="F155" i="1" s="1"/>
  <c r="N70" i="4"/>
  <c r="T70" i="4" s="1"/>
  <c r="L70" i="4"/>
  <c r="M70" i="4" s="1"/>
  <c r="Q69" i="4"/>
  <c r="N69" i="4"/>
  <c r="T69" i="4" s="1"/>
  <c r="M69" i="4"/>
  <c r="S69" i="4" s="1"/>
  <c r="L69" i="4"/>
  <c r="T68" i="4"/>
  <c r="Q68" i="4"/>
  <c r="F153" i="1" s="1"/>
  <c r="N68" i="4"/>
  <c r="L68" i="4"/>
  <c r="M68" i="4" s="1"/>
  <c r="Q67" i="4"/>
  <c r="N67" i="4"/>
  <c r="T67" i="4" s="1"/>
  <c r="L67" i="4"/>
  <c r="M67" i="4" s="1"/>
  <c r="N30" i="4"/>
  <c r="T30" i="4" s="1"/>
  <c r="L30" i="4"/>
  <c r="F113" i="1" s="1"/>
  <c r="K30" i="4"/>
  <c r="P30" i="4" s="1"/>
  <c r="P29" i="4"/>
  <c r="N29" i="4"/>
  <c r="T29" i="4" s="1"/>
  <c r="M29" i="4"/>
  <c r="S29" i="4" s="1"/>
  <c r="L29" i="4"/>
  <c r="F112" i="1" s="1"/>
  <c r="K29" i="4"/>
  <c r="N28" i="4"/>
  <c r="L28" i="4"/>
  <c r="C111" i="1" s="1"/>
  <c r="D111" i="1" s="1"/>
  <c r="K28" i="4"/>
  <c r="T27" i="4"/>
  <c r="S27" i="4"/>
  <c r="N27" i="4"/>
  <c r="M27" i="4"/>
  <c r="L27" i="4"/>
  <c r="K27" i="4"/>
  <c r="P27" i="4" s="1"/>
  <c r="N26" i="4"/>
  <c r="T26" i="4" s="1"/>
  <c r="L26" i="4"/>
  <c r="M26" i="4" s="1"/>
  <c r="S26" i="4" s="1"/>
  <c r="K26" i="4"/>
  <c r="P26" i="4" s="1"/>
  <c r="N25" i="4"/>
  <c r="T25" i="4" s="1"/>
  <c r="M25" i="4"/>
  <c r="S25" i="4" s="1"/>
  <c r="L25" i="4"/>
  <c r="F108" i="1" s="1"/>
  <c r="K25" i="4"/>
  <c r="P25" i="4" s="1"/>
  <c r="T24" i="4"/>
  <c r="N24" i="4"/>
  <c r="L24" i="4"/>
  <c r="M24" i="4" s="1"/>
  <c r="S24" i="4" s="1"/>
  <c r="K24" i="4"/>
  <c r="P24" i="4" s="1"/>
  <c r="P23" i="4"/>
  <c r="N23" i="4"/>
  <c r="T23" i="4" s="1"/>
  <c r="M23" i="4"/>
  <c r="S23" i="4" s="1"/>
  <c r="L23" i="4"/>
  <c r="K23" i="4"/>
  <c r="N22" i="4"/>
  <c r="T22" i="4" s="1"/>
  <c r="L22" i="4"/>
  <c r="F105" i="1" s="1"/>
  <c r="K22" i="4"/>
  <c r="P22" i="4" s="1"/>
  <c r="N21" i="4"/>
  <c r="T21" i="4" s="1"/>
  <c r="M21" i="4"/>
  <c r="S21" i="4" s="1"/>
  <c r="L21" i="4"/>
  <c r="F104" i="1" s="1"/>
  <c r="K21" i="4"/>
  <c r="P21" i="4" s="1"/>
  <c r="T20" i="4"/>
  <c r="P20" i="4"/>
  <c r="N20" i="4"/>
  <c r="L20" i="4"/>
  <c r="F103" i="1" s="1"/>
  <c r="K20" i="4"/>
  <c r="N19" i="4"/>
  <c r="T19" i="4" s="1"/>
  <c r="L19" i="4"/>
  <c r="C102" i="1" s="1"/>
  <c r="D102" i="1" s="1"/>
  <c r="G102" i="1" s="1"/>
  <c r="K19" i="4"/>
  <c r="P19" i="4" s="1"/>
  <c r="T18" i="4"/>
  <c r="P18" i="4"/>
  <c r="N18" i="4"/>
  <c r="L18" i="4"/>
  <c r="M18" i="4" s="1"/>
  <c r="S18" i="4" s="1"/>
  <c r="K18" i="4"/>
  <c r="T17" i="4"/>
  <c r="P17" i="4"/>
  <c r="N17" i="4"/>
  <c r="L17" i="4"/>
  <c r="M17" i="4" s="1"/>
  <c r="S17" i="4" s="1"/>
  <c r="K17" i="4"/>
  <c r="N16" i="4"/>
  <c r="T16" i="4" s="1"/>
  <c r="L16" i="4"/>
  <c r="M16" i="4" s="1"/>
  <c r="S16" i="4" s="1"/>
  <c r="K16" i="4"/>
  <c r="P16" i="4" s="1"/>
  <c r="T15" i="4"/>
  <c r="N15" i="4"/>
  <c r="L15" i="4"/>
  <c r="M15" i="4" s="1"/>
  <c r="S15" i="4" s="1"/>
  <c r="K15" i="4"/>
  <c r="P15" i="4" s="1"/>
  <c r="P14" i="4"/>
  <c r="N14" i="4"/>
  <c r="T14" i="4" s="1"/>
  <c r="L14" i="4"/>
  <c r="M14" i="4" s="1"/>
  <c r="S14" i="4" s="1"/>
  <c r="K14" i="4"/>
  <c r="P13" i="4"/>
  <c r="N13" i="4"/>
  <c r="T13" i="4" s="1"/>
  <c r="M13" i="4"/>
  <c r="S13" i="4" s="1"/>
  <c r="L13" i="4"/>
  <c r="K13" i="4"/>
  <c r="N12" i="4"/>
  <c r="T12" i="4" s="1"/>
  <c r="L12" i="4"/>
  <c r="C95" i="1" s="1"/>
  <c r="D95" i="1" s="1"/>
  <c r="G95" i="1" s="1"/>
  <c r="K12" i="4"/>
  <c r="P12" i="4" s="1"/>
  <c r="T11" i="4"/>
  <c r="N11" i="4"/>
  <c r="L11" i="4"/>
  <c r="F94" i="1" s="1"/>
  <c r="K11" i="4"/>
  <c r="P11" i="4" s="1"/>
  <c r="N10" i="4"/>
  <c r="T10" i="4" s="1"/>
  <c r="L10" i="4"/>
  <c r="M10" i="4" s="1"/>
  <c r="S10" i="4" s="1"/>
  <c r="K10" i="4"/>
  <c r="P10" i="4" s="1"/>
  <c r="T9" i="4"/>
  <c r="P9" i="4"/>
  <c r="N9" i="4"/>
  <c r="L9" i="4"/>
  <c r="M9" i="4" s="1"/>
  <c r="S9" i="4" s="1"/>
  <c r="K9" i="4"/>
  <c r="S8" i="4"/>
  <c r="N8" i="4"/>
  <c r="T8" i="4" s="1"/>
  <c r="M8" i="4"/>
  <c r="L8" i="4"/>
  <c r="K8" i="4"/>
  <c r="P8" i="4" s="1"/>
  <c r="N7" i="4"/>
  <c r="T7" i="4" s="1"/>
  <c r="L7" i="4"/>
  <c r="M7" i="4" s="1"/>
  <c r="S7" i="4" s="1"/>
  <c r="K7" i="4"/>
  <c r="P7" i="4" s="1"/>
  <c r="N6" i="4"/>
  <c r="T6" i="4" s="1"/>
  <c r="L6" i="4"/>
  <c r="F89" i="1" s="1"/>
  <c r="K6" i="4"/>
  <c r="P6" i="4" s="1"/>
  <c r="N5" i="4"/>
  <c r="T5" i="4" s="1"/>
  <c r="L5" i="4"/>
  <c r="F88" i="1" s="1"/>
  <c r="K5" i="4"/>
  <c r="P5" i="4" s="1"/>
  <c r="F78" i="3"/>
  <c r="B46" i="1" s="1"/>
  <c r="F77" i="3"/>
  <c r="F108" i="2"/>
  <c r="F109" i="2" s="1"/>
  <c r="B26" i="1" s="1"/>
  <c r="B178" i="1"/>
  <c r="F170" i="1"/>
  <c r="F163" i="1"/>
  <c r="F157" i="1"/>
  <c r="F154" i="1"/>
  <c r="B153" i="1"/>
  <c r="F152" i="1"/>
  <c r="B152" i="1"/>
  <c r="F124" i="1"/>
  <c r="F116" i="1"/>
  <c r="F110" i="1"/>
  <c r="C110" i="1"/>
  <c r="D110" i="1" s="1"/>
  <c r="G110" i="1" s="1"/>
  <c r="F109" i="1"/>
  <c r="C109" i="1"/>
  <c r="D109" i="1" s="1"/>
  <c r="G109" i="1" s="1"/>
  <c r="C108" i="1"/>
  <c r="D108" i="1" s="1"/>
  <c r="G108" i="1" s="1"/>
  <c r="F107" i="1"/>
  <c r="C107" i="1"/>
  <c r="D107" i="1" s="1"/>
  <c r="G107" i="1" s="1"/>
  <c r="F106" i="1"/>
  <c r="C106" i="1"/>
  <c r="D106" i="1" s="1"/>
  <c r="G106" i="1" s="1"/>
  <c r="F101" i="1"/>
  <c r="C101" i="1"/>
  <c r="D101" i="1" s="1"/>
  <c r="G101" i="1" s="1"/>
  <c r="F100" i="1"/>
  <c r="C100" i="1"/>
  <c r="D100" i="1" s="1"/>
  <c r="G100" i="1" s="1"/>
  <c r="F99" i="1"/>
  <c r="C99" i="1"/>
  <c r="D99" i="1" s="1"/>
  <c r="G99" i="1" s="1"/>
  <c r="F98" i="1"/>
  <c r="C98" i="1"/>
  <c r="D98" i="1" s="1"/>
  <c r="G98" i="1" s="1"/>
  <c r="F96" i="1"/>
  <c r="C96" i="1"/>
  <c r="D96" i="1" s="1"/>
  <c r="G96" i="1" s="1"/>
  <c r="F92" i="1"/>
  <c r="C92" i="1"/>
  <c r="D92" i="1" s="1"/>
  <c r="G92" i="1" s="1"/>
  <c r="F91" i="1"/>
  <c r="C91" i="1"/>
  <c r="D91" i="1" s="1"/>
  <c r="G91" i="1" s="1"/>
  <c r="F90" i="1"/>
  <c r="C90" i="1"/>
  <c r="D90" i="1" s="1"/>
  <c r="G90" i="1" s="1"/>
  <c r="E73" i="1"/>
  <c r="E72" i="1"/>
  <c r="B55" i="1"/>
  <c r="B58" i="1" s="1"/>
  <c r="B45" i="1"/>
  <c r="B24" i="1"/>
  <c r="B23" i="1"/>
  <c r="B50" i="1" s="1"/>
  <c r="P28" i="4" l="1"/>
  <c r="T28" i="4"/>
  <c r="G111" i="1"/>
  <c r="B177" i="1"/>
  <c r="C155" i="1"/>
  <c r="D155" i="1" s="1"/>
  <c r="S70" i="4"/>
  <c r="S67" i="4"/>
  <c r="C152" i="1"/>
  <c r="S68" i="4"/>
  <c r="C153" i="1"/>
  <c r="D153" i="1" s="1"/>
  <c r="F156" i="1"/>
  <c r="B176" i="1" s="1"/>
  <c r="D152" i="1"/>
  <c r="F115" i="1"/>
  <c r="M6" i="4"/>
  <c r="S6" i="4" s="1"/>
  <c r="M20" i="4"/>
  <c r="S20" i="4" s="1"/>
  <c r="C154" i="1"/>
  <c r="D154" i="1" s="1"/>
  <c r="M11" i="4"/>
  <c r="S11" i="4" s="1"/>
  <c r="C93" i="1"/>
  <c r="D93" i="1" s="1"/>
  <c r="G93" i="1" s="1"/>
  <c r="B25" i="1"/>
  <c r="F93" i="1"/>
  <c r="M30" i="4"/>
  <c r="S30" i="4" s="1"/>
  <c r="M28" i="4"/>
  <c r="S28" i="4" s="1"/>
  <c r="M19" i="4"/>
  <c r="S19" i="4" s="1"/>
  <c r="C25" i="1"/>
  <c r="C103" i="1"/>
  <c r="D103" i="1" s="1"/>
  <c r="G103" i="1" s="1"/>
  <c r="C94" i="1"/>
  <c r="D94" i="1" s="1"/>
  <c r="G94" i="1" s="1"/>
  <c r="F102" i="1"/>
  <c r="M12" i="4"/>
  <c r="S12" i="4" s="1"/>
  <c r="F95" i="1"/>
  <c r="F111" i="1"/>
  <c r="C88" i="1"/>
  <c r="D88" i="1" s="1"/>
  <c r="G88" i="1" s="1"/>
  <c r="C104" i="1"/>
  <c r="D104" i="1" s="1"/>
  <c r="G104" i="1" s="1"/>
  <c r="C112" i="1"/>
  <c r="D112" i="1" s="1"/>
  <c r="G112" i="1" s="1"/>
  <c r="M5" i="4"/>
  <c r="S5" i="4" s="1"/>
  <c r="M22" i="4"/>
  <c r="S22" i="4" s="1"/>
  <c r="C89" i="1"/>
  <c r="D89" i="1" s="1"/>
  <c r="G89" i="1" s="1"/>
  <c r="C97" i="1"/>
  <c r="D97" i="1" s="1"/>
  <c r="G97" i="1" s="1"/>
  <c r="C105" i="1"/>
  <c r="D105" i="1" s="1"/>
  <c r="G105" i="1" s="1"/>
  <c r="C113" i="1"/>
  <c r="D113" i="1" s="1"/>
  <c r="G113" i="1" s="1"/>
  <c r="F97" i="1"/>
  <c r="F114" i="1" l="1"/>
  <c r="B181" i="1"/>
  <c r="B179" i="1"/>
  <c r="B182" i="1" s="1"/>
  <c r="G11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F87" authorId="0" shapeId="0" xr:uid="{00000000-0006-0000-0000-000001000000}">
      <text>
        <r>
          <rPr>
            <sz val="11"/>
            <color theme="1"/>
            <rFont val="Calibri"/>
            <family val="2"/>
            <scheme val="minor"/>
          </rPr>
          <t>Victoria Gierok:
valued at sales prices where available</t>
        </r>
      </text>
    </comment>
    <comment ref="F118" authorId="0" shapeId="0" xr:uid="{00000000-0006-0000-0000-000002000000}">
      <text>
        <r>
          <rPr>
            <sz val="11"/>
            <color theme="1"/>
            <rFont val="Calibri"/>
            <family val="2"/>
            <scheme val="minor"/>
          </rPr>
          <t>Victoria Gierok:
valued at sales prices where available</t>
        </r>
      </text>
    </comment>
    <comment ref="F127" authorId="0" shapeId="0" xr:uid="{00000000-0006-0000-0000-000003000000}">
      <text>
        <r>
          <rPr>
            <sz val="11"/>
            <color theme="1"/>
            <rFont val="Calibri"/>
            <family val="2"/>
            <scheme val="minor"/>
          </rPr>
          <t>Victoria Gierok:
valued at sales prices where available</t>
        </r>
      </text>
    </comment>
    <comment ref="F151" authorId="0" shapeId="0" xr:uid="{00000000-0006-0000-0000-000004000000}">
      <text>
        <r>
          <rPr>
            <sz val="11"/>
            <color theme="1"/>
            <rFont val="Calibri"/>
            <family val="2"/>
            <scheme val="minor"/>
          </rPr>
          <t>Victoria Gierok:
valued at sales prices where available</t>
        </r>
      </text>
    </comment>
    <comment ref="F159" authorId="0" shapeId="0" xr:uid="{00000000-0006-0000-0000-000005000000}">
      <text>
        <r>
          <rPr>
            <sz val="11"/>
            <color theme="1"/>
            <rFont val="Calibri"/>
            <family val="2"/>
            <scheme val="minor"/>
          </rPr>
          <t>Victoria Gierok:
valued at sales prices where available</t>
        </r>
      </text>
    </comment>
    <comment ref="F166" authorId="0" shapeId="0" xr:uid="{00000000-0006-0000-0000-000006000000}">
      <text>
        <r>
          <rPr>
            <sz val="11"/>
            <color theme="1"/>
            <rFont val="Calibri"/>
            <family val="2"/>
            <scheme val="minor"/>
          </rPr>
          <t>Victoria Gierok:
valued at sales prices where available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Victoria Gierok</author>
    <author>tc={DB0F8A85-B1CC-4C36-91B3-66F1F719975B}</author>
    <author>tc={26CEC237-F842-415D-9005-8BE842560344}</author>
    <author>tc={F807634C-AC8D-4A27-9949-1AD902553A46}</author>
    <author>tc={2671FC24-BDFE-449E-AAF4-C89626F6C914}</author>
    <author>tc={F62C3A9C-CAFD-4421-BCBD-4DA0F6B1676C}</author>
    <author>tc={411DD98F-6645-4C10-9DA8-D16282FB772E}</author>
    <author>tc={C2DD0CB9-C12C-45BD-BCBC-8DB066BE0FE9}</author>
  </authors>
  <commentList>
    <comment ref="D4" authorId="0" shapeId="0" xr:uid="{00000000-0006-0000-0300-000001000000}">
      <text>
        <r>
          <rPr>
            <sz val="11"/>
            <color theme="1"/>
            <rFont val="Calibri"/>
            <family val="2"/>
            <scheme val="minor"/>
          </rPr>
          <t>Victoria Gierok:
strays that the seem to have added to their own stock?</t>
        </r>
      </text>
    </comment>
    <comment ref="E4" authorId="0" shapeId="0" xr:uid="{00000000-0006-0000-0300-000002000000}">
      <text>
        <r>
          <rPr>
            <sz val="11"/>
            <color theme="1"/>
            <rFont val="Calibri"/>
            <family val="2"/>
            <scheme val="minor"/>
          </rPr>
          <t>Victoria Gierok:
herbage = a type of customary payment to the lord; hence an addition to the stock</t>
        </r>
      </text>
    </comment>
    <comment ref="O12" authorId="1" shapeId="0" xr:uid="{DB0F8A85-B1CC-4C36-91B3-66F1F719975B}">
      <text>
        <t>[Threaded comment]
Your version of Excel allows you to read this threaded comment; however, any edits to it will get removed if the file is opened in a newer version of Excel. Learn more: https://go.microsoft.com/fwlink/?linkid=870924
Comment:
    No data on sales/purchase price</t>
      </text>
    </comment>
    <comment ref="O14" authorId="2" shapeId="0" xr:uid="{26CEC237-F842-415D-9005-8BE842560344}">
      <text>
        <t>[Threaded comment]
Your version of Excel allows you to read this threaded comment; however, any edits to it will get removed if the file is opened in a newer version of Excel. Learn more: https://go.microsoft.com/fwlink/?linkid=870924
Comment:
    Warning, price used for “useless” cow: 7 shilling 6pence from 1 cow useless for the stock sold.</t>
      </text>
    </comment>
    <comment ref="O22" authorId="3" shapeId="0" xr:uid="{F807634C-AC8D-4A27-9949-1AD902553A46}">
      <text>
        <t>[Threaded comment]
Your version of Excel allows you to read this threaded comment; however, any edits to it will get removed if the file is opened in a newer version of Excel. Learn more: https://go.microsoft.com/fwlink/?linkid=870924
Comment:
    80 hoggs bought from the reeve of alresford before shearing £6 13 shilling 4pence, at 1 shilling 8pence each.</t>
      </text>
    </comment>
    <comment ref="O24" authorId="4" shapeId="0" xr:uid="{2671FC24-BDFE-449E-AAF4-C89626F6C914}">
      <text>
        <t>[Threaded comment]
Your version of Excel allows you to read this threaded comment; however, any edits to it will get removed if the file is opened in a newer version of Excel. Learn more: https://go.microsoft.com/fwlink/?linkid=870924
Comment:
    5 shilling from 1 boar sold to the lord's household.</t>
      </text>
    </comment>
    <comment ref="O25" authorId="5" shapeId="0" xr:uid="{F62C3A9C-CAFD-4421-BCBD-4DA0F6B1676C}">
      <text>
        <t>[Threaded comment]
Your version of Excel allows you to read this threaded comment; however, any edits to it will get removed if the file is opened in a newer version of Excel. Learn more: https://go.microsoft.com/fwlink/?linkid=870924
Comment:
    No data on sales/purchase price</t>
      </text>
    </comment>
    <comment ref="O27" authorId="6" shapeId="0" xr:uid="{411DD98F-6645-4C10-9DA8-D16282FB772E}">
      <text>
        <t>[Threaded comment]
Your version of Excel allows you to read this threaded comment; however, any edits to it will get removed if the file is opened in a newer version of Excel. Learn more: https://go.microsoft.com/fwlink/?linkid=870924
Comment:
    No data on sales/purchase price</t>
      </text>
    </comment>
    <comment ref="O28" authorId="7" shapeId="0" xr:uid="{C2DD0CB9-C12C-45BD-BCBC-8DB066BE0FE9}">
      <text>
        <t>[Threaded comment]
Your version of Excel allows you to read this threaded comment; however, any edits to it will get removed if the file is opened in a newer version of Excel. Learn more: https://go.microsoft.com/fwlink/?linkid=870924
Comment:
    and for £1 8 shilling 9.5pence from the pannage of the pigs of the customary tenants at martinmas, at 2pence a pig over a year old, 1.5pence for one of 3 terms, 1pence for one of .5 year, and .5pence for a weaned piglet, whether or not there was mast.</t>
      </text>
    </comment>
  </commentList>
</comments>
</file>

<file path=xl/sharedStrings.xml><?xml version="1.0" encoding="utf-8"?>
<sst xmlns="http://schemas.openxmlformats.org/spreadsheetml/2006/main" count="2281" uniqueCount="1053">
  <si>
    <t>BISHOPSSUTTON OVERVIEW - COMPLETED</t>
  </si>
  <si>
    <t>Total in £</t>
  </si>
  <si>
    <t>Error</t>
  </si>
  <si>
    <t>Note</t>
  </si>
  <si>
    <t>CASH ACCOUNT</t>
  </si>
  <si>
    <t>RECEIPTS</t>
  </si>
  <si>
    <t>Arrears total</t>
  </si>
  <si>
    <t>Rents of assize total</t>
  </si>
  <si>
    <t>Quittances total</t>
  </si>
  <si>
    <t>Defaults of rent total</t>
  </si>
  <si>
    <t>Defaults of rent through the pestilence total</t>
  </si>
  <si>
    <t>Cotlands defaults total</t>
  </si>
  <si>
    <t>Cotlands total</t>
  </si>
  <si>
    <t>Total of quittances and defaults of rent total</t>
  </si>
  <si>
    <t>Total of rents remaining clear total</t>
  </si>
  <si>
    <t>Farms total</t>
  </si>
  <si>
    <t>Annual recognizances total</t>
  </si>
  <si>
    <t>Issues of the Manor total</t>
  </si>
  <si>
    <t>Issues of the tenements in the lord's hands total</t>
  </si>
  <si>
    <t>Sale of labour services total</t>
  </si>
  <si>
    <t>Sale of corn total</t>
  </si>
  <si>
    <t>Entry and marriage fines total</t>
  </si>
  <si>
    <t>Pleas &amp; perquisites total</t>
  </si>
  <si>
    <t>Forfeited chattels total</t>
  </si>
  <si>
    <t>Farm of the demesne land total</t>
  </si>
  <si>
    <t>Total of all receipts (calculated here)</t>
  </si>
  <si>
    <t>Total of all receipts (calculated here) incl arrears</t>
  </si>
  <si>
    <t>Total recorded in the accounts excl. arrears</t>
  </si>
  <si>
    <t>Total recorded in the accounts incl. arrears</t>
  </si>
  <si>
    <t>EXPENSES</t>
  </si>
  <si>
    <t>Cost of ploughs total</t>
  </si>
  <si>
    <t>Purchase of corn total</t>
  </si>
  <si>
    <t>Cost of carts and wagons total</t>
  </si>
  <si>
    <t>Cost of dairy total</t>
  </si>
  <si>
    <t>Purchase of stock total</t>
  </si>
  <si>
    <t>Sheepcote total</t>
  </si>
  <si>
    <t>Cost of buildings total</t>
  </si>
  <si>
    <t>Threshing total</t>
  </si>
  <si>
    <t>Barley expenses</t>
  </si>
  <si>
    <t>Expenses of the harvest total</t>
  </si>
  <si>
    <t>Necessary expenses</t>
  </si>
  <si>
    <t>Wages of the bailiff</t>
  </si>
  <si>
    <t>Steward's expenses total</t>
  </si>
  <si>
    <t>Annual fees</t>
  </si>
  <si>
    <t>Total of all expenses per account</t>
  </si>
  <si>
    <t>Total of all expenses (calculated here)</t>
  </si>
  <si>
    <t>Total fixed investment</t>
  </si>
  <si>
    <t>Total Demesne fixed investment</t>
  </si>
  <si>
    <t>Owed by the reeve</t>
  </si>
  <si>
    <t>From accounts</t>
  </si>
  <si>
    <t>Allowances</t>
  </si>
  <si>
    <t>Cash deliveries</t>
  </si>
  <si>
    <t>Sum of the above</t>
  </si>
  <si>
    <t>Total of all allowances and cash deliveries in accounts</t>
  </si>
  <si>
    <t>Net amount owed</t>
  </si>
  <si>
    <t>Net amount owed in accounts</t>
  </si>
  <si>
    <t xml:space="preserve">GRANGE ACCOUNT </t>
  </si>
  <si>
    <t>Total Production</t>
  </si>
  <si>
    <t>Value of total gross production in £</t>
  </si>
  <si>
    <t>Value of total net production in £</t>
  </si>
  <si>
    <t>Grange</t>
  </si>
  <si>
    <t>qrs</t>
  </si>
  <si>
    <t>bus</t>
  </si>
  <si>
    <t>Wheat</t>
  </si>
  <si>
    <t>Rye</t>
  </si>
  <si>
    <t>Dredge</t>
  </si>
  <si>
    <t>Curall</t>
  </si>
  <si>
    <t>Barley</t>
  </si>
  <si>
    <t>Oats</t>
  </si>
  <si>
    <t>Beans</t>
  </si>
  <si>
    <t>Peas</t>
  </si>
  <si>
    <t>Vetches</t>
  </si>
  <si>
    <t>Total value of gross production (sum of the above)</t>
  </si>
  <si>
    <t>Total value of net production</t>
  </si>
  <si>
    <t>Value of sales</t>
  </si>
  <si>
    <t>MILL ACCOUNT</t>
  </si>
  <si>
    <t>Issues of the mill</t>
  </si>
  <si>
    <t>Oatmeal</t>
  </si>
  <si>
    <t>1st grade malt</t>
  </si>
  <si>
    <t>2nd grade malt</t>
  </si>
  <si>
    <t>Maslin</t>
  </si>
  <si>
    <t>Total value of production (sum of the above)</t>
  </si>
  <si>
    <t>STOCK ACCOUNT</t>
  </si>
  <si>
    <t>Livestock</t>
  </si>
  <si>
    <t>Begin stock</t>
  </si>
  <si>
    <t>End stock</t>
  </si>
  <si>
    <t>Stockbuilding</t>
  </si>
  <si>
    <t>Value of stock in £</t>
  </si>
  <si>
    <t>Value of stockbuilding</t>
  </si>
  <si>
    <t>Cart-horses</t>
  </si>
  <si>
    <t>Mares</t>
  </si>
  <si>
    <t>Plough horses</t>
  </si>
  <si>
    <t>Colts (2 years)</t>
  </si>
  <si>
    <t>Colts (1 year)</t>
  </si>
  <si>
    <t>Foals</t>
  </si>
  <si>
    <t>Oxen</t>
  </si>
  <si>
    <t>Bulls</t>
  </si>
  <si>
    <t>Cows</t>
  </si>
  <si>
    <t>Steers</t>
  </si>
  <si>
    <t>Bullocks</t>
  </si>
  <si>
    <t>Yearlings</t>
  </si>
  <si>
    <t>Calves</t>
  </si>
  <si>
    <t>Wethers</t>
  </si>
  <si>
    <t>Rams</t>
  </si>
  <si>
    <t>Ewes</t>
  </si>
  <si>
    <t>Hoggs</t>
  </si>
  <si>
    <t>Lambs</t>
  </si>
  <si>
    <t>Boars</t>
  </si>
  <si>
    <t>Sows</t>
  </si>
  <si>
    <t>Pigs</t>
  </si>
  <si>
    <t>Hoggets</t>
  </si>
  <si>
    <t>Piglets</t>
  </si>
  <si>
    <t>Swans</t>
  </si>
  <si>
    <t>Peacocks</t>
  </si>
  <si>
    <t>Total value of stock (sum of the above)</t>
  </si>
  <si>
    <t>Total value of production</t>
  </si>
  <si>
    <t>Wool</t>
  </si>
  <si>
    <t>Fleeces</t>
  </si>
  <si>
    <t>Coarse wool</t>
  </si>
  <si>
    <t>Lamb's wool</t>
  </si>
  <si>
    <t>Wool locks</t>
  </si>
  <si>
    <t>Wool sold at shearing</t>
  </si>
  <si>
    <t>Hides</t>
  </si>
  <si>
    <t>Ox hides</t>
  </si>
  <si>
    <t>Cow hides</t>
  </si>
  <si>
    <t>Mare hides</t>
  </si>
  <si>
    <t>Steer hides</t>
  </si>
  <si>
    <t>Yearling Calf hides</t>
  </si>
  <si>
    <t>Calf hides</t>
  </si>
  <si>
    <t>Pig hides</t>
  </si>
  <si>
    <t>Wether woolskins</t>
  </si>
  <si>
    <t>Ram woolskins</t>
  </si>
  <si>
    <t>Ewe woolskins</t>
  </si>
  <si>
    <t>Hogg woolskins</t>
  </si>
  <si>
    <t>Woolskins (total)</t>
  </si>
  <si>
    <t>Wether bareskins</t>
  </si>
  <si>
    <t>Ram bareskins</t>
  </si>
  <si>
    <t>Ewe bareskins</t>
  </si>
  <si>
    <t>Hogg bareskins</t>
  </si>
  <si>
    <t>Bareskins (total)</t>
  </si>
  <si>
    <t>Lambskins</t>
  </si>
  <si>
    <t>Rotted skins</t>
  </si>
  <si>
    <t>Shorn skins</t>
  </si>
  <si>
    <t>Poultry stock</t>
  </si>
  <si>
    <t>Hens</t>
  </si>
  <si>
    <t>Geese</t>
  </si>
  <si>
    <t>Capons (from chickens)</t>
  </si>
  <si>
    <t>Cocks &amp; hens</t>
  </si>
  <si>
    <t>Poultry production</t>
  </si>
  <si>
    <t>Eggs</t>
  </si>
  <si>
    <t>Cocks &amp; hens from churchscot of customary tenants</t>
  </si>
  <si>
    <t>Sum of above</t>
  </si>
  <si>
    <t>Total value of stock</t>
  </si>
  <si>
    <t>Dairy Production</t>
  </si>
  <si>
    <t>Butter</t>
  </si>
  <si>
    <t>Winter Cheese</t>
  </si>
  <si>
    <t>Summer Cheese</t>
  </si>
  <si>
    <t>Total Production Value of all Output (Grange, Dairy, Livestock Sales, Wools, Skins - NO Mill)</t>
  </si>
  <si>
    <t>Total Sales Value of all Output as defined above</t>
  </si>
  <si>
    <t>Total Sales of Corn + Issues of the Manor as recorded in account</t>
  </si>
  <si>
    <t>Production Value + Cash Receipts (excl. Arrears, Issues, Corn and Mill)</t>
  </si>
  <si>
    <t>% of capital expenses in terms of total production</t>
  </si>
  <si>
    <t>% of capital expenses in terms of total production + cash receipts</t>
  </si>
  <si>
    <t>% of capital expenses as calculated previously</t>
  </si>
  <si>
    <t>n/a</t>
  </si>
  <si>
    <t>BISHOPSSUTTON RECEIPTS</t>
  </si>
  <si>
    <t>Heading</t>
  </si>
  <si>
    <t>£</t>
  </si>
  <si>
    <t>s</t>
  </si>
  <si>
    <t>d</t>
  </si>
  <si>
    <t>Notes</t>
  </si>
  <si>
    <t>Own notes</t>
  </si>
  <si>
    <t>Arrears</t>
  </si>
  <si>
    <t>The same answers for £8 17 shilling 6pence of arrears from his last account of the preceding year.</t>
  </si>
  <si>
    <t>Total, £8 17 shilling 6pence.</t>
  </si>
  <si>
    <t>Total</t>
  </si>
  <si>
    <t>Rents of assize</t>
  </si>
  <si>
    <t>And for £9 10 shilling 10.25pence for all rents of assize at Christmas.</t>
  </si>
  <si>
    <t>£9 10 shilling 11pence at Easter (23 March).</t>
  </si>
  <si>
    <t>£9 10 shilling 10.25pence at the Nativity of St John the Baptist (24 June).</t>
  </si>
  <si>
    <t>£23 7 shilling 7pence at Michaelmas (29 September).</t>
  </si>
  <si>
    <t>Total, £52 2.5pence.</t>
  </si>
  <si>
    <t>Quittances</t>
  </si>
  <si>
    <t>In quittance of rent of 1 reeve for the year 5 shilling.</t>
  </si>
  <si>
    <t>1 smith for the year 2 shilling.</t>
  </si>
  <si>
    <t>1 cowherd for the year, nothing, because there is none there from the customary tenants but he has the lord's livery as made clear elsewhere.</t>
  </si>
  <si>
    <t>1 ploughman for the year 3 shilling.</t>
  </si>
  <si>
    <t>1 keeper of wethers for the year 3 shilling.</t>
  </si>
  <si>
    <t>1 swineherd for the year 3 shilling.</t>
  </si>
  <si>
    <t>Total, 16 shilling.</t>
  </si>
  <si>
    <t>Defaults of rent</t>
  </si>
  <si>
    <t>In default of Philip Molendinarius, 2 shilling for the year.</t>
  </si>
  <si>
    <t>the land of Geoffrey Hose given to the canons of Merton Priory 1 shilling.</t>
  </si>
  <si>
    <t>1 plot of land which belonged to John Pulent' 6pence.</t>
  </si>
  <si>
    <t>I virgate of land of Adam Bedell' drawn into demesne, 10 shilling for the year.</t>
  </si>
  <si>
    <t>1 messuage pertaining to the mill and 1 plot pertaining to the bakehouse drawn into demesne, which William Carpunt' held, 3 shilling 3pence for the year.</t>
  </si>
  <si>
    <t>3 acres of land which Guy de Haywode held at la Gate drawn into demesne, 1 shilling 6pence for the year.</t>
  </si>
  <si>
    <t>1 plot of land which belonged to John Gilberd' drawn into demesne, 8pence for the year.</t>
  </si>
  <si>
    <t>1 messuage, 1 water-mill, 20.5 acres of land, 13 acres 1 kaild of purpresture, and 10 acres of wood, containing 40 acres of wood by estimation, formerly of John, son of John de Godisfeld', all of which was recently held unjustly by William de Overton', knight, by intrusion made into it in the time of William de Edyngdon', recently lord bishop of Winchester, and which the aforesaid bishop reseized, resumed and had drawn into demesne from the hands of the aforesaid William de Overton' as his right and that of his aforesaid church of Winchester, £2 8 shilling 4pence, and know that of the aforesaid 2 messuages 1 is at the mill beside the curia of Bishops Sutton and the other messuage is in fact that which the aforesaid John, son of John de Godisfeld', held and which Reginald Cornow held before, and that the third messuage is that which the aforesaid John, son of John de Godisfeld', held and which John atte Frithe held before, and nothing is in default because William Hokkele fined for the same, for this the fifty-first year.</t>
  </si>
  <si>
    <t>all the land and tenements which belonged to John atte Fysshwer' and which William de Overton', knight, afterwards unjustly held and which the aforesaid bishop recovered and had drawn into demesne, as his right and that of his aforesaid church of.</t>
  </si>
  <si>
    <t>Winchester, by a writ in the court of the lord king at Westminster in the thirty-second year of the reign of King Edward the Third after the Conquest (1358), under the description, 1 messuage 11h virgates of land, against the aforesaid William de Overton', by judgement tried (triat') in the same court against the accused, 7 shilling.</t>
  </si>
  <si>
    <t>1 messuage virgate of villein land formerly of Alice Clerk', who was wife of Roger Clerk' of Bishops Sutton, and which the aforesaid bishop recovered and had drawn into demense against the aforesaid William de Overton' in the aforesaid year in a similar way 7 shilling.</t>
  </si>
  <si>
    <t>3 acres of land lying in la Mullecroft, containing 5 acres by estimation, which the aforesaid bishop recovered and had drawn into demesne against the aforesaid wiiiiana de Overton' in the thirty-first and thirty-second years of the aforesaid king (1357-8), under the description, 5 acres of land, in a similar way, 1 shilling 6pence.</t>
  </si>
  <si>
    <t>1 plot of garden which extended to the eastern side of the garden of the same William de Overton' beside his house in Bishops Sutton and which the aforesaid bishop recovered and had drawn into demense in the thirty-second year of the aforesaid king (1358), er the descrition, 2 acres of land, against the aforesaid William de Overton' in a similar way 6pence.</t>
  </si>
  <si>
    <t>13 acres of waste which extended to the wood of the said bishop called Ode, containing 62 acres of wood by estimation, recovered and drawn into demense in a similar way 6 shilling 6pence.</t>
  </si>
  <si>
    <t>certain common pasture which the aforesaid William de Overton' unjustly occupied without any right, title or reason (colore) in a certain pasture called pilk', on account of which the said bishop had the said pasture drawn into and retained in severalty for the said William, 1 shilling.</t>
  </si>
  <si>
    <t>9 acres of land which belonged to John le Mew drawn into the park, 1 shilling 6pence for the year.</t>
  </si>
  <si>
    <t>16 acres of land which belonged to Walter Sevenhampton' drawn into the park, 2 shilling 8pence for the year.</t>
  </si>
  <si>
    <t>Total, £4 14 shilling 11pence.</t>
  </si>
  <si>
    <t>Total of quittances and defaults of rent</t>
  </si>
  <si>
    <t>Total of quittances and defaults of rent, £10 8 shilling.</t>
  </si>
  <si>
    <t>Total of rents remaining clear</t>
  </si>
  <si>
    <t>Total of rents remaining clear, £41 12 shilling 2.5pence.</t>
  </si>
  <si>
    <t>Annual recognizance</t>
  </si>
  <si>
    <t>Nothing of the 1 shilling for the annual recognizance of Robert Smyth' because he is dead as established by the court roll.</t>
  </si>
  <si>
    <t>nothing of the 2pence for the annual recognizance of Thomas Tannere because he withdrew from the demesne as made clear as before.</t>
  </si>
  <si>
    <t>1 shilling from William Coupere so that he may dwell outside the lord's liberty as long as it pleases the lord and come to the tourn of Hockday for the year and remain the lord's villein as before.</t>
  </si>
  <si>
    <t>nothing of the 2pence for the annual recognizance of William, son of Richard Cobbe, because he is amerced at each tourn and tithing (turnum &amp; dec' &amp; decena) for the same at the court.</t>
  </si>
  <si>
    <t>nothing of the 2pence for the annual recognizance of John Todemond' because he withdrew from the demesne as made clear by the court roll.</t>
  </si>
  <si>
    <t>1 shilling from Roger Sourlond' so that he may dwell outside the lord's liberty as long as it pleases the lord and come to the tourn of Hockday for the year and remain the lord's villein as before, by pledge of William Sourlond'.</t>
  </si>
  <si>
    <t>nothing of the 8pence for the annual recognizance of William, son of William' atte Lee, because he is dead as established by the court roll.</t>
  </si>
  <si>
    <t>Total, 2 shilling.</t>
  </si>
  <si>
    <t>Annual recognizance total</t>
  </si>
  <si>
    <t>Issues of the manor</t>
  </si>
  <si>
    <t>And for £1 8 shilling 9.5pence from the pannage of the pigs of the customary tenants at Martinmas, at 2pence a pig over a year old, 1.5pence for one of 3 terms, 1pence for one of .5 year, and .5pence for a weaned piglet, whether or not there was mast.</t>
  </si>
  <si>
    <t>nothing from the pannage of foreign pigs this year because there was no mast.</t>
  </si>
  <si>
    <t>nothing of the 6pence for the pannage of the pigs of Roger Haywode this year for 1 virgate of land formerly of John Manycroft', because it is let at farm to the warden, fellows and scholars of the college of the blessed Mary near Winchester and their successors, by charter of William de Wykeham, recently lord bishop of Winchester, and by confirmation of the chapter of St Swithun's Priory, Winchester, as made clear below under the heading, issues through the pestilence.</t>
  </si>
  <si>
    <t>2 shilling 10.5pence from the pannage (ayes') of 11 cows of the cottars and 1 bullock this year, at 3pence a cow and 1.5pence a bullock.</t>
  </si>
  <si>
    <t>1 shilling from the churchscot of the customary tenants and not more because the land of Lucy2 Cartere and the land formerly of John Schephurc' and Thomas Mauncell' is commuted for a fixed cash sum and the lands of Roger Albard', John atte Puynde, William Hockele and John Hockele are in the lord's hands through the death of the same.</t>
  </si>
  <si>
    <t>5 shilling from the herbage of Faryngdon' sold.</t>
  </si>
  <si>
    <t>1 shilling from the pinfold of the ewes this year.</t>
  </si>
  <si>
    <t>nothing from the sale of pasturage in the garden or in the meadow this year because it is grazed by the lord's cattle.</t>
  </si>
  <si>
    <t>nothing from the pasturage of the garden behind the curia which William Overton' recently held for the same.</t>
  </si>
  <si>
    <t>6 shilling 8pence from the hides sold of 2 oxen, 2 cows and 4 yearlings in murrain as made clear elsewhere.</t>
  </si>
  <si>
    <t>4 shilling 3pence from the skins sold of 173 wethers in murrain before shearing, at 3pence a skin.</t>
  </si>
  <si>
    <t>1 shilling from the skins sold of 12 wethers in murrain after shearing.</t>
  </si>
  <si>
    <t>.5pence from the skin sold of 1 lamb in murrain.</t>
  </si>
  <si>
    <t>5 shilling from 15 geese sold, 10 of them to the lord's household, at 4pence each.</t>
  </si>
  <si>
    <t>8 shilling from 24 capons sold to the lord's household, at 4pence each.</t>
  </si>
  <si>
    <t>18 shilling 8pence from 112 cocks and hens sold, 244 of them to the lord's household, at 2pence each.</t>
  </si>
  <si>
    <t>2 shilling 4.5pence from 570 hens' eggs sold, at 5pence a 100.</t>
  </si>
  <si>
    <t>£3 5 shilling 8pence from the milking of 20 cows sold, at 3 shilling 4pence a cow, with 2 cheeses given to the customary tenants valued at 1 shilling.</t>
  </si>
  <si>
    <t>£3 16 shilling 3pence from 610 harvest and manual labour services sold, at 1.5pence a labour service.</t>
  </si>
  <si>
    <t>nothing from beech saplings (bletr' fag') in le Holmes Buxcerigge and the park this year.</t>
  </si>
  <si>
    <t>£1 10 shilling from 32 tree-stumps (cuteis) sold in la Holte.</t>
  </si>
  <si>
    <t>£5 12 shilling 6pence from 434 beech saplings sold in la Nolte, at £1 for 100, £1 6 shilling 8d a 100 for 154, and £1 10 shilling a 100 for 180.</t>
  </si>
  <si>
    <t>£6 from 200 beech saplings sold in Wynle.</t>
  </si>
  <si>
    <t>£5 6 shilling 8pence from 400 beech saplings sold there, at £1 6 shilling 8pence a 100.</t>
  </si>
  <si>
    <t>5 shilling from 18 beech saplings sold there.</t>
  </si>
  <si>
    <t>nothing from the sale of beech saplings in Cherlewode this year.</t>
  </si>
  <si>
    <t>nothing from the sale of the fisheryin the water beside Vertdelay this year because none wished to lease it.</t>
  </si>
  <si>
    <t>nothing from apples in the garden this year because there was no fruit.</t>
  </si>
  <si>
    <t>£1 from 15 quarters of limestone sold, at 1 shilling 4pence a qr.</t>
  </si>
  <si>
    <t>Total, £31 9pence.</t>
  </si>
  <si>
    <t>Issues of the manor total</t>
  </si>
  <si>
    <t>Sale of stock</t>
  </si>
  <si>
    <t>And for 7 shilling 10pence from 1 bull sold.</t>
  </si>
  <si>
    <t>7 shilling 6pence from 1 cow useless for the stock sold.</t>
  </si>
  <si>
    <t>16 shilling 8pence from 10 calves sold, at 1 shilling 8pence each.</t>
  </si>
  <si>
    <t>12 shilling from 12 of the worse kebb wethers sold in the market after shearing, at 1 shilling each.</t>
  </si>
  <si>
    <t>2 shilling 8pence from 2 kebb ewes from a heriot sold.</t>
  </si>
  <si>
    <t>4 shilling from 4 lambs sold.</t>
  </si>
  <si>
    <t>5 shilling from 1 boar sold to the lord's household.</t>
  </si>
  <si>
    <t>19 shilling from 14 pigs sold to the lord's household, at 2 shilling 6pence each for 2, and 1 shilling 2pence each for 12..</t>
  </si>
  <si>
    <t>Total, £3 14 shilling 8pence.</t>
  </si>
  <si>
    <t>Sale of stock total</t>
  </si>
  <si>
    <t>Perquisites</t>
  </si>
  <si>
    <t>And for 10 shilling 1pence from the perquisites of the tourn of Martinmas (11 November).</t>
  </si>
  <si>
    <t>£1 2 shilling 9pence from the perquisites of the courts held after the said tourn.</t>
  </si>
  <si>
    <t>12 shilling 8pence from the perquisites of the tourn of Hockday (1 April).</t>
  </si>
  <si>
    <t>10 shilling 8pence from the perquisites of the courts held by the bailiff after the said tourn of Hockday.</t>
  </si>
  <si>
    <t>£1 3 shilling 6pence from the homage of Headley for release from their suit of court this year.</t>
  </si>
  <si>
    <t>Perquisites total</t>
  </si>
  <si>
    <t>Total, £3 19 shilling 8pence.</t>
  </si>
  <si>
    <t>Total of all receipts recorded in accounts (calculated here)</t>
  </si>
  <si>
    <t>BISHOPSSUTTON EXPENSES</t>
  </si>
  <si>
    <t>Sentence</t>
  </si>
  <si>
    <t>Fixed Investments</t>
  </si>
  <si>
    <t>Demesne Fixed Investments</t>
  </si>
  <si>
    <t>Cost of ploughs</t>
  </si>
  <si>
    <t>In iron and steel bought for the ironwork of 2 ploughs for the year 12 shilling 10pence.</t>
  </si>
  <si>
    <t>2 plough feet with nails bought for the same 1 shilling 2pence.</t>
  </si>
  <si>
    <t>2 pairs of wheels bought for the ploughs 1 shilling 4pence.</t>
  </si>
  <si>
    <t>1 plough made 6pence.</t>
  </si>
  <si>
    <t>fitting the same with iron tyres 4pence.</t>
  </si>
  <si>
    <t>fitting the ploughs with share-beams and mould-boards for the year 8pence.</t>
  </si>
  <si>
    <t>1 ploughshare bought 1 shilling 6pence.</t>
  </si>
  <si>
    <t>mending harrows 6pence.</t>
  </si>
  <si>
    <t>shoeing 10 oxen and fastening them again 2 shilling 6pence.</t>
  </si>
  <si>
    <t>customary payment to 12 customary tenants ploughing 24 acres as they lie at the winter and Lenten sowings 2 shilling.</t>
  </si>
  <si>
    <t>3 yokes made anew 3pence.</t>
  </si>
  <si>
    <t>stipend of 1 drover for the year 4 shilling.</t>
  </si>
  <si>
    <t>Total, £1 7 shilling 8pence.</t>
  </si>
  <si>
    <t>Cost of carts</t>
  </si>
  <si>
    <t>In clouts with nails bought for the carts 2 shilling.</t>
  </si>
  <si>
    <t>fitting the carts with axles 8pence.</t>
  </si>
  <si>
    <t>greasing the carts 1 shilling.</t>
  </si>
  <si>
    <t>white leather bought 1 shilling 8pence.</t>
  </si>
  <si>
    <t>6 halters bought 6pence.</t>
  </si>
  <si>
    <t>3 collars bought 2 shilling 6pence.</t>
  </si>
  <si>
    <t>3 pairs of traces bought 1 shilling 10pence.</t>
  </si>
  <si>
    <t>2 wood-ropes (woderop') bought 1 shilling 4pence.</t>
  </si>
  <si>
    <t>shoeing 4 horses for the year 8 shilling, and know that the smith will shoe 2 cart-horses at his own cost according to custom.</t>
  </si>
  <si>
    <t>stipend of 2 carters for the year 8 shilling.</t>
  </si>
  <si>
    <t>Total, £1 7 shilling 6pence.</t>
  </si>
  <si>
    <t>Cost of carts total</t>
  </si>
  <si>
    <t>Cost of the park</t>
  </si>
  <si>
    <t>In enclosing with new hedge 7 furlongs between Wyitonesrede and Clandon' £1 15 shilling, at 5 shilling a furlong.</t>
  </si>
  <si>
    <t>enclosing with new hedge 2 furlongs at Brynkeworthes Rede lOs.</t>
  </si>
  <si>
    <t>wages of the park-keeper for the year £3 10pence, taking 2pence a day.</t>
  </si>
  <si>
    <t>Total, £5 5 shilling 10pence.</t>
  </si>
  <si>
    <t>Cost of the park total</t>
  </si>
  <si>
    <t>Cost of the mill</t>
  </si>
  <si>
    <t>In stipend of 4 carpenters making anew the mill-pond and sluice for 12 weeks £6 taking between them 10 shilling a week.</t>
  </si>
  <si>
    <t>diverting the water from the mill, ramming i.</t>
  </si>
  <si>
    <t>again, blocking it up and directing it into its right course by piece-work 3 shilling 4pence in expenses of the carters of the manor and other men helping to load the carts carrying timber to the aforesaid mill at various times 2 shilling.</t>
  </si>
  <si>
    <t>400 water-nails bought to fasten the flooring 6 shilling.</t>
  </si>
  <si>
    <t>200 floor-nails bought to fasten the boards of the water-wall with the same 1 shilling.</t>
  </si>
  <si>
    <t>Total, £6 12 shilling 4pence.</t>
  </si>
  <si>
    <t>Cost of the mill total</t>
  </si>
  <si>
    <t>Threshing and winnowing</t>
  </si>
  <si>
    <t>In threshing 30 quarters 4 bushels of wheat and 1 qr 4 bushels of curall by piece-work 8 shilling, at 3pence a qr.</t>
  </si>
  <si>
    <t>threshing 53 quarters 4 bushels of barley by piece-work 8 shilling 11pence, at 2pence a qr.</t>
  </si>
  <si>
    <t>threshing 34 quartersl 3 bushels of oats by piece-work 4 shilling 3.75pence, at 1.5pence a qr.</t>
  </si>
  <si>
    <t>winnowing a moiety of all the aforesaid corn by piece-work, that is, 59 quarters 7.5 bushels, 1 shilling 8pence, at 1pence per 3 quarters.</t>
  </si>
  <si>
    <t>Total, £1 2 shilling 10.75pence.</t>
  </si>
  <si>
    <t>Threshing and winnowing total</t>
  </si>
  <si>
    <t>Cost of the harvest</t>
  </si>
  <si>
    <t>In bread bought for the harvest boon-works of 296 men with 6 officials of the curia at 3 boon-works, who reaped, bound and carried 54 acres of pulses and 7 acres of oats,2 which made 77 acres, 12 shilling 4pence, or .5pence of bread each.</t>
  </si>
  <si>
    <t>592 herrings bought for the same 6 shilling 2pence, and each reaper has two herrings.</t>
  </si>
  <si>
    <t>cheese bought for the same 6 shilling 2pence, and each reaper has Vad. worth of cheese.</t>
  </si>
  <si>
    <t>Moreover, the customary tenants reaped for labour service 109 acres3 as they lie which made 54.5 acres by the perch for sheaves.</t>
  </si>
  <si>
    <t>stipend of 1 reap-reeve who supervised the reapers at harvest-time 3 shilling 4pence.</t>
  </si>
  <si>
    <t>Total, £1 8 shilling.</t>
  </si>
  <si>
    <t>Cost of the harvest total</t>
  </si>
  <si>
    <t>Expenses of the steward</t>
  </si>
  <si>
    <t>In expenses of Richard Wyot, steward, holding the tourns of Martinmas and Hockday 17 shilling 4.5pence.</t>
  </si>
  <si>
    <t>Total, 17 shilling 4.5pence.</t>
  </si>
  <si>
    <t>Expenses of the steward total</t>
  </si>
  <si>
    <t>Total of all expenses</t>
  </si>
  <si>
    <t>Total of all expenses, £88 18 shilling 4pence.</t>
  </si>
  <si>
    <t>And he owes</t>
  </si>
  <si>
    <t>And he owes, £99 4 shilling 10.75pence.</t>
  </si>
  <si>
    <t>And he owes total</t>
  </si>
  <si>
    <t>And he owes, £4 16 shilling 6pence, of which £4 7 shilling 6pence is in the hands of the escheator, for which he is charged in the following account.</t>
  </si>
  <si>
    <t>Delivered to John Arnold', receiver of Wolvesey, by 1 tally, £28..</t>
  </si>
  <si>
    <t>Total, £28..</t>
  </si>
  <si>
    <t>Total of all allowances and cash deliveries, £94 8 shilling 4.75pence.</t>
  </si>
  <si>
    <t>Cash deliveries total</t>
  </si>
  <si>
    <t>BISHOPSSUTTON STOCK ACCOUNT</t>
  </si>
  <si>
    <t>added</t>
  </si>
  <si>
    <t>subtracted</t>
  </si>
  <si>
    <t>Inherited stock</t>
  </si>
  <si>
    <t>strays</t>
  </si>
  <si>
    <t>herbage</t>
  </si>
  <si>
    <t>churchscot</t>
  </si>
  <si>
    <t>of which in default</t>
  </si>
  <si>
    <t>sold</t>
  </si>
  <si>
    <t>in murrain</t>
  </si>
  <si>
    <t>accounted for elsewhere</t>
  </si>
  <si>
    <t>End-period  stock</t>
  </si>
  <si>
    <t>cross-check</t>
  </si>
  <si>
    <t>stock building</t>
  </si>
  <si>
    <t>raw production</t>
  </si>
  <si>
    <t>Unit price (£)</t>
  </si>
  <si>
    <t>Value of stock  (£) at given value</t>
  </si>
  <si>
    <t>Value of stock  (£) at sales prices</t>
  </si>
  <si>
    <t>Sales in (£)</t>
  </si>
  <si>
    <t>Value of stock building (£)</t>
  </si>
  <si>
    <t>Value of production (£) at sales prices</t>
  </si>
  <si>
    <t>Details</t>
  </si>
  <si>
    <t>Colts (unspecified years)</t>
  </si>
  <si>
    <t>Total Value</t>
  </si>
  <si>
    <t>Total wool</t>
  </si>
  <si>
    <t>Mare</t>
  </si>
  <si>
    <t>Steer</t>
  </si>
  <si>
    <t>calves</t>
  </si>
  <si>
    <t>pigs</t>
  </si>
  <si>
    <t xml:space="preserve">Woolskins </t>
  </si>
  <si>
    <t>wethers</t>
  </si>
  <si>
    <t>rams</t>
  </si>
  <si>
    <t>ewes</t>
  </si>
  <si>
    <t>hoggs</t>
  </si>
  <si>
    <t>Woolskins total</t>
  </si>
  <si>
    <t>Bareskins</t>
  </si>
  <si>
    <t>Bareskins total</t>
  </si>
  <si>
    <t xml:space="preserve">Total </t>
  </si>
  <si>
    <t>Total poultry stock</t>
  </si>
  <si>
    <t>Total poultry excluding churchscot</t>
  </si>
  <si>
    <t>Meat</t>
  </si>
  <si>
    <t>Beef</t>
  </si>
  <si>
    <t>Mutton</t>
  </si>
  <si>
    <t>Pork</t>
  </si>
  <si>
    <t>Cheese</t>
  </si>
  <si>
    <t>Winter cheese</t>
  </si>
  <si>
    <t>Summer cheese</t>
  </si>
  <si>
    <t>Total Dairy Sales</t>
  </si>
  <si>
    <t>Cider</t>
  </si>
  <si>
    <t>Additional Information (not necessarily useful)</t>
  </si>
  <si>
    <t>Utensils</t>
  </si>
  <si>
    <t>ploughs</t>
  </si>
  <si>
    <t>carts</t>
  </si>
  <si>
    <t>cart-ropes</t>
  </si>
  <si>
    <t>corn baskets</t>
  </si>
  <si>
    <t>seed-sacks</t>
  </si>
  <si>
    <t>seed basket</t>
  </si>
  <si>
    <t>locks for the doors</t>
  </si>
  <si>
    <t>lead vessel</t>
  </si>
  <si>
    <t>brass pots</t>
  </si>
  <si>
    <t>pans</t>
  </si>
  <si>
    <t>tripods</t>
  </si>
  <si>
    <t>mortar</t>
  </si>
  <si>
    <t>axe</t>
  </si>
  <si>
    <t>casks</t>
  </si>
  <si>
    <t>tubs</t>
  </si>
  <si>
    <t>troughs</t>
  </si>
  <si>
    <t>bucket</t>
  </si>
  <si>
    <t>cheese basket</t>
  </si>
  <si>
    <t>tables</t>
  </si>
  <si>
    <t>table with trestles</t>
  </si>
  <si>
    <t>benches</t>
  </si>
  <si>
    <t>ewer with a basin</t>
  </si>
  <si>
    <t>ladders</t>
  </si>
  <si>
    <t>cloth</t>
  </si>
  <si>
    <t>brass posnets</t>
  </si>
  <si>
    <t>Total in Pounds</t>
  </si>
  <si>
    <t>Pounds</t>
  </si>
  <si>
    <t>Shillings</t>
  </si>
  <si>
    <t>Pence</t>
  </si>
  <si>
    <t>Corn</t>
  </si>
  <si>
    <t>Total Quarters Except 1</t>
  </si>
  <si>
    <t>Total Bushels Except 1</t>
  </si>
  <si>
    <t>Total Corn Cross-Check</t>
  </si>
  <si>
    <t>Total Corn Manorial Account</t>
  </si>
  <si>
    <t>Corn Quantity Error</t>
  </si>
  <si>
    <t>Quarters 1</t>
  </si>
  <si>
    <t>Bushels 1</t>
  </si>
  <si>
    <t>Quarters 2</t>
  </si>
  <si>
    <t>Bushels 2</t>
  </si>
  <si>
    <t>Quarters 3</t>
  </si>
  <si>
    <t>Bushels 3</t>
  </si>
  <si>
    <t>Quarters 4</t>
  </si>
  <si>
    <t>Bushels 4</t>
  </si>
  <si>
    <t>Quarters 5</t>
  </si>
  <si>
    <t>Bushels 5</t>
  </si>
  <si>
    <t>Quarters 6</t>
  </si>
  <si>
    <t>Bushels 6</t>
  </si>
  <si>
    <t>Quarters 7</t>
  </si>
  <si>
    <t>Bushels 7</t>
  </si>
  <si>
    <t>shilling a quarter 1</t>
  </si>
  <si>
    <t>pence a quarter 1</t>
  </si>
  <si>
    <t>shilling a quarter 2</t>
  </si>
  <si>
    <t>pence a quarter 2</t>
  </si>
  <si>
    <t>shilling a quarter 3</t>
  </si>
  <si>
    <t>pence a quarter 3</t>
  </si>
  <si>
    <t>shilling a quarter 4</t>
  </si>
  <si>
    <t>pence a quarter 4</t>
  </si>
  <si>
    <t>shilling a bushel 1</t>
  </si>
  <si>
    <t>pence a bushel 1</t>
  </si>
  <si>
    <t>shilling a bushel 2</t>
  </si>
  <si>
    <t>pence a bushel 2</t>
  </si>
  <si>
    <t>shilling a bushel 3</t>
  </si>
  <si>
    <t>pence a bushel 3</t>
  </si>
  <si>
    <t>shilling a bushel 4</t>
  </si>
  <si>
    <t>pence a bushel 4</t>
  </si>
  <si>
    <t>bishops sutton</t>
  </si>
  <si>
    <t>the account of laurence sourlond', reeve there, from michaelmas of the fifth year of the translation of henry beaufort', lord bishop of winchester, until michaelmas of the sixth year, and the eleventh year of the reign of king henry the fourth.</t>
  </si>
  <si>
    <t>arrears</t>
  </si>
  <si>
    <t>the same answers for £8 17 shilling 6pence of arrears from his last account of the preceding year.</t>
  </si>
  <si>
    <t>total, £8 17 shilling 6pence.</t>
  </si>
  <si>
    <t>rents of assize</t>
  </si>
  <si>
    <t>and for £9 10 shilling 10.25pence for all rents of assize at christmas.</t>
  </si>
  <si>
    <t>£9 10 shilling 11pence at easter (23 march).</t>
  </si>
  <si>
    <t>£9 10 shilling 10.25pence at the nativity of st john the baptist (24 june).</t>
  </si>
  <si>
    <t>£23 7 shilling 7pence at michaelmas (29 september).</t>
  </si>
  <si>
    <t>total, £52 2.5pence.</t>
  </si>
  <si>
    <t>quittances</t>
  </si>
  <si>
    <t>in quittance of rent of 1 reeve for the year 5 shilling.</t>
  </si>
  <si>
    <t>total, 16 shilling.</t>
  </si>
  <si>
    <t>defaults of rent</t>
  </si>
  <si>
    <t>in default of philip molendinarius, 2 shilling for the year.</t>
  </si>
  <si>
    <t>the land of geoffrey hose given to the canons of merton priory 1 shilling.</t>
  </si>
  <si>
    <t>1 plot of land which belonged to john pulent' 6pence.</t>
  </si>
  <si>
    <t>i virgate of land of adam bedell' drawn into demesne, 10 shilling for the year.</t>
  </si>
  <si>
    <t>1 messuage pertaining to the mill and 1 plot pertaining to the bakehouse drawn into demesne, which william carpunt' held, 3 shilling 3pence for the year.</t>
  </si>
  <si>
    <t>3 acres of land which guy de haywode held at la gate drawn into demesne, 1 shilling 6pence for the year.</t>
  </si>
  <si>
    <t>1 plot of land which belonged to john gilberd' drawn into demesne, 8pence for the year.</t>
  </si>
  <si>
    <t>1 messuage, 1 water-mill, 20.5 acres of land, 13 acres 1 kaild of purpresture, and 10 acres of wood, containing 40 acres of wood by estimation, formerly of john, son of john de godisfeld', all of which was recently held unjustly by william de overton', knight, by intrusion made into it in the time of william de edyngdon', recently lord bishop of winchester, and which the aforesaid bishop reseized, resumed and had drawn into demesne from the hands of the aforesaid william de overton' as his right and that of his aforesaid church of winchester, £2 8 shilling 4pence, and know that of the aforesaid 2 messuages 1 is at the mill beside the curia of bishops sutton and the other messuage is in fact that which the aforesaid john, son of john de godisfeld', held and which reginald cornow held before, and that the third messuage is that which the aforesaid john, son of john de godisfeld', held and which john atte frithe held before, and nothing is in default because william hokkele fined for the same, for this the fifty-first year.</t>
  </si>
  <si>
    <t>all the land and tenements which belonged to john atte fysshwer' and which william de overton', knight, afterwards unjustly held and which the aforesaid bishop recovered and had drawn into demesne, as his right and that of his aforesaid church of.</t>
  </si>
  <si>
    <t>winchester, by a writ in the court of the lord king at westminster in the thirty-second year of the reign of king edward the third after the conquest (1358), under the description, 1 messuage 11h virgates of land, against the aforesaid william de overton', by judgement tried (triat') in the same court against the accused, 7 shilling.</t>
  </si>
  <si>
    <t>1 messuage virgate of villein land formerly of alice clerk', who was wife of roger clerk' of bishops sutton, and which the aforesaid bishop recovered and had drawn into demense against the aforesaid william de overton' in the aforesaid year in a similar way 7 shilling.</t>
  </si>
  <si>
    <t>3 acres of land lying in la mullecroft, containing 5 acres by estimation, which the aforesaid bishop recovered and had drawn into demesne against the aforesaid wiiiiana de overton' in the thirty-first and thirty-second years of the aforesaid king (1357-8), under the description, 5 acres of land, in a similar way, 1 shilling 6pence.</t>
  </si>
  <si>
    <t>1 plot of garden which extended to the eastern side of the garden of the same william de overton' beside his house in bishops sutton and which the aforesaid bishop recovered and had drawn into demense in the thirty-second year of the aforesaid king (1358), er the descrition, 2 acres of land, against the aforesaid william de overton' in a similar way 6pence.</t>
  </si>
  <si>
    <t>13 acres of waste which extended to the wood of the said bishop called ode, containing 62 acres of wood by estimation, recovered and drawn into demense in a similar way 6 shilling 6pence.</t>
  </si>
  <si>
    <t>certain common pasture which the aforesaid william de overton' unjustly occupied without any right, title or reason (colore) in a certain pasture called pilk', on account of which the said bishop had the said pasture drawn into and retained in severalty for the said william, 1 shilling.</t>
  </si>
  <si>
    <t>9 acres of land which belonged to john le mew drawn into the park, 1 shilling 6pence for the year.</t>
  </si>
  <si>
    <t>16 acres of land which belonged to walter sevenhampton' drawn into the park, 2 shilling 8pence for the year.</t>
  </si>
  <si>
    <t>total, £4 14 shilling 11pence.</t>
  </si>
  <si>
    <t>defaults of rent through the first pestilence</t>
  </si>
  <si>
    <t>in default of 1 cotland of john picard' in the lord's hands through the death of the same in the pestilence 3 shilling.</t>
  </si>
  <si>
    <t>1 cotland of thomas alberd' and afterwards of john drake for the same 3 shilling.</t>
  </si>
  <si>
    <t>1 cotland of john tropenell' for the same 3 shilling.</t>
  </si>
  <si>
    <t>1 cotland of alice acreman for the same 3 shilling.</t>
  </si>
  <si>
    <t>0.5 virgate of land of henry elleford' for the same 3 shilling.</t>
  </si>
  <si>
    <t>total, 15 shilling.</t>
  </si>
  <si>
    <t>defaults of rent through the second pestilence</t>
  </si>
  <si>
    <t>in default of 1 virgate of land of nicholas strecchehose in the lord's hands through the death of the same in the pestilence 5 shilling.</t>
  </si>
  <si>
    <t>1 cotland of john dawe for the same 3 shilling.</t>
  </si>
  <si>
    <t>1 cotland of john abbot for the same 3 shilling.</t>
  </si>
  <si>
    <t>1 cotland of james calwe for the same 3 shilling.</t>
  </si>
  <si>
    <t>1 virgate of land formerly of john manycroft' and which richard, son of roger gerveys, afterwards held 5 shilling.</t>
  </si>
  <si>
    <t>1 virgate of land formerly of adam ode and which roger haywode afterwards unjustly held 5 shilling.</t>
  </si>
  <si>
    <t>.5 virgate of land of lucy cartere 3 shilling.</t>
  </si>
  <si>
    <t>2 half-virgates of land formerly of john shephurd' and thomas mauncell' and which nicholas, son of roger gerveys, afterwards held 6 shilling.</t>
  </si>
  <si>
    <t>1 virgate of land formerly of william manycroft' 5 shilling.</t>
  </si>
  <si>
    <t>1 cotland of ludovic clerk' 3 shilling.</t>
  </si>
  <si>
    <t>1 messuage and 24 acres of purpresture at brynkeworth' which belonged to walter sevenhampton' and which the same walter surrendered into the lord's hands and which remains for the pasturage of the lord's oxen and other cattle 7 shilling 4pence.</t>
  </si>
  <si>
    <t>1 cotland recently of john sperke 3 shilling.</t>
  </si>
  <si>
    <t>1 cotland of thomas pipere 3 shilling.</t>
  </si>
  <si>
    <t>1 virgate of villein land and 6 acres of purpresture in the common field which belonged to william carpent' the elder 6 shilling.</t>
  </si>
  <si>
    <t>1 virgate of land of roger albard' 3 shilling.</t>
  </si>
  <si>
    <t>7.5 acres of purpresture of alice sourlond' 1 shilling 3pence.</t>
  </si>
  <si>
    <t>1 curtilage formerly of john duffeld' 6pence.</t>
  </si>
  <si>
    <t>0.5 virgate of land of henry atte putte 3 shilling.</t>
  </si>
  <si>
    <t>v2 virgate of villein land of william hockele 5 shilling.</t>
  </si>
  <si>
    <t>1 cotland recently of william page 3 shilling.</t>
  </si>
  <si>
    <t>2 cotlands of richard sabbe in the lord's hands because he abandoned them and refused to hold them any longer 6 shilling.</t>
  </si>
  <si>
    <t>total, £4 2 shilling 1pence.</t>
  </si>
  <si>
    <t>total of quittances and defaults of rent</t>
  </si>
  <si>
    <t>total of quittances and defaults of rent, £10 8 shilling.</t>
  </si>
  <si>
    <t>total of rents remaining clear</t>
  </si>
  <si>
    <t>total of rents remaining clear, £41 12 shilling 2.5pence.</t>
  </si>
  <si>
    <t>farms</t>
  </si>
  <si>
    <t>and for £4 6 shilling 8pence for the farm of the mill for the year, demised to thomas mulleward'.</t>
  </si>
  <si>
    <t>total, £4 6 shilling 8pence.</t>
  </si>
  <si>
    <t>annual recognizance</t>
  </si>
  <si>
    <t>nothing of the 1 shilling for the annual recognizance of robert smyth' because he is dead as established by the court roll.</t>
  </si>
  <si>
    <t>nothing of the 2pence for the annual recognizance of thomas tannere because he withdrew from the demesne as made clear as before.</t>
  </si>
  <si>
    <t>1 shilling from william coupere so that he may dwell outside the lord's liberty as long as it pleases the lord and come to the tourn of hockday for the year and remain the lord's villein as before.</t>
  </si>
  <si>
    <t>nothing of the 2pence for the annual recognizance of william, son of richard cobbe, because he is amerced at each tourn and tithing (turnum &amp; dec' &amp; decena) for the same at the court.</t>
  </si>
  <si>
    <t>nothing of the 2pence for the annual recognizance of john todemond' because he withdrew from the demesne as made clear by the court roll.</t>
  </si>
  <si>
    <t>1 shilling from roger sourlond' so that he may dwell outside the lord's liberty as long as it pleases the lord and come to the tourn of hockday for the year and remain the lord's villein as before, by pledge of william sourlond'.</t>
  </si>
  <si>
    <t>nothing of the 8pence for the annual recognizance of william, son of william' atte lee, because he is dead as established by the court roll.</t>
  </si>
  <si>
    <t>total, 2 shilling.</t>
  </si>
  <si>
    <t>issues of the manor</t>
  </si>
  <si>
    <t>and for £1 8 shilling 9.5pence from the pannage of the pigs of the customary tenants at martinmas, at 2pence a pig over a year old, 1.5pence for one of 3 terms, 1pence for one of .5 year, and .5pence for a weaned piglet, whether or not there was mast.</t>
  </si>
  <si>
    <t>nothing of the 6pence for the pannage of the pigs of roger haywode this year for 1 virgate of land formerly of john manycroft', because it is let at farm to the warden, fellows and scholars of the college of the blessed mary near winchester and their successors, by charter of william de wykeham, recently lord bishop of winchester, and by confirmation of the chapter of st swithun's priory, winchester, as made clear below under the heading, issues through the pestilence.</t>
  </si>
  <si>
    <t>1 shilling from the churchscot of the customary tenants and not more because the land of lucy2 cartere and the land formerly of john schephurc' and thomas mauncell' is commuted for a fixed cash sum and the lands of roger albard', john atte puynde, william hockele and john hockele are in the lord's hands through the death of the same.</t>
  </si>
  <si>
    <t>5 shilling from the herbage of faryngdon' sold.</t>
  </si>
  <si>
    <t>nothing from the pasturage of the garden behind the curia which william overton' recently held for the same.</t>
  </si>
  <si>
    <t>nothing from beech saplings (bletr' fag') in le holmes buxcerigge and the park this year.</t>
  </si>
  <si>
    <t>£1 10 shilling from 32 tree-stumps (cuteis) sold in la holte.</t>
  </si>
  <si>
    <t>£5 12 shilling 6pence from 434 beech saplings sold in la nolte, at £1 for 100, £1 6 shilling 8d a 100 for 154, and £1 10 shilling a 100 for 180.</t>
  </si>
  <si>
    <t>£6 from 200 beech saplings sold in wynle.</t>
  </si>
  <si>
    <t>nothing from the sale of beech saplings in cherlewode this year.</t>
  </si>
  <si>
    <t>nothing from the sale of the fisheryin the water beside vertdelay this year because none wished to lease it.</t>
  </si>
  <si>
    <t>£1 from 15 quarters of limestone sold, at 1 shilling 4pence a quarters.</t>
  </si>
  <si>
    <t>total, £31 9pence.</t>
  </si>
  <si>
    <t>issues of the warren</t>
  </si>
  <si>
    <t>and for 8 shilling 4pence from 52 rabbits sold to the lord's household, at 4pence a pair.</t>
  </si>
  <si>
    <t>£3 1 shilling 9pence from 494 young rabbits sold to the lord's household, at 3pence a pair.</t>
  </si>
  <si>
    <t>total, £3 10 shilling 1pence.</t>
  </si>
  <si>
    <t>issues of the lands and tenements in the lord's hands which were recovered from william overtone</t>
  </si>
  <si>
    <t>nothing of the 10 shilling for the herbage of the meadow called vertdelay because of the lord's cattle.</t>
  </si>
  <si>
    <t>nothing of the 4 shilling for the summer pasturage of 1 croft beside the south side of the said meadow because of the lord's cattle.</t>
  </si>
  <si>
    <t>16 shilling 6pence from william overton' for 1 toft with a curtilage and 1 croft containing 1 acre by estimation, 1 meadow formerly of john atte fysshewer', 1 croft containing 2 acres by estimation which lies on the west side of the tenement of the aforesaid william, 1 garden with a pond, 1 vennel called wranglane which lies on the east side of the tenement of the same william, and 2 acres called wodeacres which lie on the west side of 1 croft of the aforesaid william called swetele, demised to the aforesaid william by fine made with the lord therefor.</t>
  </si>
  <si>
    <t>1 shilling 6pence from 1 small garden beside the garden of la fysshewer', let to richard sourlond' this year.</t>
  </si>
  <si>
    <t>nothing from the sale of beech saplings in la inhome this year.</t>
  </si>
  <si>
    <t>8 shilling from the issue of 6 acres of land which formerly belonged to thomas smyth' and 1 small wooded grove with 2 crofts at le3 brokes which belonged to john de godisfeld', let to roger maffey for the term of his life.</t>
  </si>
  <si>
    <t>5 shilling from the issue of 1 cottage which formerly belonged to john, son of john godisfeld', and before to reginald cornow and which was taken from william de overton' into the lord's hands and for which john schalden' fined, for this the twenty-fifth year.</t>
  </si>
  <si>
    <t>nothing from apples in the garden beside the garden of william de overton' because william overton' fined for the same.</t>
  </si>
  <si>
    <t>1 shilling from the issue of 6 acres of land at nordon' from the land of the aforesaid john godisfeld' and afterwards taken from william de overton' into the lord's hands and not more because noone wished to lease it for a higher price this year.</t>
  </si>
  <si>
    <t>1 shilling 4pence from the issue of 12 acres of land which belonged to john atte fisshewere and afterwards to william de overton', leased this year.</t>
  </si>
  <si>
    <t>8pence from the issue of 2 acres of land at blayputtesthome, let to john wydehay for the term of his life.</t>
  </si>
  <si>
    <t>total, £1 14 shilling.</t>
  </si>
  <si>
    <t>issues of the lands and tenements in the lord's hands through the pestilence</t>
  </si>
  <si>
    <t>and for 3 shilling from the issue of 1 cotland of john pycard' in the lord's hands through the death of the same in the pestilence.</t>
  </si>
  <si>
    <t>4 shilling from 1 cotland of thomas albard' and afterwards of john drake for the same.</t>
  </si>
  <si>
    <t>5 shilling from 1 cotland of john tropenell' for the same.</t>
  </si>
  <si>
    <t>4 shilling from 1 cotland of alice acreman for the same.</t>
  </si>
  <si>
    <t>3 shilling 4pence from 11 virgate of land of henry elleford' for the same.</t>
  </si>
  <si>
    <t>5 shilling from 1 virgate of land of nicholas strecchehose for the same.</t>
  </si>
  <si>
    <t>5 shilling from 1 cotland of john dauwe for the same.</t>
  </si>
  <si>
    <t>4 shilling from 1 cotland of james calwe for the same.</t>
  </si>
  <si>
    <t>4 shilling 6pence from 1 cotland of john abbot for the same.</t>
  </si>
  <si>
    <t>£2 19 shilling 7.5pence from 1 virgate of land formerly of john manycroft' and afterwards of roger haywod', 1 virgate of richard gerveys and formerly of john pollard', and 3 half_ virgates of land of lucy cartere, john schephurd' and thomas mauncell', granted to the warden, fellows and scholars of the college of the blessed mary near winchester and their successors by charter of william de wykeham, recently lord bishop of winchester, founder of the said college, and by confirmation of the chapter, for to] years, this year being the sixth.</t>
  </si>
  <si>
    <t>5 shilling from the land formerly of william manycroft for the same.</t>
  </si>
  <si>
    <t>5 shilling from john chyld' for the rent and labour services of 1 cotland formerly of ludovic clerk', let for the term of his life.</t>
  </si>
  <si>
    <t>nothing from 1 messuage and 24 acres of purpresture at brynkeworth because it is in the lord's hands as made clear before.</t>
  </si>
  <si>
    <t>12 shilling 4pence from 2 cotlands recently of john spierke and thomas pipere in the lord's hands through the death of the same.</t>
  </si>
  <si>
    <t>4 shilling 6pence from 1 cotland of william pag' for the same.</t>
  </si>
  <si>
    <t>4 shilling from .5 virgate of land and 2 acres of purpresture recently of agnes wodye in the lord's hands which the said agnes abandoned and refused to hold any longer.</t>
  </si>
  <si>
    <t>12 shilling from .5 virgate of land recently of roger albard' in the lord's hands through the death of the same.</t>
  </si>
  <si>
    <t>nothing of the 1 shilling 3pence from 7.5 acres of purpresture recently of alice sourlond' in the lord's hands for the same because they are completely destroyed by rabbits and thus noone wished to lease them.</t>
  </si>
  <si>
    <t>6pence from 1 curtilage formerly of john duffeld' in the lord's hands through the death of the same.</t>
  </si>
  <si>
    <t>3 shilling from .5 virgate of land of henry atte putte for the same.</t>
  </si>
  <si>
    <t>9 shilling from .5 virgate of land of william hockele for the same.</t>
  </si>
  <si>
    <t>7 shilling from 2 cotlands of richard cobbe in the lord's hands because the said richard abandoned them and refused to hold them any longer.</t>
  </si>
  <si>
    <t>1 shilling from john, son of john atte norde, the lord's villein, for the free land and tenement which he holds in the demesne of alton by hereditary right after the death of the aforesaid john his father.</t>
  </si>
  <si>
    <t>total, £8 9.5pence.</t>
  </si>
  <si>
    <t>release of labour services</t>
  </si>
  <si>
    <t>and for 4 shilling for the labour services of 1 toft and 1 cotland of villein land which belonged to william gardin' in bishops sutton, released to thomas mulleward' this year.</t>
  </si>
  <si>
    <t>4 shilling for the labour services of 1 toft and .5 virgate of villein land which belonged to william lok' in bishops sutton, released to roger maffey this year.</t>
  </si>
  <si>
    <t>2 shilling for the labour services of 1 toft and .5 cotland of villein land in bishops sutton which belonged to john drilles and afterwards to robert donyton', released to john vicar' there this year.</t>
  </si>
  <si>
    <t>7 shilling for the labour services of 1 toft and 1 virgate of villein land in ropley which belonged to john parmynhod', released to roger spede this year.</t>
  </si>
  <si>
    <t>3 shilling 4pence for the labour services of 1 toft and 1 virgate of land in ropley which belonged to john sourlond', released to roger gerveys as made clear by the fine made therefor in the first year of the translation of henry beaufort, lord bishop of winchester (1405).</t>
  </si>
  <si>
    <t>2 shilling 6pence for the labour services of 1 cottage with a curtilage and 10 acres of villein land in bishops sutton which belonged to henry doupere, released to william hockele as made clear by the fine made therefor in the aforesaid year.</t>
  </si>
  <si>
    <t>total, £1 2 shilling 10pence.</t>
  </si>
  <si>
    <t>sale of corn and malt</t>
  </si>
  <si>
    <t>and for £14 7 shilling 11.75pence1 from 30 quarters of wheat sold, of which 7 quarters 4 bushels sold to the lord's household for £3 10 shilling, at 9 shilling 4pence a quarters, 1 quarters 1 bushels to the guardians of john coupere until he should come of age for 3 shilling 9pence, and 21 quarters 3 bushels per mutuum for £10 13 shilling 9pence, at 10 shilling a quarters.</t>
  </si>
  <si>
    <t>wheat</t>
  </si>
  <si>
    <t>£50 14 shilling from 174 quarters of malt sold to the lord's household, at 6 shilling a quarters for 144 quarters, or £43 4 shilling, and 5 shilling a quarters for 30 quarters, or £7 10 shilling.</t>
  </si>
  <si>
    <t>malt</t>
  </si>
  <si>
    <t>total, £65 1 shilling 11.75pence.</t>
  </si>
  <si>
    <t>sale of stock</t>
  </si>
  <si>
    <t>and for 7 shilling 10pence from 1 bull sold.</t>
  </si>
  <si>
    <t>total, £3 14 shilling 8pence.</t>
  </si>
  <si>
    <t>entry and marriage fines</t>
  </si>
  <si>
    <t>and for £3 4 shilling from tithingpenny at the tourns of martinmas and hockday.</t>
  </si>
  <si>
    <t>13 shilling 4pence from john, son of walter gilberd', to have 1 messuage and 6 shillings and 8 pence of rents in staneford' in the tithing of headley which belonged to the aforesaid walter his father, by pledge of peter langeford'.</t>
  </si>
  <si>
    <t>5 shilling from richard, son of robert northgate, to have 1 messuage and 5 shillings and 2 pence of rents in grayshott in the tithing of headley which belonged to the aforesaid richard his father.</t>
  </si>
  <si>
    <t>2 shilling from john acreman to have 1 toft and i/2 virgate of villein land in bishops sutton which belonged to john atte puynd' and which came into the lord's hands as his escheat because noone of the kin of the aforesaid john atte puynde took steps to fine for the same although a proclamation was made according to the custom of the manor, on condition that he builds 1 suitable building of 2 long bays and 2 yards (curt') within three years.</t>
  </si>
  <si>
    <t>£1 3 shilling 4pence from john plunker' to have 1 messuage, 1 water-mill and 12 shillings and 12 pence of rents in berewford' in the tithing of headley by surrender of william bereford'.</t>
  </si>
  <si>
    <t>1 shilling from john cartere the younger to have 1 croft and 1 cotland of villein land in bishops sutton, containing 10 acres, which belonged to james calue and afterwards to john smyth' and which came into the lord's hands as his escheat because the said john smyth abandoned it and refused to hold it any longer, rendering therefor to the lord 3 shilling a year for the ancient rent and 2 shilling for the labour services of the same commuted into cash, on condition that he builds 1 suitable building of 2 long bays and 2 yards within 3 years.</t>
  </si>
  <si>
    <t>3 shilling 4pence from john, son of john doupere, to have 1 messuage .5 virgate of villein land in bishops sutton and 1 toft 0.5 virgate of villein land in ropley which belonged to the aforesaid john his father, and the wardship of this same john with his land is conunitted to john schalden' and john wydehay until the  same john should come of age, rendering therefor to the lord 3 shilling 9pence a year for 9 bushels of wheat for churchscot, the ancient rent and all other customary labour services during the minority of the same john.</t>
  </si>
  <si>
    <t>3 shilling 4pence from hugh, son of john doupere, to have 1 toft 1 virgate of villein land in ropley called horneslond' and 2 acres of purpresture there which belonged to the aforesaid john his father, and the wardship of this same hugh with his land is committed to john schalden' and john wydehay until the same hugh should come of age.</t>
  </si>
  <si>
    <t>£1 from william mayhew and alice his wife to have 1 messuage 0.5 virgate of villein land, 3 acres of purpresture, 1 toft .5 virgate of villein land and 4 acres of purpresture in the tithing of ropley by surrender of john spede, on condition that the aforesaid william and alice will provide the aforesaid john and alice his wife with victuals and clothes for the term of their lives.</t>
  </si>
  <si>
    <t>3 shilling 4pence from isabel atte feld' to have 1 messuage and 3 shillings of rents in headley which belonged to agnes atte feld' her kinswoman.</t>
  </si>
  <si>
    <t>3 shilling 4pence from hugh letys to have isabel atte feld' with her land, that is, 1 messuage and 3 shillings of rents in headley.</t>
  </si>
  <si>
    <t>3 shilling 4pence from emma, daughter of william som', for marrying herself outside.</t>
  </si>
  <si>
    <t>total, £7 5 shilling 4pence.</t>
  </si>
  <si>
    <t>perquisites</t>
  </si>
  <si>
    <t>and for 10 shilling 1pence from the perquisites of the tourn of martinmas (11 november).</t>
  </si>
  <si>
    <t>12 shilling 8pence from the perquisites of the tourn of hockday (1 april).</t>
  </si>
  <si>
    <t>10 shilling 8pence from the perquisites of the courts held by the bailiff after the said tourn of hockday.</t>
  </si>
  <si>
    <t>£1 3 shilling 6pence from the homage of headley for release from their suit of court this year.</t>
  </si>
  <si>
    <t>total, £3 19 shilling 8pence.</t>
  </si>
  <si>
    <t>sales at the audit</t>
  </si>
  <si>
    <t>and for £7 14 shilling 9pence1 from various sales at the audit as made clear elsewhere.</t>
  </si>
  <si>
    <t>total, £7 14 shilling 9pence.</t>
  </si>
  <si>
    <t>total of all receipts with arrears</t>
  </si>
  <si>
    <t>total of all receipts with arrears, £188 3 shilling 2.75pence.</t>
  </si>
  <si>
    <t>cost of ploughs</t>
  </si>
  <si>
    <t>in iron and steel bought for the ironwork of 2 ploughs for the year 12 shilling 10pence.</t>
  </si>
  <si>
    <t>customary payment to 12 customary tenants ploughing 24 acres as they lie at the winter and lenten sowings 2 shilling.</t>
  </si>
  <si>
    <t>total, £1 7 shilling 8pence.</t>
  </si>
  <si>
    <t>cost of carts</t>
  </si>
  <si>
    <t>in clouts with nails bought for the carts 2 shilling.</t>
  </si>
  <si>
    <t>total, £1 7 shilling 6pence.</t>
  </si>
  <si>
    <t>purchase of corn and stock</t>
  </si>
  <si>
    <t>in 167 quarters 2.5 bushels of barley bought for malting as made clear elsewhere £47 8 shilling 1.25pence, at 5 shilling 8pence a quarters.</t>
  </si>
  <si>
    <t>barley, malt</t>
  </si>
  <si>
    <t>i quarters 4 bushels of pulses bought for sowing 6 shilling, at 6pence a bushels.</t>
  </si>
  <si>
    <t>1 quarters 1 bushels of oats bought 3 shilling 4.5pence, at 4.5pence a bushels.</t>
  </si>
  <si>
    <t>oats</t>
  </si>
  <si>
    <t>i cow bought with calf 9 shilling.</t>
  </si>
  <si>
    <t>2 ewes bought before shearing 2 shilling.</t>
  </si>
  <si>
    <t>80 hoggs bought from the reeve of alresford before shearing £6 13 shilling 4pence, at 1 shilling 8pence each.</t>
  </si>
  <si>
    <t>total, £55 1 shilling 9.75pence.</t>
  </si>
  <si>
    <t>cost of the fold and dairy</t>
  </si>
  <si>
    <t>in tar and grease bought for greasing the lord's sheep, 9 shilling this year, and so much this year on account of the scarcity of grease.</t>
  </si>
  <si>
    <t>26 hurdles bought 4 shilling 4pence.</t>
  </si>
  <si>
    <t>collecting stubble for wattling the fold 1 shilling.</t>
  </si>
  <si>
    <t>carrying the fold from field to field 1 shilling.</t>
  </si>
  <si>
    <t>straw bought for supporting the wethers in winter 5 shilling 6pence.</t>
  </si>
  <si>
    <t>mending cratches and fodder-racks this year 10pence.</t>
  </si>
  <si>
    <t>3 bushels of salt bought 2 shilling.</t>
  </si>
  <si>
    <t>clay pots and pans bought for the dairy 6pence.</t>
  </si>
  <si>
    <t>rennet bought 5pence.</t>
  </si>
  <si>
    <t>linen cloth bought for the dairy 5pence.</t>
  </si>
  <si>
    <t>stipend of 1 dairymaid for the year 3 shilling 4pence.</t>
  </si>
  <si>
    <t>stipend of 1 cowherd for the year 4 shilling.</t>
  </si>
  <si>
    <t>1 mould bought for making cheese 3pence.</t>
  </si>
  <si>
    <t>stipend of the shepherd of wethers, nothing this year, cause he is a customary tenant and keeps them in return for his land.</t>
  </si>
  <si>
    <t>making well ro female hoggs 1 shilling 8pence.</t>
  </si>
  <si>
    <t>red ochre bought 10pence.</t>
  </si>
  <si>
    <t>pack-thread and indigo bought 1pence.</t>
  </si>
  <si>
    <t>total, £1 15 shilling 2pence.</t>
  </si>
  <si>
    <t>cost of the buildings of the liberty</t>
  </si>
  <si>
    <t>in hiring 1 roofer with his mate to roof the bakehouse and brewhouse, the long chamber, hall, chapel, lord's chamber and long stable for 11 weeks £2 4 shilling, taking together 4 shilling a week.</t>
  </si>
  <si>
    <t>1,800 laths bought, both for the hall and the lord's chamber and other places where they are needed, 9 shilling.</t>
  </si>
  <si>
    <t>14,000 lath-nails bought for the same 16 shilling 4pence, at 1 shilling 2pence a 1,000..</t>
  </si>
  <si>
    <t>20,000 pegs bought for the same 3 shilling 4pence.</t>
  </si>
  <si>
    <t>eaves-boards bought 8pence.</t>
  </si>
  <si>
    <t>board-nails bought for the same 3pence.</t>
  </si>
  <si>
    <t>hiring 2 carpenters to make anew 1 cross-beam (transeyn) to support the fallen beams (tignos elaps') opposite the fire-place in the lord's chamber and also 1 gutter anew on the exterior of the same fire-place and to repair the ceiling above the lord's bed and also to mend the louvre in the hall, brought to the ground in the great wind, for 1 week 2 days, 5 shilling 10pence, taking together 10pence a day.</t>
  </si>
  <si>
    <t>110 board-nails bought for the said louvre 5.5pence.</t>
  </si>
  <si>
    <t>140 ceiling-nails bought for the said ceiling 5pence.</t>
  </si>
  <si>
    <t>4,000 plain tiles bought for the abovesaid buildings 16 shilling.</t>
  </si>
  <si>
    <t>3,500 slates bought for the hall and the chamber beside the chapel 1 1 shilling 8pence, at 3 shilling 4pence a 1,000..</t>
  </si>
  <si>
    <t>13 ridge-tiles bought for the same 6pence.</t>
  </si>
  <si>
    <t>total, £5 8 shilling 5.5pence.</t>
  </si>
  <si>
    <t>cost of buildings with necessaries</t>
  </si>
  <si>
    <t>in 4 sacks bought 4 shilling, both for the manor and for carrying malt for the lord's household.</t>
  </si>
  <si>
    <t>making and drying 174 quarters of malt this year £1 16 shilling 3pence, at 2v2pence a quarters.</t>
  </si>
  <si>
    <t>making 10 quarters of charcoal and taking it to the manor to dry the said malt 2 shilling 1pence, at 2.5pence for each quarter made.</t>
  </si>
  <si>
    <t>hiring 1 thatcher to roof the barn for 2 days 8pence.</t>
  </si>
  <si>
    <t>stipend of 1 of his mates for the same time 4pence.</t>
  </si>
  <si>
    <t>hiring 1 roofer with his mate to roof the byre and the porches of the barns for 8 days 5 shilling 4pence, taking together 8pence a day.</t>
  </si>
  <si>
    <t>hiring 1 carpenter to make anew 1 door in the north side of the barn and 1 door in the dairy building for 2 days 10pence.</t>
  </si>
  <si>
    <t>4 hooks and 4 hinges bought for the same 1 shilling 4pence.</t>
  </si>
  <si>
    <t>100 board-nails bought for the same 10pence.</t>
  </si>
  <si>
    <t>hiring 1 carpenter to make anew 1 staircase and 1 door for the beadle's chamber for 1 day 5pence.</t>
  </si>
  <si>
    <t>nails bought for the same 2pence.</t>
  </si>
  <si>
    <t>hooks and hinges, nothing, because they were from the old door.</t>
  </si>
  <si>
    <t>1 seed-basket bought 5pence.</t>
  </si>
  <si>
    <t>hooping the same with iron hoops 4pence.</t>
  </si>
  <si>
    <t>hiring 1 cooper to mend 2 damaged vats and to hoop them with new wooden hoops 1 shilling 6pence.</t>
  </si>
  <si>
    <t>payment to the tenants of ropley for the labour services of mowing and making hay for 2 virgates and 3 half-virgates of villein land granted to the warden, fellows and scholars of the college of the blessed mary near winchester as made clear above 2 shilling 7.5pence, at 9pence a virgate and 4v2pence a half-virgate.</t>
  </si>
  <si>
    <t>payment to the same tenants for the labour services of mowing and making hay for 1 virgate of villein land formerly of john parmynhode, commuted into cash as made clear before, 9pence, and let to roger spede by fine.</t>
  </si>
  <si>
    <t>stipend of 1 man taking the place of the beadle and overseer of the harvest 6 shilling 8pence.</t>
  </si>
  <si>
    <t>hiring 1 man to enclose the west garden anew with hedge for 8 days 2 shilling 8pence.</t>
  </si>
  <si>
    <t>enclosing with hedge 1 furlong and 8 perches around the north garden 4 shilling, at 1pence a perch.</t>
  </si>
  <si>
    <t>enclosing with new hedge 2 furlongs on the south side of the long meadow 6 shilling 8pence.</t>
  </si>
  <si>
    <t>2 hurdles bought for the kiln 1 shilling.</t>
  </si>
  <si>
    <t>12 yards of haircloth bought for the kiln 6 shilling 6pence, at 6.5pence a yard.</t>
  </si>
  <si>
    <t>burning 60.</t>
  </si>
  <si>
    <t>quarters of quicklime £1..</t>
  </si>
  <si>
    <t>making 1 pit for burning the said lime in 2 shilling.</t>
  </si>
  <si>
    <t>total, 7 shilling 4.5pence.</t>
  </si>
  <si>
    <t>cost of the park</t>
  </si>
  <si>
    <t>in enclosing with new hedge 7 furlongs between wyitonesrede and clandon' £1 15 shilling, at 5 shilling a furlong.</t>
  </si>
  <si>
    <t>enclosing with new hedge 2 furlongs at brynkeworthes rede los.</t>
  </si>
  <si>
    <t>total, £5 5 shilling 10pence.</t>
  </si>
  <si>
    <t>cost of the mill</t>
  </si>
  <si>
    <t>in stipend of 4 carpenters making anew the mill-pond and sluice for 12 weeks £6 taking between them 10 shilling a week.</t>
  </si>
  <si>
    <t>total, £6 12 shilling 4pence.</t>
  </si>
  <si>
    <t>weeding and mowing</t>
  </si>
  <si>
    <t>in weeding the lord's corn this year 10 shilling.</t>
  </si>
  <si>
    <t>mowing the meadow called vortelay by piece-work 3 shilling 4pence.</t>
  </si>
  <si>
    <t>making the hay of the same 8pence, besides the help of the manorial servants.</t>
  </si>
  <si>
    <t>total, 14 shilling.</t>
  </si>
  <si>
    <t>threshing and winnowing</t>
  </si>
  <si>
    <t>in threshing 30 quarters 4 bushels of wheat and 1 quarters 4 bushels of curall by piece-work 8 shilling, at 3pence a quarters.</t>
  </si>
  <si>
    <t>wheat, curall</t>
  </si>
  <si>
    <t>threshing 53 quarters 4 bushels of barley by piece-work 8 shilling 11pence, at 2pence a quarters.</t>
  </si>
  <si>
    <t>barley</t>
  </si>
  <si>
    <t>threshing 34 quartersl 3 bushels of oats by piece-work 4 shilling 3.75pence, at 1.5pence a quarters.</t>
  </si>
  <si>
    <t>total, £1 2 shilling 10.75pence.</t>
  </si>
  <si>
    <t>cost of the harvest</t>
  </si>
  <si>
    <t>in bread bought for the harvest boon-works of 296 men with 6 officials of the curia at 3 boon-works, who reaped, bound and carried 54 acres of pulses and 7 acres of oats,2 which made 77 acres, 12 shilling 4pence, or .5pence of bread each.</t>
  </si>
  <si>
    <t>cheese bought for the same 6 shilling 2pence, and each reaper has vad. worth of cheese.</t>
  </si>
  <si>
    <t>moreover, the customary tenants reaped for labour service 109 acres3 as they lie which made 54.5 acres by the perch for sheaves.</t>
  </si>
  <si>
    <t>total, £1 8 shilling.</t>
  </si>
  <si>
    <t>wages of the bailiff</t>
  </si>
  <si>
    <t>in wages of edward coudray, bailiff there, in part payment of his wages, £2 10 shilling, and he takes the rest elsewhere.</t>
  </si>
  <si>
    <t>total, £2 10 shilling.</t>
  </si>
  <si>
    <t>expenses of the steward</t>
  </si>
  <si>
    <t>in expenses of richard wyot, steward, holding the tourns of martinmas and hockday 17 shilling 4.5pence.</t>
  </si>
  <si>
    <t>total, 17 shilling 4.5pence.</t>
  </si>
  <si>
    <t>total of all expenses</t>
  </si>
  <si>
    <t>total of all expenses, £88 18 shilling 4pence.</t>
  </si>
  <si>
    <t>and he owes</t>
  </si>
  <si>
    <t>and he owes, £99 4 shilling 10.75pence.</t>
  </si>
  <si>
    <t>allowances without writ</t>
  </si>
  <si>
    <t>io allowance to the same for £1 9 shilling 4pence for the expenses of the men and horses carrying.</t>
  </si>
  <si>
    <t>various victuals for the provision of the lord's household to farnham and esher not allowed to him elsewhere and within.</t>
  </si>
  <si>
    <t>£3 10 shilling 11.75pence for various surcharges and disallowances in this present account.</t>
  </si>
  <si>
    <t>15 shilling for the use of john elmere by the lord's gift.</t>
  </si>
  <si>
    <t>total, £5 15 shilling 3.75pence.</t>
  </si>
  <si>
    <t>allowances by writ</t>
  </si>
  <si>
    <t>in allowance to the same for £7 1 1 shilling 8pence delivered to john reede, treasurer of the lord's.</t>
  </si>
  <si>
    <t>household, in october of the eleventh year of the king's reign (1409), as the price of malt and multure (moliture) for the provision of the said household, just as is made clear by the evidence of the same john addressed to the auditor of this account.</t>
  </si>
  <si>
    <t>£53 1 shilling 5pence delivered to the same, both in cash and as the price of various victuals, just as is made clear by the aforesaid evidence.</t>
  </si>
  <si>
    <t>total, £60 13 shilling 1pence.</t>
  </si>
  <si>
    <t>cash deliveries</t>
  </si>
  <si>
    <t>delivered to john arnold', receiver of wolvesey, by 1 tally, £28..</t>
  </si>
  <si>
    <t>total, £28..</t>
  </si>
  <si>
    <t>total of all allowances and cash deliveries, £94 8 shilling 4.75pence.</t>
  </si>
  <si>
    <t>and he owes, £4 16 shilling 6pence, of which £4 7 shilling 6pence is in the hands of the escheator, for which he is charged in the following account.</t>
  </si>
  <si>
    <t>laurence sourlond', reeve there, answers for 30 quarters 4 bushels from the whole issue, threshed by piece-work.</t>
  </si>
  <si>
    <t>6 bushels from the same issue by estimation in sheaves.</t>
  </si>
  <si>
    <t>22 quarters 4 bushels from the churchscot of the customary tenants at martinmas.</t>
  </si>
  <si>
    <t>9 quarters 2 bushels surcharged so that he answers for a 3.5-fold yield.</t>
  </si>
  <si>
    <t>total, 63 quarters.</t>
  </si>
  <si>
    <t>sown over 54 acres of land by the perch in la reede, reghele and dellond', 13 quarters 4 bushels.</t>
  </si>
  <si>
    <t>that is, 2 bushels an acre.</t>
  </si>
  <si>
    <t>bread baked for the provision of richard wyot, steward, holding the tourns of martinmas and hockday, 4 bushels by bill.</t>
  </si>
  <si>
    <t>quittance of 3 half-virgates of land, of lucy cartere, john schephurde and thomas mauncell', which william wykeham, recently lord bishop of winchester, let at farm by his charter and the confirmation of the chapter to the warden and scholars of the blessed mary and their successors, just as is fully made clear within under the heading of issues through the pestilence, 3 quarters 3 bushels, of which each was accustomed to pay 1 quarters 1 bushels for the year.</t>
  </si>
  <si>
    <t>default of the churchscot of the land of alice clerk', formerly of john atte mere, now in the lord's hands through the death of the same in the first pestilence, 1 quarters 1 bushels.</t>
  </si>
  <si>
    <t>default of 4 half-virgates of land, of roger albard', john atte puynde, william hockele and john hockele, in the lord's hands because the said roger, john, william  and john surrendered the said lands into the lord's hands and refused to hold them any longer, 4 quarters.</t>
  </si>
  <si>
    <t>liveries of the reeve and smith according to custom in 2 acres as they he, 6 bushels.</t>
  </si>
  <si>
    <t>sold within, 30 quarters, of which 7 quarters 4 bushels sold to the lord's household..</t>
  </si>
  <si>
    <t>sold at the audit, 9 quarters 2 bushels for £3 14 shilling.</t>
  </si>
  <si>
    <t>total as before.</t>
  </si>
  <si>
    <t>it balances.</t>
  </si>
  <si>
    <t>curall</t>
  </si>
  <si>
    <t>and for 1 quarters 4 bushels of curall from the issue of the said wheat, threshed by piece-work.</t>
  </si>
  <si>
    <t>liveries of the manorial servants.</t>
  </si>
  <si>
    <t>none remains.</t>
  </si>
  <si>
    <t>and for 53 quarters 4 bushels from the whole issue, threshed by piece-work.</t>
  </si>
  <si>
    <t>167 quarters 2.5 bushels bought, of which 115 quarters 3 bushels bought from the reeve of hambledon, 6 quarters 6 bushels from the reeve of north waltham, 12 quarters from the reeve of alresford, 12 quarters from the reeve of cheriton, 10 quarters from the reeve of overton, and 11 quarters 1.5 bushels in the market.</t>
  </si>
  <si>
    <t>8 quarters 5 bushels surcharged so that he answers for a 3.5-fold yield.</t>
  </si>
  <si>
    <t>total, 229 quarters 3.5 bushels sown over 36.5 acres below la northhull' and la bertones and swetecombe, 18 quarters 2 bushels.</t>
  </si>
  <si>
    <t>that is, 4 bushels an acre.</t>
  </si>
  <si>
    <t>liveries of the manorial servants below, 28 quarters 3.5 bushels.</t>
  </si>
  <si>
    <t>malting below, 174 quarters 1 bushels.</t>
  </si>
  <si>
    <t>sold at the audit, 8 quarters 5 bushels for £2 13 shilling.</t>
  </si>
  <si>
    <t>pulses</t>
  </si>
  <si>
    <t>and for 6 quarters from the whole issue by estimation in husks.</t>
  </si>
  <si>
    <t>1 quarters 4 bushels bought for sowing..</t>
  </si>
  <si>
    <t>total, 7 quarters 4 bushels.</t>
  </si>
  <si>
    <t>sown over 6 acres by the perch beside la sanddell', 1 quarters 4 bushels.</t>
  </si>
  <si>
    <t>given to the sheep, cart-horses and other feeble cattle in the curia, 6 quarters by estimation in husks..</t>
  </si>
  <si>
    <t>and for 33 quarters 3 bushels from the whole issue, threshed by piece-work, besides 6 quarters 7 bushels from the same issue, threshed the preceding year.</t>
  </si>
  <si>
    <t>6 quarters 6 bushels from the issue by estimation in sheaves.</t>
  </si>
  <si>
    <t>1 quarters 1 bushels bought.</t>
  </si>
  <si>
    <t>4 quarters 3 bushels surcharged so that he answers for a 3-fold yield..</t>
  </si>
  <si>
    <t>total, 45 quarters 5 bushels.</t>
  </si>
  <si>
    <t>sown over 35 acres by the perch in tattescombe and reghele, 17 quarters 4 bushels.</t>
  </si>
  <si>
    <t>fodder of the horses of richard wyot, steward, holding the tourns of martinmas and hockday, 4 quarters by bill.</t>
  </si>
  <si>
    <t>meal made for the pottage of the manorial servants for the year, 3 quarters.</t>
  </si>
  <si>
    <t>meal</t>
  </si>
  <si>
    <t>given to the oxen and calves, 6 quarters by estimation in sheaves.</t>
  </si>
  <si>
    <t>liveries of the reeve and smith in 2 acres as they lie, 6 bushels according to custom.</t>
  </si>
  <si>
    <t>fodder of the cart-horses at both sowings, 5 quarters..</t>
  </si>
  <si>
    <t>sold at the audit, 9 quarters 3 bushels for £1 7 shilling 9pence.</t>
  </si>
  <si>
    <t>liveries of the manorial servants</t>
  </si>
  <si>
    <t>and for 1 quarters 4 bushels of curall and 28 quarters 3.5 bushels of barley received above for the liveries of the manorial servants..</t>
  </si>
  <si>
    <t>barley, curall</t>
  </si>
  <si>
    <t>total, 29 quarters 7.5 bushels.</t>
  </si>
  <si>
    <t>in liveries of 2 ploughmen, 1 drover, 1 beadle and 1 cowherd for the year, 25 quarters 7.5 bushels, each of whom takes a quarter every 10 weeks.</t>
  </si>
  <si>
    <t>livery of 1 dairymaid for the year, 3 quarters 2 bushels, taking a quarter every 16 weeks.</t>
  </si>
  <si>
    <t>customary payment to 1 customary tenant keeping the lord's pigs, 6 bushels.</t>
  </si>
  <si>
    <t>livery of 1 shepherd, nothing this year, because he keeps them in return for his land..</t>
  </si>
  <si>
    <t>and for 174 quarters 1 bushels of malt made from the barley above..</t>
  </si>
  <si>
    <t>total, 174 quarters 1 bushels.</t>
  </si>
  <si>
    <t>sold to the lord's household, 174 quarters. 1 bushels of malt remains in the granary.</t>
  </si>
  <si>
    <t>stock</t>
  </si>
  <si>
    <t>horses: 6 remain.</t>
  </si>
  <si>
    <t>oxen: 14 remain.</t>
  </si>
  <si>
    <t>1 from the heriot of john reedere.</t>
  </si>
  <si>
    <t>1 from the heriot of walter gylberd'.</t>
  </si>
  <si>
    <t>3 added from steers below.</t>
  </si>
  <si>
    <t>total, 19. 2 in murrain.</t>
  </si>
  <si>
    <t>total, 2. 17 remain.</t>
  </si>
  <si>
    <t>bulls: 1 remains.</t>
  </si>
  <si>
    <t>1 added from steers below.</t>
  </si>
  <si>
    <t>total, 2. 1 sold.</t>
  </si>
  <si>
    <t>1 remains.</t>
  </si>
  <si>
    <t>cows: 22 remain, 1 bought.</t>
  </si>
  <si>
    <t>total, 26. 2 in murrain, 1 sold because useless for the stock.</t>
  </si>
  <si>
    <t>total, 3. 23 remain, 1 of them a kebb.</t>
  </si>
  <si>
    <t>steers: 7 use remain from the bullocks.</t>
  </si>
  <si>
    <t>total, 7. 3 added above to oxen, 1 to bulls and 3.</t>
  </si>
  <si>
    <t>to cows.</t>
  </si>
  <si>
    <t>none remain.</t>
  </si>
  <si>
    <t>calves: 20 offspring and not more because 1 cow died before calving and 1 was sold before calving.</t>
  </si>
  <si>
    <t>total, 20. 2 in tithe.</t>
  </si>
  <si>
    <t>10 sold within.</t>
  </si>
  <si>
    <t>8 remain.</t>
  </si>
  <si>
    <t>wethers: 534 remain.</t>
  </si>
  <si>
    <t>80 added from hoggs below.</t>
  </si>
  <si>
    <t>1 from strays before shearing.</t>
  </si>
  <si>
    <t>total, 615. 17 in murrain before shearing and 12 after shearing.</t>
  </si>
  <si>
    <t>12 of the worse kebbs sold in the market after shearing.</t>
  </si>
  <si>
    <t>total, 79.1 574 remain, of which 38 delivered to the lord's household.</t>
  </si>
  <si>
    <t>ewes: 2 from the heriot of john spede.</t>
  </si>
  <si>
    <t>2 bought.</t>
  </si>
  <si>
    <t>total, 4. 2 in liveries of the shepherd and smith according to custom at martinmas.</t>
  </si>
  <si>
    <t>2 sold within.</t>
  </si>
  <si>
    <t>hoggs: 80 bought before shearing from the reeve of alresford.</t>
  </si>
  <si>
    <t>total, 80. all added above to wethers.</t>
  </si>
  <si>
    <t>lambs: 8 from the offspring of as many ewes going to mate (in mulo) with the wethers.</t>
  </si>
  <si>
    <t>1 from the heriot of robert northgate.</t>
  </si>
  <si>
    <t>total, 9. 1 in murrain.</t>
  </si>
  <si>
    <t>1 in tithe.</t>
  </si>
  <si>
    <t>3 in liveries of the reeve, shepherd and smith according to custom.</t>
  </si>
  <si>
    <t>4 sold within.</t>
  </si>
  <si>
    <t>boars: 1 remains.</t>
  </si>
  <si>
    <t>1 added from hoggets below.</t>
  </si>
  <si>
    <t>total, 2. 1 sold to the lord's household.</t>
  </si>
  <si>
    <t>sows: 2 remain.</t>
  </si>
  <si>
    <t>pigs: 20 remain.</t>
  </si>
  <si>
    <t>21 added from hoggets below.</t>
  </si>
  <si>
    <t>total, 41. 14 sold to the lord's household.</t>
  </si>
  <si>
    <t>total, 14. 27 remain.</t>
  </si>
  <si>
    <t>hoggets: 25 remain from the piglets.</t>
  </si>
  <si>
    <t>total, 25. 3 in murrain.</t>
  </si>
  <si>
    <t>1 added above to boars and 21 to pigs.</t>
  </si>
  <si>
    <t>piglets: 30 from the offspring of the said sows.</t>
  </si>
  <si>
    <t>total, 30. 3 in tithe.</t>
  </si>
  <si>
    <t>2 in customary payment to the reeve and smith.</t>
  </si>
  <si>
    <t>total, 5. 25 remain.</t>
  </si>
  <si>
    <t>coarse wool: 518 fleeces from wethers and 80 from hoggs produced at the shearing this year.</t>
  </si>
  <si>
    <t>total, 598. 60 in tithe.</t>
  </si>
  <si>
    <t>1 in customary payment to the shepherd.</t>
  </si>
  <si>
    <t>537 delivered to the receiver of wolvesey, weighing 1.5 sacks 21 cloves.</t>
  </si>
  <si>
    <t>hides: 2 from oxen, 2 from cows and 4 from yearlings in murrain as made clear above.</t>
  </si>
  <si>
    <t>sold within.</t>
  </si>
  <si>
    <t>woolskins: 17 from wethers in murrain before shearing as made clear above.</t>
  </si>
  <si>
    <t>2 in tithe.</t>
  </si>
  <si>
    <t>15 sold within.</t>
  </si>
  <si>
    <t>bare skins: 12 from wethers in murrain after shearing as made clear above.</t>
  </si>
  <si>
    <t>lambskins: 1 from a lamb in murrain as made clear above.</t>
  </si>
  <si>
    <t>geese: 15 remain.</t>
  </si>
  <si>
    <t>24 offspring.</t>
  </si>
  <si>
    <t>total, 39. 2 in tithe.</t>
  </si>
  <si>
    <t>15 sold within, 10 of them to the lord's household.</t>
  </si>
  <si>
    <t>22 remain, 1 of them a gander and 4 breeding geese.</t>
  </si>
  <si>
    <t>capons: 24 remain.</t>
  </si>
  <si>
    <t>24 made from the chickens below.</t>
  </si>
  <si>
    <t>total, 48. 24 sold within, 21 of them to the lord's household.</t>
  </si>
  <si>
    <t>24 remain.</t>
  </si>
  <si>
    <t>cocks and hens: 1 cock and 5 hens remain.</t>
  </si>
  <si>
    <t>162 from the churchscot of the customary tenants at martinmas.</t>
  </si>
  <si>
    <t>total, 168. 4 in default of the land of hendyman because freely commuted.</t>
  </si>
  <si>
    <t>4 in default of the land of alice acreman because in the lord's hands through the death of the same in the first pestilence.</t>
  </si>
  <si>
    <t>4 in default of the land of john tropenell' for the same.</t>
  </si>
  <si>
    <t>4 in default of the land of john draft for the same, and 4 for the land of john pycard' for the same.</t>
  </si>
  <si>
    <t>4 in default of the churchscot of the land of john dauwe because in the lord's hands for this the fifty-first year, because the said john rendered nothing to the lord for rent or services.</t>
  </si>
  <si>
    <t>4 in default of the churchscot of the land of john abbot for the same, 4 for the land of james calwe for the same, 4 for the land of thomas pipere for the same, 4 for the land of john goudman for the same, 4 for the land of john spierke for the same.</t>
  </si>
  <si>
    <t>2 in default of the churchscot of the cotland of roger smyth and before of emma smyth because he has no wife, 2 for the land of nicholas gardyner for the same, and 2 for the land of john puynder' for the same.</t>
  </si>
  <si>
    <t>112 sold within, 36 of them to the lord's household.</t>
  </si>
  <si>
    <t>total, 162. 1 cock and 5 hens remain.</t>
  </si>
  <si>
    <t>chickens: 24 from the offspring of the said hens.</t>
  </si>
  <si>
    <t>all turned into capons above.</t>
  </si>
  <si>
    <t>lime: 12 qrs remain; 60 qrs of limestone made anew this year. total, 72 qrs. 15 qrs used in roofing various buildings of the inner and outer curia and in mending various defects of the walls this year; 15 qrs sold within. total, 30 qrs. 42 qrs of limestone remain.</t>
  </si>
  <si>
    <t>nothing of the labour services of the customary tenants here because sold within..</t>
  </si>
  <si>
    <t>inherited stock</t>
  </si>
  <si>
    <t>murrain</t>
  </si>
  <si>
    <t>Stock</t>
  </si>
  <si>
    <t>Horses: 6 remain.</t>
  </si>
  <si>
    <t>6</t>
  </si>
  <si>
    <t>Oxen: 14 remain.</t>
  </si>
  <si>
    <t>14</t>
  </si>
  <si>
    <t>1 from the heriot of John Reedere.</t>
  </si>
  <si>
    <t>1 from the heriot of Walter Gylberd'.</t>
  </si>
  <si>
    <t>Total, 19. 2 in murrain.</t>
  </si>
  <si>
    <t>2</t>
  </si>
  <si>
    <t>Total, 2. 17 remain.</t>
  </si>
  <si>
    <t>Bulls: 1 remains.</t>
  </si>
  <si>
    <t>Total, 2. 1 sold.</t>
  </si>
  <si>
    <t>1</t>
  </si>
  <si>
    <t>Cows: 22 remain, 1 bought.</t>
  </si>
  <si>
    <t>22</t>
  </si>
  <si>
    <t>Total, 26. 2 in murrain, 1 sold because useless for the stock.</t>
  </si>
  <si>
    <t>Total, 3. 23 remain, 1 of them a kebb.</t>
  </si>
  <si>
    <t>Steers: 7 use remain from the bullocks.</t>
  </si>
  <si>
    <t>7</t>
  </si>
  <si>
    <t>Total, 7. 3 added above to oxen, 1 to bulls and 3.</t>
  </si>
  <si>
    <t>Calves: 20 offspring and not more because 1 cow died before calving and 1 was sold before calving.</t>
  </si>
  <si>
    <t>20</t>
  </si>
  <si>
    <t>Total, 20. 2 in tithe.</t>
  </si>
  <si>
    <t>10</t>
  </si>
  <si>
    <t>8</t>
  </si>
  <si>
    <t>Wethers: 534 remain.</t>
  </si>
  <si>
    <t>534</t>
  </si>
  <si>
    <t>Total, 615. 17 in murrain before shearing and 12 after shearing.</t>
  </si>
  <si>
    <t>17</t>
  </si>
  <si>
    <t>12</t>
  </si>
  <si>
    <t>Total, 79.1 574 remain, of which 38 delivered to the lord's household.</t>
  </si>
  <si>
    <t>Ewes: 2 from the heriot of John Spede.</t>
  </si>
  <si>
    <t>Total, 4. 2 in liveries of the shepherd and smith according to custom at Martinmas.</t>
  </si>
  <si>
    <t>Hoggs: 80 bought before shearing from the reeve of Alresford.</t>
  </si>
  <si>
    <t>80</t>
  </si>
  <si>
    <t>Total, 80. All added above to wethers.</t>
  </si>
  <si>
    <t>Lambs: 8 from the offspring of as many ewes going to mate (in mulo) with the wethers.</t>
  </si>
  <si>
    <t>1 from the heriot of Robert Northgate.</t>
  </si>
  <si>
    <t>Total, 9. 1 in murrain.</t>
  </si>
  <si>
    <t>4</t>
  </si>
  <si>
    <t>Boars: 1 remains.</t>
  </si>
  <si>
    <t>Total, 2. 1 sold to the lord's household.</t>
  </si>
  <si>
    <t>Sows: 2 remain.</t>
  </si>
  <si>
    <t>Pigs: 20 remain.</t>
  </si>
  <si>
    <t>Total, 41. 14 sold to the lord's household.</t>
  </si>
  <si>
    <t>Total, 14. 27 remain.</t>
  </si>
  <si>
    <t>Hoggets: 25 remain from the piglets.</t>
  </si>
  <si>
    <t>25</t>
  </si>
  <si>
    <t>Total, 25. 3 in murrain.</t>
  </si>
  <si>
    <t>3</t>
  </si>
  <si>
    <t>Piglets: 30 from the offspring of the said sows.</t>
  </si>
  <si>
    <t>30</t>
  </si>
  <si>
    <t>Total, 30. 3 in tithe.</t>
  </si>
  <si>
    <t>Total, 5. 25 remain.</t>
  </si>
  <si>
    <t>Coarse wool: 518 fleeces from wethers and 80 from hoggs produced at the shearing this year.</t>
  </si>
  <si>
    <t>Total, 598. 60 in tithe.</t>
  </si>
  <si>
    <t>537 delivered to the receiver of Wolvesey, weighing 1.5 sacks 21 cloves.</t>
  </si>
  <si>
    <t>Hides: 2 from oxen, 2 from cows and 4 from yearlings in murrain as made clear above.</t>
  </si>
  <si>
    <t>Woolskins: 17 from wethers in murrain before shearing as made clear above.</t>
  </si>
  <si>
    <t>Woolskins</t>
  </si>
  <si>
    <t>15</t>
  </si>
  <si>
    <t>Bare skins: 12 from wethers in murrain after shearing as made clear above.</t>
  </si>
  <si>
    <t>Lambskins: 1 from a lamb in murrain as made clear above.</t>
  </si>
  <si>
    <t>Geese: 15 remain.</t>
  </si>
  <si>
    <t>24</t>
  </si>
  <si>
    <t>Total, 39. 2 in tithe.</t>
  </si>
  <si>
    <t>Capons: 24 remain.</t>
  </si>
  <si>
    <t>Total, 48. 24 sold within, 21 of them to the lord's household.</t>
  </si>
  <si>
    <t>Cocks and hens: 1 cock and 5 hens remain.</t>
  </si>
  <si>
    <t>162 from the churchscot of the customary tenants at Martinmas.</t>
  </si>
  <si>
    <t>Total, 168. 4 in default of the land of Hendyman because freely commuted.</t>
  </si>
  <si>
    <t>4 in default of the land of Alice Acreman because in the lord's hands through the death of the same in the first pestilence.</t>
  </si>
  <si>
    <t>4 in default of the land of John Tropenell' for the same.</t>
  </si>
  <si>
    <t>4 in default of the land of John Draft for the same, and 4 for the land of John Pycard' for the same.</t>
  </si>
  <si>
    <t>4 in default of the churchscot of the land of John Dauwe because in the lord's hands for this the fifty-first year, because the said John rendered nothing to the lord for rent or services.</t>
  </si>
  <si>
    <t>4 in default of the churchscot of the land of John Abbot for the same, 4 for the land of James Calwe for the same, 4 for the land of Thomas Pipere for the same, 4 for the land of John Goudman for the same, 4 for the land of John Spierke for the same.</t>
  </si>
  <si>
    <t>2 in default of the churchscot of the cotland of Roger Smyth and before of Emma Smyth because he has no wife, 2 for the land of Nicholas Gardyner for the same, and 2 for the land of John Puynder' for the same.</t>
  </si>
  <si>
    <t>112</t>
  </si>
  <si>
    <t>Total, 162. 1 cock and 5 hens remain.</t>
  </si>
  <si>
    <t>Chickens: 24 from the offspring of the said hens.</t>
  </si>
  <si>
    <t>Quarters 1_x</t>
  </si>
  <si>
    <t>Bushels 1_x</t>
  </si>
  <si>
    <t>Sown Quarters</t>
  </si>
  <si>
    <t>Sown Bushels</t>
  </si>
  <si>
    <t>Sown Total Quarters</t>
  </si>
  <si>
    <t>Bought in Quarters</t>
  </si>
  <si>
    <t>Bought in Bushels</t>
  </si>
  <si>
    <t>Bought in Total Quarters</t>
  </si>
  <si>
    <t>Tithe Quarters</t>
  </si>
  <si>
    <t>Tithe Bushels</t>
  </si>
  <si>
    <t>Tithe Total Quarters</t>
  </si>
  <si>
    <t>Manorial servants &amp; livestock Quarters</t>
  </si>
  <si>
    <t>Manorial servants &amp; livestock Bushels</t>
  </si>
  <si>
    <t>Manorial servants &amp; livestock Total Quarters</t>
  </si>
  <si>
    <t>Sold Quarters</t>
  </si>
  <si>
    <t>Sold Bushels</t>
  </si>
  <si>
    <t>Sold Total Quarters</t>
  </si>
  <si>
    <t>Account Quarters</t>
  </si>
  <si>
    <t>Account Bushels</t>
  </si>
  <si>
    <t>Account Total Quarters</t>
  </si>
  <si>
    <t>bought only</t>
  </si>
  <si>
    <t>Quarters 1_y</t>
  </si>
  <si>
    <t>Bushels 1_y</t>
  </si>
  <si>
    <t>Total Bought Quarters</t>
  </si>
  <si>
    <t>total</t>
  </si>
  <si>
    <t>quittance of 3 half-virgates of land, of lucy cartere, john schephurde and thomas mauncell', which william wykeham, recently lord bishop of winchester, let at farm by his charter and the confirmation of the chapter to the warden and scholars of the blessed mary and their successors, just as is fully made clear within under the heading of issues through the pestilence, 3 quarters 3 bushels, of which each was accustomed to pay 1 qr 1 bushels for the year.</t>
  </si>
  <si>
    <t>default of the churchscot of the land of alice clerk', formerly of john atte mere, now in the lord's hands through the death of the same in the first pestilence, 1 qr 1 bushels.</t>
  </si>
  <si>
    <t>and for 1 qr 4 bushels of curall from the issue of the said wheat, threshed by piece-work.</t>
  </si>
  <si>
    <t>1 qr 1 bushels bought.</t>
  </si>
  <si>
    <t>Gross Output</t>
  </si>
  <si>
    <t>Bought Only Aggregated</t>
  </si>
  <si>
    <t>Total Corn Quantity</t>
  </si>
  <si>
    <t>Difference Produced+Bought-Sold</t>
  </si>
  <si>
    <t>Weighted Average Price per Quarter</t>
  </si>
  <si>
    <t>Non-Weighted Average Price per Quarter</t>
  </si>
  <si>
    <t>Value of Total Production weighted</t>
  </si>
  <si>
    <t>Value of Total Production unweighted</t>
  </si>
  <si>
    <t>Mancorn</t>
  </si>
  <si>
    <t>First-grade malt</t>
  </si>
  <si>
    <t>Second-grade malt</t>
  </si>
  <si>
    <t>Malt</t>
  </si>
  <si>
    <t>Meal</t>
  </si>
  <si>
    <t>Quarters 0</t>
  </si>
  <si>
    <t>Bushels 0</t>
  </si>
  <si>
    <t>£ a quarter 1</t>
  </si>
  <si>
    <t>£ a quarter 2</t>
  </si>
  <si>
    <t>£ a quarter 3</t>
  </si>
  <si>
    <t>£ a quarter 4</t>
  </si>
  <si>
    <t>Quarters Sold</t>
  </si>
  <si>
    <t>Corn lowercase</t>
  </si>
  <si>
    <t>inf</t>
  </si>
  <si>
    <t>Costs of the park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</si>
</sst>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b/>
      <sz val="12"/>
      <color theme="1"/>
      <name val="Calibri (Body)"/>
    </font>
    <font>
      <b/>
      <sz val="12"/>
      <color rgb="FFFF0000"/>
      <name val="Calibri (Body)"/>
    </font>
    <font>
      <b/>
      <sz val="12"/>
      <name val="Calibri"/>
      <family val="2"/>
    </font>
    <font>
      <b/>
      <sz val="12"/>
      <color rgb="FF000000"/>
      <name val="Calibri"/>
      <family val="2"/>
      <scheme val="minor"/>
    </font>
    <font>
      <i/>
      <sz val="12"/>
      <color theme="1"/>
      <name val="Calibri"/>
      <family val="2"/>
      <scheme val="minor"/>
    </font>
    <font>
      <b/>
      <i/>
      <sz val="12"/>
      <color theme="1"/>
      <name val="Calibri"/>
      <family val="2"/>
      <scheme val="minor"/>
    </font>
    <font>
      <sz val="12"/>
      <color rgb="FF000000"/>
      <name val="Calibri"/>
      <family val="2"/>
      <scheme val="minor"/>
    </font>
    <font>
      <i/>
      <sz val="12"/>
      <color rgb="FF000000"/>
      <name val="Calibri"/>
      <family val="2"/>
      <scheme val="minor"/>
    </font>
    <font>
      <b/>
      <i/>
      <sz val="12"/>
      <color rgb="FF000000"/>
      <name val="Calibri"/>
      <family val="2"/>
      <scheme val="minor"/>
    </font>
    <font>
      <b/>
      <sz val="11"/>
      <color theme="1"/>
      <name val="Calibri"/>
      <family val="2"/>
      <scheme val="minor"/>
    </font>
    <font>
      <b/>
      <sz val="12"/>
      <color rgb="FFFF0000"/>
      <name val="Calibri"/>
      <family val="2"/>
      <scheme val="minor"/>
    </font>
    <font>
      <sz val="9"/>
      <color indexed="81"/>
      <name val="Tahoma"/>
      <charset val="1"/>
    </font>
  </fonts>
  <fills count="11">
    <fill>
      <patternFill patternType="none"/>
    </fill>
    <fill>
      <patternFill patternType="gray125"/>
    </fill>
    <fill>
      <patternFill patternType="solid">
        <fgColor rgb="FFF2F2F2"/>
        <bgColor rgb="FF000000"/>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0" tint="-4.9989318521683403E-2"/>
        <bgColor indexed="64"/>
      </patternFill>
    </fill>
    <fill>
      <patternFill patternType="solid">
        <fgColor theme="6" tint="0.79998168889431442"/>
        <bgColor indexed="64"/>
      </patternFill>
    </fill>
    <fill>
      <patternFill patternType="solid">
        <fgColor rgb="FFFFFF00"/>
        <bgColor indexed="64"/>
      </patternFill>
    </fill>
    <fill>
      <patternFill patternType="solid">
        <fgColor theme="0" tint="-4.9989318521683403E-2"/>
        <bgColor rgb="FF000000"/>
      </patternFill>
    </fill>
    <fill>
      <patternFill patternType="solid">
        <fgColor rgb="FFF2F2F2"/>
        <bgColor rgb="FFF2F2F2"/>
      </patternFill>
    </fill>
    <fill>
      <patternFill patternType="solid">
        <fgColor rgb="FFFF0000"/>
        <bgColor indexed="64"/>
      </patternFill>
    </fill>
  </fills>
  <borders count="18">
    <border>
      <left/>
      <right/>
      <top/>
      <bottom/>
      <diagonal/>
    </border>
    <border>
      <left/>
      <right/>
      <top/>
      <bottom style="thin">
        <color rgb="FFA6A6A6"/>
      </bottom>
      <diagonal/>
    </border>
    <border>
      <left/>
      <right/>
      <top/>
      <bottom style="thin">
        <color indexed="64"/>
      </bottom>
      <diagonal/>
    </border>
    <border>
      <left/>
      <right/>
      <top/>
      <bottom style="thin">
        <color theme="0" tint="-0.34998626667073579"/>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rgb="FF000000"/>
      </right>
      <top/>
      <bottom/>
      <diagonal/>
    </border>
    <border>
      <left/>
      <right/>
      <top/>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107">
    <xf numFmtId="0" fontId="0" fillId="0" borderId="0" xfId="0"/>
    <xf numFmtId="0" fontId="10" fillId="0" borderId="0" xfId="0" applyFont="1"/>
    <xf numFmtId="0" fontId="5" fillId="0" borderId="0" xfId="0" applyFont="1"/>
    <xf numFmtId="0" fontId="6" fillId="0" borderId="0" xfId="0" applyFont="1"/>
    <xf numFmtId="0" fontId="11" fillId="0" borderId="0" xfId="0" applyFont="1"/>
    <xf numFmtId="0" fontId="13" fillId="0" borderId="0" xfId="0" applyFont="1"/>
    <xf numFmtId="0" fontId="10" fillId="2" borderId="0" xfId="0" applyFont="1" applyFill="1"/>
    <xf numFmtId="0" fontId="14" fillId="2" borderId="0" xfId="0" applyFont="1" applyFill="1"/>
    <xf numFmtId="0" fontId="13" fillId="3" borderId="0" xfId="0" applyFont="1" applyFill="1"/>
    <xf numFmtId="0" fontId="14" fillId="3" borderId="0" xfId="0" applyFont="1" applyFill="1"/>
    <xf numFmtId="0" fontId="14" fillId="4" borderId="0" xfId="0" applyFont="1" applyFill="1"/>
    <xf numFmtId="0" fontId="10" fillId="5" borderId="0" xfId="0" applyFont="1" applyFill="1"/>
    <xf numFmtId="0" fontId="13" fillId="0" borderId="0" xfId="0" applyFont="1" applyAlignment="1">
      <alignment wrapText="1"/>
    </xf>
    <xf numFmtId="0" fontId="13" fillId="0" borderId="1" xfId="0" applyFont="1" applyBorder="1"/>
    <xf numFmtId="0" fontId="13" fillId="0" borderId="0" xfId="0" applyFont="1" applyAlignment="1">
      <alignment horizontal="right"/>
    </xf>
    <xf numFmtId="0" fontId="13" fillId="0" borderId="1" xfId="0" applyFont="1" applyBorder="1" applyAlignment="1">
      <alignment horizontal="left"/>
    </xf>
    <xf numFmtId="0" fontId="0" fillId="0" borderId="0" xfId="0" applyAlignment="1">
      <alignment horizontal="right"/>
    </xf>
    <xf numFmtId="0" fontId="6" fillId="0" borderId="0" xfId="0" applyFont="1" applyAlignment="1">
      <alignment horizontal="right" wrapText="1"/>
    </xf>
    <xf numFmtId="0" fontId="16" fillId="0" borderId="0" xfId="0" applyFont="1"/>
    <xf numFmtId="0" fontId="0" fillId="0" borderId="0" xfId="0" applyAlignment="1">
      <alignment horizontal="left"/>
    </xf>
    <xf numFmtId="0" fontId="0" fillId="0" borderId="0" xfId="0" applyAlignment="1">
      <alignment wrapText="1"/>
    </xf>
    <xf numFmtId="0" fontId="6" fillId="5" borderId="0" xfId="0" applyFont="1" applyFill="1"/>
    <xf numFmtId="0" fontId="11" fillId="5" borderId="0" xfId="0" applyFont="1" applyFill="1"/>
    <xf numFmtId="0" fontId="6" fillId="0" borderId="0" xfId="0" applyFont="1" applyAlignment="1">
      <alignment wrapText="1"/>
    </xf>
    <xf numFmtId="0" fontId="11" fillId="6" borderId="0" xfId="0" applyFont="1" applyFill="1"/>
    <xf numFmtId="0" fontId="0" fillId="0" borderId="3" xfId="0" applyBorder="1"/>
    <xf numFmtId="0" fontId="0" fillId="0" borderId="3" xfId="0" applyBorder="1" applyAlignment="1">
      <alignment horizontal="left"/>
    </xf>
    <xf numFmtId="0" fontId="0" fillId="5" borderId="0" xfId="0" applyFill="1"/>
    <xf numFmtId="0" fontId="0" fillId="7" borderId="0" xfId="0" applyFill="1"/>
    <xf numFmtId="2" fontId="0" fillId="0" borderId="0" xfId="0" applyNumberFormat="1"/>
    <xf numFmtId="2" fontId="0" fillId="0" borderId="0" xfId="0" applyNumberFormat="1" applyAlignment="1">
      <alignment wrapText="1"/>
    </xf>
    <xf numFmtId="2" fontId="6" fillId="0" borderId="0" xfId="0" applyNumberFormat="1" applyFont="1" applyAlignment="1">
      <alignment wrapText="1"/>
    </xf>
    <xf numFmtId="0" fontId="4" fillId="0" borderId="0" xfId="0" applyFont="1"/>
    <xf numFmtId="2" fontId="10" fillId="0" borderId="0" xfId="0" applyNumberFormat="1" applyFont="1" applyAlignment="1">
      <alignment horizontal="right"/>
    </xf>
    <xf numFmtId="2" fontId="17" fillId="0" borderId="0" xfId="0" applyNumberFormat="1" applyFont="1" applyAlignment="1">
      <alignment horizontal="right"/>
    </xf>
    <xf numFmtId="0" fontId="4" fillId="0" borderId="5" xfId="0" applyFont="1" applyBorder="1"/>
    <xf numFmtId="0" fontId="5" fillId="0" borderId="5" xfId="0" applyFont="1" applyBorder="1"/>
    <xf numFmtId="0" fontId="12" fillId="5" borderId="5" xfId="0" applyFont="1" applyFill="1" applyBorder="1"/>
    <xf numFmtId="0" fontId="12" fillId="5" borderId="0" xfId="0" applyFont="1" applyFill="1"/>
    <xf numFmtId="0" fontId="15" fillId="2" borderId="0" xfId="0" applyFont="1" applyFill="1"/>
    <xf numFmtId="2" fontId="4" fillId="0" borderId="0" xfId="0" applyNumberFormat="1" applyFont="1"/>
    <xf numFmtId="0" fontId="13" fillId="0" borderId="2" xfId="0" applyFont="1" applyBorder="1"/>
    <xf numFmtId="2" fontId="4" fillId="0" borderId="2" xfId="0" applyNumberFormat="1" applyFont="1" applyBorder="1"/>
    <xf numFmtId="0" fontId="5" fillId="0" borderId="2" xfId="0" applyFont="1" applyBorder="1"/>
    <xf numFmtId="0" fontId="4" fillId="0" borderId="2" xfId="0" applyFont="1" applyBorder="1"/>
    <xf numFmtId="4" fontId="6" fillId="0" borderId="0" xfId="0" applyNumberFormat="1" applyFont="1" applyAlignment="1">
      <alignment horizontal="right"/>
    </xf>
    <xf numFmtId="0" fontId="6" fillId="0" borderId="0" xfId="0" applyFont="1" applyAlignment="1">
      <alignment horizontal="right"/>
    </xf>
    <xf numFmtId="2" fontId="10" fillId="5" borderId="0" xfId="0" applyNumberFormat="1" applyFont="1" applyFill="1" applyAlignment="1">
      <alignment horizontal="right"/>
    </xf>
    <xf numFmtId="0" fontId="10" fillId="8" borderId="0" xfId="0" applyFont="1" applyFill="1"/>
    <xf numFmtId="0" fontId="4" fillId="5" borderId="0" xfId="0" applyFont="1" applyFill="1"/>
    <xf numFmtId="0" fontId="5" fillId="5" borderId="0" xfId="0" applyFont="1" applyFill="1"/>
    <xf numFmtId="0" fontId="6" fillId="5" borderId="0" xfId="0" applyFont="1" applyFill="1" applyAlignment="1">
      <alignment horizontal="right"/>
    </xf>
    <xf numFmtId="0" fontId="3" fillId="0" borderId="0" xfId="0" applyFont="1"/>
    <xf numFmtId="0" fontId="14" fillId="2" borderId="6" xfId="0" applyFont="1" applyFill="1" applyBorder="1"/>
    <xf numFmtId="0" fontId="14" fillId="4" borderId="6" xfId="0" applyFont="1" applyFill="1" applyBorder="1"/>
    <xf numFmtId="0" fontId="13" fillId="0" borderId="6" xfId="0" applyFont="1" applyBorder="1"/>
    <xf numFmtId="10" fontId="14" fillId="2" borderId="6" xfId="0" applyNumberFormat="1" applyFont="1" applyFill="1" applyBorder="1"/>
    <xf numFmtId="10" fontId="14" fillId="4" borderId="8" xfId="0" applyNumberFormat="1" applyFont="1" applyFill="1" applyBorder="1"/>
    <xf numFmtId="0" fontId="5" fillId="0" borderId="9" xfId="0" applyFont="1" applyBorder="1"/>
    <xf numFmtId="0" fontId="13" fillId="5" borderId="11" xfId="0" applyFont="1" applyFill="1" applyBorder="1"/>
    <xf numFmtId="2" fontId="10" fillId="5" borderId="12" xfId="0" applyNumberFormat="1" applyFont="1" applyFill="1" applyBorder="1" applyAlignment="1">
      <alignment horizontal="right"/>
    </xf>
    <xf numFmtId="0" fontId="5" fillId="5" borderId="12" xfId="0" applyFont="1" applyFill="1" applyBorder="1"/>
    <xf numFmtId="0" fontId="3" fillId="0" borderId="9" xfId="0" applyFont="1" applyBorder="1"/>
    <xf numFmtId="2" fontId="4" fillId="5" borderId="0" xfId="0" applyNumberFormat="1" applyFont="1" applyFill="1"/>
    <xf numFmtId="0" fontId="2" fillId="5" borderId="12" xfId="0" applyFont="1" applyFill="1" applyBorder="1"/>
    <xf numFmtId="0" fontId="2" fillId="5" borderId="13" xfId="0" applyFont="1" applyFill="1" applyBorder="1"/>
    <xf numFmtId="2" fontId="2" fillId="0" borderId="0" xfId="0" applyNumberFormat="1" applyFont="1"/>
    <xf numFmtId="0" fontId="2" fillId="0" borderId="0" xfId="0" applyFont="1"/>
    <xf numFmtId="0" fontId="2" fillId="0" borderId="7" xfId="0" applyFont="1" applyBorder="1"/>
    <xf numFmtId="10" fontId="2" fillId="0" borderId="0" xfId="0" applyNumberFormat="1" applyFont="1"/>
    <xf numFmtId="0" fontId="2" fillId="0" borderId="9" xfId="0" applyFont="1" applyBorder="1"/>
    <xf numFmtId="0" fontId="2" fillId="0" borderId="10" xfId="0" applyFont="1" applyBorder="1"/>
    <xf numFmtId="0" fontId="1" fillId="0" borderId="0" xfId="0" applyFont="1"/>
    <xf numFmtId="2" fontId="6" fillId="5" borderId="0" xfId="0" applyNumberFormat="1" applyFont="1" applyFill="1"/>
    <xf numFmtId="2" fontId="10" fillId="0" borderId="0" xfId="0" applyNumberFormat="1" applyFont="1" applyAlignment="1">
      <alignment horizontal="left" vertical="center" wrapText="1"/>
    </xf>
    <xf numFmtId="0" fontId="14" fillId="8" borderId="0" xfId="0" applyFont="1" applyFill="1"/>
    <xf numFmtId="0" fontId="7" fillId="0" borderId="14" xfId="0" applyFont="1" applyBorder="1"/>
    <xf numFmtId="0" fontId="0" fillId="0" borderId="15" xfId="0" applyBorder="1"/>
    <xf numFmtId="0" fontId="9" fillId="0" borderId="16" xfId="0" applyFont="1" applyBorder="1" applyAlignment="1">
      <alignment horizontal="center" vertical="top"/>
    </xf>
    <xf numFmtId="4" fontId="7" fillId="0" borderId="17" xfId="0" applyNumberFormat="1" applyFont="1" applyBorder="1" applyAlignment="1">
      <alignment horizontal="right"/>
    </xf>
    <xf numFmtId="0" fontId="7" fillId="0" borderId="17" xfId="0" applyFont="1" applyBorder="1" applyAlignment="1">
      <alignment horizontal="right"/>
    </xf>
    <xf numFmtId="4" fontId="6" fillId="0" borderId="17" xfId="0" applyNumberFormat="1" applyFont="1" applyBorder="1" applyAlignment="1">
      <alignment horizontal="center"/>
    </xf>
    <xf numFmtId="0" fontId="8" fillId="0" borderId="17" xfId="0" applyFont="1" applyBorder="1" applyAlignment="1">
      <alignment horizontal="center" vertical="top"/>
    </xf>
    <xf numFmtId="0" fontId="9" fillId="0" borderId="17" xfId="0" applyFont="1" applyBorder="1" applyAlignment="1">
      <alignment horizontal="left" vertical="top"/>
    </xf>
    <xf numFmtId="0" fontId="12" fillId="0" borderId="17" xfId="0" applyFont="1" applyBorder="1"/>
    <xf numFmtId="0" fontId="16" fillId="0" borderId="14" xfId="0" applyFont="1" applyBorder="1"/>
    <xf numFmtId="0" fontId="0" fillId="0" borderId="14" xfId="0" applyBorder="1"/>
    <xf numFmtId="0" fontId="16" fillId="9" borderId="14" xfId="0" applyFont="1" applyFill="1" applyBorder="1"/>
    <xf numFmtId="0" fontId="16" fillId="9" borderId="15" xfId="0" applyFont="1" applyFill="1" applyBorder="1"/>
    <xf numFmtId="0" fontId="9" fillId="0" borderId="16" xfId="0" applyFont="1" applyBorder="1" applyAlignment="1">
      <alignment horizontal="center" vertical="center"/>
    </xf>
    <xf numFmtId="4" fontId="7" fillId="0" borderId="17" xfId="0" applyNumberFormat="1" applyFont="1" applyBorder="1" applyAlignment="1">
      <alignment horizontal="center" vertical="center"/>
    </xf>
    <xf numFmtId="0" fontId="7" fillId="0" borderId="17" xfId="0" applyFont="1" applyBorder="1" applyAlignment="1">
      <alignment horizontal="center" vertical="center"/>
    </xf>
    <xf numFmtId="0" fontId="0" fillId="0" borderId="17" xfId="0" applyBorder="1"/>
    <xf numFmtId="2" fontId="6" fillId="0" borderId="17" xfId="0" applyNumberFormat="1" applyFont="1" applyBorder="1" applyAlignment="1">
      <alignment horizontal="center" vertical="center"/>
    </xf>
    <xf numFmtId="2" fontId="8" fillId="0" borderId="17" xfId="0" applyNumberFormat="1" applyFont="1" applyBorder="1" applyAlignment="1">
      <alignment horizontal="center" vertical="center"/>
    </xf>
    <xf numFmtId="0" fontId="9" fillId="0" borderId="17" xfId="0" applyFont="1" applyBorder="1" applyAlignment="1">
      <alignment horizontal="center" vertical="center"/>
    </xf>
    <xf numFmtId="0" fontId="6" fillId="5" borderId="0" xfId="0" applyFont="1" applyFill="1" applyAlignment="1">
      <alignment horizontal="center"/>
    </xf>
    <xf numFmtId="0" fontId="5" fillId="0" borderId="0" xfId="0" applyFont="1"/>
    <xf numFmtId="0" fontId="0" fillId="0" borderId="0" xfId="0" applyAlignment="1">
      <alignment horizontal="center" wrapText="1"/>
    </xf>
    <xf numFmtId="0" fontId="0" fillId="0" borderId="0" xfId="0"/>
    <xf numFmtId="0" fontId="0" fillId="0" borderId="4" xfId="0" applyBorder="1" applyAlignment="1">
      <alignment horizontal="center" wrapText="1"/>
    </xf>
    <xf numFmtId="0" fontId="4" fillId="7" borderId="0" xfId="0" applyFont="1" applyFill="1"/>
    <xf numFmtId="0" fontId="13" fillId="7" borderId="0" xfId="0" applyFont="1" applyFill="1"/>
    <xf numFmtId="2" fontId="4" fillId="7" borderId="0" xfId="0" applyNumberFormat="1" applyFont="1" applyFill="1"/>
    <xf numFmtId="0" fontId="0" fillId="7" borderId="15" xfId="0" applyFill="1" applyBorder="1"/>
    <xf numFmtId="0" fontId="0" fillId="0" borderId="0" xfId="0" applyFill="1"/>
    <xf numFmtId="0" fontId="0" fillId="1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Kowalski, Kuba" id="{7DAE9925-9B14-4E67-86E7-EF00AD8A56B3}" userId="S::kuba.kowalski@wur.nl::efd3b399-1095-4b34-9f84-abcd55d1b2f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O12" dT="2026-02-04T22:29:25.11" personId="{7DAE9925-9B14-4E67-86E7-EF00AD8A56B3}" id="{DB0F8A85-B1CC-4C36-91B3-66F1F719975B}">
    <text>No data on sales/purchase price</text>
  </threadedComment>
  <threadedComment ref="O14" dT="2026-02-04T22:27:50.54" personId="{7DAE9925-9B14-4E67-86E7-EF00AD8A56B3}" id="{26CEC237-F842-415D-9005-8BE842560344}">
    <text>Warning, price used for “useless” cow: 7 shilling 6pence from 1 cow useless for the stock sold.</text>
  </threadedComment>
  <threadedComment ref="O22" dT="2026-02-04T22:26:23.99" personId="{7DAE9925-9B14-4E67-86E7-EF00AD8A56B3}" id="{F807634C-AC8D-4A27-9949-1AD902553A46}">
    <text>80 hoggs bought from the reeve of alresford before shearing £6 13 shilling 4pence, at 1 shilling 8pence each.</text>
  </threadedComment>
  <threadedComment ref="O24" dT="2026-02-04T22:31:22.21" personId="{7DAE9925-9B14-4E67-86E7-EF00AD8A56B3}" id="{2671FC24-BDFE-449E-AAF4-C89626F6C914}">
    <text>5 shilling from 1 boar sold to the lord's household.</text>
  </threadedComment>
  <threadedComment ref="O25" dT="2026-02-04T22:32:10.69" personId="{7DAE9925-9B14-4E67-86E7-EF00AD8A56B3}" id="{F62C3A9C-CAFD-4421-BCBD-4DA0F6B1676C}">
    <text>No data on sales/purchase price</text>
  </threadedComment>
  <threadedComment ref="O27" dT="2026-02-04T22:32:17.28" personId="{7DAE9925-9B14-4E67-86E7-EF00AD8A56B3}" id="{411DD98F-6645-4C10-9DA8-D16282FB772E}">
    <text>No data on sales/purchase price</text>
  </threadedComment>
  <threadedComment ref="O28" dT="2026-02-04T22:24:59.23" personId="{7DAE9925-9B14-4E67-86E7-EF00AD8A56B3}" id="{C2DD0CB9-C12C-45BD-BCBC-8DB066BE0FE9}">
    <text>and for £1 8 shilling 9.5pence from the pannage of the pigs of the customary tenants at martinmas, at 2pence a pig over a year old, 1.5pence for one of 3 terms, 1pence for one of .5 year, and .5pence for a weaned piglet, whether or not there was mast.</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4"/>
  <sheetViews>
    <sheetView topLeftCell="A148" workbookViewId="0">
      <selection activeCell="D35" sqref="D35"/>
    </sheetView>
  </sheetViews>
  <sheetFormatPr defaultColWidth="10.81640625" defaultRowHeight="15.5"/>
  <cols>
    <col min="1" max="1" width="80" style="32" bestFit="1" customWidth="1"/>
    <col min="2" max="2" width="10.81640625" style="32" customWidth="1"/>
    <col min="3" max="3" width="10.81640625" style="2" customWidth="1"/>
    <col min="4" max="4" width="30.81640625" style="32" bestFit="1" customWidth="1"/>
    <col min="5" max="5" width="29.36328125" style="32" bestFit="1" customWidth="1"/>
    <col min="6" max="6" width="35.453125" style="32" bestFit="1" customWidth="1"/>
    <col min="7" max="7" width="21.1796875" style="32" customWidth="1"/>
    <col min="8" max="8" width="10.81640625" style="32" customWidth="1"/>
    <col min="9" max="16384" width="10.81640625" style="32"/>
  </cols>
  <sheetData>
    <row r="1" spans="1:5">
      <c r="A1" s="1" t="s">
        <v>0</v>
      </c>
      <c r="B1" s="33" t="s">
        <v>1</v>
      </c>
      <c r="C1" s="34" t="s">
        <v>2</v>
      </c>
      <c r="D1" s="3" t="s">
        <v>3</v>
      </c>
      <c r="E1" s="3"/>
    </row>
    <row r="2" spans="1:5">
      <c r="A2" s="1" t="s">
        <v>4</v>
      </c>
    </row>
    <row r="3" spans="1:5">
      <c r="A3" s="6" t="s">
        <v>5</v>
      </c>
    </row>
    <row r="4" spans="1:5">
      <c r="A4" s="5" t="s">
        <v>6</v>
      </c>
      <c r="B4" s="32">
        <v>8.8800000000000008</v>
      </c>
      <c r="D4" s="4"/>
      <c r="E4" s="4"/>
    </row>
    <row r="5" spans="1:5">
      <c r="A5" s="5" t="s">
        <v>7</v>
      </c>
      <c r="B5" s="32">
        <v>52.01</v>
      </c>
    </row>
    <row r="6" spans="1:5">
      <c r="A6" s="5" t="s">
        <v>8</v>
      </c>
      <c r="B6" s="32">
        <v>0.8</v>
      </c>
    </row>
    <row r="7" spans="1:5">
      <c r="A7" s="5" t="s">
        <v>9</v>
      </c>
      <c r="B7" s="32">
        <v>4.7699999999999996</v>
      </c>
    </row>
    <row r="8" spans="1:5">
      <c r="A8" s="32" t="s">
        <v>10</v>
      </c>
    </row>
    <row r="9" spans="1:5">
      <c r="A9" s="32" t="s">
        <v>11</v>
      </c>
    </row>
    <row r="10" spans="1:5">
      <c r="A10" s="32" t="s">
        <v>12</v>
      </c>
    </row>
    <row r="11" spans="1:5">
      <c r="A11" s="32" t="s">
        <v>13</v>
      </c>
      <c r="B11" s="32">
        <v>10.4</v>
      </c>
    </row>
    <row r="12" spans="1:5">
      <c r="A12" s="32" t="s">
        <v>14</v>
      </c>
      <c r="B12" s="32">
        <v>41.61</v>
      </c>
    </row>
    <row r="13" spans="1:5">
      <c r="A13" s="32" t="s">
        <v>15</v>
      </c>
    </row>
    <row r="14" spans="1:5">
      <c r="A14" s="5" t="s">
        <v>16</v>
      </c>
      <c r="B14" s="32">
        <v>0.21</v>
      </c>
    </row>
    <row r="15" spans="1:5">
      <c r="A15" s="5" t="s">
        <v>17</v>
      </c>
      <c r="B15" s="32">
        <v>31.1</v>
      </c>
    </row>
    <row r="16" spans="1:5">
      <c r="A16" s="32" t="s">
        <v>18</v>
      </c>
    </row>
    <row r="17" spans="1:5">
      <c r="A17" s="32" t="s">
        <v>19</v>
      </c>
    </row>
    <row r="18" spans="1:5">
      <c r="A18" s="5" t="s">
        <v>20</v>
      </c>
    </row>
    <row r="19" spans="1:5">
      <c r="A19" s="5" t="s">
        <v>21</v>
      </c>
    </row>
    <row r="20" spans="1:5">
      <c r="A20" s="5" t="s">
        <v>22</v>
      </c>
      <c r="B20" s="101">
        <v>3.98</v>
      </c>
    </row>
    <row r="21" spans="1:5">
      <c r="A21" s="32" t="s">
        <v>23</v>
      </c>
    </row>
    <row r="22" spans="1:5">
      <c r="A22" s="32" t="s">
        <v>24</v>
      </c>
      <c r="D22" s="44"/>
    </row>
    <row r="23" spans="1:5">
      <c r="A23" s="37" t="s">
        <v>25</v>
      </c>
      <c r="B23" s="35">
        <f>SUM(B5:B11)</f>
        <v>67.98</v>
      </c>
      <c r="C23" s="36"/>
    </row>
    <row r="24" spans="1:5">
      <c r="A24" s="38" t="s">
        <v>26</v>
      </c>
      <c r="B24">
        <f>SUM(B4:B11)</f>
        <v>76.86</v>
      </c>
      <c r="D24" s="4"/>
      <c r="E24" s="4"/>
    </row>
    <row r="25" spans="1:5">
      <c r="A25" s="39" t="s">
        <v>27</v>
      </c>
      <c r="B25" s="32">
        <f>Receipts!F108</f>
        <v>148.63</v>
      </c>
      <c r="C25" s="2">
        <f>B23-B25</f>
        <v>-80.649999999999991</v>
      </c>
    </row>
    <row r="26" spans="1:5">
      <c r="A26" s="39" t="s">
        <v>28</v>
      </c>
      <c r="B26">
        <f>Receipts!F109</f>
        <v>157.51</v>
      </c>
      <c r="D26" s="4"/>
      <c r="E26" s="4"/>
    </row>
    <row r="27" spans="1:5">
      <c r="A27" s="5"/>
    </row>
    <row r="28" spans="1:5">
      <c r="A28" s="5"/>
    </row>
    <row r="29" spans="1:5">
      <c r="A29" s="6" t="s">
        <v>29</v>
      </c>
    </row>
    <row r="30" spans="1:5">
      <c r="A30" s="5" t="s">
        <v>30</v>
      </c>
      <c r="B30">
        <v>1.39</v>
      </c>
    </row>
    <row r="31" spans="1:5">
      <c r="A31" s="5" t="s">
        <v>31</v>
      </c>
    </row>
    <row r="32" spans="1:5">
      <c r="A32" s="5" t="s">
        <v>32</v>
      </c>
      <c r="B32">
        <v>1.37</v>
      </c>
    </row>
    <row r="33" spans="1:4">
      <c r="A33" s="5" t="s">
        <v>33</v>
      </c>
    </row>
    <row r="34" spans="1:4">
      <c r="A34" s="5" t="s">
        <v>34</v>
      </c>
    </row>
    <row r="35" spans="1:4">
      <c r="A35" s="5" t="s">
        <v>35</v>
      </c>
    </row>
    <row r="36" spans="1:4">
      <c r="A36" s="5" t="s">
        <v>36</v>
      </c>
      <c r="B36" s="40"/>
    </row>
    <row r="37" spans="1:4">
      <c r="A37" s="5" t="s">
        <v>37</v>
      </c>
      <c r="B37">
        <v>1.1599999999999999</v>
      </c>
    </row>
    <row r="38" spans="1:4">
      <c r="A38" s="5" t="s">
        <v>38</v>
      </c>
    </row>
    <row r="39" spans="1:4">
      <c r="A39" s="5" t="s">
        <v>39</v>
      </c>
      <c r="B39">
        <v>1.41</v>
      </c>
    </row>
    <row r="40" spans="1:4">
      <c r="A40" s="5" t="s">
        <v>40</v>
      </c>
    </row>
    <row r="41" spans="1:4">
      <c r="A41" s="5" t="s">
        <v>41</v>
      </c>
      <c r="B41" s="40"/>
    </row>
    <row r="42" spans="1:4">
      <c r="A42" s="5" t="s">
        <v>42</v>
      </c>
      <c r="B42" s="40">
        <v>0.87</v>
      </c>
    </row>
    <row r="43" spans="1:4">
      <c r="A43" s="102" t="s">
        <v>1052</v>
      </c>
      <c r="B43" s="103">
        <v>4.79</v>
      </c>
    </row>
    <row r="44" spans="1:4">
      <c r="A44" s="41" t="s">
        <v>43</v>
      </c>
      <c r="B44" s="42"/>
      <c r="C44" s="43"/>
      <c r="D44" s="44"/>
    </row>
    <row r="45" spans="1:4">
      <c r="A45" s="38" t="s">
        <v>44</v>
      </c>
      <c r="B45" s="40">
        <f>Expenses!F77</f>
        <v>88.92</v>
      </c>
    </row>
    <row r="46" spans="1:4">
      <c r="A46" s="38" t="s">
        <v>45</v>
      </c>
      <c r="B46" s="40">
        <f>Expenses!F78</f>
        <v>17.510000000000002</v>
      </c>
    </row>
    <row r="47" spans="1:4">
      <c r="A47" s="38" t="s">
        <v>46</v>
      </c>
      <c r="B47" s="103">
        <v>1.83</v>
      </c>
    </row>
    <row r="48" spans="1:4">
      <c r="A48" s="38" t="s">
        <v>47</v>
      </c>
      <c r="B48" s="103">
        <v>1.83</v>
      </c>
    </row>
    <row r="49" spans="1:6">
      <c r="A49" s="3"/>
    </row>
    <row r="50" spans="1:6">
      <c r="A50" s="8" t="s">
        <v>48</v>
      </c>
      <c r="B50" s="40">
        <f>B23-B46</f>
        <v>50.47</v>
      </c>
    </row>
    <row r="51" spans="1:6">
      <c r="A51" s="8" t="s">
        <v>49</v>
      </c>
      <c r="B51" s="40">
        <v>99.24</v>
      </c>
    </row>
    <row r="52" spans="1:6">
      <c r="A52" s="5"/>
    </row>
    <row r="53" spans="1:6">
      <c r="A53" s="8" t="s">
        <v>50</v>
      </c>
      <c r="B53" s="40"/>
    </row>
    <row r="54" spans="1:6">
      <c r="A54" s="8" t="s">
        <v>51</v>
      </c>
      <c r="B54" s="40">
        <v>28</v>
      </c>
    </row>
    <row r="55" spans="1:6">
      <c r="A55" s="9" t="s">
        <v>52</v>
      </c>
      <c r="B55" s="40">
        <f>SUM(B53:B54)</f>
        <v>28</v>
      </c>
    </row>
    <row r="56" spans="1:6">
      <c r="A56" s="10" t="s">
        <v>53</v>
      </c>
    </row>
    <row r="57" spans="1:6">
      <c r="A57" s="5"/>
    </row>
    <row r="58" spans="1:6">
      <c r="A58" s="8" t="s">
        <v>54</v>
      </c>
      <c r="B58" s="40">
        <f>B51-B55</f>
        <v>71.239999999999995</v>
      </c>
    </row>
    <row r="59" spans="1:6">
      <c r="A59" s="8" t="s">
        <v>55</v>
      </c>
    </row>
    <row r="60" spans="1:6">
      <c r="A60" s="5"/>
    </row>
    <row r="61" spans="1:6">
      <c r="A61" s="6" t="s">
        <v>56</v>
      </c>
      <c r="B61" s="96" t="s">
        <v>57</v>
      </c>
      <c r="C61" s="97"/>
      <c r="D61" s="73" t="s">
        <v>58</v>
      </c>
      <c r="E61" s="73" t="s">
        <v>59</v>
      </c>
    </row>
    <row r="62" spans="1:6">
      <c r="A62" s="1" t="s">
        <v>60</v>
      </c>
      <c r="B62" s="45" t="s">
        <v>61</v>
      </c>
      <c r="C62" s="46" t="s">
        <v>62</v>
      </c>
    </row>
    <row r="63" spans="1:6">
      <c r="A63" s="32" t="s">
        <v>63</v>
      </c>
      <c r="B63">
        <v>30</v>
      </c>
      <c r="C63">
        <v>4</v>
      </c>
      <c r="D63">
        <v>14.37</v>
      </c>
      <c r="E63">
        <v>14.37</v>
      </c>
      <c r="F63" s="4"/>
    </row>
    <row r="64" spans="1:6">
      <c r="A64" s="32" t="s">
        <v>64</v>
      </c>
      <c r="B64">
        <v>0</v>
      </c>
      <c r="C64">
        <v>0</v>
      </c>
      <c r="E64">
        <v>0</v>
      </c>
      <c r="F64" s="4"/>
    </row>
    <row r="65" spans="1:6">
      <c r="A65" s="32" t="s">
        <v>65</v>
      </c>
      <c r="B65">
        <v>0</v>
      </c>
      <c r="C65">
        <v>0</v>
      </c>
      <c r="E65">
        <v>0</v>
      </c>
      <c r="F65" s="4"/>
    </row>
    <row r="66" spans="1:6">
      <c r="A66" s="32" t="s">
        <v>66</v>
      </c>
      <c r="B66">
        <v>0</v>
      </c>
      <c r="C66">
        <v>0</v>
      </c>
      <c r="E66">
        <v>0</v>
      </c>
      <c r="F66" s="4"/>
    </row>
    <row r="67" spans="1:6">
      <c r="A67" s="32" t="s">
        <v>67</v>
      </c>
      <c r="B67">
        <v>53</v>
      </c>
      <c r="C67">
        <v>4</v>
      </c>
      <c r="E67">
        <v>0</v>
      </c>
      <c r="F67" s="4"/>
    </row>
    <row r="68" spans="1:6">
      <c r="A68" s="32" t="s">
        <v>68</v>
      </c>
      <c r="B68">
        <v>39</v>
      </c>
      <c r="C68">
        <v>10</v>
      </c>
      <c r="E68">
        <v>0</v>
      </c>
      <c r="F68" s="4"/>
    </row>
    <row r="69" spans="1:6">
      <c r="A69" s="32" t="s">
        <v>69</v>
      </c>
      <c r="B69">
        <v>0</v>
      </c>
      <c r="C69">
        <v>0</v>
      </c>
      <c r="D69">
        <v>0</v>
      </c>
      <c r="E69">
        <v>0</v>
      </c>
      <c r="F69" s="4"/>
    </row>
    <row r="70" spans="1:6">
      <c r="A70" s="32" t="s">
        <v>70</v>
      </c>
      <c r="B70">
        <v>0</v>
      </c>
      <c r="C70">
        <v>0</v>
      </c>
      <c r="E70">
        <v>0</v>
      </c>
      <c r="F70" s="4"/>
    </row>
    <row r="71" spans="1:6">
      <c r="A71" s="32" t="s">
        <v>71</v>
      </c>
      <c r="B71">
        <v>0</v>
      </c>
      <c r="C71">
        <v>0</v>
      </c>
      <c r="E71">
        <v>0</v>
      </c>
    </row>
    <row r="72" spans="1:6">
      <c r="A72" s="7" t="s">
        <v>72</v>
      </c>
      <c r="B72" s="49"/>
      <c r="C72" s="50"/>
      <c r="D72" s="49"/>
      <c r="E72" s="49">
        <f>SUM(D63:D71)</f>
        <v>14.37</v>
      </c>
    </row>
    <row r="73" spans="1:6">
      <c r="A73" s="7" t="s">
        <v>73</v>
      </c>
      <c r="B73" s="49"/>
      <c r="C73" s="50"/>
      <c r="D73" s="49"/>
      <c r="E73" s="49">
        <f>SUM(E63:E71)</f>
        <v>14.37</v>
      </c>
    </row>
    <row r="74" spans="1:6">
      <c r="A74" s="7" t="s">
        <v>74</v>
      </c>
      <c r="B74" s="49"/>
      <c r="C74" s="50"/>
      <c r="D74" s="49"/>
      <c r="E74" s="49">
        <v>17.625</v>
      </c>
    </row>
    <row r="75" spans="1:6">
      <c r="A75" s="5"/>
    </row>
    <row r="76" spans="1:6">
      <c r="A76" s="6" t="s">
        <v>75</v>
      </c>
      <c r="B76" s="96" t="s">
        <v>57</v>
      </c>
      <c r="C76" s="97"/>
      <c r="D76" s="47" t="s">
        <v>1</v>
      </c>
      <c r="E76" s="47"/>
    </row>
    <row r="77" spans="1:6">
      <c r="A77" s="1" t="s">
        <v>76</v>
      </c>
      <c r="B77" s="45" t="s">
        <v>61</v>
      </c>
      <c r="C77" s="46" t="s">
        <v>62</v>
      </c>
    </row>
    <row r="78" spans="1:6">
      <c r="A78" s="5" t="s">
        <v>63</v>
      </c>
      <c r="F78" s="4"/>
    </row>
    <row r="79" spans="1:6">
      <c r="A79" s="5" t="s">
        <v>77</v>
      </c>
    </row>
    <row r="80" spans="1:6">
      <c r="A80" s="5" t="s">
        <v>78</v>
      </c>
    </row>
    <row r="81" spans="1:7">
      <c r="A81" s="5" t="s">
        <v>79</v>
      </c>
    </row>
    <row r="82" spans="1:7">
      <c r="A82" s="5" t="s">
        <v>80</v>
      </c>
    </row>
    <row r="83" spans="1:7">
      <c r="A83" s="7" t="s">
        <v>81</v>
      </c>
      <c r="B83" s="49"/>
      <c r="C83" s="50"/>
      <c r="D83" s="49"/>
      <c r="E83" s="49"/>
    </row>
    <row r="84" spans="1:7">
      <c r="A84" s="7" t="s">
        <v>74</v>
      </c>
      <c r="B84" s="49"/>
      <c r="C84" s="50"/>
      <c r="D84" s="49"/>
      <c r="E84" s="49"/>
    </row>
    <row r="85" spans="1:7">
      <c r="A85" s="5"/>
    </row>
    <row r="86" spans="1:7">
      <c r="A86" s="48" t="s">
        <v>82</v>
      </c>
      <c r="B86" s="49"/>
      <c r="C86" s="50"/>
      <c r="D86" s="49"/>
      <c r="E86" s="49"/>
      <c r="F86" s="49"/>
      <c r="G86" s="49"/>
    </row>
    <row r="87" spans="1:7">
      <c r="A87" s="11" t="s">
        <v>83</v>
      </c>
      <c r="B87" s="51" t="s">
        <v>84</v>
      </c>
      <c r="C87" s="51" t="s">
        <v>85</v>
      </c>
      <c r="D87" s="51" t="s">
        <v>86</v>
      </c>
      <c r="E87" s="51"/>
      <c r="F87" s="51" t="s">
        <v>87</v>
      </c>
      <c r="G87" s="21" t="s">
        <v>88</v>
      </c>
    </row>
    <row r="88" spans="1:7">
      <c r="A88" s="12" t="s">
        <v>89</v>
      </c>
      <c r="B88" s="32">
        <v>0</v>
      </c>
      <c r="C88" s="32">
        <f>Stock!L5</f>
        <v>0</v>
      </c>
      <c r="D88" s="32">
        <f t="shared" ref="D88:D113" si="0">C88-B88</f>
        <v>0</v>
      </c>
      <c r="F88" s="40">
        <f>Stock!L5*Stock!O5</f>
        <v>0</v>
      </c>
      <c r="G88" s="40">
        <f>D88*Stock!O5</f>
        <v>0</v>
      </c>
    </row>
    <row r="89" spans="1:7">
      <c r="A89" s="12" t="s">
        <v>90</v>
      </c>
      <c r="B89" s="32">
        <v>0</v>
      </c>
      <c r="C89" s="32">
        <f>Stock!L6</f>
        <v>0</v>
      </c>
      <c r="D89" s="32">
        <f t="shared" si="0"/>
        <v>0</v>
      </c>
      <c r="F89" s="40">
        <f>Stock!L6*Stock!O6</f>
        <v>0</v>
      </c>
      <c r="G89" s="40">
        <f>D89*Stock!O6</f>
        <v>0</v>
      </c>
    </row>
    <row r="90" spans="1:7">
      <c r="A90" s="5" t="s">
        <v>91</v>
      </c>
      <c r="B90" s="32">
        <v>0</v>
      </c>
      <c r="C90" s="32">
        <f>Stock!L7</f>
        <v>0</v>
      </c>
      <c r="D90" s="32">
        <f t="shared" si="0"/>
        <v>0</v>
      </c>
      <c r="F90" s="40">
        <f>Stock!L7*Stock!O7</f>
        <v>0</v>
      </c>
      <c r="G90" s="40">
        <f>D90*Stock!O7</f>
        <v>0</v>
      </c>
    </row>
    <row r="91" spans="1:7">
      <c r="A91" s="5" t="s">
        <v>92</v>
      </c>
      <c r="B91" s="32">
        <v>0</v>
      </c>
      <c r="C91" s="32">
        <f>Stock!L9</f>
        <v>0</v>
      </c>
      <c r="D91" s="32">
        <f t="shared" si="0"/>
        <v>0</v>
      </c>
      <c r="F91" s="40">
        <f>Stock!L9*Stock!O9</f>
        <v>0</v>
      </c>
      <c r="G91" s="40">
        <f>D91*Stock!O9</f>
        <v>0</v>
      </c>
    </row>
    <row r="92" spans="1:7">
      <c r="A92" s="5" t="s">
        <v>92</v>
      </c>
      <c r="B92" s="32">
        <v>0</v>
      </c>
      <c r="C92" s="32">
        <f>Stock!L9</f>
        <v>0</v>
      </c>
      <c r="D92" s="32">
        <f t="shared" si="0"/>
        <v>0</v>
      </c>
      <c r="F92" s="40">
        <f>Stock!L9*Stock!O9</f>
        <v>0</v>
      </c>
      <c r="G92" s="40">
        <f>D92*Stock!O9</f>
        <v>0</v>
      </c>
    </row>
    <row r="93" spans="1:7">
      <c r="A93" s="5" t="s">
        <v>93</v>
      </c>
      <c r="B93" s="32">
        <v>0</v>
      </c>
      <c r="C93" s="32">
        <f>Stock!L10</f>
        <v>0</v>
      </c>
      <c r="D93" s="32">
        <f t="shared" si="0"/>
        <v>0</v>
      </c>
      <c r="F93" s="40">
        <f>Stock!L10*Stock!O10</f>
        <v>0</v>
      </c>
      <c r="G93" s="40">
        <f>D93*Stock!O10</f>
        <v>0</v>
      </c>
    </row>
    <row r="94" spans="1:7">
      <c r="A94" s="5" t="s">
        <v>94</v>
      </c>
      <c r="B94" s="32">
        <v>0</v>
      </c>
      <c r="C94" s="32">
        <f>Stock!L11</f>
        <v>0</v>
      </c>
      <c r="D94" s="32">
        <f t="shared" si="0"/>
        <v>0</v>
      </c>
      <c r="F94" s="40">
        <f>Stock!L11*Stock!O11</f>
        <v>0</v>
      </c>
      <c r="G94" s="40">
        <f>D94*Stock!O11</f>
        <v>0</v>
      </c>
    </row>
    <row r="95" spans="1:7">
      <c r="A95" s="5" t="s">
        <v>95</v>
      </c>
      <c r="B95" s="32">
        <v>14</v>
      </c>
      <c r="C95" s="32">
        <f>Stock!L12</f>
        <v>14</v>
      </c>
      <c r="D95" s="32">
        <f t="shared" si="0"/>
        <v>0</v>
      </c>
      <c r="F95" s="40">
        <f>Stock!L12*Stock!O12</f>
        <v>0</v>
      </c>
      <c r="G95" s="40">
        <f>D95*Stock!O12</f>
        <v>0</v>
      </c>
    </row>
    <row r="96" spans="1:7">
      <c r="A96" s="5" t="s">
        <v>96</v>
      </c>
      <c r="B96" s="32">
        <v>0</v>
      </c>
      <c r="C96" s="32">
        <f>Stock!L13</f>
        <v>-1</v>
      </c>
      <c r="D96" s="32">
        <f t="shared" si="0"/>
        <v>-1</v>
      </c>
      <c r="F96" s="40">
        <f>Stock!L13*Stock!O13</f>
        <v>0</v>
      </c>
      <c r="G96" s="40">
        <f>D96*Stock!O13</f>
        <v>0</v>
      </c>
    </row>
    <row r="97" spans="1:7">
      <c r="A97" s="5" t="s">
        <v>97</v>
      </c>
      <c r="B97" s="32">
        <v>22</v>
      </c>
      <c r="C97" s="32">
        <f>Stock!L14</f>
        <v>22</v>
      </c>
      <c r="D97" s="32">
        <f t="shared" si="0"/>
        <v>0</v>
      </c>
      <c r="F97" s="40">
        <f>Stock!L14*Stock!O14</f>
        <v>8.25</v>
      </c>
      <c r="G97" s="40">
        <f>D97*Stock!O14</f>
        <v>0</v>
      </c>
    </row>
    <row r="98" spans="1:7">
      <c r="A98" s="5" t="s">
        <v>98</v>
      </c>
      <c r="B98" s="32">
        <v>7</v>
      </c>
      <c r="C98" s="32">
        <f>Stock!L15</f>
        <v>7</v>
      </c>
      <c r="D98" s="32">
        <f t="shared" si="0"/>
        <v>0</v>
      </c>
      <c r="F98" s="40">
        <f>Stock!L15*Stock!O15</f>
        <v>0</v>
      </c>
      <c r="G98" s="40">
        <f>D98*Stock!O15</f>
        <v>0</v>
      </c>
    </row>
    <row r="99" spans="1:7">
      <c r="A99" s="5" t="s">
        <v>99</v>
      </c>
      <c r="B99" s="32">
        <v>0</v>
      </c>
      <c r="C99" s="32">
        <f>Stock!L16</f>
        <v>0</v>
      </c>
      <c r="D99" s="32">
        <f t="shared" si="0"/>
        <v>0</v>
      </c>
      <c r="F99" s="40">
        <f>Stock!L16*Stock!O16</f>
        <v>0</v>
      </c>
      <c r="G99" s="40">
        <f>D99*Stock!O16</f>
        <v>0</v>
      </c>
    </row>
    <row r="100" spans="1:7">
      <c r="A100" s="5" t="s">
        <v>100</v>
      </c>
      <c r="B100" s="32">
        <v>0</v>
      </c>
      <c r="C100" s="32">
        <f>Stock!L17</f>
        <v>0</v>
      </c>
      <c r="D100" s="32">
        <f t="shared" si="0"/>
        <v>0</v>
      </c>
      <c r="F100" s="40">
        <f>Stock!L17*Stock!O17</f>
        <v>0</v>
      </c>
      <c r="G100" s="40">
        <f>D100*Stock!O17</f>
        <v>0</v>
      </c>
    </row>
    <row r="101" spans="1:7">
      <c r="A101" s="5" t="s">
        <v>101</v>
      </c>
      <c r="B101" s="32">
        <v>8</v>
      </c>
      <c r="C101" s="32">
        <f>Stock!L18</f>
        <v>-2</v>
      </c>
      <c r="D101" s="32">
        <f t="shared" si="0"/>
        <v>-10</v>
      </c>
      <c r="F101" s="40">
        <f>Stock!L18*Stock!O18</f>
        <v>-5.5333333333333339E-2</v>
      </c>
      <c r="G101" s="40">
        <f>D101*Stock!O18</f>
        <v>-0.27666666666666667</v>
      </c>
    </row>
    <row r="102" spans="1:7">
      <c r="A102" s="5" t="s">
        <v>102</v>
      </c>
      <c r="B102" s="32">
        <v>534</v>
      </c>
      <c r="C102" s="32">
        <f>Stock!L19</f>
        <v>522</v>
      </c>
      <c r="D102" s="32">
        <f t="shared" si="0"/>
        <v>-12</v>
      </c>
      <c r="F102" s="40">
        <f>Stock!L19*Stock!O19</f>
        <v>26.1</v>
      </c>
      <c r="G102" s="40">
        <f>D102*Stock!O19</f>
        <v>-0.60000000000000009</v>
      </c>
    </row>
    <row r="103" spans="1:7">
      <c r="A103" s="5" t="s">
        <v>103</v>
      </c>
      <c r="B103" s="32">
        <v>0</v>
      </c>
      <c r="C103" s="32">
        <f>Stock!L20</f>
        <v>0</v>
      </c>
      <c r="D103" s="32">
        <f t="shared" si="0"/>
        <v>0</v>
      </c>
      <c r="F103" s="40">
        <f>Stock!L20*Stock!O20</f>
        <v>0</v>
      </c>
      <c r="G103" s="40">
        <f>D103*Stock!O20</f>
        <v>0</v>
      </c>
    </row>
    <row r="104" spans="1:7">
      <c r="A104" s="5" t="s">
        <v>104</v>
      </c>
      <c r="B104" s="32">
        <v>0</v>
      </c>
      <c r="C104" s="32">
        <f>Stock!L21</f>
        <v>0</v>
      </c>
      <c r="D104" s="32">
        <f t="shared" si="0"/>
        <v>0</v>
      </c>
      <c r="F104" s="40">
        <f>Stock!L21*Stock!O21</f>
        <v>0</v>
      </c>
      <c r="G104" s="40">
        <f>D104*Stock!O21</f>
        <v>0</v>
      </c>
    </row>
    <row r="105" spans="1:7">
      <c r="A105" s="5" t="s">
        <v>105</v>
      </c>
      <c r="B105" s="32">
        <v>0</v>
      </c>
      <c r="C105" s="32">
        <f>Stock!L22</f>
        <v>80</v>
      </c>
      <c r="D105" s="32">
        <f t="shared" si="0"/>
        <v>80</v>
      </c>
      <c r="F105" s="40">
        <f>Stock!L22*Stock!O22</f>
        <v>6.6666666666666661</v>
      </c>
      <c r="G105" s="40">
        <f>D105*Stock!O22</f>
        <v>6.6666666666666661</v>
      </c>
    </row>
    <row r="106" spans="1:7">
      <c r="A106" s="5" t="s">
        <v>106</v>
      </c>
      <c r="B106" s="32">
        <v>0</v>
      </c>
      <c r="C106" s="32">
        <f>Stock!L23</f>
        <v>4</v>
      </c>
      <c r="D106" s="32">
        <f t="shared" si="0"/>
        <v>4</v>
      </c>
      <c r="F106" s="40">
        <f>Stock!L23*Stock!O23</f>
        <v>0.2</v>
      </c>
      <c r="G106" s="40">
        <f>D106*Stock!O23</f>
        <v>0.2</v>
      </c>
    </row>
    <row r="107" spans="1:7">
      <c r="A107" s="5" t="s">
        <v>107</v>
      </c>
      <c r="B107" s="32">
        <v>0</v>
      </c>
      <c r="C107" s="32">
        <f>Stock!L24</f>
        <v>-1</v>
      </c>
      <c r="D107" s="32">
        <f t="shared" si="0"/>
        <v>-1</v>
      </c>
      <c r="F107" s="40">
        <f>Stock!L24*Stock!O24</f>
        <v>-0.25</v>
      </c>
      <c r="G107" s="40">
        <f>D107*Stock!O24</f>
        <v>-0.25</v>
      </c>
    </row>
    <row r="108" spans="1:7">
      <c r="A108" s="5" t="s">
        <v>108</v>
      </c>
      <c r="B108" s="32">
        <v>2</v>
      </c>
      <c r="C108" s="32">
        <f>Stock!L25</f>
        <v>2</v>
      </c>
      <c r="D108" s="32">
        <f t="shared" si="0"/>
        <v>0</v>
      </c>
      <c r="F108" s="40">
        <f>Stock!L25*Stock!O25</f>
        <v>0</v>
      </c>
      <c r="G108" s="40">
        <f>D108*Stock!O25</f>
        <v>0</v>
      </c>
    </row>
    <row r="109" spans="1:7">
      <c r="A109" s="5" t="s">
        <v>109</v>
      </c>
      <c r="B109" s="32">
        <v>20</v>
      </c>
      <c r="C109" s="32">
        <f>Stock!L26</f>
        <v>6</v>
      </c>
      <c r="D109" s="32">
        <f t="shared" si="0"/>
        <v>-14</v>
      </c>
      <c r="F109" s="40">
        <f>Stock!L26*Stock!O26</f>
        <v>0.4157142857142857</v>
      </c>
      <c r="G109" s="40">
        <f>D109*Stock!O26</f>
        <v>-0.97</v>
      </c>
    </row>
    <row r="110" spans="1:7">
      <c r="A110" s="5" t="s">
        <v>110</v>
      </c>
      <c r="B110" s="32">
        <v>25</v>
      </c>
      <c r="C110" s="32">
        <f>Stock!L27</f>
        <v>25</v>
      </c>
      <c r="D110" s="32">
        <f t="shared" si="0"/>
        <v>0</v>
      </c>
      <c r="F110" s="40">
        <f>Stock!L27*Stock!O27</f>
        <v>0</v>
      </c>
      <c r="G110" s="40">
        <f>D110*Stock!O27</f>
        <v>0</v>
      </c>
    </row>
    <row r="111" spans="1:7">
      <c r="A111" s="5" t="s">
        <v>111</v>
      </c>
      <c r="B111" s="32">
        <v>25</v>
      </c>
      <c r="C111" s="32">
        <f>Stock!L28</f>
        <v>55</v>
      </c>
      <c r="D111" s="32">
        <f t="shared" si="0"/>
        <v>30</v>
      </c>
      <c r="F111" s="40">
        <f>Stock!L28*Stock!O28</f>
        <v>0.11458333333333333</v>
      </c>
      <c r="G111" s="40">
        <f>D111*Stock!O28</f>
        <v>6.25E-2</v>
      </c>
    </row>
    <row r="112" spans="1:7">
      <c r="A112" s="5" t="s">
        <v>112</v>
      </c>
      <c r="B112" s="32">
        <v>0</v>
      </c>
      <c r="C112" s="32">
        <f>Stock!L29</f>
        <v>0</v>
      </c>
      <c r="D112" s="32">
        <f t="shared" si="0"/>
        <v>0</v>
      </c>
      <c r="F112" s="40">
        <f>Stock!L29*Stock!O29</f>
        <v>0</v>
      </c>
      <c r="G112" s="40">
        <f>D112*Stock!O29</f>
        <v>0</v>
      </c>
    </row>
    <row r="113" spans="1:7">
      <c r="A113" s="5" t="s">
        <v>113</v>
      </c>
      <c r="B113" s="32">
        <v>0</v>
      </c>
      <c r="C113" s="32">
        <f>Stock!L30</f>
        <v>0</v>
      </c>
      <c r="D113" s="32">
        <f t="shared" si="0"/>
        <v>0</v>
      </c>
      <c r="F113" s="40">
        <f>Stock!L30*Stock!O30</f>
        <v>0</v>
      </c>
      <c r="G113" s="40">
        <f>D113*Stock!O30</f>
        <v>0</v>
      </c>
    </row>
    <row r="114" spans="1:7">
      <c r="A114" s="7" t="s">
        <v>114</v>
      </c>
      <c r="B114" s="49"/>
      <c r="C114" s="50"/>
      <c r="D114" s="49"/>
      <c r="E114" s="49"/>
      <c r="F114" s="63">
        <f>SUM(F88:F113)</f>
        <v>41.441630952380962</v>
      </c>
      <c r="G114" s="63">
        <f>SUM(G88:G113)</f>
        <v>4.8324999999999996</v>
      </c>
    </row>
    <row r="115" spans="1:7">
      <c r="A115" s="7" t="s">
        <v>115</v>
      </c>
      <c r="B115" s="49"/>
      <c r="C115" s="50"/>
      <c r="D115" s="49"/>
      <c r="E115" s="49"/>
      <c r="F115" s="63">
        <f>SUM(Stock!T5:T30)</f>
        <v>8.1875</v>
      </c>
      <c r="G115" s="63"/>
    </row>
    <row r="116" spans="1:7">
      <c r="A116" s="7" t="s">
        <v>74</v>
      </c>
      <c r="B116" s="49"/>
      <c r="C116" s="50"/>
      <c r="D116" s="49"/>
      <c r="E116" s="49"/>
      <c r="F116" s="63">
        <f>SUM(Stock!R5:R30)</f>
        <v>2.73</v>
      </c>
      <c r="G116" s="63"/>
    </row>
    <row r="117" spans="1:7">
      <c r="A117" s="5"/>
    </row>
    <row r="118" spans="1:7">
      <c r="A118" s="6" t="s">
        <v>116</v>
      </c>
      <c r="B118" s="51" t="s">
        <v>84</v>
      </c>
      <c r="C118" s="51" t="s">
        <v>85</v>
      </c>
      <c r="D118" s="51" t="s">
        <v>86</v>
      </c>
      <c r="E118" s="51"/>
      <c r="F118" s="51" t="s">
        <v>87</v>
      </c>
    </row>
    <row r="119" spans="1:7">
      <c r="A119" s="12" t="s">
        <v>117</v>
      </c>
      <c r="B119">
        <v>0</v>
      </c>
      <c r="C119">
        <v>0</v>
      </c>
      <c r="D119">
        <v>0</v>
      </c>
      <c r="G119" s="52"/>
    </row>
    <row r="120" spans="1:7">
      <c r="A120" s="5" t="s">
        <v>118</v>
      </c>
      <c r="B120">
        <v>0</v>
      </c>
      <c r="C120">
        <v>0</v>
      </c>
      <c r="D120">
        <v>0</v>
      </c>
    </row>
    <row r="121" spans="1:7">
      <c r="A121" s="5" t="s">
        <v>119</v>
      </c>
      <c r="B121">
        <v>0</v>
      </c>
      <c r="C121">
        <v>0</v>
      </c>
      <c r="D121">
        <v>0</v>
      </c>
    </row>
    <row r="122" spans="1:7">
      <c r="A122" s="5" t="s">
        <v>120</v>
      </c>
      <c r="B122">
        <v>0</v>
      </c>
      <c r="C122">
        <v>0</v>
      </c>
      <c r="D122">
        <v>0</v>
      </c>
    </row>
    <row r="123" spans="1:7">
      <c r="A123" s="5" t="s">
        <v>121</v>
      </c>
      <c r="B123">
        <v>0</v>
      </c>
      <c r="C123">
        <v>0</v>
      </c>
      <c r="D123">
        <v>0</v>
      </c>
    </row>
    <row r="124" spans="1:7">
      <c r="A124" s="75" t="s">
        <v>81</v>
      </c>
      <c r="B124" s="49"/>
      <c r="C124" s="50"/>
      <c r="D124" s="49"/>
      <c r="E124" s="49"/>
      <c r="F124" s="49">
        <f>SUM(F119:F123)</f>
        <v>0</v>
      </c>
    </row>
    <row r="125" spans="1:7">
      <c r="A125" s="75" t="s">
        <v>74</v>
      </c>
      <c r="B125" s="49"/>
      <c r="C125" s="50"/>
      <c r="D125" s="49"/>
      <c r="E125" s="49"/>
      <c r="F125" s="49"/>
    </row>
    <row r="126" spans="1:7">
      <c r="A126" s="1"/>
    </row>
    <row r="127" spans="1:7">
      <c r="A127" s="6" t="s">
        <v>122</v>
      </c>
      <c r="B127" s="51" t="s">
        <v>84</v>
      </c>
      <c r="C127" s="51" t="s">
        <v>85</v>
      </c>
      <c r="D127" s="51" t="s">
        <v>86</v>
      </c>
      <c r="E127" s="51"/>
      <c r="F127" s="51" t="s">
        <v>87</v>
      </c>
    </row>
    <row r="128" spans="1:7">
      <c r="A128" s="5" t="s">
        <v>123</v>
      </c>
      <c r="B128">
        <v>0</v>
      </c>
      <c r="C128">
        <v>0</v>
      </c>
      <c r="D128">
        <v>0</v>
      </c>
      <c r="G128" s="52"/>
    </row>
    <row r="129" spans="1:4">
      <c r="A129" s="5" t="s">
        <v>124</v>
      </c>
      <c r="B129">
        <v>0</v>
      </c>
      <c r="C129">
        <v>0</v>
      </c>
      <c r="D129">
        <v>0</v>
      </c>
    </row>
    <row r="130" spans="1:4">
      <c r="A130" s="5" t="s">
        <v>125</v>
      </c>
      <c r="B130">
        <v>0</v>
      </c>
      <c r="C130">
        <v>0</v>
      </c>
      <c r="D130">
        <v>0</v>
      </c>
    </row>
    <row r="131" spans="1:4">
      <c r="A131" s="5" t="s">
        <v>126</v>
      </c>
      <c r="B131">
        <v>0</v>
      </c>
      <c r="C131">
        <v>0</v>
      </c>
      <c r="D131">
        <v>0</v>
      </c>
    </row>
    <row r="132" spans="1:4">
      <c r="A132" s="5" t="s">
        <v>127</v>
      </c>
      <c r="B132">
        <v>0</v>
      </c>
      <c r="C132">
        <v>0</v>
      </c>
      <c r="D132">
        <v>0</v>
      </c>
    </row>
    <row r="133" spans="1:4">
      <c r="A133" s="5" t="s">
        <v>128</v>
      </c>
      <c r="B133">
        <v>0</v>
      </c>
      <c r="C133">
        <v>0</v>
      </c>
      <c r="D133">
        <v>0</v>
      </c>
    </row>
    <row r="134" spans="1:4">
      <c r="A134" s="13" t="s">
        <v>129</v>
      </c>
      <c r="B134">
        <v>0</v>
      </c>
      <c r="C134">
        <v>0</v>
      </c>
      <c r="D134">
        <v>0</v>
      </c>
    </row>
    <row r="135" spans="1:4">
      <c r="A135" s="14" t="s">
        <v>130</v>
      </c>
    </row>
    <row r="136" spans="1:4">
      <c r="A136" s="14" t="s">
        <v>131</v>
      </c>
    </row>
    <row r="137" spans="1:4">
      <c r="A137" s="14" t="s">
        <v>132</v>
      </c>
    </row>
    <row r="138" spans="1:4">
      <c r="A138" s="14" t="s">
        <v>133</v>
      </c>
    </row>
    <row r="139" spans="1:4">
      <c r="A139" s="15" t="s">
        <v>134</v>
      </c>
      <c r="B139">
        <v>0</v>
      </c>
      <c r="C139">
        <v>0</v>
      </c>
      <c r="D139">
        <v>0</v>
      </c>
    </row>
    <row r="140" spans="1:4">
      <c r="A140" s="14" t="s">
        <v>135</v>
      </c>
    </row>
    <row r="141" spans="1:4">
      <c r="A141" s="14" t="s">
        <v>136</v>
      </c>
    </row>
    <row r="142" spans="1:4">
      <c r="A142" s="14" t="s">
        <v>137</v>
      </c>
    </row>
    <row r="143" spans="1:4">
      <c r="A143" s="14" t="s">
        <v>138</v>
      </c>
    </row>
    <row r="144" spans="1:4">
      <c r="A144" s="15" t="s">
        <v>139</v>
      </c>
      <c r="B144">
        <v>0</v>
      </c>
      <c r="C144">
        <v>0</v>
      </c>
      <c r="D144">
        <v>0</v>
      </c>
    </row>
    <row r="145" spans="1:7">
      <c r="A145" s="5" t="s">
        <v>140</v>
      </c>
      <c r="B145">
        <v>0</v>
      </c>
      <c r="C145">
        <v>0</v>
      </c>
      <c r="D145">
        <v>0</v>
      </c>
    </row>
    <row r="146" spans="1:7">
      <c r="A146" s="5" t="s">
        <v>141</v>
      </c>
      <c r="B146">
        <v>0</v>
      </c>
      <c r="C146">
        <v>0</v>
      </c>
      <c r="D146">
        <v>0</v>
      </c>
    </row>
    <row r="147" spans="1:7">
      <c r="A147" s="5" t="s">
        <v>142</v>
      </c>
      <c r="B147">
        <v>0</v>
      </c>
      <c r="C147">
        <v>0</v>
      </c>
      <c r="D147">
        <v>0</v>
      </c>
    </row>
    <row r="148" spans="1:7">
      <c r="A148" s="7" t="s">
        <v>81</v>
      </c>
      <c r="B148" s="49"/>
      <c r="C148" s="50"/>
      <c r="D148" s="49"/>
      <c r="E148" s="49"/>
      <c r="F148" s="49"/>
    </row>
    <row r="149" spans="1:7">
      <c r="A149" s="7" t="s">
        <v>74</v>
      </c>
      <c r="B149" s="49"/>
      <c r="C149" s="50"/>
      <c r="D149" s="49"/>
      <c r="E149" s="49"/>
      <c r="F149" s="49"/>
    </row>
    <row r="150" spans="1:7">
      <c r="A150" s="5"/>
    </row>
    <row r="151" spans="1:7">
      <c r="A151" s="6" t="s">
        <v>143</v>
      </c>
      <c r="B151" s="51" t="s">
        <v>84</v>
      </c>
      <c r="C151" s="51" t="s">
        <v>85</v>
      </c>
      <c r="D151" s="51" t="s">
        <v>86</v>
      </c>
      <c r="E151" s="51"/>
      <c r="F151" s="51" t="s">
        <v>87</v>
      </c>
    </row>
    <row r="152" spans="1:7">
      <c r="A152" s="12" t="s">
        <v>144</v>
      </c>
      <c r="B152" s="32">
        <f>Stock!B67</f>
        <v>0</v>
      </c>
      <c r="C152" s="32">
        <f>Stock!B67-Stock!M67</f>
        <v>0</v>
      </c>
      <c r="D152" s="32">
        <f>B152-C152</f>
        <v>0</v>
      </c>
      <c r="F152" s="32">
        <f>Stock!Q67</f>
        <v>0</v>
      </c>
      <c r="G152" s="52"/>
    </row>
    <row r="153" spans="1:7">
      <c r="A153" s="5" t="s">
        <v>145</v>
      </c>
      <c r="B153" s="32">
        <f>Stock!B68</f>
        <v>0</v>
      </c>
      <c r="C153" s="32">
        <f>Stock!B68-Stock!M68</f>
        <v>0</v>
      </c>
      <c r="D153" s="32">
        <f>B153-C153</f>
        <v>0</v>
      </c>
      <c r="F153" s="32">
        <f>Stock!Q68</f>
        <v>0</v>
      </c>
    </row>
    <row r="154" spans="1:7">
      <c r="A154" s="5" t="s">
        <v>146</v>
      </c>
      <c r="B154" s="32">
        <v>0</v>
      </c>
      <c r="C154" s="32">
        <f>Stock!B69-Stock!M69</f>
        <v>0</v>
      </c>
      <c r="D154" s="32">
        <f>B154-C154</f>
        <v>0</v>
      </c>
      <c r="F154" s="32">
        <f>Stock!Q69</f>
        <v>0</v>
      </c>
    </row>
    <row r="155" spans="1:7">
      <c r="A155" s="5" t="s">
        <v>147</v>
      </c>
      <c r="B155" s="32">
        <v>0</v>
      </c>
      <c r="C155" s="32">
        <f>Stock!B70-Stock!M70</f>
        <v>10</v>
      </c>
      <c r="D155" s="32">
        <f>B155-C155</f>
        <v>-10</v>
      </c>
      <c r="F155" s="32">
        <f>Stock!Q70</f>
        <v>0</v>
      </c>
    </row>
    <row r="156" spans="1:7">
      <c r="A156" s="75" t="s">
        <v>81</v>
      </c>
      <c r="B156" s="49"/>
      <c r="C156" s="49"/>
      <c r="D156" s="49"/>
      <c r="E156" s="49"/>
      <c r="F156" s="49">
        <f>SUM(F152:F155)</f>
        <v>0</v>
      </c>
    </row>
    <row r="157" spans="1:7">
      <c r="A157" s="75" t="s">
        <v>74</v>
      </c>
      <c r="B157" s="49"/>
      <c r="C157" s="50"/>
      <c r="D157" s="49"/>
      <c r="E157" s="49"/>
      <c r="F157" s="49">
        <f>SUM(Stock!R67:R70)</f>
        <v>1.32</v>
      </c>
    </row>
    <row r="158" spans="1:7">
      <c r="A158" s="5"/>
    </row>
    <row r="159" spans="1:7">
      <c r="A159" s="6" t="s">
        <v>148</v>
      </c>
      <c r="B159" s="51" t="s">
        <v>84</v>
      </c>
      <c r="C159" s="51" t="s">
        <v>85</v>
      </c>
      <c r="D159" s="51" t="s">
        <v>86</v>
      </c>
      <c r="E159" s="51"/>
      <c r="F159" s="51" t="s">
        <v>87</v>
      </c>
    </row>
    <row r="160" spans="1:7">
      <c r="A160" s="5" t="s">
        <v>149</v>
      </c>
      <c r="B160">
        <v>0</v>
      </c>
      <c r="C160">
        <v>0</v>
      </c>
      <c r="D160">
        <v>0</v>
      </c>
      <c r="G160" s="72"/>
    </row>
    <row r="161" spans="1:7">
      <c r="A161" s="5" t="s">
        <v>150</v>
      </c>
      <c r="B161">
        <v>0</v>
      </c>
      <c r="C161">
        <v>0</v>
      </c>
      <c r="D161">
        <v>0</v>
      </c>
    </row>
    <row r="162" spans="1:7">
      <c r="A162" s="5" t="s">
        <v>151</v>
      </c>
      <c r="B162">
        <v>0</v>
      </c>
      <c r="C162">
        <v>0</v>
      </c>
      <c r="D162">
        <v>0</v>
      </c>
    </row>
    <row r="163" spans="1:7">
      <c r="A163" s="7" t="s">
        <v>152</v>
      </c>
      <c r="B163" s="49"/>
      <c r="C163" s="50"/>
      <c r="D163" s="49"/>
      <c r="E163" s="49"/>
      <c r="F163" s="49">
        <f>SUM(F160:F161)</f>
        <v>0</v>
      </c>
    </row>
    <row r="164" spans="1:7">
      <c r="A164" s="7" t="s">
        <v>74</v>
      </c>
      <c r="B164" s="49"/>
      <c r="C164" s="50"/>
      <c r="D164" s="49"/>
      <c r="E164" s="49"/>
      <c r="F164" s="49"/>
    </row>
    <row r="165" spans="1:7">
      <c r="A165" s="5"/>
    </row>
    <row r="166" spans="1:7">
      <c r="A166" s="6" t="s">
        <v>153</v>
      </c>
      <c r="B166" s="51" t="s">
        <v>84</v>
      </c>
      <c r="C166" s="51" t="s">
        <v>85</v>
      </c>
      <c r="D166" s="51" t="s">
        <v>86</v>
      </c>
      <c r="E166" s="51"/>
      <c r="F166" s="51" t="s">
        <v>87</v>
      </c>
    </row>
    <row r="167" spans="1:7">
      <c r="A167" s="5" t="s">
        <v>154</v>
      </c>
      <c r="B167">
        <v>0</v>
      </c>
      <c r="C167">
        <v>0</v>
      </c>
      <c r="D167">
        <v>0</v>
      </c>
      <c r="G167" s="72"/>
    </row>
    <row r="168" spans="1:7">
      <c r="A168" s="5" t="s">
        <v>155</v>
      </c>
      <c r="B168">
        <v>0</v>
      </c>
      <c r="C168">
        <v>0</v>
      </c>
      <c r="D168">
        <v>0</v>
      </c>
    </row>
    <row r="169" spans="1:7">
      <c r="A169" s="5" t="s">
        <v>156</v>
      </c>
      <c r="B169">
        <v>0</v>
      </c>
      <c r="C169">
        <v>0</v>
      </c>
      <c r="D169">
        <v>0</v>
      </c>
    </row>
    <row r="170" spans="1:7">
      <c r="A170" s="7" t="s">
        <v>81</v>
      </c>
      <c r="B170" s="49"/>
      <c r="C170" s="50"/>
      <c r="D170" s="49"/>
      <c r="E170" s="49"/>
      <c r="F170" s="49">
        <f>SUM(F167:F169)</f>
        <v>0</v>
      </c>
    </row>
    <row r="171" spans="1:7">
      <c r="A171" s="7" t="s">
        <v>74</v>
      </c>
      <c r="B171" s="49"/>
      <c r="C171" s="50"/>
      <c r="D171" s="49"/>
      <c r="E171" s="49"/>
      <c r="F171" s="49"/>
    </row>
    <row r="172" spans="1:7">
      <c r="A172" s="5"/>
    </row>
    <row r="173" spans="1:7">
      <c r="A173" s="5"/>
    </row>
    <row r="174" spans="1:7" ht="16" customHeight="1" thickBot="1"/>
    <row r="175" spans="1:7" ht="16" customHeight="1" thickBot="1">
      <c r="A175" s="59"/>
      <c r="B175" s="60" t="s">
        <v>1</v>
      </c>
      <c r="C175" s="61"/>
      <c r="D175" s="64"/>
      <c r="E175" s="64"/>
      <c r="F175" s="65"/>
    </row>
    <row r="176" spans="1:7">
      <c r="A176" s="53" t="s">
        <v>157</v>
      </c>
      <c r="B176" s="66">
        <f>F170+F163+F156+F148+F124+F116+E73</f>
        <v>17.099999999999998</v>
      </c>
      <c r="D176" s="67"/>
      <c r="E176" s="67"/>
      <c r="F176" s="68"/>
    </row>
    <row r="177" spans="1:6">
      <c r="A177" s="54" t="s">
        <v>158</v>
      </c>
      <c r="B177" s="66">
        <f>F171+F164+F157+F149+F125+F116+D74</f>
        <v>4.05</v>
      </c>
      <c r="D177" s="67"/>
      <c r="E177" s="67"/>
      <c r="F177" s="68"/>
    </row>
    <row r="178" spans="1:6">
      <c r="A178" s="54" t="s">
        <v>159</v>
      </c>
      <c r="B178" s="66">
        <f>B15+B18</f>
        <v>31.1</v>
      </c>
      <c r="D178" s="67"/>
      <c r="E178" s="67"/>
      <c r="F178" s="68"/>
    </row>
    <row r="179" spans="1:6">
      <c r="A179" s="54" t="s">
        <v>160</v>
      </c>
      <c r="B179" s="66">
        <f>B176+B12+B13+B14+B16+B17+B19+B20+B21+B22</f>
        <v>62.899999999999991</v>
      </c>
      <c r="D179" s="67"/>
      <c r="E179" s="67"/>
      <c r="F179" s="68"/>
    </row>
    <row r="180" spans="1:6">
      <c r="A180" s="55"/>
      <c r="B180" s="67"/>
      <c r="D180" s="67"/>
      <c r="E180" s="67"/>
      <c r="F180" s="68"/>
    </row>
    <row r="181" spans="1:6">
      <c r="A181" s="56" t="s">
        <v>161</v>
      </c>
      <c r="B181" s="69">
        <f>B48/B176</f>
        <v>0.10701754385964914</v>
      </c>
      <c r="C181" s="4"/>
      <c r="F181" s="68"/>
    </row>
    <row r="182" spans="1:6">
      <c r="A182" s="54" t="s">
        <v>162</v>
      </c>
      <c r="B182" s="69">
        <f>B48/B179</f>
        <v>2.9093799682034981E-2</v>
      </c>
      <c r="D182" s="67"/>
      <c r="E182" s="67"/>
      <c r="F182" s="68"/>
    </row>
    <row r="183" spans="1:6">
      <c r="A183" s="55"/>
      <c r="D183" s="67"/>
      <c r="E183" s="67"/>
      <c r="F183" s="68"/>
    </row>
    <row r="184" spans="1:6" ht="16" customHeight="1" thickBot="1">
      <c r="A184" s="57" t="s">
        <v>163</v>
      </c>
      <c r="B184" s="62" t="s">
        <v>164</v>
      </c>
      <c r="C184" s="58"/>
      <c r="D184" s="70"/>
      <c r="E184" s="70"/>
      <c r="F184" s="71"/>
    </row>
  </sheetData>
  <mergeCells count="2">
    <mergeCell ref="B61:C61"/>
    <mergeCell ref="B76:C76"/>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9"/>
  <sheetViews>
    <sheetView topLeftCell="A66" workbookViewId="0">
      <selection activeCell="H97" sqref="H97"/>
    </sheetView>
  </sheetViews>
  <sheetFormatPr defaultRowHeight="14.5"/>
  <cols>
    <col min="1" max="1" width="41.453125" customWidth="1"/>
    <col min="2" max="2" width="8.81640625" customWidth="1"/>
    <col min="6" max="6" width="12.81640625" customWidth="1"/>
    <col min="7" max="7" width="8.81640625" customWidth="1"/>
    <col min="8" max="8" width="12.453125" customWidth="1"/>
    <col min="9" max="10" width="8.81640625" customWidth="1"/>
  </cols>
  <sheetData>
    <row r="1" spans="1:9" ht="15.5">
      <c r="A1" s="76" t="s">
        <v>165</v>
      </c>
      <c r="B1" s="77"/>
      <c r="C1" s="77"/>
      <c r="D1" s="77"/>
      <c r="E1" s="77"/>
      <c r="F1" s="77"/>
      <c r="G1" s="77"/>
      <c r="H1" s="77"/>
      <c r="I1" s="77"/>
    </row>
    <row r="2" spans="1:9" ht="15.5">
      <c r="A2" s="78" t="s">
        <v>166</v>
      </c>
      <c r="B2" s="79" t="s">
        <v>167</v>
      </c>
      <c r="C2" s="80" t="s">
        <v>168</v>
      </c>
      <c r="D2" s="80" t="s">
        <v>169</v>
      </c>
      <c r="E2" s="80"/>
      <c r="F2" s="81" t="s">
        <v>1</v>
      </c>
      <c r="G2" s="82" t="s">
        <v>2</v>
      </c>
      <c r="H2" s="83" t="s">
        <v>170</v>
      </c>
      <c r="I2" s="84" t="s">
        <v>171</v>
      </c>
    </row>
    <row r="3" spans="1:9">
      <c r="A3" s="85" t="s">
        <v>172</v>
      </c>
      <c r="B3" s="77">
        <v>8</v>
      </c>
      <c r="C3" s="77">
        <v>17</v>
      </c>
      <c r="D3" s="77">
        <v>6</v>
      </c>
      <c r="E3" s="77"/>
      <c r="F3" s="77">
        <v>8.8800000000000008</v>
      </c>
      <c r="G3" s="77"/>
      <c r="H3" s="77" t="s">
        <v>173</v>
      </c>
      <c r="I3" s="77"/>
    </row>
    <row r="4" spans="1:9">
      <c r="A4" s="86" t="s">
        <v>172</v>
      </c>
      <c r="B4" s="77">
        <v>8</v>
      </c>
      <c r="C4" s="77">
        <v>17</v>
      </c>
      <c r="D4" s="77">
        <v>6</v>
      </c>
      <c r="E4" s="77"/>
      <c r="F4" s="77">
        <v>8.8800000000000008</v>
      </c>
      <c r="G4" s="77"/>
      <c r="H4" s="77" t="s">
        <v>174</v>
      </c>
      <c r="I4" s="77"/>
    </row>
    <row r="5" spans="1:9">
      <c r="A5" s="87" t="s">
        <v>6</v>
      </c>
      <c r="B5" s="88"/>
      <c r="C5" s="88"/>
      <c r="D5" s="88"/>
      <c r="E5" s="88"/>
      <c r="F5" s="88">
        <v>8.8800000000000008</v>
      </c>
      <c r="G5" s="88">
        <v>0</v>
      </c>
      <c r="H5" s="88" t="s">
        <v>175</v>
      </c>
      <c r="I5" s="88"/>
    </row>
    <row r="6" spans="1:9">
      <c r="A6" s="86"/>
      <c r="B6" s="77"/>
      <c r="C6" s="77"/>
      <c r="D6" s="77"/>
      <c r="E6" s="77"/>
      <c r="F6" s="77"/>
      <c r="G6" s="77"/>
      <c r="H6" s="77"/>
      <c r="I6" s="77"/>
    </row>
    <row r="7" spans="1:9">
      <c r="A7" s="85" t="s">
        <v>176</v>
      </c>
      <c r="B7" s="77">
        <v>9</v>
      </c>
      <c r="C7" s="77">
        <v>10</v>
      </c>
      <c r="D7" s="77">
        <v>10.25</v>
      </c>
      <c r="E7" s="77"/>
      <c r="F7" s="77">
        <v>9.5399999999999991</v>
      </c>
      <c r="G7" s="77"/>
      <c r="H7" s="77" t="s">
        <v>177</v>
      </c>
      <c r="I7" s="77"/>
    </row>
    <row r="8" spans="1:9">
      <c r="A8" s="86" t="s">
        <v>176</v>
      </c>
      <c r="B8" s="77">
        <v>9</v>
      </c>
      <c r="C8" s="77">
        <v>10</v>
      </c>
      <c r="D8" s="77">
        <v>11</v>
      </c>
      <c r="E8" s="77"/>
      <c r="F8" s="77">
        <v>9.5500000000000007</v>
      </c>
      <c r="G8" s="77"/>
      <c r="H8" s="77" t="s">
        <v>178</v>
      </c>
      <c r="I8" s="77"/>
    </row>
    <row r="9" spans="1:9">
      <c r="A9" s="86" t="s">
        <v>176</v>
      </c>
      <c r="B9" s="77">
        <v>9</v>
      </c>
      <c r="C9" s="77">
        <v>10</v>
      </c>
      <c r="D9" s="77">
        <v>10.25</v>
      </c>
      <c r="E9" s="77"/>
      <c r="F9" s="77">
        <v>9.5399999999999991</v>
      </c>
      <c r="G9" s="77"/>
      <c r="H9" s="77" t="s">
        <v>179</v>
      </c>
      <c r="I9" s="77"/>
    </row>
    <row r="10" spans="1:9">
      <c r="A10" s="86" t="s">
        <v>176</v>
      </c>
      <c r="B10" s="77">
        <v>23</v>
      </c>
      <c r="C10" s="77">
        <v>7</v>
      </c>
      <c r="D10" s="77">
        <v>7</v>
      </c>
      <c r="E10" s="77"/>
      <c r="F10" s="77">
        <v>23.38</v>
      </c>
      <c r="G10" s="77"/>
      <c r="H10" s="77" t="s">
        <v>180</v>
      </c>
      <c r="I10" s="77"/>
    </row>
    <row r="11" spans="1:9">
      <c r="A11" s="86" t="s">
        <v>176</v>
      </c>
      <c r="B11" s="77">
        <v>52</v>
      </c>
      <c r="C11" s="77">
        <v>0</v>
      </c>
      <c r="D11" s="77">
        <v>2.5</v>
      </c>
      <c r="E11" s="77"/>
      <c r="F11" s="77">
        <v>52.01</v>
      </c>
      <c r="G11" s="77"/>
      <c r="H11" s="77" t="s">
        <v>181</v>
      </c>
      <c r="I11" s="77"/>
    </row>
    <row r="12" spans="1:9">
      <c r="A12" s="87" t="s">
        <v>7</v>
      </c>
      <c r="B12" s="88"/>
      <c r="C12" s="88"/>
      <c r="D12" s="88"/>
      <c r="E12" s="88"/>
      <c r="F12" s="88">
        <v>52.01</v>
      </c>
      <c r="G12" s="88">
        <v>0</v>
      </c>
      <c r="H12" s="88" t="s">
        <v>175</v>
      </c>
      <c r="I12" s="88"/>
    </row>
    <row r="13" spans="1:9">
      <c r="A13" s="86"/>
      <c r="B13" s="77"/>
      <c r="C13" s="77"/>
      <c r="D13" s="77"/>
      <c r="E13" s="77"/>
      <c r="F13" s="77"/>
      <c r="G13" s="77"/>
      <c r="H13" s="77"/>
      <c r="I13" s="77"/>
    </row>
    <row r="14" spans="1:9">
      <c r="A14" s="85" t="s">
        <v>182</v>
      </c>
      <c r="B14" s="77">
        <v>0</v>
      </c>
      <c r="C14" s="77">
        <v>5</v>
      </c>
      <c r="D14" s="77">
        <v>0</v>
      </c>
      <c r="E14" s="77"/>
      <c r="F14" s="77">
        <v>0.25</v>
      </c>
      <c r="G14" s="77"/>
      <c r="H14" s="77" t="s">
        <v>183</v>
      </c>
      <c r="I14" s="77"/>
    </row>
    <row r="15" spans="1:9">
      <c r="A15" s="86" t="s">
        <v>182</v>
      </c>
      <c r="B15" s="77">
        <v>0</v>
      </c>
      <c r="C15" s="77">
        <v>2</v>
      </c>
      <c r="D15" s="77">
        <v>0</v>
      </c>
      <c r="E15" s="77"/>
      <c r="F15" s="77">
        <v>0.1</v>
      </c>
      <c r="G15" s="77"/>
      <c r="H15" s="77" t="s">
        <v>184</v>
      </c>
      <c r="I15" s="77"/>
    </row>
    <row r="16" spans="1:9">
      <c r="A16" s="86" t="s">
        <v>182</v>
      </c>
      <c r="B16" s="77">
        <v>0</v>
      </c>
      <c r="C16" s="77">
        <v>0</v>
      </c>
      <c r="D16" s="77">
        <v>0</v>
      </c>
      <c r="E16" s="77"/>
      <c r="F16" s="77">
        <v>0</v>
      </c>
      <c r="G16" s="77"/>
      <c r="H16" s="77" t="s">
        <v>185</v>
      </c>
      <c r="I16" s="77"/>
    </row>
    <row r="17" spans="1:9">
      <c r="A17" s="86" t="s">
        <v>182</v>
      </c>
      <c r="B17" s="77">
        <v>0</v>
      </c>
      <c r="C17" s="77">
        <v>3</v>
      </c>
      <c r="D17" s="77">
        <v>0</v>
      </c>
      <c r="E17" s="77"/>
      <c r="F17" s="77">
        <v>0.15</v>
      </c>
      <c r="G17" s="77"/>
      <c r="H17" s="77" t="s">
        <v>186</v>
      </c>
      <c r="I17" s="77"/>
    </row>
    <row r="18" spans="1:9">
      <c r="A18" s="86" t="s">
        <v>182</v>
      </c>
      <c r="B18" s="77">
        <v>0</v>
      </c>
      <c r="C18" s="77">
        <v>3</v>
      </c>
      <c r="D18" s="77">
        <v>0</v>
      </c>
      <c r="E18" s="77"/>
      <c r="F18" s="77">
        <v>0.15</v>
      </c>
      <c r="G18" s="77"/>
      <c r="H18" s="77" t="s">
        <v>187</v>
      </c>
      <c r="I18" s="77"/>
    </row>
    <row r="19" spans="1:9">
      <c r="A19" s="86" t="s">
        <v>182</v>
      </c>
      <c r="B19" s="77">
        <v>0</v>
      </c>
      <c r="C19" s="77">
        <v>3</v>
      </c>
      <c r="D19" s="77">
        <v>0</v>
      </c>
      <c r="E19" s="77"/>
      <c r="F19" s="77">
        <v>0.15</v>
      </c>
      <c r="G19" s="77"/>
      <c r="H19" s="77" t="s">
        <v>188</v>
      </c>
      <c r="I19" s="77"/>
    </row>
    <row r="20" spans="1:9">
      <c r="A20" s="86" t="s">
        <v>182</v>
      </c>
      <c r="B20" s="77">
        <v>0</v>
      </c>
      <c r="C20" s="77">
        <v>16</v>
      </c>
      <c r="D20" s="77">
        <v>0</v>
      </c>
      <c r="E20" s="77"/>
      <c r="F20" s="77">
        <v>0.8</v>
      </c>
      <c r="G20" s="77"/>
      <c r="H20" s="77" t="s">
        <v>189</v>
      </c>
      <c r="I20" s="77"/>
    </row>
    <row r="21" spans="1:9">
      <c r="A21" s="87" t="s">
        <v>8</v>
      </c>
      <c r="B21" s="88"/>
      <c r="C21" s="88"/>
      <c r="D21" s="88"/>
      <c r="E21" s="88"/>
      <c r="F21" s="88">
        <v>0.8</v>
      </c>
      <c r="G21" s="88">
        <v>0</v>
      </c>
      <c r="H21" s="88" t="s">
        <v>175</v>
      </c>
      <c r="I21" s="88"/>
    </row>
    <row r="22" spans="1:9">
      <c r="A22" s="86"/>
      <c r="B22" s="77"/>
      <c r="C22" s="77"/>
      <c r="D22" s="77"/>
      <c r="E22" s="77"/>
      <c r="F22" s="77"/>
      <c r="G22" s="77"/>
      <c r="H22" s="77"/>
      <c r="I22" s="77"/>
    </row>
    <row r="23" spans="1:9">
      <c r="A23" s="85" t="s">
        <v>190</v>
      </c>
      <c r="B23" s="77">
        <v>0</v>
      </c>
      <c r="C23" s="77">
        <v>2</v>
      </c>
      <c r="D23" s="77">
        <v>0</v>
      </c>
      <c r="E23" s="77"/>
      <c r="F23" s="77">
        <v>0.1</v>
      </c>
      <c r="G23" s="77"/>
      <c r="H23" s="77" t="s">
        <v>191</v>
      </c>
      <c r="I23" s="77"/>
    </row>
    <row r="24" spans="1:9">
      <c r="A24" s="86" t="s">
        <v>190</v>
      </c>
      <c r="B24" s="77">
        <v>0</v>
      </c>
      <c r="C24" s="77">
        <v>1</v>
      </c>
      <c r="D24" s="77">
        <v>0</v>
      </c>
      <c r="E24" s="77"/>
      <c r="F24" s="77">
        <v>0.05</v>
      </c>
      <c r="G24" s="77"/>
      <c r="H24" s="77" t="s">
        <v>192</v>
      </c>
      <c r="I24" s="77"/>
    </row>
    <row r="25" spans="1:9">
      <c r="A25" s="86" t="s">
        <v>190</v>
      </c>
      <c r="B25" s="77">
        <v>0</v>
      </c>
      <c r="C25" s="77">
        <v>0</v>
      </c>
      <c r="D25" s="77">
        <v>6</v>
      </c>
      <c r="E25" s="77"/>
      <c r="F25" s="77">
        <v>0.03</v>
      </c>
      <c r="G25" s="77"/>
      <c r="H25" s="77" t="s">
        <v>193</v>
      </c>
      <c r="I25" s="77"/>
    </row>
    <row r="26" spans="1:9">
      <c r="A26" s="86" t="s">
        <v>190</v>
      </c>
      <c r="B26" s="77">
        <v>0</v>
      </c>
      <c r="C26" s="77">
        <v>10</v>
      </c>
      <c r="D26" s="77">
        <v>0</v>
      </c>
      <c r="E26" s="77"/>
      <c r="F26" s="77">
        <v>0.5</v>
      </c>
      <c r="G26" s="77"/>
      <c r="H26" s="77" t="s">
        <v>194</v>
      </c>
      <c r="I26" s="77"/>
    </row>
    <row r="27" spans="1:9">
      <c r="A27" s="86" t="s">
        <v>190</v>
      </c>
      <c r="B27" s="77">
        <v>0</v>
      </c>
      <c r="C27" s="77">
        <v>3</v>
      </c>
      <c r="D27" s="77">
        <v>3</v>
      </c>
      <c r="E27" s="77"/>
      <c r="F27" s="77">
        <v>0.16</v>
      </c>
      <c r="G27" s="77"/>
      <c r="H27" s="77" t="s">
        <v>195</v>
      </c>
      <c r="I27" s="77"/>
    </row>
    <row r="28" spans="1:9">
      <c r="A28" s="86" t="s">
        <v>190</v>
      </c>
      <c r="B28" s="77">
        <v>0</v>
      </c>
      <c r="C28" s="77">
        <v>1</v>
      </c>
      <c r="D28" s="77">
        <v>6</v>
      </c>
      <c r="E28" s="77"/>
      <c r="F28" s="77">
        <v>0.08</v>
      </c>
      <c r="G28" s="77"/>
      <c r="H28" s="77" t="s">
        <v>196</v>
      </c>
      <c r="I28" s="77"/>
    </row>
    <row r="29" spans="1:9">
      <c r="A29" s="86" t="s">
        <v>190</v>
      </c>
      <c r="B29" s="77">
        <v>0</v>
      </c>
      <c r="C29" s="77">
        <v>0</v>
      </c>
      <c r="D29" s="77">
        <v>8</v>
      </c>
      <c r="E29" s="77"/>
      <c r="F29" s="77">
        <v>0.03</v>
      </c>
      <c r="G29" s="77"/>
      <c r="H29" s="77" t="s">
        <v>197</v>
      </c>
      <c r="I29" s="77"/>
    </row>
    <row r="30" spans="1:9">
      <c r="A30" s="86" t="s">
        <v>190</v>
      </c>
      <c r="B30" s="77">
        <v>2</v>
      </c>
      <c r="C30" s="77">
        <v>8</v>
      </c>
      <c r="D30" s="77">
        <v>4</v>
      </c>
      <c r="E30" s="77"/>
      <c r="F30" s="77">
        <v>2.42</v>
      </c>
      <c r="G30" s="77"/>
      <c r="H30" s="77" t="s">
        <v>198</v>
      </c>
      <c r="I30" s="77"/>
    </row>
    <row r="31" spans="1:9">
      <c r="A31" s="86" t="s">
        <v>190</v>
      </c>
      <c r="B31" s="77">
        <v>0</v>
      </c>
      <c r="C31" s="77">
        <v>0</v>
      </c>
      <c r="D31" s="77">
        <v>0</v>
      </c>
      <c r="E31" s="77"/>
      <c r="F31" s="77">
        <v>0</v>
      </c>
      <c r="G31" s="77"/>
      <c r="H31" s="77" t="s">
        <v>199</v>
      </c>
      <c r="I31" s="77"/>
    </row>
    <row r="32" spans="1:9">
      <c r="A32" s="86" t="s">
        <v>190</v>
      </c>
      <c r="B32" s="77">
        <v>0</v>
      </c>
      <c r="C32" s="77">
        <v>7</v>
      </c>
      <c r="D32" s="77">
        <v>0</v>
      </c>
      <c r="E32" s="77"/>
      <c r="F32" s="77">
        <v>0.35</v>
      </c>
      <c r="G32" s="77"/>
      <c r="H32" s="77" t="s">
        <v>200</v>
      </c>
      <c r="I32" s="77"/>
    </row>
    <row r="33" spans="1:9">
      <c r="A33" s="86" t="s">
        <v>190</v>
      </c>
      <c r="B33" s="77">
        <v>0</v>
      </c>
      <c r="C33" s="77">
        <v>7</v>
      </c>
      <c r="D33" s="77">
        <v>0</v>
      </c>
      <c r="E33" s="77"/>
      <c r="F33" s="77">
        <v>0.35</v>
      </c>
      <c r="G33" s="77"/>
      <c r="H33" s="77" t="s">
        <v>201</v>
      </c>
      <c r="I33" s="77"/>
    </row>
    <row r="34" spans="1:9">
      <c r="A34" s="86" t="s">
        <v>190</v>
      </c>
      <c r="B34" s="77">
        <v>0</v>
      </c>
      <c r="C34" s="77">
        <v>1</v>
      </c>
      <c r="D34" s="77">
        <v>6</v>
      </c>
      <c r="E34" s="77"/>
      <c r="F34" s="77">
        <v>0.08</v>
      </c>
      <c r="G34" s="77"/>
      <c r="H34" s="77" t="s">
        <v>202</v>
      </c>
      <c r="I34" s="77"/>
    </row>
    <row r="35" spans="1:9">
      <c r="A35" s="86" t="s">
        <v>190</v>
      </c>
      <c r="B35" s="77">
        <v>0</v>
      </c>
      <c r="C35" s="77">
        <v>0</v>
      </c>
      <c r="D35" s="77">
        <v>6</v>
      </c>
      <c r="E35" s="77"/>
      <c r="F35" s="77">
        <v>0.03</v>
      </c>
      <c r="G35" s="77"/>
      <c r="H35" s="77" t="s">
        <v>203</v>
      </c>
      <c r="I35" s="77"/>
    </row>
    <row r="36" spans="1:9">
      <c r="A36" s="86" t="s">
        <v>190</v>
      </c>
      <c r="B36" s="77">
        <v>0</v>
      </c>
      <c r="C36" s="77">
        <v>6</v>
      </c>
      <c r="D36" s="77">
        <v>6</v>
      </c>
      <c r="E36" s="77"/>
      <c r="F36" s="77">
        <v>0.33</v>
      </c>
      <c r="G36" s="77"/>
      <c r="H36" s="77" t="s">
        <v>204</v>
      </c>
      <c r="I36" s="77"/>
    </row>
    <row r="37" spans="1:9">
      <c r="A37" s="86" t="s">
        <v>190</v>
      </c>
      <c r="B37" s="77">
        <v>0</v>
      </c>
      <c r="C37" s="77">
        <v>1</v>
      </c>
      <c r="D37" s="77">
        <v>0</v>
      </c>
      <c r="E37" s="77"/>
      <c r="F37" s="77">
        <v>0.05</v>
      </c>
      <c r="G37" s="77"/>
      <c r="H37" s="77" t="s">
        <v>205</v>
      </c>
      <c r="I37" s="77"/>
    </row>
    <row r="38" spans="1:9">
      <c r="A38" s="86" t="s">
        <v>190</v>
      </c>
      <c r="B38" s="77">
        <v>0</v>
      </c>
      <c r="C38" s="77">
        <v>1</v>
      </c>
      <c r="D38" s="77">
        <v>6</v>
      </c>
      <c r="E38" s="77"/>
      <c r="F38" s="77">
        <v>0.08</v>
      </c>
      <c r="G38" s="77"/>
      <c r="H38" s="77" t="s">
        <v>206</v>
      </c>
      <c r="I38" s="77"/>
    </row>
    <row r="39" spans="1:9">
      <c r="A39" s="86" t="s">
        <v>190</v>
      </c>
      <c r="B39" s="77">
        <v>0</v>
      </c>
      <c r="C39" s="77">
        <v>2</v>
      </c>
      <c r="D39" s="77">
        <v>8</v>
      </c>
      <c r="E39" s="77"/>
      <c r="F39" s="77">
        <v>0.13</v>
      </c>
      <c r="G39" s="77"/>
      <c r="H39" s="77" t="s">
        <v>207</v>
      </c>
      <c r="I39" s="77"/>
    </row>
    <row r="40" spans="1:9">
      <c r="A40" s="86" t="s">
        <v>190</v>
      </c>
      <c r="B40" s="77">
        <v>4</v>
      </c>
      <c r="C40" s="77">
        <v>14</v>
      </c>
      <c r="D40" s="77">
        <v>11</v>
      </c>
      <c r="E40" s="77"/>
      <c r="F40" s="77">
        <v>4.75</v>
      </c>
      <c r="G40" s="77"/>
      <c r="H40" s="77" t="s">
        <v>208</v>
      </c>
      <c r="I40" s="77"/>
    </row>
    <row r="41" spans="1:9">
      <c r="A41" s="87" t="s">
        <v>9</v>
      </c>
      <c r="B41" s="88"/>
      <c r="C41" s="88"/>
      <c r="D41" s="88"/>
      <c r="E41" s="88"/>
      <c r="F41" s="88">
        <v>4.7699999999999996</v>
      </c>
      <c r="G41" s="88">
        <v>0.02</v>
      </c>
      <c r="H41" s="88" t="s">
        <v>175</v>
      </c>
      <c r="I41" s="88"/>
    </row>
    <row r="42" spans="1:9">
      <c r="A42" s="86"/>
      <c r="B42" s="77"/>
      <c r="C42" s="77"/>
      <c r="D42" s="77"/>
      <c r="E42" s="77"/>
      <c r="F42" s="77"/>
      <c r="G42" s="77"/>
      <c r="H42" s="77"/>
      <c r="I42" s="77"/>
    </row>
    <row r="43" spans="1:9">
      <c r="A43" s="85" t="s">
        <v>209</v>
      </c>
      <c r="B43" s="77">
        <v>10</v>
      </c>
      <c r="C43" s="77">
        <v>8</v>
      </c>
      <c r="D43" s="77">
        <v>0</v>
      </c>
      <c r="E43" s="77"/>
      <c r="F43" s="77">
        <v>10.4</v>
      </c>
      <c r="G43" s="77"/>
      <c r="H43" s="77" t="s">
        <v>210</v>
      </c>
      <c r="I43" s="77"/>
    </row>
    <row r="44" spans="1:9">
      <c r="A44" s="87" t="s">
        <v>13</v>
      </c>
      <c r="B44" s="88"/>
      <c r="C44" s="88"/>
      <c r="D44" s="88"/>
      <c r="E44" s="88"/>
      <c r="F44" s="88">
        <v>10.4</v>
      </c>
      <c r="G44" s="88">
        <v>0</v>
      </c>
      <c r="H44" s="88" t="s">
        <v>175</v>
      </c>
      <c r="I44" s="88"/>
    </row>
    <row r="45" spans="1:9">
      <c r="A45" s="86"/>
      <c r="B45" s="77"/>
      <c r="C45" s="77"/>
      <c r="D45" s="77"/>
      <c r="E45" s="77"/>
      <c r="F45" s="77"/>
      <c r="G45" s="77"/>
      <c r="H45" s="77"/>
      <c r="I45" s="77"/>
    </row>
    <row r="46" spans="1:9">
      <c r="A46" s="85" t="s">
        <v>211</v>
      </c>
      <c r="B46" s="77">
        <v>41</v>
      </c>
      <c r="C46" s="77">
        <v>12</v>
      </c>
      <c r="D46" s="77">
        <v>2.5</v>
      </c>
      <c r="E46" s="77"/>
      <c r="F46" s="77">
        <v>41.61</v>
      </c>
      <c r="G46" s="77"/>
      <c r="H46" s="77" t="s">
        <v>212</v>
      </c>
      <c r="I46" s="77"/>
    </row>
    <row r="47" spans="1:9">
      <c r="A47" s="87" t="s">
        <v>14</v>
      </c>
      <c r="B47" s="88"/>
      <c r="C47" s="88"/>
      <c r="D47" s="88"/>
      <c r="E47" s="88"/>
      <c r="F47" s="88">
        <v>41.61</v>
      </c>
      <c r="G47" s="88">
        <v>0</v>
      </c>
      <c r="H47" s="88" t="s">
        <v>175</v>
      </c>
      <c r="I47" s="88"/>
    </row>
    <row r="48" spans="1:9">
      <c r="A48" s="86"/>
      <c r="B48" s="77"/>
      <c r="C48" s="77"/>
      <c r="D48" s="77"/>
      <c r="E48" s="77"/>
      <c r="F48" s="77"/>
      <c r="G48" s="77"/>
      <c r="H48" s="77"/>
      <c r="I48" s="77"/>
    </row>
    <row r="49" spans="1:9">
      <c r="A49" s="85" t="s">
        <v>213</v>
      </c>
      <c r="B49" s="77">
        <v>0</v>
      </c>
      <c r="C49" s="77">
        <v>1</v>
      </c>
      <c r="D49" s="77">
        <v>0</v>
      </c>
      <c r="E49" s="77"/>
      <c r="F49" s="77">
        <v>0.05</v>
      </c>
      <c r="G49" s="77"/>
      <c r="H49" s="77" t="s">
        <v>214</v>
      </c>
      <c r="I49" s="77"/>
    </row>
    <row r="50" spans="1:9">
      <c r="A50" s="86" t="s">
        <v>213</v>
      </c>
      <c r="B50" s="77">
        <v>0</v>
      </c>
      <c r="C50" s="77">
        <v>0</v>
      </c>
      <c r="D50" s="77">
        <v>2</v>
      </c>
      <c r="E50" s="77"/>
      <c r="F50" s="77">
        <v>0.01</v>
      </c>
      <c r="G50" s="77"/>
      <c r="H50" s="77" t="s">
        <v>215</v>
      </c>
      <c r="I50" s="77"/>
    </row>
    <row r="51" spans="1:9">
      <c r="A51" s="86" t="s">
        <v>213</v>
      </c>
      <c r="B51" s="77">
        <v>0</v>
      </c>
      <c r="C51" s="77">
        <v>1</v>
      </c>
      <c r="D51" s="77">
        <v>0</v>
      </c>
      <c r="E51" s="77"/>
      <c r="F51" s="77">
        <v>0.05</v>
      </c>
      <c r="G51" s="77"/>
      <c r="H51" s="77" t="s">
        <v>216</v>
      </c>
      <c r="I51" s="77"/>
    </row>
    <row r="52" spans="1:9">
      <c r="A52" s="86" t="s">
        <v>213</v>
      </c>
      <c r="B52" s="77">
        <v>0</v>
      </c>
      <c r="C52" s="77">
        <v>0</v>
      </c>
      <c r="D52" s="77">
        <v>2</v>
      </c>
      <c r="E52" s="77"/>
      <c r="F52" s="77">
        <v>0.01</v>
      </c>
      <c r="G52" s="77"/>
      <c r="H52" s="77" t="s">
        <v>217</v>
      </c>
      <c r="I52" s="77"/>
    </row>
    <row r="53" spans="1:9">
      <c r="A53" s="86" t="s">
        <v>213</v>
      </c>
      <c r="B53" s="77">
        <v>0</v>
      </c>
      <c r="C53" s="77">
        <v>0</v>
      </c>
      <c r="D53" s="77">
        <v>2</v>
      </c>
      <c r="E53" s="77"/>
      <c r="F53" s="77">
        <v>0.01</v>
      </c>
      <c r="G53" s="77"/>
      <c r="H53" s="77" t="s">
        <v>218</v>
      </c>
      <c r="I53" s="77"/>
    </row>
    <row r="54" spans="1:9">
      <c r="A54" s="86" t="s">
        <v>213</v>
      </c>
      <c r="B54" s="77">
        <v>0</v>
      </c>
      <c r="C54" s="77">
        <v>1</v>
      </c>
      <c r="D54" s="77">
        <v>0</v>
      </c>
      <c r="E54" s="77"/>
      <c r="F54" s="77">
        <v>0.05</v>
      </c>
      <c r="G54" s="77"/>
      <c r="H54" s="77" t="s">
        <v>219</v>
      </c>
      <c r="I54" s="77"/>
    </row>
    <row r="55" spans="1:9">
      <c r="A55" s="86" t="s">
        <v>213</v>
      </c>
      <c r="B55" s="77">
        <v>0</v>
      </c>
      <c r="C55" s="77">
        <v>0</v>
      </c>
      <c r="D55" s="77">
        <v>8</v>
      </c>
      <c r="E55" s="77"/>
      <c r="F55" s="77">
        <v>0.03</v>
      </c>
      <c r="G55" s="77"/>
      <c r="H55" s="77" t="s">
        <v>220</v>
      </c>
      <c r="I55" s="77"/>
    </row>
    <row r="56" spans="1:9">
      <c r="A56" s="86" t="s">
        <v>213</v>
      </c>
      <c r="B56" s="77">
        <v>0</v>
      </c>
      <c r="C56" s="77">
        <v>2</v>
      </c>
      <c r="D56" s="77">
        <v>0</v>
      </c>
      <c r="E56" s="77"/>
      <c r="F56" s="77">
        <v>0.1</v>
      </c>
      <c r="G56" s="77"/>
      <c r="H56" s="77" t="s">
        <v>221</v>
      </c>
      <c r="I56" s="77"/>
    </row>
    <row r="57" spans="1:9">
      <c r="A57" s="87" t="s">
        <v>222</v>
      </c>
      <c r="B57" s="88"/>
      <c r="C57" s="88"/>
      <c r="D57" s="88"/>
      <c r="E57" s="88"/>
      <c r="F57" s="88">
        <v>0.21</v>
      </c>
      <c r="G57" s="88">
        <v>0.11</v>
      </c>
      <c r="H57" s="88" t="s">
        <v>175</v>
      </c>
      <c r="I57" s="88"/>
    </row>
    <row r="58" spans="1:9">
      <c r="A58" s="86"/>
      <c r="B58" s="77"/>
      <c r="C58" s="77"/>
      <c r="D58" s="77"/>
      <c r="E58" s="77"/>
      <c r="F58" s="77"/>
      <c r="G58" s="77"/>
      <c r="H58" s="77"/>
      <c r="I58" s="77"/>
    </row>
    <row r="59" spans="1:9">
      <c r="A59" s="85" t="s">
        <v>223</v>
      </c>
      <c r="B59" s="77">
        <v>1</v>
      </c>
      <c r="C59" s="77">
        <v>8</v>
      </c>
      <c r="D59" s="77">
        <v>9.5</v>
      </c>
      <c r="E59" s="77"/>
      <c r="F59" s="77">
        <v>1.44</v>
      </c>
      <c r="G59" s="77"/>
      <c r="H59" s="77" t="s">
        <v>224</v>
      </c>
      <c r="I59" s="77"/>
    </row>
    <row r="60" spans="1:9">
      <c r="A60" s="86" t="s">
        <v>223</v>
      </c>
      <c r="B60" s="77">
        <v>0</v>
      </c>
      <c r="C60" s="77">
        <v>0</v>
      </c>
      <c r="D60" s="77">
        <v>0</v>
      </c>
      <c r="E60" s="77"/>
      <c r="F60" s="77">
        <v>0</v>
      </c>
      <c r="G60" s="77"/>
      <c r="H60" s="77" t="s">
        <v>225</v>
      </c>
      <c r="I60" s="77"/>
    </row>
    <row r="61" spans="1:9">
      <c r="A61" s="86" t="s">
        <v>223</v>
      </c>
      <c r="B61" s="77">
        <v>0</v>
      </c>
      <c r="C61" s="77">
        <v>0</v>
      </c>
      <c r="D61" s="77">
        <v>6</v>
      </c>
      <c r="E61" s="77"/>
      <c r="F61" s="77">
        <v>0.03</v>
      </c>
      <c r="G61" s="77"/>
      <c r="H61" s="77" t="s">
        <v>226</v>
      </c>
      <c r="I61" s="77"/>
    </row>
    <row r="62" spans="1:9">
      <c r="A62" s="86" t="s">
        <v>223</v>
      </c>
      <c r="B62" s="77">
        <v>0</v>
      </c>
      <c r="C62" s="77">
        <v>2</v>
      </c>
      <c r="D62" s="77">
        <v>10.5</v>
      </c>
      <c r="E62" s="77"/>
      <c r="F62" s="77">
        <v>0.14000000000000001</v>
      </c>
      <c r="G62" s="77"/>
      <c r="H62" s="77" t="s">
        <v>227</v>
      </c>
      <c r="I62" s="77"/>
    </row>
    <row r="63" spans="1:9">
      <c r="A63" s="86" t="s">
        <v>223</v>
      </c>
      <c r="B63" s="77">
        <v>0</v>
      </c>
      <c r="C63" s="77">
        <v>1</v>
      </c>
      <c r="D63" s="77">
        <v>0</v>
      </c>
      <c r="E63" s="77"/>
      <c r="F63" s="77">
        <v>0.05</v>
      </c>
      <c r="G63" s="77"/>
      <c r="H63" s="77" t="s">
        <v>228</v>
      </c>
      <c r="I63" s="77"/>
    </row>
    <row r="64" spans="1:9">
      <c r="A64" s="86" t="s">
        <v>223</v>
      </c>
      <c r="B64" s="77">
        <v>0</v>
      </c>
      <c r="C64" s="77">
        <v>5</v>
      </c>
      <c r="D64" s="77">
        <v>0</v>
      </c>
      <c r="E64" s="77"/>
      <c r="F64" s="77">
        <v>0.25</v>
      </c>
      <c r="G64" s="77"/>
      <c r="H64" s="77" t="s">
        <v>229</v>
      </c>
      <c r="I64" s="77"/>
    </row>
    <row r="65" spans="1:9">
      <c r="A65" s="86" t="s">
        <v>223</v>
      </c>
      <c r="B65" s="77">
        <v>0</v>
      </c>
      <c r="C65" s="77">
        <v>1</v>
      </c>
      <c r="D65" s="77">
        <v>0</v>
      </c>
      <c r="E65" s="77"/>
      <c r="F65" s="77">
        <v>0.05</v>
      </c>
      <c r="G65" s="77"/>
      <c r="H65" s="77" t="s">
        <v>230</v>
      </c>
      <c r="I65" s="77"/>
    </row>
    <row r="66" spans="1:9">
      <c r="A66" s="86" t="s">
        <v>223</v>
      </c>
      <c r="B66" s="77">
        <v>0</v>
      </c>
      <c r="C66" s="77">
        <v>0</v>
      </c>
      <c r="D66" s="77">
        <v>0</v>
      </c>
      <c r="E66" s="77"/>
      <c r="F66" s="77">
        <v>0</v>
      </c>
      <c r="G66" s="77"/>
      <c r="H66" s="77" t="s">
        <v>231</v>
      </c>
      <c r="I66" s="77"/>
    </row>
    <row r="67" spans="1:9">
      <c r="A67" s="86" t="s">
        <v>223</v>
      </c>
      <c r="B67" s="77">
        <v>0</v>
      </c>
      <c r="C67" s="77">
        <v>0</v>
      </c>
      <c r="D67" s="77">
        <v>0</v>
      </c>
      <c r="E67" s="77"/>
      <c r="F67" s="77">
        <v>0</v>
      </c>
      <c r="G67" s="77"/>
      <c r="H67" s="77" t="s">
        <v>232</v>
      </c>
      <c r="I67" s="77"/>
    </row>
    <row r="68" spans="1:9">
      <c r="A68" s="86" t="s">
        <v>223</v>
      </c>
      <c r="B68" s="77">
        <v>0</v>
      </c>
      <c r="C68" s="77">
        <v>6</v>
      </c>
      <c r="D68" s="77">
        <v>8</v>
      </c>
      <c r="E68" s="77"/>
      <c r="F68" s="77">
        <v>0.33</v>
      </c>
      <c r="G68" s="77"/>
      <c r="H68" s="77" t="s">
        <v>233</v>
      </c>
      <c r="I68" s="77"/>
    </row>
    <row r="69" spans="1:9">
      <c r="A69" s="86" t="s">
        <v>223</v>
      </c>
      <c r="B69" s="77">
        <v>0</v>
      </c>
      <c r="C69" s="77">
        <v>4</v>
      </c>
      <c r="D69" s="77">
        <v>3</v>
      </c>
      <c r="E69" s="77"/>
      <c r="F69" s="77">
        <v>0.21</v>
      </c>
      <c r="G69" s="77"/>
      <c r="H69" s="77" t="s">
        <v>234</v>
      </c>
      <c r="I69" s="77"/>
    </row>
    <row r="70" spans="1:9">
      <c r="A70" s="86" t="s">
        <v>223</v>
      </c>
      <c r="B70" s="77">
        <v>0</v>
      </c>
      <c r="C70" s="77">
        <v>1</v>
      </c>
      <c r="D70" s="77">
        <v>0</v>
      </c>
      <c r="E70" s="77"/>
      <c r="F70" s="77">
        <v>0.05</v>
      </c>
      <c r="G70" s="77"/>
      <c r="H70" s="77" t="s">
        <v>235</v>
      </c>
      <c r="I70" s="77"/>
    </row>
    <row r="71" spans="1:9">
      <c r="A71" s="86" t="s">
        <v>223</v>
      </c>
      <c r="B71" s="77">
        <v>0</v>
      </c>
      <c r="C71" s="77">
        <v>0</v>
      </c>
      <c r="D71" s="77">
        <v>5</v>
      </c>
      <c r="E71" s="77"/>
      <c r="F71" s="77">
        <v>0.02</v>
      </c>
      <c r="G71" s="77"/>
      <c r="H71" s="77" t="s">
        <v>236</v>
      </c>
      <c r="I71" s="77"/>
    </row>
    <row r="72" spans="1:9">
      <c r="A72" s="86" t="s">
        <v>223</v>
      </c>
      <c r="B72" s="77">
        <v>0</v>
      </c>
      <c r="C72" s="77">
        <v>5</v>
      </c>
      <c r="D72" s="77">
        <v>4</v>
      </c>
      <c r="E72" s="77"/>
      <c r="F72" s="77">
        <v>0.27</v>
      </c>
      <c r="G72" s="77"/>
      <c r="H72" s="77" t="s">
        <v>237</v>
      </c>
      <c r="I72" s="77"/>
    </row>
    <row r="73" spans="1:9">
      <c r="A73" s="86" t="s">
        <v>223</v>
      </c>
      <c r="B73" s="77">
        <v>0</v>
      </c>
      <c r="C73" s="77">
        <v>8</v>
      </c>
      <c r="D73" s="77">
        <v>4</v>
      </c>
      <c r="E73" s="77"/>
      <c r="F73" s="77">
        <v>0.42</v>
      </c>
      <c r="G73" s="77"/>
      <c r="H73" s="77" t="s">
        <v>238</v>
      </c>
      <c r="I73" s="77"/>
    </row>
    <row r="74" spans="1:9">
      <c r="A74" s="86" t="s">
        <v>223</v>
      </c>
      <c r="B74" s="77">
        <v>0</v>
      </c>
      <c r="C74" s="77">
        <v>18</v>
      </c>
      <c r="D74" s="77">
        <v>8</v>
      </c>
      <c r="E74" s="77"/>
      <c r="F74" s="77">
        <v>0.93</v>
      </c>
      <c r="G74" s="77"/>
      <c r="H74" s="77" t="s">
        <v>239</v>
      </c>
      <c r="I74" s="77"/>
    </row>
    <row r="75" spans="1:9">
      <c r="A75" s="86" t="s">
        <v>223</v>
      </c>
      <c r="B75" s="77">
        <v>0</v>
      </c>
      <c r="C75" s="77">
        <v>2</v>
      </c>
      <c r="D75" s="77">
        <v>4.5</v>
      </c>
      <c r="E75" s="77"/>
      <c r="F75" s="77">
        <v>0.12</v>
      </c>
      <c r="G75" s="77"/>
      <c r="H75" s="77" t="s">
        <v>240</v>
      </c>
      <c r="I75" s="77"/>
    </row>
    <row r="76" spans="1:9">
      <c r="A76" s="86" t="s">
        <v>223</v>
      </c>
      <c r="B76" s="77">
        <v>3</v>
      </c>
      <c r="C76" s="77">
        <v>5</v>
      </c>
      <c r="D76" s="77">
        <v>8</v>
      </c>
      <c r="E76" s="77"/>
      <c r="F76" s="77">
        <v>3.28</v>
      </c>
      <c r="G76" s="77"/>
      <c r="H76" s="77" t="s">
        <v>241</v>
      </c>
      <c r="I76" s="77"/>
    </row>
    <row r="77" spans="1:9">
      <c r="A77" s="86" t="s">
        <v>223</v>
      </c>
      <c r="B77" s="77">
        <v>3</v>
      </c>
      <c r="C77" s="77">
        <v>16</v>
      </c>
      <c r="D77" s="77">
        <v>3</v>
      </c>
      <c r="E77" s="77"/>
      <c r="F77" s="77">
        <v>3.81</v>
      </c>
      <c r="G77" s="77"/>
      <c r="H77" s="77" t="s">
        <v>242</v>
      </c>
      <c r="I77" s="77"/>
    </row>
    <row r="78" spans="1:9">
      <c r="A78" s="86" t="s">
        <v>223</v>
      </c>
      <c r="B78" s="77">
        <v>0</v>
      </c>
      <c r="C78" s="77">
        <v>0</v>
      </c>
      <c r="D78" s="77">
        <v>0</v>
      </c>
      <c r="E78" s="77"/>
      <c r="F78" s="77">
        <v>0</v>
      </c>
      <c r="G78" s="77"/>
      <c r="H78" s="77" t="s">
        <v>243</v>
      </c>
      <c r="I78" s="77"/>
    </row>
    <row r="79" spans="1:9">
      <c r="A79" s="86" t="s">
        <v>223</v>
      </c>
      <c r="B79" s="77">
        <v>1</v>
      </c>
      <c r="C79" s="77">
        <v>10</v>
      </c>
      <c r="D79" s="77">
        <v>0</v>
      </c>
      <c r="E79" s="77"/>
      <c r="F79" s="77">
        <v>1.5</v>
      </c>
      <c r="G79" s="77"/>
      <c r="H79" s="77" t="s">
        <v>244</v>
      </c>
      <c r="I79" s="77"/>
    </row>
    <row r="80" spans="1:9">
      <c r="A80" s="86" t="s">
        <v>223</v>
      </c>
      <c r="B80" s="77">
        <v>5</v>
      </c>
      <c r="C80" s="77">
        <v>12</v>
      </c>
      <c r="D80" s="77">
        <v>6</v>
      </c>
      <c r="E80" s="77"/>
      <c r="F80" s="77">
        <v>5.62</v>
      </c>
      <c r="G80" s="77"/>
      <c r="H80" s="77" t="s">
        <v>245</v>
      </c>
      <c r="I80" s="77"/>
    </row>
    <row r="81" spans="1:9">
      <c r="A81" s="86" t="s">
        <v>223</v>
      </c>
      <c r="B81" s="77">
        <v>6</v>
      </c>
      <c r="C81" s="77">
        <v>0</v>
      </c>
      <c r="D81" s="77">
        <v>0</v>
      </c>
      <c r="E81" s="77"/>
      <c r="F81" s="77">
        <v>6</v>
      </c>
      <c r="G81" s="77"/>
      <c r="H81" s="77" t="s">
        <v>246</v>
      </c>
      <c r="I81" s="77"/>
    </row>
    <row r="82" spans="1:9">
      <c r="A82" s="86" t="s">
        <v>223</v>
      </c>
      <c r="B82" s="77">
        <v>5</v>
      </c>
      <c r="C82" s="77">
        <v>6</v>
      </c>
      <c r="D82" s="77">
        <v>8</v>
      </c>
      <c r="E82" s="77"/>
      <c r="F82" s="77">
        <v>5.33</v>
      </c>
      <c r="G82" s="77"/>
      <c r="H82" s="77" t="s">
        <v>247</v>
      </c>
      <c r="I82" s="77"/>
    </row>
    <row r="83" spans="1:9">
      <c r="A83" s="86" t="s">
        <v>223</v>
      </c>
      <c r="B83" s="77">
        <v>0</v>
      </c>
      <c r="C83" s="77">
        <v>5</v>
      </c>
      <c r="D83" s="77">
        <v>0</v>
      </c>
      <c r="E83" s="77"/>
      <c r="F83" s="77">
        <v>0.25</v>
      </c>
      <c r="G83" s="77"/>
      <c r="H83" s="77" t="s">
        <v>248</v>
      </c>
      <c r="I83" s="77"/>
    </row>
    <row r="84" spans="1:9">
      <c r="A84" s="86" t="s">
        <v>223</v>
      </c>
      <c r="B84" s="77">
        <v>0</v>
      </c>
      <c r="C84" s="77">
        <v>0</v>
      </c>
      <c r="D84" s="77">
        <v>0</v>
      </c>
      <c r="E84" s="77"/>
      <c r="F84" s="77">
        <v>0</v>
      </c>
      <c r="G84" s="77"/>
      <c r="H84" s="77" t="s">
        <v>249</v>
      </c>
      <c r="I84" s="77"/>
    </row>
    <row r="85" spans="1:9">
      <c r="A85" s="86" t="s">
        <v>223</v>
      </c>
      <c r="B85" s="77">
        <v>0</v>
      </c>
      <c r="C85" s="77">
        <v>0</v>
      </c>
      <c r="D85" s="77">
        <v>0</v>
      </c>
      <c r="E85" s="77"/>
      <c r="F85" s="77">
        <v>0</v>
      </c>
      <c r="G85" s="77"/>
      <c r="H85" s="77" t="s">
        <v>250</v>
      </c>
      <c r="I85" s="77"/>
    </row>
    <row r="86" spans="1:9">
      <c r="A86" s="86" t="s">
        <v>223</v>
      </c>
      <c r="B86" s="77">
        <v>0</v>
      </c>
      <c r="C86" s="77">
        <v>0</v>
      </c>
      <c r="D86" s="77">
        <v>0</v>
      </c>
      <c r="E86" s="77"/>
      <c r="F86" s="77">
        <v>0</v>
      </c>
      <c r="G86" s="77"/>
      <c r="H86" s="77" t="s">
        <v>251</v>
      </c>
      <c r="I86" s="77"/>
    </row>
    <row r="87" spans="1:9">
      <c r="A87" s="86" t="s">
        <v>223</v>
      </c>
      <c r="B87" s="77">
        <v>1</v>
      </c>
      <c r="C87" s="77">
        <v>0</v>
      </c>
      <c r="D87" s="77">
        <v>0</v>
      </c>
      <c r="E87" s="77"/>
      <c r="F87" s="77">
        <v>1</v>
      </c>
      <c r="G87" s="77"/>
      <c r="H87" s="77" t="s">
        <v>252</v>
      </c>
      <c r="I87" s="77"/>
    </row>
    <row r="88" spans="1:9">
      <c r="A88" s="86" t="s">
        <v>223</v>
      </c>
      <c r="B88" s="77">
        <v>31</v>
      </c>
      <c r="C88" s="77">
        <v>0</v>
      </c>
      <c r="D88" s="77">
        <v>9</v>
      </c>
      <c r="E88" s="77"/>
      <c r="F88" s="77">
        <v>31.04</v>
      </c>
      <c r="G88" s="77"/>
      <c r="H88" s="77" t="s">
        <v>253</v>
      </c>
      <c r="I88" s="77"/>
    </row>
    <row r="89" spans="1:9">
      <c r="A89" s="87" t="s">
        <v>254</v>
      </c>
      <c r="B89" s="88"/>
      <c r="C89" s="88"/>
      <c r="D89" s="88"/>
      <c r="E89" s="88"/>
      <c r="F89" s="88">
        <v>31.1</v>
      </c>
      <c r="G89" s="88">
        <v>0.06</v>
      </c>
      <c r="H89" s="88" t="s">
        <v>175</v>
      </c>
      <c r="I89" s="88"/>
    </row>
    <row r="90" spans="1:9">
      <c r="A90" s="86"/>
      <c r="B90" s="77"/>
      <c r="C90" s="77"/>
      <c r="D90" s="77"/>
      <c r="E90" s="77"/>
      <c r="F90" s="77"/>
      <c r="G90" s="77"/>
      <c r="H90" s="77"/>
      <c r="I90" s="77"/>
    </row>
    <row r="91" spans="1:9">
      <c r="A91" s="85" t="s">
        <v>255</v>
      </c>
      <c r="B91" s="77">
        <v>0</v>
      </c>
      <c r="C91" s="77">
        <v>7</v>
      </c>
      <c r="D91" s="77">
        <v>10</v>
      </c>
      <c r="E91" s="77"/>
      <c r="F91" s="77">
        <v>0.39</v>
      </c>
      <c r="G91" s="77"/>
      <c r="H91" s="77" t="s">
        <v>256</v>
      </c>
      <c r="I91" s="77"/>
    </row>
    <row r="92" spans="1:9">
      <c r="A92" s="86" t="s">
        <v>255</v>
      </c>
      <c r="B92" s="77">
        <v>0</v>
      </c>
      <c r="C92" s="77">
        <v>7</v>
      </c>
      <c r="D92" s="77">
        <v>6</v>
      </c>
      <c r="E92" s="77"/>
      <c r="F92" s="77">
        <v>0.38</v>
      </c>
      <c r="G92" s="77"/>
      <c r="H92" s="77" t="s">
        <v>257</v>
      </c>
      <c r="I92" s="77"/>
    </row>
    <row r="93" spans="1:9">
      <c r="A93" s="86" t="s">
        <v>255</v>
      </c>
      <c r="B93" s="77">
        <v>0</v>
      </c>
      <c r="C93" s="77">
        <v>16</v>
      </c>
      <c r="D93" s="77">
        <v>8</v>
      </c>
      <c r="E93" s="77"/>
      <c r="F93" s="77">
        <v>0.83</v>
      </c>
      <c r="G93" s="77"/>
      <c r="H93" s="77" t="s">
        <v>258</v>
      </c>
      <c r="I93" s="77"/>
    </row>
    <row r="94" spans="1:9">
      <c r="A94" s="86" t="s">
        <v>255</v>
      </c>
      <c r="B94" s="77">
        <v>0</v>
      </c>
      <c r="C94" s="77">
        <v>12</v>
      </c>
      <c r="D94" s="77">
        <v>0</v>
      </c>
      <c r="E94" s="77"/>
      <c r="F94" s="77">
        <v>0.6</v>
      </c>
      <c r="G94" s="77"/>
      <c r="H94" s="77" t="s">
        <v>259</v>
      </c>
      <c r="I94" s="77"/>
    </row>
    <row r="95" spans="1:9">
      <c r="A95" s="86" t="s">
        <v>255</v>
      </c>
      <c r="B95" s="77">
        <v>0</v>
      </c>
      <c r="C95" s="77">
        <v>2</v>
      </c>
      <c r="D95" s="77">
        <v>8</v>
      </c>
      <c r="E95" s="77"/>
      <c r="F95" s="77">
        <v>0.13</v>
      </c>
      <c r="G95" s="77"/>
      <c r="H95" s="77" t="s">
        <v>260</v>
      </c>
      <c r="I95" s="77"/>
    </row>
    <row r="96" spans="1:9">
      <c r="A96" s="86" t="s">
        <v>255</v>
      </c>
      <c r="B96" s="77">
        <v>0</v>
      </c>
      <c r="C96" s="77">
        <v>4</v>
      </c>
      <c r="D96" s="77">
        <v>0</v>
      </c>
      <c r="E96" s="77"/>
      <c r="F96" s="77">
        <v>0.2</v>
      </c>
      <c r="G96" s="77"/>
      <c r="H96" s="77" t="s">
        <v>261</v>
      </c>
      <c r="I96" s="77"/>
    </row>
    <row r="97" spans="1:9">
      <c r="A97" s="86" t="s">
        <v>255</v>
      </c>
      <c r="B97" s="77">
        <v>0</v>
      </c>
      <c r="C97" s="77">
        <v>5</v>
      </c>
      <c r="D97" s="77">
        <v>0</v>
      </c>
      <c r="E97" s="77"/>
      <c r="F97" s="77">
        <v>0.25</v>
      </c>
      <c r="G97" s="77"/>
      <c r="H97" s="77" t="s">
        <v>262</v>
      </c>
      <c r="I97" s="77"/>
    </row>
    <row r="98" spans="1:9">
      <c r="A98" s="86" t="s">
        <v>255</v>
      </c>
      <c r="B98" s="77">
        <v>0</v>
      </c>
      <c r="C98" s="77">
        <v>19</v>
      </c>
      <c r="D98" s="77">
        <v>6</v>
      </c>
      <c r="E98" s="77"/>
      <c r="F98" s="77">
        <v>0.97</v>
      </c>
      <c r="G98" s="77"/>
      <c r="H98" s="77" t="s">
        <v>263</v>
      </c>
      <c r="I98" s="77"/>
    </row>
    <row r="99" spans="1:9">
      <c r="A99" s="86" t="s">
        <v>255</v>
      </c>
      <c r="B99" s="77">
        <v>3</v>
      </c>
      <c r="C99" s="77">
        <v>14</v>
      </c>
      <c r="D99" s="77">
        <v>8</v>
      </c>
      <c r="E99" s="77"/>
      <c r="F99" s="77">
        <v>3.73</v>
      </c>
      <c r="G99" s="77"/>
      <c r="H99" s="77" t="s">
        <v>264</v>
      </c>
      <c r="I99" s="77"/>
    </row>
    <row r="100" spans="1:9">
      <c r="A100" s="87" t="s">
        <v>265</v>
      </c>
      <c r="B100" s="88"/>
      <c r="C100" s="88"/>
      <c r="D100" s="88"/>
      <c r="E100" s="88"/>
      <c r="F100" s="88">
        <v>3.75</v>
      </c>
      <c r="G100" s="88">
        <v>0.02</v>
      </c>
      <c r="H100" s="88" t="s">
        <v>175</v>
      </c>
      <c r="I100" s="88"/>
    </row>
    <row r="101" spans="1:9">
      <c r="A101" s="86"/>
      <c r="B101" s="77"/>
      <c r="C101" s="77"/>
      <c r="D101" s="77"/>
      <c r="E101" s="77"/>
      <c r="F101" s="77"/>
      <c r="G101" s="77"/>
      <c r="H101" s="77"/>
      <c r="I101" s="77"/>
    </row>
    <row r="102" spans="1:9">
      <c r="A102" s="85" t="s">
        <v>266</v>
      </c>
      <c r="B102" s="77">
        <v>0</v>
      </c>
      <c r="C102" s="77">
        <v>10</v>
      </c>
      <c r="D102" s="77">
        <v>1</v>
      </c>
      <c r="E102" s="77"/>
      <c r="F102" s="77">
        <v>0.5</v>
      </c>
      <c r="G102" s="77"/>
      <c r="H102" s="77" t="s">
        <v>267</v>
      </c>
      <c r="I102" s="77"/>
    </row>
    <row r="103" spans="1:9">
      <c r="A103" s="86" t="s">
        <v>266</v>
      </c>
      <c r="B103" s="77">
        <v>1</v>
      </c>
      <c r="C103" s="77">
        <v>2</v>
      </c>
      <c r="D103" s="77">
        <v>9</v>
      </c>
      <c r="E103" s="77"/>
      <c r="F103" s="77">
        <v>1.1399999999999999</v>
      </c>
      <c r="G103" s="77"/>
      <c r="H103" s="77" t="s">
        <v>268</v>
      </c>
      <c r="I103" s="77"/>
    </row>
    <row r="104" spans="1:9">
      <c r="A104" s="86" t="s">
        <v>266</v>
      </c>
      <c r="B104" s="77">
        <v>0</v>
      </c>
      <c r="C104" s="77">
        <v>12</v>
      </c>
      <c r="D104" s="77">
        <v>8</v>
      </c>
      <c r="E104" s="77"/>
      <c r="F104" s="77">
        <v>0.63</v>
      </c>
      <c r="G104" s="77"/>
      <c r="H104" s="77" t="s">
        <v>269</v>
      </c>
      <c r="I104" s="77"/>
    </row>
    <row r="105" spans="1:9">
      <c r="A105" s="86" t="s">
        <v>266</v>
      </c>
      <c r="B105" s="77">
        <v>0</v>
      </c>
      <c r="C105" s="77">
        <v>10</v>
      </c>
      <c r="D105" s="77">
        <v>8</v>
      </c>
      <c r="E105" s="77"/>
      <c r="F105" s="77">
        <v>0.53</v>
      </c>
      <c r="G105" s="77"/>
      <c r="H105" s="77" t="s">
        <v>270</v>
      </c>
      <c r="I105" s="77"/>
    </row>
    <row r="106" spans="1:9">
      <c r="A106" s="86" t="s">
        <v>266</v>
      </c>
      <c r="B106" s="77">
        <v>1</v>
      </c>
      <c r="C106" s="77">
        <v>3</v>
      </c>
      <c r="D106" s="77">
        <v>6</v>
      </c>
      <c r="E106" s="77"/>
      <c r="F106" s="77">
        <v>1.17</v>
      </c>
      <c r="G106" s="77"/>
      <c r="H106" s="77" t="s">
        <v>271</v>
      </c>
      <c r="I106" s="77"/>
    </row>
    <row r="107" spans="1:9">
      <c r="A107" s="87" t="s">
        <v>272</v>
      </c>
      <c r="B107" s="88">
        <v>3</v>
      </c>
      <c r="C107" s="88">
        <v>19</v>
      </c>
      <c r="D107" s="88">
        <v>8</v>
      </c>
      <c r="E107" s="88"/>
      <c r="F107" s="88">
        <v>3.98</v>
      </c>
      <c r="G107" s="88">
        <v>2.81</v>
      </c>
      <c r="H107" s="88" t="s">
        <v>273</v>
      </c>
      <c r="I107" s="88"/>
    </row>
    <row r="108" spans="1:9">
      <c r="A108" s="18" t="s">
        <v>274</v>
      </c>
      <c r="F108">
        <f>SUMIF(A1:A107,"* total",F1:F107)-SUMIF(A1:A107,"Arrears total",F1:F107)</f>
        <v>148.63</v>
      </c>
    </row>
    <row r="109" spans="1:9">
      <c r="A109" s="18" t="s">
        <v>26</v>
      </c>
      <c r="F109">
        <f>F108+SUMIF(A1:A107,"Arrears total",F1:F107)</f>
        <v>157.51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81"/>
  <sheetViews>
    <sheetView topLeftCell="A36" workbookViewId="0">
      <selection activeCell="F79" sqref="F79"/>
    </sheetView>
  </sheetViews>
  <sheetFormatPr defaultRowHeight="14.5"/>
  <cols>
    <col min="1" max="1" width="34.453125" customWidth="1"/>
    <col min="2" max="2" width="8.81640625" customWidth="1"/>
    <col min="6" max="7" width="8.81640625" customWidth="1"/>
    <col min="8" max="8" width="43" customWidth="1"/>
  </cols>
  <sheetData>
    <row r="1" spans="1:10" ht="15.5">
      <c r="A1" s="76" t="s">
        <v>275</v>
      </c>
      <c r="B1" s="77"/>
      <c r="C1" s="77"/>
      <c r="D1" s="77"/>
      <c r="E1" s="77"/>
      <c r="F1" s="77"/>
      <c r="G1" s="77"/>
      <c r="H1" s="77"/>
    </row>
    <row r="2" spans="1:10" ht="31" customHeight="1">
      <c r="A2" s="89" t="s">
        <v>166</v>
      </c>
      <c r="B2" s="90" t="s">
        <v>167</v>
      </c>
      <c r="C2" s="91" t="s">
        <v>168</v>
      </c>
      <c r="D2" s="91" t="s">
        <v>169</v>
      </c>
      <c r="E2" s="92"/>
      <c r="F2" s="93" t="s">
        <v>1</v>
      </c>
      <c r="G2" s="94" t="s">
        <v>2</v>
      </c>
      <c r="H2" s="95" t="s">
        <v>276</v>
      </c>
      <c r="I2" t="s">
        <v>277</v>
      </c>
      <c r="J2" t="s">
        <v>278</v>
      </c>
    </row>
    <row r="3" spans="1:10">
      <c r="A3" s="86"/>
      <c r="B3" s="77"/>
      <c r="C3" s="77"/>
      <c r="D3" s="77"/>
      <c r="E3" s="77"/>
      <c r="F3" s="77"/>
      <c r="G3" s="77"/>
      <c r="H3" s="77"/>
    </row>
    <row r="4" spans="1:10">
      <c r="A4" s="85" t="s">
        <v>279</v>
      </c>
      <c r="B4" s="77">
        <v>0</v>
      </c>
      <c r="C4" s="77">
        <v>12</v>
      </c>
      <c r="D4" s="77">
        <v>10</v>
      </c>
      <c r="E4" s="77"/>
      <c r="F4" s="77">
        <v>0.64</v>
      </c>
      <c r="G4" s="77"/>
      <c r="H4" s="77" t="s">
        <v>280</v>
      </c>
      <c r="I4" s="28">
        <v>0</v>
      </c>
      <c r="J4" s="28">
        <v>0</v>
      </c>
    </row>
    <row r="5" spans="1:10">
      <c r="A5" s="86" t="s">
        <v>279</v>
      </c>
      <c r="B5" s="77">
        <v>0</v>
      </c>
      <c r="C5" s="77">
        <v>1</v>
      </c>
      <c r="D5" s="77">
        <v>2</v>
      </c>
      <c r="E5" s="77"/>
      <c r="F5" s="77">
        <v>0.06</v>
      </c>
      <c r="G5" s="77"/>
      <c r="H5" s="77" t="s">
        <v>281</v>
      </c>
      <c r="I5" s="28">
        <v>0</v>
      </c>
      <c r="J5" s="28">
        <v>0</v>
      </c>
    </row>
    <row r="6" spans="1:10">
      <c r="A6" s="86" t="s">
        <v>279</v>
      </c>
      <c r="B6" s="77">
        <v>0</v>
      </c>
      <c r="C6" s="77">
        <v>1</v>
      </c>
      <c r="D6" s="77">
        <v>4</v>
      </c>
      <c r="E6" s="77"/>
      <c r="F6" s="77">
        <v>7.0000000000000007E-2</v>
      </c>
      <c r="G6" s="77"/>
      <c r="H6" s="77" t="s">
        <v>282</v>
      </c>
      <c r="I6" s="28">
        <v>0</v>
      </c>
      <c r="J6" s="28">
        <v>0</v>
      </c>
    </row>
    <row r="7" spans="1:10">
      <c r="A7" s="86" t="s">
        <v>279</v>
      </c>
      <c r="B7" s="77">
        <v>0</v>
      </c>
      <c r="C7" s="77">
        <v>0</v>
      </c>
      <c r="D7" s="77">
        <v>6</v>
      </c>
      <c r="E7" s="77"/>
      <c r="F7" s="77">
        <v>0.03</v>
      </c>
      <c r="G7" s="77"/>
      <c r="H7" s="77" t="s">
        <v>283</v>
      </c>
      <c r="I7" s="28">
        <v>0</v>
      </c>
      <c r="J7" s="28">
        <v>0</v>
      </c>
    </row>
    <row r="8" spans="1:10">
      <c r="A8" s="86" t="s">
        <v>279</v>
      </c>
      <c r="B8" s="77">
        <v>0</v>
      </c>
      <c r="C8" s="77">
        <v>0</v>
      </c>
      <c r="D8" s="77">
        <v>4</v>
      </c>
      <c r="E8" s="77"/>
      <c r="F8" s="77">
        <v>0.02</v>
      </c>
      <c r="G8" s="77"/>
      <c r="H8" s="77" t="s">
        <v>284</v>
      </c>
      <c r="I8" s="28">
        <v>0</v>
      </c>
      <c r="J8" s="28">
        <v>0</v>
      </c>
    </row>
    <row r="9" spans="1:10">
      <c r="A9" s="86" t="s">
        <v>279</v>
      </c>
      <c r="B9" s="77">
        <v>0</v>
      </c>
      <c r="C9" s="77">
        <v>0</v>
      </c>
      <c r="D9" s="77">
        <v>8</v>
      </c>
      <c r="E9" s="77"/>
      <c r="F9" s="77">
        <v>0.03</v>
      </c>
      <c r="G9" s="77"/>
      <c r="H9" s="77" t="s">
        <v>285</v>
      </c>
      <c r="I9" s="28"/>
      <c r="J9" s="28"/>
    </row>
    <row r="10" spans="1:10">
      <c r="A10" s="86" t="s">
        <v>279</v>
      </c>
      <c r="B10" s="77">
        <v>0</v>
      </c>
      <c r="C10" s="77">
        <v>1</v>
      </c>
      <c r="D10" s="77">
        <v>6</v>
      </c>
      <c r="E10" s="77"/>
      <c r="F10" s="77">
        <v>0.08</v>
      </c>
      <c r="G10" s="77"/>
      <c r="H10" s="77" t="s">
        <v>286</v>
      </c>
      <c r="I10" s="104">
        <v>0.08</v>
      </c>
      <c r="J10" s="104">
        <v>0.08</v>
      </c>
    </row>
    <row r="11" spans="1:10">
      <c r="A11" s="86" t="s">
        <v>279</v>
      </c>
      <c r="B11" s="77">
        <v>0</v>
      </c>
      <c r="C11" s="77">
        <v>0</v>
      </c>
      <c r="D11" s="77">
        <v>6</v>
      </c>
      <c r="E11" s="77"/>
      <c r="F11" s="77">
        <v>0.03</v>
      </c>
      <c r="G11" s="77"/>
      <c r="H11" s="77" t="s">
        <v>287</v>
      </c>
      <c r="I11" s="104">
        <v>0</v>
      </c>
      <c r="J11" s="104">
        <v>0</v>
      </c>
    </row>
    <row r="12" spans="1:10">
      <c r="A12" s="86" t="s">
        <v>279</v>
      </c>
      <c r="B12" s="77">
        <v>0</v>
      </c>
      <c r="C12" s="77">
        <v>2</v>
      </c>
      <c r="D12" s="77">
        <v>6</v>
      </c>
      <c r="E12" s="77"/>
      <c r="F12" s="77">
        <v>0.12</v>
      </c>
      <c r="G12" s="77"/>
      <c r="H12" s="77" t="s">
        <v>288</v>
      </c>
      <c r="I12" s="104">
        <v>0</v>
      </c>
      <c r="J12" s="104">
        <v>0</v>
      </c>
    </row>
    <row r="13" spans="1:10">
      <c r="A13" s="86" t="s">
        <v>279</v>
      </c>
      <c r="B13" s="77">
        <v>0</v>
      </c>
      <c r="C13" s="77">
        <v>2</v>
      </c>
      <c r="D13" s="77">
        <v>0</v>
      </c>
      <c r="E13" s="77"/>
      <c r="F13" s="77">
        <v>0.1</v>
      </c>
      <c r="G13" s="77"/>
      <c r="H13" s="77" t="s">
        <v>289</v>
      </c>
      <c r="I13" s="28">
        <v>0</v>
      </c>
      <c r="J13" s="28">
        <v>0</v>
      </c>
    </row>
    <row r="14" spans="1:10">
      <c r="A14" s="86" t="s">
        <v>279</v>
      </c>
      <c r="B14" s="77">
        <v>0</v>
      </c>
      <c r="C14" s="77">
        <v>0</v>
      </c>
      <c r="D14" s="77">
        <v>3</v>
      </c>
      <c r="E14" s="77"/>
      <c r="F14" s="77">
        <v>0.01</v>
      </c>
      <c r="G14" s="77"/>
      <c r="H14" s="77" t="s">
        <v>290</v>
      </c>
      <c r="I14" s="28">
        <v>0</v>
      </c>
      <c r="J14" s="28">
        <v>0</v>
      </c>
    </row>
    <row r="15" spans="1:10">
      <c r="A15" s="86" t="s">
        <v>279</v>
      </c>
      <c r="B15" s="77">
        <v>0</v>
      </c>
      <c r="C15" s="77">
        <v>4</v>
      </c>
      <c r="D15" s="77">
        <v>0</v>
      </c>
      <c r="E15" s="77"/>
      <c r="F15" s="77">
        <v>0.2</v>
      </c>
      <c r="G15" s="77"/>
      <c r="H15" s="77" t="s">
        <v>291</v>
      </c>
      <c r="I15" s="28">
        <v>0</v>
      </c>
      <c r="J15" s="28">
        <v>0</v>
      </c>
    </row>
    <row r="16" spans="1:10">
      <c r="A16" s="86" t="s">
        <v>279</v>
      </c>
      <c r="B16" s="77">
        <v>1</v>
      </c>
      <c r="C16" s="77">
        <v>7</v>
      </c>
      <c r="D16" s="77">
        <v>8</v>
      </c>
      <c r="E16" s="77"/>
      <c r="F16" s="77">
        <v>1.38</v>
      </c>
      <c r="G16" s="77"/>
      <c r="H16" s="77" t="s">
        <v>292</v>
      </c>
      <c r="I16" s="28">
        <v>0</v>
      </c>
      <c r="J16" s="28">
        <v>0</v>
      </c>
    </row>
    <row r="17" spans="1:10">
      <c r="A17" s="87" t="s">
        <v>30</v>
      </c>
      <c r="B17" s="88"/>
      <c r="C17" s="88"/>
      <c r="D17" s="88"/>
      <c r="E17" s="88"/>
      <c r="F17" s="88">
        <v>1.39</v>
      </c>
      <c r="G17" s="88">
        <v>0.01</v>
      </c>
      <c r="H17" s="88" t="s">
        <v>175</v>
      </c>
    </row>
    <row r="18" spans="1:10">
      <c r="A18" s="86"/>
      <c r="B18" s="77"/>
      <c r="C18" s="77"/>
      <c r="D18" s="77"/>
      <c r="E18" s="77"/>
      <c r="F18" s="77"/>
      <c r="G18" s="77"/>
      <c r="H18" s="77"/>
    </row>
    <row r="19" spans="1:10">
      <c r="A19" s="85" t="s">
        <v>293</v>
      </c>
      <c r="B19" s="77">
        <v>0</v>
      </c>
      <c r="C19" s="77">
        <v>2</v>
      </c>
      <c r="D19" s="77">
        <v>0</v>
      </c>
      <c r="E19" s="77"/>
      <c r="F19" s="77">
        <v>0.1</v>
      </c>
      <c r="G19" s="77"/>
      <c r="H19" s="77" t="s">
        <v>294</v>
      </c>
    </row>
    <row r="20" spans="1:10">
      <c r="A20" s="86" t="s">
        <v>293</v>
      </c>
      <c r="B20" s="77">
        <v>0</v>
      </c>
      <c r="C20" s="77">
        <v>0</v>
      </c>
      <c r="D20" s="77">
        <v>8</v>
      </c>
      <c r="E20" s="77"/>
      <c r="F20" s="77">
        <v>0.03</v>
      </c>
      <c r="G20" s="77"/>
      <c r="H20" s="77" t="s">
        <v>295</v>
      </c>
    </row>
    <row r="21" spans="1:10">
      <c r="A21" s="86" t="s">
        <v>293</v>
      </c>
      <c r="B21" s="77">
        <v>0</v>
      </c>
      <c r="C21" s="77">
        <v>1</v>
      </c>
      <c r="D21" s="77">
        <v>0</v>
      </c>
      <c r="E21" s="77"/>
      <c r="F21" s="77">
        <v>0.05</v>
      </c>
      <c r="G21" s="77"/>
      <c r="H21" s="77" t="s">
        <v>296</v>
      </c>
    </row>
    <row r="22" spans="1:10">
      <c r="A22" s="86" t="s">
        <v>293</v>
      </c>
      <c r="B22" s="77">
        <v>0</v>
      </c>
      <c r="C22" s="77">
        <v>1</v>
      </c>
      <c r="D22" s="77">
        <v>8</v>
      </c>
      <c r="E22" s="77"/>
      <c r="F22" s="77">
        <v>0.08</v>
      </c>
      <c r="G22" s="77"/>
      <c r="H22" s="77" t="s">
        <v>297</v>
      </c>
    </row>
    <row r="23" spans="1:10">
      <c r="A23" s="86" t="s">
        <v>293</v>
      </c>
      <c r="B23" s="77">
        <v>0</v>
      </c>
      <c r="C23" s="77">
        <v>0</v>
      </c>
      <c r="D23" s="77">
        <v>6</v>
      </c>
      <c r="E23" s="77"/>
      <c r="F23" s="77">
        <v>0.03</v>
      </c>
      <c r="G23" s="77"/>
      <c r="H23" s="77" t="s">
        <v>298</v>
      </c>
    </row>
    <row r="24" spans="1:10">
      <c r="A24" s="86" t="s">
        <v>293</v>
      </c>
      <c r="B24" s="77">
        <v>0</v>
      </c>
      <c r="C24" s="77">
        <v>2</v>
      </c>
      <c r="D24" s="77">
        <v>6</v>
      </c>
      <c r="E24" s="77"/>
      <c r="F24" s="77">
        <v>0.12</v>
      </c>
      <c r="G24" s="77"/>
      <c r="H24" s="77" t="s">
        <v>299</v>
      </c>
    </row>
    <row r="25" spans="1:10">
      <c r="A25" s="86" t="s">
        <v>293</v>
      </c>
      <c r="B25" s="77">
        <v>0</v>
      </c>
      <c r="C25" s="77">
        <v>1</v>
      </c>
      <c r="D25" s="77">
        <v>10</v>
      </c>
      <c r="E25" s="77"/>
      <c r="F25" s="77">
        <v>0.09</v>
      </c>
      <c r="G25" s="77"/>
      <c r="H25" s="77" t="s">
        <v>300</v>
      </c>
    </row>
    <row r="26" spans="1:10">
      <c r="A26" s="86" t="s">
        <v>293</v>
      </c>
      <c r="B26" s="77">
        <v>0</v>
      </c>
      <c r="C26" s="77">
        <v>1</v>
      </c>
      <c r="D26" s="77">
        <v>4</v>
      </c>
      <c r="E26" s="77"/>
      <c r="F26" s="77">
        <v>7.0000000000000007E-2</v>
      </c>
      <c r="G26" s="77"/>
      <c r="H26" s="77" t="s">
        <v>301</v>
      </c>
    </row>
    <row r="27" spans="1:10">
      <c r="A27" s="86" t="s">
        <v>293</v>
      </c>
      <c r="B27" s="77">
        <v>0</v>
      </c>
      <c r="C27" s="77">
        <v>8</v>
      </c>
      <c r="D27" s="77">
        <v>0</v>
      </c>
      <c r="E27" s="77"/>
      <c r="F27" s="77">
        <v>0.4</v>
      </c>
      <c r="G27" s="77"/>
      <c r="H27" s="77" t="s">
        <v>302</v>
      </c>
    </row>
    <row r="28" spans="1:10">
      <c r="A28" s="86" t="s">
        <v>293</v>
      </c>
      <c r="B28" s="77">
        <v>0</v>
      </c>
      <c r="C28" s="77">
        <v>8</v>
      </c>
      <c r="D28" s="77">
        <v>0</v>
      </c>
      <c r="E28" s="77"/>
      <c r="F28" s="77">
        <v>0.4</v>
      </c>
      <c r="G28" s="77"/>
      <c r="H28" s="77" t="s">
        <v>303</v>
      </c>
    </row>
    <row r="29" spans="1:10">
      <c r="A29" s="86" t="s">
        <v>293</v>
      </c>
      <c r="B29" s="77">
        <v>1</v>
      </c>
      <c r="C29" s="77">
        <v>7</v>
      </c>
      <c r="D29" s="77">
        <v>6</v>
      </c>
      <c r="E29" s="77"/>
      <c r="F29" s="77">
        <v>1.38</v>
      </c>
      <c r="G29" s="77"/>
      <c r="H29" s="77" t="s">
        <v>304</v>
      </c>
    </row>
    <row r="30" spans="1:10">
      <c r="A30" s="87" t="s">
        <v>305</v>
      </c>
      <c r="B30" s="88"/>
      <c r="C30" s="88"/>
      <c r="D30" s="88"/>
      <c r="E30" s="88"/>
      <c r="F30" s="88">
        <v>1.37</v>
      </c>
      <c r="G30" s="88">
        <v>-0.01</v>
      </c>
      <c r="H30" s="88" t="s">
        <v>175</v>
      </c>
    </row>
    <row r="31" spans="1:10">
      <c r="A31" s="86"/>
      <c r="B31" s="77"/>
      <c r="C31" s="77"/>
      <c r="D31" s="77"/>
      <c r="E31" s="77"/>
      <c r="F31" s="77"/>
      <c r="G31" s="77"/>
      <c r="H31" s="77"/>
    </row>
    <row r="32" spans="1:10">
      <c r="A32" s="85" t="s">
        <v>306</v>
      </c>
      <c r="B32" s="77">
        <v>1</v>
      </c>
      <c r="C32" s="77">
        <v>15</v>
      </c>
      <c r="D32" s="77">
        <v>0</v>
      </c>
      <c r="E32" s="77"/>
      <c r="F32" s="77">
        <v>1.75</v>
      </c>
      <c r="G32" s="77"/>
      <c r="H32" s="77" t="s">
        <v>307</v>
      </c>
      <c r="I32" s="104">
        <v>1.75</v>
      </c>
      <c r="J32" s="104">
        <v>1.75</v>
      </c>
    </row>
    <row r="33" spans="1:10">
      <c r="A33" s="86" t="s">
        <v>306</v>
      </c>
      <c r="B33" s="77">
        <v>0</v>
      </c>
      <c r="C33" s="77">
        <v>0</v>
      </c>
      <c r="D33" s="77">
        <v>0</v>
      </c>
      <c r="E33" s="77"/>
      <c r="F33" s="77">
        <v>0</v>
      </c>
      <c r="G33" s="77"/>
      <c r="H33" s="77" t="s">
        <v>308</v>
      </c>
      <c r="I33" s="104">
        <v>0</v>
      </c>
      <c r="J33" s="104">
        <v>0</v>
      </c>
    </row>
    <row r="34" spans="1:10">
      <c r="A34" s="86" t="s">
        <v>306</v>
      </c>
      <c r="B34" s="77">
        <v>3</v>
      </c>
      <c r="C34" s="77">
        <v>0</v>
      </c>
      <c r="D34" s="77">
        <v>10</v>
      </c>
      <c r="E34" s="77"/>
      <c r="F34" s="77">
        <v>3.04</v>
      </c>
      <c r="G34" s="77"/>
      <c r="H34" s="77" t="s">
        <v>309</v>
      </c>
      <c r="I34" s="104">
        <v>0</v>
      </c>
      <c r="J34" s="104">
        <v>0</v>
      </c>
    </row>
    <row r="35" spans="1:10">
      <c r="A35" s="86" t="s">
        <v>306</v>
      </c>
      <c r="B35" s="77">
        <v>5</v>
      </c>
      <c r="C35" s="77">
        <v>5</v>
      </c>
      <c r="D35" s="77">
        <v>10</v>
      </c>
      <c r="E35" s="77"/>
      <c r="F35" s="77">
        <v>5.29</v>
      </c>
      <c r="G35" s="77"/>
      <c r="H35" s="77" t="s">
        <v>310</v>
      </c>
      <c r="I35" s="77"/>
      <c r="J35" s="77"/>
    </row>
    <row r="36" spans="1:10">
      <c r="A36" s="87" t="s">
        <v>311</v>
      </c>
      <c r="B36" s="88"/>
      <c r="C36" s="88"/>
      <c r="D36" s="88"/>
      <c r="E36" s="88"/>
      <c r="F36" s="88">
        <v>4.79</v>
      </c>
      <c r="G36" s="88">
        <v>-0.5</v>
      </c>
      <c r="H36" s="88" t="s">
        <v>175</v>
      </c>
    </row>
    <row r="37" spans="1:10">
      <c r="A37" s="86"/>
      <c r="B37" s="77"/>
      <c r="C37" s="77"/>
      <c r="D37" s="77"/>
      <c r="E37" s="77"/>
      <c r="F37" s="77"/>
      <c r="G37" s="77"/>
      <c r="H37" s="77"/>
    </row>
    <row r="38" spans="1:10">
      <c r="A38" s="85" t="s">
        <v>312</v>
      </c>
      <c r="B38" s="77">
        <v>6</v>
      </c>
      <c r="C38" s="77">
        <v>0</v>
      </c>
      <c r="D38" s="77">
        <v>0</v>
      </c>
      <c r="E38" s="77"/>
      <c r="F38" s="77">
        <v>6</v>
      </c>
      <c r="G38" s="77"/>
      <c r="H38" s="77" t="s">
        <v>313</v>
      </c>
    </row>
    <row r="39" spans="1:10">
      <c r="A39" s="86" t="s">
        <v>312</v>
      </c>
      <c r="B39" s="77">
        <v>0</v>
      </c>
      <c r="C39" s="77">
        <v>0</v>
      </c>
      <c r="D39" s="77">
        <v>0</v>
      </c>
      <c r="E39" s="77"/>
      <c r="F39" s="77">
        <v>0</v>
      </c>
      <c r="G39" s="77"/>
      <c r="H39" s="77" t="s">
        <v>314</v>
      </c>
    </row>
    <row r="40" spans="1:10">
      <c r="A40" s="86" t="s">
        <v>312</v>
      </c>
      <c r="B40" s="77">
        <v>0</v>
      </c>
      <c r="C40" s="77">
        <v>3</v>
      </c>
      <c r="D40" s="77">
        <v>4</v>
      </c>
      <c r="E40" s="77"/>
      <c r="F40" s="77">
        <v>0.17</v>
      </c>
      <c r="G40" s="77"/>
      <c r="H40" s="77" t="s">
        <v>315</v>
      </c>
    </row>
    <row r="41" spans="1:10">
      <c r="A41" s="86" t="s">
        <v>312</v>
      </c>
      <c r="B41" s="77">
        <v>0</v>
      </c>
      <c r="C41" s="77">
        <v>6</v>
      </c>
      <c r="D41" s="77">
        <v>0</v>
      </c>
      <c r="E41" s="77"/>
      <c r="F41" s="77">
        <v>0.3</v>
      </c>
      <c r="G41" s="77"/>
      <c r="H41" s="77" t="s">
        <v>316</v>
      </c>
    </row>
    <row r="42" spans="1:10">
      <c r="A42" s="86" t="s">
        <v>312</v>
      </c>
      <c r="B42" s="77">
        <v>0</v>
      </c>
      <c r="C42" s="77">
        <v>1</v>
      </c>
      <c r="D42" s="77">
        <v>0</v>
      </c>
      <c r="E42" s="77"/>
      <c r="F42" s="77">
        <v>0.05</v>
      </c>
      <c r="G42" s="77"/>
      <c r="H42" s="77" t="s">
        <v>317</v>
      </c>
    </row>
    <row r="43" spans="1:10">
      <c r="A43" s="86" t="s">
        <v>312</v>
      </c>
      <c r="B43" s="77">
        <v>6</v>
      </c>
      <c r="C43" s="77">
        <v>12</v>
      </c>
      <c r="D43" s="77">
        <v>4</v>
      </c>
      <c r="E43" s="77"/>
      <c r="F43" s="77">
        <v>6.62</v>
      </c>
      <c r="G43" s="77"/>
      <c r="H43" s="77" t="s">
        <v>318</v>
      </c>
    </row>
    <row r="44" spans="1:10">
      <c r="A44" s="87" t="s">
        <v>319</v>
      </c>
      <c r="B44" s="88"/>
      <c r="C44" s="88"/>
      <c r="D44" s="88"/>
      <c r="E44" s="88"/>
      <c r="F44" s="88">
        <v>6.52</v>
      </c>
      <c r="G44" s="88">
        <v>-0.1</v>
      </c>
      <c r="H44" s="88" t="s">
        <v>175</v>
      </c>
    </row>
    <row r="45" spans="1:10">
      <c r="A45" s="86"/>
      <c r="B45" s="77"/>
      <c r="C45" s="77"/>
      <c r="D45" s="77"/>
      <c r="E45" s="77"/>
      <c r="F45" s="77"/>
      <c r="G45" s="77"/>
      <c r="H45" s="77"/>
    </row>
    <row r="46" spans="1:10">
      <c r="A46" s="85" t="s">
        <v>320</v>
      </c>
      <c r="B46" s="77">
        <v>0</v>
      </c>
      <c r="C46" s="77">
        <v>8</v>
      </c>
      <c r="D46" s="77">
        <v>3</v>
      </c>
      <c r="E46" s="77"/>
      <c r="F46" s="77">
        <v>0.41</v>
      </c>
      <c r="G46" s="77"/>
      <c r="H46" s="77" t="s">
        <v>321</v>
      </c>
    </row>
    <row r="47" spans="1:10">
      <c r="A47" s="86" t="s">
        <v>320</v>
      </c>
      <c r="B47" s="77">
        <v>0</v>
      </c>
      <c r="C47" s="77">
        <v>8</v>
      </c>
      <c r="D47" s="77">
        <v>11</v>
      </c>
      <c r="E47" s="77"/>
      <c r="F47" s="77">
        <v>0.45</v>
      </c>
      <c r="G47" s="77"/>
      <c r="H47" s="77" t="s">
        <v>322</v>
      </c>
    </row>
    <row r="48" spans="1:10">
      <c r="A48" s="86" t="s">
        <v>320</v>
      </c>
      <c r="B48" s="77">
        <v>0</v>
      </c>
      <c r="C48" s="77">
        <v>4</v>
      </c>
      <c r="D48" s="77">
        <v>3.75</v>
      </c>
      <c r="E48" s="77"/>
      <c r="F48" s="77">
        <v>0.22</v>
      </c>
      <c r="G48" s="77"/>
      <c r="H48" s="77" t="s">
        <v>323</v>
      </c>
    </row>
    <row r="49" spans="1:8">
      <c r="A49" s="86" t="s">
        <v>320</v>
      </c>
      <c r="B49" s="77">
        <v>0</v>
      </c>
      <c r="C49" s="77">
        <v>1</v>
      </c>
      <c r="D49" s="77">
        <v>8</v>
      </c>
      <c r="E49" s="77"/>
      <c r="F49" s="77">
        <v>0.08</v>
      </c>
      <c r="G49" s="77"/>
      <c r="H49" s="77" t="s">
        <v>324</v>
      </c>
    </row>
    <row r="50" spans="1:8">
      <c r="A50" s="86" t="s">
        <v>320</v>
      </c>
      <c r="B50" s="77">
        <v>1</v>
      </c>
      <c r="C50" s="77">
        <v>2</v>
      </c>
      <c r="D50" s="77">
        <v>10.75</v>
      </c>
      <c r="E50" s="77"/>
      <c r="F50" s="77">
        <v>1.1399999999999999</v>
      </c>
      <c r="G50" s="77"/>
      <c r="H50" s="77" t="s">
        <v>325</v>
      </c>
    </row>
    <row r="51" spans="1:8">
      <c r="A51" s="87" t="s">
        <v>326</v>
      </c>
      <c r="B51" s="88"/>
      <c r="C51" s="88"/>
      <c r="D51" s="88"/>
      <c r="E51" s="88"/>
      <c r="F51" s="88">
        <v>1.1599999999999999</v>
      </c>
      <c r="G51" s="88">
        <v>0.02</v>
      </c>
      <c r="H51" s="88" t="s">
        <v>175</v>
      </c>
    </row>
    <row r="52" spans="1:8">
      <c r="A52" s="86"/>
      <c r="B52" s="77"/>
      <c r="C52" s="77"/>
      <c r="D52" s="77"/>
      <c r="E52" s="77"/>
      <c r="F52" s="77"/>
      <c r="G52" s="77"/>
      <c r="H52" s="77"/>
    </row>
    <row r="53" spans="1:8">
      <c r="A53" s="85" t="s">
        <v>327</v>
      </c>
      <c r="B53" s="77">
        <v>0</v>
      </c>
      <c r="C53" s="77">
        <v>12</v>
      </c>
      <c r="D53" s="77">
        <v>4</v>
      </c>
      <c r="E53" s="77"/>
      <c r="F53" s="77">
        <v>0.62</v>
      </c>
      <c r="G53" s="77"/>
      <c r="H53" s="77" t="s">
        <v>328</v>
      </c>
    </row>
    <row r="54" spans="1:8">
      <c r="A54" s="86" t="s">
        <v>327</v>
      </c>
      <c r="B54" s="77">
        <v>0</v>
      </c>
      <c r="C54" s="77">
        <v>6</v>
      </c>
      <c r="D54" s="77">
        <v>2</v>
      </c>
      <c r="E54" s="77"/>
      <c r="F54" s="77">
        <v>0.31</v>
      </c>
      <c r="G54" s="77"/>
      <c r="H54" s="77" t="s">
        <v>329</v>
      </c>
    </row>
    <row r="55" spans="1:8">
      <c r="A55" s="86" t="s">
        <v>327</v>
      </c>
      <c r="B55" s="77">
        <v>0</v>
      </c>
      <c r="C55" s="77">
        <v>6</v>
      </c>
      <c r="D55" s="77">
        <v>2</v>
      </c>
      <c r="E55" s="77"/>
      <c r="F55" s="77">
        <v>0.31</v>
      </c>
      <c r="G55" s="77"/>
      <c r="H55" s="77" t="s">
        <v>330</v>
      </c>
    </row>
    <row r="56" spans="1:8">
      <c r="A56" s="86" t="s">
        <v>327</v>
      </c>
      <c r="B56" s="77">
        <v>0</v>
      </c>
      <c r="C56" s="77">
        <v>0</v>
      </c>
      <c r="D56" s="77">
        <v>0</v>
      </c>
      <c r="E56" s="77"/>
      <c r="F56" s="77">
        <v>0</v>
      </c>
      <c r="G56" s="77"/>
      <c r="H56" s="77" t="s">
        <v>331</v>
      </c>
    </row>
    <row r="57" spans="1:8">
      <c r="A57" s="86" t="s">
        <v>327</v>
      </c>
      <c r="B57" s="77">
        <v>0</v>
      </c>
      <c r="C57" s="77">
        <v>3</v>
      </c>
      <c r="D57" s="77">
        <v>4</v>
      </c>
      <c r="E57" s="77"/>
      <c r="F57" s="77">
        <v>0.17</v>
      </c>
      <c r="G57" s="77"/>
      <c r="H57" s="77" t="s">
        <v>332</v>
      </c>
    </row>
    <row r="58" spans="1:8">
      <c r="A58" s="86" t="s">
        <v>327</v>
      </c>
      <c r="B58" s="77">
        <v>1</v>
      </c>
      <c r="C58" s="77">
        <v>8</v>
      </c>
      <c r="D58" s="77">
        <v>0</v>
      </c>
      <c r="E58" s="77"/>
      <c r="F58" s="77">
        <v>1.4</v>
      </c>
      <c r="G58" s="77"/>
      <c r="H58" s="77" t="s">
        <v>333</v>
      </c>
    </row>
    <row r="59" spans="1:8">
      <c r="A59" s="87" t="s">
        <v>334</v>
      </c>
      <c r="B59" s="88"/>
      <c r="C59" s="88"/>
      <c r="D59" s="88"/>
      <c r="E59" s="88"/>
      <c r="F59" s="88">
        <v>1.41</v>
      </c>
      <c r="G59" s="88">
        <v>0.01</v>
      </c>
      <c r="H59" s="88" t="s">
        <v>175</v>
      </c>
    </row>
    <row r="60" spans="1:8">
      <c r="A60" s="86"/>
      <c r="B60" s="77"/>
      <c r="C60" s="77"/>
      <c r="D60" s="77"/>
      <c r="E60" s="77"/>
      <c r="F60" s="77"/>
      <c r="G60" s="77"/>
      <c r="H60" s="77"/>
    </row>
    <row r="61" spans="1:8">
      <c r="A61" s="85" t="s">
        <v>335</v>
      </c>
      <c r="B61" s="77">
        <v>0</v>
      </c>
      <c r="C61" s="77">
        <v>17</v>
      </c>
      <c r="D61" s="77">
        <v>4.5</v>
      </c>
      <c r="E61" s="77"/>
      <c r="F61" s="77">
        <v>0.87</v>
      </c>
      <c r="G61" s="77"/>
      <c r="H61" s="77" t="s">
        <v>336</v>
      </c>
    </row>
    <row r="62" spans="1:8">
      <c r="A62" s="86" t="s">
        <v>335</v>
      </c>
      <c r="B62" s="77">
        <v>0</v>
      </c>
      <c r="C62" s="77">
        <v>17</v>
      </c>
      <c r="D62" s="77">
        <v>4.5</v>
      </c>
      <c r="E62" s="77"/>
      <c r="F62" s="77">
        <v>0.87</v>
      </c>
      <c r="G62" s="77"/>
      <c r="H62" s="77" t="s">
        <v>337</v>
      </c>
    </row>
    <row r="63" spans="1:8">
      <c r="A63" s="87" t="s">
        <v>338</v>
      </c>
      <c r="B63" s="88"/>
      <c r="C63" s="88"/>
      <c r="D63" s="88"/>
      <c r="E63" s="88"/>
      <c r="F63" s="88">
        <v>0.87</v>
      </c>
      <c r="G63" s="88">
        <v>0</v>
      </c>
      <c r="H63" s="88" t="s">
        <v>175</v>
      </c>
    </row>
    <row r="64" spans="1:8">
      <c r="A64" s="86"/>
      <c r="B64" s="77"/>
      <c r="C64" s="77"/>
      <c r="D64" s="77"/>
      <c r="E64" s="77"/>
      <c r="F64" s="77"/>
      <c r="G64" s="77"/>
      <c r="H64" s="77"/>
    </row>
    <row r="65" spans="1:8">
      <c r="A65" s="86" t="s">
        <v>339</v>
      </c>
      <c r="B65" s="77">
        <v>88</v>
      </c>
      <c r="C65" s="77">
        <v>18</v>
      </c>
      <c r="D65" s="77">
        <v>4</v>
      </c>
      <c r="E65" s="77"/>
      <c r="F65" s="77">
        <v>88.92</v>
      </c>
      <c r="G65" s="77"/>
      <c r="H65" s="77" t="s">
        <v>340</v>
      </c>
    </row>
    <row r="66" spans="1:8">
      <c r="A66" s="86" t="s">
        <v>339</v>
      </c>
      <c r="B66" s="77"/>
      <c r="C66" s="77"/>
      <c r="D66" s="77"/>
      <c r="E66" s="77"/>
      <c r="F66" s="77">
        <v>0</v>
      </c>
      <c r="G66" s="77">
        <v>-88.92</v>
      </c>
      <c r="H66" s="77" t="s">
        <v>175</v>
      </c>
    </row>
    <row r="67" spans="1:8">
      <c r="A67" s="86"/>
      <c r="B67" s="77"/>
      <c r="C67" s="77"/>
      <c r="D67" s="77"/>
      <c r="E67" s="77"/>
      <c r="F67" s="77"/>
      <c r="G67" s="77"/>
      <c r="H67" s="77"/>
    </row>
    <row r="68" spans="1:8">
      <c r="A68" s="85" t="s">
        <v>341</v>
      </c>
      <c r="B68" s="77">
        <v>99</v>
      </c>
      <c r="C68" s="77">
        <v>4</v>
      </c>
      <c r="D68" s="77">
        <v>10.75</v>
      </c>
      <c r="E68" s="77"/>
      <c r="F68" s="77">
        <v>99.24</v>
      </c>
      <c r="G68" s="77"/>
      <c r="H68" s="77" t="s">
        <v>342</v>
      </c>
    </row>
    <row r="69" spans="1:8">
      <c r="A69" s="86" t="s">
        <v>341</v>
      </c>
      <c r="B69" s="77"/>
      <c r="C69" s="77"/>
      <c r="D69" s="77"/>
      <c r="E69" s="77"/>
      <c r="F69" s="77">
        <v>99.24</v>
      </c>
      <c r="G69" s="77"/>
      <c r="H69" s="77" t="s">
        <v>175</v>
      </c>
    </row>
    <row r="70" spans="1:8">
      <c r="A70" s="87" t="s">
        <v>343</v>
      </c>
      <c r="B70" s="88">
        <v>4</v>
      </c>
      <c r="C70" s="88">
        <v>16</v>
      </c>
      <c r="D70" s="88">
        <v>6</v>
      </c>
      <c r="E70" s="88"/>
      <c r="F70" s="88">
        <v>4.83</v>
      </c>
      <c r="G70" s="88">
        <v>-94.41</v>
      </c>
      <c r="H70" s="88" t="s">
        <v>344</v>
      </c>
    </row>
    <row r="71" spans="1:8">
      <c r="A71" s="86"/>
      <c r="B71" s="77"/>
      <c r="C71" s="77"/>
      <c r="D71" s="77"/>
      <c r="E71" s="77"/>
      <c r="F71" s="77"/>
      <c r="G71" s="77"/>
      <c r="H71" s="77"/>
    </row>
    <row r="72" spans="1:8">
      <c r="A72" s="85" t="s">
        <v>51</v>
      </c>
      <c r="B72" s="77">
        <v>28</v>
      </c>
      <c r="C72" s="77">
        <v>0</v>
      </c>
      <c r="D72" s="77">
        <v>0</v>
      </c>
      <c r="E72" s="77"/>
      <c r="F72" s="77">
        <v>28</v>
      </c>
      <c r="G72" s="77"/>
      <c r="H72" s="77" t="s">
        <v>345</v>
      </c>
    </row>
    <row r="73" spans="1:8">
      <c r="A73" s="86" t="s">
        <v>51</v>
      </c>
      <c r="B73" s="77">
        <v>28</v>
      </c>
      <c r="C73" s="77">
        <v>0</v>
      </c>
      <c r="D73" s="77">
        <v>0</v>
      </c>
      <c r="E73" s="77"/>
      <c r="F73" s="77">
        <v>28</v>
      </c>
      <c r="G73" s="77"/>
      <c r="H73" s="77" t="s">
        <v>346</v>
      </c>
    </row>
    <row r="74" spans="1:8">
      <c r="A74" s="86" t="s">
        <v>51</v>
      </c>
      <c r="B74" s="77">
        <v>94</v>
      </c>
      <c r="C74" s="77">
        <v>8</v>
      </c>
      <c r="D74" s="77">
        <v>4.75</v>
      </c>
      <c r="E74" s="77"/>
      <c r="F74" s="77">
        <v>94.42</v>
      </c>
      <c r="G74" s="77"/>
      <c r="H74" s="77" t="s">
        <v>347</v>
      </c>
    </row>
    <row r="75" spans="1:8">
      <c r="A75" s="87" t="s">
        <v>348</v>
      </c>
      <c r="B75" s="88"/>
      <c r="C75" s="88"/>
      <c r="D75" s="88"/>
      <c r="E75" s="88"/>
      <c r="F75" s="88">
        <v>28</v>
      </c>
      <c r="G75" s="88">
        <v>-66.42</v>
      </c>
      <c r="H75" s="88" t="s">
        <v>175</v>
      </c>
    </row>
    <row r="77" spans="1:8">
      <c r="A77" s="18" t="s">
        <v>44</v>
      </c>
      <c r="B77">
        <v>88</v>
      </c>
      <c r="C77">
        <v>18</v>
      </c>
      <c r="D77">
        <v>4</v>
      </c>
      <c r="F77">
        <f>F65</f>
        <v>88.92</v>
      </c>
    </row>
    <row r="78" spans="1:8">
      <c r="A78" s="18" t="s">
        <v>45</v>
      </c>
      <c r="F78">
        <f>SUMIF(A1:A64,"* total",F1:F64)</f>
        <v>17.510000000000002</v>
      </c>
    </row>
    <row r="79" spans="1:8">
      <c r="A79" s="18" t="s">
        <v>46</v>
      </c>
      <c r="F79" s="28">
        <f>SUM(I4:I34)</f>
        <v>1.83</v>
      </c>
    </row>
    <row r="80" spans="1:8">
      <c r="A80" s="18" t="s">
        <v>47</v>
      </c>
      <c r="F80" s="28">
        <f>SUM(J4:J34)</f>
        <v>1.83</v>
      </c>
    </row>
    <row r="81" spans="6:6">
      <c r="F81" s="105"/>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28"/>
  <sheetViews>
    <sheetView tabSelected="1" workbookViewId="0">
      <selection activeCell="P35" sqref="P35"/>
    </sheetView>
  </sheetViews>
  <sheetFormatPr defaultRowHeight="14.5"/>
  <cols>
    <col min="1" max="1" width="44.36328125" customWidth="1"/>
    <col min="2" max="2" width="14.36328125" customWidth="1"/>
    <col min="6" max="6" width="9.81640625" customWidth="1"/>
    <col min="7" max="7" width="16.6328125" customWidth="1"/>
    <col min="10" max="10" width="16.1796875" customWidth="1"/>
    <col min="11" max="11" width="11.453125" customWidth="1"/>
    <col min="13" max="13" width="8.453125" customWidth="1"/>
    <col min="14" max="14" width="10.6328125" customWidth="1"/>
    <col min="16" max="16" width="16.6328125" customWidth="1"/>
    <col min="17" max="17" width="17.36328125" customWidth="1"/>
    <col min="19" max="19" width="16.1796875" customWidth="1"/>
    <col min="21" max="21" width="13.1796875" customWidth="1"/>
  </cols>
  <sheetData>
    <row r="1" spans="1:21" ht="15.5" customHeight="1">
      <c r="A1" s="3" t="s">
        <v>349</v>
      </c>
    </row>
    <row r="2" spans="1:21" ht="15.5" customHeight="1">
      <c r="A2" s="3"/>
    </row>
    <row r="3" spans="1:21" ht="17" customHeight="1">
      <c r="A3" s="20"/>
      <c r="B3" s="20"/>
      <c r="C3" s="98" t="s">
        <v>350</v>
      </c>
      <c r="D3" s="99"/>
      <c r="E3" s="99"/>
      <c r="F3" s="99"/>
      <c r="G3" s="100" t="s">
        <v>351</v>
      </c>
      <c r="H3" s="99"/>
      <c r="I3" s="99"/>
      <c r="J3" s="99"/>
      <c r="K3" s="20"/>
      <c r="L3" s="20"/>
      <c r="M3" s="20"/>
      <c r="N3" s="20"/>
      <c r="O3" s="20"/>
      <c r="P3" s="30"/>
      <c r="Q3" s="20"/>
      <c r="R3" s="20"/>
      <c r="S3" s="20"/>
      <c r="T3" s="20"/>
    </row>
    <row r="4" spans="1:21" ht="46.5" customHeight="1">
      <c r="A4" s="23" t="s">
        <v>83</v>
      </c>
      <c r="B4" s="17" t="s">
        <v>352</v>
      </c>
      <c r="C4" s="17" t="s">
        <v>350</v>
      </c>
      <c r="D4" s="3" t="s">
        <v>353</v>
      </c>
      <c r="E4" s="3" t="s">
        <v>354</v>
      </c>
      <c r="F4" s="3" t="s">
        <v>355</v>
      </c>
      <c r="G4" s="3" t="s">
        <v>356</v>
      </c>
      <c r="H4" s="17" t="s">
        <v>357</v>
      </c>
      <c r="I4" s="17" t="s">
        <v>358</v>
      </c>
      <c r="J4" s="17" t="s">
        <v>359</v>
      </c>
      <c r="K4" s="17" t="s">
        <v>360</v>
      </c>
      <c r="L4" s="17" t="s">
        <v>361</v>
      </c>
      <c r="M4" s="17" t="s">
        <v>362</v>
      </c>
      <c r="N4" s="17" t="s">
        <v>363</v>
      </c>
      <c r="O4" s="17" t="s">
        <v>364</v>
      </c>
      <c r="P4" s="31" t="s">
        <v>365</v>
      </c>
      <c r="Q4" s="23" t="s">
        <v>366</v>
      </c>
      <c r="R4" s="23" t="s">
        <v>367</v>
      </c>
      <c r="S4" s="23" t="s">
        <v>368</v>
      </c>
      <c r="T4" s="74" t="s">
        <v>369</v>
      </c>
      <c r="U4" s="17" t="s">
        <v>370</v>
      </c>
    </row>
    <row r="5" spans="1:21">
      <c r="A5" s="20" t="s">
        <v>89</v>
      </c>
      <c r="B5">
        <v>0</v>
      </c>
      <c r="C5">
        <v>0</v>
      </c>
      <c r="H5">
        <v>0</v>
      </c>
      <c r="I5">
        <v>0</v>
      </c>
      <c r="K5">
        <f t="shared" ref="K5:K30" si="0">B5+C5-H5-I5</f>
        <v>0</v>
      </c>
      <c r="L5">
        <f t="shared" ref="L5:L30" si="1">B5+C5-H5</f>
        <v>0</v>
      </c>
      <c r="M5">
        <f t="shared" ref="M5:M30" si="2">L5-B5</f>
        <v>0</v>
      </c>
      <c r="N5">
        <f t="shared" ref="N5:N30" si="3">C5</f>
        <v>0</v>
      </c>
      <c r="O5">
        <v>0</v>
      </c>
      <c r="P5" s="29">
        <f t="shared" ref="P5:P30" si="4">O5*K5</f>
        <v>0</v>
      </c>
      <c r="R5">
        <v>0</v>
      </c>
      <c r="S5">
        <f t="shared" ref="S5:S30" si="5">O5*M5</f>
        <v>0</v>
      </c>
      <c r="T5">
        <f t="shared" ref="T5:T30" si="6">O5*N5</f>
        <v>0</v>
      </c>
    </row>
    <row r="6" spans="1:21">
      <c r="A6" s="20" t="s">
        <v>90</v>
      </c>
      <c r="B6">
        <v>0</v>
      </c>
      <c r="C6">
        <v>0</v>
      </c>
      <c r="H6">
        <v>0</v>
      </c>
      <c r="I6">
        <v>0</v>
      </c>
      <c r="K6">
        <f t="shared" si="0"/>
        <v>0</v>
      </c>
      <c r="L6">
        <f t="shared" si="1"/>
        <v>0</v>
      </c>
      <c r="M6">
        <f t="shared" si="2"/>
        <v>0</v>
      </c>
      <c r="N6">
        <f t="shared" si="3"/>
        <v>0</v>
      </c>
      <c r="O6">
        <v>0</v>
      </c>
      <c r="P6" s="29">
        <f t="shared" si="4"/>
        <v>0</v>
      </c>
      <c r="R6">
        <v>0</v>
      </c>
      <c r="S6">
        <f t="shared" si="5"/>
        <v>0</v>
      </c>
      <c r="T6">
        <f t="shared" si="6"/>
        <v>0</v>
      </c>
    </row>
    <row r="7" spans="1:21">
      <c r="A7" t="s">
        <v>91</v>
      </c>
      <c r="B7">
        <v>0</v>
      </c>
      <c r="C7">
        <v>0</v>
      </c>
      <c r="H7">
        <v>0</v>
      </c>
      <c r="I7">
        <v>0</v>
      </c>
      <c r="K7">
        <f t="shared" si="0"/>
        <v>0</v>
      </c>
      <c r="L7">
        <f t="shared" si="1"/>
        <v>0</v>
      </c>
      <c r="M7">
        <f t="shared" si="2"/>
        <v>0</v>
      </c>
      <c r="N7">
        <f t="shared" si="3"/>
        <v>0</v>
      </c>
      <c r="O7">
        <v>0</v>
      </c>
      <c r="P7" s="29">
        <f t="shared" si="4"/>
        <v>0</v>
      </c>
      <c r="R7">
        <v>0</v>
      </c>
      <c r="S7">
        <f t="shared" si="5"/>
        <v>0</v>
      </c>
      <c r="T7">
        <f t="shared" si="6"/>
        <v>0</v>
      </c>
    </row>
    <row r="8" spans="1:21">
      <c r="A8" t="s">
        <v>371</v>
      </c>
      <c r="B8">
        <v>0</v>
      </c>
      <c r="C8">
        <v>0</v>
      </c>
      <c r="H8">
        <v>0</v>
      </c>
      <c r="I8">
        <v>0</v>
      </c>
      <c r="K8">
        <f t="shared" si="0"/>
        <v>0</v>
      </c>
      <c r="L8">
        <f t="shared" si="1"/>
        <v>0</v>
      </c>
      <c r="M8">
        <f t="shared" si="2"/>
        <v>0</v>
      </c>
      <c r="N8">
        <f t="shared" si="3"/>
        <v>0</v>
      </c>
      <c r="O8">
        <v>0</v>
      </c>
      <c r="P8" s="29">
        <f t="shared" si="4"/>
        <v>0</v>
      </c>
      <c r="R8">
        <v>0</v>
      </c>
      <c r="S8">
        <f t="shared" si="5"/>
        <v>0</v>
      </c>
      <c r="T8">
        <f t="shared" si="6"/>
        <v>0</v>
      </c>
    </row>
    <row r="9" spans="1:21">
      <c r="A9" t="s">
        <v>92</v>
      </c>
      <c r="B9">
        <v>0</v>
      </c>
      <c r="C9">
        <v>0</v>
      </c>
      <c r="H9">
        <v>0</v>
      </c>
      <c r="I9">
        <v>0</v>
      </c>
      <c r="K9">
        <f t="shared" si="0"/>
        <v>0</v>
      </c>
      <c r="L9">
        <f t="shared" si="1"/>
        <v>0</v>
      </c>
      <c r="M9">
        <f t="shared" si="2"/>
        <v>0</v>
      </c>
      <c r="N9">
        <f t="shared" si="3"/>
        <v>0</v>
      </c>
      <c r="O9">
        <v>0</v>
      </c>
      <c r="P9" s="29">
        <f t="shared" si="4"/>
        <v>0</v>
      </c>
      <c r="R9">
        <v>0</v>
      </c>
      <c r="S9">
        <f t="shared" si="5"/>
        <v>0</v>
      </c>
      <c r="T9">
        <f t="shared" si="6"/>
        <v>0</v>
      </c>
    </row>
    <row r="10" spans="1:21">
      <c r="A10" t="s">
        <v>93</v>
      </c>
      <c r="B10">
        <v>0</v>
      </c>
      <c r="C10">
        <v>0</v>
      </c>
      <c r="H10">
        <v>0</v>
      </c>
      <c r="I10">
        <v>0</v>
      </c>
      <c r="K10">
        <f t="shared" si="0"/>
        <v>0</v>
      </c>
      <c r="L10">
        <f t="shared" si="1"/>
        <v>0</v>
      </c>
      <c r="M10">
        <f t="shared" si="2"/>
        <v>0</v>
      </c>
      <c r="N10">
        <f t="shared" si="3"/>
        <v>0</v>
      </c>
      <c r="O10">
        <v>0</v>
      </c>
      <c r="P10" s="29">
        <f t="shared" si="4"/>
        <v>0</v>
      </c>
      <c r="R10">
        <v>0</v>
      </c>
      <c r="S10">
        <f t="shared" si="5"/>
        <v>0</v>
      </c>
      <c r="T10">
        <f t="shared" si="6"/>
        <v>0</v>
      </c>
    </row>
    <row r="11" spans="1:21">
      <c r="A11" t="s">
        <v>94</v>
      </c>
      <c r="B11">
        <v>0</v>
      </c>
      <c r="C11">
        <v>0</v>
      </c>
      <c r="H11">
        <v>0</v>
      </c>
      <c r="I11">
        <v>0</v>
      </c>
      <c r="K11">
        <f t="shared" si="0"/>
        <v>0</v>
      </c>
      <c r="L11">
        <f t="shared" si="1"/>
        <v>0</v>
      </c>
      <c r="M11">
        <f t="shared" si="2"/>
        <v>0</v>
      </c>
      <c r="N11">
        <f t="shared" si="3"/>
        <v>0</v>
      </c>
      <c r="O11">
        <v>0</v>
      </c>
      <c r="P11" s="29">
        <f t="shared" si="4"/>
        <v>0</v>
      </c>
      <c r="R11">
        <v>0</v>
      </c>
      <c r="S11">
        <f t="shared" si="5"/>
        <v>0</v>
      </c>
      <c r="T11">
        <f t="shared" si="6"/>
        <v>0</v>
      </c>
    </row>
    <row r="12" spans="1:21">
      <c r="A12" t="s">
        <v>95</v>
      </c>
      <c r="B12">
        <v>14</v>
      </c>
      <c r="C12">
        <v>0</v>
      </c>
      <c r="H12">
        <v>0</v>
      </c>
      <c r="I12">
        <v>2</v>
      </c>
      <c r="K12">
        <f t="shared" si="0"/>
        <v>12</v>
      </c>
      <c r="L12">
        <f t="shared" si="1"/>
        <v>14</v>
      </c>
      <c r="M12">
        <f t="shared" si="2"/>
        <v>0</v>
      </c>
      <c r="N12">
        <f t="shared" si="3"/>
        <v>0</v>
      </c>
      <c r="O12" s="106">
        <v>0</v>
      </c>
      <c r="P12" s="29">
        <f t="shared" si="4"/>
        <v>0</v>
      </c>
      <c r="R12">
        <v>0</v>
      </c>
      <c r="S12">
        <f t="shared" si="5"/>
        <v>0</v>
      </c>
      <c r="T12">
        <f t="shared" si="6"/>
        <v>0</v>
      </c>
    </row>
    <row r="13" spans="1:21">
      <c r="A13" t="s">
        <v>96</v>
      </c>
      <c r="B13">
        <v>0</v>
      </c>
      <c r="C13">
        <v>0</v>
      </c>
      <c r="H13">
        <v>1</v>
      </c>
      <c r="I13">
        <v>0</v>
      </c>
      <c r="K13">
        <f t="shared" si="0"/>
        <v>-1</v>
      </c>
      <c r="L13">
        <f t="shared" si="1"/>
        <v>-1</v>
      </c>
      <c r="M13">
        <f t="shared" si="2"/>
        <v>-1</v>
      </c>
      <c r="N13">
        <f t="shared" si="3"/>
        <v>0</v>
      </c>
      <c r="O13">
        <v>0</v>
      </c>
      <c r="P13" s="29">
        <f t="shared" si="4"/>
        <v>0</v>
      </c>
      <c r="R13">
        <v>0</v>
      </c>
      <c r="S13">
        <f t="shared" si="5"/>
        <v>0</v>
      </c>
      <c r="T13">
        <f t="shared" si="6"/>
        <v>0</v>
      </c>
    </row>
    <row r="14" spans="1:21">
      <c r="A14" t="s">
        <v>97</v>
      </c>
      <c r="B14">
        <v>22</v>
      </c>
      <c r="C14">
        <v>1</v>
      </c>
      <c r="H14">
        <v>1</v>
      </c>
      <c r="I14">
        <v>2</v>
      </c>
      <c r="K14">
        <f t="shared" si="0"/>
        <v>20</v>
      </c>
      <c r="L14">
        <f t="shared" si="1"/>
        <v>22</v>
      </c>
      <c r="M14">
        <f t="shared" si="2"/>
        <v>0</v>
      </c>
      <c r="N14">
        <f t="shared" si="3"/>
        <v>1</v>
      </c>
      <c r="O14" s="106">
        <f>90/240</f>
        <v>0.375</v>
      </c>
      <c r="P14" s="29">
        <f t="shared" si="4"/>
        <v>7.5</v>
      </c>
      <c r="R14">
        <v>0</v>
      </c>
      <c r="S14">
        <f t="shared" si="5"/>
        <v>0</v>
      </c>
      <c r="T14">
        <f t="shared" si="6"/>
        <v>0.375</v>
      </c>
    </row>
    <row r="15" spans="1:21">
      <c r="A15" t="s">
        <v>98</v>
      </c>
      <c r="B15">
        <v>7</v>
      </c>
      <c r="C15">
        <v>0</v>
      </c>
      <c r="H15">
        <v>0</v>
      </c>
      <c r="I15">
        <v>0</v>
      </c>
      <c r="K15">
        <f t="shared" si="0"/>
        <v>7</v>
      </c>
      <c r="L15">
        <f t="shared" si="1"/>
        <v>7</v>
      </c>
      <c r="M15">
        <f t="shared" si="2"/>
        <v>0</v>
      </c>
      <c r="N15">
        <f t="shared" si="3"/>
        <v>0</v>
      </c>
      <c r="O15">
        <v>0</v>
      </c>
      <c r="P15" s="29">
        <f t="shared" si="4"/>
        <v>0</v>
      </c>
      <c r="R15">
        <v>0</v>
      </c>
      <c r="S15">
        <f t="shared" si="5"/>
        <v>0</v>
      </c>
      <c r="T15">
        <f t="shared" si="6"/>
        <v>0</v>
      </c>
    </row>
    <row r="16" spans="1:21">
      <c r="A16" t="s">
        <v>99</v>
      </c>
      <c r="B16">
        <v>0</v>
      </c>
      <c r="C16">
        <v>0</v>
      </c>
      <c r="H16">
        <v>0</v>
      </c>
      <c r="I16">
        <v>0</v>
      </c>
      <c r="K16">
        <f t="shared" si="0"/>
        <v>0</v>
      </c>
      <c r="L16">
        <f t="shared" si="1"/>
        <v>0</v>
      </c>
      <c r="M16">
        <f t="shared" si="2"/>
        <v>0</v>
      </c>
      <c r="N16">
        <f t="shared" si="3"/>
        <v>0</v>
      </c>
      <c r="O16">
        <v>0</v>
      </c>
      <c r="P16" s="29">
        <f t="shared" si="4"/>
        <v>0</v>
      </c>
      <c r="R16">
        <v>0</v>
      </c>
      <c r="S16">
        <f t="shared" si="5"/>
        <v>0</v>
      </c>
      <c r="T16">
        <f t="shared" si="6"/>
        <v>0</v>
      </c>
    </row>
    <row r="17" spans="1:20">
      <c r="A17" t="s">
        <v>100</v>
      </c>
      <c r="B17">
        <v>0</v>
      </c>
      <c r="C17">
        <v>0</v>
      </c>
      <c r="H17">
        <v>0</v>
      </c>
      <c r="I17">
        <v>0</v>
      </c>
      <c r="K17">
        <f t="shared" si="0"/>
        <v>0</v>
      </c>
      <c r="L17">
        <f t="shared" si="1"/>
        <v>0</v>
      </c>
      <c r="M17">
        <f t="shared" si="2"/>
        <v>0</v>
      </c>
      <c r="N17">
        <f t="shared" si="3"/>
        <v>0</v>
      </c>
      <c r="O17">
        <v>0</v>
      </c>
      <c r="P17" s="29">
        <f t="shared" si="4"/>
        <v>0</v>
      </c>
      <c r="R17">
        <v>0</v>
      </c>
      <c r="S17">
        <f t="shared" si="5"/>
        <v>0</v>
      </c>
      <c r="T17">
        <f t="shared" si="6"/>
        <v>0</v>
      </c>
    </row>
    <row r="18" spans="1:20">
      <c r="A18" t="s">
        <v>101</v>
      </c>
      <c r="B18">
        <v>8</v>
      </c>
      <c r="C18">
        <v>20</v>
      </c>
      <c r="H18">
        <v>30</v>
      </c>
      <c r="I18">
        <v>0</v>
      </c>
      <c r="K18">
        <f t="shared" si="0"/>
        <v>-2</v>
      </c>
      <c r="L18">
        <f t="shared" si="1"/>
        <v>-2</v>
      </c>
      <c r="M18">
        <f t="shared" si="2"/>
        <v>-10</v>
      </c>
      <c r="N18">
        <f t="shared" si="3"/>
        <v>20</v>
      </c>
      <c r="O18">
        <v>2.7666666666666669E-2</v>
      </c>
      <c r="P18" s="29">
        <f t="shared" si="4"/>
        <v>-5.5333333333333339E-2</v>
      </c>
      <c r="R18">
        <v>0.83</v>
      </c>
      <c r="S18">
        <f t="shared" si="5"/>
        <v>-0.27666666666666667</v>
      </c>
      <c r="T18">
        <f t="shared" si="6"/>
        <v>0.55333333333333334</v>
      </c>
    </row>
    <row r="19" spans="1:20">
      <c r="A19" t="s">
        <v>102</v>
      </c>
      <c r="B19">
        <v>534</v>
      </c>
      <c r="C19">
        <v>0</v>
      </c>
      <c r="H19">
        <v>12</v>
      </c>
      <c r="I19">
        <v>17</v>
      </c>
      <c r="K19">
        <f t="shared" si="0"/>
        <v>505</v>
      </c>
      <c r="L19">
        <f t="shared" si="1"/>
        <v>522</v>
      </c>
      <c r="M19">
        <f t="shared" si="2"/>
        <v>-12</v>
      </c>
      <c r="N19">
        <f t="shared" si="3"/>
        <v>0</v>
      </c>
      <c r="O19">
        <v>0.05</v>
      </c>
      <c r="P19" s="29">
        <f t="shared" si="4"/>
        <v>25.25</v>
      </c>
      <c r="R19">
        <v>0.6</v>
      </c>
      <c r="S19">
        <f t="shared" si="5"/>
        <v>-0.60000000000000009</v>
      </c>
      <c r="T19">
        <f t="shared" si="6"/>
        <v>0</v>
      </c>
    </row>
    <row r="20" spans="1:20">
      <c r="A20" t="s">
        <v>103</v>
      </c>
      <c r="B20">
        <v>0</v>
      </c>
      <c r="C20">
        <v>0</v>
      </c>
      <c r="H20">
        <v>0</v>
      </c>
      <c r="I20">
        <v>0</v>
      </c>
      <c r="K20">
        <f t="shared" si="0"/>
        <v>0</v>
      </c>
      <c r="L20">
        <f t="shared" si="1"/>
        <v>0</v>
      </c>
      <c r="M20">
        <f t="shared" si="2"/>
        <v>0</v>
      </c>
      <c r="N20">
        <f t="shared" si="3"/>
        <v>0</v>
      </c>
      <c r="O20">
        <v>0</v>
      </c>
      <c r="P20" s="29">
        <f t="shared" si="4"/>
        <v>0</v>
      </c>
      <c r="R20">
        <v>0</v>
      </c>
      <c r="S20">
        <f t="shared" si="5"/>
        <v>0</v>
      </c>
      <c r="T20">
        <f t="shared" si="6"/>
        <v>0</v>
      </c>
    </row>
    <row r="21" spans="1:20">
      <c r="A21" t="s">
        <v>104</v>
      </c>
      <c r="B21">
        <v>0</v>
      </c>
      <c r="C21">
        <v>2</v>
      </c>
      <c r="H21">
        <v>2</v>
      </c>
      <c r="I21">
        <v>0</v>
      </c>
      <c r="K21">
        <f t="shared" si="0"/>
        <v>0</v>
      </c>
      <c r="L21">
        <f t="shared" si="1"/>
        <v>0</v>
      </c>
      <c r="M21">
        <f t="shared" si="2"/>
        <v>0</v>
      </c>
      <c r="N21">
        <f t="shared" si="3"/>
        <v>2</v>
      </c>
      <c r="O21">
        <v>6.5000000000000002E-2</v>
      </c>
      <c r="P21" s="29">
        <f t="shared" si="4"/>
        <v>0</v>
      </c>
      <c r="Q21">
        <v>0</v>
      </c>
      <c r="R21">
        <v>0.13</v>
      </c>
      <c r="S21">
        <f t="shared" si="5"/>
        <v>0</v>
      </c>
      <c r="T21">
        <f t="shared" si="6"/>
        <v>0.13</v>
      </c>
    </row>
    <row r="22" spans="1:20">
      <c r="A22" t="s">
        <v>105</v>
      </c>
      <c r="B22">
        <v>0</v>
      </c>
      <c r="C22">
        <v>80</v>
      </c>
      <c r="H22">
        <v>0</v>
      </c>
      <c r="I22">
        <v>0</v>
      </c>
      <c r="K22">
        <f t="shared" si="0"/>
        <v>80</v>
      </c>
      <c r="L22">
        <f t="shared" si="1"/>
        <v>80</v>
      </c>
      <c r="M22">
        <f t="shared" si="2"/>
        <v>80</v>
      </c>
      <c r="N22">
        <f t="shared" si="3"/>
        <v>80</v>
      </c>
      <c r="O22" s="28">
        <f>20/240</f>
        <v>8.3333333333333329E-2</v>
      </c>
      <c r="P22" s="29">
        <f t="shared" si="4"/>
        <v>6.6666666666666661</v>
      </c>
      <c r="R22">
        <v>0</v>
      </c>
      <c r="S22">
        <f t="shared" si="5"/>
        <v>6.6666666666666661</v>
      </c>
      <c r="T22">
        <f t="shared" si="6"/>
        <v>6.6666666666666661</v>
      </c>
    </row>
    <row r="23" spans="1:20">
      <c r="A23" t="s">
        <v>106</v>
      </c>
      <c r="B23">
        <v>0</v>
      </c>
      <c r="C23">
        <v>8</v>
      </c>
      <c r="H23">
        <v>4</v>
      </c>
      <c r="I23">
        <v>1</v>
      </c>
      <c r="K23">
        <f t="shared" si="0"/>
        <v>3</v>
      </c>
      <c r="L23">
        <f t="shared" si="1"/>
        <v>4</v>
      </c>
      <c r="M23">
        <f t="shared" si="2"/>
        <v>4</v>
      </c>
      <c r="N23">
        <f t="shared" si="3"/>
        <v>8</v>
      </c>
      <c r="O23">
        <v>0.05</v>
      </c>
      <c r="P23" s="29">
        <f t="shared" si="4"/>
        <v>0.15000000000000002</v>
      </c>
      <c r="R23">
        <v>0.2</v>
      </c>
      <c r="S23">
        <f t="shared" si="5"/>
        <v>0.2</v>
      </c>
      <c r="T23">
        <f t="shared" si="6"/>
        <v>0.4</v>
      </c>
    </row>
    <row r="24" spans="1:20">
      <c r="A24" t="s">
        <v>107</v>
      </c>
      <c r="B24">
        <v>0</v>
      </c>
      <c r="C24">
        <v>0</v>
      </c>
      <c r="H24">
        <v>1</v>
      </c>
      <c r="I24">
        <v>0</v>
      </c>
      <c r="K24">
        <f t="shared" si="0"/>
        <v>-1</v>
      </c>
      <c r="L24">
        <f t="shared" si="1"/>
        <v>-1</v>
      </c>
      <c r="M24">
        <f t="shared" si="2"/>
        <v>-1</v>
      </c>
      <c r="N24">
        <f t="shared" si="3"/>
        <v>0</v>
      </c>
      <c r="O24" s="28">
        <f>60/240</f>
        <v>0.25</v>
      </c>
      <c r="P24" s="29">
        <f t="shared" si="4"/>
        <v>-0.25</v>
      </c>
      <c r="R24">
        <v>0</v>
      </c>
      <c r="S24">
        <f t="shared" si="5"/>
        <v>-0.25</v>
      </c>
      <c r="T24">
        <f t="shared" si="6"/>
        <v>0</v>
      </c>
    </row>
    <row r="25" spans="1:20">
      <c r="A25" t="s">
        <v>108</v>
      </c>
      <c r="B25">
        <v>2</v>
      </c>
      <c r="C25">
        <v>0</v>
      </c>
      <c r="H25">
        <v>0</v>
      </c>
      <c r="I25">
        <v>0</v>
      </c>
      <c r="K25">
        <f t="shared" si="0"/>
        <v>2</v>
      </c>
      <c r="L25">
        <f t="shared" si="1"/>
        <v>2</v>
      </c>
      <c r="M25">
        <f t="shared" si="2"/>
        <v>0</v>
      </c>
      <c r="N25">
        <f t="shared" si="3"/>
        <v>0</v>
      </c>
      <c r="O25" s="106">
        <v>0</v>
      </c>
      <c r="P25" s="29">
        <f t="shared" si="4"/>
        <v>0</v>
      </c>
      <c r="R25">
        <v>0</v>
      </c>
      <c r="S25">
        <f t="shared" si="5"/>
        <v>0</v>
      </c>
      <c r="T25">
        <f t="shared" si="6"/>
        <v>0</v>
      </c>
    </row>
    <row r="26" spans="1:20">
      <c r="A26" t="s">
        <v>109</v>
      </c>
      <c r="B26">
        <v>20</v>
      </c>
      <c r="C26">
        <v>0</v>
      </c>
      <c r="H26">
        <v>14</v>
      </c>
      <c r="I26">
        <v>0</v>
      </c>
      <c r="K26">
        <f t="shared" si="0"/>
        <v>6</v>
      </c>
      <c r="L26">
        <f t="shared" si="1"/>
        <v>6</v>
      </c>
      <c r="M26">
        <f t="shared" si="2"/>
        <v>-14</v>
      </c>
      <c r="N26">
        <f t="shared" si="3"/>
        <v>0</v>
      </c>
      <c r="O26">
        <v>6.9285714285714284E-2</v>
      </c>
      <c r="P26" s="29">
        <f t="shared" si="4"/>
        <v>0.4157142857142857</v>
      </c>
      <c r="R26">
        <v>0.97</v>
      </c>
      <c r="S26">
        <f t="shared" si="5"/>
        <v>-0.97</v>
      </c>
      <c r="T26">
        <f t="shared" si="6"/>
        <v>0</v>
      </c>
    </row>
    <row r="27" spans="1:20">
      <c r="A27" t="s">
        <v>110</v>
      </c>
      <c r="B27">
        <v>25</v>
      </c>
      <c r="C27">
        <v>0</v>
      </c>
      <c r="H27">
        <v>0</v>
      </c>
      <c r="I27">
        <v>3</v>
      </c>
      <c r="K27">
        <f t="shared" si="0"/>
        <v>22</v>
      </c>
      <c r="L27">
        <f t="shared" si="1"/>
        <v>25</v>
      </c>
      <c r="M27">
        <f t="shared" si="2"/>
        <v>0</v>
      </c>
      <c r="N27">
        <f t="shared" si="3"/>
        <v>0</v>
      </c>
      <c r="O27" s="106">
        <v>0</v>
      </c>
      <c r="P27" s="29">
        <f t="shared" si="4"/>
        <v>0</v>
      </c>
      <c r="R27">
        <v>0</v>
      </c>
      <c r="S27">
        <f t="shared" si="5"/>
        <v>0</v>
      </c>
      <c r="T27">
        <f t="shared" si="6"/>
        <v>0</v>
      </c>
    </row>
    <row r="28" spans="1:20">
      <c r="A28" t="s">
        <v>111</v>
      </c>
      <c r="B28">
        <v>25</v>
      </c>
      <c r="C28">
        <v>30</v>
      </c>
      <c r="H28">
        <v>0</v>
      </c>
      <c r="I28">
        <v>0</v>
      </c>
      <c r="K28">
        <f t="shared" si="0"/>
        <v>55</v>
      </c>
      <c r="L28">
        <f t="shared" si="1"/>
        <v>55</v>
      </c>
      <c r="M28">
        <f t="shared" si="2"/>
        <v>30</v>
      </c>
      <c r="N28">
        <f t="shared" si="3"/>
        <v>30</v>
      </c>
      <c r="O28" s="28">
        <f>0.5/240</f>
        <v>2.0833333333333333E-3</v>
      </c>
      <c r="P28" s="29">
        <f t="shared" si="4"/>
        <v>0.11458333333333333</v>
      </c>
      <c r="R28">
        <v>0</v>
      </c>
      <c r="S28">
        <f t="shared" si="5"/>
        <v>6.25E-2</v>
      </c>
      <c r="T28">
        <f t="shared" si="6"/>
        <v>6.25E-2</v>
      </c>
    </row>
    <row r="29" spans="1:20">
      <c r="A29" t="s">
        <v>112</v>
      </c>
      <c r="B29">
        <v>0</v>
      </c>
      <c r="C29">
        <v>0</v>
      </c>
      <c r="H29">
        <v>0</v>
      </c>
      <c r="I29">
        <v>0</v>
      </c>
      <c r="K29">
        <f t="shared" si="0"/>
        <v>0</v>
      </c>
      <c r="L29">
        <f t="shared" si="1"/>
        <v>0</v>
      </c>
      <c r="M29">
        <f t="shared" si="2"/>
        <v>0</v>
      </c>
      <c r="N29">
        <f t="shared" si="3"/>
        <v>0</v>
      </c>
      <c r="O29">
        <v>0</v>
      </c>
      <c r="P29" s="29">
        <f t="shared" si="4"/>
        <v>0</v>
      </c>
      <c r="R29">
        <v>0</v>
      </c>
      <c r="S29">
        <f t="shared" si="5"/>
        <v>0</v>
      </c>
      <c r="T29">
        <f t="shared" si="6"/>
        <v>0</v>
      </c>
    </row>
    <row r="30" spans="1:20">
      <c r="A30" t="s">
        <v>113</v>
      </c>
      <c r="B30">
        <v>0</v>
      </c>
      <c r="C30">
        <v>0</v>
      </c>
      <c r="H30">
        <v>0</v>
      </c>
      <c r="I30">
        <v>0</v>
      </c>
      <c r="K30">
        <f t="shared" si="0"/>
        <v>0</v>
      </c>
      <c r="L30">
        <f t="shared" si="1"/>
        <v>0</v>
      </c>
      <c r="M30">
        <f t="shared" si="2"/>
        <v>0</v>
      </c>
      <c r="N30">
        <f t="shared" si="3"/>
        <v>0</v>
      </c>
      <c r="O30">
        <v>0</v>
      </c>
      <c r="P30" s="29">
        <f t="shared" si="4"/>
        <v>0</v>
      </c>
      <c r="R30">
        <v>0</v>
      </c>
      <c r="S30">
        <f t="shared" si="5"/>
        <v>0</v>
      </c>
      <c r="T30">
        <f t="shared" si="6"/>
        <v>0</v>
      </c>
    </row>
    <row r="31" spans="1:20" ht="15.5" customHeight="1">
      <c r="A31" s="24" t="s">
        <v>372</v>
      </c>
    </row>
    <row r="34" spans="1:9" ht="15.5" customHeight="1">
      <c r="A34" s="23" t="s">
        <v>116</v>
      </c>
      <c r="B34">
        <v>0</v>
      </c>
      <c r="C34">
        <v>0</v>
      </c>
      <c r="H34">
        <v>0</v>
      </c>
      <c r="I34">
        <v>0</v>
      </c>
    </row>
    <row r="35" spans="1:9">
      <c r="A35" t="s">
        <v>118</v>
      </c>
      <c r="B35">
        <v>0</v>
      </c>
      <c r="C35">
        <v>0</v>
      </c>
      <c r="H35">
        <v>0</v>
      </c>
      <c r="I35">
        <v>2</v>
      </c>
    </row>
    <row r="36" spans="1:9">
      <c r="A36" t="s">
        <v>119</v>
      </c>
      <c r="B36">
        <v>0</v>
      </c>
      <c r="C36">
        <v>0</v>
      </c>
      <c r="H36">
        <v>0</v>
      </c>
      <c r="I36">
        <v>0</v>
      </c>
    </row>
    <row r="37" spans="1:9">
      <c r="A37" t="s">
        <v>120</v>
      </c>
      <c r="B37">
        <v>0</v>
      </c>
      <c r="C37">
        <v>0</v>
      </c>
      <c r="H37">
        <v>0</v>
      </c>
      <c r="I37">
        <v>0</v>
      </c>
    </row>
    <row r="38" spans="1:9">
      <c r="A38" t="s">
        <v>121</v>
      </c>
      <c r="B38">
        <v>0</v>
      </c>
      <c r="C38">
        <v>0</v>
      </c>
      <c r="H38">
        <v>0</v>
      </c>
      <c r="I38">
        <v>0</v>
      </c>
    </row>
    <row r="39" spans="1:9" ht="15.5" customHeight="1">
      <c r="A39" s="24" t="s">
        <v>373</v>
      </c>
      <c r="B39">
        <v>0</v>
      </c>
      <c r="C39">
        <v>0</v>
      </c>
      <c r="H39">
        <v>0</v>
      </c>
      <c r="I39">
        <v>0</v>
      </c>
    </row>
    <row r="40" spans="1:9">
      <c r="B40">
        <v>0</v>
      </c>
      <c r="C40">
        <v>0</v>
      </c>
      <c r="H40">
        <v>0</v>
      </c>
      <c r="I40">
        <v>0</v>
      </c>
    </row>
    <row r="41" spans="1:9">
      <c r="B41">
        <v>0</v>
      </c>
      <c r="C41">
        <v>0</v>
      </c>
      <c r="H41">
        <v>0</v>
      </c>
      <c r="I41">
        <v>0</v>
      </c>
    </row>
    <row r="42" spans="1:9" ht="15.5" customHeight="1">
      <c r="A42" s="23" t="s">
        <v>122</v>
      </c>
      <c r="B42">
        <v>0</v>
      </c>
      <c r="C42">
        <v>0</v>
      </c>
      <c r="H42">
        <v>0</v>
      </c>
      <c r="I42">
        <v>0</v>
      </c>
    </row>
    <row r="43" spans="1:9">
      <c r="A43" t="s">
        <v>123</v>
      </c>
      <c r="B43">
        <v>0</v>
      </c>
      <c r="C43">
        <v>0</v>
      </c>
      <c r="H43">
        <v>0</v>
      </c>
      <c r="I43">
        <v>0</v>
      </c>
    </row>
    <row r="44" spans="1:9">
      <c r="A44" t="s">
        <v>374</v>
      </c>
      <c r="B44">
        <v>0</v>
      </c>
      <c r="C44">
        <v>0</v>
      </c>
      <c r="H44">
        <v>0</v>
      </c>
      <c r="I44">
        <v>0</v>
      </c>
    </row>
    <row r="45" spans="1:9">
      <c r="A45" t="s">
        <v>375</v>
      </c>
      <c r="B45">
        <v>0</v>
      </c>
      <c r="C45">
        <v>0</v>
      </c>
      <c r="H45">
        <v>0</v>
      </c>
      <c r="I45">
        <v>0</v>
      </c>
    </row>
    <row r="46" spans="1:9">
      <c r="A46" t="s">
        <v>376</v>
      </c>
      <c r="B46">
        <v>8</v>
      </c>
      <c r="C46">
        <v>20</v>
      </c>
      <c r="H46">
        <v>30</v>
      </c>
      <c r="I46">
        <v>0</v>
      </c>
    </row>
    <row r="47" spans="1:9">
      <c r="A47" s="25" t="s">
        <v>377</v>
      </c>
      <c r="B47">
        <v>20</v>
      </c>
      <c r="C47">
        <v>0</v>
      </c>
      <c r="H47">
        <v>14</v>
      </c>
      <c r="I47">
        <v>0</v>
      </c>
    </row>
    <row r="48" spans="1:9">
      <c r="A48" t="s">
        <v>378</v>
      </c>
    </row>
    <row r="49" spans="1:9">
      <c r="A49" s="16" t="s">
        <v>379</v>
      </c>
    </row>
    <row r="50" spans="1:9">
      <c r="A50" s="16" t="s">
        <v>380</v>
      </c>
    </row>
    <row r="51" spans="1:9">
      <c r="A51" s="16" t="s">
        <v>381</v>
      </c>
    </row>
    <row r="52" spans="1:9">
      <c r="A52" s="16" t="s">
        <v>382</v>
      </c>
    </row>
    <row r="53" spans="1:9">
      <c r="A53" s="26" t="s">
        <v>383</v>
      </c>
      <c r="B53">
        <v>0</v>
      </c>
      <c r="C53">
        <v>0</v>
      </c>
      <c r="H53">
        <v>15</v>
      </c>
      <c r="I53">
        <v>17</v>
      </c>
    </row>
    <row r="54" spans="1:9">
      <c r="A54" s="19" t="s">
        <v>384</v>
      </c>
    </row>
    <row r="55" spans="1:9">
      <c r="A55" s="16" t="s">
        <v>379</v>
      </c>
    </row>
    <row r="56" spans="1:9">
      <c r="A56" s="16" t="s">
        <v>380</v>
      </c>
    </row>
    <row r="57" spans="1:9">
      <c r="A57" s="16" t="s">
        <v>381</v>
      </c>
    </row>
    <row r="58" spans="1:9">
      <c r="A58" s="16" t="s">
        <v>382</v>
      </c>
    </row>
    <row r="59" spans="1:9">
      <c r="A59" s="26" t="s">
        <v>385</v>
      </c>
      <c r="B59">
        <v>0</v>
      </c>
      <c r="C59">
        <v>0</v>
      </c>
      <c r="H59">
        <v>0</v>
      </c>
      <c r="I59">
        <v>12</v>
      </c>
    </row>
    <row r="60" spans="1:9">
      <c r="A60" t="s">
        <v>140</v>
      </c>
      <c r="B60">
        <v>0</v>
      </c>
      <c r="C60">
        <v>0</v>
      </c>
      <c r="H60">
        <v>0</v>
      </c>
      <c r="I60">
        <v>1</v>
      </c>
    </row>
    <row r="61" spans="1:9">
      <c r="A61" t="s">
        <v>141</v>
      </c>
      <c r="B61">
        <v>0</v>
      </c>
      <c r="C61">
        <v>0</v>
      </c>
      <c r="H61">
        <v>0</v>
      </c>
      <c r="I61">
        <v>0</v>
      </c>
    </row>
    <row r="62" spans="1:9">
      <c r="A62" t="s">
        <v>142</v>
      </c>
      <c r="B62">
        <v>0</v>
      </c>
      <c r="C62">
        <v>0</v>
      </c>
      <c r="H62">
        <v>0</v>
      </c>
      <c r="I62">
        <v>0</v>
      </c>
    </row>
    <row r="63" spans="1:9">
      <c r="A63" s="27" t="s">
        <v>386</v>
      </c>
    </row>
    <row r="66" spans="1:20" ht="15.5" customHeight="1">
      <c r="A66" s="23" t="s">
        <v>143</v>
      </c>
    </row>
    <row r="67" spans="1:20">
      <c r="A67" s="20" t="s">
        <v>144</v>
      </c>
      <c r="L67">
        <f>B67+C67-H67</f>
        <v>0</v>
      </c>
      <c r="M67">
        <f>L67-B67</f>
        <v>0</v>
      </c>
      <c r="N67">
        <f>C67</f>
        <v>0</v>
      </c>
      <c r="O67">
        <v>0</v>
      </c>
      <c r="Q67">
        <f>R67*K67</f>
        <v>0</v>
      </c>
      <c r="R67">
        <v>1.05</v>
      </c>
      <c r="S67">
        <f>O67*M67</f>
        <v>0</v>
      </c>
      <c r="T67">
        <f>O67*N67</f>
        <v>0</v>
      </c>
    </row>
    <row r="68" spans="1:20">
      <c r="A68" t="s">
        <v>145</v>
      </c>
      <c r="L68">
        <f>B68+C68-H68</f>
        <v>0</v>
      </c>
      <c r="M68">
        <f>L68-B68</f>
        <v>0</v>
      </c>
      <c r="N68">
        <f>C68</f>
        <v>0</v>
      </c>
      <c r="O68">
        <v>0</v>
      </c>
      <c r="Q68">
        <f>R68*K68</f>
        <v>0</v>
      </c>
      <c r="R68">
        <v>0.27</v>
      </c>
      <c r="S68">
        <f>O68*M68</f>
        <v>0</v>
      </c>
      <c r="T68">
        <f>O68*N68</f>
        <v>0</v>
      </c>
    </row>
    <row r="69" spans="1:20">
      <c r="A69" t="s">
        <v>146</v>
      </c>
      <c r="B69">
        <v>0</v>
      </c>
      <c r="C69">
        <v>6</v>
      </c>
      <c r="H69">
        <v>6</v>
      </c>
      <c r="K69">
        <v>0</v>
      </c>
      <c r="L69">
        <f>B69+C69-H69</f>
        <v>0</v>
      </c>
      <c r="M69">
        <f>L69-B69</f>
        <v>0</v>
      </c>
      <c r="N69">
        <f>C69</f>
        <v>6</v>
      </c>
      <c r="O69">
        <v>0</v>
      </c>
      <c r="Q69">
        <f>R69*K69</f>
        <v>0</v>
      </c>
      <c r="R69">
        <v>0</v>
      </c>
      <c r="S69">
        <f>O69*M69</f>
        <v>0</v>
      </c>
      <c r="T69">
        <f>O69*N69</f>
        <v>0</v>
      </c>
    </row>
    <row r="70" spans="1:20">
      <c r="A70" t="s">
        <v>147</v>
      </c>
      <c r="B70">
        <v>0</v>
      </c>
      <c r="F70">
        <v>28</v>
      </c>
      <c r="G70">
        <v>18</v>
      </c>
      <c r="H70">
        <v>10</v>
      </c>
      <c r="K70">
        <v>0</v>
      </c>
      <c r="L70">
        <f>B70+C70-H70</f>
        <v>-10</v>
      </c>
      <c r="M70">
        <f>L70-B70</f>
        <v>-10</v>
      </c>
      <c r="N70">
        <f>C70</f>
        <v>0</v>
      </c>
      <c r="O70">
        <v>0</v>
      </c>
      <c r="Q70">
        <f>R70*K70</f>
        <v>0</v>
      </c>
      <c r="R70">
        <v>0</v>
      </c>
      <c r="S70">
        <f>O70*M70</f>
        <v>0</v>
      </c>
      <c r="T70">
        <f>O70*N70</f>
        <v>0</v>
      </c>
    </row>
    <row r="71" spans="1:20">
      <c r="A71" s="27" t="s">
        <v>387</v>
      </c>
    </row>
    <row r="72" spans="1:20">
      <c r="A72" s="28" t="s">
        <v>388</v>
      </c>
    </row>
    <row r="74" spans="1:20" ht="15.5" customHeight="1">
      <c r="A74" s="3" t="s">
        <v>148</v>
      </c>
    </row>
    <row r="75" spans="1:20">
      <c r="A75" t="s">
        <v>149</v>
      </c>
      <c r="B75">
        <v>0</v>
      </c>
      <c r="C75">
        <v>0</v>
      </c>
      <c r="H75">
        <v>0</v>
      </c>
      <c r="I75">
        <v>0</v>
      </c>
      <c r="S75">
        <f>O75*M75</f>
        <v>0</v>
      </c>
      <c r="T75">
        <f>O75*N75</f>
        <v>0</v>
      </c>
    </row>
    <row r="76" spans="1:20">
      <c r="A76" t="s">
        <v>150</v>
      </c>
      <c r="B76">
        <v>0</v>
      </c>
      <c r="C76">
        <v>0</v>
      </c>
      <c r="H76">
        <v>0</v>
      </c>
      <c r="I76">
        <v>0</v>
      </c>
      <c r="S76">
        <f>O76*M76</f>
        <v>0</v>
      </c>
      <c r="T76">
        <f>O76*N76</f>
        <v>0</v>
      </c>
    </row>
    <row r="77" spans="1:20">
      <c r="A77" t="s">
        <v>151</v>
      </c>
      <c r="S77">
        <f>SUM(S75:S76)</f>
        <v>0</v>
      </c>
      <c r="T77">
        <f>SUM(T75:T76)</f>
        <v>0</v>
      </c>
    </row>
    <row r="78" spans="1:20">
      <c r="A78" s="27" t="s">
        <v>175</v>
      </c>
    </row>
    <row r="81" spans="1:20" ht="15.5" customHeight="1">
      <c r="A81" s="3" t="s">
        <v>389</v>
      </c>
    </row>
    <row r="82" spans="1:20">
      <c r="A82" t="s">
        <v>390</v>
      </c>
      <c r="B82">
        <v>0</v>
      </c>
      <c r="C82">
        <v>0</v>
      </c>
      <c r="H82">
        <v>0</v>
      </c>
      <c r="I82">
        <v>0</v>
      </c>
      <c r="S82">
        <f>O82*M82</f>
        <v>0</v>
      </c>
      <c r="T82">
        <f>O82*N82</f>
        <v>0</v>
      </c>
    </row>
    <row r="83" spans="1:20">
      <c r="A83" t="s">
        <v>391</v>
      </c>
      <c r="B83">
        <v>0</v>
      </c>
      <c r="C83">
        <v>0</v>
      </c>
      <c r="H83">
        <v>0</v>
      </c>
      <c r="I83">
        <v>0</v>
      </c>
      <c r="S83">
        <f>O83*M83</f>
        <v>0</v>
      </c>
      <c r="T83">
        <f>O83*N83</f>
        <v>0</v>
      </c>
    </row>
    <row r="84" spans="1:20">
      <c r="A84" t="s">
        <v>392</v>
      </c>
      <c r="B84">
        <v>0</v>
      </c>
      <c r="C84">
        <v>0</v>
      </c>
      <c r="H84">
        <v>0</v>
      </c>
      <c r="I84">
        <v>0</v>
      </c>
      <c r="S84">
        <f>O84*M84</f>
        <v>0</v>
      </c>
      <c r="T84">
        <f>O84*N84</f>
        <v>0</v>
      </c>
    </row>
    <row r="85" spans="1:20" ht="15.5" customHeight="1">
      <c r="A85" s="22" t="s">
        <v>386</v>
      </c>
    </row>
    <row r="87" spans="1:20" ht="15.5" customHeight="1">
      <c r="A87" s="3" t="s">
        <v>393</v>
      </c>
    </row>
    <row r="88" spans="1:20">
      <c r="A88" t="s">
        <v>394</v>
      </c>
      <c r="B88">
        <v>0</v>
      </c>
      <c r="C88">
        <v>0</v>
      </c>
      <c r="H88">
        <v>0</v>
      </c>
      <c r="I88">
        <v>0</v>
      </c>
      <c r="S88">
        <f>O88*M88</f>
        <v>0</v>
      </c>
      <c r="T88">
        <f>O88*N88</f>
        <v>0</v>
      </c>
    </row>
    <row r="89" spans="1:20">
      <c r="A89" t="s">
        <v>395</v>
      </c>
      <c r="B89">
        <v>0</v>
      </c>
      <c r="C89">
        <v>0</v>
      </c>
      <c r="H89">
        <v>0</v>
      </c>
      <c r="I89">
        <v>0</v>
      </c>
      <c r="S89">
        <f>O89*M89</f>
        <v>0</v>
      </c>
      <c r="T89">
        <f>O89*N89</f>
        <v>0</v>
      </c>
    </row>
    <row r="90" spans="1:20" ht="15.5" customHeight="1">
      <c r="A90" s="22" t="s">
        <v>175</v>
      </c>
    </row>
    <row r="92" spans="1:20" ht="15.5" customHeight="1">
      <c r="A92" s="3" t="s">
        <v>154</v>
      </c>
    </row>
    <row r="93" spans="1:20">
      <c r="A93" t="s">
        <v>154</v>
      </c>
      <c r="B93">
        <v>0</v>
      </c>
      <c r="C93">
        <v>0</v>
      </c>
      <c r="H93">
        <v>0</v>
      </c>
      <c r="I93">
        <v>0</v>
      </c>
      <c r="S93">
        <f>O93*M93</f>
        <v>0</v>
      </c>
      <c r="T93">
        <f>O93*N93</f>
        <v>0</v>
      </c>
    </row>
    <row r="94" spans="1:20" ht="15.5" customHeight="1">
      <c r="A94" s="22" t="s">
        <v>175</v>
      </c>
    </row>
    <row r="95" spans="1:20" ht="15.5" customHeight="1">
      <c r="A95" s="4"/>
    </row>
    <row r="96" spans="1:20" ht="15.5" customHeight="1">
      <c r="A96" s="22" t="s">
        <v>396</v>
      </c>
    </row>
    <row r="99" spans="1:9" ht="15.5" customHeight="1">
      <c r="A99" s="3" t="s">
        <v>397</v>
      </c>
      <c r="B99">
        <v>0</v>
      </c>
      <c r="C99">
        <v>0</v>
      </c>
      <c r="H99">
        <v>0</v>
      </c>
      <c r="I99">
        <v>0</v>
      </c>
    </row>
    <row r="102" spans="1:9" ht="15.5" customHeight="1">
      <c r="A102" s="4" t="s">
        <v>398</v>
      </c>
    </row>
    <row r="103" spans="1:9" ht="15.5" customHeight="1">
      <c r="A103" s="3" t="s">
        <v>399</v>
      </c>
    </row>
    <row r="104" spans="1:9">
      <c r="A104" t="s">
        <v>400</v>
      </c>
    </row>
    <row r="105" spans="1:9">
      <c r="A105" t="s">
        <v>401</v>
      </c>
    </row>
    <row r="106" spans="1:9">
      <c r="A106" t="s">
        <v>402</v>
      </c>
    </row>
    <row r="107" spans="1:9">
      <c r="A107" t="s">
        <v>403</v>
      </c>
    </row>
    <row r="108" spans="1:9">
      <c r="A108" t="s">
        <v>404</v>
      </c>
    </row>
    <row r="109" spans="1:9">
      <c r="A109" t="s">
        <v>405</v>
      </c>
    </row>
    <row r="110" spans="1:9">
      <c r="A110" t="s">
        <v>406</v>
      </c>
    </row>
    <row r="111" spans="1:9">
      <c r="A111" t="s">
        <v>407</v>
      </c>
    </row>
    <row r="112" spans="1:9">
      <c r="A112" t="s">
        <v>408</v>
      </c>
    </row>
    <row r="113" spans="1:1">
      <c r="A113" t="s">
        <v>409</v>
      </c>
    </row>
    <row r="114" spans="1:1">
      <c r="A114" t="s">
        <v>410</v>
      </c>
    </row>
    <row r="115" spans="1:1">
      <c r="A115" t="s">
        <v>411</v>
      </c>
    </row>
    <row r="116" spans="1:1">
      <c r="A116" t="s">
        <v>412</v>
      </c>
    </row>
    <row r="117" spans="1:1">
      <c r="A117" t="s">
        <v>413</v>
      </c>
    </row>
    <row r="118" spans="1:1">
      <c r="A118" t="s">
        <v>414</v>
      </c>
    </row>
    <row r="119" spans="1:1">
      <c r="A119" t="s">
        <v>415</v>
      </c>
    </row>
    <row r="120" spans="1:1">
      <c r="A120" t="s">
        <v>416</v>
      </c>
    </row>
    <row r="121" spans="1:1">
      <c r="A121" t="s">
        <v>417</v>
      </c>
    </row>
    <row r="122" spans="1:1">
      <c r="A122" t="s">
        <v>418</v>
      </c>
    </row>
    <row r="123" spans="1:1">
      <c r="A123" t="s">
        <v>419</v>
      </c>
    </row>
    <row r="124" spans="1:1">
      <c r="A124" t="s">
        <v>420</v>
      </c>
    </row>
    <row r="125" spans="1:1">
      <c r="A125" t="s">
        <v>421</v>
      </c>
    </row>
    <row r="126" spans="1:1">
      <c r="A126" t="s">
        <v>422</v>
      </c>
    </row>
    <row r="127" spans="1:1">
      <c r="A127" t="s">
        <v>423</v>
      </c>
    </row>
    <row r="128" spans="1:1">
      <c r="A128" t="s">
        <v>424</v>
      </c>
    </row>
  </sheetData>
  <mergeCells count="2">
    <mergeCell ref="C3:F3"/>
    <mergeCell ref="G3:J3"/>
  </mergeCell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P481"/>
  <sheetViews>
    <sheetView topLeftCell="A299" workbookViewId="0">
      <selection activeCell="B323" sqref="B323"/>
    </sheetView>
  </sheetViews>
  <sheetFormatPr defaultRowHeight="14.5"/>
  <sheetData>
    <row r="1" spans="1:42">
      <c r="A1" t="s">
        <v>166</v>
      </c>
      <c r="B1" t="s">
        <v>276</v>
      </c>
      <c r="C1" t="s">
        <v>425</v>
      </c>
      <c r="D1" t="s">
        <v>426</v>
      </c>
      <c r="E1" t="s">
        <v>427</v>
      </c>
      <c r="F1" t="s">
        <v>428</v>
      </c>
      <c r="G1" t="s">
        <v>429</v>
      </c>
      <c r="H1" t="s">
        <v>430</v>
      </c>
      <c r="I1" t="s">
        <v>431</v>
      </c>
      <c r="J1" t="s">
        <v>432</v>
      </c>
      <c r="K1" t="s">
        <v>433</v>
      </c>
      <c r="L1" t="s">
        <v>434</v>
      </c>
      <c r="M1" t="s">
        <v>435</v>
      </c>
      <c r="N1" t="s">
        <v>436</v>
      </c>
      <c r="O1" t="s">
        <v>437</v>
      </c>
      <c r="P1" t="s">
        <v>438</v>
      </c>
      <c r="Q1" t="s">
        <v>439</v>
      </c>
      <c r="R1" t="s">
        <v>440</v>
      </c>
      <c r="S1" t="s">
        <v>441</v>
      </c>
      <c r="T1" t="s">
        <v>442</v>
      </c>
      <c r="U1" t="s">
        <v>443</v>
      </c>
      <c r="V1" t="s">
        <v>444</v>
      </c>
      <c r="W1" t="s">
        <v>445</v>
      </c>
      <c r="X1" t="s">
        <v>446</v>
      </c>
      <c r="Y1" t="s">
        <v>447</v>
      </c>
      <c r="Z1" t="s">
        <v>448</v>
      </c>
      <c r="AA1" t="s">
        <v>449</v>
      </c>
      <c r="AB1" t="s">
        <v>450</v>
      </c>
      <c r="AC1" t="s">
        <v>451</v>
      </c>
      <c r="AD1" t="s">
        <v>452</v>
      </c>
      <c r="AE1" t="s">
        <v>453</v>
      </c>
      <c r="AF1" t="s">
        <v>454</v>
      </c>
      <c r="AG1" t="s">
        <v>455</v>
      </c>
      <c r="AH1" t="s">
        <v>456</v>
      </c>
      <c r="AI1" t="s">
        <v>457</v>
      </c>
      <c r="AJ1" t="s">
        <v>458</v>
      </c>
      <c r="AK1" t="s">
        <v>459</v>
      </c>
      <c r="AL1" t="s">
        <v>460</v>
      </c>
      <c r="AM1" t="s">
        <v>461</v>
      </c>
      <c r="AN1" t="s">
        <v>462</v>
      </c>
      <c r="AO1" t="s">
        <v>463</v>
      </c>
      <c r="AP1" t="s">
        <v>464</v>
      </c>
    </row>
    <row r="2" spans="1:42">
      <c r="A2" t="s">
        <v>465</v>
      </c>
      <c r="B2" t="s">
        <v>466</v>
      </c>
      <c r="C2">
        <v>0</v>
      </c>
      <c r="D2">
        <v>0</v>
      </c>
      <c r="E2">
        <v>0</v>
      </c>
      <c r="F2">
        <v>0</v>
      </c>
      <c r="H2">
        <v>0</v>
      </c>
      <c r="I2">
        <v>0</v>
      </c>
      <c r="J2">
        <v>0</v>
      </c>
      <c r="K2">
        <v>0</v>
      </c>
      <c r="L2">
        <v>0</v>
      </c>
      <c r="M2">
        <v>0</v>
      </c>
      <c r="N2">
        <v>0</v>
      </c>
    </row>
    <row r="3" spans="1:42">
      <c r="A3" t="s">
        <v>467</v>
      </c>
      <c r="B3" t="s">
        <v>468</v>
      </c>
      <c r="C3">
        <v>8.8800000000000008</v>
      </c>
      <c r="D3">
        <v>8</v>
      </c>
      <c r="E3">
        <v>17</v>
      </c>
      <c r="F3">
        <v>6</v>
      </c>
      <c r="H3">
        <v>0</v>
      </c>
      <c r="I3">
        <v>0</v>
      </c>
      <c r="J3">
        <v>0</v>
      </c>
      <c r="K3">
        <v>0</v>
      </c>
      <c r="L3">
        <v>0</v>
      </c>
      <c r="M3">
        <v>0</v>
      </c>
      <c r="N3">
        <v>0</v>
      </c>
    </row>
    <row r="4" spans="1:42">
      <c r="A4" t="s">
        <v>467</v>
      </c>
      <c r="B4" t="s">
        <v>469</v>
      </c>
      <c r="C4">
        <v>8.8800000000000008</v>
      </c>
      <c r="D4">
        <v>8</v>
      </c>
      <c r="E4">
        <v>17</v>
      </c>
      <c r="F4">
        <v>6</v>
      </c>
      <c r="H4">
        <v>0</v>
      </c>
      <c r="I4">
        <v>0</v>
      </c>
      <c r="J4">
        <v>0</v>
      </c>
      <c r="K4">
        <v>0</v>
      </c>
      <c r="L4">
        <v>0</v>
      </c>
      <c r="M4">
        <v>0</v>
      </c>
      <c r="N4">
        <v>0</v>
      </c>
    </row>
    <row r="5" spans="1:42">
      <c r="A5" t="s">
        <v>470</v>
      </c>
      <c r="B5" t="s">
        <v>471</v>
      </c>
      <c r="C5">
        <v>9.5399999999999991</v>
      </c>
      <c r="D5">
        <v>9</v>
      </c>
      <c r="E5">
        <v>10</v>
      </c>
      <c r="F5">
        <v>10.25</v>
      </c>
      <c r="H5">
        <v>0</v>
      </c>
      <c r="I5">
        <v>0</v>
      </c>
      <c r="J5">
        <v>0</v>
      </c>
      <c r="K5">
        <v>0</v>
      </c>
      <c r="L5">
        <v>0</v>
      </c>
      <c r="M5">
        <v>0</v>
      </c>
      <c r="N5">
        <v>0</v>
      </c>
    </row>
    <row r="6" spans="1:42">
      <c r="A6" t="s">
        <v>470</v>
      </c>
      <c r="B6" t="s">
        <v>472</v>
      </c>
      <c r="C6">
        <v>9.5500000000000007</v>
      </c>
      <c r="D6">
        <v>9</v>
      </c>
      <c r="E6">
        <v>10</v>
      </c>
      <c r="F6">
        <v>11</v>
      </c>
      <c r="H6">
        <v>0</v>
      </c>
      <c r="I6">
        <v>0</v>
      </c>
      <c r="J6">
        <v>0</v>
      </c>
      <c r="K6">
        <v>0</v>
      </c>
      <c r="L6">
        <v>0</v>
      </c>
      <c r="M6">
        <v>0</v>
      </c>
      <c r="N6">
        <v>0</v>
      </c>
    </row>
    <row r="7" spans="1:42">
      <c r="A7" t="s">
        <v>470</v>
      </c>
      <c r="B7" t="s">
        <v>473</v>
      </c>
      <c r="C7">
        <v>9.5399999999999991</v>
      </c>
      <c r="D7">
        <v>9</v>
      </c>
      <c r="E7">
        <v>10</v>
      </c>
      <c r="F7">
        <v>10.25</v>
      </c>
      <c r="H7">
        <v>0</v>
      </c>
      <c r="I7">
        <v>0</v>
      </c>
      <c r="J7">
        <v>0</v>
      </c>
      <c r="K7">
        <v>0</v>
      </c>
      <c r="L7">
        <v>0</v>
      </c>
      <c r="M7">
        <v>0</v>
      </c>
      <c r="N7">
        <v>0</v>
      </c>
    </row>
    <row r="8" spans="1:42">
      <c r="A8" t="s">
        <v>470</v>
      </c>
      <c r="B8" t="s">
        <v>474</v>
      </c>
      <c r="C8">
        <v>23.38</v>
      </c>
      <c r="D8">
        <v>23</v>
      </c>
      <c r="E8">
        <v>7</v>
      </c>
      <c r="F8">
        <v>7</v>
      </c>
      <c r="H8">
        <v>0</v>
      </c>
      <c r="I8">
        <v>0</v>
      </c>
      <c r="J8">
        <v>0</v>
      </c>
      <c r="K8">
        <v>0</v>
      </c>
      <c r="L8">
        <v>0</v>
      </c>
      <c r="M8">
        <v>0</v>
      </c>
      <c r="N8">
        <v>0</v>
      </c>
    </row>
    <row r="9" spans="1:42">
      <c r="A9" t="s">
        <v>470</v>
      </c>
      <c r="B9" t="s">
        <v>475</v>
      </c>
      <c r="C9">
        <v>52.01</v>
      </c>
      <c r="D9">
        <v>52</v>
      </c>
      <c r="E9">
        <v>0</v>
      </c>
      <c r="F9">
        <v>2.5</v>
      </c>
      <c r="H9">
        <v>0</v>
      </c>
      <c r="I9">
        <v>0</v>
      </c>
      <c r="J9">
        <v>0</v>
      </c>
      <c r="K9">
        <v>0</v>
      </c>
      <c r="L9">
        <v>0</v>
      </c>
      <c r="M9">
        <v>0</v>
      </c>
      <c r="N9">
        <v>0</v>
      </c>
    </row>
    <row r="10" spans="1:42">
      <c r="A10" t="s">
        <v>476</v>
      </c>
      <c r="B10" t="s">
        <v>477</v>
      </c>
      <c r="C10">
        <v>0.25</v>
      </c>
      <c r="D10">
        <v>0</v>
      </c>
      <c r="E10">
        <v>5</v>
      </c>
      <c r="F10">
        <v>0</v>
      </c>
      <c r="H10">
        <v>0</v>
      </c>
      <c r="I10">
        <v>0</v>
      </c>
      <c r="J10">
        <v>0</v>
      </c>
      <c r="K10">
        <v>0</v>
      </c>
      <c r="L10">
        <v>0</v>
      </c>
      <c r="M10">
        <v>0</v>
      </c>
      <c r="N10">
        <v>0</v>
      </c>
    </row>
    <row r="11" spans="1:42">
      <c r="A11" t="s">
        <v>476</v>
      </c>
      <c r="B11" t="s">
        <v>184</v>
      </c>
      <c r="C11">
        <v>0.1</v>
      </c>
      <c r="D11">
        <v>0</v>
      </c>
      <c r="E11">
        <v>2</v>
      </c>
      <c r="F11">
        <v>0</v>
      </c>
      <c r="H11">
        <v>0</v>
      </c>
      <c r="I11">
        <v>0</v>
      </c>
      <c r="J11">
        <v>0</v>
      </c>
      <c r="K11">
        <v>0</v>
      </c>
      <c r="L11">
        <v>0</v>
      </c>
      <c r="M11">
        <v>0</v>
      </c>
      <c r="N11">
        <v>0</v>
      </c>
    </row>
    <row r="12" spans="1:42">
      <c r="A12" t="s">
        <v>476</v>
      </c>
      <c r="B12" t="s">
        <v>185</v>
      </c>
      <c r="C12">
        <v>0</v>
      </c>
      <c r="D12">
        <v>0</v>
      </c>
      <c r="E12">
        <v>0</v>
      </c>
      <c r="F12">
        <v>0</v>
      </c>
      <c r="H12">
        <v>0</v>
      </c>
      <c r="I12">
        <v>0</v>
      </c>
      <c r="J12">
        <v>0</v>
      </c>
      <c r="K12">
        <v>0</v>
      </c>
      <c r="L12">
        <v>0</v>
      </c>
      <c r="M12">
        <v>0</v>
      </c>
      <c r="N12">
        <v>0</v>
      </c>
    </row>
    <row r="13" spans="1:42">
      <c r="A13" t="s">
        <v>476</v>
      </c>
      <c r="B13" t="s">
        <v>186</v>
      </c>
      <c r="C13">
        <v>0.15</v>
      </c>
      <c r="D13">
        <v>0</v>
      </c>
      <c r="E13">
        <v>3</v>
      </c>
      <c r="F13">
        <v>0</v>
      </c>
      <c r="H13">
        <v>0</v>
      </c>
      <c r="I13">
        <v>0</v>
      </c>
      <c r="J13">
        <v>0</v>
      </c>
      <c r="K13">
        <v>0</v>
      </c>
      <c r="L13">
        <v>0</v>
      </c>
      <c r="M13">
        <v>0</v>
      </c>
      <c r="N13">
        <v>0</v>
      </c>
    </row>
    <row r="14" spans="1:42">
      <c r="A14" t="s">
        <v>476</v>
      </c>
      <c r="B14" t="s">
        <v>187</v>
      </c>
      <c r="C14">
        <v>0.15</v>
      </c>
      <c r="D14">
        <v>0</v>
      </c>
      <c r="E14">
        <v>3</v>
      </c>
      <c r="F14">
        <v>0</v>
      </c>
      <c r="H14">
        <v>0</v>
      </c>
      <c r="I14">
        <v>0</v>
      </c>
      <c r="J14">
        <v>0</v>
      </c>
      <c r="K14">
        <v>0</v>
      </c>
      <c r="L14">
        <v>0</v>
      </c>
      <c r="M14">
        <v>0</v>
      </c>
      <c r="N14">
        <v>0</v>
      </c>
    </row>
    <row r="15" spans="1:42">
      <c r="A15" t="s">
        <v>476</v>
      </c>
      <c r="B15" t="s">
        <v>188</v>
      </c>
      <c r="C15">
        <v>0.15</v>
      </c>
      <c r="D15">
        <v>0</v>
      </c>
      <c r="E15">
        <v>3</v>
      </c>
      <c r="F15">
        <v>0</v>
      </c>
      <c r="H15">
        <v>0</v>
      </c>
      <c r="I15">
        <v>0</v>
      </c>
      <c r="J15">
        <v>0</v>
      </c>
      <c r="K15">
        <v>0</v>
      </c>
      <c r="L15">
        <v>0</v>
      </c>
      <c r="M15">
        <v>0</v>
      </c>
      <c r="N15">
        <v>0</v>
      </c>
    </row>
    <row r="16" spans="1:42">
      <c r="A16" t="s">
        <v>476</v>
      </c>
      <c r="B16" t="s">
        <v>478</v>
      </c>
      <c r="C16">
        <v>0.8</v>
      </c>
      <c r="D16">
        <v>0</v>
      </c>
      <c r="E16">
        <v>16</v>
      </c>
      <c r="F16">
        <v>0</v>
      </c>
      <c r="H16">
        <v>0</v>
      </c>
      <c r="I16">
        <v>0</v>
      </c>
      <c r="J16">
        <v>0</v>
      </c>
      <c r="K16">
        <v>0</v>
      </c>
      <c r="L16">
        <v>0</v>
      </c>
      <c r="M16">
        <v>0</v>
      </c>
      <c r="N16">
        <v>0</v>
      </c>
    </row>
    <row r="17" spans="1:14">
      <c r="A17" t="s">
        <v>479</v>
      </c>
      <c r="B17" t="s">
        <v>480</v>
      </c>
      <c r="C17">
        <v>0.1</v>
      </c>
      <c r="D17">
        <v>0</v>
      </c>
      <c r="E17">
        <v>2</v>
      </c>
      <c r="F17">
        <v>0</v>
      </c>
      <c r="H17">
        <v>0</v>
      </c>
      <c r="I17">
        <v>0</v>
      </c>
      <c r="J17">
        <v>0</v>
      </c>
      <c r="K17">
        <v>0</v>
      </c>
      <c r="L17">
        <v>0</v>
      </c>
      <c r="M17">
        <v>0</v>
      </c>
      <c r="N17">
        <v>0</v>
      </c>
    </row>
    <row r="18" spans="1:14">
      <c r="A18" t="s">
        <v>479</v>
      </c>
      <c r="B18" t="s">
        <v>481</v>
      </c>
      <c r="C18">
        <v>0.05</v>
      </c>
      <c r="D18">
        <v>0</v>
      </c>
      <c r="E18">
        <v>1</v>
      </c>
      <c r="F18">
        <v>0</v>
      </c>
      <c r="H18">
        <v>0</v>
      </c>
      <c r="I18">
        <v>0</v>
      </c>
      <c r="J18">
        <v>0</v>
      </c>
      <c r="K18">
        <v>0</v>
      </c>
      <c r="L18">
        <v>0</v>
      </c>
      <c r="M18">
        <v>0</v>
      </c>
      <c r="N18">
        <v>0</v>
      </c>
    </row>
    <row r="19" spans="1:14">
      <c r="A19" t="s">
        <v>479</v>
      </c>
      <c r="B19" t="s">
        <v>482</v>
      </c>
      <c r="C19">
        <v>0.03</v>
      </c>
      <c r="D19">
        <v>0</v>
      </c>
      <c r="E19">
        <v>0</v>
      </c>
      <c r="F19">
        <v>6</v>
      </c>
      <c r="H19">
        <v>0</v>
      </c>
      <c r="I19">
        <v>0</v>
      </c>
      <c r="J19">
        <v>0</v>
      </c>
      <c r="K19">
        <v>0</v>
      </c>
      <c r="L19">
        <v>0</v>
      </c>
      <c r="M19">
        <v>0</v>
      </c>
      <c r="N19">
        <v>0</v>
      </c>
    </row>
    <row r="20" spans="1:14">
      <c r="A20" t="s">
        <v>479</v>
      </c>
      <c r="B20" t="s">
        <v>483</v>
      </c>
      <c r="C20">
        <v>0.5</v>
      </c>
      <c r="D20">
        <v>0</v>
      </c>
      <c r="E20">
        <v>10</v>
      </c>
      <c r="F20">
        <v>0</v>
      </c>
      <c r="H20">
        <v>0</v>
      </c>
      <c r="I20">
        <v>0</v>
      </c>
      <c r="J20">
        <v>0</v>
      </c>
      <c r="K20">
        <v>0</v>
      </c>
      <c r="L20">
        <v>0</v>
      </c>
      <c r="M20">
        <v>0</v>
      </c>
      <c r="N20">
        <v>0</v>
      </c>
    </row>
    <row r="21" spans="1:14">
      <c r="A21" t="s">
        <v>479</v>
      </c>
      <c r="B21" t="s">
        <v>484</v>
      </c>
      <c r="C21">
        <v>0.16</v>
      </c>
      <c r="D21">
        <v>0</v>
      </c>
      <c r="E21">
        <v>3</v>
      </c>
      <c r="F21">
        <v>3</v>
      </c>
      <c r="H21">
        <v>0</v>
      </c>
      <c r="I21">
        <v>0</v>
      </c>
      <c r="J21">
        <v>0</v>
      </c>
      <c r="K21">
        <v>0</v>
      </c>
      <c r="L21">
        <v>0</v>
      </c>
      <c r="M21">
        <v>0</v>
      </c>
      <c r="N21">
        <v>0</v>
      </c>
    </row>
    <row r="22" spans="1:14">
      <c r="A22" t="s">
        <v>479</v>
      </c>
      <c r="B22" t="s">
        <v>485</v>
      </c>
      <c r="C22">
        <v>0.08</v>
      </c>
      <c r="D22">
        <v>0</v>
      </c>
      <c r="E22">
        <v>1</v>
      </c>
      <c r="F22">
        <v>6</v>
      </c>
      <c r="H22">
        <v>0</v>
      </c>
      <c r="I22">
        <v>0</v>
      </c>
      <c r="J22">
        <v>0</v>
      </c>
      <c r="K22">
        <v>0</v>
      </c>
      <c r="L22">
        <v>0</v>
      </c>
      <c r="M22">
        <v>0</v>
      </c>
      <c r="N22">
        <v>0</v>
      </c>
    </row>
    <row r="23" spans="1:14">
      <c r="A23" t="s">
        <v>479</v>
      </c>
      <c r="B23" t="s">
        <v>486</v>
      </c>
      <c r="C23">
        <v>0.03</v>
      </c>
      <c r="D23">
        <v>0</v>
      </c>
      <c r="E23">
        <v>0</v>
      </c>
      <c r="F23">
        <v>8</v>
      </c>
      <c r="H23">
        <v>0</v>
      </c>
      <c r="I23">
        <v>0</v>
      </c>
      <c r="J23">
        <v>0</v>
      </c>
      <c r="K23">
        <v>0</v>
      </c>
      <c r="L23">
        <v>0</v>
      </c>
      <c r="M23">
        <v>0</v>
      </c>
      <c r="N23">
        <v>0</v>
      </c>
    </row>
    <row r="24" spans="1:14">
      <c r="A24" t="s">
        <v>479</v>
      </c>
      <c r="B24" t="s">
        <v>487</v>
      </c>
      <c r="C24">
        <v>2.42</v>
      </c>
      <c r="D24">
        <v>2</v>
      </c>
      <c r="E24">
        <v>8</v>
      </c>
      <c r="F24">
        <v>4</v>
      </c>
      <c r="H24">
        <v>0</v>
      </c>
      <c r="I24">
        <v>0</v>
      </c>
      <c r="J24">
        <v>0</v>
      </c>
      <c r="K24">
        <v>0</v>
      </c>
      <c r="L24">
        <v>0</v>
      </c>
      <c r="M24">
        <v>0</v>
      </c>
      <c r="N24">
        <v>0</v>
      </c>
    </row>
    <row r="25" spans="1:14">
      <c r="A25" t="s">
        <v>479</v>
      </c>
      <c r="B25" t="s">
        <v>488</v>
      </c>
      <c r="C25">
        <v>0</v>
      </c>
      <c r="D25">
        <v>0</v>
      </c>
      <c r="E25">
        <v>0</v>
      </c>
      <c r="F25">
        <v>0</v>
      </c>
      <c r="H25">
        <v>0</v>
      </c>
      <c r="I25">
        <v>0</v>
      </c>
      <c r="J25">
        <v>0</v>
      </c>
      <c r="K25">
        <v>0</v>
      </c>
      <c r="L25">
        <v>0</v>
      </c>
      <c r="M25">
        <v>0</v>
      </c>
      <c r="N25">
        <v>0</v>
      </c>
    </row>
    <row r="26" spans="1:14">
      <c r="A26" t="s">
        <v>479</v>
      </c>
      <c r="B26" t="s">
        <v>489</v>
      </c>
      <c r="C26">
        <v>0.35</v>
      </c>
      <c r="D26">
        <v>0</v>
      </c>
      <c r="E26">
        <v>7</v>
      </c>
      <c r="F26">
        <v>0</v>
      </c>
      <c r="H26">
        <v>0</v>
      </c>
      <c r="I26">
        <v>0</v>
      </c>
      <c r="J26">
        <v>0</v>
      </c>
      <c r="K26">
        <v>0</v>
      </c>
      <c r="L26">
        <v>0</v>
      </c>
      <c r="M26">
        <v>0</v>
      </c>
      <c r="N26">
        <v>0</v>
      </c>
    </row>
    <row r="27" spans="1:14">
      <c r="A27" t="s">
        <v>479</v>
      </c>
      <c r="B27" t="s">
        <v>490</v>
      </c>
      <c r="C27">
        <v>0.35</v>
      </c>
      <c r="D27">
        <v>0</v>
      </c>
      <c r="E27">
        <v>7</v>
      </c>
      <c r="F27">
        <v>0</v>
      </c>
      <c r="H27">
        <v>0</v>
      </c>
      <c r="I27">
        <v>0</v>
      </c>
      <c r="J27">
        <v>0</v>
      </c>
      <c r="K27">
        <v>0</v>
      </c>
      <c r="L27">
        <v>0</v>
      </c>
      <c r="M27">
        <v>0</v>
      </c>
      <c r="N27">
        <v>0</v>
      </c>
    </row>
    <row r="28" spans="1:14">
      <c r="A28" t="s">
        <v>479</v>
      </c>
      <c r="B28" t="s">
        <v>491</v>
      </c>
      <c r="C28">
        <v>0.08</v>
      </c>
      <c r="D28">
        <v>0</v>
      </c>
      <c r="E28">
        <v>1</v>
      </c>
      <c r="F28">
        <v>6</v>
      </c>
      <c r="H28">
        <v>0</v>
      </c>
      <c r="I28">
        <v>0</v>
      </c>
      <c r="J28">
        <v>0</v>
      </c>
      <c r="K28">
        <v>0</v>
      </c>
      <c r="L28">
        <v>0</v>
      </c>
      <c r="M28">
        <v>0</v>
      </c>
      <c r="N28">
        <v>0</v>
      </c>
    </row>
    <row r="29" spans="1:14">
      <c r="A29" t="s">
        <v>479</v>
      </c>
      <c r="B29" t="s">
        <v>492</v>
      </c>
      <c r="C29">
        <v>0.03</v>
      </c>
      <c r="D29">
        <v>0</v>
      </c>
      <c r="E29">
        <v>0</v>
      </c>
      <c r="F29">
        <v>6</v>
      </c>
      <c r="H29">
        <v>0</v>
      </c>
      <c r="I29">
        <v>0</v>
      </c>
      <c r="J29">
        <v>0</v>
      </c>
      <c r="K29">
        <v>0</v>
      </c>
      <c r="L29">
        <v>0</v>
      </c>
      <c r="M29">
        <v>0</v>
      </c>
      <c r="N29">
        <v>0</v>
      </c>
    </row>
    <row r="30" spans="1:14">
      <c r="A30" t="s">
        <v>479</v>
      </c>
      <c r="B30" t="s">
        <v>493</v>
      </c>
      <c r="C30">
        <v>0.33</v>
      </c>
      <c r="D30">
        <v>0</v>
      </c>
      <c r="E30">
        <v>6</v>
      </c>
      <c r="F30">
        <v>6</v>
      </c>
      <c r="H30">
        <v>0</v>
      </c>
      <c r="I30">
        <v>0</v>
      </c>
      <c r="J30">
        <v>0</v>
      </c>
      <c r="K30">
        <v>0</v>
      </c>
      <c r="L30">
        <v>0</v>
      </c>
      <c r="M30">
        <v>0</v>
      </c>
      <c r="N30">
        <v>0</v>
      </c>
    </row>
    <row r="31" spans="1:14">
      <c r="A31" t="s">
        <v>479</v>
      </c>
      <c r="B31" t="s">
        <v>494</v>
      </c>
      <c r="C31">
        <v>0.05</v>
      </c>
      <c r="D31">
        <v>0</v>
      </c>
      <c r="E31">
        <v>1</v>
      </c>
      <c r="F31">
        <v>0</v>
      </c>
      <c r="H31">
        <v>0</v>
      </c>
      <c r="I31">
        <v>0</v>
      </c>
      <c r="J31">
        <v>0</v>
      </c>
      <c r="K31">
        <v>0</v>
      </c>
      <c r="L31">
        <v>0</v>
      </c>
      <c r="M31">
        <v>0</v>
      </c>
      <c r="N31">
        <v>0</v>
      </c>
    </row>
    <row r="32" spans="1:14">
      <c r="A32" t="s">
        <v>479</v>
      </c>
      <c r="B32" t="s">
        <v>495</v>
      </c>
      <c r="C32">
        <v>0.08</v>
      </c>
      <c r="D32">
        <v>0</v>
      </c>
      <c r="E32">
        <v>1</v>
      </c>
      <c r="F32">
        <v>6</v>
      </c>
      <c r="H32">
        <v>0</v>
      </c>
      <c r="I32">
        <v>0</v>
      </c>
      <c r="J32">
        <v>0</v>
      </c>
      <c r="K32">
        <v>0</v>
      </c>
      <c r="L32">
        <v>0</v>
      </c>
      <c r="M32">
        <v>0</v>
      </c>
      <c r="N32">
        <v>0</v>
      </c>
    </row>
    <row r="33" spans="1:14">
      <c r="A33" t="s">
        <v>479</v>
      </c>
      <c r="B33" t="s">
        <v>496</v>
      </c>
      <c r="C33">
        <v>0.13</v>
      </c>
      <c r="D33">
        <v>0</v>
      </c>
      <c r="E33">
        <v>2</v>
      </c>
      <c r="F33">
        <v>8</v>
      </c>
      <c r="H33">
        <v>0</v>
      </c>
      <c r="I33">
        <v>0</v>
      </c>
      <c r="J33">
        <v>0</v>
      </c>
      <c r="K33">
        <v>0</v>
      </c>
      <c r="L33">
        <v>0</v>
      </c>
      <c r="M33">
        <v>0</v>
      </c>
      <c r="N33">
        <v>0</v>
      </c>
    </row>
    <row r="34" spans="1:14">
      <c r="A34" t="s">
        <v>479</v>
      </c>
      <c r="B34" t="s">
        <v>497</v>
      </c>
      <c r="C34">
        <v>4.75</v>
      </c>
      <c r="D34">
        <v>4</v>
      </c>
      <c r="E34">
        <v>14</v>
      </c>
      <c r="F34">
        <v>11</v>
      </c>
      <c r="H34">
        <v>0</v>
      </c>
      <c r="I34">
        <v>0</v>
      </c>
      <c r="J34">
        <v>0</v>
      </c>
      <c r="K34">
        <v>0</v>
      </c>
      <c r="L34">
        <v>0</v>
      </c>
      <c r="M34">
        <v>0</v>
      </c>
      <c r="N34">
        <v>0</v>
      </c>
    </row>
    <row r="35" spans="1:14">
      <c r="A35" t="s">
        <v>498</v>
      </c>
      <c r="B35" t="s">
        <v>499</v>
      </c>
      <c r="C35">
        <v>0.15</v>
      </c>
      <c r="D35">
        <v>0</v>
      </c>
      <c r="E35">
        <v>3</v>
      </c>
      <c r="F35">
        <v>0</v>
      </c>
      <c r="H35">
        <v>0</v>
      </c>
      <c r="I35">
        <v>0</v>
      </c>
      <c r="J35">
        <v>0</v>
      </c>
      <c r="K35">
        <v>0</v>
      </c>
      <c r="L35">
        <v>0</v>
      </c>
      <c r="M35">
        <v>0</v>
      </c>
      <c r="N35">
        <v>0</v>
      </c>
    </row>
    <row r="36" spans="1:14">
      <c r="A36" t="s">
        <v>498</v>
      </c>
      <c r="B36" t="s">
        <v>500</v>
      </c>
      <c r="C36">
        <v>0.15</v>
      </c>
      <c r="D36">
        <v>0</v>
      </c>
      <c r="E36">
        <v>3</v>
      </c>
      <c r="F36">
        <v>0</v>
      </c>
      <c r="H36">
        <v>0</v>
      </c>
      <c r="I36">
        <v>0</v>
      </c>
      <c r="J36">
        <v>0</v>
      </c>
      <c r="K36">
        <v>0</v>
      </c>
      <c r="L36">
        <v>0</v>
      </c>
      <c r="M36">
        <v>0</v>
      </c>
      <c r="N36">
        <v>0</v>
      </c>
    </row>
    <row r="37" spans="1:14">
      <c r="A37" t="s">
        <v>498</v>
      </c>
      <c r="B37" t="s">
        <v>501</v>
      </c>
      <c r="C37">
        <v>0.15</v>
      </c>
      <c r="D37">
        <v>0</v>
      </c>
      <c r="E37">
        <v>3</v>
      </c>
      <c r="F37">
        <v>0</v>
      </c>
      <c r="H37">
        <v>0</v>
      </c>
      <c r="I37">
        <v>0</v>
      </c>
      <c r="J37">
        <v>0</v>
      </c>
      <c r="K37">
        <v>0</v>
      </c>
      <c r="L37">
        <v>0</v>
      </c>
      <c r="M37">
        <v>0</v>
      </c>
      <c r="N37">
        <v>0</v>
      </c>
    </row>
    <row r="38" spans="1:14">
      <c r="A38" t="s">
        <v>498</v>
      </c>
      <c r="B38" t="s">
        <v>502</v>
      </c>
      <c r="C38">
        <v>0.15</v>
      </c>
      <c r="D38">
        <v>0</v>
      </c>
      <c r="E38">
        <v>3</v>
      </c>
      <c r="F38">
        <v>0</v>
      </c>
      <c r="H38">
        <v>0</v>
      </c>
      <c r="I38">
        <v>0</v>
      </c>
      <c r="J38">
        <v>0</v>
      </c>
      <c r="K38">
        <v>0</v>
      </c>
      <c r="L38">
        <v>0</v>
      </c>
      <c r="M38">
        <v>0</v>
      </c>
      <c r="N38">
        <v>0</v>
      </c>
    </row>
    <row r="39" spans="1:14">
      <c r="A39" t="s">
        <v>498</v>
      </c>
      <c r="B39" t="s">
        <v>503</v>
      </c>
      <c r="C39">
        <v>0.15</v>
      </c>
      <c r="D39">
        <v>0</v>
      </c>
      <c r="E39">
        <v>3</v>
      </c>
      <c r="F39">
        <v>0</v>
      </c>
      <c r="H39">
        <v>0</v>
      </c>
      <c r="I39">
        <v>0</v>
      </c>
      <c r="J39">
        <v>0</v>
      </c>
      <c r="K39">
        <v>0</v>
      </c>
      <c r="L39">
        <v>0</v>
      </c>
      <c r="M39">
        <v>0</v>
      </c>
      <c r="N39">
        <v>0</v>
      </c>
    </row>
    <row r="40" spans="1:14">
      <c r="A40" t="s">
        <v>498</v>
      </c>
      <c r="B40" t="s">
        <v>504</v>
      </c>
      <c r="C40">
        <v>0.75</v>
      </c>
      <c r="D40">
        <v>0</v>
      </c>
      <c r="E40">
        <v>15</v>
      </c>
      <c r="F40">
        <v>0</v>
      </c>
      <c r="H40">
        <v>0</v>
      </c>
      <c r="I40">
        <v>0</v>
      </c>
      <c r="J40">
        <v>0</v>
      </c>
      <c r="K40">
        <v>0</v>
      </c>
      <c r="L40">
        <v>0</v>
      </c>
      <c r="M40">
        <v>0</v>
      </c>
      <c r="N40">
        <v>0</v>
      </c>
    </row>
    <row r="41" spans="1:14">
      <c r="A41" t="s">
        <v>505</v>
      </c>
      <c r="B41" t="s">
        <v>506</v>
      </c>
      <c r="C41">
        <v>0.25</v>
      </c>
      <c r="D41">
        <v>0</v>
      </c>
      <c r="E41">
        <v>5</v>
      </c>
      <c r="F41">
        <v>0</v>
      </c>
      <c r="H41">
        <v>0</v>
      </c>
      <c r="I41">
        <v>0</v>
      </c>
      <c r="J41">
        <v>0</v>
      </c>
      <c r="K41">
        <v>0</v>
      </c>
      <c r="L41">
        <v>0</v>
      </c>
      <c r="M41">
        <v>0</v>
      </c>
      <c r="N41">
        <v>0</v>
      </c>
    </row>
    <row r="42" spans="1:14">
      <c r="A42" t="s">
        <v>505</v>
      </c>
      <c r="B42" t="s">
        <v>507</v>
      </c>
      <c r="C42">
        <v>0.15</v>
      </c>
      <c r="D42">
        <v>0</v>
      </c>
      <c r="E42">
        <v>3</v>
      </c>
      <c r="F42">
        <v>0</v>
      </c>
      <c r="H42">
        <v>0</v>
      </c>
      <c r="I42">
        <v>0</v>
      </c>
      <c r="J42">
        <v>0</v>
      </c>
      <c r="K42">
        <v>0</v>
      </c>
      <c r="L42">
        <v>0</v>
      </c>
      <c r="M42">
        <v>0</v>
      </c>
      <c r="N42">
        <v>0</v>
      </c>
    </row>
    <row r="43" spans="1:14">
      <c r="A43" t="s">
        <v>505</v>
      </c>
      <c r="B43" t="s">
        <v>508</v>
      </c>
      <c r="C43">
        <v>0.15</v>
      </c>
      <c r="D43">
        <v>0</v>
      </c>
      <c r="E43">
        <v>3</v>
      </c>
      <c r="F43">
        <v>0</v>
      </c>
      <c r="H43">
        <v>0</v>
      </c>
      <c r="I43">
        <v>0</v>
      </c>
      <c r="J43">
        <v>0</v>
      </c>
      <c r="K43">
        <v>0</v>
      </c>
      <c r="L43">
        <v>0</v>
      </c>
      <c r="M43">
        <v>0</v>
      </c>
      <c r="N43">
        <v>0</v>
      </c>
    </row>
    <row r="44" spans="1:14">
      <c r="A44" t="s">
        <v>505</v>
      </c>
      <c r="B44" t="s">
        <v>509</v>
      </c>
      <c r="C44">
        <v>0.15</v>
      </c>
      <c r="D44">
        <v>0</v>
      </c>
      <c r="E44">
        <v>3</v>
      </c>
      <c r="F44">
        <v>0</v>
      </c>
      <c r="H44">
        <v>0</v>
      </c>
      <c r="I44">
        <v>0</v>
      </c>
      <c r="J44">
        <v>0</v>
      </c>
      <c r="K44">
        <v>0</v>
      </c>
      <c r="L44">
        <v>0</v>
      </c>
      <c r="M44">
        <v>0</v>
      </c>
      <c r="N44">
        <v>0</v>
      </c>
    </row>
    <row r="45" spans="1:14">
      <c r="A45" t="s">
        <v>505</v>
      </c>
      <c r="B45" t="s">
        <v>510</v>
      </c>
      <c r="C45">
        <v>0.25</v>
      </c>
      <c r="D45">
        <v>0</v>
      </c>
      <c r="E45">
        <v>5</v>
      </c>
      <c r="F45">
        <v>0</v>
      </c>
      <c r="H45">
        <v>0</v>
      </c>
      <c r="I45">
        <v>0</v>
      </c>
      <c r="J45">
        <v>0</v>
      </c>
      <c r="K45">
        <v>0</v>
      </c>
      <c r="L45">
        <v>0</v>
      </c>
      <c r="M45">
        <v>0</v>
      </c>
      <c r="N45">
        <v>0</v>
      </c>
    </row>
    <row r="46" spans="1:14">
      <c r="A46" t="s">
        <v>505</v>
      </c>
      <c r="B46" t="s">
        <v>511</v>
      </c>
      <c r="C46">
        <v>0.25</v>
      </c>
      <c r="D46">
        <v>0</v>
      </c>
      <c r="E46">
        <v>5</v>
      </c>
      <c r="F46">
        <v>0</v>
      </c>
      <c r="H46">
        <v>0</v>
      </c>
      <c r="I46">
        <v>0</v>
      </c>
      <c r="J46">
        <v>0</v>
      </c>
      <c r="K46">
        <v>0</v>
      </c>
      <c r="L46">
        <v>0</v>
      </c>
      <c r="M46">
        <v>0</v>
      </c>
      <c r="N46">
        <v>0</v>
      </c>
    </row>
    <row r="47" spans="1:14">
      <c r="A47" t="s">
        <v>505</v>
      </c>
      <c r="B47" t="s">
        <v>512</v>
      </c>
      <c r="C47">
        <v>0.15</v>
      </c>
      <c r="D47">
        <v>0</v>
      </c>
      <c r="E47">
        <v>3</v>
      </c>
      <c r="F47">
        <v>0</v>
      </c>
      <c r="H47">
        <v>0</v>
      </c>
      <c r="I47">
        <v>0</v>
      </c>
      <c r="J47">
        <v>0</v>
      </c>
      <c r="K47">
        <v>0</v>
      </c>
      <c r="L47">
        <v>0</v>
      </c>
      <c r="M47">
        <v>0</v>
      </c>
      <c r="N47">
        <v>0</v>
      </c>
    </row>
    <row r="48" spans="1:14">
      <c r="A48" t="s">
        <v>505</v>
      </c>
      <c r="B48" t="s">
        <v>513</v>
      </c>
      <c r="C48">
        <v>0.3</v>
      </c>
      <c r="D48">
        <v>0</v>
      </c>
      <c r="E48">
        <v>6</v>
      </c>
      <c r="F48">
        <v>0</v>
      </c>
      <c r="H48">
        <v>0</v>
      </c>
      <c r="I48">
        <v>0</v>
      </c>
      <c r="J48">
        <v>0</v>
      </c>
      <c r="K48">
        <v>0</v>
      </c>
      <c r="L48">
        <v>0</v>
      </c>
      <c r="M48">
        <v>0</v>
      </c>
      <c r="N48">
        <v>0</v>
      </c>
    </row>
    <row r="49" spans="1:14">
      <c r="A49" t="s">
        <v>505</v>
      </c>
      <c r="B49" t="s">
        <v>514</v>
      </c>
      <c r="C49">
        <v>0.25</v>
      </c>
      <c r="D49">
        <v>0</v>
      </c>
      <c r="E49">
        <v>5</v>
      </c>
      <c r="F49">
        <v>0</v>
      </c>
      <c r="H49">
        <v>0</v>
      </c>
      <c r="I49">
        <v>0</v>
      </c>
      <c r="J49">
        <v>0</v>
      </c>
      <c r="K49">
        <v>0</v>
      </c>
      <c r="L49">
        <v>0</v>
      </c>
      <c r="M49">
        <v>0</v>
      </c>
      <c r="N49">
        <v>0</v>
      </c>
    </row>
    <row r="50" spans="1:14">
      <c r="A50" t="s">
        <v>505</v>
      </c>
      <c r="B50" t="s">
        <v>515</v>
      </c>
      <c r="C50">
        <v>0.15</v>
      </c>
      <c r="D50">
        <v>0</v>
      </c>
      <c r="E50">
        <v>3</v>
      </c>
      <c r="F50">
        <v>0</v>
      </c>
      <c r="H50">
        <v>0</v>
      </c>
      <c r="I50">
        <v>0</v>
      </c>
      <c r="J50">
        <v>0</v>
      </c>
      <c r="K50">
        <v>0</v>
      </c>
      <c r="L50">
        <v>0</v>
      </c>
      <c r="M50">
        <v>0</v>
      </c>
      <c r="N50">
        <v>0</v>
      </c>
    </row>
    <row r="51" spans="1:14">
      <c r="A51" t="s">
        <v>505</v>
      </c>
      <c r="B51" t="s">
        <v>516</v>
      </c>
      <c r="C51">
        <v>0.37</v>
      </c>
      <c r="D51">
        <v>0</v>
      </c>
      <c r="E51">
        <v>7</v>
      </c>
      <c r="F51">
        <v>4</v>
      </c>
      <c r="H51">
        <v>0</v>
      </c>
      <c r="I51">
        <v>0</v>
      </c>
      <c r="J51">
        <v>0</v>
      </c>
      <c r="K51">
        <v>0</v>
      </c>
      <c r="L51">
        <v>0</v>
      </c>
      <c r="M51">
        <v>0</v>
      </c>
      <c r="N51">
        <v>0</v>
      </c>
    </row>
    <row r="52" spans="1:14">
      <c r="A52" t="s">
        <v>505</v>
      </c>
      <c r="B52" t="s">
        <v>517</v>
      </c>
      <c r="C52">
        <v>0.15</v>
      </c>
      <c r="D52">
        <v>0</v>
      </c>
      <c r="E52">
        <v>3</v>
      </c>
      <c r="F52">
        <v>0</v>
      </c>
      <c r="H52">
        <v>0</v>
      </c>
      <c r="I52">
        <v>0</v>
      </c>
      <c r="J52">
        <v>0</v>
      </c>
      <c r="K52">
        <v>0</v>
      </c>
      <c r="L52">
        <v>0</v>
      </c>
      <c r="M52">
        <v>0</v>
      </c>
      <c r="N52">
        <v>0</v>
      </c>
    </row>
    <row r="53" spans="1:14">
      <c r="A53" t="s">
        <v>505</v>
      </c>
      <c r="B53" t="s">
        <v>518</v>
      </c>
      <c r="C53">
        <v>0.15</v>
      </c>
      <c r="D53">
        <v>0</v>
      </c>
      <c r="E53">
        <v>3</v>
      </c>
      <c r="F53">
        <v>0</v>
      </c>
      <c r="H53">
        <v>0</v>
      </c>
      <c r="I53">
        <v>0</v>
      </c>
      <c r="J53">
        <v>0</v>
      </c>
      <c r="K53">
        <v>0</v>
      </c>
      <c r="L53">
        <v>0</v>
      </c>
      <c r="M53">
        <v>0</v>
      </c>
      <c r="N53">
        <v>0</v>
      </c>
    </row>
    <row r="54" spans="1:14">
      <c r="A54" t="s">
        <v>505</v>
      </c>
      <c r="B54" t="s">
        <v>519</v>
      </c>
      <c r="C54">
        <v>0.3</v>
      </c>
      <c r="D54">
        <v>0</v>
      </c>
      <c r="E54">
        <v>6</v>
      </c>
      <c r="F54">
        <v>0</v>
      </c>
      <c r="H54">
        <v>0</v>
      </c>
      <c r="I54">
        <v>0</v>
      </c>
      <c r="J54">
        <v>0</v>
      </c>
      <c r="K54">
        <v>0</v>
      </c>
      <c r="L54">
        <v>0</v>
      </c>
      <c r="M54">
        <v>0</v>
      </c>
      <c r="N54">
        <v>0</v>
      </c>
    </row>
    <row r="55" spans="1:14">
      <c r="A55" t="s">
        <v>505</v>
      </c>
      <c r="B55" t="s">
        <v>520</v>
      </c>
      <c r="C55">
        <v>0.15</v>
      </c>
      <c r="D55">
        <v>0</v>
      </c>
      <c r="E55">
        <v>3</v>
      </c>
      <c r="F55">
        <v>0</v>
      </c>
      <c r="H55">
        <v>0</v>
      </c>
      <c r="I55">
        <v>0</v>
      </c>
      <c r="J55">
        <v>0</v>
      </c>
      <c r="K55">
        <v>0</v>
      </c>
      <c r="L55">
        <v>0</v>
      </c>
      <c r="M55">
        <v>0</v>
      </c>
      <c r="N55">
        <v>0</v>
      </c>
    </row>
    <row r="56" spans="1:14">
      <c r="A56" t="s">
        <v>505</v>
      </c>
      <c r="B56" t="s">
        <v>521</v>
      </c>
      <c r="C56">
        <v>0.06</v>
      </c>
      <c r="D56">
        <v>0</v>
      </c>
      <c r="E56">
        <v>1</v>
      </c>
      <c r="F56">
        <v>3</v>
      </c>
      <c r="H56">
        <v>0</v>
      </c>
      <c r="I56">
        <v>0</v>
      </c>
      <c r="J56">
        <v>0</v>
      </c>
      <c r="K56">
        <v>0</v>
      </c>
      <c r="L56">
        <v>0</v>
      </c>
      <c r="M56">
        <v>0</v>
      </c>
      <c r="N56">
        <v>0</v>
      </c>
    </row>
    <row r="57" spans="1:14">
      <c r="A57" t="s">
        <v>505</v>
      </c>
      <c r="B57" t="s">
        <v>522</v>
      </c>
      <c r="C57">
        <v>0.03</v>
      </c>
      <c r="D57">
        <v>0</v>
      </c>
      <c r="E57">
        <v>0</v>
      </c>
      <c r="F57">
        <v>6</v>
      </c>
      <c r="H57">
        <v>0</v>
      </c>
      <c r="I57">
        <v>0</v>
      </c>
      <c r="J57">
        <v>0</v>
      </c>
      <c r="K57">
        <v>0</v>
      </c>
      <c r="L57">
        <v>0</v>
      </c>
      <c r="M57">
        <v>0</v>
      </c>
      <c r="N57">
        <v>0</v>
      </c>
    </row>
    <row r="58" spans="1:14">
      <c r="A58" t="s">
        <v>505</v>
      </c>
      <c r="B58" t="s">
        <v>523</v>
      </c>
      <c r="C58">
        <v>0.15</v>
      </c>
      <c r="D58">
        <v>0</v>
      </c>
      <c r="E58">
        <v>3</v>
      </c>
      <c r="F58">
        <v>0</v>
      </c>
      <c r="H58">
        <v>0</v>
      </c>
      <c r="I58">
        <v>0</v>
      </c>
      <c r="J58">
        <v>0</v>
      </c>
      <c r="K58">
        <v>0</v>
      </c>
      <c r="L58">
        <v>0</v>
      </c>
      <c r="M58">
        <v>0</v>
      </c>
      <c r="N58">
        <v>0</v>
      </c>
    </row>
    <row r="59" spans="1:14">
      <c r="A59" t="s">
        <v>505</v>
      </c>
      <c r="B59" t="s">
        <v>524</v>
      </c>
      <c r="C59">
        <v>0.25</v>
      </c>
      <c r="D59">
        <v>0</v>
      </c>
      <c r="E59">
        <v>5</v>
      </c>
      <c r="F59">
        <v>0</v>
      </c>
      <c r="H59">
        <v>0</v>
      </c>
      <c r="I59">
        <v>0</v>
      </c>
      <c r="J59">
        <v>0</v>
      </c>
      <c r="K59">
        <v>0</v>
      </c>
      <c r="L59">
        <v>0</v>
      </c>
      <c r="M59">
        <v>0</v>
      </c>
      <c r="N59">
        <v>0</v>
      </c>
    </row>
    <row r="60" spans="1:14">
      <c r="A60" t="s">
        <v>505</v>
      </c>
      <c r="B60" t="s">
        <v>525</v>
      </c>
      <c r="C60">
        <v>0.15</v>
      </c>
      <c r="D60">
        <v>0</v>
      </c>
      <c r="E60">
        <v>3</v>
      </c>
      <c r="F60">
        <v>0</v>
      </c>
      <c r="H60">
        <v>0</v>
      </c>
      <c r="I60">
        <v>0</v>
      </c>
      <c r="J60">
        <v>0</v>
      </c>
      <c r="K60">
        <v>0</v>
      </c>
      <c r="L60">
        <v>0</v>
      </c>
      <c r="M60">
        <v>0</v>
      </c>
      <c r="N60">
        <v>0</v>
      </c>
    </row>
    <row r="61" spans="1:14">
      <c r="A61" t="s">
        <v>505</v>
      </c>
      <c r="B61" t="s">
        <v>526</v>
      </c>
      <c r="C61">
        <v>0.3</v>
      </c>
      <c r="D61">
        <v>0</v>
      </c>
      <c r="E61">
        <v>6</v>
      </c>
      <c r="F61">
        <v>0</v>
      </c>
      <c r="H61">
        <v>0</v>
      </c>
      <c r="I61">
        <v>0</v>
      </c>
      <c r="J61">
        <v>0</v>
      </c>
      <c r="K61">
        <v>0</v>
      </c>
      <c r="L61">
        <v>0</v>
      </c>
      <c r="M61">
        <v>0</v>
      </c>
      <c r="N61">
        <v>0</v>
      </c>
    </row>
    <row r="62" spans="1:14">
      <c r="A62" t="s">
        <v>505</v>
      </c>
      <c r="B62" t="s">
        <v>527</v>
      </c>
      <c r="C62">
        <v>4.0999999999999996</v>
      </c>
      <c r="D62">
        <v>4</v>
      </c>
      <c r="E62">
        <v>2</v>
      </c>
      <c r="F62">
        <v>1</v>
      </c>
      <c r="H62">
        <v>0</v>
      </c>
      <c r="I62">
        <v>0</v>
      </c>
      <c r="J62">
        <v>0</v>
      </c>
      <c r="K62">
        <v>0</v>
      </c>
      <c r="L62">
        <v>0</v>
      </c>
      <c r="M62">
        <v>0</v>
      </c>
      <c r="N62">
        <v>0</v>
      </c>
    </row>
    <row r="63" spans="1:14">
      <c r="A63" t="s">
        <v>528</v>
      </c>
      <c r="B63" t="s">
        <v>529</v>
      </c>
      <c r="C63">
        <v>10.4</v>
      </c>
      <c r="D63">
        <v>10</v>
      </c>
      <c r="E63">
        <v>8</v>
      </c>
      <c r="F63">
        <v>0</v>
      </c>
      <c r="H63">
        <v>0</v>
      </c>
      <c r="I63">
        <v>0</v>
      </c>
      <c r="J63">
        <v>0</v>
      </c>
      <c r="K63">
        <v>0</v>
      </c>
      <c r="L63">
        <v>0</v>
      </c>
      <c r="M63">
        <v>0</v>
      </c>
      <c r="N63">
        <v>0</v>
      </c>
    </row>
    <row r="64" spans="1:14">
      <c r="A64" t="s">
        <v>530</v>
      </c>
      <c r="B64" t="s">
        <v>531</v>
      </c>
      <c r="C64">
        <v>41.61</v>
      </c>
      <c r="D64">
        <v>41</v>
      </c>
      <c r="E64">
        <v>12</v>
      </c>
      <c r="F64">
        <v>2.5</v>
      </c>
      <c r="H64">
        <v>0</v>
      </c>
      <c r="I64">
        <v>0</v>
      </c>
      <c r="J64">
        <v>0</v>
      </c>
      <c r="K64">
        <v>0</v>
      </c>
      <c r="L64">
        <v>0</v>
      </c>
      <c r="M64">
        <v>0</v>
      </c>
      <c r="N64">
        <v>0</v>
      </c>
    </row>
    <row r="65" spans="1:14">
      <c r="A65" t="s">
        <v>532</v>
      </c>
      <c r="B65" t="s">
        <v>533</v>
      </c>
      <c r="C65">
        <v>4.33</v>
      </c>
      <c r="D65">
        <v>4</v>
      </c>
      <c r="E65">
        <v>6</v>
      </c>
      <c r="F65">
        <v>8</v>
      </c>
      <c r="H65">
        <v>0</v>
      </c>
      <c r="I65">
        <v>0</v>
      </c>
      <c r="J65">
        <v>0</v>
      </c>
      <c r="K65">
        <v>0</v>
      </c>
      <c r="L65">
        <v>0</v>
      </c>
      <c r="M65">
        <v>0</v>
      </c>
      <c r="N65">
        <v>0</v>
      </c>
    </row>
    <row r="66" spans="1:14">
      <c r="A66" t="s">
        <v>532</v>
      </c>
      <c r="B66" t="s">
        <v>534</v>
      </c>
      <c r="C66">
        <v>4.33</v>
      </c>
      <c r="D66">
        <v>4</v>
      </c>
      <c r="E66">
        <v>6</v>
      </c>
      <c r="F66">
        <v>8</v>
      </c>
      <c r="H66">
        <v>0</v>
      </c>
      <c r="I66">
        <v>0</v>
      </c>
      <c r="J66">
        <v>0</v>
      </c>
      <c r="K66">
        <v>0</v>
      </c>
      <c r="L66">
        <v>0</v>
      </c>
      <c r="M66">
        <v>0</v>
      </c>
      <c r="N66">
        <v>0</v>
      </c>
    </row>
    <row r="67" spans="1:14">
      <c r="A67" t="s">
        <v>535</v>
      </c>
      <c r="B67" t="s">
        <v>536</v>
      </c>
      <c r="C67">
        <v>0.05</v>
      </c>
      <c r="D67">
        <v>0</v>
      </c>
      <c r="E67">
        <v>1</v>
      </c>
      <c r="F67">
        <v>0</v>
      </c>
      <c r="H67">
        <v>0</v>
      </c>
      <c r="I67">
        <v>0</v>
      </c>
      <c r="J67">
        <v>0</v>
      </c>
      <c r="K67">
        <v>0</v>
      </c>
      <c r="L67">
        <v>0</v>
      </c>
      <c r="M67">
        <v>0</v>
      </c>
      <c r="N67">
        <v>0</v>
      </c>
    </row>
    <row r="68" spans="1:14">
      <c r="A68" t="s">
        <v>535</v>
      </c>
      <c r="B68" t="s">
        <v>537</v>
      </c>
      <c r="C68">
        <v>0.01</v>
      </c>
      <c r="D68">
        <v>0</v>
      </c>
      <c r="E68">
        <v>0</v>
      </c>
      <c r="F68">
        <v>2</v>
      </c>
      <c r="H68">
        <v>0</v>
      </c>
      <c r="I68">
        <v>0</v>
      </c>
      <c r="J68">
        <v>0</v>
      </c>
      <c r="K68">
        <v>0</v>
      </c>
      <c r="L68">
        <v>0</v>
      </c>
      <c r="M68">
        <v>0</v>
      </c>
      <c r="N68">
        <v>0</v>
      </c>
    </row>
    <row r="69" spans="1:14">
      <c r="A69" t="s">
        <v>535</v>
      </c>
      <c r="B69" t="s">
        <v>538</v>
      </c>
      <c r="C69">
        <v>0.05</v>
      </c>
      <c r="D69">
        <v>0</v>
      </c>
      <c r="E69">
        <v>1</v>
      </c>
      <c r="F69">
        <v>0</v>
      </c>
      <c r="H69">
        <v>0</v>
      </c>
      <c r="I69">
        <v>0</v>
      </c>
      <c r="J69">
        <v>0</v>
      </c>
      <c r="K69">
        <v>0</v>
      </c>
      <c r="L69">
        <v>0</v>
      </c>
      <c r="M69">
        <v>0</v>
      </c>
      <c r="N69">
        <v>0</v>
      </c>
    </row>
    <row r="70" spans="1:14">
      <c r="A70" t="s">
        <v>535</v>
      </c>
      <c r="B70" t="s">
        <v>539</v>
      </c>
      <c r="C70">
        <v>0.01</v>
      </c>
      <c r="D70">
        <v>0</v>
      </c>
      <c r="E70">
        <v>0</v>
      </c>
      <c r="F70">
        <v>2</v>
      </c>
      <c r="H70">
        <v>0</v>
      </c>
      <c r="I70">
        <v>0</v>
      </c>
      <c r="J70">
        <v>0</v>
      </c>
      <c r="K70">
        <v>0</v>
      </c>
      <c r="L70">
        <v>0</v>
      </c>
      <c r="M70">
        <v>0</v>
      </c>
      <c r="N70">
        <v>0</v>
      </c>
    </row>
    <row r="71" spans="1:14">
      <c r="A71" t="s">
        <v>535</v>
      </c>
      <c r="B71" t="s">
        <v>540</v>
      </c>
      <c r="C71">
        <v>0.01</v>
      </c>
      <c r="D71">
        <v>0</v>
      </c>
      <c r="E71">
        <v>0</v>
      </c>
      <c r="F71">
        <v>2</v>
      </c>
      <c r="H71">
        <v>0</v>
      </c>
      <c r="I71">
        <v>0</v>
      </c>
      <c r="J71">
        <v>0</v>
      </c>
      <c r="K71">
        <v>0</v>
      </c>
      <c r="L71">
        <v>0</v>
      </c>
      <c r="M71">
        <v>0</v>
      </c>
      <c r="N71">
        <v>0</v>
      </c>
    </row>
    <row r="72" spans="1:14">
      <c r="A72" t="s">
        <v>535</v>
      </c>
      <c r="B72" t="s">
        <v>541</v>
      </c>
      <c r="C72">
        <v>0.05</v>
      </c>
      <c r="D72">
        <v>0</v>
      </c>
      <c r="E72">
        <v>1</v>
      </c>
      <c r="F72">
        <v>0</v>
      </c>
      <c r="H72">
        <v>0</v>
      </c>
      <c r="I72">
        <v>0</v>
      </c>
      <c r="J72">
        <v>0</v>
      </c>
      <c r="K72">
        <v>0</v>
      </c>
      <c r="L72">
        <v>0</v>
      </c>
      <c r="M72">
        <v>0</v>
      </c>
      <c r="N72">
        <v>0</v>
      </c>
    </row>
    <row r="73" spans="1:14">
      <c r="A73" t="s">
        <v>535</v>
      </c>
      <c r="B73" t="s">
        <v>542</v>
      </c>
      <c r="C73">
        <v>0.03</v>
      </c>
      <c r="D73">
        <v>0</v>
      </c>
      <c r="E73">
        <v>0</v>
      </c>
      <c r="F73">
        <v>8</v>
      </c>
      <c r="H73">
        <v>0</v>
      </c>
      <c r="I73">
        <v>0</v>
      </c>
      <c r="J73">
        <v>0</v>
      </c>
      <c r="K73">
        <v>0</v>
      </c>
      <c r="L73">
        <v>0</v>
      </c>
      <c r="M73">
        <v>0</v>
      </c>
      <c r="N73">
        <v>0</v>
      </c>
    </row>
    <row r="74" spans="1:14">
      <c r="A74" t="s">
        <v>535</v>
      </c>
      <c r="B74" t="s">
        <v>543</v>
      </c>
      <c r="C74">
        <v>0.1</v>
      </c>
      <c r="D74">
        <v>0</v>
      </c>
      <c r="E74">
        <v>2</v>
      </c>
      <c r="F74">
        <v>0</v>
      </c>
      <c r="H74">
        <v>0</v>
      </c>
      <c r="I74">
        <v>0</v>
      </c>
      <c r="J74">
        <v>0</v>
      </c>
      <c r="K74">
        <v>0</v>
      </c>
      <c r="L74">
        <v>0</v>
      </c>
      <c r="M74">
        <v>0</v>
      </c>
      <c r="N74">
        <v>0</v>
      </c>
    </row>
    <row r="75" spans="1:14">
      <c r="A75" t="s">
        <v>544</v>
      </c>
      <c r="B75" t="s">
        <v>545</v>
      </c>
      <c r="C75">
        <v>1.44</v>
      </c>
      <c r="D75">
        <v>1</v>
      </c>
      <c r="E75">
        <v>8</v>
      </c>
      <c r="F75">
        <v>9.5</v>
      </c>
      <c r="H75">
        <v>0</v>
      </c>
      <c r="I75">
        <v>0</v>
      </c>
      <c r="J75">
        <v>0</v>
      </c>
      <c r="K75">
        <v>0</v>
      </c>
      <c r="L75">
        <v>0</v>
      </c>
      <c r="M75">
        <v>0</v>
      </c>
      <c r="N75">
        <v>0</v>
      </c>
    </row>
    <row r="76" spans="1:14">
      <c r="A76" t="s">
        <v>544</v>
      </c>
      <c r="B76" t="s">
        <v>225</v>
      </c>
      <c r="C76">
        <v>0</v>
      </c>
      <c r="D76">
        <v>0</v>
      </c>
      <c r="E76">
        <v>0</v>
      </c>
      <c r="F76">
        <v>0</v>
      </c>
      <c r="H76">
        <v>0</v>
      </c>
      <c r="I76">
        <v>0</v>
      </c>
      <c r="J76">
        <v>0</v>
      </c>
      <c r="K76">
        <v>0</v>
      </c>
      <c r="L76">
        <v>0</v>
      </c>
      <c r="M76">
        <v>0</v>
      </c>
      <c r="N76">
        <v>0</v>
      </c>
    </row>
    <row r="77" spans="1:14">
      <c r="A77" t="s">
        <v>544</v>
      </c>
      <c r="B77" t="s">
        <v>546</v>
      </c>
      <c r="C77">
        <v>0.03</v>
      </c>
      <c r="D77">
        <v>0</v>
      </c>
      <c r="E77">
        <v>0</v>
      </c>
      <c r="F77">
        <v>6</v>
      </c>
      <c r="H77">
        <v>0</v>
      </c>
      <c r="I77">
        <v>0</v>
      </c>
      <c r="J77">
        <v>0</v>
      </c>
      <c r="K77">
        <v>0</v>
      </c>
      <c r="L77">
        <v>0</v>
      </c>
      <c r="M77">
        <v>0</v>
      </c>
      <c r="N77">
        <v>0</v>
      </c>
    </row>
    <row r="78" spans="1:14">
      <c r="A78" t="s">
        <v>544</v>
      </c>
      <c r="B78" t="s">
        <v>227</v>
      </c>
      <c r="C78">
        <v>0.14000000000000001</v>
      </c>
      <c r="D78">
        <v>0</v>
      </c>
      <c r="E78">
        <v>2</v>
      </c>
      <c r="F78">
        <v>10.5</v>
      </c>
      <c r="H78">
        <v>0</v>
      </c>
      <c r="I78">
        <v>0</v>
      </c>
      <c r="J78">
        <v>0</v>
      </c>
      <c r="K78">
        <v>0</v>
      </c>
      <c r="L78">
        <v>0</v>
      </c>
      <c r="M78">
        <v>0</v>
      </c>
      <c r="N78">
        <v>0</v>
      </c>
    </row>
    <row r="79" spans="1:14">
      <c r="A79" t="s">
        <v>544</v>
      </c>
      <c r="B79" t="s">
        <v>547</v>
      </c>
      <c r="C79">
        <v>0.05</v>
      </c>
      <c r="D79">
        <v>0</v>
      </c>
      <c r="E79">
        <v>1</v>
      </c>
      <c r="F79">
        <v>0</v>
      </c>
      <c r="H79">
        <v>0</v>
      </c>
      <c r="I79">
        <v>0</v>
      </c>
      <c r="J79">
        <v>0</v>
      </c>
      <c r="K79">
        <v>0</v>
      </c>
      <c r="L79">
        <v>0</v>
      </c>
      <c r="M79">
        <v>0</v>
      </c>
      <c r="N79">
        <v>0</v>
      </c>
    </row>
    <row r="80" spans="1:14">
      <c r="A80" t="s">
        <v>544</v>
      </c>
      <c r="B80" t="s">
        <v>548</v>
      </c>
      <c r="C80">
        <v>0.25</v>
      </c>
      <c r="D80">
        <v>0</v>
      </c>
      <c r="E80">
        <v>5</v>
      </c>
      <c r="F80">
        <v>0</v>
      </c>
      <c r="H80">
        <v>0</v>
      </c>
      <c r="I80">
        <v>0</v>
      </c>
      <c r="J80">
        <v>0</v>
      </c>
      <c r="K80">
        <v>0</v>
      </c>
      <c r="L80">
        <v>0</v>
      </c>
      <c r="M80">
        <v>0</v>
      </c>
      <c r="N80">
        <v>0</v>
      </c>
    </row>
    <row r="81" spans="1:14">
      <c r="A81" t="s">
        <v>544</v>
      </c>
      <c r="B81" t="s">
        <v>230</v>
      </c>
      <c r="C81">
        <v>0.05</v>
      </c>
      <c r="D81">
        <v>0</v>
      </c>
      <c r="E81">
        <v>1</v>
      </c>
      <c r="F81">
        <v>0</v>
      </c>
      <c r="H81">
        <v>0</v>
      </c>
      <c r="I81">
        <v>0</v>
      </c>
      <c r="J81">
        <v>0</v>
      </c>
      <c r="K81">
        <v>0</v>
      </c>
      <c r="L81">
        <v>0</v>
      </c>
      <c r="M81">
        <v>0</v>
      </c>
      <c r="N81">
        <v>0</v>
      </c>
    </row>
    <row r="82" spans="1:14">
      <c r="A82" t="s">
        <v>544</v>
      </c>
      <c r="B82" t="s">
        <v>231</v>
      </c>
      <c r="C82">
        <v>0</v>
      </c>
      <c r="D82">
        <v>0</v>
      </c>
      <c r="E82">
        <v>0</v>
      </c>
      <c r="F82">
        <v>0</v>
      </c>
      <c r="H82">
        <v>0</v>
      </c>
      <c r="I82">
        <v>0</v>
      </c>
      <c r="J82">
        <v>0</v>
      </c>
      <c r="K82">
        <v>0</v>
      </c>
      <c r="L82">
        <v>0</v>
      </c>
      <c r="M82">
        <v>0</v>
      </c>
      <c r="N82">
        <v>0</v>
      </c>
    </row>
    <row r="83" spans="1:14">
      <c r="A83" t="s">
        <v>544</v>
      </c>
      <c r="B83" t="s">
        <v>549</v>
      </c>
      <c r="C83">
        <v>0</v>
      </c>
      <c r="D83">
        <v>0</v>
      </c>
      <c r="E83">
        <v>0</v>
      </c>
      <c r="F83">
        <v>0</v>
      </c>
      <c r="H83">
        <v>0</v>
      </c>
      <c r="I83">
        <v>0</v>
      </c>
      <c r="J83">
        <v>0</v>
      </c>
      <c r="K83">
        <v>0</v>
      </c>
      <c r="L83">
        <v>0</v>
      </c>
      <c r="M83">
        <v>0</v>
      </c>
      <c r="N83">
        <v>0</v>
      </c>
    </row>
    <row r="84" spans="1:14">
      <c r="A84" t="s">
        <v>544</v>
      </c>
      <c r="B84" t="s">
        <v>233</v>
      </c>
      <c r="C84">
        <v>0.33</v>
      </c>
      <c r="D84">
        <v>0</v>
      </c>
      <c r="E84">
        <v>6</v>
      </c>
      <c r="F84">
        <v>8</v>
      </c>
      <c r="H84">
        <v>0</v>
      </c>
      <c r="I84">
        <v>0</v>
      </c>
      <c r="J84">
        <v>0</v>
      </c>
      <c r="K84">
        <v>0</v>
      </c>
      <c r="L84">
        <v>0</v>
      </c>
      <c r="M84">
        <v>0</v>
      </c>
      <c r="N84">
        <v>0</v>
      </c>
    </row>
    <row r="85" spans="1:14">
      <c r="A85" t="s">
        <v>544</v>
      </c>
      <c r="B85" t="s">
        <v>234</v>
      </c>
      <c r="C85">
        <v>0.21</v>
      </c>
      <c r="D85">
        <v>0</v>
      </c>
      <c r="E85">
        <v>4</v>
      </c>
      <c r="F85">
        <v>3</v>
      </c>
      <c r="H85">
        <v>0</v>
      </c>
      <c r="I85">
        <v>0</v>
      </c>
      <c r="J85">
        <v>0</v>
      </c>
      <c r="K85">
        <v>0</v>
      </c>
      <c r="L85">
        <v>0</v>
      </c>
      <c r="M85">
        <v>0</v>
      </c>
      <c r="N85">
        <v>0</v>
      </c>
    </row>
    <row r="86" spans="1:14">
      <c r="A86" t="s">
        <v>544</v>
      </c>
      <c r="B86" t="s">
        <v>235</v>
      </c>
      <c r="C86">
        <v>0.05</v>
      </c>
      <c r="D86">
        <v>0</v>
      </c>
      <c r="E86">
        <v>1</v>
      </c>
      <c r="F86">
        <v>0</v>
      </c>
      <c r="H86">
        <v>0</v>
      </c>
      <c r="I86">
        <v>0</v>
      </c>
      <c r="J86">
        <v>0</v>
      </c>
      <c r="K86">
        <v>0</v>
      </c>
      <c r="L86">
        <v>0</v>
      </c>
      <c r="M86">
        <v>0</v>
      </c>
      <c r="N86">
        <v>0</v>
      </c>
    </row>
    <row r="87" spans="1:14">
      <c r="A87" t="s">
        <v>544</v>
      </c>
      <c r="B87" t="s">
        <v>236</v>
      </c>
      <c r="C87">
        <v>0.02</v>
      </c>
      <c r="D87">
        <v>0</v>
      </c>
      <c r="E87">
        <v>0</v>
      </c>
      <c r="F87">
        <v>5</v>
      </c>
      <c r="H87">
        <v>0</v>
      </c>
      <c r="I87">
        <v>0</v>
      </c>
      <c r="J87">
        <v>0</v>
      </c>
      <c r="K87">
        <v>0</v>
      </c>
      <c r="L87">
        <v>0</v>
      </c>
      <c r="M87">
        <v>0</v>
      </c>
      <c r="N87">
        <v>0</v>
      </c>
    </row>
    <row r="88" spans="1:14">
      <c r="A88" t="s">
        <v>544</v>
      </c>
      <c r="B88" t="s">
        <v>237</v>
      </c>
      <c r="C88">
        <v>0.27</v>
      </c>
      <c r="D88">
        <v>0</v>
      </c>
      <c r="E88">
        <v>5</v>
      </c>
      <c r="F88">
        <v>4</v>
      </c>
      <c r="H88">
        <v>0</v>
      </c>
      <c r="I88">
        <v>0</v>
      </c>
      <c r="J88">
        <v>0</v>
      </c>
      <c r="K88">
        <v>0</v>
      </c>
      <c r="L88">
        <v>0</v>
      </c>
      <c r="M88">
        <v>0</v>
      </c>
      <c r="N88">
        <v>0</v>
      </c>
    </row>
    <row r="89" spans="1:14">
      <c r="A89" t="s">
        <v>544</v>
      </c>
      <c r="B89" t="s">
        <v>238</v>
      </c>
      <c r="C89">
        <v>0.42</v>
      </c>
      <c r="D89">
        <v>0</v>
      </c>
      <c r="E89">
        <v>8</v>
      </c>
      <c r="F89">
        <v>4</v>
      </c>
      <c r="H89">
        <v>0</v>
      </c>
      <c r="I89">
        <v>0</v>
      </c>
      <c r="J89">
        <v>0</v>
      </c>
      <c r="K89">
        <v>0</v>
      </c>
      <c r="L89">
        <v>0</v>
      </c>
      <c r="M89">
        <v>0</v>
      </c>
      <c r="N89">
        <v>0</v>
      </c>
    </row>
    <row r="90" spans="1:14">
      <c r="A90" t="s">
        <v>544</v>
      </c>
      <c r="B90" t="s">
        <v>239</v>
      </c>
      <c r="C90">
        <v>0.93</v>
      </c>
      <c r="D90">
        <v>0</v>
      </c>
      <c r="E90">
        <v>18</v>
      </c>
      <c r="F90">
        <v>8</v>
      </c>
      <c r="H90">
        <v>0</v>
      </c>
      <c r="I90">
        <v>0</v>
      </c>
      <c r="J90">
        <v>0</v>
      </c>
      <c r="K90">
        <v>0</v>
      </c>
      <c r="L90">
        <v>0</v>
      </c>
      <c r="M90">
        <v>0</v>
      </c>
      <c r="N90">
        <v>0</v>
      </c>
    </row>
    <row r="91" spans="1:14">
      <c r="A91" t="s">
        <v>544</v>
      </c>
      <c r="B91" t="s">
        <v>240</v>
      </c>
      <c r="C91">
        <v>0.12</v>
      </c>
      <c r="D91">
        <v>0</v>
      </c>
      <c r="E91">
        <v>2</v>
      </c>
      <c r="F91">
        <v>4.5</v>
      </c>
      <c r="H91">
        <v>0</v>
      </c>
      <c r="I91">
        <v>0</v>
      </c>
      <c r="J91">
        <v>0</v>
      </c>
      <c r="K91">
        <v>0</v>
      </c>
      <c r="L91">
        <v>0</v>
      </c>
      <c r="M91">
        <v>0</v>
      </c>
      <c r="N91">
        <v>0</v>
      </c>
    </row>
    <row r="92" spans="1:14">
      <c r="A92" t="s">
        <v>544</v>
      </c>
      <c r="B92" t="s">
        <v>241</v>
      </c>
      <c r="C92">
        <v>3.28</v>
      </c>
      <c r="D92">
        <v>3</v>
      </c>
      <c r="E92">
        <v>5</v>
      </c>
      <c r="F92">
        <v>8</v>
      </c>
      <c r="H92">
        <v>0</v>
      </c>
      <c r="I92">
        <v>0</v>
      </c>
      <c r="J92">
        <v>0</v>
      </c>
      <c r="K92">
        <v>0</v>
      </c>
      <c r="L92">
        <v>0</v>
      </c>
      <c r="M92">
        <v>0</v>
      </c>
      <c r="N92">
        <v>0</v>
      </c>
    </row>
    <row r="93" spans="1:14">
      <c r="A93" t="s">
        <v>544</v>
      </c>
      <c r="B93" t="s">
        <v>242</v>
      </c>
      <c r="C93">
        <v>3.81</v>
      </c>
      <c r="D93">
        <v>3</v>
      </c>
      <c r="E93">
        <v>16</v>
      </c>
      <c r="F93">
        <v>3</v>
      </c>
      <c r="H93">
        <v>0</v>
      </c>
      <c r="I93">
        <v>0</v>
      </c>
      <c r="J93">
        <v>0</v>
      </c>
      <c r="K93">
        <v>0</v>
      </c>
      <c r="L93">
        <v>0</v>
      </c>
      <c r="M93">
        <v>0</v>
      </c>
      <c r="N93">
        <v>0</v>
      </c>
    </row>
    <row r="94" spans="1:14">
      <c r="A94" t="s">
        <v>544</v>
      </c>
      <c r="B94" t="s">
        <v>550</v>
      </c>
      <c r="C94">
        <v>0</v>
      </c>
      <c r="D94">
        <v>0</v>
      </c>
      <c r="E94">
        <v>0</v>
      </c>
      <c r="F94">
        <v>0</v>
      </c>
      <c r="H94">
        <v>0</v>
      </c>
      <c r="I94">
        <v>0</v>
      </c>
      <c r="J94">
        <v>0</v>
      </c>
      <c r="K94">
        <v>0</v>
      </c>
      <c r="L94">
        <v>0</v>
      </c>
      <c r="M94">
        <v>0</v>
      </c>
      <c r="N94">
        <v>0</v>
      </c>
    </row>
    <row r="95" spans="1:14">
      <c r="A95" t="s">
        <v>544</v>
      </c>
      <c r="B95" t="s">
        <v>551</v>
      </c>
      <c r="C95">
        <v>1.5</v>
      </c>
      <c r="D95">
        <v>1</v>
      </c>
      <c r="E95">
        <v>10</v>
      </c>
      <c r="F95">
        <v>0</v>
      </c>
      <c r="H95">
        <v>0</v>
      </c>
      <c r="I95">
        <v>0</v>
      </c>
      <c r="J95">
        <v>0</v>
      </c>
      <c r="K95">
        <v>0</v>
      </c>
      <c r="L95">
        <v>0</v>
      </c>
      <c r="M95">
        <v>0</v>
      </c>
      <c r="N95">
        <v>0</v>
      </c>
    </row>
    <row r="96" spans="1:14">
      <c r="A96" t="s">
        <v>544</v>
      </c>
      <c r="B96" t="s">
        <v>552</v>
      </c>
      <c r="C96">
        <v>5.62</v>
      </c>
      <c r="D96">
        <v>5</v>
      </c>
      <c r="E96">
        <v>12</v>
      </c>
      <c r="F96">
        <v>6</v>
      </c>
      <c r="H96">
        <v>0</v>
      </c>
      <c r="I96">
        <v>0</v>
      </c>
      <c r="J96">
        <v>0</v>
      </c>
      <c r="K96">
        <v>0</v>
      </c>
      <c r="L96">
        <v>0</v>
      </c>
      <c r="M96">
        <v>0</v>
      </c>
      <c r="N96">
        <v>0</v>
      </c>
    </row>
    <row r="97" spans="1:28">
      <c r="A97" t="s">
        <v>544</v>
      </c>
      <c r="B97" t="s">
        <v>553</v>
      </c>
      <c r="C97">
        <v>6</v>
      </c>
      <c r="D97">
        <v>6</v>
      </c>
      <c r="E97">
        <v>0</v>
      </c>
      <c r="F97">
        <v>0</v>
      </c>
      <c r="H97">
        <v>0</v>
      </c>
      <c r="I97">
        <v>0</v>
      </c>
      <c r="J97">
        <v>0</v>
      </c>
      <c r="K97">
        <v>0</v>
      </c>
      <c r="L97">
        <v>0</v>
      </c>
      <c r="M97">
        <v>0</v>
      </c>
      <c r="N97">
        <v>0</v>
      </c>
    </row>
    <row r="98" spans="1:28">
      <c r="A98" t="s">
        <v>544</v>
      </c>
      <c r="B98" t="s">
        <v>247</v>
      </c>
      <c r="C98">
        <v>5.33</v>
      </c>
      <c r="D98">
        <v>5</v>
      </c>
      <c r="E98">
        <v>6</v>
      </c>
      <c r="F98">
        <v>8</v>
      </c>
      <c r="H98">
        <v>0</v>
      </c>
      <c r="I98">
        <v>0</v>
      </c>
      <c r="J98">
        <v>0</v>
      </c>
      <c r="K98">
        <v>0</v>
      </c>
      <c r="L98">
        <v>0</v>
      </c>
      <c r="M98">
        <v>0</v>
      </c>
      <c r="N98">
        <v>0</v>
      </c>
    </row>
    <row r="99" spans="1:28">
      <c r="A99" t="s">
        <v>544</v>
      </c>
      <c r="B99" t="s">
        <v>248</v>
      </c>
      <c r="C99">
        <v>0.25</v>
      </c>
      <c r="D99">
        <v>0</v>
      </c>
      <c r="E99">
        <v>5</v>
      </c>
      <c r="F99">
        <v>0</v>
      </c>
      <c r="H99">
        <v>0</v>
      </c>
      <c r="I99">
        <v>0</v>
      </c>
      <c r="J99">
        <v>0</v>
      </c>
      <c r="K99">
        <v>0</v>
      </c>
      <c r="L99">
        <v>0</v>
      </c>
      <c r="M99">
        <v>0</v>
      </c>
      <c r="N99">
        <v>0</v>
      </c>
    </row>
    <row r="100" spans="1:28">
      <c r="A100" t="s">
        <v>544</v>
      </c>
      <c r="B100" t="s">
        <v>554</v>
      </c>
      <c r="C100">
        <v>0</v>
      </c>
      <c r="D100">
        <v>0</v>
      </c>
      <c r="E100">
        <v>0</v>
      </c>
      <c r="F100">
        <v>0</v>
      </c>
      <c r="H100">
        <v>0</v>
      </c>
      <c r="I100">
        <v>0</v>
      </c>
      <c r="J100">
        <v>0</v>
      </c>
      <c r="K100">
        <v>0</v>
      </c>
      <c r="L100">
        <v>0</v>
      </c>
      <c r="M100">
        <v>0</v>
      </c>
      <c r="N100">
        <v>0</v>
      </c>
    </row>
    <row r="101" spans="1:28">
      <c r="A101" t="s">
        <v>544</v>
      </c>
      <c r="B101" t="s">
        <v>555</v>
      </c>
      <c r="C101">
        <v>0</v>
      </c>
      <c r="D101">
        <v>0</v>
      </c>
      <c r="E101">
        <v>0</v>
      </c>
      <c r="F101">
        <v>0</v>
      </c>
      <c r="H101">
        <v>0</v>
      </c>
      <c r="I101">
        <v>0</v>
      </c>
      <c r="J101">
        <v>0</v>
      </c>
      <c r="K101">
        <v>0</v>
      </c>
      <c r="L101">
        <v>0</v>
      </c>
      <c r="M101">
        <v>0</v>
      </c>
      <c r="N101">
        <v>0</v>
      </c>
    </row>
    <row r="102" spans="1:28">
      <c r="A102" t="s">
        <v>544</v>
      </c>
      <c r="B102" t="s">
        <v>251</v>
      </c>
      <c r="C102">
        <v>0</v>
      </c>
      <c r="D102">
        <v>0</v>
      </c>
      <c r="E102">
        <v>0</v>
      </c>
      <c r="F102">
        <v>0</v>
      </c>
      <c r="H102">
        <v>0</v>
      </c>
      <c r="I102">
        <v>0</v>
      </c>
      <c r="J102">
        <v>0</v>
      </c>
      <c r="K102">
        <v>0</v>
      </c>
      <c r="L102">
        <v>0</v>
      </c>
      <c r="M102">
        <v>0</v>
      </c>
      <c r="N102">
        <v>0</v>
      </c>
    </row>
    <row r="103" spans="1:28">
      <c r="A103" t="s">
        <v>544</v>
      </c>
      <c r="B103" t="s">
        <v>556</v>
      </c>
      <c r="C103">
        <v>1</v>
      </c>
      <c r="D103">
        <v>1</v>
      </c>
      <c r="E103">
        <v>0</v>
      </c>
      <c r="F103">
        <v>0</v>
      </c>
      <c r="H103">
        <v>15</v>
      </c>
      <c r="I103">
        <v>0</v>
      </c>
      <c r="J103">
        <v>15</v>
      </c>
      <c r="K103">
        <v>15</v>
      </c>
      <c r="L103">
        <v>0</v>
      </c>
      <c r="M103">
        <v>15</v>
      </c>
      <c r="N103">
        <v>0</v>
      </c>
      <c r="AA103">
        <v>1</v>
      </c>
      <c r="AB103">
        <v>4</v>
      </c>
    </row>
    <row r="104" spans="1:28">
      <c r="A104" t="s">
        <v>544</v>
      </c>
      <c r="B104" t="s">
        <v>557</v>
      </c>
      <c r="C104">
        <v>31.04</v>
      </c>
      <c r="D104">
        <v>31</v>
      </c>
      <c r="E104">
        <v>0</v>
      </c>
      <c r="F104">
        <v>9</v>
      </c>
      <c r="H104">
        <v>0</v>
      </c>
      <c r="I104">
        <v>0</v>
      </c>
      <c r="J104">
        <v>0</v>
      </c>
      <c r="K104">
        <v>0</v>
      </c>
      <c r="L104">
        <v>0</v>
      </c>
      <c r="M104">
        <v>0</v>
      </c>
      <c r="N104">
        <v>0</v>
      </c>
    </row>
    <row r="105" spans="1:28">
      <c r="A105" t="s">
        <v>558</v>
      </c>
      <c r="B105" t="s">
        <v>559</v>
      </c>
      <c r="C105">
        <v>0.42</v>
      </c>
      <c r="D105">
        <v>0</v>
      </c>
      <c r="E105">
        <v>8</v>
      </c>
      <c r="F105">
        <v>4</v>
      </c>
      <c r="H105">
        <v>0</v>
      </c>
      <c r="I105">
        <v>0</v>
      </c>
      <c r="J105">
        <v>0</v>
      </c>
      <c r="K105">
        <v>0</v>
      </c>
      <c r="L105">
        <v>0</v>
      </c>
      <c r="M105">
        <v>0</v>
      </c>
      <c r="N105">
        <v>0</v>
      </c>
    </row>
    <row r="106" spans="1:28">
      <c r="A106" t="s">
        <v>558</v>
      </c>
      <c r="B106" t="s">
        <v>560</v>
      </c>
      <c r="C106">
        <v>3.09</v>
      </c>
      <c r="D106">
        <v>3</v>
      </c>
      <c r="E106">
        <v>1</v>
      </c>
      <c r="F106">
        <v>9</v>
      </c>
      <c r="H106">
        <v>0</v>
      </c>
      <c r="I106">
        <v>0</v>
      </c>
      <c r="J106">
        <v>0</v>
      </c>
      <c r="K106">
        <v>0</v>
      </c>
      <c r="L106">
        <v>0</v>
      </c>
      <c r="M106">
        <v>0</v>
      </c>
      <c r="N106">
        <v>0</v>
      </c>
    </row>
    <row r="107" spans="1:28">
      <c r="A107" t="s">
        <v>558</v>
      </c>
      <c r="B107" t="s">
        <v>561</v>
      </c>
      <c r="C107">
        <v>3.5</v>
      </c>
      <c r="D107">
        <v>3</v>
      </c>
      <c r="E107">
        <v>10</v>
      </c>
      <c r="F107">
        <v>1</v>
      </c>
      <c r="H107">
        <v>0</v>
      </c>
      <c r="I107">
        <v>0</v>
      </c>
      <c r="J107">
        <v>0</v>
      </c>
      <c r="K107">
        <v>0</v>
      </c>
      <c r="L107">
        <v>0</v>
      </c>
      <c r="M107">
        <v>0</v>
      </c>
      <c r="N107">
        <v>0</v>
      </c>
    </row>
    <row r="108" spans="1:28">
      <c r="A108" t="s">
        <v>562</v>
      </c>
      <c r="B108" t="s">
        <v>563</v>
      </c>
      <c r="C108">
        <v>0.5</v>
      </c>
      <c r="D108">
        <v>0</v>
      </c>
      <c r="E108">
        <v>10</v>
      </c>
      <c r="F108">
        <v>0</v>
      </c>
      <c r="H108">
        <v>0</v>
      </c>
      <c r="I108">
        <v>0</v>
      </c>
      <c r="J108">
        <v>0</v>
      </c>
      <c r="K108">
        <v>0</v>
      </c>
      <c r="L108">
        <v>0</v>
      </c>
      <c r="M108">
        <v>0</v>
      </c>
      <c r="N108">
        <v>0</v>
      </c>
    </row>
    <row r="109" spans="1:28">
      <c r="A109" t="s">
        <v>562</v>
      </c>
      <c r="B109" t="s">
        <v>564</v>
      </c>
      <c r="C109">
        <v>0.2</v>
      </c>
      <c r="D109">
        <v>0</v>
      </c>
      <c r="E109">
        <v>4</v>
      </c>
      <c r="F109">
        <v>0</v>
      </c>
      <c r="H109">
        <v>0</v>
      </c>
      <c r="I109">
        <v>0</v>
      </c>
      <c r="J109">
        <v>0</v>
      </c>
      <c r="K109">
        <v>0</v>
      </c>
      <c r="L109">
        <v>0</v>
      </c>
      <c r="M109">
        <v>0</v>
      </c>
      <c r="N109">
        <v>0</v>
      </c>
    </row>
    <row r="110" spans="1:28">
      <c r="A110" t="s">
        <v>562</v>
      </c>
      <c r="B110" t="s">
        <v>565</v>
      </c>
      <c r="C110">
        <v>0.83</v>
      </c>
      <c r="D110">
        <v>0</v>
      </c>
      <c r="E110">
        <v>16</v>
      </c>
      <c r="F110">
        <v>6</v>
      </c>
      <c r="H110">
        <v>0</v>
      </c>
      <c r="I110">
        <v>0</v>
      </c>
      <c r="J110">
        <v>0</v>
      </c>
      <c r="K110">
        <v>0</v>
      </c>
      <c r="L110">
        <v>0</v>
      </c>
      <c r="M110">
        <v>0</v>
      </c>
      <c r="N110">
        <v>0</v>
      </c>
    </row>
    <row r="111" spans="1:28">
      <c r="A111" t="s">
        <v>562</v>
      </c>
      <c r="B111" t="s">
        <v>566</v>
      </c>
      <c r="C111">
        <v>0.08</v>
      </c>
      <c r="D111">
        <v>0</v>
      </c>
      <c r="E111">
        <v>1</v>
      </c>
      <c r="F111">
        <v>6</v>
      </c>
      <c r="H111">
        <v>0</v>
      </c>
      <c r="I111">
        <v>0</v>
      </c>
      <c r="J111">
        <v>0</v>
      </c>
      <c r="K111">
        <v>0</v>
      </c>
      <c r="L111">
        <v>0</v>
      </c>
      <c r="M111">
        <v>0</v>
      </c>
      <c r="N111">
        <v>0</v>
      </c>
    </row>
    <row r="112" spans="1:28">
      <c r="A112" t="s">
        <v>562</v>
      </c>
      <c r="B112" t="s">
        <v>567</v>
      </c>
      <c r="C112">
        <v>0</v>
      </c>
      <c r="D112">
        <v>0</v>
      </c>
      <c r="E112">
        <v>0</v>
      </c>
      <c r="F112">
        <v>0</v>
      </c>
      <c r="H112">
        <v>0</v>
      </c>
      <c r="I112">
        <v>0</v>
      </c>
      <c r="J112">
        <v>0</v>
      </c>
      <c r="K112">
        <v>0</v>
      </c>
      <c r="L112">
        <v>0</v>
      </c>
      <c r="M112">
        <v>0</v>
      </c>
      <c r="N112">
        <v>0</v>
      </c>
    </row>
    <row r="113" spans="1:14">
      <c r="A113" t="s">
        <v>562</v>
      </c>
      <c r="B113" t="s">
        <v>568</v>
      </c>
      <c r="C113">
        <v>0.4</v>
      </c>
      <c r="D113">
        <v>0</v>
      </c>
      <c r="E113">
        <v>8</v>
      </c>
      <c r="F113">
        <v>0</v>
      </c>
      <c r="H113">
        <v>0</v>
      </c>
      <c r="I113">
        <v>0</v>
      </c>
      <c r="J113">
        <v>0</v>
      </c>
      <c r="K113">
        <v>0</v>
      </c>
      <c r="L113">
        <v>0</v>
      </c>
      <c r="M113">
        <v>0</v>
      </c>
      <c r="N113">
        <v>0</v>
      </c>
    </row>
    <row r="114" spans="1:14">
      <c r="A114" t="s">
        <v>562</v>
      </c>
      <c r="B114" t="s">
        <v>569</v>
      </c>
      <c r="C114">
        <v>0.25</v>
      </c>
      <c r="D114">
        <v>0</v>
      </c>
      <c r="E114">
        <v>5</v>
      </c>
      <c r="F114">
        <v>0</v>
      </c>
      <c r="H114">
        <v>0</v>
      </c>
      <c r="I114">
        <v>0</v>
      </c>
      <c r="J114">
        <v>0</v>
      </c>
      <c r="K114">
        <v>0</v>
      </c>
      <c r="L114">
        <v>0</v>
      </c>
      <c r="M114">
        <v>0</v>
      </c>
      <c r="N114">
        <v>0</v>
      </c>
    </row>
    <row r="115" spans="1:14">
      <c r="A115" t="s">
        <v>562</v>
      </c>
      <c r="B115" t="s">
        <v>570</v>
      </c>
      <c r="C115">
        <v>0</v>
      </c>
      <c r="D115">
        <v>0</v>
      </c>
      <c r="E115">
        <v>0</v>
      </c>
      <c r="F115">
        <v>0</v>
      </c>
      <c r="H115">
        <v>0</v>
      </c>
      <c r="I115">
        <v>0</v>
      </c>
      <c r="J115">
        <v>0</v>
      </c>
      <c r="K115">
        <v>0</v>
      </c>
      <c r="L115">
        <v>0</v>
      </c>
      <c r="M115">
        <v>0</v>
      </c>
      <c r="N115">
        <v>0</v>
      </c>
    </row>
    <row r="116" spans="1:14">
      <c r="A116" t="s">
        <v>562</v>
      </c>
      <c r="B116" t="s">
        <v>571</v>
      </c>
      <c r="C116">
        <v>0.05</v>
      </c>
      <c r="D116">
        <v>0</v>
      </c>
      <c r="E116">
        <v>1</v>
      </c>
      <c r="F116">
        <v>0</v>
      </c>
      <c r="H116">
        <v>0</v>
      </c>
      <c r="I116">
        <v>0</v>
      </c>
      <c r="J116">
        <v>0</v>
      </c>
      <c r="K116">
        <v>0</v>
      </c>
      <c r="L116">
        <v>0</v>
      </c>
      <c r="M116">
        <v>0</v>
      </c>
      <c r="N116">
        <v>0</v>
      </c>
    </row>
    <row r="117" spans="1:14">
      <c r="A117" t="s">
        <v>562</v>
      </c>
      <c r="B117" t="s">
        <v>572</v>
      </c>
      <c r="C117">
        <v>7.0000000000000007E-2</v>
      </c>
      <c r="D117">
        <v>0</v>
      </c>
      <c r="E117">
        <v>1</v>
      </c>
      <c r="F117">
        <v>4</v>
      </c>
      <c r="H117">
        <v>0</v>
      </c>
      <c r="I117">
        <v>0</v>
      </c>
      <c r="J117">
        <v>0</v>
      </c>
      <c r="K117">
        <v>0</v>
      </c>
      <c r="L117">
        <v>0</v>
      </c>
      <c r="M117">
        <v>0</v>
      </c>
      <c r="N117">
        <v>0</v>
      </c>
    </row>
    <row r="118" spans="1:14">
      <c r="A118" t="s">
        <v>562</v>
      </c>
      <c r="B118" t="s">
        <v>573</v>
      </c>
      <c r="C118">
        <v>0.03</v>
      </c>
      <c r="D118">
        <v>0</v>
      </c>
      <c r="E118">
        <v>0</v>
      </c>
      <c r="F118">
        <v>8</v>
      </c>
      <c r="H118">
        <v>0</v>
      </c>
      <c r="I118">
        <v>0</v>
      </c>
      <c r="J118">
        <v>0</v>
      </c>
      <c r="K118">
        <v>0</v>
      </c>
      <c r="L118">
        <v>0</v>
      </c>
      <c r="M118">
        <v>0</v>
      </c>
      <c r="N118">
        <v>0</v>
      </c>
    </row>
    <row r="119" spans="1:14">
      <c r="A119" t="s">
        <v>562</v>
      </c>
      <c r="B119" t="s">
        <v>574</v>
      </c>
      <c r="C119">
        <v>1.7</v>
      </c>
      <c r="D119">
        <v>1</v>
      </c>
      <c r="E119">
        <v>14</v>
      </c>
      <c r="F119">
        <v>0</v>
      </c>
      <c r="H119">
        <v>0</v>
      </c>
      <c r="I119">
        <v>0</v>
      </c>
      <c r="J119">
        <v>0</v>
      </c>
      <c r="K119">
        <v>0</v>
      </c>
      <c r="L119">
        <v>0</v>
      </c>
      <c r="M119">
        <v>0</v>
      </c>
      <c r="N119">
        <v>0</v>
      </c>
    </row>
    <row r="120" spans="1:14">
      <c r="A120" t="s">
        <v>575</v>
      </c>
      <c r="B120" t="s">
        <v>576</v>
      </c>
      <c r="C120">
        <v>0.15</v>
      </c>
      <c r="D120">
        <v>0</v>
      </c>
      <c r="E120">
        <v>3</v>
      </c>
      <c r="F120">
        <v>0</v>
      </c>
      <c r="H120">
        <v>0</v>
      </c>
      <c r="I120">
        <v>0</v>
      </c>
      <c r="J120">
        <v>0</v>
      </c>
      <c r="K120">
        <v>0</v>
      </c>
      <c r="L120">
        <v>0</v>
      </c>
      <c r="M120">
        <v>0</v>
      </c>
      <c r="N120">
        <v>0</v>
      </c>
    </row>
    <row r="121" spans="1:14">
      <c r="A121" t="s">
        <v>575</v>
      </c>
      <c r="B121" t="s">
        <v>577</v>
      </c>
      <c r="C121">
        <v>0.2</v>
      </c>
      <c r="D121">
        <v>0</v>
      </c>
      <c r="E121">
        <v>4</v>
      </c>
      <c r="F121">
        <v>0</v>
      </c>
      <c r="H121">
        <v>0</v>
      </c>
      <c r="I121">
        <v>0</v>
      </c>
      <c r="J121">
        <v>0</v>
      </c>
      <c r="K121">
        <v>0</v>
      </c>
      <c r="L121">
        <v>0</v>
      </c>
      <c r="M121">
        <v>0</v>
      </c>
      <c r="N121">
        <v>0</v>
      </c>
    </row>
    <row r="122" spans="1:14">
      <c r="A122" t="s">
        <v>575</v>
      </c>
      <c r="B122" t="s">
        <v>578</v>
      </c>
      <c r="C122">
        <v>0.25</v>
      </c>
      <c r="D122">
        <v>0</v>
      </c>
      <c r="E122">
        <v>5</v>
      </c>
      <c r="F122">
        <v>0</v>
      </c>
      <c r="H122">
        <v>0</v>
      </c>
      <c r="I122">
        <v>0</v>
      </c>
      <c r="J122">
        <v>0</v>
      </c>
      <c r="K122">
        <v>0</v>
      </c>
      <c r="L122">
        <v>0</v>
      </c>
      <c r="M122">
        <v>0</v>
      </c>
      <c r="N122">
        <v>0</v>
      </c>
    </row>
    <row r="123" spans="1:14">
      <c r="A123" t="s">
        <v>575</v>
      </c>
      <c r="B123" t="s">
        <v>579</v>
      </c>
      <c r="C123">
        <v>0.2</v>
      </c>
      <c r="D123">
        <v>0</v>
      </c>
      <c r="E123">
        <v>4</v>
      </c>
      <c r="F123">
        <v>0</v>
      </c>
      <c r="H123">
        <v>0</v>
      </c>
      <c r="I123">
        <v>0</v>
      </c>
      <c r="J123">
        <v>0</v>
      </c>
      <c r="K123">
        <v>0</v>
      </c>
      <c r="L123">
        <v>0</v>
      </c>
      <c r="M123">
        <v>0</v>
      </c>
      <c r="N123">
        <v>0</v>
      </c>
    </row>
    <row r="124" spans="1:14">
      <c r="A124" t="s">
        <v>575</v>
      </c>
      <c r="B124" t="s">
        <v>580</v>
      </c>
      <c r="C124">
        <v>0.17</v>
      </c>
      <c r="D124">
        <v>0</v>
      </c>
      <c r="E124">
        <v>3</v>
      </c>
      <c r="F124">
        <v>4</v>
      </c>
      <c r="H124">
        <v>0</v>
      </c>
      <c r="I124">
        <v>0</v>
      </c>
      <c r="J124">
        <v>0</v>
      </c>
      <c r="K124">
        <v>0</v>
      </c>
      <c r="L124">
        <v>0</v>
      </c>
      <c r="M124">
        <v>0</v>
      </c>
      <c r="N124">
        <v>0</v>
      </c>
    </row>
    <row r="125" spans="1:14">
      <c r="A125" t="s">
        <v>575</v>
      </c>
      <c r="B125" t="s">
        <v>581</v>
      </c>
      <c r="C125">
        <v>0.25</v>
      </c>
      <c r="D125">
        <v>0</v>
      </c>
      <c r="E125">
        <v>5</v>
      </c>
      <c r="F125">
        <v>0</v>
      </c>
      <c r="H125">
        <v>0</v>
      </c>
      <c r="I125">
        <v>0</v>
      </c>
      <c r="J125">
        <v>0</v>
      </c>
      <c r="K125">
        <v>0</v>
      </c>
      <c r="L125">
        <v>0</v>
      </c>
      <c r="M125">
        <v>0</v>
      </c>
      <c r="N125">
        <v>0</v>
      </c>
    </row>
    <row r="126" spans="1:14">
      <c r="A126" t="s">
        <v>575</v>
      </c>
      <c r="B126" t="s">
        <v>582</v>
      </c>
      <c r="C126">
        <v>0.25</v>
      </c>
      <c r="D126">
        <v>0</v>
      </c>
      <c r="E126">
        <v>5</v>
      </c>
      <c r="F126">
        <v>0</v>
      </c>
      <c r="H126">
        <v>0</v>
      </c>
      <c r="I126">
        <v>0</v>
      </c>
      <c r="J126">
        <v>0</v>
      </c>
      <c r="K126">
        <v>0</v>
      </c>
      <c r="L126">
        <v>0</v>
      </c>
      <c r="M126">
        <v>0</v>
      </c>
      <c r="N126">
        <v>0</v>
      </c>
    </row>
    <row r="127" spans="1:14">
      <c r="A127" t="s">
        <v>575</v>
      </c>
      <c r="B127" t="s">
        <v>583</v>
      </c>
      <c r="C127">
        <v>0.2</v>
      </c>
      <c r="D127">
        <v>0</v>
      </c>
      <c r="E127">
        <v>4</v>
      </c>
      <c r="F127">
        <v>0</v>
      </c>
      <c r="H127">
        <v>0</v>
      </c>
      <c r="I127">
        <v>0</v>
      </c>
      <c r="J127">
        <v>0</v>
      </c>
      <c r="K127">
        <v>0</v>
      </c>
      <c r="L127">
        <v>0</v>
      </c>
      <c r="M127">
        <v>0</v>
      </c>
      <c r="N127">
        <v>0</v>
      </c>
    </row>
    <row r="128" spans="1:14">
      <c r="A128" t="s">
        <v>575</v>
      </c>
      <c r="B128" t="s">
        <v>584</v>
      </c>
      <c r="C128">
        <v>0.23</v>
      </c>
      <c r="D128">
        <v>0</v>
      </c>
      <c r="E128">
        <v>4</v>
      </c>
      <c r="F128">
        <v>6</v>
      </c>
      <c r="H128">
        <v>0</v>
      </c>
      <c r="I128">
        <v>0</v>
      </c>
      <c r="J128">
        <v>0</v>
      </c>
      <c r="K128">
        <v>0</v>
      </c>
      <c r="L128">
        <v>0</v>
      </c>
      <c r="M128">
        <v>0</v>
      </c>
      <c r="N128">
        <v>0</v>
      </c>
    </row>
    <row r="129" spans="1:14">
      <c r="A129" t="s">
        <v>575</v>
      </c>
      <c r="B129" t="s">
        <v>585</v>
      </c>
      <c r="C129">
        <v>2.98</v>
      </c>
      <c r="D129">
        <v>2</v>
      </c>
      <c r="E129">
        <v>19</v>
      </c>
      <c r="F129">
        <v>7.5</v>
      </c>
      <c r="H129">
        <v>0</v>
      </c>
      <c r="I129">
        <v>0</v>
      </c>
      <c r="J129">
        <v>0</v>
      </c>
      <c r="K129">
        <v>0</v>
      </c>
      <c r="L129">
        <v>0</v>
      </c>
      <c r="M129">
        <v>0</v>
      </c>
      <c r="N129">
        <v>0</v>
      </c>
    </row>
    <row r="130" spans="1:14">
      <c r="A130" t="s">
        <v>575</v>
      </c>
      <c r="B130" t="s">
        <v>586</v>
      </c>
      <c r="C130">
        <v>0.25</v>
      </c>
      <c r="D130">
        <v>0</v>
      </c>
      <c r="E130">
        <v>5</v>
      </c>
      <c r="F130">
        <v>0</v>
      </c>
      <c r="H130">
        <v>0</v>
      </c>
      <c r="I130">
        <v>0</v>
      </c>
      <c r="J130">
        <v>0</v>
      </c>
      <c r="K130">
        <v>0</v>
      </c>
      <c r="L130">
        <v>0</v>
      </c>
      <c r="M130">
        <v>0</v>
      </c>
      <c r="N130">
        <v>0</v>
      </c>
    </row>
    <row r="131" spans="1:14">
      <c r="A131" t="s">
        <v>575</v>
      </c>
      <c r="B131" t="s">
        <v>587</v>
      </c>
      <c r="C131">
        <v>0.25</v>
      </c>
      <c r="D131">
        <v>0</v>
      </c>
      <c r="E131">
        <v>5</v>
      </c>
      <c r="F131">
        <v>0</v>
      </c>
      <c r="H131">
        <v>0</v>
      </c>
      <c r="I131">
        <v>0</v>
      </c>
      <c r="J131">
        <v>0</v>
      </c>
      <c r="K131">
        <v>0</v>
      </c>
      <c r="L131">
        <v>0</v>
      </c>
      <c r="M131">
        <v>0</v>
      </c>
      <c r="N131">
        <v>0</v>
      </c>
    </row>
    <row r="132" spans="1:14">
      <c r="A132" t="s">
        <v>575</v>
      </c>
      <c r="B132" t="s">
        <v>588</v>
      </c>
      <c r="C132">
        <v>0</v>
      </c>
      <c r="D132">
        <v>0</v>
      </c>
      <c r="E132">
        <v>0</v>
      </c>
      <c r="F132">
        <v>0</v>
      </c>
      <c r="H132">
        <v>0</v>
      </c>
      <c r="I132">
        <v>0</v>
      </c>
      <c r="J132">
        <v>0</v>
      </c>
      <c r="K132">
        <v>0</v>
      </c>
      <c r="L132">
        <v>0</v>
      </c>
      <c r="M132">
        <v>0</v>
      </c>
      <c r="N132">
        <v>0</v>
      </c>
    </row>
    <row r="133" spans="1:14">
      <c r="A133" t="s">
        <v>575</v>
      </c>
      <c r="B133" t="s">
        <v>589</v>
      </c>
      <c r="C133">
        <v>0.62</v>
      </c>
      <c r="D133">
        <v>0</v>
      </c>
      <c r="E133">
        <v>12</v>
      </c>
      <c r="F133">
        <v>4</v>
      </c>
      <c r="H133">
        <v>0</v>
      </c>
      <c r="I133">
        <v>0</v>
      </c>
      <c r="J133">
        <v>0</v>
      </c>
      <c r="K133">
        <v>0</v>
      </c>
      <c r="L133">
        <v>0</v>
      </c>
      <c r="M133">
        <v>0</v>
      </c>
      <c r="N133">
        <v>0</v>
      </c>
    </row>
    <row r="134" spans="1:14">
      <c r="A134" t="s">
        <v>575</v>
      </c>
      <c r="B134" t="s">
        <v>590</v>
      </c>
      <c r="C134">
        <v>0.23</v>
      </c>
      <c r="D134">
        <v>0</v>
      </c>
      <c r="E134">
        <v>4</v>
      </c>
      <c r="F134">
        <v>6</v>
      </c>
      <c r="H134">
        <v>0</v>
      </c>
      <c r="I134">
        <v>0</v>
      </c>
      <c r="J134">
        <v>0</v>
      </c>
      <c r="K134">
        <v>0</v>
      </c>
      <c r="L134">
        <v>0</v>
      </c>
      <c r="M134">
        <v>0</v>
      </c>
      <c r="N134">
        <v>0</v>
      </c>
    </row>
    <row r="135" spans="1:14">
      <c r="A135" t="s">
        <v>575</v>
      </c>
      <c r="B135" t="s">
        <v>591</v>
      </c>
      <c r="C135">
        <v>0.2</v>
      </c>
      <c r="D135">
        <v>0</v>
      </c>
      <c r="E135">
        <v>4</v>
      </c>
      <c r="F135">
        <v>0</v>
      </c>
      <c r="H135">
        <v>0</v>
      </c>
      <c r="I135">
        <v>0</v>
      </c>
      <c r="J135">
        <v>0</v>
      </c>
      <c r="K135">
        <v>0</v>
      </c>
      <c r="L135">
        <v>0</v>
      </c>
      <c r="M135">
        <v>0</v>
      </c>
      <c r="N135">
        <v>0</v>
      </c>
    </row>
    <row r="136" spans="1:14">
      <c r="A136" t="s">
        <v>575</v>
      </c>
      <c r="B136" t="s">
        <v>592</v>
      </c>
      <c r="C136">
        <v>0.6</v>
      </c>
      <c r="D136">
        <v>0</v>
      </c>
      <c r="E136">
        <v>12</v>
      </c>
      <c r="F136">
        <v>0</v>
      </c>
      <c r="H136">
        <v>0</v>
      </c>
      <c r="I136">
        <v>0</v>
      </c>
      <c r="J136">
        <v>0</v>
      </c>
      <c r="K136">
        <v>0</v>
      </c>
      <c r="L136">
        <v>0</v>
      </c>
      <c r="M136">
        <v>0</v>
      </c>
      <c r="N136">
        <v>0</v>
      </c>
    </row>
    <row r="137" spans="1:14">
      <c r="A137" t="s">
        <v>575</v>
      </c>
      <c r="B137" t="s">
        <v>593</v>
      </c>
      <c r="C137">
        <v>0.06</v>
      </c>
      <c r="D137">
        <v>0</v>
      </c>
      <c r="E137">
        <v>1</v>
      </c>
      <c r="F137">
        <v>3</v>
      </c>
      <c r="H137">
        <v>0</v>
      </c>
      <c r="I137">
        <v>0</v>
      </c>
      <c r="J137">
        <v>0</v>
      </c>
      <c r="K137">
        <v>0</v>
      </c>
      <c r="L137">
        <v>0</v>
      </c>
      <c r="M137">
        <v>0</v>
      </c>
      <c r="N137">
        <v>0</v>
      </c>
    </row>
    <row r="138" spans="1:14">
      <c r="A138" t="s">
        <v>575</v>
      </c>
      <c r="B138" t="s">
        <v>594</v>
      </c>
      <c r="C138">
        <v>0.03</v>
      </c>
      <c r="D138">
        <v>0</v>
      </c>
      <c r="E138">
        <v>0</v>
      </c>
      <c r="F138">
        <v>6</v>
      </c>
      <c r="H138">
        <v>0</v>
      </c>
      <c r="I138">
        <v>0</v>
      </c>
      <c r="J138">
        <v>0</v>
      </c>
      <c r="K138">
        <v>0</v>
      </c>
      <c r="L138">
        <v>0</v>
      </c>
      <c r="M138">
        <v>0</v>
      </c>
      <c r="N138">
        <v>0</v>
      </c>
    </row>
    <row r="139" spans="1:14">
      <c r="A139" t="s">
        <v>575</v>
      </c>
      <c r="B139" t="s">
        <v>595</v>
      </c>
      <c r="C139">
        <v>0.15</v>
      </c>
      <c r="D139">
        <v>0</v>
      </c>
      <c r="E139">
        <v>3</v>
      </c>
      <c r="F139">
        <v>0</v>
      </c>
      <c r="H139">
        <v>0</v>
      </c>
      <c r="I139">
        <v>0</v>
      </c>
      <c r="J139">
        <v>0</v>
      </c>
      <c r="K139">
        <v>0</v>
      </c>
      <c r="L139">
        <v>0</v>
      </c>
      <c r="M139">
        <v>0</v>
      </c>
      <c r="N139">
        <v>0</v>
      </c>
    </row>
    <row r="140" spans="1:14">
      <c r="A140" t="s">
        <v>575</v>
      </c>
      <c r="B140" t="s">
        <v>596</v>
      </c>
      <c r="C140">
        <v>0.45</v>
      </c>
      <c r="D140">
        <v>0</v>
      </c>
      <c r="E140">
        <v>9</v>
      </c>
      <c r="F140">
        <v>0</v>
      </c>
      <c r="H140">
        <v>0</v>
      </c>
      <c r="I140">
        <v>0</v>
      </c>
      <c r="J140">
        <v>0</v>
      </c>
      <c r="K140">
        <v>0</v>
      </c>
      <c r="L140">
        <v>0</v>
      </c>
      <c r="M140">
        <v>0</v>
      </c>
      <c r="N140">
        <v>0</v>
      </c>
    </row>
    <row r="141" spans="1:14">
      <c r="A141" t="s">
        <v>575</v>
      </c>
      <c r="B141" t="s">
        <v>597</v>
      </c>
      <c r="C141">
        <v>0.35</v>
      </c>
      <c r="D141">
        <v>0</v>
      </c>
      <c r="E141">
        <v>7</v>
      </c>
      <c r="F141">
        <v>0</v>
      </c>
      <c r="H141">
        <v>0</v>
      </c>
      <c r="I141">
        <v>0</v>
      </c>
      <c r="J141">
        <v>0</v>
      </c>
      <c r="K141">
        <v>0</v>
      </c>
      <c r="L141">
        <v>0</v>
      </c>
      <c r="M141">
        <v>0</v>
      </c>
      <c r="N141">
        <v>0</v>
      </c>
    </row>
    <row r="142" spans="1:14">
      <c r="A142" t="s">
        <v>575</v>
      </c>
      <c r="B142" t="s">
        <v>598</v>
      </c>
      <c r="C142">
        <v>0.05</v>
      </c>
      <c r="D142">
        <v>0</v>
      </c>
      <c r="E142">
        <v>1</v>
      </c>
      <c r="F142">
        <v>0</v>
      </c>
      <c r="H142">
        <v>0</v>
      </c>
      <c r="I142">
        <v>0</v>
      </c>
      <c r="J142">
        <v>0</v>
      </c>
      <c r="K142">
        <v>0</v>
      </c>
      <c r="L142">
        <v>0</v>
      </c>
      <c r="M142">
        <v>0</v>
      </c>
      <c r="N142">
        <v>0</v>
      </c>
    </row>
    <row r="143" spans="1:14">
      <c r="A143" t="s">
        <v>575</v>
      </c>
      <c r="B143" t="s">
        <v>599</v>
      </c>
      <c r="C143">
        <v>8.0399999999999991</v>
      </c>
      <c r="D143">
        <v>8</v>
      </c>
      <c r="E143">
        <v>0</v>
      </c>
      <c r="F143">
        <v>9.5</v>
      </c>
      <c r="H143">
        <v>0</v>
      </c>
      <c r="I143">
        <v>0</v>
      </c>
      <c r="J143">
        <v>0</v>
      </c>
      <c r="K143">
        <v>0</v>
      </c>
      <c r="L143">
        <v>0</v>
      </c>
      <c r="M143">
        <v>0</v>
      </c>
      <c r="N143">
        <v>0</v>
      </c>
    </row>
    <row r="144" spans="1:14">
      <c r="A144" t="s">
        <v>600</v>
      </c>
      <c r="B144" t="s">
        <v>601</v>
      </c>
      <c r="C144">
        <v>0.2</v>
      </c>
      <c r="D144">
        <v>0</v>
      </c>
      <c r="E144">
        <v>4</v>
      </c>
      <c r="F144">
        <v>0</v>
      </c>
      <c r="H144">
        <v>0</v>
      </c>
      <c r="I144">
        <v>0</v>
      </c>
      <c r="J144">
        <v>0</v>
      </c>
      <c r="K144">
        <v>0</v>
      </c>
      <c r="L144">
        <v>0</v>
      </c>
      <c r="M144">
        <v>0</v>
      </c>
      <c r="N144">
        <v>0</v>
      </c>
    </row>
    <row r="145" spans="1:30">
      <c r="A145" t="s">
        <v>600</v>
      </c>
      <c r="B145" t="s">
        <v>602</v>
      </c>
      <c r="C145">
        <v>0.2</v>
      </c>
      <c r="D145">
        <v>0</v>
      </c>
      <c r="E145">
        <v>4</v>
      </c>
      <c r="F145">
        <v>0</v>
      </c>
      <c r="H145">
        <v>0</v>
      </c>
      <c r="I145">
        <v>0</v>
      </c>
      <c r="J145">
        <v>0</v>
      </c>
      <c r="K145">
        <v>0</v>
      </c>
      <c r="L145">
        <v>0</v>
      </c>
      <c r="M145">
        <v>0</v>
      </c>
      <c r="N145">
        <v>0</v>
      </c>
    </row>
    <row r="146" spans="1:30">
      <c r="A146" t="s">
        <v>600</v>
      </c>
      <c r="B146" t="s">
        <v>603</v>
      </c>
      <c r="C146">
        <v>0.1</v>
      </c>
      <c r="D146">
        <v>0</v>
      </c>
      <c r="E146">
        <v>2</v>
      </c>
      <c r="F146">
        <v>0</v>
      </c>
      <c r="H146">
        <v>0</v>
      </c>
      <c r="I146">
        <v>0</v>
      </c>
      <c r="J146">
        <v>0</v>
      </c>
      <c r="K146">
        <v>0</v>
      </c>
      <c r="L146">
        <v>0</v>
      </c>
      <c r="M146">
        <v>0</v>
      </c>
      <c r="N146">
        <v>0</v>
      </c>
    </row>
    <row r="147" spans="1:30">
      <c r="A147" t="s">
        <v>600</v>
      </c>
      <c r="B147" t="s">
        <v>604</v>
      </c>
      <c r="C147">
        <v>0.35</v>
      </c>
      <c r="D147">
        <v>0</v>
      </c>
      <c r="E147">
        <v>7</v>
      </c>
      <c r="F147">
        <v>0</v>
      </c>
      <c r="H147">
        <v>0</v>
      </c>
      <c r="I147">
        <v>0</v>
      </c>
      <c r="J147">
        <v>0</v>
      </c>
      <c r="K147">
        <v>0</v>
      </c>
      <c r="L147">
        <v>0</v>
      </c>
      <c r="M147">
        <v>0</v>
      </c>
      <c r="N147">
        <v>0</v>
      </c>
    </row>
    <row r="148" spans="1:30">
      <c r="A148" t="s">
        <v>600</v>
      </c>
      <c r="B148" t="s">
        <v>605</v>
      </c>
      <c r="C148">
        <v>0.17</v>
      </c>
      <c r="D148">
        <v>0</v>
      </c>
      <c r="E148">
        <v>3</v>
      </c>
      <c r="F148">
        <v>4</v>
      </c>
      <c r="H148">
        <v>0</v>
      </c>
      <c r="I148">
        <v>0</v>
      </c>
      <c r="J148">
        <v>0</v>
      </c>
      <c r="K148">
        <v>0</v>
      </c>
      <c r="L148">
        <v>0</v>
      </c>
      <c r="M148">
        <v>0</v>
      </c>
      <c r="N148">
        <v>0</v>
      </c>
    </row>
    <row r="149" spans="1:30">
      <c r="A149" t="s">
        <v>600</v>
      </c>
      <c r="B149" t="s">
        <v>606</v>
      </c>
      <c r="C149">
        <v>0.12</v>
      </c>
      <c r="D149">
        <v>0</v>
      </c>
      <c r="E149">
        <v>2</v>
      </c>
      <c r="F149">
        <v>6</v>
      </c>
      <c r="H149">
        <v>0</v>
      </c>
      <c r="I149">
        <v>0</v>
      </c>
      <c r="J149">
        <v>0</v>
      </c>
      <c r="K149">
        <v>0</v>
      </c>
      <c r="L149">
        <v>0</v>
      </c>
      <c r="M149">
        <v>0</v>
      </c>
      <c r="N149">
        <v>0</v>
      </c>
    </row>
    <row r="150" spans="1:30">
      <c r="A150" t="s">
        <v>600</v>
      </c>
      <c r="B150" t="s">
        <v>607</v>
      </c>
      <c r="C150">
        <v>1.1399999999999999</v>
      </c>
      <c r="D150">
        <v>1</v>
      </c>
      <c r="E150">
        <v>2</v>
      </c>
      <c r="F150">
        <v>10</v>
      </c>
      <c r="H150">
        <v>0</v>
      </c>
      <c r="I150">
        <v>0</v>
      </c>
      <c r="J150">
        <v>0</v>
      </c>
      <c r="K150">
        <v>0</v>
      </c>
      <c r="L150">
        <v>0</v>
      </c>
      <c r="M150">
        <v>0</v>
      </c>
      <c r="N150">
        <v>0</v>
      </c>
    </row>
    <row r="151" spans="1:30">
      <c r="A151" t="s">
        <v>608</v>
      </c>
      <c r="B151" t="s">
        <v>609</v>
      </c>
      <c r="C151">
        <v>14.4</v>
      </c>
      <c r="D151">
        <v>14</v>
      </c>
      <c r="E151">
        <v>7</v>
      </c>
      <c r="F151">
        <v>11.75</v>
      </c>
      <c r="G151" t="s">
        <v>610</v>
      </c>
      <c r="H151">
        <v>29</v>
      </c>
      <c r="I151">
        <v>8</v>
      </c>
      <c r="J151">
        <v>30</v>
      </c>
      <c r="K151">
        <v>30</v>
      </c>
      <c r="L151">
        <v>0</v>
      </c>
      <c r="M151">
        <v>30</v>
      </c>
      <c r="N151">
        <v>0</v>
      </c>
      <c r="O151">
        <v>7</v>
      </c>
      <c r="P151">
        <v>4</v>
      </c>
      <c r="Q151">
        <v>1</v>
      </c>
      <c r="R151">
        <v>1</v>
      </c>
      <c r="S151">
        <v>21</v>
      </c>
      <c r="T151">
        <v>3</v>
      </c>
      <c r="AA151">
        <v>9</v>
      </c>
      <c r="AB151">
        <v>4</v>
      </c>
      <c r="AC151">
        <v>10</v>
      </c>
      <c r="AD151">
        <v>0</v>
      </c>
    </row>
    <row r="152" spans="1:30">
      <c r="A152" t="s">
        <v>608</v>
      </c>
      <c r="B152" t="s">
        <v>611</v>
      </c>
      <c r="C152">
        <v>50.7</v>
      </c>
      <c r="D152">
        <v>50</v>
      </c>
      <c r="E152">
        <v>14</v>
      </c>
      <c r="F152">
        <v>0</v>
      </c>
      <c r="G152" t="s">
        <v>612</v>
      </c>
      <c r="H152">
        <v>174</v>
      </c>
      <c r="I152">
        <v>0</v>
      </c>
      <c r="J152">
        <v>174</v>
      </c>
      <c r="K152">
        <v>174</v>
      </c>
      <c r="L152">
        <v>0</v>
      </c>
      <c r="M152">
        <v>174</v>
      </c>
      <c r="N152">
        <v>0</v>
      </c>
      <c r="O152">
        <v>144</v>
      </c>
      <c r="P152">
        <v>0</v>
      </c>
      <c r="Q152">
        <v>30</v>
      </c>
      <c r="R152">
        <v>0</v>
      </c>
      <c r="AA152">
        <v>6</v>
      </c>
      <c r="AB152">
        <v>0</v>
      </c>
      <c r="AC152">
        <v>5</v>
      </c>
      <c r="AD152">
        <v>0</v>
      </c>
    </row>
    <row r="153" spans="1:30">
      <c r="A153" t="s">
        <v>608</v>
      </c>
      <c r="B153" t="s">
        <v>613</v>
      </c>
      <c r="C153">
        <v>65.099999999999994</v>
      </c>
      <c r="D153">
        <v>65</v>
      </c>
      <c r="E153">
        <v>1</v>
      </c>
      <c r="F153">
        <v>11.75</v>
      </c>
      <c r="H153">
        <v>0</v>
      </c>
      <c r="I153">
        <v>0</v>
      </c>
      <c r="J153">
        <v>0</v>
      </c>
      <c r="K153">
        <v>0</v>
      </c>
      <c r="L153">
        <v>0</v>
      </c>
      <c r="M153">
        <v>0</v>
      </c>
      <c r="N153">
        <v>0</v>
      </c>
    </row>
    <row r="154" spans="1:30">
      <c r="A154" t="s">
        <v>614</v>
      </c>
      <c r="B154" t="s">
        <v>615</v>
      </c>
      <c r="C154">
        <v>0.39</v>
      </c>
      <c r="D154">
        <v>0</v>
      </c>
      <c r="E154">
        <v>7</v>
      </c>
      <c r="F154">
        <v>10</v>
      </c>
      <c r="H154">
        <v>0</v>
      </c>
      <c r="I154">
        <v>0</v>
      </c>
      <c r="J154">
        <v>0</v>
      </c>
      <c r="K154">
        <v>0</v>
      </c>
      <c r="L154">
        <v>0</v>
      </c>
      <c r="M154">
        <v>0</v>
      </c>
      <c r="N154">
        <v>0</v>
      </c>
    </row>
    <row r="155" spans="1:30">
      <c r="A155" t="s">
        <v>614</v>
      </c>
      <c r="B155" t="s">
        <v>257</v>
      </c>
      <c r="C155">
        <v>0.38</v>
      </c>
      <c r="D155">
        <v>0</v>
      </c>
      <c r="E155">
        <v>7</v>
      </c>
      <c r="F155">
        <v>6</v>
      </c>
      <c r="H155">
        <v>0</v>
      </c>
      <c r="I155">
        <v>0</v>
      </c>
      <c r="J155">
        <v>0</v>
      </c>
      <c r="K155">
        <v>0</v>
      </c>
      <c r="L155">
        <v>0</v>
      </c>
      <c r="M155">
        <v>0</v>
      </c>
      <c r="N155">
        <v>0</v>
      </c>
    </row>
    <row r="156" spans="1:30">
      <c r="A156" t="s">
        <v>614</v>
      </c>
      <c r="B156" t="s">
        <v>258</v>
      </c>
      <c r="C156">
        <v>0.83</v>
      </c>
      <c r="D156">
        <v>0</v>
      </c>
      <c r="E156">
        <v>16</v>
      </c>
      <c r="F156">
        <v>8</v>
      </c>
      <c r="H156">
        <v>0</v>
      </c>
      <c r="I156">
        <v>0</v>
      </c>
      <c r="J156">
        <v>0</v>
      </c>
      <c r="K156">
        <v>0</v>
      </c>
      <c r="L156">
        <v>0</v>
      </c>
      <c r="M156">
        <v>0</v>
      </c>
      <c r="N156">
        <v>0</v>
      </c>
    </row>
    <row r="157" spans="1:30">
      <c r="A157" t="s">
        <v>614</v>
      </c>
      <c r="B157" t="s">
        <v>259</v>
      </c>
      <c r="C157">
        <v>0.6</v>
      </c>
      <c r="D157">
        <v>0</v>
      </c>
      <c r="E157">
        <v>12</v>
      </c>
      <c r="F157">
        <v>0</v>
      </c>
      <c r="H157">
        <v>0</v>
      </c>
      <c r="I157">
        <v>0</v>
      </c>
      <c r="J157">
        <v>0</v>
      </c>
      <c r="K157">
        <v>0</v>
      </c>
      <c r="L157">
        <v>0</v>
      </c>
      <c r="M157">
        <v>0</v>
      </c>
      <c r="N157">
        <v>0</v>
      </c>
    </row>
    <row r="158" spans="1:30">
      <c r="A158" t="s">
        <v>614</v>
      </c>
      <c r="B158" t="s">
        <v>260</v>
      </c>
      <c r="C158">
        <v>0.13</v>
      </c>
      <c r="D158">
        <v>0</v>
      </c>
      <c r="E158">
        <v>2</v>
      </c>
      <c r="F158">
        <v>8</v>
      </c>
      <c r="H158">
        <v>0</v>
      </c>
      <c r="I158">
        <v>0</v>
      </c>
      <c r="J158">
        <v>0</v>
      </c>
      <c r="K158">
        <v>0</v>
      </c>
      <c r="L158">
        <v>0</v>
      </c>
      <c r="M158">
        <v>0</v>
      </c>
      <c r="N158">
        <v>0</v>
      </c>
    </row>
    <row r="159" spans="1:30">
      <c r="A159" t="s">
        <v>614</v>
      </c>
      <c r="B159" t="s">
        <v>261</v>
      </c>
      <c r="C159">
        <v>0.2</v>
      </c>
      <c r="D159">
        <v>0</v>
      </c>
      <c r="E159">
        <v>4</v>
      </c>
      <c r="F159">
        <v>0</v>
      </c>
      <c r="H159">
        <v>0</v>
      </c>
      <c r="I159">
        <v>0</v>
      </c>
      <c r="J159">
        <v>0</v>
      </c>
      <c r="K159">
        <v>0</v>
      </c>
      <c r="L159">
        <v>0</v>
      </c>
      <c r="M159">
        <v>0</v>
      </c>
      <c r="N159">
        <v>0</v>
      </c>
    </row>
    <row r="160" spans="1:30">
      <c r="A160" t="s">
        <v>614</v>
      </c>
      <c r="B160" t="s">
        <v>262</v>
      </c>
      <c r="C160">
        <v>0.25</v>
      </c>
      <c r="D160">
        <v>0</v>
      </c>
      <c r="E160">
        <v>5</v>
      </c>
      <c r="F160">
        <v>0</v>
      </c>
      <c r="H160">
        <v>0</v>
      </c>
      <c r="I160">
        <v>0</v>
      </c>
      <c r="J160">
        <v>0</v>
      </c>
      <c r="K160">
        <v>0</v>
      </c>
      <c r="L160">
        <v>0</v>
      </c>
      <c r="M160">
        <v>0</v>
      </c>
      <c r="N160">
        <v>0</v>
      </c>
    </row>
    <row r="161" spans="1:14">
      <c r="A161" t="s">
        <v>614</v>
      </c>
      <c r="B161" t="s">
        <v>263</v>
      </c>
      <c r="C161">
        <v>0.97</v>
      </c>
      <c r="D161">
        <v>0</v>
      </c>
      <c r="E161">
        <v>19</v>
      </c>
      <c r="F161">
        <v>6</v>
      </c>
      <c r="H161">
        <v>0</v>
      </c>
      <c r="I161">
        <v>0</v>
      </c>
      <c r="J161">
        <v>0</v>
      </c>
      <c r="K161">
        <v>0</v>
      </c>
      <c r="L161">
        <v>0</v>
      </c>
      <c r="M161">
        <v>0</v>
      </c>
      <c r="N161">
        <v>0</v>
      </c>
    </row>
    <row r="162" spans="1:14">
      <c r="A162" t="s">
        <v>614</v>
      </c>
      <c r="B162" t="s">
        <v>616</v>
      </c>
      <c r="C162">
        <v>3.73</v>
      </c>
      <c r="D162">
        <v>3</v>
      </c>
      <c r="E162">
        <v>14</v>
      </c>
      <c r="F162">
        <v>8</v>
      </c>
      <c r="H162">
        <v>0</v>
      </c>
      <c r="I162">
        <v>0</v>
      </c>
      <c r="J162">
        <v>0</v>
      </c>
      <c r="K162">
        <v>0</v>
      </c>
      <c r="L162">
        <v>0</v>
      </c>
      <c r="M162">
        <v>0</v>
      </c>
      <c r="N162">
        <v>0</v>
      </c>
    </row>
    <row r="163" spans="1:14">
      <c r="A163" t="s">
        <v>617</v>
      </c>
      <c r="B163" t="s">
        <v>618</v>
      </c>
      <c r="C163">
        <v>3.2</v>
      </c>
      <c r="D163">
        <v>3</v>
      </c>
      <c r="E163">
        <v>4</v>
      </c>
      <c r="F163">
        <v>0</v>
      </c>
      <c r="H163">
        <v>0</v>
      </c>
      <c r="I163">
        <v>0</v>
      </c>
      <c r="J163">
        <v>0</v>
      </c>
      <c r="K163">
        <v>0</v>
      </c>
      <c r="L163">
        <v>0</v>
      </c>
      <c r="M163">
        <v>0</v>
      </c>
      <c r="N163">
        <v>0</v>
      </c>
    </row>
    <row r="164" spans="1:14">
      <c r="A164" t="s">
        <v>617</v>
      </c>
      <c r="B164" t="s">
        <v>619</v>
      </c>
      <c r="C164">
        <v>0.67</v>
      </c>
      <c r="D164">
        <v>0</v>
      </c>
      <c r="E164">
        <v>13</v>
      </c>
      <c r="F164">
        <v>4</v>
      </c>
      <c r="H164">
        <v>0</v>
      </c>
      <c r="I164">
        <v>0</v>
      </c>
      <c r="J164">
        <v>0</v>
      </c>
      <c r="K164">
        <v>0</v>
      </c>
      <c r="L164">
        <v>0</v>
      </c>
      <c r="M164">
        <v>0</v>
      </c>
      <c r="N164">
        <v>0</v>
      </c>
    </row>
    <row r="165" spans="1:14">
      <c r="A165" t="s">
        <v>617</v>
      </c>
      <c r="B165" t="s">
        <v>620</v>
      </c>
      <c r="C165">
        <v>0.26</v>
      </c>
      <c r="D165">
        <v>0</v>
      </c>
      <c r="E165">
        <v>5</v>
      </c>
      <c r="F165">
        <v>2</v>
      </c>
      <c r="H165">
        <v>0</v>
      </c>
      <c r="I165">
        <v>0</v>
      </c>
      <c r="J165">
        <v>0</v>
      </c>
      <c r="K165">
        <v>0</v>
      </c>
      <c r="L165">
        <v>0</v>
      </c>
      <c r="M165">
        <v>0</v>
      </c>
      <c r="N165">
        <v>0</v>
      </c>
    </row>
    <row r="166" spans="1:14">
      <c r="A166" t="s">
        <v>617</v>
      </c>
      <c r="B166" t="s">
        <v>621</v>
      </c>
      <c r="C166">
        <v>0.1</v>
      </c>
      <c r="D166">
        <v>0</v>
      </c>
      <c r="E166">
        <v>2</v>
      </c>
      <c r="F166">
        <v>0</v>
      </c>
      <c r="H166">
        <v>0</v>
      </c>
      <c r="I166">
        <v>0</v>
      </c>
      <c r="J166">
        <v>0</v>
      </c>
      <c r="K166">
        <v>0</v>
      </c>
      <c r="L166">
        <v>0</v>
      </c>
      <c r="M166">
        <v>0</v>
      </c>
      <c r="N166">
        <v>0</v>
      </c>
    </row>
    <row r="167" spans="1:14">
      <c r="A167" t="s">
        <v>617</v>
      </c>
      <c r="B167" t="s">
        <v>622</v>
      </c>
      <c r="C167">
        <v>1.17</v>
      </c>
      <c r="D167">
        <v>1</v>
      </c>
      <c r="E167">
        <v>3</v>
      </c>
      <c r="F167">
        <v>4</v>
      </c>
      <c r="H167">
        <v>0</v>
      </c>
      <c r="I167">
        <v>0</v>
      </c>
      <c r="J167">
        <v>0</v>
      </c>
      <c r="K167">
        <v>0</v>
      </c>
      <c r="L167">
        <v>0</v>
      </c>
      <c r="M167">
        <v>0</v>
      </c>
      <c r="N167">
        <v>0</v>
      </c>
    </row>
    <row r="168" spans="1:14">
      <c r="A168" t="s">
        <v>617</v>
      </c>
      <c r="B168" t="s">
        <v>623</v>
      </c>
      <c r="C168">
        <v>0.05</v>
      </c>
      <c r="D168">
        <v>0</v>
      </c>
      <c r="E168">
        <v>1</v>
      </c>
      <c r="F168">
        <v>0</v>
      </c>
      <c r="H168">
        <v>0</v>
      </c>
      <c r="I168">
        <v>0</v>
      </c>
      <c r="J168">
        <v>0</v>
      </c>
      <c r="K168">
        <v>0</v>
      </c>
      <c r="L168">
        <v>0</v>
      </c>
      <c r="M168">
        <v>0</v>
      </c>
      <c r="N168">
        <v>0</v>
      </c>
    </row>
    <row r="169" spans="1:14">
      <c r="A169" t="s">
        <v>617</v>
      </c>
      <c r="B169" t="s">
        <v>624</v>
      </c>
      <c r="C169">
        <v>0.17</v>
      </c>
      <c r="D169">
        <v>0</v>
      </c>
      <c r="E169">
        <v>3</v>
      </c>
      <c r="F169">
        <v>4</v>
      </c>
      <c r="G169" t="s">
        <v>610</v>
      </c>
      <c r="H169">
        <v>0</v>
      </c>
      <c r="I169">
        <v>9</v>
      </c>
      <c r="J169">
        <v>1.1200000000000001</v>
      </c>
      <c r="K169">
        <v>1.1200000000000001</v>
      </c>
      <c r="L169">
        <v>0</v>
      </c>
      <c r="M169">
        <v>0</v>
      </c>
      <c r="N169">
        <v>9</v>
      </c>
    </row>
    <row r="170" spans="1:14">
      <c r="A170" t="s">
        <v>617</v>
      </c>
      <c r="B170" t="s">
        <v>625</v>
      </c>
      <c r="C170">
        <v>0.17</v>
      </c>
      <c r="D170">
        <v>0</v>
      </c>
      <c r="E170">
        <v>3</v>
      </c>
      <c r="F170">
        <v>4</v>
      </c>
      <c r="H170">
        <v>0</v>
      </c>
      <c r="I170">
        <v>0</v>
      </c>
      <c r="J170">
        <v>0</v>
      </c>
      <c r="K170">
        <v>0</v>
      </c>
      <c r="L170">
        <v>0</v>
      </c>
      <c r="M170">
        <v>0</v>
      </c>
      <c r="N170">
        <v>0</v>
      </c>
    </row>
    <row r="171" spans="1:14">
      <c r="A171" t="s">
        <v>617</v>
      </c>
      <c r="B171" t="s">
        <v>626</v>
      </c>
      <c r="C171">
        <v>1</v>
      </c>
      <c r="D171">
        <v>1</v>
      </c>
      <c r="E171">
        <v>0</v>
      </c>
      <c r="F171">
        <v>0</v>
      </c>
      <c r="H171">
        <v>0</v>
      </c>
      <c r="I171">
        <v>0</v>
      </c>
      <c r="J171">
        <v>0</v>
      </c>
      <c r="K171">
        <v>0</v>
      </c>
      <c r="L171">
        <v>0</v>
      </c>
      <c r="M171">
        <v>0</v>
      </c>
      <c r="N171">
        <v>0</v>
      </c>
    </row>
    <row r="172" spans="1:14">
      <c r="A172" t="s">
        <v>617</v>
      </c>
      <c r="B172" t="s">
        <v>627</v>
      </c>
      <c r="C172">
        <v>0.17</v>
      </c>
      <c r="D172">
        <v>0</v>
      </c>
      <c r="E172">
        <v>3</v>
      </c>
      <c r="F172">
        <v>4</v>
      </c>
      <c r="H172">
        <v>0</v>
      </c>
      <c r="I172">
        <v>0</v>
      </c>
      <c r="J172">
        <v>0</v>
      </c>
      <c r="K172">
        <v>0</v>
      </c>
      <c r="L172">
        <v>0</v>
      </c>
      <c r="M172">
        <v>0</v>
      </c>
      <c r="N172">
        <v>0</v>
      </c>
    </row>
    <row r="173" spans="1:14">
      <c r="A173" t="s">
        <v>617</v>
      </c>
      <c r="B173" t="s">
        <v>628</v>
      </c>
      <c r="C173">
        <v>0.17</v>
      </c>
      <c r="D173">
        <v>0</v>
      </c>
      <c r="E173">
        <v>3</v>
      </c>
      <c r="F173">
        <v>4</v>
      </c>
      <c r="H173">
        <v>0</v>
      </c>
      <c r="I173">
        <v>0</v>
      </c>
      <c r="J173">
        <v>0</v>
      </c>
      <c r="K173">
        <v>0</v>
      </c>
      <c r="L173">
        <v>0</v>
      </c>
      <c r="M173">
        <v>0</v>
      </c>
      <c r="N173">
        <v>0</v>
      </c>
    </row>
    <row r="174" spans="1:14">
      <c r="A174" t="s">
        <v>617</v>
      </c>
      <c r="B174" t="s">
        <v>629</v>
      </c>
      <c r="C174">
        <v>0.17</v>
      </c>
      <c r="D174">
        <v>0</v>
      </c>
      <c r="E174">
        <v>3</v>
      </c>
      <c r="F174">
        <v>4</v>
      </c>
      <c r="H174">
        <v>0</v>
      </c>
      <c r="I174">
        <v>0</v>
      </c>
      <c r="J174">
        <v>0</v>
      </c>
      <c r="K174">
        <v>0</v>
      </c>
      <c r="L174">
        <v>0</v>
      </c>
      <c r="M174">
        <v>0</v>
      </c>
      <c r="N174">
        <v>0</v>
      </c>
    </row>
    <row r="175" spans="1:14">
      <c r="A175" t="s">
        <v>617</v>
      </c>
      <c r="B175" t="s">
        <v>630</v>
      </c>
      <c r="C175">
        <v>7.27</v>
      </c>
      <c r="D175">
        <v>7</v>
      </c>
      <c r="E175">
        <v>5</v>
      </c>
      <c r="F175">
        <v>4</v>
      </c>
      <c r="H175">
        <v>0</v>
      </c>
      <c r="I175">
        <v>0</v>
      </c>
      <c r="J175">
        <v>0</v>
      </c>
      <c r="K175">
        <v>0</v>
      </c>
      <c r="L175">
        <v>0</v>
      </c>
      <c r="M175">
        <v>0</v>
      </c>
      <c r="N175">
        <v>0</v>
      </c>
    </row>
    <row r="176" spans="1:14">
      <c r="A176" t="s">
        <v>631</v>
      </c>
      <c r="B176" t="s">
        <v>632</v>
      </c>
      <c r="C176">
        <v>0.5</v>
      </c>
      <c r="D176">
        <v>0</v>
      </c>
      <c r="E176">
        <v>10</v>
      </c>
      <c r="F176">
        <v>1</v>
      </c>
      <c r="H176">
        <v>0</v>
      </c>
      <c r="I176">
        <v>0</v>
      </c>
      <c r="J176">
        <v>0</v>
      </c>
      <c r="K176">
        <v>0</v>
      </c>
      <c r="L176">
        <v>0</v>
      </c>
      <c r="M176">
        <v>0</v>
      </c>
      <c r="N176">
        <v>0</v>
      </c>
    </row>
    <row r="177" spans="1:14">
      <c r="A177" t="s">
        <v>631</v>
      </c>
      <c r="B177" t="s">
        <v>268</v>
      </c>
      <c r="C177">
        <v>1.1399999999999999</v>
      </c>
      <c r="D177">
        <v>1</v>
      </c>
      <c r="E177">
        <v>2</v>
      </c>
      <c r="F177">
        <v>9</v>
      </c>
      <c r="H177">
        <v>0</v>
      </c>
      <c r="I177">
        <v>0</v>
      </c>
      <c r="J177">
        <v>0</v>
      </c>
      <c r="K177">
        <v>0</v>
      </c>
      <c r="L177">
        <v>0</v>
      </c>
      <c r="M177">
        <v>0</v>
      </c>
      <c r="N177">
        <v>0</v>
      </c>
    </row>
    <row r="178" spans="1:14">
      <c r="A178" t="s">
        <v>631</v>
      </c>
      <c r="B178" t="s">
        <v>633</v>
      </c>
      <c r="C178">
        <v>0.63</v>
      </c>
      <c r="D178">
        <v>0</v>
      </c>
      <c r="E178">
        <v>12</v>
      </c>
      <c r="F178">
        <v>8</v>
      </c>
      <c r="H178">
        <v>0</v>
      </c>
      <c r="I178">
        <v>0</v>
      </c>
      <c r="J178">
        <v>0</v>
      </c>
      <c r="K178">
        <v>0</v>
      </c>
      <c r="L178">
        <v>0</v>
      </c>
      <c r="M178">
        <v>0</v>
      </c>
      <c r="N178">
        <v>0</v>
      </c>
    </row>
    <row r="179" spans="1:14">
      <c r="A179" t="s">
        <v>631</v>
      </c>
      <c r="B179" t="s">
        <v>634</v>
      </c>
      <c r="C179">
        <v>0.53</v>
      </c>
      <c r="D179">
        <v>0</v>
      </c>
      <c r="E179">
        <v>10</v>
      </c>
      <c r="F179">
        <v>8</v>
      </c>
      <c r="H179">
        <v>0</v>
      </c>
      <c r="I179">
        <v>0</v>
      </c>
      <c r="J179">
        <v>0</v>
      </c>
      <c r="K179">
        <v>0</v>
      </c>
      <c r="L179">
        <v>0</v>
      </c>
      <c r="M179">
        <v>0</v>
      </c>
      <c r="N179">
        <v>0</v>
      </c>
    </row>
    <row r="180" spans="1:14">
      <c r="A180" t="s">
        <v>631</v>
      </c>
      <c r="B180" t="s">
        <v>635</v>
      </c>
      <c r="C180">
        <v>1.17</v>
      </c>
      <c r="D180">
        <v>1</v>
      </c>
      <c r="E180">
        <v>3</v>
      </c>
      <c r="F180">
        <v>6</v>
      </c>
      <c r="H180">
        <v>0</v>
      </c>
      <c r="I180">
        <v>0</v>
      </c>
      <c r="J180">
        <v>0</v>
      </c>
      <c r="K180">
        <v>0</v>
      </c>
      <c r="L180">
        <v>0</v>
      </c>
      <c r="M180">
        <v>0</v>
      </c>
      <c r="N180">
        <v>0</v>
      </c>
    </row>
    <row r="181" spans="1:14">
      <c r="A181" t="s">
        <v>631</v>
      </c>
      <c r="B181" t="s">
        <v>636</v>
      </c>
      <c r="C181">
        <v>3.98</v>
      </c>
      <c r="D181">
        <v>3</v>
      </c>
      <c r="E181">
        <v>19</v>
      </c>
      <c r="F181">
        <v>8</v>
      </c>
      <c r="H181">
        <v>0</v>
      </c>
      <c r="I181">
        <v>0</v>
      </c>
      <c r="J181">
        <v>0</v>
      </c>
      <c r="K181">
        <v>0</v>
      </c>
      <c r="L181">
        <v>0</v>
      </c>
      <c r="M181">
        <v>0</v>
      </c>
      <c r="N181">
        <v>0</v>
      </c>
    </row>
    <row r="182" spans="1:14">
      <c r="A182" t="s">
        <v>637</v>
      </c>
      <c r="B182" t="s">
        <v>638</v>
      </c>
      <c r="C182">
        <v>7.74</v>
      </c>
      <c r="D182">
        <v>7</v>
      </c>
      <c r="E182">
        <v>14</v>
      </c>
      <c r="F182">
        <v>9</v>
      </c>
      <c r="H182">
        <v>0</v>
      </c>
      <c r="I182">
        <v>0</v>
      </c>
      <c r="J182">
        <v>0</v>
      </c>
      <c r="K182">
        <v>0</v>
      </c>
      <c r="L182">
        <v>0</v>
      </c>
      <c r="M182">
        <v>0</v>
      </c>
      <c r="N182">
        <v>0</v>
      </c>
    </row>
    <row r="183" spans="1:14">
      <c r="A183" t="s">
        <v>637</v>
      </c>
      <c r="B183" t="s">
        <v>639</v>
      </c>
      <c r="C183">
        <v>7.74</v>
      </c>
      <c r="D183">
        <v>7</v>
      </c>
      <c r="E183">
        <v>14</v>
      </c>
      <c r="F183">
        <v>9</v>
      </c>
      <c r="H183">
        <v>0</v>
      </c>
      <c r="I183">
        <v>0</v>
      </c>
      <c r="J183">
        <v>0</v>
      </c>
      <c r="K183">
        <v>0</v>
      </c>
      <c r="L183">
        <v>0</v>
      </c>
      <c r="M183">
        <v>0</v>
      </c>
      <c r="N183">
        <v>0</v>
      </c>
    </row>
    <row r="184" spans="1:14">
      <c r="A184" t="s">
        <v>640</v>
      </c>
      <c r="B184" t="s">
        <v>641</v>
      </c>
      <c r="C184">
        <v>188.16</v>
      </c>
      <c r="D184">
        <v>188</v>
      </c>
      <c r="E184">
        <v>3</v>
      </c>
      <c r="F184">
        <v>2.75</v>
      </c>
      <c r="H184">
        <v>0</v>
      </c>
      <c r="I184">
        <v>0</v>
      </c>
      <c r="J184">
        <v>0</v>
      </c>
      <c r="K184">
        <v>0</v>
      </c>
      <c r="L184">
        <v>0</v>
      </c>
      <c r="M184">
        <v>0</v>
      </c>
      <c r="N184">
        <v>0</v>
      </c>
    </row>
    <row r="185" spans="1:14">
      <c r="A185" t="s">
        <v>642</v>
      </c>
      <c r="B185" t="s">
        <v>643</v>
      </c>
      <c r="C185">
        <v>0.64</v>
      </c>
      <c r="D185">
        <v>0</v>
      </c>
      <c r="E185">
        <v>12</v>
      </c>
      <c r="F185">
        <v>10</v>
      </c>
      <c r="H185">
        <v>0</v>
      </c>
      <c r="I185">
        <v>0</v>
      </c>
      <c r="J185">
        <v>0</v>
      </c>
      <c r="K185">
        <v>0</v>
      </c>
      <c r="L185">
        <v>0</v>
      </c>
      <c r="M185">
        <v>0</v>
      </c>
      <c r="N185">
        <v>0</v>
      </c>
    </row>
    <row r="186" spans="1:14">
      <c r="A186" t="s">
        <v>642</v>
      </c>
      <c r="B186" t="s">
        <v>281</v>
      </c>
      <c r="C186">
        <v>0.06</v>
      </c>
      <c r="D186">
        <v>0</v>
      </c>
      <c r="E186">
        <v>1</v>
      </c>
      <c r="F186">
        <v>2</v>
      </c>
      <c r="H186">
        <v>0</v>
      </c>
      <c r="I186">
        <v>0</v>
      </c>
      <c r="J186">
        <v>0</v>
      </c>
      <c r="K186">
        <v>0</v>
      </c>
      <c r="L186">
        <v>0</v>
      </c>
      <c r="M186">
        <v>0</v>
      </c>
      <c r="N186">
        <v>0</v>
      </c>
    </row>
    <row r="187" spans="1:14">
      <c r="A187" t="s">
        <v>642</v>
      </c>
      <c r="B187" t="s">
        <v>282</v>
      </c>
      <c r="C187">
        <v>7.0000000000000007E-2</v>
      </c>
      <c r="D187">
        <v>0</v>
      </c>
      <c r="E187">
        <v>1</v>
      </c>
      <c r="F187">
        <v>4</v>
      </c>
      <c r="H187">
        <v>0</v>
      </c>
      <c r="I187">
        <v>0</v>
      </c>
      <c r="J187">
        <v>0</v>
      </c>
      <c r="K187">
        <v>0</v>
      </c>
      <c r="L187">
        <v>0</v>
      </c>
      <c r="M187">
        <v>0</v>
      </c>
      <c r="N187">
        <v>0</v>
      </c>
    </row>
    <row r="188" spans="1:14">
      <c r="A188" t="s">
        <v>642</v>
      </c>
      <c r="B188" t="s">
        <v>283</v>
      </c>
      <c r="C188">
        <v>0.03</v>
      </c>
      <c r="D188">
        <v>0</v>
      </c>
      <c r="E188">
        <v>0</v>
      </c>
      <c r="F188">
        <v>6</v>
      </c>
      <c r="H188">
        <v>0</v>
      </c>
      <c r="I188">
        <v>0</v>
      </c>
      <c r="J188">
        <v>0</v>
      </c>
      <c r="K188">
        <v>0</v>
      </c>
      <c r="L188">
        <v>0</v>
      </c>
      <c r="M188">
        <v>0</v>
      </c>
      <c r="N188">
        <v>0</v>
      </c>
    </row>
    <row r="189" spans="1:14">
      <c r="A189" t="s">
        <v>642</v>
      </c>
      <c r="B189" t="s">
        <v>284</v>
      </c>
      <c r="C189">
        <v>0.02</v>
      </c>
      <c r="D189">
        <v>0</v>
      </c>
      <c r="E189">
        <v>0</v>
      </c>
      <c r="F189">
        <v>4</v>
      </c>
      <c r="H189">
        <v>0</v>
      </c>
      <c r="I189">
        <v>0</v>
      </c>
      <c r="J189">
        <v>0</v>
      </c>
      <c r="K189">
        <v>0</v>
      </c>
      <c r="L189">
        <v>0</v>
      </c>
      <c r="M189">
        <v>0</v>
      </c>
      <c r="N189">
        <v>0</v>
      </c>
    </row>
    <row r="190" spans="1:14">
      <c r="A190" t="s">
        <v>642</v>
      </c>
      <c r="B190" t="s">
        <v>285</v>
      </c>
      <c r="C190">
        <v>0.03</v>
      </c>
      <c r="D190">
        <v>0</v>
      </c>
      <c r="E190">
        <v>0</v>
      </c>
      <c r="F190">
        <v>8</v>
      </c>
      <c r="H190">
        <v>0</v>
      </c>
      <c r="I190">
        <v>0</v>
      </c>
      <c r="J190">
        <v>0</v>
      </c>
      <c r="K190">
        <v>0</v>
      </c>
      <c r="L190">
        <v>0</v>
      </c>
      <c r="M190">
        <v>0</v>
      </c>
      <c r="N190">
        <v>0</v>
      </c>
    </row>
    <row r="191" spans="1:14">
      <c r="A191" t="s">
        <v>642</v>
      </c>
      <c r="B191" t="s">
        <v>286</v>
      </c>
      <c r="C191">
        <v>0.08</v>
      </c>
      <c r="D191">
        <v>0</v>
      </c>
      <c r="E191">
        <v>1</v>
      </c>
      <c r="F191">
        <v>6</v>
      </c>
      <c r="H191">
        <v>0</v>
      </c>
      <c r="I191">
        <v>0</v>
      </c>
      <c r="J191">
        <v>0</v>
      </c>
      <c r="K191">
        <v>0</v>
      </c>
      <c r="L191">
        <v>0</v>
      </c>
      <c r="M191">
        <v>0</v>
      </c>
      <c r="N191">
        <v>0</v>
      </c>
    </row>
    <row r="192" spans="1:14">
      <c r="A192" t="s">
        <v>642</v>
      </c>
      <c r="B192" t="s">
        <v>287</v>
      </c>
      <c r="C192">
        <v>0.03</v>
      </c>
      <c r="D192">
        <v>0</v>
      </c>
      <c r="E192">
        <v>0</v>
      </c>
      <c r="F192">
        <v>6</v>
      </c>
      <c r="H192">
        <v>0</v>
      </c>
      <c r="I192">
        <v>0</v>
      </c>
      <c r="J192">
        <v>0</v>
      </c>
      <c r="K192">
        <v>0</v>
      </c>
      <c r="L192">
        <v>0</v>
      </c>
      <c r="M192">
        <v>0</v>
      </c>
      <c r="N192">
        <v>0</v>
      </c>
    </row>
    <row r="193" spans="1:14">
      <c r="A193" t="s">
        <v>642</v>
      </c>
      <c r="B193" t="s">
        <v>288</v>
      </c>
      <c r="C193">
        <v>0.12</v>
      </c>
      <c r="D193">
        <v>0</v>
      </c>
      <c r="E193">
        <v>2</v>
      </c>
      <c r="F193">
        <v>6</v>
      </c>
      <c r="H193">
        <v>0</v>
      </c>
      <c r="I193">
        <v>0</v>
      </c>
      <c r="J193">
        <v>0</v>
      </c>
      <c r="K193">
        <v>0</v>
      </c>
      <c r="L193">
        <v>0</v>
      </c>
      <c r="M193">
        <v>0</v>
      </c>
      <c r="N193">
        <v>0</v>
      </c>
    </row>
    <row r="194" spans="1:14">
      <c r="A194" t="s">
        <v>642</v>
      </c>
      <c r="B194" t="s">
        <v>644</v>
      </c>
      <c r="C194">
        <v>0.1</v>
      </c>
      <c r="D194">
        <v>0</v>
      </c>
      <c r="E194">
        <v>2</v>
      </c>
      <c r="F194">
        <v>0</v>
      </c>
      <c r="H194">
        <v>0</v>
      </c>
      <c r="I194">
        <v>0</v>
      </c>
      <c r="J194">
        <v>0</v>
      </c>
      <c r="K194">
        <v>0</v>
      </c>
      <c r="L194">
        <v>0</v>
      </c>
      <c r="M194">
        <v>0</v>
      </c>
      <c r="N194">
        <v>0</v>
      </c>
    </row>
    <row r="195" spans="1:14">
      <c r="A195" t="s">
        <v>642</v>
      </c>
      <c r="B195" t="s">
        <v>290</v>
      </c>
      <c r="C195">
        <v>0.01</v>
      </c>
      <c r="D195">
        <v>0</v>
      </c>
      <c r="E195">
        <v>0</v>
      </c>
      <c r="F195">
        <v>3</v>
      </c>
      <c r="H195">
        <v>0</v>
      </c>
      <c r="I195">
        <v>0</v>
      </c>
      <c r="J195">
        <v>0</v>
      </c>
      <c r="K195">
        <v>0</v>
      </c>
      <c r="L195">
        <v>0</v>
      </c>
      <c r="M195">
        <v>0</v>
      </c>
      <c r="N195">
        <v>0</v>
      </c>
    </row>
    <row r="196" spans="1:14">
      <c r="A196" t="s">
        <v>642</v>
      </c>
      <c r="B196" t="s">
        <v>291</v>
      </c>
      <c r="C196">
        <v>0.2</v>
      </c>
      <c r="D196">
        <v>0</v>
      </c>
      <c r="E196">
        <v>4</v>
      </c>
      <c r="F196">
        <v>0</v>
      </c>
      <c r="H196">
        <v>0</v>
      </c>
      <c r="I196">
        <v>0</v>
      </c>
      <c r="J196">
        <v>0</v>
      </c>
      <c r="K196">
        <v>0</v>
      </c>
      <c r="L196">
        <v>0</v>
      </c>
      <c r="M196">
        <v>0</v>
      </c>
      <c r="N196">
        <v>0</v>
      </c>
    </row>
    <row r="197" spans="1:14">
      <c r="A197" t="s">
        <v>642</v>
      </c>
      <c r="B197" t="s">
        <v>645</v>
      </c>
      <c r="C197">
        <v>1.38</v>
      </c>
      <c r="D197">
        <v>1</v>
      </c>
      <c r="E197">
        <v>7</v>
      </c>
      <c r="F197">
        <v>8</v>
      </c>
      <c r="H197">
        <v>0</v>
      </c>
      <c r="I197">
        <v>0</v>
      </c>
      <c r="J197">
        <v>0</v>
      </c>
      <c r="K197">
        <v>0</v>
      </c>
      <c r="L197">
        <v>0</v>
      </c>
      <c r="M197">
        <v>0</v>
      </c>
      <c r="N197">
        <v>0</v>
      </c>
    </row>
    <row r="198" spans="1:14">
      <c r="A198" t="s">
        <v>646</v>
      </c>
      <c r="B198" t="s">
        <v>647</v>
      </c>
      <c r="C198">
        <v>0.1</v>
      </c>
      <c r="D198">
        <v>0</v>
      </c>
      <c r="E198">
        <v>2</v>
      </c>
      <c r="F198">
        <v>0</v>
      </c>
      <c r="H198">
        <v>0</v>
      </c>
      <c r="I198">
        <v>0</v>
      </c>
      <c r="J198">
        <v>0</v>
      </c>
      <c r="K198">
        <v>0</v>
      </c>
      <c r="L198">
        <v>0</v>
      </c>
      <c r="M198">
        <v>0</v>
      </c>
      <c r="N198">
        <v>0</v>
      </c>
    </row>
    <row r="199" spans="1:14">
      <c r="A199" t="s">
        <v>646</v>
      </c>
      <c r="B199" t="s">
        <v>295</v>
      </c>
      <c r="C199">
        <v>0.03</v>
      </c>
      <c r="D199">
        <v>0</v>
      </c>
      <c r="E199">
        <v>0</v>
      </c>
      <c r="F199">
        <v>8</v>
      </c>
      <c r="H199">
        <v>0</v>
      </c>
      <c r="I199">
        <v>0</v>
      </c>
      <c r="J199">
        <v>0</v>
      </c>
      <c r="K199">
        <v>0</v>
      </c>
      <c r="L199">
        <v>0</v>
      </c>
      <c r="M199">
        <v>0</v>
      </c>
      <c r="N199">
        <v>0</v>
      </c>
    </row>
    <row r="200" spans="1:14">
      <c r="A200" t="s">
        <v>646</v>
      </c>
      <c r="B200" t="s">
        <v>296</v>
      </c>
      <c r="C200">
        <v>0.05</v>
      </c>
      <c r="D200">
        <v>0</v>
      </c>
      <c r="E200">
        <v>1</v>
      </c>
      <c r="F200">
        <v>0</v>
      </c>
      <c r="H200">
        <v>0</v>
      </c>
      <c r="I200">
        <v>0</v>
      </c>
      <c r="J200">
        <v>0</v>
      </c>
      <c r="K200">
        <v>0</v>
      </c>
      <c r="L200">
        <v>0</v>
      </c>
      <c r="M200">
        <v>0</v>
      </c>
      <c r="N200">
        <v>0</v>
      </c>
    </row>
    <row r="201" spans="1:14">
      <c r="A201" t="s">
        <v>646</v>
      </c>
      <c r="B201" t="s">
        <v>297</v>
      </c>
      <c r="C201">
        <v>0.08</v>
      </c>
      <c r="D201">
        <v>0</v>
      </c>
      <c r="E201">
        <v>1</v>
      </c>
      <c r="F201">
        <v>8</v>
      </c>
      <c r="H201">
        <v>0</v>
      </c>
      <c r="I201">
        <v>0</v>
      </c>
      <c r="J201">
        <v>0</v>
      </c>
      <c r="K201">
        <v>0</v>
      </c>
      <c r="L201">
        <v>0</v>
      </c>
      <c r="M201">
        <v>0</v>
      </c>
      <c r="N201">
        <v>0</v>
      </c>
    </row>
    <row r="202" spans="1:14">
      <c r="A202" t="s">
        <v>646</v>
      </c>
      <c r="B202" t="s">
        <v>298</v>
      </c>
      <c r="C202">
        <v>0.03</v>
      </c>
      <c r="D202">
        <v>0</v>
      </c>
      <c r="E202">
        <v>0</v>
      </c>
      <c r="F202">
        <v>6</v>
      </c>
      <c r="H202">
        <v>0</v>
      </c>
      <c r="I202">
        <v>0</v>
      </c>
      <c r="J202">
        <v>0</v>
      </c>
      <c r="K202">
        <v>0</v>
      </c>
      <c r="L202">
        <v>0</v>
      </c>
      <c r="M202">
        <v>0</v>
      </c>
      <c r="N202">
        <v>0</v>
      </c>
    </row>
    <row r="203" spans="1:14">
      <c r="A203" t="s">
        <v>646</v>
      </c>
      <c r="B203" t="s">
        <v>299</v>
      </c>
      <c r="C203">
        <v>0.12</v>
      </c>
      <c r="D203">
        <v>0</v>
      </c>
      <c r="E203">
        <v>2</v>
      </c>
      <c r="F203">
        <v>6</v>
      </c>
      <c r="H203">
        <v>0</v>
      </c>
      <c r="I203">
        <v>0</v>
      </c>
      <c r="J203">
        <v>0</v>
      </c>
      <c r="K203">
        <v>0</v>
      </c>
      <c r="L203">
        <v>0</v>
      </c>
      <c r="M203">
        <v>0</v>
      </c>
      <c r="N203">
        <v>0</v>
      </c>
    </row>
    <row r="204" spans="1:14">
      <c r="A204" t="s">
        <v>646</v>
      </c>
      <c r="B204" t="s">
        <v>300</v>
      </c>
      <c r="C204">
        <v>0.09</v>
      </c>
      <c r="D204">
        <v>0</v>
      </c>
      <c r="E204">
        <v>1</v>
      </c>
      <c r="F204">
        <v>10</v>
      </c>
      <c r="H204">
        <v>0</v>
      </c>
      <c r="I204">
        <v>0</v>
      </c>
      <c r="J204">
        <v>0</v>
      </c>
      <c r="K204">
        <v>0</v>
      </c>
      <c r="L204">
        <v>0</v>
      </c>
      <c r="M204">
        <v>0</v>
      </c>
      <c r="N204">
        <v>0</v>
      </c>
    </row>
    <row r="205" spans="1:14">
      <c r="A205" t="s">
        <v>646</v>
      </c>
      <c r="B205" t="s">
        <v>301</v>
      </c>
      <c r="C205">
        <v>7.0000000000000007E-2</v>
      </c>
      <c r="D205">
        <v>0</v>
      </c>
      <c r="E205">
        <v>1</v>
      </c>
      <c r="F205">
        <v>4</v>
      </c>
      <c r="H205">
        <v>0</v>
      </c>
      <c r="I205">
        <v>0</v>
      </c>
      <c r="J205">
        <v>0</v>
      </c>
      <c r="K205">
        <v>0</v>
      </c>
      <c r="L205">
        <v>0</v>
      </c>
      <c r="M205">
        <v>0</v>
      </c>
      <c r="N205">
        <v>0</v>
      </c>
    </row>
    <row r="206" spans="1:14">
      <c r="A206" t="s">
        <v>646</v>
      </c>
      <c r="B206" t="s">
        <v>302</v>
      </c>
      <c r="C206">
        <v>0.4</v>
      </c>
      <c r="D206">
        <v>0</v>
      </c>
      <c r="E206">
        <v>8</v>
      </c>
      <c r="F206">
        <v>0</v>
      </c>
      <c r="H206">
        <v>0</v>
      </c>
      <c r="I206">
        <v>0</v>
      </c>
      <c r="J206">
        <v>0</v>
      </c>
      <c r="K206">
        <v>0</v>
      </c>
      <c r="L206">
        <v>0</v>
      </c>
      <c r="M206">
        <v>0</v>
      </c>
      <c r="N206">
        <v>0</v>
      </c>
    </row>
    <row r="207" spans="1:14">
      <c r="A207" t="s">
        <v>646</v>
      </c>
      <c r="B207" t="s">
        <v>303</v>
      </c>
      <c r="C207">
        <v>0.4</v>
      </c>
      <c r="D207">
        <v>0</v>
      </c>
      <c r="E207">
        <v>8</v>
      </c>
      <c r="F207">
        <v>0</v>
      </c>
      <c r="H207">
        <v>0</v>
      </c>
      <c r="I207">
        <v>0</v>
      </c>
      <c r="J207">
        <v>0</v>
      </c>
      <c r="K207">
        <v>0</v>
      </c>
      <c r="L207">
        <v>0</v>
      </c>
      <c r="M207">
        <v>0</v>
      </c>
      <c r="N207">
        <v>0</v>
      </c>
    </row>
    <row r="208" spans="1:14">
      <c r="A208" t="s">
        <v>646</v>
      </c>
      <c r="B208" t="s">
        <v>648</v>
      </c>
      <c r="C208">
        <v>1.38</v>
      </c>
      <c r="D208">
        <v>1</v>
      </c>
      <c r="E208">
        <v>7</v>
      </c>
      <c r="F208">
        <v>6</v>
      </c>
      <c r="H208">
        <v>0</v>
      </c>
      <c r="I208">
        <v>0</v>
      </c>
      <c r="J208">
        <v>0</v>
      </c>
      <c r="K208">
        <v>0</v>
      </c>
      <c r="L208">
        <v>0</v>
      </c>
      <c r="M208">
        <v>0</v>
      </c>
      <c r="N208">
        <v>0</v>
      </c>
    </row>
    <row r="209" spans="1:36">
      <c r="A209" t="s">
        <v>649</v>
      </c>
      <c r="B209" t="s">
        <v>650</v>
      </c>
      <c r="C209">
        <v>47.41</v>
      </c>
      <c r="D209">
        <v>47</v>
      </c>
      <c r="E209">
        <v>8</v>
      </c>
      <c r="F209">
        <v>1.25</v>
      </c>
      <c r="G209" t="s">
        <v>651</v>
      </c>
      <c r="H209">
        <v>167</v>
      </c>
      <c r="I209">
        <v>2.5</v>
      </c>
      <c r="J209">
        <v>167.31</v>
      </c>
      <c r="K209">
        <v>167.31</v>
      </c>
      <c r="L209">
        <v>0</v>
      </c>
      <c r="M209">
        <v>167</v>
      </c>
      <c r="N209">
        <v>2.5</v>
      </c>
      <c r="AA209">
        <v>5</v>
      </c>
      <c r="AB209">
        <v>8</v>
      </c>
    </row>
    <row r="210" spans="1:36">
      <c r="A210" t="s">
        <v>649</v>
      </c>
      <c r="B210" t="s">
        <v>652</v>
      </c>
      <c r="C210">
        <v>0.33</v>
      </c>
      <c r="D210">
        <v>0</v>
      </c>
      <c r="E210">
        <v>6</v>
      </c>
      <c r="F210">
        <v>6</v>
      </c>
      <c r="H210">
        <v>0</v>
      </c>
      <c r="I210">
        <v>4</v>
      </c>
      <c r="J210">
        <v>0.5</v>
      </c>
      <c r="K210">
        <v>0.5</v>
      </c>
      <c r="L210">
        <v>0</v>
      </c>
      <c r="M210">
        <v>0</v>
      </c>
      <c r="N210">
        <v>4</v>
      </c>
      <c r="AI210">
        <v>0</v>
      </c>
      <c r="AJ210">
        <v>6</v>
      </c>
    </row>
    <row r="211" spans="1:36">
      <c r="A211" t="s">
        <v>649</v>
      </c>
      <c r="B211" t="s">
        <v>653</v>
      </c>
      <c r="C211">
        <v>0.17</v>
      </c>
      <c r="D211">
        <v>0</v>
      </c>
      <c r="E211">
        <v>3</v>
      </c>
      <c r="F211">
        <v>4.5</v>
      </c>
      <c r="G211" t="s">
        <v>654</v>
      </c>
      <c r="H211">
        <v>1</v>
      </c>
      <c r="I211">
        <v>1</v>
      </c>
      <c r="J211">
        <v>1.1200000000000001</v>
      </c>
      <c r="K211">
        <v>1.1200000000000001</v>
      </c>
      <c r="L211">
        <v>0</v>
      </c>
      <c r="M211">
        <v>1</v>
      </c>
      <c r="N211">
        <v>1</v>
      </c>
      <c r="AI211">
        <v>0</v>
      </c>
      <c r="AJ211">
        <v>4.5</v>
      </c>
    </row>
    <row r="212" spans="1:36">
      <c r="A212" t="s">
        <v>649</v>
      </c>
      <c r="B212" t="s">
        <v>655</v>
      </c>
      <c r="C212">
        <v>0.45</v>
      </c>
      <c r="D212">
        <v>0</v>
      </c>
      <c r="E212">
        <v>9</v>
      </c>
      <c r="F212">
        <v>0</v>
      </c>
      <c r="H212">
        <v>0</v>
      </c>
      <c r="I212">
        <v>0</v>
      </c>
      <c r="J212">
        <v>0</v>
      </c>
      <c r="K212">
        <v>0</v>
      </c>
      <c r="L212">
        <v>0</v>
      </c>
      <c r="M212">
        <v>0</v>
      </c>
      <c r="N212">
        <v>0</v>
      </c>
    </row>
    <row r="213" spans="1:36">
      <c r="A213" t="s">
        <v>649</v>
      </c>
      <c r="B213" t="s">
        <v>656</v>
      </c>
      <c r="C213">
        <v>0.1</v>
      </c>
      <c r="D213">
        <v>0</v>
      </c>
      <c r="E213">
        <v>2</v>
      </c>
      <c r="F213">
        <v>0</v>
      </c>
      <c r="H213">
        <v>0</v>
      </c>
      <c r="I213">
        <v>0</v>
      </c>
      <c r="J213">
        <v>0</v>
      </c>
      <c r="K213">
        <v>0</v>
      </c>
      <c r="L213">
        <v>0</v>
      </c>
      <c r="M213">
        <v>0</v>
      </c>
      <c r="N213">
        <v>0</v>
      </c>
    </row>
    <row r="214" spans="1:36">
      <c r="A214" t="s">
        <v>649</v>
      </c>
      <c r="B214" t="s">
        <v>657</v>
      </c>
      <c r="C214">
        <v>6.67</v>
      </c>
      <c r="D214">
        <v>6</v>
      </c>
      <c r="E214">
        <v>13</v>
      </c>
      <c r="F214">
        <v>4</v>
      </c>
      <c r="H214">
        <v>0</v>
      </c>
      <c r="I214">
        <v>0</v>
      </c>
      <c r="J214">
        <v>0</v>
      </c>
      <c r="K214">
        <v>0</v>
      </c>
      <c r="L214">
        <v>0</v>
      </c>
      <c r="M214">
        <v>0</v>
      </c>
      <c r="N214">
        <v>0</v>
      </c>
    </row>
    <row r="215" spans="1:36">
      <c r="A215" t="s">
        <v>649</v>
      </c>
      <c r="B215" t="s">
        <v>658</v>
      </c>
      <c r="C215">
        <v>55.09</v>
      </c>
      <c r="D215">
        <v>55</v>
      </c>
      <c r="E215">
        <v>1</v>
      </c>
      <c r="F215">
        <v>9.75</v>
      </c>
      <c r="H215">
        <v>0</v>
      </c>
      <c r="I215">
        <v>0</v>
      </c>
      <c r="J215">
        <v>0</v>
      </c>
      <c r="K215">
        <v>0</v>
      </c>
      <c r="L215">
        <v>0</v>
      </c>
      <c r="M215">
        <v>0</v>
      </c>
      <c r="N215">
        <v>0</v>
      </c>
    </row>
    <row r="216" spans="1:36">
      <c r="A216" t="s">
        <v>659</v>
      </c>
      <c r="B216" t="s">
        <v>660</v>
      </c>
      <c r="C216">
        <v>0.45</v>
      </c>
      <c r="D216">
        <v>0</v>
      </c>
      <c r="E216">
        <v>9</v>
      </c>
      <c r="F216">
        <v>0</v>
      </c>
      <c r="H216">
        <v>0</v>
      </c>
      <c r="I216">
        <v>0</v>
      </c>
      <c r="J216">
        <v>0</v>
      </c>
      <c r="K216">
        <v>0</v>
      </c>
      <c r="L216">
        <v>0</v>
      </c>
      <c r="M216">
        <v>0</v>
      </c>
      <c r="N216">
        <v>0</v>
      </c>
    </row>
    <row r="217" spans="1:36">
      <c r="A217" t="s">
        <v>659</v>
      </c>
      <c r="B217" t="s">
        <v>661</v>
      </c>
      <c r="C217">
        <v>0.22</v>
      </c>
      <c r="D217">
        <v>0</v>
      </c>
      <c r="E217">
        <v>4</v>
      </c>
      <c r="F217">
        <v>4</v>
      </c>
      <c r="H217">
        <v>0</v>
      </c>
      <c r="I217">
        <v>0</v>
      </c>
      <c r="J217">
        <v>0</v>
      </c>
      <c r="K217">
        <v>0</v>
      </c>
      <c r="L217">
        <v>0</v>
      </c>
      <c r="M217">
        <v>0</v>
      </c>
      <c r="N217">
        <v>0</v>
      </c>
    </row>
    <row r="218" spans="1:36">
      <c r="A218" t="s">
        <v>659</v>
      </c>
      <c r="B218" t="s">
        <v>662</v>
      </c>
      <c r="C218">
        <v>0.05</v>
      </c>
      <c r="D218">
        <v>0</v>
      </c>
      <c r="E218">
        <v>1</v>
      </c>
      <c r="F218">
        <v>0</v>
      </c>
      <c r="H218">
        <v>0</v>
      </c>
      <c r="I218">
        <v>0</v>
      </c>
      <c r="J218">
        <v>0</v>
      </c>
      <c r="K218">
        <v>0</v>
      </c>
      <c r="L218">
        <v>0</v>
      </c>
      <c r="M218">
        <v>0</v>
      </c>
      <c r="N218">
        <v>0</v>
      </c>
    </row>
    <row r="219" spans="1:36">
      <c r="A219" t="s">
        <v>659</v>
      </c>
      <c r="B219" t="s">
        <v>663</v>
      </c>
      <c r="C219">
        <v>0.05</v>
      </c>
      <c r="D219">
        <v>0</v>
      </c>
      <c r="E219">
        <v>1</v>
      </c>
      <c r="F219">
        <v>0</v>
      </c>
      <c r="H219">
        <v>0</v>
      </c>
      <c r="I219">
        <v>0</v>
      </c>
      <c r="J219">
        <v>0</v>
      </c>
      <c r="K219">
        <v>0</v>
      </c>
      <c r="L219">
        <v>0</v>
      </c>
      <c r="M219">
        <v>0</v>
      </c>
      <c r="N219">
        <v>0</v>
      </c>
    </row>
    <row r="220" spans="1:36">
      <c r="A220" t="s">
        <v>659</v>
      </c>
      <c r="B220" t="s">
        <v>664</v>
      </c>
      <c r="C220">
        <v>0.28000000000000003</v>
      </c>
      <c r="D220">
        <v>0</v>
      </c>
      <c r="E220">
        <v>5</v>
      </c>
      <c r="F220">
        <v>6</v>
      </c>
      <c r="H220">
        <v>0</v>
      </c>
      <c r="I220">
        <v>0</v>
      </c>
      <c r="J220">
        <v>0</v>
      </c>
      <c r="K220">
        <v>0</v>
      </c>
      <c r="L220">
        <v>0</v>
      </c>
      <c r="M220">
        <v>0</v>
      </c>
      <c r="N220">
        <v>0</v>
      </c>
    </row>
    <row r="221" spans="1:36">
      <c r="A221" t="s">
        <v>659</v>
      </c>
      <c r="B221" t="s">
        <v>665</v>
      </c>
      <c r="C221">
        <v>0.04</v>
      </c>
      <c r="D221">
        <v>0</v>
      </c>
      <c r="E221">
        <v>0</v>
      </c>
      <c r="F221">
        <v>10</v>
      </c>
      <c r="H221">
        <v>0</v>
      </c>
      <c r="I221">
        <v>0</v>
      </c>
      <c r="J221">
        <v>0</v>
      </c>
      <c r="K221">
        <v>0</v>
      </c>
      <c r="L221">
        <v>0</v>
      </c>
      <c r="M221">
        <v>0</v>
      </c>
      <c r="N221">
        <v>0</v>
      </c>
    </row>
    <row r="222" spans="1:36">
      <c r="A222" t="s">
        <v>659</v>
      </c>
      <c r="B222" t="s">
        <v>666</v>
      </c>
      <c r="C222">
        <v>0.1</v>
      </c>
      <c r="D222">
        <v>0</v>
      </c>
      <c r="E222">
        <v>2</v>
      </c>
      <c r="F222">
        <v>0</v>
      </c>
      <c r="H222">
        <v>0</v>
      </c>
      <c r="I222">
        <v>3</v>
      </c>
      <c r="J222">
        <v>0.38</v>
      </c>
      <c r="K222">
        <v>0.38</v>
      </c>
      <c r="L222">
        <v>0</v>
      </c>
      <c r="M222">
        <v>0</v>
      </c>
      <c r="N222">
        <v>3</v>
      </c>
    </row>
    <row r="223" spans="1:36">
      <c r="A223" t="s">
        <v>659</v>
      </c>
      <c r="B223" t="s">
        <v>667</v>
      </c>
      <c r="C223">
        <v>0.03</v>
      </c>
      <c r="D223">
        <v>0</v>
      </c>
      <c r="E223">
        <v>0</v>
      </c>
      <c r="F223">
        <v>6</v>
      </c>
      <c r="H223">
        <v>0</v>
      </c>
      <c r="I223">
        <v>0</v>
      </c>
      <c r="J223">
        <v>0</v>
      </c>
      <c r="K223">
        <v>0</v>
      </c>
      <c r="L223">
        <v>0</v>
      </c>
      <c r="M223">
        <v>0</v>
      </c>
      <c r="N223">
        <v>0</v>
      </c>
    </row>
    <row r="224" spans="1:36">
      <c r="A224" t="s">
        <v>659</v>
      </c>
      <c r="B224" t="s">
        <v>668</v>
      </c>
      <c r="C224">
        <v>0.02</v>
      </c>
      <c r="D224">
        <v>0</v>
      </c>
      <c r="E224">
        <v>0</v>
      </c>
      <c r="F224">
        <v>5</v>
      </c>
      <c r="H224">
        <v>0</v>
      </c>
      <c r="I224">
        <v>0</v>
      </c>
      <c r="J224">
        <v>0</v>
      </c>
      <c r="K224">
        <v>0</v>
      </c>
      <c r="L224">
        <v>0</v>
      </c>
      <c r="M224">
        <v>0</v>
      </c>
      <c r="N224">
        <v>0</v>
      </c>
    </row>
    <row r="225" spans="1:14">
      <c r="A225" t="s">
        <v>659</v>
      </c>
      <c r="B225" t="s">
        <v>669</v>
      </c>
      <c r="C225">
        <v>0.02</v>
      </c>
      <c r="D225">
        <v>0</v>
      </c>
      <c r="E225">
        <v>0</v>
      </c>
      <c r="F225">
        <v>5</v>
      </c>
      <c r="H225">
        <v>0</v>
      </c>
      <c r="I225">
        <v>0</v>
      </c>
      <c r="J225">
        <v>0</v>
      </c>
      <c r="K225">
        <v>0</v>
      </c>
      <c r="L225">
        <v>0</v>
      </c>
      <c r="M225">
        <v>0</v>
      </c>
      <c r="N225">
        <v>0</v>
      </c>
    </row>
    <row r="226" spans="1:14">
      <c r="A226" t="s">
        <v>659</v>
      </c>
      <c r="B226" t="s">
        <v>670</v>
      </c>
      <c r="C226">
        <v>0.17</v>
      </c>
      <c r="D226">
        <v>0</v>
      </c>
      <c r="E226">
        <v>3</v>
      </c>
      <c r="F226">
        <v>4</v>
      </c>
      <c r="H226">
        <v>0</v>
      </c>
      <c r="I226">
        <v>0</v>
      </c>
      <c r="J226">
        <v>0</v>
      </c>
      <c r="K226">
        <v>0</v>
      </c>
      <c r="L226">
        <v>0</v>
      </c>
      <c r="M226">
        <v>0</v>
      </c>
      <c r="N226">
        <v>0</v>
      </c>
    </row>
    <row r="227" spans="1:14">
      <c r="A227" t="s">
        <v>659</v>
      </c>
      <c r="B227" t="s">
        <v>671</v>
      </c>
      <c r="C227">
        <v>0.2</v>
      </c>
      <c r="D227">
        <v>0</v>
      </c>
      <c r="E227">
        <v>4</v>
      </c>
      <c r="F227">
        <v>0</v>
      </c>
      <c r="H227">
        <v>0</v>
      </c>
      <c r="I227">
        <v>0</v>
      </c>
      <c r="J227">
        <v>0</v>
      </c>
      <c r="K227">
        <v>0</v>
      </c>
      <c r="L227">
        <v>0</v>
      </c>
      <c r="M227">
        <v>0</v>
      </c>
      <c r="N227">
        <v>0</v>
      </c>
    </row>
    <row r="228" spans="1:14">
      <c r="A228" t="s">
        <v>659</v>
      </c>
      <c r="B228" t="s">
        <v>672</v>
      </c>
      <c r="C228">
        <v>0.01</v>
      </c>
      <c r="D228">
        <v>0</v>
      </c>
      <c r="E228">
        <v>0</v>
      </c>
      <c r="F228">
        <v>3</v>
      </c>
      <c r="H228">
        <v>0</v>
      </c>
      <c r="I228">
        <v>0</v>
      </c>
      <c r="J228">
        <v>0</v>
      </c>
      <c r="K228">
        <v>0</v>
      </c>
      <c r="L228">
        <v>0</v>
      </c>
      <c r="M228">
        <v>0</v>
      </c>
      <c r="N228">
        <v>0</v>
      </c>
    </row>
    <row r="229" spans="1:14">
      <c r="A229" t="s">
        <v>659</v>
      </c>
      <c r="B229" t="s">
        <v>673</v>
      </c>
      <c r="C229">
        <v>0</v>
      </c>
      <c r="D229">
        <v>0</v>
      </c>
      <c r="E229">
        <v>0</v>
      </c>
      <c r="F229">
        <v>0</v>
      </c>
      <c r="H229">
        <v>0</v>
      </c>
      <c r="I229">
        <v>0</v>
      </c>
      <c r="J229">
        <v>0</v>
      </c>
      <c r="K229">
        <v>0</v>
      </c>
      <c r="L229">
        <v>0</v>
      </c>
      <c r="M229">
        <v>0</v>
      </c>
      <c r="N229">
        <v>0</v>
      </c>
    </row>
    <row r="230" spans="1:14">
      <c r="A230" t="s">
        <v>659</v>
      </c>
      <c r="B230" t="s">
        <v>674</v>
      </c>
      <c r="C230">
        <v>0.08</v>
      </c>
      <c r="D230">
        <v>0</v>
      </c>
      <c r="E230">
        <v>1</v>
      </c>
      <c r="F230">
        <v>8</v>
      </c>
      <c r="H230">
        <v>0</v>
      </c>
      <c r="I230">
        <v>0</v>
      </c>
      <c r="J230">
        <v>0</v>
      </c>
      <c r="K230">
        <v>0</v>
      </c>
      <c r="L230">
        <v>0</v>
      </c>
      <c r="M230">
        <v>0</v>
      </c>
      <c r="N230">
        <v>0</v>
      </c>
    </row>
    <row r="231" spans="1:14">
      <c r="A231" t="s">
        <v>659</v>
      </c>
      <c r="B231" t="s">
        <v>675</v>
      </c>
      <c r="C231">
        <v>0.04</v>
      </c>
      <c r="D231">
        <v>0</v>
      </c>
      <c r="E231">
        <v>0</v>
      </c>
      <c r="F231">
        <v>10</v>
      </c>
      <c r="H231">
        <v>0</v>
      </c>
      <c r="I231">
        <v>0</v>
      </c>
      <c r="J231">
        <v>0</v>
      </c>
      <c r="K231">
        <v>0</v>
      </c>
      <c r="L231">
        <v>0</v>
      </c>
      <c r="M231">
        <v>0</v>
      </c>
      <c r="N231">
        <v>0</v>
      </c>
    </row>
    <row r="232" spans="1:14">
      <c r="A232" t="s">
        <v>659</v>
      </c>
      <c r="B232" t="s">
        <v>676</v>
      </c>
      <c r="C232">
        <v>0</v>
      </c>
      <c r="D232">
        <v>0</v>
      </c>
      <c r="E232">
        <v>0</v>
      </c>
      <c r="F232">
        <v>1</v>
      </c>
      <c r="H232">
        <v>0</v>
      </c>
      <c r="I232">
        <v>0</v>
      </c>
      <c r="J232">
        <v>0</v>
      </c>
      <c r="K232">
        <v>0</v>
      </c>
      <c r="L232">
        <v>0</v>
      </c>
      <c r="M232">
        <v>0</v>
      </c>
      <c r="N232">
        <v>0</v>
      </c>
    </row>
    <row r="233" spans="1:14">
      <c r="A233" t="s">
        <v>659</v>
      </c>
      <c r="B233" t="s">
        <v>677</v>
      </c>
      <c r="C233">
        <v>1.76</v>
      </c>
      <c r="D233">
        <v>1</v>
      </c>
      <c r="E233">
        <v>15</v>
      </c>
      <c r="F233">
        <v>2</v>
      </c>
      <c r="H233">
        <v>0</v>
      </c>
      <c r="I233">
        <v>0</v>
      </c>
      <c r="J233">
        <v>0</v>
      </c>
      <c r="K233">
        <v>0</v>
      </c>
      <c r="L233">
        <v>0</v>
      </c>
      <c r="M233">
        <v>0</v>
      </c>
      <c r="N233">
        <v>0</v>
      </c>
    </row>
    <row r="234" spans="1:14">
      <c r="A234" t="s">
        <v>678</v>
      </c>
      <c r="B234" t="s">
        <v>679</v>
      </c>
      <c r="C234">
        <v>2.2000000000000002</v>
      </c>
      <c r="D234">
        <v>2</v>
      </c>
      <c r="E234">
        <v>4</v>
      </c>
      <c r="F234">
        <v>0</v>
      </c>
      <c r="H234">
        <v>0</v>
      </c>
      <c r="I234">
        <v>0</v>
      </c>
      <c r="J234">
        <v>0</v>
      </c>
      <c r="K234">
        <v>0</v>
      </c>
      <c r="L234">
        <v>0</v>
      </c>
      <c r="M234">
        <v>0</v>
      </c>
      <c r="N234">
        <v>0</v>
      </c>
    </row>
    <row r="235" spans="1:14">
      <c r="A235" t="s">
        <v>678</v>
      </c>
      <c r="B235" t="s">
        <v>680</v>
      </c>
      <c r="C235">
        <v>0.45</v>
      </c>
      <c r="D235">
        <v>0</v>
      </c>
      <c r="E235">
        <v>9</v>
      </c>
      <c r="F235">
        <v>0</v>
      </c>
      <c r="H235">
        <v>0</v>
      </c>
      <c r="I235">
        <v>0</v>
      </c>
      <c r="J235">
        <v>0</v>
      </c>
      <c r="K235">
        <v>0</v>
      </c>
      <c r="L235">
        <v>0</v>
      </c>
      <c r="M235">
        <v>0</v>
      </c>
      <c r="N235">
        <v>0</v>
      </c>
    </row>
    <row r="236" spans="1:14">
      <c r="A236" t="s">
        <v>678</v>
      </c>
      <c r="B236" t="s">
        <v>681</v>
      </c>
      <c r="C236">
        <v>0.82</v>
      </c>
      <c r="D236">
        <v>0</v>
      </c>
      <c r="E236">
        <v>16</v>
      </c>
      <c r="F236">
        <v>4</v>
      </c>
      <c r="H236">
        <v>0</v>
      </c>
      <c r="I236">
        <v>0</v>
      </c>
      <c r="J236">
        <v>0</v>
      </c>
      <c r="K236">
        <v>0</v>
      </c>
      <c r="L236">
        <v>0</v>
      </c>
      <c r="M236">
        <v>0</v>
      </c>
      <c r="N236">
        <v>0</v>
      </c>
    </row>
    <row r="237" spans="1:14">
      <c r="A237" t="s">
        <v>678</v>
      </c>
      <c r="B237" t="s">
        <v>682</v>
      </c>
      <c r="C237">
        <v>0.17</v>
      </c>
      <c r="D237">
        <v>0</v>
      </c>
      <c r="E237">
        <v>3</v>
      </c>
      <c r="F237">
        <v>4</v>
      </c>
      <c r="H237">
        <v>0</v>
      </c>
      <c r="I237">
        <v>0</v>
      </c>
      <c r="J237">
        <v>0</v>
      </c>
      <c r="K237">
        <v>0</v>
      </c>
      <c r="L237">
        <v>0</v>
      </c>
      <c r="M237">
        <v>0</v>
      </c>
      <c r="N237">
        <v>0</v>
      </c>
    </row>
    <row r="238" spans="1:14">
      <c r="A238" t="s">
        <v>678</v>
      </c>
      <c r="B238" t="s">
        <v>683</v>
      </c>
      <c r="C238">
        <v>0.03</v>
      </c>
      <c r="D238">
        <v>0</v>
      </c>
      <c r="E238">
        <v>0</v>
      </c>
      <c r="F238">
        <v>8</v>
      </c>
      <c r="H238">
        <v>0</v>
      </c>
      <c r="I238">
        <v>0</v>
      </c>
      <c r="J238">
        <v>0</v>
      </c>
      <c r="K238">
        <v>0</v>
      </c>
      <c r="L238">
        <v>0</v>
      </c>
      <c r="M238">
        <v>0</v>
      </c>
      <c r="N238">
        <v>0</v>
      </c>
    </row>
    <row r="239" spans="1:14">
      <c r="A239" t="s">
        <v>678</v>
      </c>
      <c r="B239" t="s">
        <v>684</v>
      </c>
      <c r="C239">
        <v>0.01</v>
      </c>
      <c r="D239">
        <v>0</v>
      </c>
      <c r="E239">
        <v>0</v>
      </c>
      <c r="F239">
        <v>3</v>
      </c>
      <c r="H239">
        <v>0</v>
      </c>
      <c r="I239">
        <v>0</v>
      </c>
      <c r="J239">
        <v>0</v>
      </c>
      <c r="K239">
        <v>0</v>
      </c>
      <c r="L239">
        <v>0</v>
      </c>
      <c r="M239">
        <v>0</v>
      </c>
      <c r="N239">
        <v>0</v>
      </c>
    </row>
    <row r="240" spans="1:14">
      <c r="A240" t="s">
        <v>678</v>
      </c>
      <c r="B240" t="s">
        <v>685</v>
      </c>
      <c r="C240">
        <v>0.28999999999999998</v>
      </c>
      <c r="D240">
        <v>0</v>
      </c>
      <c r="E240">
        <v>5</v>
      </c>
      <c r="F240">
        <v>10</v>
      </c>
      <c r="H240">
        <v>0</v>
      </c>
      <c r="I240">
        <v>0</v>
      </c>
      <c r="J240">
        <v>0</v>
      </c>
      <c r="K240">
        <v>0</v>
      </c>
      <c r="L240">
        <v>0</v>
      </c>
      <c r="M240">
        <v>0</v>
      </c>
      <c r="N240">
        <v>0</v>
      </c>
    </row>
    <row r="241" spans="1:14">
      <c r="A241" t="s">
        <v>678</v>
      </c>
      <c r="B241" t="s">
        <v>686</v>
      </c>
      <c r="C241">
        <v>0.02</v>
      </c>
      <c r="D241">
        <v>0</v>
      </c>
      <c r="E241">
        <v>0</v>
      </c>
      <c r="F241">
        <v>5.5</v>
      </c>
      <c r="H241">
        <v>0</v>
      </c>
      <c r="I241">
        <v>0</v>
      </c>
      <c r="J241">
        <v>0</v>
      </c>
      <c r="K241">
        <v>0</v>
      </c>
      <c r="L241">
        <v>0</v>
      </c>
      <c r="M241">
        <v>0</v>
      </c>
      <c r="N241">
        <v>0</v>
      </c>
    </row>
    <row r="242" spans="1:14">
      <c r="A242" t="s">
        <v>678</v>
      </c>
      <c r="B242" t="s">
        <v>687</v>
      </c>
      <c r="C242">
        <v>0.02</v>
      </c>
      <c r="D242">
        <v>0</v>
      </c>
      <c r="E242">
        <v>0</v>
      </c>
      <c r="F242">
        <v>5</v>
      </c>
      <c r="H242">
        <v>0</v>
      </c>
      <c r="I242">
        <v>0</v>
      </c>
      <c r="J242">
        <v>0</v>
      </c>
      <c r="K242">
        <v>0</v>
      </c>
      <c r="L242">
        <v>0</v>
      </c>
      <c r="M242">
        <v>0</v>
      </c>
      <c r="N242">
        <v>0</v>
      </c>
    </row>
    <row r="243" spans="1:14">
      <c r="A243" t="s">
        <v>678</v>
      </c>
      <c r="B243" t="s">
        <v>688</v>
      </c>
      <c r="C243">
        <v>0.8</v>
      </c>
      <c r="D243">
        <v>0</v>
      </c>
      <c r="E243">
        <v>16</v>
      </c>
      <c r="F243">
        <v>0</v>
      </c>
      <c r="H243">
        <v>0</v>
      </c>
      <c r="I243">
        <v>0</v>
      </c>
      <c r="J243">
        <v>0</v>
      </c>
      <c r="K243">
        <v>0</v>
      </c>
      <c r="L243">
        <v>0</v>
      </c>
      <c r="M243">
        <v>0</v>
      </c>
      <c r="N243">
        <v>0</v>
      </c>
    </row>
    <row r="244" spans="1:14">
      <c r="A244" t="s">
        <v>678</v>
      </c>
      <c r="B244" t="s">
        <v>689</v>
      </c>
      <c r="C244">
        <v>0.08</v>
      </c>
      <c r="D244">
        <v>0</v>
      </c>
      <c r="E244">
        <v>1</v>
      </c>
      <c r="F244">
        <v>8</v>
      </c>
      <c r="H244">
        <v>0</v>
      </c>
      <c r="I244">
        <v>0</v>
      </c>
      <c r="J244">
        <v>0</v>
      </c>
      <c r="K244">
        <v>0</v>
      </c>
      <c r="L244">
        <v>0</v>
      </c>
      <c r="M244">
        <v>0</v>
      </c>
      <c r="N244">
        <v>0</v>
      </c>
    </row>
    <row r="245" spans="1:14">
      <c r="A245" t="s">
        <v>678</v>
      </c>
      <c r="B245" t="s">
        <v>690</v>
      </c>
      <c r="C245">
        <v>0.03</v>
      </c>
      <c r="D245">
        <v>0</v>
      </c>
      <c r="E245">
        <v>0</v>
      </c>
      <c r="F245">
        <v>6</v>
      </c>
      <c r="H245">
        <v>0</v>
      </c>
      <c r="I245">
        <v>0</v>
      </c>
      <c r="J245">
        <v>0</v>
      </c>
      <c r="K245">
        <v>0</v>
      </c>
      <c r="L245">
        <v>0</v>
      </c>
      <c r="M245">
        <v>0</v>
      </c>
      <c r="N245">
        <v>0</v>
      </c>
    </row>
    <row r="246" spans="1:14">
      <c r="A246" t="s">
        <v>678</v>
      </c>
      <c r="B246" t="s">
        <v>691</v>
      </c>
      <c r="C246">
        <v>5.42</v>
      </c>
      <c r="D246">
        <v>5</v>
      </c>
      <c r="E246">
        <v>8</v>
      </c>
      <c r="F246">
        <v>5.5</v>
      </c>
      <c r="H246">
        <v>0</v>
      </c>
      <c r="I246">
        <v>0</v>
      </c>
      <c r="J246">
        <v>0</v>
      </c>
      <c r="K246">
        <v>0</v>
      </c>
      <c r="L246">
        <v>0</v>
      </c>
      <c r="M246">
        <v>0</v>
      </c>
      <c r="N246">
        <v>0</v>
      </c>
    </row>
    <row r="247" spans="1:14">
      <c r="A247" t="s">
        <v>692</v>
      </c>
      <c r="B247" t="s">
        <v>693</v>
      </c>
      <c r="C247">
        <v>0.2</v>
      </c>
      <c r="D247">
        <v>0</v>
      </c>
      <c r="E247">
        <v>4</v>
      </c>
      <c r="F247">
        <v>0</v>
      </c>
      <c r="G247" t="s">
        <v>612</v>
      </c>
      <c r="H247">
        <v>0</v>
      </c>
      <c r="I247">
        <v>0</v>
      </c>
      <c r="J247">
        <v>0</v>
      </c>
      <c r="K247">
        <v>0</v>
      </c>
      <c r="L247">
        <v>0</v>
      </c>
      <c r="M247">
        <v>0</v>
      </c>
      <c r="N247">
        <v>0</v>
      </c>
    </row>
    <row r="248" spans="1:14">
      <c r="A248" t="s">
        <v>692</v>
      </c>
      <c r="B248" t="s">
        <v>694</v>
      </c>
      <c r="C248">
        <v>1.81</v>
      </c>
      <c r="D248">
        <v>1</v>
      </c>
      <c r="E248">
        <v>16</v>
      </c>
      <c r="F248">
        <v>3</v>
      </c>
      <c r="G248" t="s">
        <v>612</v>
      </c>
      <c r="H248">
        <v>174</v>
      </c>
      <c r="I248">
        <v>0</v>
      </c>
      <c r="J248">
        <v>174</v>
      </c>
      <c r="K248">
        <v>174</v>
      </c>
      <c r="L248">
        <v>0</v>
      </c>
      <c r="M248">
        <v>174</v>
      </c>
      <c r="N248">
        <v>0</v>
      </c>
    </row>
    <row r="249" spans="1:14">
      <c r="A249" t="s">
        <v>692</v>
      </c>
      <c r="B249" t="s">
        <v>695</v>
      </c>
      <c r="C249">
        <v>0.1</v>
      </c>
      <c r="D249">
        <v>0</v>
      </c>
      <c r="E249">
        <v>2</v>
      </c>
      <c r="F249">
        <v>1</v>
      </c>
      <c r="G249" t="s">
        <v>612</v>
      </c>
      <c r="H249">
        <v>10</v>
      </c>
      <c r="I249">
        <v>0</v>
      </c>
      <c r="J249">
        <v>10</v>
      </c>
      <c r="K249">
        <v>10</v>
      </c>
      <c r="L249">
        <v>0</v>
      </c>
      <c r="M249">
        <v>10</v>
      </c>
      <c r="N249">
        <v>0</v>
      </c>
    </row>
    <row r="250" spans="1:14">
      <c r="A250" t="s">
        <v>692</v>
      </c>
      <c r="B250" t="s">
        <v>696</v>
      </c>
      <c r="C250">
        <v>0.03</v>
      </c>
      <c r="D250">
        <v>0</v>
      </c>
      <c r="E250">
        <v>0</v>
      </c>
      <c r="F250">
        <v>8</v>
      </c>
      <c r="H250">
        <v>0</v>
      </c>
      <c r="I250">
        <v>0</v>
      </c>
      <c r="J250">
        <v>0</v>
      </c>
      <c r="K250">
        <v>0</v>
      </c>
      <c r="L250">
        <v>0</v>
      </c>
      <c r="M250">
        <v>0</v>
      </c>
      <c r="N250">
        <v>0</v>
      </c>
    </row>
    <row r="251" spans="1:14">
      <c r="A251" t="s">
        <v>692</v>
      </c>
      <c r="B251" t="s">
        <v>697</v>
      </c>
      <c r="C251">
        <v>0.02</v>
      </c>
      <c r="D251">
        <v>0</v>
      </c>
      <c r="E251">
        <v>0</v>
      </c>
      <c r="F251">
        <v>4</v>
      </c>
      <c r="H251">
        <v>0</v>
      </c>
      <c r="I251">
        <v>0</v>
      </c>
      <c r="J251">
        <v>0</v>
      </c>
      <c r="K251">
        <v>0</v>
      </c>
      <c r="L251">
        <v>0</v>
      </c>
      <c r="M251">
        <v>0</v>
      </c>
      <c r="N251">
        <v>0</v>
      </c>
    </row>
    <row r="252" spans="1:14">
      <c r="A252" t="s">
        <v>692</v>
      </c>
      <c r="B252" t="s">
        <v>698</v>
      </c>
      <c r="C252">
        <v>0.27</v>
      </c>
      <c r="D252">
        <v>0</v>
      </c>
      <c r="E252">
        <v>5</v>
      </c>
      <c r="F252">
        <v>4</v>
      </c>
      <c r="H252">
        <v>0</v>
      </c>
      <c r="I252">
        <v>0</v>
      </c>
      <c r="J252">
        <v>0</v>
      </c>
      <c r="K252">
        <v>0</v>
      </c>
      <c r="L252">
        <v>0</v>
      </c>
      <c r="M252">
        <v>0</v>
      </c>
      <c r="N252">
        <v>0</v>
      </c>
    </row>
    <row r="253" spans="1:14">
      <c r="A253" t="s">
        <v>692</v>
      </c>
      <c r="B253" t="s">
        <v>699</v>
      </c>
      <c r="C253">
        <v>0.04</v>
      </c>
      <c r="D253">
        <v>0</v>
      </c>
      <c r="E253">
        <v>0</v>
      </c>
      <c r="F253">
        <v>10</v>
      </c>
      <c r="H253">
        <v>0</v>
      </c>
      <c r="I253">
        <v>0</v>
      </c>
      <c r="J253">
        <v>0</v>
      </c>
      <c r="K253">
        <v>0</v>
      </c>
      <c r="L253">
        <v>0</v>
      </c>
      <c r="M253">
        <v>0</v>
      </c>
      <c r="N253">
        <v>0</v>
      </c>
    </row>
    <row r="254" spans="1:14">
      <c r="A254" t="s">
        <v>692</v>
      </c>
      <c r="B254" t="s">
        <v>700</v>
      </c>
      <c r="C254">
        <v>7.0000000000000007E-2</v>
      </c>
      <c r="D254">
        <v>0</v>
      </c>
      <c r="E254">
        <v>1</v>
      </c>
      <c r="F254">
        <v>4</v>
      </c>
      <c r="H254">
        <v>0</v>
      </c>
      <c r="I254">
        <v>0</v>
      </c>
      <c r="J254">
        <v>0</v>
      </c>
      <c r="K254">
        <v>0</v>
      </c>
      <c r="L254">
        <v>0</v>
      </c>
      <c r="M254">
        <v>0</v>
      </c>
      <c r="N254">
        <v>0</v>
      </c>
    </row>
    <row r="255" spans="1:14">
      <c r="A255" t="s">
        <v>692</v>
      </c>
      <c r="B255" t="s">
        <v>701</v>
      </c>
      <c r="C255">
        <v>0.04</v>
      </c>
      <c r="D255">
        <v>0</v>
      </c>
      <c r="E255">
        <v>0</v>
      </c>
      <c r="F255">
        <v>10</v>
      </c>
      <c r="H255">
        <v>0</v>
      </c>
      <c r="I255">
        <v>0</v>
      </c>
      <c r="J255">
        <v>0</v>
      </c>
      <c r="K255">
        <v>0</v>
      </c>
      <c r="L255">
        <v>0</v>
      </c>
      <c r="M255">
        <v>0</v>
      </c>
      <c r="N255">
        <v>0</v>
      </c>
    </row>
    <row r="256" spans="1:14">
      <c r="A256" t="s">
        <v>692</v>
      </c>
      <c r="B256" t="s">
        <v>702</v>
      </c>
      <c r="C256">
        <v>0.02</v>
      </c>
      <c r="D256">
        <v>0</v>
      </c>
      <c r="E256">
        <v>0</v>
      </c>
      <c r="F256">
        <v>5</v>
      </c>
      <c r="H256">
        <v>0</v>
      </c>
      <c r="I256">
        <v>0</v>
      </c>
      <c r="J256">
        <v>0</v>
      </c>
      <c r="K256">
        <v>0</v>
      </c>
      <c r="L256">
        <v>0</v>
      </c>
      <c r="M256">
        <v>0</v>
      </c>
      <c r="N256">
        <v>0</v>
      </c>
    </row>
    <row r="257" spans="1:14">
      <c r="A257" t="s">
        <v>692</v>
      </c>
      <c r="B257" t="s">
        <v>703</v>
      </c>
      <c r="C257">
        <v>0.01</v>
      </c>
      <c r="D257">
        <v>0</v>
      </c>
      <c r="E257">
        <v>0</v>
      </c>
      <c r="F257">
        <v>2</v>
      </c>
      <c r="H257">
        <v>0</v>
      </c>
      <c r="I257">
        <v>0</v>
      </c>
      <c r="J257">
        <v>0</v>
      </c>
      <c r="K257">
        <v>0</v>
      </c>
      <c r="L257">
        <v>0</v>
      </c>
      <c r="M257">
        <v>0</v>
      </c>
      <c r="N257">
        <v>0</v>
      </c>
    </row>
    <row r="258" spans="1:14">
      <c r="A258" t="s">
        <v>692</v>
      </c>
      <c r="B258" t="s">
        <v>704</v>
      </c>
      <c r="C258">
        <v>0</v>
      </c>
      <c r="D258">
        <v>0</v>
      </c>
      <c r="E258">
        <v>0</v>
      </c>
      <c r="F258">
        <v>0</v>
      </c>
      <c r="H258">
        <v>0</v>
      </c>
      <c r="I258">
        <v>0</v>
      </c>
      <c r="J258">
        <v>0</v>
      </c>
      <c r="K258">
        <v>0</v>
      </c>
      <c r="L258">
        <v>0</v>
      </c>
      <c r="M258">
        <v>0</v>
      </c>
      <c r="N258">
        <v>0</v>
      </c>
    </row>
    <row r="259" spans="1:14">
      <c r="A259" t="s">
        <v>692</v>
      </c>
      <c r="B259" t="s">
        <v>705</v>
      </c>
      <c r="C259">
        <v>0.02</v>
      </c>
      <c r="D259">
        <v>0</v>
      </c>
      <c r="E259">
        <v>0</v>
      </c>
      <c r="F259">
        <v>5</v>
      </c>
      <c r="H259">
        <v>0</v>
      </c>
      <c r="I259">
        <v>0</v>
      </c>
      <c r="J259">
        <v>0</v>
      </c>
      <c r="K259">
        <v>0</v>
      </c>
      <c r="L259">
        <v>0</v>
      </c>
      <c r="M259">
        <v>0</v>
      </c>
      <c r="N259">
        <v>0</v>
      </c>
    </row>
    <row r="260" spans="1:14">
      <c r="A260" t="s">
        <v>692</v>
      </c>
      <c r="B260" t="s">
        <v>706</v>
      </c>
      <c r="C260">
        <v>0.02</v>
      </c>
      <c r="D260">
        <v>0</v>
      </c>
      <c r="E260">
        <v>0</v>
      </c>
      <c r="F260">
        <v>4</v>
      </c>
      <c r="H260">
        <v>0</v>
      </c>
      <c r="I260">
        <v>0</v>
      </c>
      <c r="J260">
        <v>0</v>
      </c>
      <c r="K260">
        <v>0</v>
      </c>
      <c r="L260">
        <v>0</v>
      </c>
      <c r="M260">
        <v>0</v>
      </c>
      <c r="N260">
        <v>0</v>
      </c>
    </row>
    <row r="261" spans="1:14">
      <c r="A261" t="s">
        <v>692</v>
      </c>
      <c r="B261" t="s">
        <v>707</v>
      </c>
      <c r="C261">
        <v>0.08</v>
      </c>
      <c r="D261">
        <v>0</v>
      </c>
      <c r="E261">
        <v>1</v>
      </c>
      <c r="F261">
        <v>6</v>
      </c>
      <c r="H261">
        <v>0</v>
      </c>
      <c r="I261">
        <v>0</v>
      </c>
      <c r="J261">
        <v>0</v>
      </c>
      <c r="K261">
        <v>0</v>
      </c>
      <c r="L261">
        <v>0</v>
      </c>
      <c r="M261">
        <v>0</v>
      </c>
      <c r="N261">
        <v>0</v>
      </c>
    </row>
    <row r="262" spans="1:14">
      <c r="A262" t="s">
        <v>692</v>
      </c>
      <c r="B262" t="s">
        <v>708</v>
      </c>
      <c r="C262">
        <v>0.13</v>
      </c>
      <c r="D262">
        <v>0</v>
      </c>
      <c r="E262">
        <v>2</v>
      </c>
      <c r="F262">
        <v>7.5</v>
      </c>
      <c r="H262">
        <v>0</v>
      </c>
      <c r="I262">
        <v>0</v>
      </c>
      <c r="J262">
        <v>0</v>
      </c>
      <c r="K262">
        <v>0</v>
      </c>
      <c r="L262">
        <v>0</v>
      </c>
      <c r="M262">
        <v>0</v>
      </c>
      <c r="N262">
        <v>0</v>
      </c>
    </row>
    <row r="263" spans="1:14">
      <c r="A263" t="s">
        <v>692</v>
      </c>
      <c r="B263" t="s">
        <v>709</v>
      </c>
      <c r="C263">
        <v>0.04</v>
      </c>
      <c r="D263">
        <v>0</v>
      </c>
      <c r="E263">
        <v>0</v>
      </c>
      <c r="F263">
        <v>9</v>
      </c>
      <c r="H263">
        <v>0</v>
      </c>
      <c r="I263">
        <v>0</v>
      </c>
      <c r="J263">
        <v>0</v>
      </c>
      <c r="K263">
        <v>0</v>
      </c>
      <c r="L263">
        <v>0</v>
      </c>
      <c r="M263">
        <v>0</v>
      </c>
      <c r="N263">
        <v>0</v>
      </c>
    </row>
    <row r="264" spans="1:14">
      <c r="A264" t="s">
        <v>692</v>
      </c>
      <c r="B264" t="s">
        <v>710</v>
      </c>
      <c r="C264">
        <v>0.33</v>
      </c>
      <c r="D264">
        <v>0</v>
      </c>
      <c r="E264">
        <v>6</v>
      </c>
      <c r="F264">
        <v>8</v>
      </c>
      <c r="H264">
        <v>0</v>
      </c>
      <c r="I264">
        <v>0</v>
      </c>
      <c r="J264">
        <v>0</v>
      </c>
      <c r="K264">
        <v>0</v>
      </c>
      <c r="L264">
        <v>0</v>
      </c>
      <c r="M264">
        <v>0</v>
      </c>
      <c r="N264">
        <v>0</v>
      </c>
    </row>
    <row r="265" spans="1:14">
      <c r="A265" t="s">
        <v>692</v>
      </c>
      <c r="B265" t="s">
        <v>711</v>
      </c>
      <c r="C265">
        <v>0.13</v>
      </c>
      <c r="D265">
        <v>0</v>
      </c>
      <c r="E265">
        <v>2</v>
      </c>
      <c r="F265">
        <v>8</v>
      </c>
      <c r="H265">
        <v>0</v>
      </c>
      <c r="I265">
        <v>0</v>
      </c>
      <c r="J265">
        <v>0</v>
      </c>
      <c r="K265">
        <v>0</v>
      </c>
      <c r="L265">
        <v>0</v>
      </c>
      <c r="M265">
        <v>0</v>
      </c>
      <c r="N265">
        <v>0</v>
      </c>
    </row>
    <row r="266" spans="1:14">
      <c r="A266" t="s">
        <v>692</v>
      </c>
      <c r="B266" t="s">
        <v>712</v>
      </c>
      <c r="C266">
        <v>0.2</v>
      </c>
      <c r="D266">
        <v>0</v>
      </c>
      <c r="E266">
        <v>4</v>
      </c>
      <c r="F266">
        <v>1</v>
      </c>
      <c r="H266">
        <v>0</v>
      </c>
      <c r="I266">
        <v>0</v>
      </c>
      <c r="J266">
        <v>0</v>
      </c>
      <c r="K266">
        <v>0</v>
      </c>
      <c r="L266">
        <v>0</v>
      </c>
      <c r="M266">
        <v>0</v>
      </c>
      <c r="N266">
        <v>0</v>
      </c>
    </row>
    <row r="267" spans="1:14">
      <c r="A267" t="s">
        <v>692</v>
      </c>
      <c r="B267" t="s">
        <v>713</v>
      </c>
      <c r="C267">
        <v>0.33</v>
      </c>
      <c r="D267">
        <v>0</v>
      </c>
      <c r="E267">
        <v>6</v>
      </c>
      <c r="F267">
        <v>8</v>
      </c>
      <c r="H267">
        <v>0</v>
      </c>
      <c r="I267">
        <v>0</v>
      </c>
      <c r="J267">
        <v>0</v>
      </c>
      <c r="K267">
        <v>0</v>
      </c>
      <c r="L267">
        <v>0</v>
      </c>
      <c r="M267">
        <v>0</v>
      </c>
      <c r="N267">
        <v>0</v>
      </c>
    </row>
    <row r="268" spans="1:14">
      <c r="A268" t="s">
        <v>692</v>
      </c>
      <c r="B268" t="s">
        <v>714</v>
      </c>
      <c r="C268">
        <v>0.05</v>
      </c>
      <c r="D268">
        <v>0</v>
      </c>
      <c r="E268">
        <v>1</v>
      </c>
      <c r="F268">
        <v>0</v>
      </c>
      <c r="H268">
        <v>0</v>
      </c>
      <c r="I268">
        <v>0</v>
      </c>
      <c r="J268">
        <v>0</v>
      </c>
      <c r="K268">
        <v>0</v>
      </c>
      <c r="L268">
        <v>0</v>
      </c>
      <c r="M268">
        <v>0</v>
      </c>
      <c r="N268">
        <v>0</v>
      </c>
    </row>
    <row r="269" spans="1:14">
      <c r="A269" t="s">
        <v>692</v>
      </c>
      <c r="B269" t="s">
        <v>715</v>
      </c>
      <c r="C269">
        <v>0.33</v>
      </c>
      <c r="D269">
        <v>0</v>
      </c>
      <c r="E269">
        <v>6</v>
      </c>
      <c r="F269">
        <v>6</v>
      </c>
      <c r="H269">
        <v>0</v>
      </c>
      <c r="I269">
        <v>0</v>
      </c>
      <c r="J269">
        <v>0</v>
      </c>
      <c r="K269">
        <v>0</v>
      </c>
      <c r="L269">
        <v>0</v>
      </c>
      <c r="M269">
        <v>0</v>
      </c>
      <c r="N269">
        <v>0</v>
      </c>
    </row>
    <row r="270" spans="1:14">
      <c r="A270" t="s">
        <v>692</v>
      </c>
      <c r="B270" t="s">
        <v>716</v>
      </c>
      <c r="C270">
        <v>0</v>
      </c>
      <c r="D270">
        <v>0</v>
      </c>
      <c r="E270">
        <v>0</v>
      </c>
      <c r="F270">
        <v>0</v>
      </c>
      <c r="H270">
        <v>0</v>
      </c>
      <c r="I270">
        <v>0</v>
      </c>
      <c r="J270">
        <v>0</v>
      </c>
      <c r="K270">
        <v>0</v>
      </c>
      <c r="L270">
        <v>0</v>
      </c>
      <c r="M270">
        <v>0</v>
      </c>
      <c r="N270">
        <v>0</v>
      </c>
    </row>
    <row r="271" spans="1:14">
      <c r="A271" t="s">
        <v>692</v>
      </c>
      <c r="B271" t="s">
        <v>717</v>
      </c>
      <c r="C271">
        <v>1</v>
      </c>
      <c r="D271">
        <v>1</v>
      </c>
      <c r="E271">
        <v>0</v>
      </c>
      <c r="F271">
        <v>0</v>
      </c>
      <c r="H271">
        <v>0</v>
      </c>
      <c r="I271">
        <v>0</v>
      </c>
      <c r="J271">
        <v>0</v>
      </c>
      <c r="K271">
        <v>0</v>
      </c>
      <c r="L271">
        <v>0</v>
      </c>
      <c r="M271">
        <v>0</v>
      </c>
      <c r="N271">
        <v>0</v>
      </c>
    </row>
    <row r="272" spans="1:14">
      <c r="A272" t="s">
        <v>692</v>
      </c>
      <c r="B272" t="s">
        <v>718</v>
      </c>
      <c r="C272">
        <v>0.1</v>
      </c>
      <c r="D272">
        <v>0</v>
      </c>
      <c r="E272">
        <v>2</v>
      </c>
      <c r="F272">
        <v>0</v>
      </c>
      <c r="H272">
        <v>0</v>
      </c>
      <c r="I272">
        <v>0</v>
      </c>
      <c r="J272">
        <v>0</v>
      </c>
      <c r="K272">
        <v>0</v>
      </c>
      <c r="L272">
        <v>0</v>
      </c>
      <c r="M272">
        <v>0</v>
      </c>
      <c r="N272">
        <v>0</v>
      </c>
    </row>
    <row r="273" spans="1:16">
      <c r="A273" t="s">
        <v>692</v>
      </c>
      <c r="B273" t="s">
        <v>719</v>
      </c>
      <c r="C273">
        <v>0.37</v>
      </c>
      <c r="D273">
        <v>0</v>
      </c>
      <c r="E273">
        <v>7</v>
      </c>
      <c r="F273">
        <v>4.5</v>
      </c>
      <c r="H273">
        <v>0</v>
      </c>
      <c r="I273">
        <v>0</v>
      </c>
      <c r="J273">
        <v>0</v>
      </c>
      <c r="K273">
        <v>0</v>
      </c>
      <c r="L273">
        <v>0</v>
      </c>
      <c r="M273">
        <v>0</v>
      </c>
      <c r="N273">
        <v>0</v>
      </c>
    </row>
    <row r="274" spans="1:16">
      <c r="A274" t="s">
        <v>720</v>
      </c>
      <c r="B274" t="s">
        <v>721</v>
      </c>
      <c r="C274">
        <v>1.75</v>
      </c>
      <c r="D274">
        <v>1</v>
      </c>
      <c r="E274">
        <v>15</v>
      </c>
      <c r="F274">
        <v>0</v>
      </c>
      <c r="H274">
        <v>0</v>
      </c>
      <c r="I274">
        <v>0</v>
      </c>
      <c r="J274">
        <v>0</v>
      </c>
      <c r="K274">
        <v>0</v>
      </c>
      <c r="L274">
        <v>0</v>
      </c>
      <c r="M274">
        <v>0</v>
      </c>
      <c r="N274">
        <v>0</v>
      </c>
    </row>
    <row r="275" spans="1:16">
      <c r="A275" t="s">
        <v>720</v>
      </c>
      <c r="B275" t="s">
        <v>722</v>
      </c>
      <c r="C275">
        <v>0</v>
      </c>
      <c r="D275">
        <v>0</v>
      </c>
      <c r="E275">
        <v>0</v>
      </c>
      <c r="F275">
        <v>0</v>
      </c>
      <c r="H275">
        <v>0</v>
      </c>
      <c r="I275">
        <v>0</v>
      </c>
      <c r="J275">
        <v>0</v>
      </c>
      <c r="K275">
        <v>0</v>
      </c>
      <c r="L275">
        <v>0</v>
      </c>
      <c r="M275">
        <v>0</v>
      </c>
      <c r="N275">
        <v>0</v>
      </c>
    </row>
    <row r="276" spans="1:16">
      <c r="A276" t="s">
        <v>720</v>
      </c>
      <c r="B276" t="s">
        <v>309</v>
      </c>
      <c r="C276">
        <v>3.04</v>
      </c>
      <c r="D276">
        <v>3</v>
      </c>
      <c r="E276">
        <v>0</v>
      </c>
      <c r="F276">
        <v>10</v>
      </c>
      <c r="H276">
        <v>0</v>
      </c>
      <c r="I276">
        <v>0</v>
      </c>
      <c r="J276">
        <v>0</v>
      </c>
      <c r="K276">
        <v>0</v>
      </c>
      <c r="L276">
        <v>0</v>
      </c>
      <c r="M276">
        <v>0</v>
      </c>
      <c r="N276">
        <v>0</v>
      </c>
    </row>
    <row r="277" spans="1:16">
      <c r="A277" t="s">
        <v>720</v>
      </c>
      <c r="B277" t="s">
        <v>723</v>
      </c>
      <c r="C277">
        <v>5.29</v>
      </c>
      <c r="D277">
        <v>5</v>
      </c>
      <c r="E277">
        <v>5</v>
      </c>
      <c r="F277">
        <v>10</v>
      </c>
      <c r="H277">
        <v>0</v>
      </c>
      <c r="I277">
        <v>0</v>
      </c>
      <c r="J277">
        <v>0</v>
      </c>
      <c r="K277">
        <v>0</v>
      </c>
      <c r="L277">
        <v>0</v>
      </c>
      <c r="M277">
        <v>0</v>
      </c>
      <c r="N277">
        <v>0</v>
      </c>
    </row>
    <row r="278" spans="1:16">
      <c r="A278" t="s">
        <v>724</v>
      </c>
      <c r="B278" t="s">
        <v>725</v>
      </c>
      <c r="C278">
        <v>6</v>
      </c>
      <c r="D278">
        <v>6</v>
      </c>
      <c r="E278">
        <v>0</v>
      </c>
      <c r="F278">
        <v>0</v>
      </c>
      <c r="H278">
        <v>0</v>
      </c>
      <c r="I278">
        <v>0</v>
      </c>
      <c r="J278">
        <v>0</v>
      </c>
      <c r="K278">
        <v>0</v>
      </c>
      <c r="L278">
        <v>0</v>
      </c>
      <c r="M278">
        <v>0</v>
      </c>
      <c r="N278">
        <v>0</v>
      </c>
    </row>
    <row r="279" spans="1:16">
      <c r="A279" t="s">
        <v>724</v>
      </c>
      <c r="B279" t="s">
        <v>314</v>
      </c>
      <c r="C279">
        <v>0</v>
      </c>
      <c r="D279">
        <v>0</v>
      </c>
      <c r="E279">
        <v>0</v>
      </c>
      <c r="F279">
        <v>0</v>
      </c>
      <c r="H279">
        <v>0</v>
      </c>
      <c r="I279">
        <v>0</v>
      </c>
      <c r="J279">
        <v>0</v>
      </c>
      <c r="K279">
        <v>0</v>
      </c>
      <c r="L279">
        <v>0</v>
      </c>
      <c r="M279">
        <v>0</v>
      </c>
      <c r="N279">
        <v>0</v>
      </c>
    </row>
    <row r="280" spans="1:16">
      <c r="A280" t="s">
        <v>724</v>
      </c>
      <c r="B280" t="s">
        <v>315</v>
      </c>
      <c r="C280">
        <v>0.17</v>
      </c>
      <c r="D280">
        <v>0</v>
      </c>
      <c r="E280">
        <v>3</v>
      </c>
      <c r="F280">
        <v>4</v>
      </c>
      <c r="H280">
        <v>0</v>
      </c>
      <c r="I280">
        <v>0</v>
      </c>
      <c r="J280">
        <v>0</v>
      </c>
      <c r="K280">
        <v>0</v>
      </c>
      <c r="L280">
        <v>0</v>
      </c>
      <c r="M280">
        <v>0</v>
      </c>
      <c r="N280">
        <v>0</v>
      </c>
    </row>
    <row r="281" spans="1:16">
      <c r="A281" t="s">
        <v>724</v>
      </c>
      <c r="B281" t="s">
        <v>316</v>
      </c>
      <c r="C281">
        <v>0.3</v>
      </c>
      <c r="D281">
        <v>0</v>
      </c>
      <c r="E281">
        <v>6</v>
      </c>
      <c r="F281">
        <v>0</v>
      </c>
      <c r="H281">
        <v>0</v>
      </c>
      <c r="I281">
        <v>0</v>
      </c>
      <c r="J281">
        <v>0</v>
      </c>
      <c r="K281">
        <v>0</v>
      </c>
      <c r="L281">
        <v>0</v>
      </c>
      <c r="M281">
        <v>0</v>
      </c>
      <c r="N281">
        <v>0</v>
      </c>
    </row>
    <row r="282" spans="1:16">
      <c r="A282" t="s">
        <v>724</v>
      </c>
      <c r="B282" t="s">
        <v>317</v>
      </c>
      <c r="C282">
        <v>0.05</v>
      </c>
      <c r="D282">
        <v>0</v>
      </c>
      <c r="E282">
        <v>1</v>
      </c>
      <c r="F282">
        <v>0</v>
      </c>
      <c r="H282">
        <v>0</v>
      </c>
      <c r="I282">
        <v>0</v>
      </c>
      <c r="J282">
        <v>0</v>
      </c>
      <c r="K282">
        <v>0</v>
      </c>
      <c r="L282">
        <v>0</v>
      </c>
      <c r="M282">
        <v>0</v>
      </c>
      <c r="N282">
        <v>0</v>
      </c>
    </row>
    <row r="283" spans="1:16">
      <c r="A283" t="s">
        <v>724</v>
      </c>
      <c r="B283" t="s">
        <v>726</v>
      </c>
      <c r="C283">
        <v>6.62</v>
      </c>
      <c r="D283">
        <v>6</v>
      </c>
      <c r="E283">
        <v>12</v>
      </c>
      <c r="F283">
        <v>4</v>
      </c>
      <c r="H283">
        <v>0</v>
      </c>
      <c r="I283">
        <v>0</v>
      </c>
      <c r="J283">
        <v>0</v>
      </c>
      <c r="K283">
        <v>0</v>
      </c>
      <c r="L283">
        <v>0</v>
      </c>
      <c r="M283">
        <v>0</v>
      </c>
      <c r="N283">
        <v>0</v>
      </c>
    </row>
    <row r="284" spans="1:16">
      <c r="A284" t="s">
        <v>727</v>
      </c>
      <c r="B284" t="s">
        <v>728</v>
      </c>
      <c r="C284">
        <v>0.5</v>
      </c>
      <c r="D284">
        <v>0</v>
      </c>
      <c r="E284">
        <v>10</v>
      </c>
      <c r="F284">
        <v>0</v>
      </c>
      <c r="H284">
        <v>0</v>
      </c>
      <c r="I284">
        <v>0</v>
      </c>
      <c r="J284">
        <v>0</v>
      </c>
      <c r="K284">
        <v>0</v>
      </c>
      <c r="L284">
        <v>0</v>
      </c>
      <c r="M284">
        <v>0</v>
      </c>
      <c r="N284">
        <v>0</v>
      </c>
    </row>
    <row r="285" spans="1:16">
      <c r="A285" t="s">
        <v>727</v>
      </c>
      <c r="B285" t="s">
        <v>729</v>
      </c>
      <c r="C285">
        <v>0.17</v>
      </c>
      <c r="D285">
        <v>0</v>
      </c>
      <c r="E285">
        <v>3</v>
      </c>
      <c r="F285">
        <v>4</v>
      </c>
      <c r="H285">
        <v>0</v>
      </c>
      <c r="I285">
        <v>0</v>
      </c>
      <c r="J285">
        <v>0</v>
      </c>
      <c r="K285">
        <v>0</v>
      </c>
      <c r="L285">
        <v>0</v>
      </c>
      <c r="M285">
        <v>0</v>
      </c>
      <c r="N285">
        <v>0</v>
      </c>
    </row>
    <row r="286" spans="1:16">
      <c r="A286" t="s">
        <v>727</v>
      </c>
      <c r="B286" t="s">
        <v>730</v>
      </c>
      <c r="C286">
        <v>0.03</v>
      </c>
      <c r="D286">
        <v>0</v>
      </c>
      <c r="E286">
        <v>0</v>
      </c>
      <c r="F286">
        <v>8</v>
      </c>
      <c r="H286">
        <v>0</v>
      </c>
      <c r="I286">
        <v>0</v>
      </c>
      <c r="J286">
        <v>0</v>
      </c>
      <c r="K286">
        <v>0</v>
      </c>
      <c r="L286">
        <v>0</v>
      </c>
      <c r="M286">
        <v>0</v>
      </c>
      <c r="N286">
        <v>0</v>
      </c>
    </row>
    <row r="287" spans="1:16">
      <c r="A287" t="s">
        <v>727</v>
      </c>
      <c r="B287" t="s">
        <v>731</v>
      </c>
      <c r="C287">
        <v>0.7</v>
      </c>
      <c r="D287">
        <v>0</v>
      </c>
      <c r="E287">
        <v>14</v>
      </c>
      <c r="F287">
        <v>0</v>
      </c>
      <c r="H287">
        <v>0</v>
      </c>
      <c r="I287">
        <v>0</v>
      </c>
      <c r="J287">
        <v>0</v>
      </c>
      <c r="K287">
        <v>0</v>
      </c>
      <c r="L287">
        <v>0</v>
      </c>
      <c r="M287">
        <v>0</v>
      </c>
      <c r="N287">
        <v>0</v>
      </c>
    </row>
    <row r="288" spans="1:16">
      <c r="A288" t="s">
        <v>732</v>
      </c>
      <c r="B288" t="s">
        <v>733</v>
      </c>
      <c r="C288">
        <v>0.41</v>
      </c>
      <c r="D288">
        <v>0</v>
      </c>
      <c r="E288">
        <v>8</v>
      </c>
      <c r="F288">
        <v>3</v>
      </c>
      <c r="G288" t="s">
        <v>734</v>
      </c>
      <c r="H288">
        <v>1</v>
      </c>
      <c r="I288">
        <v>4</v>
      </c>
      <c r="J288">
        <v>1.5</v>
      </c>
      <c r="K288">
        <v>30.5</v>
      </c>
      <c r="L288">
        <v>-29</v>
      </c>
      <c r="M288">
        <v>30</v>
      </c>
      <c r="N288">
        <v>4</v>
      </c>
      <c r="O288">
        <v>1</v>
      </c>
      <c r="P288">
        <v>4</v>
      </c>
    </row>
    <row r="289" spans="1:16">
      <c r="A289" t="s">
        <v>732</v>
      </c>
      <c r="B289" t="s">
        <v>735</v>
      </c>
      <c r="C289">
        <v>0.45</v>
      </c>
      <c r="D289">
        <v>0</v>
      </c>
      <c r="E289">
        <v>8</v>
      </c>
      <c r="F289">
        <v>11</v>
      </c>
      <c r="G289" t="s">
        <v>736</v>
      </c>
      <c r="H289">
        <v>53</v>
      </c>
      <c r="I289">
        <v>4</v>
      </c>
      <c r="J289">
        <v>53.5</v>
      </c>
      <c r="K289">
        <v>53.5</v>
      </c>
      <c r="L289">
        <v>0</v>
      </c>
      <c r="M289">
        <v>53</v>
      </c>
      <c r="N289">
        <v>4</v>
      </c>
    </row>
    <row r="290" spans="1:16">
      <c r="A290" t="s">
        <v>732</v>
      </c>
      <c r="B290" t="s">
        <v>737</v>
      </c>
      <c r="C290">
        <v>0.22</v>
      </c>
      <c r="D290">
        <v>0</v>
      </c>
      <c r="E290">
        <v>4</v>
      </c>
      <c r="F290">
        <v>3.75</v>
      </c>
      <c r="G290" t="s">
        <v>654</v>
      </c>
      <c r="H290">
        <v>34</v>
      </c>
      <c r="I290">
        <v>3</v>
      </c>
      <c r="J290">
        <v>34.380000000000003</v>
      </c>
      <c r="K290">
        <v>34</v>
      </c>
      <c r="L290">
        <v>0.38</v>
      </c>
      <c r="M290">
        <v>34</v>
      </c>
      <c r="N290">
        <v>0</v>
      </c>
      <c r="O290">
        <v>0</v>
      </c>
      <c r="P290">
        <v>3</v>
      </c>
    </row>
    <row r="291" spans="1:16">
      <c r="A291" t="s">
        <v>732</v>
      </c>
      <c r="B291" t="s">
        <v>324</v>
      </c>
      <c r="C291">
        <v>0.08</v>
      </c>
      <c r="D291">
        <v>0</v>
      </c>
      <c r="E291">
        <v>1</v>
      </c>
      <c r="F291">
        <v>8</v>
      </c>
      <c r="H291">
        <v>3</v>
      </c>
      <c r="I291">
        <v>7.5</v>
      </c>
      <c r="J291">
        <v>3.94</v>
      </c>
      <c r="K291">
        <v>59.94</v>
      </c>
      <c r="L291">
        <v>-56</v>
      </c>
      <c r="M291">
        <v>59</v>
      </c>
      <c r="N291">
        <v>7.5</v>
      </c>
      <c r="O291">
        <v>3</v>
      </c>
      <c r="P291">
        <v>0</v>
      </c>
    </row>
    <row r="292" spans="1:16">
      <c r="A292" t="s">
        <v>732</v>
      </c>
      <c r="B292" t="s">
        <v>738</v>
      </c>
      <c r="C292">
        <v>1.1399999999999999</v>
      </c>
      <c r="D292">
        <v>1</v>
      </c>
      <c r="E292">
        <v>2</v>
      </c>
      <c r="F292">
        <v>10.75</v>
      </c>
      <c r="H292">
        <v>0</v>
      </c>
      <c r="I292">
        <v>0</v>
      </c>
      <c r="J292">
        <v>0</v>
      </c>
      <c r="K292">
        <v>0</v>
      </c>
      <c r="L292">
        <v>0</v>
      </c>
      <c r="M292">
        <v>0</v>
      </c>
      <c r="N292">
        <v>0</v>
      </c>
    </row>
    <row r="293" spans="1:16">
      <c r="A293" t="s">
        <v>739</v>
      </c>
      <c r="B293" t="s">
        <v>740</v>
      </c>
      <c r="C293">
        <v>0.62</v>
      </c>
      <c r="D293">
        <v>0</v>
      </c>
      <c r="E293">
        <v>12</v>
      </c>
      <c r="F293">
        <v>4</v>
      </c>
      <c r="G293" t="s">
        <v>654</v>
      </c>
      <c r="H293">
        <v>0</v>
      </c>
      <c r="I293">
        <v>0</v>
      </c>
      <c r="J293">
        <v>0</v>
      </c>
      <c r="K293">
        <v>0</v>
      </c>
      <c r="L293">
        <v>0</v>
      </c>
      <c r="M293">
        <v>0</v>
      </c>
      <c r="N293">
        <v>0</v>
      </c>
    </row>
    <row r="294" spans="1:16">
      <c r="A294" t="s">
        <v>739</v>
      </c>
      <c r="B294" t="s">
        <v>329</v>
      </c>
      <c r="C294">
        <v>0.31</v>
      </c>
      <c r="D294">
        <v>0</v>
      </c>
      <c r="E294">
        <v>6</v>
      </c>
      <c r="F294">
        <v>2</v>
      </c>
      <c r="H294">
        <v>0</v>
      </c>
      <c r="I294">
        <v>0</v>
      </c>
      <c r="J294">
        <v>0</v>
      </c>
      <c r="K294">
        <v>0</v>
      </c>
      <c r="L294">
        <v>0</v>
      </c>
      <c r="M294">
        <v>0</v>
      </c>
      <c r="N294">
        <v>0</v>
      </c>
    </row>
    <row r="295" spans="1:16">
      <c r="A295" t="s">
        <v>739</v>
      </c>
      <c r="B295" t="s">
        <v>741</v>
      </c>
      <c r="C295">
        <v>0.31</v>
      </c>
      <c r="D295">
        <v>0</v>
      </c>
      <c r="E295">
        <v>6</v>
      </c>
      <c r="F295">
        <v>2</v>
      </c>
      <c r="H295">
        <v>0</v>
      </c>
      <c r="I295">
        <v>0</v>
      </c>
      <c r="J295">
        <v>0</v>
      </c>
      <c r="K295">
        <v>0</v>
      </c>
      <c r="L295">
        <v>0</v>
      </c>
      <c r="M295">
        <v>0</v>
      </c>
      <c r="N295">
        <v>0</v>
      </c>
    </row>
    <row r="296" spans="1:16">
      <c r="A296" t="s">
        <v>739</v>
      </c>
      <c r="B296" t="s">
        <v>742</v>
      </c>
      <c r="C296">
        <v>0</v>
      </c>
      <c r="D296">
        <v>0</v>
      </c>
      <c r="E296">
        <v>0</v>
      </c>
      <c r="F296">
        <v>0</v>
      </c>
      <c r="H296">
        <v>0</v>
      </c>
      <c r="I296">
        <v>0</v>
      </c>
      <c r="J296">
        <v>0</v>
      </c>
      <c r="K296">
        <v>0</v>
      </c>
      <c r="L296">
        <v>0</v>
      </c>
      <c r="M296">
        <v>0</v>
      </c>
      <c r="N296">
        <v>0</v>
      </c>
    </row>
    <row r="297" spans="1:16">
      <c r="A297" t="s">
        <v>739</v>
      </c>
      <c r="B297" t="s">
        <v>332</v>
      </c>
      <c r="C297">
        <v>0.17</v>
      </c>
      <c r="D297">
        <v>0</v>
      </c>
      <c r="E297">
        <v>3</v>
      </c>
      <c r="F297">
        <v>4</v>
      </c>
      <c r="H297">
        <v>0</v>
      </c>
      <c r="I297">
        <v>0</v>
      </c>
      <c r="J297">
        <v>0</v>
      </c>
      <c r="K297">
        <v>0</v>
      </c>
      <c r="L297">
        <v>0</v>
      </c>
      <c r="M297">
        <v>0</v>
      </c>
      <c r="N297">
        <v>0</v>
      </c>
    </row>
    <row r="298" spans="1:16">
      <c r="A298" t="s">
        <v>739</v>
      </c>
      <c r="B298" t="s">
        <v>743</v>
      </c>
      <c r="C298">
        <v>1.4</v>
      </c>
      <c r="D298">
        <v>1</v>
      </c>
      <c r="E298">
        <v>8</v>
      </c>
      <c r="F298">
        <v>0</v>
      </c>
      <c r="H298">
        <v>0</v>
      </c>
      <c r="I298">
        <v>0</v>
      </c>
      <c r="J298">
        <v>0</v>
      </c>
      <c r="K298">
        <v>0</v>
      </c>
      <c r="L298">
        <v>0</v>
      </c>
      <c r="M298">
        <v>0</v>
      </c>
      <c r="N298">
        <v>0</v>
      </c>
    </row>
    <row r="299" spans="1:16">
      <c r="A299" t="s">
        <v>744</v>
      </c>
      <c r="B299" t="s">
        <v>745</v>
      </c>
      <c r="C299">
        <v>2.5</v>
      </c>
      <c r="D299">
        <v>2</v>
      </c>
      <c r="E299">
        <v>10</v>
      </c>
      <c r="F299">
        <v>0</v>
      </c>
      <c r="H299">
        <v>0</v>
      </c>
      <c r="I299">
        <v>0</v>
      </c>
      <c r="J299">
        <v>0</v>
      </c>
      <c r="K299">
        <v>0</v>
      </c>
      <c r="L299">
        <v>0</v>
      </c>
      <c r="M299">
        <v>0</v>
      </c>
      <c r="N299">
        <v>0</v>
      </c>
    </row>
    <row r="300" spans="1:16">
      <c r="A300" t="s">
        <v>744</v>
      </c>
      <c r="B300" t="s">
        <v>746</v>
      </c>
      <c r="C300">
        <v>2.5</v>
      </c>
      <c r="D300">
        <v>2</v>
      </c>
      <c r="E300">
        <v>10</v>
      </c>
      <c r="F300">
        <v>0</v>
      </c>
      <c r="H300">
        <v>0</v>
      </c>
      <c r="I300">
        <v>0</v>
      </c>
      <c r="J300">
        <v>0</v>
      </c>
      <c r="K300">
        <v>0</v>
      </c>
      <c r="L300">
        <v>0</v>
      </c>
      <c r="M300">
        <v>0</v>
      </c>
      <c r="N300">
        <v>0</v>
      </c>
    </row>
    <row r="301" spans="1:16">
      <c r="A301" t="s">
        <v>747</v>
      </c>
      <c r="B301" t="s">
        <v>748</v>
      </c>
      <c r="C301">
        <v>0.87</v>
      </c>
      <c r="D301">
        <v>0</v>
      </c>
      <c r="E301">
        <v>17</v>
      </c>
      <c r="F301">
        <v>4.5</v>
      </c>
      <c r="H301">
        <v>0</v>
      </c>
      <c r="I301">
        <v>0</v>
      </c>
      <c r="J301">
        <v>0</v>
      </c>
      <c r="K301">
        <v>0</v>
      </c>
      <c r="L301">
        <v>0</v>
      </c>
      <c r="M301">
        <v>0</v>
      </c>
      <c r="N301">
        <v>0</v>
      </c>
    </row>
    <row r="302" spans="1:16">
      <c r="A302" t="s">
        <v>747</v>
      </c>
      <c r="B302" t="s">
        <v>749</v>
      </c>
      <c r="C302">
        <v>0.87</v>
      </c>
      <c r="D302">
        <v>0</v>
      </c>
      <c r="E302">
        <v>17</v>
      </c>
      <c r="F302">
        <v>4.5</v>
      </c>
      <c r="H302">
        <v>0</v>
      </c>
      <c r="I302">
        <v>0</v>
      </c>
      <c r="J302">
        <v>0</v>
      </c>
      <c r="K302">
        <v>0</v>
      </c>
      <c r="L302">
        <v>0</v>
      </c>
      <c r="M302">
        <v>0</v>
      </c>
      <c r="N302">
        <v>0</v>
      </c>
    </row>
    <row r="303" spans="1:16">
      <c r="A303" t="s">
        <v>750</v>
      </c>
      <c r="B303" t="s">
        <v>751</v>
      </c>
      <c r="C303">
        <v>88.92</v>
      </c>
      <c r="D303">
        <v>88</v>
      </c>
      <c r="E303">
        <v>18</v>
      </c>
      <c r="F303">
        <v>4</v>
      </c>
      <c r="H303">
        <v>0</v>
      </c>
      <c r="I303">
        <v>0</v>
      </c>
      <c r="J303">
        <v>0</v>
      </c>
      <c r="K303">
        <v>0</v>
      </c>
      <c r="L303">
        <v>0</v>
      </c>
      <c r="M303">
        <v>0</v>
      </c>
      <c r="N303">
        <v>0</v>
      </c>
    </row>
    <row r="304" spans="1:16">
      <c r="A304" t="s">
        <v>752</v>
      </c>
      <c r="B304" t="s">
        <v>753</v>
      </c>
      <c r="C304">
        <v>99.24</v>
      </c>
      <c r="D304">
        <v>99</v>
      </c>
      <c r="E304">
        <v>4</v>
      </c>
      <c r="F304">
        <v>10.75</v>
      </c>
      <c r="H304">
        <v>0</v>
      </c>
      <c r="I304">
        <v>0</v>
      </c>
      <c r="J304">
        <v>0</v>
      </c>
      <c r="K304">
        <v>0</v>
      </c>
      <c r="L304">
        <v>0</v>
      </c>
      <c r="M304">
        <v>0</v>
      </c>
      <c r="N304">
        <v>0</v>
      </c>
    </row>
    <row r="305" spans="1:14">
      <c r="A305" t="s">
        <v>754</v>
      </c>
      <c r="B305" t="s">
        <v>755</v>
      </c>
      <c r="C305">
        <v>1.47</v>
      </c>
      <c r="D305">
        <v>1</v>
      </c>
      <c r="E305">
        <v>9</v>
      </c>
      <c r="F305">
        <v>4</v>
      </c>
      <c r="H305">
        <v>0</v>
      </c>
      <c r="I305">
        <v>0</v>
      </c>
      <c r="J305">
        <v>0</v>
      </c>
      <c r="K305">
        <v>0</v>
      </c>
      <c r="L305">
        <v>0</v>
      </c>
      <c r="M305">
        <v>0</v>
      </c>
      <c r="N305">
        <v>0</v>
      </c>
    </row>
    <row r="306" spans="1:14">
      <c r="A306" t="s">
        <v>754</v>
      </c>
      <c r="B306" t="s">
        <v>756</v>
      </c>
      <c r="C306">
        <v>0</v>
      </c>
      <c r="D306">
        <v>0</v>
      </c>
      <c r="E306">
        <v>0</v>
      </c>
      <c r="F306">
        <v>0</v>
      </c>
      <c r="H306">
        <v>0</v>
      </c>
      <c r="I306">
        <v>0</v>
      </c>
      <c r="J306">
        <v>0</v>
      </c>
      <c r="K306">
        <v>0</v>
      </c>
      <c r="L306">
        <v>0</v>
      </c>
      <c r="M306">
        <v>0</v>
      </c>
      <c r="N306">
        <v>0</v>
      </c>
    </row>
    <row r="307" spans="1:14">
      <c r="A307" t="s">
        <v>754</v>
      </c>
      <c r="B307" t="s">
        <v>757</v>
      </c>
      <c r="C307">
        <v>3.55</v>
      </c>
      <c r="D307">
        <v>3</v>
      </c>
      <c r="E307">
        <v>10</v>
      </c>
      <c r="F307">
        <v>11.75</v>
      </c>
      <c r="H307">
        <v>0</v>
      </c>
      <c r="I307">
        <v>0</v>
      </c>
      <c r="J307">
        <v>0</v>
      </c>
      <c r="K307">
        <v>0</v>
      </c>
      <c r="L307">
        <v>0</v>
      </c>
      <c r="M307">
        <v>0</v>
      </c>
      <c r="N307">
        <v>0</v>
      </c>
    </row>
    <row r="308" spans="1:14">
      <c r="A308" t="s">
        <v>754</v>
      </c>
      <c r="B308" t="s">
        <v>758</v>
      </c>
      <c r="C308">
        <v>0.75</v>
      </c>
      <c r="D308">
        <v>0</v>
      </c>
      <c r="E308">
        <v>15</v>
      </c>
      <c r="F308">
        <v>0</v>
      </c>
      <c r="H308">
        <v>0</v>
      </c>
      <c r="I308">
        <v>0</v>
      </c>
      <c r="J308">
        <v>0</v>
      </c>
      <c r="K308">
        <v>0</v>
      </c>
      <c r="L308">
        <v>0</v>
      </c>
      <c r="M308">
        <v>0</v>
      </c>
      <c r="N308">
        <v>0</v>
      </c>
    </row>
    <row r="309" spans="1:14">
      <c r="A309" t="s">
        <v>754</v>
      </c>
      <c r="B309" t="s">
        <v>759</v>
      </c>
      <c r="C309">
        <v>5.77</v>
      </c>
      <c r="D309">
        <v>5</v>
      </c>
      <c r="E309">
        <v>15</v>
      </c>
      <c r="F309">
        <v>3.75</v>
      </c>
      <c r="H309">
        <v>0</v>
      </c>
      <c r="I309">
        <v>0</v>
      </c>
      <c r="J309">
        <v>0</v>
      </c>
      <c r="K309">
        <v>0</v>
      </c>
      <c r="L309">
        <v>0</v>
      </c>
      <c r="M309">
        <v>0</v>
      </c>
      <c r="N309">
        <v>0</v>
      </c>
    </row>
    <row r="310" spans="1:14">
      <c r="A310" t="s">
        <v>760</v>
      </c>
      <c r="B310" t="s">
        <v>761</v>
      </c>
      <c r="C310">
        <v>7</v>
      </c>
      <c r="D310">
        <v>7</v>
      </c>
      <c r="E310">
        <v>0</v>
      </c>
      <c r="F310">
        <v>0</v>
      </c>
      <c r="H310">
        <v>0</v>
      </c>
      <c r="I310">
        <v>0</v>
      </c>
      <c r="J310">
        <v>0</v>
      </c>
      <c r="K310">
        <v>0</v>
      </c>
      <c r="L310">
        <v>0</v>
      </c>
      <c r="M310">
        <v>0</v>
      </c>
      <c r="N310">
        <v>0</v>
      </c>
    </row>
    <row r="311" spans="1:14">
      <c r="A311" t="s">
        <v>760</v>
      </c>
      <c r="B311" t="s">
        <v>762</v>
      </c>
      <c r="C311">
        <v>0</v>
      </c>
      <c r="D311">
        <v>0</v>
      </c>
      <c r="E311">
        <v>0</v>
      </c>
      <c r="F311">
        <v>0</v>
      </c>
      <c r="G311" t="s">
        <v>612</v>
      </c>
      <c r="H311">
        <v>0</v>
      </c>
      <c r="I311">
        <v>0</v>
      </c>
      <c r="J311">
        <v>0</v>
      </c>
      <c r="K311">
        <v>0</v>
      </c>
      <c r="L311">
        <v>0</v>
      </c>
      <c r="M311">
        <v>0</v>
      </c>
      <c r="N311">
        <v>0</v>
      </c>
    </row>
    <row r="312" spans="1:14">
      <c r="A312" t="s">
        <v>760</v>
      </c>
      <c r="B312" t="s">
        <v>763</v>
      </c>
      <c r="C312">
        <v>53.07</v>
      </c>
      <c r="D312">
        <v>53</v>
      </c>
      <c r="E312">
        <v>1</v>
      </c>
      <c r="F312">
        <v>5</v>
      </c>
      <c r="H312">
        <v>0</v>
      </c>
      <c r="I312">
        <v>0</v>
      </c>
      <c r="J312">
        <v>0</v>
      </c>
      <c r="K312">
        <v>0</v>
      </c>
      <c r="L312">
        <v>0</v>
      </c>
      <c r="M312">
        <v>0</v>
      </c>
      <c r="N312">
        <v>0</v>
      </c>
    </row>
    <row r="313" spans="1:14">
      <c r="A313" t="s">
        <v>760</v>
      </c>
      <c r="B313" t="s">
        <v>764</v>
      </c>
      <c r="C313">
        <v>60.65</v>
      </c>
      <c r="D313">
        <v>60</v>
      </c>
      <c r="E313">
        <v>13</v>
      </c>
      <c r="F313">
        <v>1</v>
      </c>
      <c r="H313">
        <v>0</v>
      </c>
      <c r="I313">
        <v>0</v>
      </c>
      <c r="J313">
        <v>0</v>
      </c>
      <c r="K313">
        <v>0</v>
      </c>
      <c r="L313">
        <v>0</v>
      </c>
      <c r="M313">
        <v>0</v>
      </c>
      <c r="N313">
        <v>0</v>
      </c>
    </row>
    <row r="314" spans="1:14">
      <c r="A314" t="s">
        <v>765</v>
      </c>
      <c r="B314" t="s">
        <v>766</v>
      </c>
      <c r="C314">
        <v>28</v>
      </c>
      <c r="D314">
        <v>28</v>
      </c>
      <c r="E314">
        <v>0</v>
      </c>
      <c r="F314">
        <v>0</v>
      </c>
      <c r="H314">
        <v>0</v>
      </c>
      <c r="I314">
        <v>0</v>
      </c>
      <c r="J314">
        <v>0</v>
      </c>
      <c r="K314">
        <v>0</v>
      </c>
      <c r="L314">
        <v>0</v>
      </c>
      <c r="M314">
        <v>0</v>
      </c>
      <c r="N314">
        <v>0</v>
      </c>
    </row>
    <row r="315" spans="1:14">
      <c r="A315" t="s">
        <v>765</v>
      </c>
      <c r="B315" t="s">
        <v>767</v>
      </c>
      <c r="C315">
        <v>28</v>
      </c>
      <c r="D315">
        <v>28</v>
      </c>
      <c r="E315">
        <v>0</v>
      </c>
      <c r="F315">
        <v>0</v>
      </c>
      <c r="H315">
        <v>0</v>
      </c>
      <c r="I315">
        <v>0</v>
      </c>
      <c r="J315">
        <v>0</v>
      </c>
      <c r="K315">
        <v>0</v>
      </c>
      <c r="L315">
        <v>0</v>
      </c>
      <c r="M315">
        <v>0</v>
      </c>
      <c r="N315">
        <v>0</v>
      </c>
    </row>
    <row r="316" spans="1:14">
      <c r="A316" t="s">
        <v>765</v>
      </c>
      <c r="B316" t="s">
        <v>768</v>
      </c>
      <c r="C316">
        <v>94.42</v>
      </c>
      <c r="D316">
        <v>94</v>
      </c>
      <c r="E316">
        <v>8</v>
      </c>
      <c r="F316">
        <v>4.75</v>
      </c>
      <c r="H316">
        <v>0</v>
      </c>
      <c r="I316">
        <v>0</v>
      </c>
      <c r="J316">
        <v>0</v>
      </c>
      <c r="K316">
        <v>0</v>
      </c>
      <c r="L316">
        <v>0</v>
      </c>
      <c r="M316">
        <v>0</v>
      </c>
      <c r="N316">
        <v>0</v>
      </c>
    </row>
    <row r="317" spans="1:14">
      <c r="A317" t="s">
        <v>752</v>
      </c>
      <c r="B317" t="s">
        <v>769</v>
      </c>
      <c r="C317">
        <v>4.83</v>
      </c>
      <c r="D317">
        <v>4</v>
      </c>
      <c r="E317">
        <v>16</v>
      </c>
      <c r="F317">
        <v>6</v>
      </c>
      <c r="H317">
        <v>0</v>
      </c>
      <c r="I317">
        <v>0</v>
      </c>
      <c r="J317">
        <v>0</v>
      </c>
      <c r="K317">
        <v>0</v>
      </c>
      <c r="L317">
        <v>0</v>
      </c>
      <c r="M317">
        <v>0</v>
      </c>
      <c r="N317">
        <v>0</v>
      </c>
    </row>
    <row r="318" spans="1:14">
      <c r="A318" t="s">
        <v>610</v>
      </c>
      <c r="B318" t="s">
        <v>770</v>
      </c>
      <c r="C318">
        <v>0</v>
      </c>
      <c r="D318">
        <v>0</v>
      </c>
      <c r="E318">
        <v>0</v>
      </c>
      <c r="F318">
        <v>0</v>
      </c>
      <c r="H318">
        <v>30</v>
      </c>
      <c r="I318">
        <v>4</v>
      </c>
      <c r="J318">
        <v>30.5</v>
      </c>
      <c r="K318">
        <v>30.5</v>
      </c>
      <c r="L318">
        <v>0</v>
      </c>
      <c r="M318">
        <v>30</v>
      </c>
      <c r="N318">
        <v>4</v>
      </c>
    </row>
    <row r="319" spans="1:14">
      <c r="A319" t="s">
        <v>610</v>
      </c>
      <c r="B319" t="s">
        <v>771</v>
      </c>
      <c r="C319">
        <v>0</v>
      </c>
      <c r="D319">
        <v>0</v>
      </c>
      <c r="E319">
        <v>0</v>
      </c>
      <c r="F319">
        <v>0</v>
      </c>
      <c r="H319">
        <v>0</v>
      </c>
      <c r="I319">
        <v>6</v>
      </c>
      <c r="J319">
        <v>0.75</v>
      </c>
      <c r="K319">
        <v>0.75</v>
      </c>
      <c r="L319">
        <v>0</v>
      </c>
      <c r="M319">
        <v>0</v>
      </c>
      <c r="N319">
        <v>6</v>
      </c>
    </row>
    <row r="320" spans="1:14">
      <c r="A320" t="s">
        <v>610</v>
      </c>
      <c r="B320" t="s">
        <v>772</v>
      </c>
      <c r="C320">
        <v>0</v>
      </c>
      <c r="D320">
        <v>0</v>
      </c>
      <c r="E320">
        <v>0</v>
      </c>
      <c r="F320">
        <v>0</v>
      </c>
      <c r="H320">
        <v>22</v>
      </c>
      <c r="I320">
        <v>4</v>
      </c>
      <c r="J320">
        <v>22.5</v>
      </c>
      <c r="K320">
        <v>22.5</v>
      </c>
      <c r="L320">
        <v>0</v>
      </c>
      <c r="M320">
        <v>22</v>
      </c>
      <c r="N320">
        <v>4</v>
      </c>
    </row>
    <row r="321" spans="1:16">
      <c r="A321" t="s">
        <v>610</v>
      </c>
      <c r="B321" t="s">
        <v>773</v>
      </c>
      <c r="C321">
        <v>0</v>
      </c>
      <c r="D321">
        <v>0</v>
      </c>
      <c r="E321">
        <v>0</v>
      </c>
      <c r="F321">
        <v>0</v>
      </c>
      <c r="H321">
        <v>9</v>
      </c>
      <c r="I321">
        <v>2</v>
      </c>
      <c r="J321">
        <v>9.25</v>
      </c>
      <c r="K321">
        <v>9.25</v>
      </c>
      <c r="L321">
        <v>0</v>
      </c>
      <c r="M321">
        <v>9</v>
      </c>
      <c r="N321">
        <v>2</v>
      </c>
    </row>
    <row r="322" spans="1:16">
      <c r="A322" t="s">
        <v>610</v>
      </c>
      <c r="B322" t="s">
        <v>774</v>
      </c>
      <c r="C322">
        <v>0</v>
      </c>
      <c r="D322">
        <v>0</v>
      </c>
      <c r="E322">
        <v>0</v>
      </c>
      <c r="F322">
        <v>0</v>
      </c>
      <c r="H322">
        <v>63</v>
      </c>
      <c r="I322">
        <v>0</v>
      </c>
      <c r="J322">
        <v>63</v>
      </c>
      <c r="K322">
        <v>63</v>
      </c>
      <c r="L322">
        <v>0</v>
      </c>
      <c r="M322">
        <v>63</v>
      </c>
      <c r="N322">
        <v>0</v>
      </c>
    </row>
    <row r="323" spans="1:16">
      <c r="A323" t="s">
        <v>610</v>
      </c>
      <c r="B323" t="s">
        <v>775</v>
      </c>
      <c r="C323">
        <v>0</v>
      </c>
      <c r="D323">
        <v>0</v>
      </c>
      <c r="E323">
        <v>0</v>
      </c>
      <c r="F323">
        <v>0</v>
      </c>
      <c r="H323">
        <v>13</v>
      </c>
      <c r="I323">
        <v>4</v>
      </c>
      <c r="J323">
        <v>13.5</v>
      </c>
      <c r="K323">
        <v>13.5</v>
      </c>
      <c r="L323">
        <v>0</v>
      </c>
      <c r="M323">
        <v>13</v>
      </c>
      <c r="N323">
        <v>4</v>
      </c>
    </row>
    <row r="324" spans="1:16">
      <c r="A324" t="s">
        <v>610</v>
      </c>
      <c r="B324" t="s">
        <v>776</v>
      </c>
      <c r="C324">
        <v>0</v>
      </c>
      <c r="D324">
        <v>0</v>
      </c>
      <c r="E324">
        <v>0</v>
      </c>
      <c r="F324">
        <v>0</v>
      </c>
      <c r="H324">
        <v>0</v>
      </c>
      <c r="I324">
        <v>2</v>
      </c>
      <c r="J324">
        <v>0.25</v>
      </c>
      <c r="K324">
        <v>0.25</v>
      </c>
      <c r="L324">
        <v>0</v>
      </c>
      <c r="M324">
        <v>0</v>
      </c>
      <c r="N324">
        <v>2</v>
      </c>
    </row>
    <row r="325" spans="1:16">
      <c r="A325" t="s">
        <v>610</v>
      </c>
      <c r="B325" t="s">
        <v>777</v>
      </c>
      <c r="C325">
        <v>0</v>
      </c>
      <c r="D325">
        <v>0</v>
      </c>
      <c r="E325">
        <v>0</v>
      </c>
      <c r="F325">
        <v>0</v>
      </c>
      <c r="H325">
        <v>0</v>
      </c>
      <c r="I325">
        <v>4</v>
      </c>
      <c r="J325">
        <v>0.5</v>
      </c>
      <c r="K325">
        <v>0.5</v>
      </c>
      <c r="L325">
        <v>0</v>
      </c>
      <c r="M325">
        <v>0</v>
      </c>
      <c r="N325">
        <v>4</v>
      </c>
    </row>
    <row r="326" spans="1:16">
      <c r="A326" t="s">
        <v>610</v>
      </c>
      <c r="B326" t="s">
        <v>778</v>
      </c>
      <c r="C326">
        <v>0</v>
      </c>
      <c r="D326">
        <v>0</v>
      </c>
      <c r="E326">
        <v>0</v>
      </c>
      <c r="F326">
        <v>0</v>
      </c>
      <c r="H326">
        <v>1</v>
      </c>
      <c r="I326">
        <v>1</v>
      </c>
      <c r="J326">
        <v>1.1200000000000001</v>
      </c>
      <c r="K326">
        <v>3.38</v>
      </c>
      <c r="L326">
        <v>-2.25</v>
      </c>
      <c r="M326">
        <v>3</v>
      </c>
      <c r="N326">
        <v>3</v>
      </c>
      <c r="O326">
        <v>1</v>
      </c>
      <c r="P326">
        <v>1</v>
      </c>
    </row>
    <row r="327" spans="1:16">
      <c r="A327" t="s">
        <v>610</v>
      </c>
      <c r="B327" t="s">
        <v>779</v>
      </c>
      <c r="C327">
        <v>0</v>
      </c>
      <c r="D327">
        <v>0</v>
      </c>
      <c r="E327">
        <v>0</v>
      </c>
      <c r="F327">
        <v>0</v>
      </c>
      <c r="H327">
        <v>1</v>
      </c>
      <c r="I327">
        <v>1</v>
      </c>
      <c r="J327">
        <v>1.1200000000000001</v>
      </c>
      <c r="K327">
        <v>1.1200000000000001</v>
      </c>
      <c r="L327">
        <v>0</v>
      </c>
      <c r="M327">
        <v>1</v>
      </c>
      <c r="N327">
        <v>1</v>
      </c>
    </row>
    <row r="328" spans="1:16">
      <c r="A328" t="s">
        <v>610</v>
      </c>
      <c r="B328" t="s">
        <v>780</v>
      </c>
      <c r="C328">
        <v>0</v>
      </c>
      <c r="D328">
        <v>0</v>
      </c>
      <c r="E328">
        <v>0</v>
      </c>
      <c r="F328">
        <v>0</v>
      </c>
      <c r="H328">
        <v>4</v>
      </c>
      <c r="I328">
        <v>0</v>
      </c>
      <c r="J328">
        <v>4</v>
      </c>
      <c r="K328">
        <v>4</v>
      </c>
      <c r="L328">
        <v>0</v>
      </c>
      <c r="M328">
        <v>4</v>
      </c>
      <c r="N328">
        <v>0</v>
      </c>
    </row>
    <row r="329" spans="1:16">
      <c r="A329" t="s">
        <v>610</v>
      </c>
      <c r="B329" t="s">
        <v>781</v>
      </c>
      <c r="C329">
        <v>0</v>
      </c>
      <c r="D329">
        <v>0</v>
      </c>
      <c r="E329">
        <v>0</v>
      </c>
      <c r="F329">
        <v>0</v>
      </c>
      <c r="H329">
        <v>0</v>
      </c>
      <c r="I329">
        <v>6</v>
      </c>
      <c r="J329">
        <v>0.75</v>
      </c>
      <c r="K329">
        <v>0.75</v>
      </c>
      <c r="L329">
        <v>0</v>
      </c>
      <c r="M329">
        <v>0</v>
      </c>
      <c r="N329">
        <v>6</v>
      </c>
    </row>
    <row r="330" spans="1:16">
      <c r="A330" t="s">
        <v>610</v>
      </c>
      <c r="B330" t="s">
        <v>782</v>
      </c>
      <c r="C330">
        <v>0</v>
      </c>
      <c r="D330">
        <v>0</v>
      </c>
      <c r="E330">
        <v>0</v>
      </c>
      <c r="F330">
        <v>0</v>
      </c>
      <c r="H330">
        <v>7</v>
      </c>
      <c r="I330">
        <v>4</v>
      </c>
      <c r="J330">
        <v>7.5</v>
      </c>
      <c r="K330">
        <v>30</v>
      </c>
      <c r="L330">
        <v>-22.5</v>
      </c>
      <c r="M330">
        <v>30</v>
      </c>
      <c r="N330">
        <v>0</v>
      </c>
      <c r="O330">
        <v>7</v>
      </c>
      <c r="P330">
        <v>4</v>
      </c>
    </row>
    <row r="331" spans="1:16">
      <c r="A331" t="s">
        <v>610</v>
      </c>
      <c r="B331" t="s">
        <v>783</v>
      </c>
      <c r="C331">
        <v>3.7</v>
      </c>
      <c r="D331">
        <v>3</v>
      </c>
      <c r="E331">
        <v>14</v>
      </c>
      <c r="F331">
        <v>0</v>
      </c>
      <c r="H331">
        <v>9</v>
      </c>
      <c r="I331">
        <v>2</v>
      </c>
      <c r="J331">
        <v>9.25</v>
      </c>
      <c r="K331">
        <v>9.25</v>
      </c>
      <c r="L331">
        <v>0</v>
      </c>
      <c r="M331">
        <v>9</v>
      </c>
      <c r="N331">
        <v>2</v>
      </c>
    </row>
    <row r="332" spans="1:16">
      <c r="A332" t="s">
        <v>610</v>
      </c>
      <c r="B332" t="s">
        <v>784</v>
      </c>
      <c r="C332">
        <v>0</v>
      </c>
      <c r="D332">
        <v>0</v>
      </c>
      <c r="E332">
        <v>0</v>
      </c>
      <c r="F332">
        <v>0</v>
      </c>
      <c r="H332">
        <v>0</v>
      </c>
      <c r="I332">
        <v>0</v>
      </c>
      <c r="J332">
        <v>0</v>
      </c>
      <c r="K332">
        <v>0</v>
      </c>
      <c r="L332">
        <v>0</v>
      </c>
      <c r="M332">
        <v>0</v>
      </c>
      <c r="N332">
        <v>0</v>
      </c>
    </row>
    <row r="333" spans="1:16">
      <c r="A333" t="s">
        <v>610</v>
      </c>
      <c r="B333" t="s">
        <v>785</v>
      </c>
      <c r="C333">
        <v>0</v>
      </c>
      <c r="D333">
        <v>0</v>
      </c>
      <c r="E333">
        <v>0</v>
      </c>
      <c r="F333">
        <v>0</v>
      </c>
      <c r="H333">
        <v>0</v>
      </c>
      <c r="I333">
        <v>0</v>
      </c>
      <c r="J333">
        <v>0</v>
      </c>
      <c r="K333">
        <v>0</v>
      </c>
      <c r="L333">
        <v>0</v>
      </c>
      <c r="M333">
        <v>0</v>
      </c>
      <c r="N333">
        <v>0</v>
      </c>
    </row>
    <row r="334" spans="1:16">
      <c r="A334" t="s">
        <v>786</v>
      </c>
      <c r="B334" t="s">
        <v>787</v>
      </c>
      <c r="C334">
        <v>0</v>
      </c>
      <c r="D334">
        <v>0</v>
      </c>
      <c r="E334">
        <v>0</v>
      </c>
      <c r="F334">
        <v>0</v>
      </c>
      <c r="G334" t="s">
        <v>734</v>
      </c>
      <c r="H334">
        <v>1</v>
      </c>
      <c r="I334">
        <v>4</v>
      </c>
      <c r="J334">
        <v>1.5</v>
      </c>
      <c r="K334">
        <v>1.5</v>
      </c>
      <c r="L334">
        <v>0</v>
      </c>
      <c r="M334">
        <v>1</v>
      </c>
      <c r="N334">
        <v>4</v>
      </c>
    </row>
    <row r="335" spans="1:16">
      <c r="A335" t="s">
        <v>786</v>
      </c>
      <c r="B335" t="s">
        <v>788</v>
      </c>
      <c r="C335">
        <v>0</v>
      </c>
      <c r="D335">
        <v>0</v>
      </c>
      <c r="E335">
        <v>0</v>
      </c>
      <c r="F335">
        <v>0</v>
      </c>
      <c r="H335">
        <v>0</v>
      </c>
      <c r="I335">
        <v>0</v>
      </c>
      <c r="J335">
        <v>0</v>
      </c>
      <c r="K335">
        <v>0</v>
      </c>
      <c r="L335">
        <v>0</v>
      </c>
      <c r="M335">
        <v>0</v>
      </c>
      <c r="N335">
        <v>0</v>
      </c>
    </row>
    <row r="336" spans="1:16">
      <c r="A336" t="s">
        <v>786</v>
      </c>
      <c r="B336" t="s">
        <v>789</v>
      </c>
      <c r="C336">
        <v>0</v>
      </c>
      <c r="D336">
        <v>0</v>
      </c>
      <c r="E336">
        <v>0</v>
      </c>
      <c r="F336">
        <v>0</v>
      </c>
      <c r="H336">
        <v>0</v>
      </c>
      <c r="I336">
        <v>0</v>
      </c>
      <c r="J336">
        <v>0</v>
      </c>
      <c r="K336">
        <v>0</v>
      </c>
      <c r="L336">
        <v>0</v>
      </c>
      <c r="M336">
        <v>0</v>
      </c>
      <c r="N336">
        <v>0</v>
      </c>
    </row>
    <row r="337" spans="1:26">
      <c r="A337" t="s">
        <v>736</v>
      </c>
      <c r="B337" t="s">
        <v>790</v>
      </c>
      <c r="C337">
        <v>0</v>
      </c>
      <c r="D337">
        <v>0</v>
      </c>
      <c r="E337">
        <v>0</v>
      </c>
      <c r="F337">
        <v>0</v>
      </c>
      <c r="H337">
        <v>53</v>
      </c>
      <c r="I337">
        <v>4</v>
      </c>
      <c r="J337">
        <v>53.5</v>
      </c>
      <c r="K337">
        <v>53.5</v>
      </c>
      <c r="L337">
        <v>0</v>
      </c>
      <c r="M337">
        <v>53</v>
      </c>
      <c r="N337">
        <v>4</v>
      </c>
    </row>
    <row r="338" spans="1:26">
      <c r="A338" t="s">
        <v>736</v>
      </c>
      <c r="B338" t="s">
        <v>791</v>
      </c>
      <c r="C338">
        <v>0</v>
      </c>
      <c r="D338">
        <v>0</v>
      </c>
      <c r="E338">
        <v>0</v>
      </c>
      <c r="F338">
        <v>0</v>
      </c>
      <c r="H338">
        <v>166</v>
      </c>
      <c r="I338">
        <v>10.5</v>
      </c>
      <c r="J338">
        <v>167.31</v>
      </c>
      <c r="K338">
        <v>167.31</v>
      </c>
      <c r="L338">
        <v>0</v>
      </c>
      <c r="M338">
        <v>167</v>
      </c>
      <c r="N338">
        <v>2.5</v>
      </c>
      <c r="O338">
        <v>115</v>
      </c>
      <c r="P338">
        <v>3</v>
      </c>
      <c r="Q338">
        <v>6</v>
      </c>
      <c r="R338">
        <v>6</v>
      </c>
      <c r="S338">
        <v>12</v>
      </c>
      <c r="T338">
        <v>0</v>
      </c>
      <c r="U338">
        <v>12</v>
      </c>
      <c r="V338">
        <v>0</v>
      </c>
      <c r="W338">
        <v>10</v>
      </c>
      <c r="X338">
        <v>0</v>
      </c>
      <c r="Y338">
        <v>11</v>
      </c>
      <c r="Z338">
        <v>1.5</v>
      </c>
    </row>
    <row r="339" spans="1:26">
      <c r="A339" t="s">
        <v>736</v>
      </c>
      <c r="B339" t="s">
        <v>792</v>
      </c>
      <c r="C339">
        <v>0</v>
      </c>
      <c r="D339">
        <v>0</v>
      </c>
      <c r="E339">
        <v>0</v>
      </c>
      <c r="F339">
        <v>0</v>
      </c>
      <c r="H339">
        <v>8</v>
      </c>
      <c r="I339">
        <v>5</v>
      </c>
      <c r="J339">
        <v>8.6199999999999992</v>
      </c>
      <c r="K339">
        <v>8.6199999999999992</v>
      </c>
      <c r="L339">
        <v>0</v>
      </c>
      <c r="M339">
        <v>8</v>
      </c>
      <c r="N339">
        <v>5</v>
      </c>
    </row>
    <row r="340" spans="1:26">
      <c r="A340" t="s">
        <v>736</v>
      </c>
      <c r="B340" t="s">
        <v>793</v>
      </c>
      <c r="C340">
        <v>0</v>
      </c>
      <c r="D340">
        <v>0</v>
      </c>
      <c r="E340">
        <v>0</v>
      </c>
      <c r="F340">
        <v>0</v>
      </c>
      <c r="H340">
        <v>18</v>
      </c>
      <c r="I340">
        <v>2</v>
      </c>
      <c r="J340">
        <v>18.25</v>
      </c>
      <c r="K340">
        <v>229.44</v>
      </c>
      <c r="L340">
        <v>-211.19</v>
      </c>
      <c r="M340">
        <v>229</v>
      </c>
      <c r="N340">
        <v>3.5</v>
      </c>
      <c r="O340">
        <v>18</v>
      </c>
      <c r="P340">
        <v>2</v>
      </c>
    </row>
    <row r="341" spans="1:26">
      <c r="A341" t="s">
        <v>736</v>
      </c>
      <c r="B341" t="s">
        <v>794</v>
      </c>
      <c r="C341">
        <v>0</v>
      </c>
      <c r="D341">
        <v>0</v>
      </c>
      <c r="E341">
        <v>0</v>
      </c>
      <c r="F341">
        <v>0</v>
      </c>
      <c r="H341">
        <v>0</v>
      </c>
      <c r="I341">
        <v>4</v>
      </c>
      <c r="J341">
        <v>0.5</v>
      </c>
      <c r="K341">
        <v>0.5</v>
      </c>
      <c r="L341">
        <v>0</v>
      </c>
      <c r="M341">
        <v>0</v>
      </c>
      <c r="N341">
        <v>4</v>
      </c>
    </row>
    <row r="342" spans="1:26">
      <c r="A342" t="s">
        <v>736</v>
      </c>
      <c r="B342" t="s">
        <v>795</v>
      </c>
      <c r="C342">
        <v>0</v>
      </c>
      <c r="D342">
        <v>0</v>
      </c>
      <c r="E342">
        <v>0</v>
      </c>
      <c r="F342">
        <v>0</v>
      </c>
      <c r="H342">
        <v>28</v>
      </c>
      <c r="I342">
        <v>3.5</v>
      </c>
      <c r="J342">
        <v>28.44</v>
      </c>
      <c r="K342">
        <v>28.44</v>
      </c>
      <c r="L342">
        <v>0</v>
      </c>
      <c r="M342">
        <v>28</v>
      </c>
      <c r="N342">
        <v>3.5</v>
      </c>
    </row>
    <row r="343" spans="1:26">
      <c r="A343" t="s">
        <v>736</v>
      </c>
      <c r="B343" t="s">
        <v>796</v>
      </c>
      <c r="C343">
        <v>0</v>
      </c>
      <c r="D343">
        <v>0</v>
      </c>
      <c r="E343">
        <v>0</v>
      </c>
      <c r="F343">
        <v>0</v>
      </c>
      <c r="G343" t="s">
        <v>612</v>
      </c>
      <c r="H343">
        <v>174</v>
      </c>
      <c r="I343">
        <v>1</v>
      </c>
      <c r="J343">
        <v>174.12</v>
      </c>
      <c r="K343">
        <v>174.12</v>
      </c>
      <c r="L343">
        <v>0</v>
      </c>
      <c r="M343">
        <v>174</v>
      </c>
      <c r="N343">
        <v>1</v>
      </c>
    </row>
    <row r="344" spans="1:26">
      <c r="A344" t="s">
        <v>736</v>
      </c>
      <c r="B344" t="s">
        <v>797</v>
      </c>
      <c r="C344">
        <v>2.65</v>
      </c>
      <c r="D344">
        <v>2</v>
      </c>
      <c r="E344">
        <v>13</v>
      </c>
      <c r="F344">
        <v>0</v>
      </c>
      <c r="H344">
        <v>8</v>
      </c>
      <c r="I344">
        <v>5</v>
      </c>
      <c r="J344">
        <v>8.6199999999999992</v>
      </c>
      <c r="K344">
        <v>8.6199999999999992</v>
      </c>
      <c r="L344">
        <v>0</v>
      </c>
      <c r="M344">
        <v>8</v>
      </c>
      <c r="N344">
        <v>5</v>
      </c>
    </row>
    <row r="345" spans="1:26">
      <c r="A345" t="s">
        <v>736</v>
      </c>
      <c r="B345" t="s">
        <v>784</v>
      </c>
      <c r="C345">
        <v>0</v>
      </c>
      <c r="D345">
        <v>0</v>
      </c>
      <c r="E345">
        <v>0</v>
      </c>
      <c r="F345">
        <v>0</v>
      </c>
      <c r="H345">
        <v>0</v>
      </c>
      <c r="I345">
        <v>0</v>
      </c>
      <c r="J345">
        <v>0</v>
      </c>
      <c r="K345">
        <v>0</v>
      </c>
      <c r="L345">
        <v>0</v>
      </c>
      <c r="M345">
        <v>0</v>
      </c>
      <c r="N345">
        <v>0</v>
      </c>
    </row>
    <row r="346" spans="1:26">
      <c r="A346" t="s">
        <v>736</v>
      </c>
      <c r="B346" t="s">
        <v>785</v>
      </c>
      <c r="C346">
        <v>0</v>
      </c>
      <c r="D346">
        <v>0</v>
      </c>
      <c r="E346">
        <v>0</v>
      </c>
      <c r="F346">
        <v>0</v>
      </c>
      <c r="H346">
        <v>0</v>
      </c>
      <c r="I346">
        <v>0</v>
      </c>
      <c r="J346">
        <v>0</v>
      </c>
      <c r="K346">
        <v>0</v>
      </c>
      <c r="L346">
        <v>0</v>
      </c>
      <c r="M346">
        <v>0</v>
      </c>
      <c r="N346">
        <v>0</v>
      </c>
    </row>
    <row r="347" spans="1:26">
      <c r="A347" t="s">
        <v>798</v>
      </c>
      <c r="B347" t="s">
        <v>799</v>
      </c>
      <c r="C347">
        <v>0</v>
      </c>
      <c r="D347">
        <v>0</v>
      </c>
      <c r="E347">
        <v>0</v>
      </c>
      <c r="F347">
        <v>0</v>
      </c>
      <c r="H347">
        <v>6</v>
      </c>
      <c r="I347">
        <v>0</v>
      </c>
      <c r="J347">
        <v>6</v>
      </c>
      <c r="K347">
        <v>6</v>
      </c>
      <c r="L347">
        <v>0</v>
      </c>
      <c r="M347">
        <v>6</v>
      </c>
      <c r="N347">
        <v>0</v>
      </c>
    </row>
    <row r="348" spans="1:26">
      <c r="A348" t="s">
        <v>798</v>
      </c>
      <c r="B348" t="s">
        <v>800</v>
      </c>
      <c r="C348">
        <v>0</v>
      </c>
      <c r="D348">
        <v>0</v>
      </c>
      <c r="E348">
        <v>0</v>
      </c>
      <c r="F348">
        <v>0</v>
      </c>
      <c r="H348">
        <v>1</v>
      </c>
      <c r="I348">
        <v>4</v>
      </c>
      <c r="J348">
        <v>1.5</v>
      </c>
      <c r="K348">
        <v>1.5</v>
      </c>
      <c r="L348">
        <v>0</v>
      </c>
      <c r="M348">
        <v>1</v>
      </c>
      <c r="N348">
        <v>4</v>
      </c>
    </row>
    <row r="349" spans="1:26">
      <c r="A349" t="s">
        <v>798</v>
      </c>
      <c r="B349" t="s">
        <v>801</v>
      </c>
      <c r="C349">
        <v>0</v>
      </c>
      <c r="D349">
        <v>0</v>
      </c>
      <c r="E349">
        <v>0</v>
      </c>
      <c r="F349">
        <v>0</v>
      </c>
      <c r="H349">
        <v>7</v>
      </c>
      <c r="I349">
        <v>4</v>
      </c>
      <c r="J349">
        <v>7.5</v>
      </c>
      <c r="K349">
        <v>7.5</v>
      </c>
      <c r="L349">
        <v>0</v>
      </c>
      <c r="M349">
        <v>7</v>
      </c>
      <c r="N349">
        <v>4</v>
      </c>
    </row>
    <row r="350" spans="1:26">
      <c r="A350" t="s">
        <v>798</v>
      </c>
      <c r="B350" t="s">
        <v>802</v>
      </c>
      <c r="C350">
        <v>0</v>
      </c>
      <c r="D350">
        <v>0</v>
      </c>
      <c r="E350">
        <v>0</v>
      </c>
      <c r="F350">
        <v>0</v>
      </c>
      <c r="H350">
        <v>1</v>
      </c>
      <c r="I350">
        <v>4</v>
      </c>
      <c r="J350">
        <v>1.5</v>
      </c>
      <c r="K350">
        <v>1.5</v>
      </c>
      <c r="L350">
        <v>0</v>
      </c>
      <c r="M350">
        <v>1</v>
      </c>
      <c r="N350">
        <v>4</v>
      </c>
    </row>
    <row r="351" spans="1:26">
      <c r="A351" t="s">
        <v>798</v>
      </c>
      <c r="B351" t="s">
        <v>776</v>
      </c>
      <c r="C351">
        <v>0</v>
      </c>
      <c r="D351">
        <v>0</v>
      </c>
      <c r="E351">
        <v>0</v>
      </c>
      <c r="F351">
        <v>0</v>
      </c>
      <c r="H351">
        <v>0</v>
      </c>
      <c r="I351">
        <v>2</v>
      </c>
      <c r="J351">
        <v>0.25</v>
      </c>
      <c r="K351">
        <v>0.25</v>
      </c>
      <c r="L351">
        <v>0</v>
      </c>
      <c r="M351">
        <v>0</v>
      </c>
      <c r="N351">
        <v>2</v>
      </c>
    </row>
    <row r="352" spans="1:26">
      <c r="A352" t="s">
        <v>798</v>
      </c>
      <c r="B352" t="s">
        <v>803</v>
      </c>
      <c r="C352">
        <v>0</v>
      </c>
      <c r="D352">
        <v>0</v>
      </c>
      <c r="E352">
        <v>0</v>
      </c>
      <c r="F352">
        <v>0</v>
      </c>
      <c r="H352">
        <v>6</v>
      </c>
      <c r="I352">
        <v>0</v>
      </c>
      <c r="J352">
        <v>6</v>
      </c>
      <c r="K352">
        <v>6</v>
      </c>
      <c r="L352">
        <v>0</v>
      </c>
      <c r="M352">
        <v>6</v>
      </c>
      <c r="N352">
        <v>0</v>
      </c>
    </row>
    <row r="353" spans="1:16">
      <c r="A353" t="s">
        <v>798</v>
      </c>
      <c r="B353" t="s">
        <v>784</v>
      </c>
      <c r="C353">
        <v>0</v>
      </c>
      <c r="D353">
        <v>0</v>
      </c>
      <c r="E353">
        <v>0</v>
      </c>
      <c r="F353">
        <v>0</v>
      </c>
      <c r="H353">
        <v>0</v>
      </c>
      <c r="I353">
        <v>0</v>
      </c>
      <c r="J353">
        <v>0</v>
      </c>
      <c r="K353">
        <v>0</v>
      </c>
      <c r="L353">
        <v>0</v>
      </c>
      <c r="M353">
        <v>0</v>
      </c>
      <c r="N353">
        <v>0</v>
      </c>
    </row>
    <row r="354" spans="1:16">
      <c r="A354" t="s">
        <v>798</v>
      </c>
      <c r="B354" t="s">
        <v>785</v>
      </c>
      <c r="C354">
        <v>0</v>
      </c>
      <c r="D354">
        <v>0</v>
      </c>
      <c r="E354">
        <v>0</v>
      </c>
      <c r="F354">
        <v>0</v>
      </c>
      <c r="H354">
        <v>0</v>
      </c>
      <c r="I354">
        <v>0</v>
      </c>
      <c r="J354">
        <v>0</v>
      </c>
      <c r="K354">
        <v>0</v>
      </c>
      <c r="L354">
        <v>0</v>
      </c>
      <c r="M354">
        <v>0</v>
      </c>
      <c r="N354">
        <v>0</v>
      </c>
    </row>
    <row r="355" spans="1:16">
      <c r="A355" t="s">
        <v>654</v>
      </c>
      <c r="B355" t="s">
        <v>804</v>
      </c>
      <c r="C355">
        <v>0</v>
      </c>
      <c r="D355">
        <v>0</v>
      </c>
      <c r="E355">
        <v>0</v>
      </c>
      <c r="F355">
        <v>0</v>
      </c>
      <c r="H355">
        <v>6</v>
      </c>
      <c r="I355">
        <v>7</v>
      </c>
      <c r="J355">
        <v>6.88</v>
      </c>
      <c r="K355">
        <v>33.380000000000003</v>
      </c>
      <c r="L355">
        <v>-26.5</v>
      </c>
      <c r="M355">
        <v>33</v>
      </c>
      <c r="N355">
        <v>3</v>
      </c>
      <c r="O355">
        <v>6</v>
      </c>
      <c r="P355">
        <v>7</v>
      </c>
    </row>
    <row r="356" spans="1:16">
      <c r="A356" t="s">
        <v>654</v>
      </c>
      <c r="B356" t="s">
        <v>805</v>
      </c>
      <c r="C356">
        <v>0</v>
      </c>
      <c r="D356">
        <v>0</v>
      </c>
      <c r="E356">
        <v>0</v>
      </c>
      <c r="F356">
        <v>0</v>
      </c>
      <c r="H356">
        <v>6</v>
      </c>
      <c r="I356">
        <v>6</v>
      </c>
      <c r="J356">
        <v>6.75</v>
      </c>
      <c r="K356">
        <v>6.75</v>
      </c>
      <c r="L356">
        <v>0</v>
      </c>
      <c r="M356">
        <v>6</v>
      </c>
      <c r="N356">
        <v>6</v>
      </c>
    </row>
    <row r="357" spans="1:16">
      <c r="A357" t="s">
        <v>654</v>
      </c>
      <c r="B357" t="s">
        <v>806</v>
      </c>
      <c r="C357">
        <v>0</v>
      </c>
      <c r="D357">
        <v>0</v>
      </c>
      <c r="E357">
        <v>0</v>
      </c>
      <c r="F357">
        <v>0</v>
      </c>
      <c r="H357">
        <v>1</v>
      </c>
      <c r="I357">
        <v>1</v>
      </c>
      <c r="J357">
        <v>1.1200000000000001</v>
      </c>
      <c r="K357">
        <v>1.1200000000000001</v>
      </c>
      <c r="L357">
        <v>0</v>
      </c>
      <c r="M357">
        <v>1</v>
      </c>
      <c r="N357">
        <v>1</v>
      </c>
    </row>
    <row r="358" spans="1:16">
      <c r="A358" t="s">
        <v>654</v>
      </c>
      <c r="B358" t="s">
        <v>807</v>
      </c>
      <c r="C358">
        <v>0</v>
      </c>
      <c r="D358">
        <v>0</v>
      </c>
      <c r="E358">
        <v>0</v>
      </c>
      <c r="F358">
        <v>0</v>
      </c>
      <c r="H358">
        <v>4</v>
      </c>
      <c r="I358">
        <v>3</v>
      </c>
      <c r="J358">
        <v>4.38</v>
      </c>
      <c r="K358">
        <v>4.38</v>
      </c>
      <c r="L358">
        <v>0</v>
      </c>
      <c r="M358">
        <v>4</v>
      </c>
      <c r="N358">
        <v>3</v>
      </c>
    </row>
    <row r="359" spans="1:16">
      <c r="A359" t="s">
        <v>654</v>
      </c>
      <c r="B359" t="s">
        <v>808</v>
      </c>
      <c r="C359">
        <v>0</v>
      </c>
      <c r="D359">
        <v>0</v>
      </c>
      <c r="E359">
        <v>0</v>
      </c>
      <c r="F359">
        <v>0</v>
      </c>
      <c r="H359">
        <v>45</v>
      </c>
      <c r="I359">
        <v>5</v>
      </c>
      <c r="J359">
        <v>45.62</v>
      </c>
      <c r="K359">
        <v>45.62</v>
      </c>
      <c r="L359">
        <v>0</v>
      </c>
      <c r="M359">
        <v>45</v>
      </c>
      <c r="N359">
        <v>5</v>
      </c>
    </row>
    <row r="360" spans="1:16">
      <c r="A360" t="s">
        <v>654</v>
      </c>
      <c r="B360" t="s">
        <v>809</v>
      </c>
      <c r="C360">
        <v>0</v>
      </c>
      <c r="D360">
        <v>0</v>
      </c>
      <c r="E360">
        <v>0</v>
      </c>
      <c r="F360">
        <v>0</v>
      </c>
      <c r="H360">
        <v>17</v>
      </c>
      <c r="I360">
        <v>4</v>
      </c>
      <c r="J360">
        <v>17.5</v>
      </c>
      <c r="K360">
        <v>17.5</v>
      </c>
      <c r="L360">
        <v>0</v>
      </c>
      <c r="M360">
        <v>17</v>
      </c>
      <c r="N360">
        <v>4</v>
      </c>
    </row>
    <row r="361" spans="1:16">
      <c r="A361" t="s">
        <v>654</v>
      </c>
      <c r="B361" t="s">
        <v>794</v>
      </c>
      <c r="C361">
        <v>0</v>
      </c>
      <c r="D361">
        <v>0</v>
      </c>
      <c r="E361">
        <v>0</v>
      </c>
      <c r="F361">
        <v>0</v>
      </c>
      <c r="H361">
        <v>0</v>
      </c>
      <c r="I361">
        <v>4</v>
      </c>
      <c r="J361">
        <v>0.5</v>
      </c>
      <c r="K361">
        <v>0.5</v>
      </c>
      <c r="L361">
        <v>0</v>
      </c>
      <c r="M361">
        <v>0</v>
      </c>
      <c r="N361">
        <v>4</v>
      </c>
    </row>
    <row r="362" spans="1:16">
      <c r="A362" t="s">
        <v>654</v>
      </c>
      <c r="B362" t="s">
        <v>810</v>
      </c>
      <c r="C362">
        <v>0</v>
      </c>
      <c r="D362">
        <v>0</v>
      </c>
      <c r="E362">
        <v>0</v>
      </c>
      <c r="F362">
        <v>0</v>
      </c>
      <c r="H362">
        <v>4</v>
      </c>
      <c r="I362">
        <v>0</v>
      </c>
      <c r="J362">
        <v>4</v>
      </c>
      <c r="K362">
        <v>4</v>
      </c>
      <c r="L362">
        <v>0</v>
      </c>
      <c r="M362">
        <v>4</v>
      </c>
      <c r="N362">
        <v>0</v>
      </c>
    </row>
    <row r="363" spans="1:16">
      <c r="A363" t="s">
        <v>654</v>
      </c>
      <c r="B363" t="s">
        <v>811</v>
      </c>
      <c r="C363">
        <v>0</v>
      </c>
      <c r="D363">
        <v>0</v>
      </c>
      <c r="E363">
        <v>0</v>
      </c>
      <c r="F363">
        <v>0</v>
      </c>
      <c r="G363" t="s">
        <v>812</v>
      </c>
      <c r="H363">
        <v>3</v>
      </c>
      <c r="I363">
        <v>0</v>
      </c>
      <c r="J363">
        <v>3</v>
      </c>
      <c r="K363">
        <v>3</v>
      </c>
      <c r="L363">
        <v>0</v>
      </c>
      <c r="M363">
        <v>3</v>
      </c>
      <c r="N363">
        <v>0</v>
      </c>
    </row>
    <row r="364" spans="1:16">
      <c r="A364" t="s">
        <v>654</v>
      </c>
      <c r="B364" t="s">
        <v>813</v>
      </c>
      <c r="C364">
        <v>0</v>
      </c>
      <c r="D364">
        <v>0</v>
      </c>
      <c r="E364">
        <v>0</v>
      </c>
      <c r="F364">
        <v>0</v>
      </c>
      <c r="H364">
        <v>6</v>
      </c>
      <c r="I364">
        <v>0</v>
      </c>
      <c r="J364">
        <v>6</v>
      </c>
      <c r="K364">
        <v>6</v>
      </c>
      <c r="L364">
        <v>0</v>
      </c>
      <c r="M364">
        <v>6</v>
      </c>
      <c r="N364">
        <v>0</v>
      </c>
    </row>
    <row r="365" spans="1:16">
      <c r="A365" t="s">
        <v>654</v>
      </c>
      <c r="B365" t="s">
        <v>814</v>
      </c>
      <c r="C365">
        <v>0</v>
      </c>
      <c r="D365">
        <v>0</v>
      </c>
      <c r="E365">
        <v>0</v>
      </c>
      <c r="F365">
        <v>0</v>
      </c>
      <c r="H365">
        <v>0</v>
      </c>
      <c r="I365">
        <v>6</v>
      </c>
      <c r="J365">
        <v>0.75</v>
      </c>
      <c r="K365">
        <v>0.75</v>
      </c>
      <c r="L365">
        <v>0</v>
      </c>
      <c r="M365">
        <v>0</v>
      </c>
      <c r="N365">
        <v>6</v>
      </c>
    </row>
    <row r="366" spans="1:16">
      <c r="A366" t="s">
        <v>654</v>
      </c>
      <c r="B366" t="s">
        <v>815</v>
      </c>
      <c r="C366">
        <v>0</v>
      </c>
      <c r="D366">
        <v>0</v>
      </c>
      <c r="E366">
        <v>0</v>
      </c>
      <c r="F366">
        <v>0</v>
      </c>
      <c r="H366">
        <v>5</v>
      </c>
      <c r="I366">
        <v>0</v>
      </c>
      <c r="J366">
        <v>5</v>
      </c>
      <c r="K366">
        <v>5</v>
      </c>
      <c r="L366">
        <v>0</v>
      </c>
      <c r="M366">
        <v>5</v>
      </c>
      <c r="N366">
        <v>0</v>
      </c>
    </row>
    <row r="367" spans="1:16">
      <c r="A367" t="s">
        <v>654</v>
      </c>
      <c r="B367" t="s">
        <v>816</v>
      </c>
      <c r="C367">
        <v>1.39</v>
      </c>
      <c r="D367">
        <v>1</v>
      </c>
      <c r="E367">
        <v>7</v>
      </c>
      <c r="F367">
        <v>9</v>
      </c>
      <c r="H367">
        <v>9</v>
      </c>
      <c r="I367">
        <v>3</v>
      </c>
      <c r="J367">
        <v>9.3800000000000008</v>
      </c>
      <c r="K367">
        <v>9.3800000000000008</v>
      </c>
      <c r="L367">
        <v>0</v>
      </c>
      <c r="M367">
        <v>9</v>
      </c>
      <c r="N367">
        <v>3</v>
      </c>
    </row>
    <row r="368" spans="1:16">
      <c r="A368" t="s">
        <v>654</v>
      </c>
      <c r="B368" t="s">
        <v>784</v>
      </c>
      <c r="C368">
        <v>0</v>
      </c>
      <c r="D368">
        <v>0</v>
      </c>
      <c r="E368">
        <v>0</v>
      </c>
      <c r="F368">
        <v>0</v>
      </c>
      <c r="H368">
        <v>0</v>
      </c>
      <c r="I368">
        <v>0</v>
      </c>
      <c r="J368">
        <v>0</v>
      </c>
      <c r="K368">
        <v>0</v>
      </c>
      <c r="L368">
        <v>0</v>
      </c>
      <c r="M368">
        <v>0</v>
      </c>
      <c r="N368">
        <v>0</v>
      </c>
    </row>
    <row r="369" spans="1:16">
      <c r="A369" t="s">
        <v>654</v>
      </c>
      <c r="B369" t="s">
        <v>785</v>
      </c>
      <c r="C369">
        <v>0</v>
      </c>
      <c r="D369">
        <v>0</v>
      </c>
      <c r="E369">
        <v>0</v>
      </c>
      <c r="F369">
        <v>0</v>
      </c>
      <c r="H369">
        <v>0</v>
      </c>
      <c r="I369">
        <v>0</v>
      </c>
      <c r="J369">
        <v>0</v>
      </c>
      <c r="K369">
        <v>0</v>
      </c>
      <c r="L369">
        <v>0</v>
      </c>
      <c r="M369">
        <v>0</v>
      </c>
      <c r="N369">
        <v>0</v>
      </c>
    </row>
    <row r="370" spans="1:16">
      <c r="A370" t="s">
        <v>817</v>
      </c>
      <c r="B370" t="s">
        <v>818</v>
      </c>
      <c r="C370">
        <v>0</v>
      </c>
      <c r="D370">
        <v>0</v>
      </c>
      <c r="E370">
        <v>0</v>
      </c>
      <c r="F370">
        <v>0</v>
      </c>
      <c r="G370" t="s">
        <v>819</v>
      </c>
      <c r="H370">
        <v>28</v>
      </c>
      <c r="I370">
        <v>3.5</v>
      </c>
      <c r="J370">
        <v>28.44</v>
      </c>
      <c r="K370">
        <v>1.5</v>
      </c>
      <c r="L370">
        <v>26.94</v>
      </c>
      <c r="M370">
        <v>1</v>
      </c>
      <c r="N370">
        <v>4</v>
      </c>
      <c r="O370">
        <v>28</v>
      </c>
      <c r="P370">
        <v>3.5</v>
      </c>
    </row>
    <row r="371" spans="1:16">
      <c r="A371" t="s">
        <v>817</v>
      </c>
      <c r="B371" t="s">
        <v>820</v>
      </c>
      <c r="C371">
        <v>0</v>
      </c>
      <c r="D371">
        <v>0</v>
      </c>
      <c r="E371">
        <v>0</v>
      </c>
      <c r="F371">
        <v>0</v>
      </c>
      <c r="H371">
        <v>29</v>
      </c>
      <c r="I371">
        <v>7.5</v>
      </c>
      <c r="J371">
        <v>29.94</v>
      </c>
      <c r="K371">
        <v>29.94</v>
      </c>
      <c r="L371">
        <v>0</v>
      </c>
      <c r="M371">
        <v>29</v>
      </c>
      <c r="N371">
        <v>7.5</v>
      </c>
    </row>
    <row r="372" spans="1:16">
      <c r="A372" t="s">
        <v>817</v>
      </c>
      <c r="B372" t="s">
        <v>821</v>
      </c>
      <c r="C372">
        <v>0</v>
      </c>
      <c r="D372">
        <v>0</v>
      </c>
      <c r="E372">
        <v>0</v>
      </c>
      <c r="F372">
        <v>0</v>
      </c>
      <c r="H372">
        <v>25</v>
      </c>
      <c r="I372">
        <v>7.5</v>
      </c>
      <c r="J372">
        <v>25.94</v>
      </c>
      <c r="K372">
        <v>25.94</v>
      </c>
      <c r="L372">
        <v>0</v>
      </c>
      <c r="M372">
        <v>25</v>
      </c>
      <c r="N372">
        <v>7.5</v>
      </c>
    </row>
    <row r="373" spans="1:16">
      <c r="A373" t="s">
        <v>817</v>
      </c>
      <c r="B373" t="s">
        <v>822</v>
      </c>
      <c r="C373">
        <v>0</v>
      </c>
      <c r="D373">
        <v>0</v>
      </c>
      <c r="E373">
        <v>0</v>
      </c>
      <c r="F373">
        <v>0</v>
      </c>
      <c r="H373">
        <v>3</v>
      </c>
      <c r="I373">
        <v>2</v>
      </c>
      <c r="J373">
        <v>3.25</v>
      </c>
      <c r="K373">
        <v>3.25</v>
      </c>
      <c r="L373">
        <v>0</v>
      </c>
      <c r="M373">
        <v>3</v>
      </c>
      <c r="N373">
        <v>2</v>
      </c>
    </row>
    <row r="374" spans="1:16">
      <c r="A374" t="s">
        <v>817</v>
      </c>
      <c r="B374" t="s">
        <v>823</v>
      </c>
      <c r="C374">
        <v>0</v>
      </c>
      <c r="D374">
        <v>0</v>
      </c>
      <c r="E374">
        <v>0</v>
      </c>
      <c r="F374">
        <v>0</v>
      </c>
      <c r="H374">
        <v>0</v>
      </c>
      <c r="I374">
        <v>6</v>
      </c>
      <c r="J374">
        <v>0.75</v>
      </c>
      <c r="K374">
        <v>0.75</v>
      </c>
      <c r="L374">
        <v>0</v>
      </c>
      <c r="M374">
        <v>0</v>
      </c>
      <c r="N374">
        <v>6</v>
      </c>
    </row>
    <row r="375" spans="1:16">
      <c r="A375" t="s">
        <v>817</v>
      </c>
      <c r="B375" t="s">
        <v>824</v>
      </c>
      <c r="C375">
        <v>0</v>
      </c>
      <c r="D375">
        <v>0</v>
      </c>
      <c r="E375">
        <v>0</v>
      </c>
      <c r="F375">
        <v>0</v>
      </c>
      <c r="H375">
        <v>0</v>
      </c>
      <c r="I375">
        <v>0</v>
      </c>
      <c r="J375">
        <v>0</v>
      </c>
      <c r="K375">
        <v>0</v>
      </c>
      <c r="L375">
        <v>0</v>
      </c>
      <c r="M375">
        <v>0</v>
      </c>
      <c r="N375">
        <v>0</v>
      </c>
    </row>
    <row r="376" spans="1:16">
      <c r="A376" t="s">
        <v>817</v>
      </c>
      <c r="B376" t="s">
        <v>784</v>
      </c>
      <c r="C376">
        <v>0</v>
      </c>
      <c r="D376">
        <v>0</v>
      </c>
      <c r="E376">
        <v>0</v>
      </c>
      <c r="F376">
        <v>0</v>
      </c>
      <c r="H376">
        <v>0</v>
      </c>
      <c r="I376">
        <v>0</v>
      </c>
      <c r="J376">
        <v>0</v>
      </c>
      <c r="K376">
        <v>0</v>
      </c>
      <c r="L376">
        <v>0</v>
      </c>
      <c r="M376">
        <v>0</v>
      </c>
      <c r="N376">
        <v>0</v>
      </c>
    </row>
    <row r="377" spans="1:16">
      <c r="A377" t="s">
        <v>817</v>
      </c>
      <c r="B377" t="s">
        <v>785</v>
      </c>
      <c r="C377">
        <v>0</v>
      </c>
      <c r="D377">
        <v>0</v>
      </c>
      <c r="E377">
        <v>0</v>
      </c>
      <c r="F377">
        <v>0</v>
      </c>
      <c r="H377">
        <v>0</v>
      </c>
      <c r="I377">
        <v>0</v>
      </c>
      <c r="J377">
        <v>0</v>
      </c>
      <c r="K377">
        <v>0</v>
      </c>
      <c r="L377">
        <v>0</v>
      </c>
      <c r="M377">
        <v>0</v>
      </c>
      <c r="N377">
        <v>0</v>
      </c>
    </row>
    <row r="378" spans="1:16">
      <c r="A378" t="s">
        <v>612</v>
      </c>
      <c r="B378" t="s">
        <v>825</v>
      </c>
      <c r="C378">
        <v>0</v>
      </c>
      <c r="D378">
        <v>0</v>
      </c>
      <c r="E378">
        <v>0</v>
      </c>
      <c r="F378">
        <v>0</v>
      </c>
      <c r="G378" t="s">
        <v>651</v>
      </c>
      <c r="H378">
        <v>174</v>
      </c>
      <c r="I378">
        <v>1</v>
      </c>
      <c r="J378">
        <v>174.12</v>
      </c>
      <c r="K378">
        <v>174.12</v>
      </c>
      <c r="L378">
        <v>0</v>
      </c>
      <c r="M378">
        <v>174</v>
      </c>
      <c r="N378">
        <v>1</v>
      </c>
    </row>
    <row r="379" spans="1:16">
      <c r="A379" t="s">
        <v>612</v>
      </c>
      <c r="B379" t="s">
        <v>826</v>
      </c>
      <c r="C379">
        <v>0</v>
      </c>
      <c r="D379">
        <v>0</v>
      </c>
      <c r="E379">
        <v>0</v>
      </c>
      <c r="F379">
        <v>0</v>
      </c>
      <c r="H379">
        <v>174</v>
      </c>
      <c r="I379">
        <v>1</v>
      </c>
      <c r="J379">
        <v>174.12</v>
      </c>
      <c r="K379">
        <v>174.12</v>
      </c>
      <c r="L379">
        <v>0</v>
      </c>
      <c r="M379">
        <v>174</v>
      </c>
      <c r="N379">
        <v>1</v>
      </c>
    </row>
    <row r="380" spans="1:16">
      <c r="A380" t="s">
        <v>612</v>
      </c>
      <c r="B380" t="s">
        <v>827</v>
      </c>
      <c r="C380">
        <v>0</v>
      </c>
      <c r="D380">
        <v>0</v>
      </c>
      <c r="E380">
        <v>0</v>
      </c>
      <c r="F380">
        <v>0</v>
      </c>
      <c r="G380" t="s">
        <v>612</v>
      </c>
      <c r="H380">
        <v>174</v>
      </c>
      <c r="I380">
        <v>1</v>
      </c>
      <c r="J380">
        <v>174.12</v>
      </c>
      <c r="K380">
        <v>174</v>
      </c>
      <c r="L380">
        <v>0.12</v>
      </c>
      <c r="M380">
        <v>174</v>
      </c>
      <c r="N380">
        <v>0</v>
      </c>
      <c r="O380">
        <v>0</v>
      </c>
      <c r="P380">
        <v>1</v>
      </c>
    </row>
    <row r="381" spans="1:16">
      <c r="A381" t="s">
        <v>828</v>
      </c>
      <c r="B381" t="s">
        <v>829</v>
      </c>
      <c r="C381">
        <v>0</v>
      </c>
      <c r="D381">
        <v>0</v>
      </c>
      <c r="E381">
        <v>0</v>
      </c>
      <c r="F381">
        <v>0</v>
      </c>
      <c r="H381">
        <v>0</v>
      </c>
      <c r="I381">
        <v>0</v>
      </c>
      <c r="J381">
        <v>0</v>
      </c>
      <c r="K381">
        <v>0</v>
      </c>
      <c r="L381">
        <v>0</v>
      </c>
      <c r="M381">
        <v>0</v>
      </c>
      <c r="N381">
        <v>0</v>
      </c>
    </row>
    <row r="382" spans="1:16">
      <c r="A382" t="s">
        <v>828</v>
      </c>
      <c r="B382" t="s">
        <v>830</v>
      </c>
      <c r="C382">
        <v>0</v>
      </c>
      <c r="D382">
        <v>0</v>
      </c>
      <c r="E382">
        <v>0</v>
      </c>
      <c r="F382">
        <v>0</v>
      </c>
      <c r="H382">
        <v>0</v>
      </c>
      <c r="I382">
        <v>0</v>
      </c>
      <c r="J382">
        <v>0</v>
      </c>
      <c r="K382">
        <v>0</v>
      </c>
      <c r="L382">
        <v>0</v>
      </c>
      <c r="M382">
        <v>0</v>
      </c>
      <c r="N382">
        <v>0</v>
      </c>
    </row>
    <row r="383" spans="1:16">
      <c r="A383" t="s">
        <v>828</v>
      </c>
      <c r="B383" t="s">
        <v>831</v>
      </c>
      <c r="C383">
        <v>0</v>
      </c>
      <c r="D383">
        <v>0</v>
      </c>
      <c r="E383">
        <v>0</v>
      </c>
      <c r="F383">
        <v>0</v>
      </c>
      <c r="H383">
        <v>0</v>
      </c>
      <c r="I383">
        <v>0</v>
      </c>
      <c r="J383">
        <v>0</v>
      </c>
      <c r="K383">
        <v>0</v>
      </c>
      <c r="L383">
        <v>0</v>
      </c>
      <c r="M383">
        <v>0</v>
      </c>
      <c r="N383">
        <v>0</v>
      </c>
    </row>
    <row r="384" spans="1:16">
      <c r="A384" t="s">
        <v>828</v>
      </c>
      <c r="B384" t="s">
        <v>832</v>
      </c>
      <c r="C384">
        <v>0</v>
      </c>
      <c r="D384">
        <v>0</v>
      </c>
      <c r="E384">
        <v>0</v>
      </c>
      <c r="F384">
        <v>0</v>
      </c>
      <c r="H384">
        <v>0</v>
      </c>
      <c r="I384">
        <v>0</v>
      </c>
      <c r="J384">
        <v>0</v>
      </c>
      <c r="K384">
        <v>0</v>
      </c>
      <c r="L384">
        <v>0</v>
      </c>
      <c r="M384">
        <v>0</v>
      </c>
      <c r="N384">
        <v>0</v>
      </c>
    </row>
    <row r="385" spans="1:14">
      <c r="A385" t="s">
        <v>828</v>
      </c>
      <c r="B385" t="s">
        <v>833</v>
      </c>
      <c r="C385">
        <v>0</v>
      </c>
      <c r="D385">
        <v>0</v>
      </c>
      <c r="E385">
        <v>0</v>
      </c>
      <c r="F385">
        <v>0</v>
      </c>
      <c r="H385">
        <v>0</v>
      </c>
      <c r="I385">
        <v>0</v>
      </c>
      <c r="J385">
        <v>0</v>
      </c>
      <c r="K385">
        <v>0</v>
      </c>
      <c r="L385">
        <v>0</v>
      </c>
      <c r="M385">
        <v>0</v>
      </c>
      <c r="N385">
        <v>0</v>
      </c>
    </row>
    <row r="386" spans="1:14">
      <c r="A386" t="s">
        <v>828</v>
      </c>
      <c r="B386" t="s">
        <v>834</v>
      </c>
      <c r="C386">
        <v>0</v>
      </c>
      <c r="D386">
        <v>0</v>
      </c>
      <c r="E386">
        <v>0</v>
      </c>
      <c r="F386">
        <v>0</v>
      </c>
      <c r="H386">
        <v>0</v>
      </c>
      <c r="I386">
        <v>0</v>
      </c>
      <c r="J386">
        <v>0</v>
      </c>
      <c r="K386">
        <v>0</v>
      </c>
      <c r="L386">
        <v>0</v>
      </c>
      <c r="M386">
        <v>0</v>
      </c>
      <c r="N386">
        <v>0</v>
      </c>
    </row>
    <row r="387" spans="1:14">
      <c r="A387" t="s">
        <v>828</v>
      </c>
      <c r="B387" t="s">
        <v>835</v>
      </c>
      <c r="C387">
        <v>0</v>
      </c>
      <c r="D387">
        <v>0</v>
      </c>
      <c r="E387">
        <v>0</v>
      </c>
      <c r="F387">
        <v>0</v>
      </c>
      <c r="H387">
        <v>0</v>
      </c>
      <c r="I387">
        <v>0</v>
      </c>
      <c r="J387">
        <v>0</v>
      </c>
      <c r="K387">
        <v>0</v>
      </c>
      <c r="L387">
        <v>0</v>
      </c>
      <c r="M387">
        <v>0</v>
      </c>
      <c r="N387">
        <v>0</v>
      </c>
    </row>
    <row r="388" spans="1:14">
      <c r="A388" t="s">
        <v>828</v>
      </c>
      <c r="B388" t="s">
        <v>836</v>
      </c>
      <c r="C388">
        <v>0</v>
      </c>
      <c r="D388">
        <v>0</v>
      </c>
      <c r="E388">
        <v>0</v>
      </c>
      <c r="F388">
        <v>0</v>
      </c>
      <c r="H388">
        <v>0</v>
      </c>
      <c r="I388">
        <v>0</v>
      </c>
      <c r="J388">
        <v>0</v>
      </c>
      <c r="K388">
        <v>0</v>
      </c>
      <c r="L388">
        <v>0</v>
      </c>
      <c r="M388">
        <v>0</v>
      </c>
      <c r="N388">
        <v>0</v>
      </c>
    </row>
    <row r="389" spans="1:14">
      <c r="A389" t="s">
        <v>828</v>
      </c>
      <c r="B389" t="s">
        <v>837</v>
      </c>
      <c r="C389">
        <v>0</v>
      </c>
      <c r="D389">
        <v>0</v>
      </c>
      <c r="E389">
        <v>0</v>
      </c>
      <c r="F389">
        <v>0</v>
      </c>
      <c r="H389">
        <v>0</v>
      </c>
      <c r="I389">
        <v>0</v>
      </c>
      <c r="J389">
        <v>0</v>
      </c>
      <c r="K389">
        <v>0</v>
      </c>
      <c r="L389">
        <v>0</v>
      </c>
      <c r="M389">
        <v>0</v>
      </c>
      <c r="N389">
        <v>0</v>
      </c>
    </row>
    <row r="390" spans="1:14">
      <c r="A390" t="s">
        <v>828</v>
      </c>
      <c r="B390" t="s">
        <v>838</v>
      </c>
      <c r="C390">
        <v>0</v>
      </c>
      <c r="D390">
        <v>0</v>
      </c>
      <c r="E390">
        <v>0</v>
      </c>
      <c r="F390">
        <v>0</v>
      </c>
      <c r="H390">
        <v>0</v>
      </c>
      <c r="I390">
        <v>0</v>
      </c>
      <c r="J390">
        <v>0</v>
      </c>
      <c r="K390">
        <v>0</v>
      </c>
      <c r="L390">
        <v>0</v>
      </c>
      <c r="M390">
        <v>0</v>
      </c>
      <c r="N390">
        <v>0</v>
      </c>
    </row>
    <row r="391" spans="1:14">
      <c r="A391" t="s">
        <v>828</v>
      </c>
      <c r="B391" t="s">
        <v>839</v>
      </c>
      <c r="C391">
        <v>0</v>
      </c>
      <c r="D391">
        <v>0</v>
      </c>
      <c r="E391">
        <v>0</v>
      </c>
      <c r="F391">
        <v>0</v>
      </c>
      <c r="H391">
        <v>0</v>
      </c>
      <c r="I391">
        <v>0</v>
      </c>
      <c r="J391">
        <v>0</v>
      </c>
      <c r="K391">
        <v>0</v>
      </c>
      <c r="L391">
        <v>0</v>
      </c>
      <c r="M391">
        <v>0</v>
      </c>
      <c r="N391">
        <v>0</v>
      </c>
    </row>
    <row r="392" spans="1:14">
      <c r="A392" t="s">
        <v>828</v>
      </c>
      <c r="B392" t="s">
        <v>840</v>
      </c>
      <c r="C392">
        <v>0</v>
      </c>
      <c r="D392">
        <v>0</v>
      </c>
      <c r="E392">
        <v>0</v>
      </c>
      <c r="F392">
        <v>0</v>
      </c>
      <c r="H392">
        <v>0</v>
      </c>
      <c r="I392">
        <v>0</v>
      </c>
      <c r="J392">
        <v>0</v>
      </c>
      <c r="K392">
        <v>0</v>
      </c>
      <c r="L392">
        <v>0</v>
      </c>
      <c r="M392">
        <v>0</v>
      </c>
      <c r="N392">
        <v>0</v>
      </c>
    </row>
    <row r="393" spans="1:14">
      <c r="A393" t="s">
        <v>828</v>
      </c>
      <c r="B393" t="s">
        <v>833</v>
      </c>
      <c r="C393">
        <v>0</v>
      </c>
      <c r="D393">
        <v>0</v>
      </c>
      <c r="E393">
        <v>0</v>
      </c>
      <c r="F393">
        <v>0</v>
      </c>
      <c r="H393">
        <v>0</v>
      </c>
      <c r="I393">
        <v>0</v>
      </c>
      <c r="J393">
        <v>0</v>
      </c>
      <c r="K393">
        <v>0</v>
      </c>
      <c r="L393">
        <v>0</v>
      </c>
      <c r="M393">
        <v>0</v>
      </c>
      <c r="N393">
        <v>0</v>
      </c>
    </row>
    <row r="394" spans="1:14">
      <c r="A394" t="s">
        <v>828</v>
      </c>
      <c r="B394" t="s">
        <v>841</v>
      </c>
      <c r="C394">
        <v>0</v>
      </c>
      <c r="D394">
        <v>0</v>
      </c>
      <c r="E394">
        <v>0</v>
      </c>
      <c r="F394">
        <v>0</v>
      </c>
      <c r="H394">
        <v>0</v>
      </c>
      <c r="I394">
        <v>0</v>
      </c>
      <c r="J394">
        <v>0</v>
      </c>
      <c r="K394">
        <v>0</v>
      </c>
      <c r="L394">
        <v>0</v>
      </c>
      <c r="M394">
        <v>0</v>
      </c>
      <c r="N394">
        <v>0</v>
      </c>
    </row>
    <row r="395" spans="1:14">
      <c r="A395" t="s">
        <v>828</v>
      </c>
      <c r="B395" t="s">
        <v>842</v>
      </c>
      <c r="C395">
        <v>0</v>
      </c>
      <c r="D395">
        <v>0</v>
      </c>
      <c r="E395">
        <v>0</v>
      </c>
      <c r="F395">
        <v>0</v>
      </c>
      <c r="H395">
        <v>0</v>
      </c>
      <c r="I395">
        <v>0</v>
      </c>
      <c r="J395">
        <v>0</v>
      </c>
      <c r="K395">
        <v>0</v>
      </c>
      <c r="L395">
        <v>0</v>
      </c>
      <c r="M395">
        <v>0</v>
      </c>
      <c r="N395">
        <v>0</v>
      </c>
    </row>
    <row r="396" spans="1:14">
      <c r="A396" t="s">
        <v>828</v>
      </c>
      <c r="B396" t="s">
        <v>843</v>
      </c>
      <c r="C396">
        <v>0</v>
      </c>
      <c r="D396">
        <v>0</v>
      </c>
      <c r="E396">
        <v>0</v>
      </c>
      <c r="F396">
        <v>0</v>
      </c>
      <c r="H396">
        <v>0</v>
      </c>
      <c r="I396">
        <v>0</v>
      </c>
      <c r="J396">
        <v>0</v>
      </c>
      <c r="K396">
        <v>0</v>
      </c>
      <c r="L396">
        <v>0</v>
      </c>
      <c r="M396">
        <v>0</v>
      </c>
      <c r="N396">
        <v>0</v>
      </c>
    </row>
    <row r="397" spans="1:14">
      <c r="A397" t="s">
        <v>828</v>
      </c>
      <c r="B397" t="s">
        <v>844</v>
      </c>
      <c r="C397">
        <v>0</v>
      </c>
      <c r="D397">
        <v>0</v>
      </c>
      <c r="E397">
        <v>0</v>
      </c>
      <c r="F397">
        <v>0</v>
      </c>
      <c r="H397">
        <v>0</v>
      </c>
      <c r="I397">
        <v>0</v>
      </c>
      <c r="J397">
        <v>0</v>
      </c>
      <c r="K397">
        <v>0</v>
      </c>
      <c r="L397">
        <v>0</v>
      </c>
      <c r="M397">
        <v>0</v>
      </c>
      <c r="N397">
        <v>0</v>
      </c>
    </row>
    <row r="398" spans="1:14">
      <c r="A398" t="s">
        <v>828</v>
      </c>
      <c r="B398" t="s">
        <v>845</v>
      </c>
      <c r="C398">
        <v>0</v>
      </c>
      <c r="D398">
        <v>0</v>
      </c>
      <c r="E398">
        <v>0</v>
      </c>
      <c r="F398">
        <v>0</v>
      </c>
      <c r="H398">
        <v>0</v>
      </c>
      <c r="I398">
        <v>0</v>
      </c>
      <c r="J398">
        <v>0</v>
      </c>
      <c r="K398">
        <v>0</v>
      </c>
      <c r="L398">
        <v>0</v>
      </c>
      <c r="M398">
        <v>0</v>
      </c>
      <c r="N398">
        <v>0</v>
      </c>
    </row>
    <row r="399" spans="1:14">
      <c r="A399" t="s">
        <v>828</v>
      </c>
      <c r="B399" t="s">
        <v>846</v>
      </c>
      <c r="C399">
        <v>0</v>
      </c>
      <c r="D399">
        <v>0</v>
      </c>
      <c r="E399">
        <v>0</v>
      </c>
      <c r="F399">
        <v>0</v>
      </c>
      <c r="H399">
        <v>0</v>
      </c>
      <c r="I399">
        <v>0</v>
      </c>
      <c r="J399">
        <v>0</v>
      </c>
      <c r="K399">
        <v>0</v>
      </c>
      <c r="L399">
        <v>0</v>
      </c>
      <c r="M399">
        <v>0</v>
      </c>
      <c r="N399">
        <v>0</v>
      </c>
    </row>
    <row r="400" spans="1:14">
      <c r="A400" t="s">
        <v>828</v>
      </c>
      <c r="B400" t="s">
        <v>847</v>
      </c>
      <c r="C400">
        <v>0</v>
      </c>
      <c r="D400">
        <v>0</v>
      </c>
      <c r="E400">
        <v>0</v>
      </c>
      <c r="F400">
        <v>0</v>
      </c>
      <c r="H400">
        <v>0</v>
      </c>
      <c r="I400">
        <v>0</v>
      </c>
      <c r="J400">
        <v>0</v>
      </c>
      <c r="K400">
        <v>0</v>
      </c>
      <c r="L400">
        <v>0</v>
      </c>
      <c r="M400">
        <v>0</v>
      </c>
      <c r="N400">
        <v>0</v>
      </c>
    </row>
    <row r="401" spans="1:14">
      <c r="A401" t="s">
        <v>828</v>
      </c>
      <c r="B401" t="s">
        <v>848</v>
      </c>
      <c r="C401">
        <v>0</v>
      </c>
      <c r="D401">
        <v>0</v>
      </c>
      <c r="E401">
        <v>0</v>
      </c>
      <c r="F401">
        <v>0</v>
      </c>
      <c r="H401">
        <v>0</v>
      </c>
      <c r="I401">
        <v>0</v>
      </c>
      <c r="J401">
        <v>0</v>
      </c>
      <c r="K401">
        <v>0</v>
      </c>
      <c r="L401">
        <v>0</v>
      </c>
      <c r="M401">
        <v>0</v>
      </c>
      <c r="N401">
        <v>0</v>
      </c>
    </row>
    <row r="402" spans="1:14">
      <c r="A402" t="s">
        <v>828</v>
      </c>
      <c r="B402" t="s">
        <v>849</v>
      </c>
      <c r="C402">
        <v>0</v>
      </c>
      <c r="D402">
        <v>0</v>
      </c>
      <c r="E402">
        <v>0</v>
      </c>
      <c r="F402">
        <v>0</v>
      </c>
      <c r="H402">
        <v>0</v>
      </c>
      <c r="I402">
        <v>0</v>
      </c>
      <c r="J402">
        <v>0</v>
      </c>
      <c r="K402">
        <v>0</v>
      </c>
      <c r="L402">
        <v>0</v>
      </c>
      <c r="M402">
        <v>0</v>
      </c>
      <c r="N402">
        <v>0</v>
      </c>
    </row>
    <row r="403" spans="1:14">
      <c r="A403" t="s">
        <v>828</v>
      </c>
      <c r="B403" t="s">
        <v>850</v>
      </c>
      <c r="C403">
        <v>0</v>
      </c>
      <c r="D403">
        <v>0</v>
      </c>
      <c r="E403">
        <v>0</v>
      </c>
      <c r="F403">
        <v>0</v>
      </c>
      <c r="H403">
        <v>0</v>
      </c>
      <c r="I403">
        <v>0</v>
      </c>
      <c r="J403">
        <v>0</v>
      </c>
      <c r="K403">
        <v>0</v>
      </c>
      <c r="L403">
        <v>0</v>
      </c>
      <c r="M403">
        <v>0</v>
      </c>
      <c r="N403">
        <v>0</v>
      </c>
    </row>
    <row r="404" spans="1:14">
      <c r="A404" t="s">
        <v>828</v>
      </c>
      <c r="B404" t="s">
        <v>851</v>
      </c>
      <c r="C404">
        <v>0</v>
      </c>
      <c r="D404">
        <v>0</v>
      </c>
      <c r="E404">
        <v>0</v>
      </c>
      <c r="F404">
        <v>0</v>
      </c>
      <c r="H404">
        <v>0</v>
      </c>
      <c r="I404">
        <v>0</v>
      </c>
      <c r="J404">
        <v>0</v>
      </c>
      <c r="K404">
        <v>0</v>
      </c>
      <c r="L404">
        <v>0</v>
      </c>
      <c r="M404">
        <v>0</v>
      </c>
      <c r="N404">
        <v>0</v>
      </c>
    </row>
    <row r="405" spans="1:14">
      <c r="A405" t="s">
        <v>828</v>
      </c>
      <c r="B405" t="s">
        <v>852</v>
      </c>
      <c r="C405">
        <v>0</v>
      </c>
      <c r="D405">
        <v>0</v>
      </c>
      <c r="E405">
        <v>0</v>
      </c>
      <c r="F405">
        <v>0</v>
      </c>
      <c r="H405">
        <v>0</v>
      </c>
      <c r="I405">
        <v>0</v>
      </c>
      <c r="J405">
        <v>0</v>
      </c>
      <c r="K405">
        <v>0</v>
      </c>
      <c r="L405">
        <v>0</v>
      </c>
      <c r="M405">
        <v>0</v>
      </c>
      <c r="N405">
        <v>0</v>
      </c>
    </row>
    <row r="406" spans="1:14">
      <c r="A406" t="s">
        <v>828</v>
      </c>
      <c r="B406" t="s">
        <v>853</v>
      </c>
      <c r="C406">
        <v>0</v>
      </c>
      <c r="D406">
        <v>0</v>
      </c>
      <c r="E406">
        <v>0</v>
      </c>
      <c r="F406">
        <v>0</v>
      </c>
      <c r="H406">
        <v>0</v>
      </c>
      <c r="I406">
        <v>0</v>
      </c>
      <c r="J406">
        <v>0</v>
      </c>
      <c r="K406">
        <v>0</v>
      </c>
      <c r="L406">
        <v>0</v>
      </c>
      <c r="M406">
        <v>0</v>
      </c>
      <c r="N406">
        <v>0</v>
      </c>
    </row>
    <row r="407" spans="1:14">
      <c r="A407" t="s">
        <v>828</v>
      </c>
      <c r="B407" t="s">
        <v>854</v>
      </c>
      <c r="C407">
        <v>0</v>
      </c>
      <c r="D407">
        <v>0</v>
      </c>
      <c r="E407">
        <v>0</v>
      </c>
      <c r="F407">
        <v>0</v>
      </c>
      <c r="H407">
        <v>0</v>
      </c>
      <c r="I407">
        <v>0</v>
      </c>
      <c r="J407">
        <v>0</v>
      </c>
      <c r="K407">
        <v>0</v>
      </c>
      <c r="L407">
        <v>0</v>
      </c>
      <c r="M407">
        <v>0</v>
      </c>
      <c r="N407">
        <v>0</v>
      </c>
    </row>
    <row r="408" spans="1:14">
      <c r="A408" t="s">
        <v>828</v>
      </c>
      <c r="B408" t="s">
        <v>855</v>
      </c>
      <c r="C408">
        <v>0</v>
      </c>
      <c r="D408">
        <v>0</v>
      </c>
      <c r="E408">
        <v>0</v>
      </c>
      <c r="F408">
        <v>0</v>
      </c>
      <c r="H408">
        <v>0</v>
      </c>
      <c r="I408">
        <v>0</v>
      </c>
      <c r="J408">
        <v>0</v>
      </c>
      <c r="K408">
        <v>0</v>
      </c>
      <c r="L408">
        <v>0</v>
      </c>
      <c r="M408">
        <v>0</v>
      </c>
      <c r="N408">
        <v>0</v>
      </c>
    </row>
    <row r="409" spans="1:14">
      <c r="A409" t="s">
        <v>828</v>
      </c>
      <c r="B409" t="s">
        <v>856</v>
      </c>
      <c r="C409">
        <v>0</v>
      </c>
      <c r="D409">
        <v>0</v>
      </c>
      <c r="E409">
        <v>0</v>
      </c>
      <c r="F409">
        <v>0</v>
      </c>
      <c r="H409">
        <v>0</v>
      </c>
      <c r="I409">
        <v>0</v>
      </c>
      <c r="J409">
        <v>0</v>
      </c>
      <c r="K409">
        <v>0</v>
      </c>
      <c r="L409">
        <v>0</v>
      </c>
      <c r="M409">
        <v>0</v>
      </c>
      <c r="N409">
        <v>0</v>
      </c>
    </row>
    <row r="410" spans="1:14">
      <c r="A410" t="s">
        <v>828</v>
      </c>
      <c r="B410" t="s">
        <v>857</v>
      </c>
      <c r="C410">
        <v>0</v>
      </c>
      <c r="D410">
        <v>0</v>
      </c>
      <c r="E410">
        <v>0</v>
      </c>
      <c r="F410">
        <v>0</v>
      </c>
      <c r="H410">
        <v>0</v>
      </c>
      <c r="I410">
        <v>0</v>
      </c>
      <c r="J410">
        <v>0</v>
      </c>
      <c r="K410">
        <v>0</v>
      </c>
      <c r="L410">
        <v>0</v>
      </c>
      <c r="M410">
        <v>0</v>
      </c>
      <c r="N410">
        <v>0</v>
      </c>
    </row>
    <row r="411" spans="1:14">
      <c r="A411" t="s">
        <v>828</v>
      </c>
      <c r="B411" t="s">
        <v>858</v>
      </c>
      <c r="C411">
        <v>0</v>
      </c>
      <c r="D411">
        <v>0</v>
      </c>
      <c r="E411">
        <v>0</v>
      </c>
      <c r="F411">
        <v>0</v>
      </c>
      <c r="H411">
        <v>0</v>
      </c>
      <c r="I411">
        <v>0</v>
      </c>
      <c r="J411">
        <v>0</v>
      </c>
      <c r="K411">
        <v>0</v>
      </c>
      <c r="L411">
        <v>0</v>
      </c>
      <c r="M411">
        <v>0</v>
      </c>
      <c r="N411">
        <v>0</v>
      </c>
    </row>
    <row r="412" spans="1:14">
      <c r="A412" t="s">
        <v>828</v>
      </c>
      <c r="B412" t="s">
        <v>859</v>
      </c>
      <c r="C412">
        <v>0</v>
      </c>
      <c r="D412">
        <v>0</v>
      </c>
      <c r="E412">
        <v>0</v>
      </c>
      <c r="F412">
        <v>0</v>
      </c>
      <c r="H412">
        <v>0</v>
      </c>
      <c r="I412">
        <v>0</v>
      </c>
      <c r="J412">
        <v>0</v>
      </c>
      <c r="K412">
        <v>0</v>
      </c>
      <c r="L412">
        <v>0</v>
      </c>
      <c r="M412">
        <v>0</v>
      </c>
      <c r="N412">
        <v>0</v>
      </c>
    </row>
    <row r="413" spans="1:14">
      <c r="A413" t="s">
        <v>828</v>
      </c>
      <c r="B413" t="s">
        <v>860</v>
      </c>
      <c r="C413">
        <v>0</v>
      </c>
      <c r="D413">
        <v>0</v>
      </c>
      <c r="E413">
        <v>0</v>
      </c>
      <c r="F413">
        <v>0</v>
      </c>
      <c r="H413">
        <v>0</v>
      </c>
      <c r="I413">
        <v>0</v>
      </c>
      <c r="J413">
        <v>0</v>
      </c>
      <c r="K413">
        <v>0</v>
      </c>
      <c r="L413">
        <v>0</v>
      </c>
      <c r="M413">
        <v>0</v>
      </c>
      <c r="N413">
        <v>0</v>
      </c>
    </row>
    <row r="414" spans="1:14">
      <c r="A414" t="s">
        <v>828</v>
      </c>
      <c r="B414" t="s">
        <v>846</v>
      </c>
      <c r="C414">
        <v>0</v>
      </c>
      <c r="D414">
        <v>0</v>
      </c>
      <c r="E414">
        <v>0</v>
      </c>
      <c r="F414">
        <v>0</v>
      </c>
      <c r="H414">
        <v>0</v>
      </c>
      <c r="I414">
        <v>0</v>
      </c>
      <c r="J414">
        <v>0</v>
      </c>
      <c r="K414">
        <v>0</v>
      </c>
      <c r="L414">
        <v>0</v>
      </c>
      <c r="M414">
        <v>0</v>
      </c>
      <c r="N414">
        <v>0</v>
      </c>
    </row>
    <row r="415" spans="1:14">
      <c r="A415" t="s">
        <v>828</v>
      </c>
      <c r="B415" t="s">
        <v>861</v>
      </c>
      <c r="C415">
        <v>0</v>
      </c>
      <c r="D415">
        <v>0</v>
      </c>
      <c r="E415">
        <v>0</v>
      </c>
      <c r="F415">
        <v>0</v>
      </c>
      <c r="H415">
        <v>0</v>
      </c>
      <c r="I415">
        <v>0</v>
      </c>
      <c r="J415">
        <v>0</v>
      </c>
      <c r="K415">
        <v>0</v>
      </c>
      <c r="L415">
        <v>0</v>
      </c>
      <c r="M415">
        <v>0</v>
      </c>
      <c r="N415">
        <v>0</v>
      </c>
    </row>
    <row r="416" spans="1:14">
      <c r="A416" t="s">
        <v>828</v>
      </c>
      <c r="B416" t="s">
        <v>862</v>
      </c>
      <c r="C416">
        <v>0</v>
      </c>
      <c r="D416">
        <v>0</v>
      </c>
      <c r="E416">
        <v>0</v>
      </c>
      <c r="F416">
        <v>0</v>
      </c>
      <c r="H416">
        <v>0</v>
      </c>
      <c r="I416">
        <v>0</v>
      </c>
      <c r="J416">
        <v>0</v>
      </c>
      <c r="K416">
        <v>0</v>
      </c>
      <c r="L416">
        <v>0</v>
      </c>
      <c r="M416">
        <v>0</v>
      </c>
      <c r="N416">
        <v>0</v>
      </c>
    </row>
    <row r="417" spans="1:14">
      <c r="A417" t="s">
        <v>828</v>
      </c>
      <c r="B417" t="s">
        <v>846</v>
      </c>
      <c r="C417">
        <v>0</v>
      </c>
      <c r="D417">
        <v>0</v>
      </c>
      <c r="E417">
        <v>0</v>
      </c>
      <c r="F417">
        <v>0</v>
      </c>
      <c r="H417">
        <v>0</v>
      </c>
      <c r="I417">
        <v>0</v>
      </c>
      <c r="J417">
        <v>0</v>
      </c>
      <c r="K417">
        <v>0</v>
      </c>
      <c r="L417">
        <v>0</v>
      </c>
      <c r="M417">
        <v>0</v>
      </c>
      <c r="N417">
        <v>0</v>
      </c>
    </row>
    <row r="418" spans="1:14">
      <c r="A418" t="s">
        <v>828</v>
      </c>
      <c r="B418" t="s">
        <v>863</v>
      </c>
      <c r="C418">
        <v>0</v>
      </c>
      <c r="D418">
        <v>0</v>
      </c>
      <c r="E418">
        <v>0</v>
      </c>
      <c r="F418">
        <v>0</v>
      </c>
      <c r="H418">
        <v>0</v>
      </c>
      <c r="I418">
        <v>0</v>
      </c>
      <c r="J418">
        <v>0</v>
      </c>
      <c r="K418">
        <v>0</v>
      </c>
      <c r="L418">
        <v>0</v>
      </c>
      <c r="M418">
        <v>0</v>
      </c>
      <c r="N418">
        <v>0</v>
      </c>
    </row>
    <row r="419" spans="1:14">
      <c r="A419" t="s">
        <v>828</v>
      </c>
      <c r="B419" t="s">
        <v>864</v>
      </c>
      <c r="C419">
        <v>0</v>
      </c>
      <c r="D419">
        <v>0</v>
      </c>
      <c r="E419">
        <v>0</v>
      </c>
      <c r="F419">
        <v>0</v>
      </c>
      <c r="H419">
        <v>0</v>
      </c>
      <c r="I419">
        <v>0</v>
      </c>
      <c r="J419">
        <v>0</v>
      </c>
      <c r="K419">
        <v>0</v>
      </c>
      <c r="L419">
        <v>0</v>
      </c>
      <c r="M419">
        <v>0</v>
      </c>
      <c r="N419">
        <v>0</v>
      </c>
    </row>
    <row r="420" spans="1:14">
      <c r="A420" t="s">
        <v>828</v>
      </c>
      <c r="B420" t="s">
        <v>865</v>
      </c>
      <c r="C420">
        <v>0</v>
      </c>
      <c r="D420">
        <v>0</v>
      </c>
      <c r="E420">
        <v>0</v>
      </c>
      <c r="F420">
        <v>0</v>
      </c>
      <c r="H420">
        <v>0</v>
      </c>
      <c r="I420">
        <v>0</v>
      </c>
      <c r="J420">
        <v>0</v>
      </c>
      <c r="K420">
        <v>0</v>
      </c>
      <c r="L420">
        <v>0</v>
      </c>
      <c r="M420">
        <v>0</v>
      </c>
      <c r="N420">
        <v>0</v>
      </c>
    </row>
    <row r="421" spans="1:14">
      <c r="A421" t="s">
        <v>828</v>
      </c>
      <c r="B421" t="s">
        <v>866</v>
      </c>
      <c r="C421">
        <v>0</v>
      </c>
      <c r="D421">
        <v>0</v>
      </c>
      <c r="E421">
        <v>0</v>
      </c>
      <c r="F421">
        <v>0</v>
      </c>
      <c r="H421">
        <v>0</v>
      </c>
      <c r="I421">
        <v>0</v>
      </c>
      <c r="J421">
        <v>0</v>
      </c>
      <c r="K421">
        <v>0</v>
      </c>
      <c r="L421">
        <v>0</v>
      </c>
      <c r="M421">
        <v>0</v>
      </c>
      <c r="N421">
        <v>0</v>
      </c>
    </row>
    <row r="422" spans="1:14">
      <c r="A422" t="s">
        <v>828</v>
      </c>
      <c r="B422" t="s">
        <v>867</v>
      </c>
      <c r="C422">
        <v>0</v>
      </c>
      <c r="D422">
        <v>0</v>
      </c>
      <c r="E422">
        <v>0</v>
      </c>
      <c r="F422">
        <v>0</v>
      </c>
      <c r="H422">
        <v>0</v>
      </c>
      <c r="I422">
        <v>0</v>
      </c>
      <c r="J422">
        <v>0</v>
      </c>
      <c r="K422">
        <v>0</v>
      </c>
      <c r="L422">
        <v>0</v>
      </c>
      <c r="M422">
        <v>0</v>
      </c>
      <c r="N422">
        <v>0</v>
      </c>
    </row>
    <row r="423" spans="1:14">
      <c r="A423" t="s">
        <v>828</v>
      </c>
      <c r="B423" t="s">
        <v>868</v>
      </c>
      <c r="C423">
        <v>0</v>
      </c>
      <c r="D423">
        <v>0</v>
      </c>
      <c r="E423">
        <v>0</v>
      </c>
      <c r="F423">
        <v>0</v>
      </c>
      <c r="H423">
        <v>0</v>
      </c>
      <c r="I423">
        <v>0</v>
      </c>
      <c r="J423">
        <v>0</v>
      </c>
      <c r="K423">
        <v>0</v>
      </c>
      <c r="L423">
        <v>0</v>
      </c>
      <c r="M423">
        <v>0</v>
      </c>
      <c r="N423">
        <v>0</v>
      </c>
    </row>
    <row r="424" spans="1:14">
      <c r="A424" t="s">
        <v>828</v>
      </c>
      <c r="B424" t="s">
        <v>869</v>
      </c>
      <c r="C424">
        <v>0</v>
      </c>
      <c r="D424">
        <v>0</v>
      </c>
      <c r="E424">
        <v>0</v>
      </c>
      <c r="F424">
        <v>0</v>
      </c>
      <c r="H424">
        <v>0</v>
      </c>
      <c r="I424">
        <v>0</v>
      </c>
      <c r="J424">
        <v>0</v>
      </c>
      <c r="K424">
        <v>0</v>
      </c>
      <c r="L424">
        <v>0</v>
      </c>
      <c r="M424">
        <v>0</v>
      </c>
      <c r="N424">
        <v>0</v>
      </c>
    </row>
    <row r="425" spans="1:14">
      <c r="A425" t="s">
        <v>828</v>
      </c>
      <c r="B425" t="s">
        <v>870</v>
      </c>
      <c r="C425">
        <v>0</v>
      </c>
      <c r="D425">
        <v>0</v>
      </c>
      <c r="E425">
        <v>0</v>
      </c>
      <c r="F425">
        <v>0</v>
      </c>
      <c r="H425">
        <v>0</v>
      </c>
      <c r="I425">
        <v>0</v>
      </c>
      <c r="J425">
        <v>0</v>
      </c>
      <c r="K425">
        <v>0</v>
      </c>
      <c r="L425">
        <v>0</v>
      </c>
      <c r="M425">
        <v>0</v>
      </c>
      <c r="N425">
        <v>0</v>
      </c>
    </row>
    <row r="426" spans="1:14">
      <c r="A426" t="s">
        <v>828</v>
      </c>
      <c r="B426" t="s">
        <v>871</v>
      </c>
      <c r="C426">
        <v>0</v>
      </c>
      <c r="D426">
        <v>0</v>
      </c>
      <c r="E426">
        <v>0</v>
      </c>
      <c r="F426">
        <v>0</v>
      </c>
      <c r="H426">
        <v>0</v>
      </c>
      <c r="I426">
        <v>0</v>
      </c>
      <c r="J426">
        <v>0</v>
      </c>
      <c r="K426">
        <v>0</v>
      </c>
      <c r="L426">
        <v>0</v>
      </c>
      <c r="M426">
        <v>0</v>
      </c>
      <c r="N426">
        <v>0</v>
      </c>
    </row>
    <row r="427" spans="1:14">
      <c r="A427" t="s">
        <v>828</v>
      </c>
      <c r="B427" t="s">
        <v>839</v>
      </c>
      <c r="C427">
        <v>0</v>
      </c>
      <c r="D427">
        <v>0</v>
      </c>
      <c r="E427">
        <v>0</v>
      </c>
      <c r="F427">
        <v>0</v>
      </c>
      <c r="H427">
        <v>0</v>
      </c>
      <c r="I427">
        <v>0</v>
      </c>
      <c r="J427">
        <v>0</v>
      </c>
      <c r="K427">
        <v>0</v>
      </c>
      <c r="L427">
        <v>0</v>
      </c>
      <c r="M427">
        <v>0</v>
      </c>
      <c r="N427">
        <v>0</v>
      </c>
    </row>
    <row r="428" spans="1:14">
      <c r="A428" t="s">
        <v>828</v>
      </c>
      <c r="B428" t="s">
        <v>872</v>
      </c>
      <c r="C428">
        <v>0</v>
      </c>
      <c r="D428">
        <v>0</v>
      </c>
      <c r="E428">
        <v>0</v>
      </c>
      <c r="F428">
        <v>0</v>
      </c>
      <c r="H428">
        <v>0</v>
      </c>
      <c r="I428">
        <v>0</v>
      </c>
      <c r="J428">
        <v>0</v>
      </c>
      <c r="K428">
        <v>0</v>
      </c>
      <c r="L428">
        <v>0</v>
      </c>
      <c r="M428">
        <v>0</v>
      </c>
      <c r="N428">
        <v>0</v>
      </c>
    </row>
    <row r="429" spans="1:14">
      <c r="A429" t="s">
        <v>828</v>
      </c>
      <c r="B429" t="s">
        <v>873</v>
      </c>
      <c r="C429">
        <v>0</v>
      </c>
      <c r="D429">
        <v>0</v>
      </c>
      <c r="E429">
        <v>0</v>
      </c>
      <c r="F429">
        <v>0</v>
      </c>
      <c r="H429">
        <v>0</v>
      </c>
      <c r="I429">
        <v>0</v>
      </c>
      <c r="J429">
        <v>0</v>
      </c>
      <c r="K429">
        <v>0</v>
      </c>
      <c r="L429">
        <v>0</v>
      </c>
      <c r="M429">
        <v>0</v>
      </c>
      <c r="N429">
        <v>0</v>
      </c>
    </row>
    <row r="430" spans="1:14">
      <c r="A430" t="s">
        <v>828</v>
      </c>
      <c r="B430" t="s">
        <v>874</v>
      </c>
      <c r="C430">
        <v>0</v>
      </c>
      <c r="D430">
        <v>0</v>
      </c>
      <c r="E430">
        <v>0</v>
      </c>
      <c r="F430">
        <v>0</v>
      </c>
      <c r="H430">
        <v>0</v>
      </c>
      <c r="I430">
        <v>0</v>
      </c>
      <c r="J430">
        <v>0</v>
      </c>
      <c r="K430">
        <v>0</v>
      </c>
      <c r="L430">
        <v>0</v>
      </c>
      <c r="M430">
        <v>0</v>
      </c>
      <c r="N430">
        <v>0</v>
      </c>
    </row>
    <row r="431" spans="1:14">
      <c r="A431" t="s">
        <v>828</v>
      </c>
      <c r="B431" t="s">
        <v>875</v>
      </c>
      <c r="C431">
        <v>0</v>
      </c>
      <c r="D431">
        <v>0</v>
      </c>
      <c r="E431">
        <v>0</v>
      </c>
      <c r="F431">
        <v>0</v>
      </c>
      <c r="H431">
        <v>0</v>
      </c>
      <c r="I431">
        <v>0</v>
      </c>
      <c r="J431">
        <v>0</v>
      </c>
      <c r="K431">
        <v>0</v>
      </c>
      <c r="L431">
        <v>0</v>
      </c>
      <c r="M431">
        <v>0</v>
      </c>
      <c r="N431">
        <v>0</v>
      </c>
    </row>
    <row r="432" spans="1:14">
      <c r="A432" t="s">
        <v>828</v>
      </c>
      <c r="B432" t="s">
        <v>876</v>
      </c>
      <c r="C432">
        <v>0</v>
      </c>
      <c r="D432">
        <v>0</v>
      </c>
      <c r="E432">
        <v>0</v>
      </c>
      <c r="F432">
        <v>0</v>
      </c>
      <c r="H432">
        <v>0</v>
      </c>
      <c r="I432">
        <v>0</v>
      </c>
      <c r="J432">
        <v>0</v>
      </c>
      <c r="K432">
        <v>0</v>
      </c>
      <c r="L432">
        <v>0</v>
      </c>
      <c r="M432">
        <v>0</v>
      </c>
      <c r="N432">
        <v>0</v>
      </c>
    </row>
    <row r="433" spans="1:14">
      <c r="A433" t="s">
        <v>828</v>
      </c>
      <c r="B433" t="s">
        <v>877</v>
      </c>
      <c r="C433">
        <v>0</v>
      </c>
      <c r="D433">
        <v>0</v>
      </c>
      <c r="E433">
        <v>0</v>
      </c>
      <c r="F433">
        <v>0</v>
      </c>
      <c r="H433">
        <v>0</v>
      </c>
      <c r="I433">
        <v>0</v>
      </c>
      <c r="J433">
        <v>0</v>
      </c>
      <c r="K433">
        <v>0</v>
      </c>
      <c r="L433">
        <v>0</v>
      </c>
      <c r="M433">
        <v>0</v>
      </c>
      <c r="N433">
        <v>0</v>
      </c>
    </row>
    <row r="434" spans="1:14">
      <c r="A434" t="s">
        <v>828</v>
      </c>
      <c r="B434" t="s">
        <v>878</v>
      </c>
      <c r="C434">
        <v>0</v>
      </c>
      <c r="D434">
        <v>0</v>
      </c>
      <c r="E434">
        <v>0</v>
      </c>
      <c r="F434">
        <v>0</v>
      </c>
      <c r="H434">
        <v>0</v>
      </c>
      <c r="I434">
        <v>0</v>
      </c>
      <c r="J434">
        <v>0</v>
      </c>
      <c r="K434">
        <v>0</v>
      </c>
      <c r="L434">
        <v>0</v>
      </c>
      <c r="M434">
        <v>0</v>
      </c>
      <c r="N434">
        <v>0</v>
      </c>
    </row>
    <row r="435" spans="1:14">
      <c r="A435" t="s">
        <v>828</v>
      </c>
      <c r="B435" t="s">
        <v>879</v>
      </c>
      <c r="C435">
        <v>0</v>
      </c>
      <c r="D435">
        <v>0</v>
      </c>
      <c r="E435">
        <v>0</v>
      </c>
      <c r="F435">
        <v>0</v>
      </c>
      <c r="H435">
        <v>0</v>
      </c>
      <c r="I435">
        <v>0</v>
      </c>
      <c r="J435">
        <v>0</v>
      </c>
      <c r="K435">
        <v>0</v>
      </c>
      <c r="L435">
        <v>0</v>
      </c>
      <c r="M435">
        <v>0</v>
      </c>
      <c r="N435">
        <v>0</v>
      </c>
    </row>
    <row r="436" spans="1:14">
      <c r="A436" t="s">
        <v>828</v>
      </c>
      <c r="B436" t="s">
        <v>846</v>
      </c>
      <c r="C436">
        <v>0</v>
      </c>
      <c r="D436">
        <v>0</v>
      </c>
      <c r="E436">
        <v>0</v>
      </c>
      <c r="F436">
        <v>0</v>
      </c>
      <c r="H436">
        <v>0</v>
      </c>
      <c r="I436">
        <v>0</v>
      </c>
      <c r="J436">
        <v>0</v>
      </c>
      <c r="K436">
        <v>0</v>
      </c>
      <c r="L436">
        <v>0</v>
      </c>
      <c r="M436">
        <v>0</v>
      </c>
      <c r="N436">
        <v>0</v>
      </c>
    </row>
    <row r="437" spans="1:14">
      <c r="A437" t="s">
        <v>828</v>
      </c>
      <c r="B437" t="s">
        <v>880</v>
      </c>
      <c r="C437">
        <v>0</v>
      </c>
      <c r="D437">
        <v>0</v>
      </c>
      <c r="E437">
        <v>0</v>
      </c>
      <c r="F437">
        <v>0</v>
      </c>
      <c r="H437">
        <v>0</v>
      </c>
      <c r="I437">
        <v>0</v>
      </c>
      <c r="J437">
        <v>0</v>
      </c>
      <c r="K437">
        <v>0</v>
      </c>
      <c r="L437">
        <v>0</v>
      </c>
      <c r="M437">
        <v>0</v>
      </c>
      <c r="N437">
        <v>0</v>
      </c>
    </row>
    <row r="438" spans="1:14">
      <c r="A438" t="s">
        <v>828</v>
      </c>
      <c r="B438" t="s">
        <v>881</v>
      </c>
      <c r="C438">
        <v>0</v>
      </c>
      <c r="D438">
        <v>0</v>
      </c>
      <c r="E438">
        <v>0</v>
      </c>
      <c r="F438">
        <v>0</v>
      </c>
      <c r="H438">
        <v>0</v>
      </c>
      <c r="I438">
        <v>0</v>
      </c>
      <c r="J438">
        <v>0</v>
      </c>
      <c r="K438">
        <v>0</v>
      </c>
      <c r="L438">
        <v>0</v>
      </c>
      <c r="M438">
        <v>0</v>
      </c>
      <c r="N438">
        <v>0</v>
      </c>
    </row>
    <row r="439" spans="1:14">
      <c r="A439" t="s">
        <v>828</v>
      </c>
      <c r="B439" t="s">
        <v>882</v>
      </c>
      <c r="C439">
        <v>0</v>
      </c>
      <c r="D439">
        <v>0</v>
      </c>
      <c r="E439">
        <v>0</v>
      </c>
      <c r="F439">
        <v>0</v>
      </c>
      <c r="H439">
        <v>0</v>
      </c>
      <c r="I439">
        <v>0</v>
      </c>
      <c r="J439">
        <v>0</v>
      </c>
      <c r="K439">
        <v>0</v>
      </c>
      <c r="L439">
        <v>0</v>
      </c>
      <c r="M439">
        <v>0</v>
      </c>
      <c r="N439">
        <v>0</v>
      </c>
    </row>
    <row r="440" spans="1:14">
      <c r="A440" t="s">
        <v>828</v>
      </c>
      <c r="B440" t="s">
        <v>883</v>
      </c>
      <c r="C440">
        <v>0</v>
      </c>
      <c r="D440">
        <v>0</v>
      </c>
      <c r="E440">
        <v>0</v>
      </c>
      <c r="F440">
        <v>0</v>
      </c>
      <c r="H440">
        <v>0</v>
      </c>
      <c r="I440">
        <v>0</v>
      </c>
      <c r="J440">
        <v>0</v>
      </c>
      <c r="K440">
        <v>0</v>
      </c>
      <c r="L440">
        <v>0</v>
      </c>
      <c r="M440">
        <v>0</v>
      </c>
      <c r="N440">
        <v>0</v>
      </c>
    </row>
    <row r="441" spans="1:14">
      <c r="A441" t="s">
        <v>828</v>
      </c>
      <c r="B441" t="s">
        <v>884</v>
      </c>
      <c r="C441">
        <v>0</v>
      </c>
      <c r="D441">
        <v>0</v>
      </c>
      <c r="E441">
        <v>0</v>
      </c>
      <c r="F441">
        <v>0</v>
      </c>
      <c r="H441">
        <v>0</v>
      </c>
      <c r="I441">
        <v>0</v>
      </c>
      <c r="J441">
        <v>0</v>
      </c>
      <c r="K441">
        <v>0</v>
      </c>
      <c r="L441">
        <v>0</v>
      </c>
      <c r="M441">
        <v>0</v>
      </c>
      <c r="N441">
        <v>0</v>
      </c>
    </row>
    <row r="442" spans="1:14">
      <c r="A442" t="s">
        <v>828</v>
      </c>
      <c r="B442" t="s">
        <v>885</v>
      </c>
      <c r="C442">
        <v>0</v>
      </c>
      <c r="D442">
        <v>0</v>
      </c>
      <c r="E442">
        <v>0</v>
      </c>
      <c r="F442">
        <v>0</v>
      </c>
      <c r="H442">
        <v>0</v>
      </c>
      <c r="I442">
        <v>0</v>
      </c>
      <c r="J442">
        <v>0</v>
      </c>
      <c r="K442">
        <v>0</v>
      </c>
      <c r="L442">
        <v>0</v>
      </c>
      <c r="M442">
        <v>0</v>
      </c>
      <c r="N442">
        <v>0</v>
      </c>
    </row>
    <row r="443" spans="1:14">
      <c r="A443" t="s">
        <v>828</v>
      </c>
      <c r="B443" t="s">
        <v>886</v>
      </c>
      <c r="C443">
        <v>0</v>
      </c>
      <c r="D443">
        <v>0</v>
      </c>
      <c r="E443">
        <v>0</v>
      </c>
      <c r="F443">
        <v>0</v>
      </c>
      <c r="H443">
        <v>0</v>
      </c>
      <c r="I443">
        <v>0</v>
      </c>
      <c r="J443">
        <v>0</v>
      </c>
      <c r="K443">
        <v>0</v>
      </c>
      <c r="L443">
        <v>0</v>
      </c>
      <c r="M443">
        <v>0</v>
      </c>
      <c r="N443">
        <v>0</v>
      </c>
    </row>
    <row r="444" spans="1:14">
      <c r="A444" t="s">
        <v>828</v>
      </c>
      <c r="B444" t="s">
        <v>887</v>
      </c>
      <c r="C444">
        <v>0</v>
      </c>
      <c r="D444">
        <v>0</v>
      </c>
      <c r="E444">
        <v>0</v>
      </c>
      <c r="F444">
        <v>0</v>
      </c>
      <c r="H444">
        <v>0</v>
      </c>
      <c r="I444">
        <v>0</v>
      </c>
      <c r="J444">
        <v>0</v>
      </c>
      <c r="K444">
        <v>0</v>
      </c>
      <c r="L444">
        <v>0</v>
      </c>
      <c r="M444">
        <v>0</v>
      </c>
      <c r="N444">
        <v>0</v>
      </c>
    </row>
    <row r="445" spans="1:14">
      <c r="A445" t="s">
        <v>828</v>
      </c>
      <c r="B445" t="s">
        <v>888</v>
      </c>
      <c r="C445">
        <v>0</v>
      </c>
      <c r="D445">
        <v>0</v>
      </c>
      <c r="E445">
        <v>0</v>
      </c>
      <c r="F445">
        <v>0</v>
      </c>
      <c r="H445">
        <v>0</v>
      </c>
      <c r="I445">
        <v>0</v>
      </c>
      <c r="J445">
        <v>0</v>
      </c>
      <c r="K445">
        <v>0</v>
      </c>
      <c r="L445">
        <v>0</v>
      </c>
      <c r="M445">
        <v>0</v>
      </c>
      <c r="N445">
        <v>0</v>
      </c>
    </row>
    <row r="446" spans="1:14">
      <c r="A446" t="s">
        <v>828</v>
      </c>
      <c r="B446" t="s">
        <v>889</v>
      </c>
      <c r="C446">
        <v>0</v>
      </c>
      <c r="D446">
        <v>0</v>
      </c>
      <c r="E446">
        <v>0</v>
      </c>
      <c r="F446">
        <v>0</v>
      </c>
      <c r="H446">
        <v>0</v>
      </c>
      <c r="I446">
        <v>0</v>
      </c>
      <c r="J446">
        <v>0</v>
      </c>
      <c r="K446">
        <v>0</v>
      </c>
      <c r="L446">
        <v>0</v>
      </c>
      <c r="M446">
        <v>0</v>
      </c>
      <c r="N446">
        <v>0</v>
      </c>
    </row>
    <row r="447" spans="1:14">
      <c r="A447" t="s">
        <v>828</v>
      </c>
      <c r="B447" t="s">
        <v>846</v>
      </c>
      <c r="C447">
        <v>0</v>
      </c>
      <c r="D447">
        <v>0</v>
      </c>
      <c r="E447">
        <v>0</v>
      </c>
      <c r="F447">
        <v>0</v>
      </c>
      <c r="H447">
        <v>0</v>
      </c>
      <c r="I447">
        <v>0</v>
      </c>
      <c r="J447">
        <v>0</v>
      </c>
      <c r="K447">
        <v>0</v>
      </c>
      <c r="L447">
        <v>0</v>
      </c>
      <c r="M447">
        <v>0</v>
      </c>
      <c r="N447">
        <v>0</v>
      </c>
    </row>
    <row r="448" spans="1:14">
      <c r="A448" t="s">
        <v>828</v>
      </c>
      <c r="B448" t="s">
        <v>890</v>
      </c>
      <c r="C448">
        <v>0</v>
      </c>
      <c r="D448">
        <v>0</v>
      </c>
      <c r="E448">
        <v>0</v>
      </c>
      <c r="F448">
        <v>0</v>
      </c>
      <c r="H448">
        <v>0</v>
      </c>
      <c r="I448">
        <v>0</v>
      </c>
      <c r="J448">
        <v>0</v>
      </c>
      <c r="K448">
        <v>0</v>
      </c>
      <c r="L448">
        <v>0</v>
      </c>
      <c r="M448">
        <v>0</v>
      </c>
      <c r="N448">
        <v>0</v>
      </c>
    </row>
    <row r="449" spans="1:14">
      <c r="A449" t="s">
        <v>828</v>
      </c>
      <c r="B449" t="s">
        <v>891</v>
      </c>
      <c r="C449">
        <v>0</v>
      </c>
      <c r="D449">
        <v>0</v>
      </c>
      <c r="E449">
        <v>0</v>
      </c>
      <c r="F449">
        <v>0</v>
      </c>
      <c r="H449">
        <v>0</v>
      </c>
      <c r="I449">
        <v>0</v>
      </c>
      <c r="J449">
        <v>0</v>
      </c>
      <c r="K449">
        <v>0</v>
      </c>
      <c r="L449">
        <v>0</v>
      </c>
      <c r="M449">
        <v>0</v>
      </c>
      <c r="N449">
        <v>0</v>
      </c>
    </row>
    <row r="450" spans="1:14">
      <c r="A450" t="s">
        <v>828</v>
      </c>
      <c r="B450" t="s">
        <v>892</v>
      </c>
      <c r="C450">
        <v>0</v>
      </c>
      <c r="D450">
        <v>0</v>
      </c>
      <c r="E450">
        <v>0</v>
      </c>
      <c r="F450">
        <v>0</v>
      </c>
      <c r="H450">
        <v>0</v>
      </c>
      <c r="I450">
        <v>0</v>
      </c>
      <c r="J450">
        <v>0</v>
      </c>
      <c r="K450">
        <v>0</v>
      </c>
      <c r="L450">
        <v>0</v>
      </c>
      <c r="M450">
        <v>0</v>
      </c>
      <c r="N450">
        <v>0</v>
      </c>
    </row>
    <row r="451" spans="1:14">
      <c r="A451" t="s">
        <v>828</v>
      </c>
      <c r="B451" t="s">
        <v>846</v>
      </c>
      <c r="C451">
        <v>0</v>
      </c>
      <c r="D451">
        <v>0</v>
      </c>
      <c r="E451">
        <v>0</v>
      </c>
      <c r="F451">
        <v>0</v>
      </c>
      <c r="H451">
        <v>0</v>
      </c>
      <c r="I451">
        <v>0</v>
      </c>
      <c r="J451">
        <v>0</v>
      </c>
      <c r="K451">
        <v>0</v>
      </c>
      <c r="L451">
        <v>0</v>
      </c>
      <c r="M451">
        <v>0</v>
      </c>
      <c r="N451">
        <v>0</v>
      </c>
    </row>
    <row r="452" spans="1:14">
      <c r="A452" t="s">
        <v>828</v>
      </c>
      <c r="B452" t="s">
        <v>893</v>
      </c>
      <c r="C452">
        <v>0</v>
      </c>
      <c r="D452">
        <v>0</v>
      </c>
      <c r="E452">
        <v>0</v>
      </c>
      <c r="F452">
        <v>0</v>
      </c>
      <c r="H452">
        <v>0</v>
      </c>
      <c r="I452">
        <v>0</v>
      </c>
      <c r="J452">
        <v>0</v>
      </c>
      <c r="K452">
        <v>0</v>
      </c>
      <c r="L452">
        <v>0</v>
      </c>
      <c r="M452">
        <v>0</v>
      </c>
      <c r="N452">
        <v>0</v>
      </c>
    </row>
    <row r="453" spans="1:14">
      <c r="A453" t="s">
        <v>828</v>
      </c>
      <c r="B453" t="s">
        <v>889</v>
      </c>
      <c r="C453">
        <v>0</v>
      </c>
      <c r="D453">
        <v>0</v>
      </c>
      <c r="E453">
        <v>0</v>
      </c>
      <c r="F453">
        <v>0</v>
      </c>
      <c r="H453">
        <v>0</v>
      </c>
      <c r="I453">
        <v>0</v>
      </c>
      <c r="J453">
        <v>0</v>
      </c>
      <c r="K453">
        <v>0</v>
      </c>
      <c r="L453">
        <v>0</v>
      </c>
      <c r="M453">
        <v>0</v>
      </c>
      <c r="N453">
        <v>0</v>
      </c>
    </row>
    <row r="454" spans="1:14">
      <c r="A454" t="s">
        <v>828</v>
      </c>
      <c r="B454" t="s">
        <v>846</v>
      </c>
      <c r="C454">
        <v>0</v>
      </c>
      <c r="D454">
        <v>0</v>
      </c>
      <c r="E454">
        <v>0</v>
      </c>
      <c r="F454">
        <v>0</v>
      </c>
      <c r="H454">
        <v>0</v>
      </c>
      <c r="I454">
        <v>0</v>
      </c>
      <c r="J454">
        <v>0</v>
      </c>
      <c r="K454">
        <v>0</v>
      </c>
      <c r="L454">
        <v>0</v>
      </c>
      <c r="M454">
        <v>0</v>
      </c>
      <c r="N454">
        <v>0</v>
      </c>
    </row>
    <row r="455" spans="1:14">
      <c r="A455" t="s">
        <v>828</v>
      </c>
      <c r="B455" t="s">
        <v>894</v>
      </c>
      <c r="C455">
        <v>0</v>
      </c>
      <c r="D455">
        <v>0</v>
      </c>
      <c r="E455">
        <v>0</v>
      </c>
      <c r="F455">
        <v>0</v>
      </c>
      <c r="H455">
        <v>0</v>
      </c>
      <c r="I455">
        <v>0</v>
      </c>
      <c r="J455">
        <v>0</v>
      </c>
      <c r="K455">
        <v>0</v>
      </c>
      <c r="L455">
        <v>0</v>
      </c>
      <c r="M455">
        <v>0</v>
      </c>
      <c r="N455">
        <v>0</v>
      </c>
    </row>
    <row r="456" spans="1:14">
      <c r="A456" t="s">
        <v>828</v>
      </c>
      <c r="B456" t="s">
        <v>889</v>
      </c>
      <c r="C456">
        <v>0</v>
      </c>
      <c r="D456">
        <v>0</v>
      </c>
      <c r="E456">
        <v>0</v>
      </c>
      <c r="F456">
        <v>0</v>
      </c>
      <c r="H456">
        <v>0</v>
      </c>
      <c r="I456">
        <v>0</v>
      </c>
      <c r="J456">
        <v>0</v>
      </c>
      <c r="K456">
        <v>0</v>
      </c>
      <c r="L456">
        <v>0</v>
      </c>
      <c r="M456">
        <v>0</v>
      </c>
      <c r="N456">
        <v>0</v>
      </c>
    </row>
    <row r="457" spans="1:14">
      <c r="A457" t="s">
        <v>828</v>
      </c>
      <c r="B457" t="s">
        <v>846</v>
      </c>
      <c r="C457">
        <v>0</v>
      </c>
      <c r="D457">
        <v>0</v>
      </c>
      <c r="E457">
        <v>0</v>
      </c>
      <c r="F457">
        <v>0</v>
      </c>
      <c r="H457">
        <v>0</v>
      </c>
      <c r="I457">
        <v>0</v>
      </c>
      <c r="J457">
        <v>0</v>
      </c>
      <c r="K457">
        <v>0</v>
      </c>
      <c r="L457">
        <v>0</v>
      </c>
      <c r="M457">
        <v>0</v>
      </c>
      <c r="N457">
        <v>0</v>
      </c>
    </row>
    <row r="458" spans="1:14">
      <c r="A458" t="s">
        <v>828</v>
      </c>
      <c r="B458" t="s">
        <v>895</v>
      </c>
      <c r="C458">
        <v>0</v>
      </c>
      <c r="D458">
        <v>0</v>
      </c>
      <c r="E458">
        <v>0</v>
      </c>
      <c r="F458">
        <v>0</v>
      </c>
      <c r="H458">
        <v>0</v>
      </c>
      <c r="I458">
        <v>0</v>
      </c>
      <c r="J458">
        <v>0</v>
      </c>
      <c r="K458">
        <v>0</v>
      </c>
      <c r="L458">
        <v>0</v>
      </c>
      <c r="M458">
        <v>0</v>
      </c>
      <c r="N458">
        <v>0</v>
      </c>
    </row>
    <row r="459" spans="1:14">
      <c r="A459" t="s">
        <v>828</v>
      </c>
      <c r="B459" t="s">
        <v>896</v>
      </c>
      <c r="C459">
        <v>0</v>
      </c>
      <c r="D459">
        <v>0</v>
      </c>
      <c r="E459">
        <v>0</v>
      </c>
      <c r="F459">
        <v>0</v>
      </c>
      <c r="H459">
        <v>0</v>
      </c>
      <c r="I459">
        <v>0</v>
      </c>
      <c r="J459">
        <v>0</v>
      </c>
      <c r="K459">
        <v>0</v>
      </c>
      <c r="L459">
        <v>0</v>
      </c>
      <c r="M459">
        <v>0</v>
      </c>
      <c r="N459">
        <v>0</v>
      </c>
    </row>
    <row r="460" spans="1:14">
      <c r="A460" t="s">
        <v>828</v>
      </c>
      <c r="B460" t="s">
        <v>897</v>
      </c>
      <c r="C460">
        <v>0</v>
      </c>
      <c r="D460">
        <v>0</v>
      </c>
      <c r="E460">
        <v>0</v>
      </c>
      <c r="F460">
        <v>0</v>
      </c>
      <c r="H460">
        <v>0</v>
      </c>
      <c r="I460">
        <v>0</v>
      </c>
      <c r="J460">
        <v>0</v>
      </c>
      <c r="K460">
        <v>0</v>
      </c>
      <c r="L460">
        <v>0</v>
      </c>
      <c r="M460">
        <v>0</v>
      </c>
      <c r="N460">
        <v>0</v>
      </c>
    </row>
    <row r="461" spans="1:14">
      <c r="A461" t="s">
        <v>828</v>
      </c>
      <c r="B461" t="s">
        <v>898</v>
      </c>
      <c r="C461">
        <v>0</v>
      </c>
      <c r="D461">
        <v>0</v>
      </c>
      <c r="E461">
        <v>0</v>
      </c>
      <c r="F461">
        <v>0</v>
      </c>
      <c r="H461">
        <v>0</v>
      </c>
      <c r="I461">
        <v>0</v>
      </c>
      <c r="J461">
        <v>0</v>
      </c>
      <c r="K461">
        <v>0</v>
      </c>
      <c r="L461">
        <v>0</v>
      </c>
      <c r="M461">
        <v>0</v>
      </c>
      <c r="N461">
        <v>0</v>
      </c>
    </row>
    <row r="462" spans="1:14">
      <c r="A462" t="s">
        <v>828</v>
      </c>
      <c r="B462" t="s">
        <v>899</v>
      </c>
      <c r="C462">
        <v>0</v>
      </c>
      <c r="D462">
        <v>0</v>
      </c>
      <c r="E462">
        <v>0</v>
      </c>
      <c r="F462">
        <v>0</v>
      </c>
      <c r="H462">
        <v>0</v>
      </c>
      <c r="I462">
        <v>0</v>
      </c>
      <c r="J462">
        <v>0</v>
      </c>
      <c r="K462">
        <v>0</v>
      </c>
      <c r="L462">
        <v>0</v>
      </c>
      <c r="M462">
        <v>0</v>
      </c>
      <c r="N462">
        <v>0</v>
      </c>
    </row>
    <row r="463" spans="1:14">
      <c r="A463" t="s">
        <v>828</v>
      </c>
      <c r="B463" t="s">
        <v>900</v>
      </c>
      <c r="C463">
        <v>0</v>
      </c>
      <c r="D463">
        <v>0</v>
      </c>
      <c r="E463">
        <v>0</v>
      </c>
      <c r="F463">
        <v>0</v>
      </c>
      <c r="H463">
        <v>0</v>
      </c>
      <c r="I463">
        <v>0</v>
      </c>
      <c r="J463">
        <v>0</v>
      </c>
      <c r="K463">
        <v>0</v>
      </c>
      <c r="L463">
        <v>0</v>
      </c>
      <c r="M463">
        <v>0</v>
      </c>
      <c r="N463">
        <v>0</v>
      </c>
    </row>
    <row r="464" spans="1:14">
      <c r="A464" t="s">
        <v>828</v>
      </c>
      <c r="B464" t="s">
        <v>901</v>
      </c>
      <c r="C464">
        <v>0</v>
      </c>
      <c r="D464">
        <v>0</v>
      </c>
      <c r="E464">
        <v>0</v>
      </c>
      <c r="F464">
        <v>0</v>
      </c>
      <c r="H464">
        <v>0</v>
      </c>
      <c r="I464">
        <v>0</v>
      </c>
      <c r="J464">
        <v>0</v>
      </c>
      <c r="K464">
        <v>0</v>
      </c>
      <c r="L464">
        <v>0</v>
      </c>
      <c r="M464">
        <v>0</v>
      </c>
      <c r="N464">
        <v>0</v>
      </c>
    </row>
    <row r="465" spans="1:14">
      <c r="A465" t="s">
        <v>828</v>
      </c>
      <c r="B465" t="s">
        <v>902</v>
      </c>
      <c r="C465">
        <v>0</v>
      </c>
      <c r="D465">
        <v>0</v>
      </c>
      <c r="E465">
        <v>0</v>
      </c>
      <c r="F465">
        <v>0</v>
      </c>
      <c r="H465">
        <v>0</v>
      </c>
      <c r="I465">
        <v>0</v>
      </c>
      <c r="J465">
        <v>0</v>
      </c>
      <c r="K465">
        <v>0</v>
      </c>
      <c r="L465">
        <v>0</v>
      </c>
      <c r="M465">
        <v>0</v>
      </c>
      <c r="N465">
        <v>0</v>
      </c>
    </row>
    <row r="466" spans="1:14">
      <c r="A466" t="s">
        <v>828</v>
      </c>
      <c r="B466" t="s">
        <v>903</v>
      </c>
      <c r="C466">
        <v>0</v>
      </c>
      <c r="D466">
        <v>0</v>
      </c>
      <c r="E466">
        <v>0</v>
      </c>
      <c r="F466">
        <v>0</v>
      </c>
      <c r="H466">
        <v>0</v>
      </c>
      <c r="I466">
        <v>0</v>
      </c>
      <c r="J466">
        <v>0</v>
      </c>
      <c r="K466">
        <v>0</v>
      </c>
      <c r="L466">
        <v>0</v>
      </c>
      <c r="M466">
        <v>0</v>
      </c>
      <c r="N466">
        <v>0</v>
      </c>
    </row>
    <row r="467" spans="1:14">
      <c r="A467" t="s">
        <v>828</v>
      </c>
      <c r="B467" t="s">
        <v>904</v>
      </c>
      <c r="C467">
        <v>0</v>
      </c>
      <c r="D467">
        <v>0</v>
      </c>
      <c r="E467">
        <v>0</v>
      </c>
      <c r="F467">
        <v>0</v>
      </c>
      <c r="H467">
        <v>0</v>
      </c>
      <c r="I467">
        <v>0</v>
      </c>
      <c r="J467">
        <v>0</v>
      </c>
      <c r="K467">
        <v>0</v>
      </c>
      <c r="L467">
        <v>0</v>
      </c>
      <c r="M467">
        <v>0</v>
      </c>
      <c r="N467">
        <v>0</v>
      </c>
    </row>
    <row r="468" spans="1:14">
      <c r="A468" t="s">
        <v>828</v>
      </c>
      <c r="B468" t="s">
        <v>905</v>
      </c>
      <c r="C468">
        <v>0</v>
      </c>
      <c r="D468">
        <v>0</v>
      </c>
      <c r="E468">
        <v>0</v>
      </c>
      <c r="F468">
        <v>0</v>
      </c>
      <c r="H468">
        <v>0</v>
      </c>
      <c r="I468">
        <v>0</v>
      </c>
      <c r="J468">
        <v>0</v>
      </c>
      <c r="K468">
        <v>0</v>
      </c>
      <c r="L468">
        <v>0</v>
      </c>
      <c r="M468">
        <v>0</v>
      </c>
      <c r="N468">
        <v>0</v>
      </c>
    </row>
    <row r="469" spans="1:14">
      <c r="A469" t="s">
        <v>828</v>
      </c>
      <c r="B469" t="s">
        <v>906</v>
      </c>
      <c r="C469">
        <v>0</v>
      </c>
      <c r="D469">
        <v>0</v>
      </c>
      <c r="E469">
        <v>0</v>
      </c>
      <c r="F469">
        <v>0</v>
      </c>
      <c r="H469">
        <v>0</v>
      </c>
      <c r="I469">
        <v>0</v>
      </c>
      <c r="J469">
        <v>0</v>
      </c>
      <c r="K469">
        <v>0</v>
      </c>
      <c r="L469">
        <v>0</v>
      </c>
      <c r="M469">
        <v>0</v>
      </c>
      <c r="N469">
        <v>0</v>
      </c>
    </row>
    <row r="470" spans="1:14">
      <c r="A470" t="s">
        <v>828</v>
      </c>
      <c r="B470" t="s">
        <v>907</v>
      </c>
      <c r="C470">
        <v>0</v>
      </c>
      <c r="D470">
        <v>0</v>
      </c>
      <c r="E470">
        <v>0</v>
      </c>
      <c r="F470">
        <v>0</v>
      </c>
      <c r="H470">
        <v>0</v>
      </c>
      <c r="I470">
        <v>0</v>
      </c>
      <c r="J470">
        <v>0</v>
      </c>
      <c r="K470">
        <v>0</v>
      </c>
      <c r="L470">
        <v>0</v>
      </c>
      <c r="M470">
        <v>0</v>
      </c>
      <c r="N470">
        <v>0</v>
      </c>
    </row>
    <row r="471" spans="1:14">
      <c r="A471" t="s">
        <v>828</v>
      </c>
      <c r="B471" t="s">
        <v>908</v>
      </c>
      <c r="C471">
        <v>0</v>
      </c>
      <c r="D471">
        <v>0</v>
      </c>
      <c r="E471">
        <v>0</v>
      </c>
      <c r="F471">
        <v>0</v>
      </c>
      <c r="H471">
        <v>0</v>
      </c>
      <c r="I471">
        <v>0</v>
      </c>
      <c r="J471">
        <v>0</v>
      </c>
      <c r="K471">
        <v>0</v>
      </c>
      <c r="L471">
        <v>0</v>
      </c>
      <c r="M471">
        <v>0</v>
      </c>
      <c r="N471">
        <v>0</v>
      </c>
    </row>
    <row r="472" spans="1:14">
      <c r="A472" t="s">
        <v>828</v>
      </c>
      <c r="B472" t="s">
        <v>909</v>
      </c>
      <c r="C472">
        <v>0</v>
      </c>
      <c r="D472">
        <v>0</v>
      </c>
      <c r="E472">
        <v>0</v>
      </c>
      <c r="F472">
        <v>0</v>
      </c>
      <c r="H472">
        <v>0</v>
      </c>
      <c r="I472">
        <v>0</v>
      </c>
      <c r="J472">
        <v>0</v>
      </c>
      <c r="K472">
        <v>0</v>
      </c>
      <c r="L472">
        <v>0</v>
      </c>
      <c r="M472">
        <v>0</v>
      </c>
      <c r="N472">
        <v>0</v>
      </c>
    </row>
    <row r="473" spans="1:14">
      <c r="A473" t="s">
        <v>828</v>
      </c>
      <c r="B473" t="s">
        <v>910</v>
      </c>
      <c r="C473">
        <v>0</v>
      </c>
      <c r="D473">
        <v>0</v>
      </c>
      <c r="E473">
        <v>0</v>
      </c>
      <c r="F473">
        <v>0</v>
      </c>
      <c r="H473">
        <v>0</v>
      </c>
      <c r="I473">
        <v>0</v>
      </c>
      <c r="J473">
        <v>0</v>
      </c>
      <c r="K473">
        <v>0</v>
      </c>
      <c r="L473">
        <v>0</v>
      </c>
      <c r="M473">
        <v>0</v>
      </c>
      <c r="N473">
        <v>0</v>
      </c>
    </row>
    <row r="474" spans="1:14">
      <c r="A474" t="s">
        <v>828</v>
      </c>
      <c r="B474" t="s">
        <v>911</v>
      </c>
      <c r="C474">
        <v>0</v>
      </c>
      <c r="D474">
        <v>0</v>
      </c>
      <c r="E474">
        <v>0</v>
      </c>
      <c r="F474">
        <v>0</v>
      </c>
      <c r="H474">
        <v>0</v>
      </c>
      <c r="I474">
        <v>0</v>
      </c>
      <c r="J474">
        <v>0</v>
      </c>
      <c r="K474">
        <v>0</v>
      </c>
      <c r="L474">
        <v>0</v>
      </c>
      <c r="M474">
        <v>0</v>
      </c>
      <c r="N474">
        <v>0</v>
      </c>
    </row>
    <row r="475" spans="1:14">
      <c r="A475" t="s">
        <v>828</v>
      </c>
      <c r="B475" t="s">
        <v>912</v>
      </c>
      <c r="C475">
        <v>0</v>
      </c>
      <c r="D475">
        <v>0</v>
      </c>
      <c r="E475">
        <v>0</v>
      </c>
      <c r="F475">
        <v>0</v>
      </c>
      <c r="H475">
        <v>0</v>
      </c>
      <c r="I475">
        <v>0</v>
      </c>
      <c r="J475">
        <v>0</v>
      </c>
      <c r="K475">
        <v>0</v>
      </c>
      <c r="L475">
        <v>0</v>
      </c>
      <c r="M475">
        <v>0</v>
      </c>
      <c r="N475">
        <v>0</v>
      </c>
    </row>
    <row r="476" spans="1:14">
      <c r="A476" t="s">
        <v>828</v>
      </c>
      <c r="B476" t="s">
        <v>913</v>
      </c>
      <c r="C476">
        <v>0</v>
      </c>
      <c r="D476">
        <v>0</v>
      </c>
      <c r="E476">
        <v>0</v>
      </c>
      <c r="F476">
        <v>0</v>
      </c>
      <c r="H476">
        <v>0</v>
      </c>
      <c r="I476">
        <v>0</v>
      </c>
      <c r="J476">
        <v>0</v>
      </c>
      <c r="K476">
        <v>0</v>
      </c>
      <c r="L476">
        <v>0</v>
      </c>
      <c r="M476">
        <v>0</v>
      </c>
      <c r="N476">
        <v>0</v>
      </c>
    </row>
    <row r="477" spans="1:14">
      <c r="A477" t="s">
        <v>828</v>
      </c>
      <c r="B477" t="s">
        <v>914</v>
      </c>
      <c r="C477">
        <v>0</v>
      </c>
      <c r="D477">
        <v>0</v>
      </c>
      <c r="E477">
        <v>0</v>
      </c>
      <c r="F477">
        <v>0</v>
      </c>
      <c r="H477">
        <v>0</v>
      </c>
      <c r="I477">
        <v>0</v>
      </c>
      <c r="J477">
        <v>0</v>
      </c>
      <c r="K477">
        <v>0</v>
      </c>
      <c r="L477">
        <v>0</v>
      </c>
      <c r="M477">
        <v>0</v>
      </c>
      <c r="N477">
        <v>0</v>
      </c>
    </row>
    <row r="478" spans="1:14">
      <c r="A478" t="s">
        <v>828</v>
      </c>
      <c r="B478" t="s">
        <v>915</v>
      </c>
      <c r="C478">
        <v>0</v>
      </c>
      <c r="D478">
        <v>0</v>
      </c>
      <c r="E478">
        <v>0</v>
      </c>
      <c r="F478">
        <v>0</v>
      </c>
      <c r="H478">
        <v>0</v>
      </c>
      <c r="I478">
        <v>0</v>
      </c>
      <c r="J478">
        <v>0</v>
      </c>
      <c r="K478">
        <v>0</v>
      </c>
      <c r="L478">
        <v>0</v>
      </c>
      <c r="M478">
        <v>0</v>
      </c>
      <c r="N478">
        <v>0</v>
      </c>
    </row>
    <row r="479" spans="1:14">
      <c r="A479" t="s">
        <v>828</v>
      </c>
      <c r="B479" t="s">
        <v>916</v>
      </c>
      <c r="C479">
        <v>0</v>
      </c>
      <c r="D479">
        <v>0</v>
      </c>
      <c r="E479">
        <v>0</v>
      </c>
      <c r="F479">
        <v>0</v>
      </c>
      <c r="H479">
        <v>0</v>
      </c>
      <c r="I479">
        <v>0</v>
      </c>
      <c r="J479">
        <v>0</v>
      </c>
      <c r="K479">
        <v>0</v>
      </c>
      <c r="L479">
        <v>0</v>
      </c>
      <c r="M479">
        <v>0</v>
      </c>
      <c r="N479">
        <v>0</v>
      </c>
    </row>
    <row r="480" spans="1:14">
      <c r="A480" t="s">
        <v>828</v>
      </c>
      <c r="B480" t="s">
        <v>846</v>
      </c>
      <c r="C480">
        <v>0</v>
      </c>
      <c r="D480">
        <v>0</v>
      </c>
      <c r="E480">
        <v>0</v>
      </c>
      <c r="F480">
        <v>0</v>
      </c>
      <c r="H480">
        <v>0</v>
      </c>
      <c r="I480">
        <v>0</v>
      </c>
      <c r="J480">
        <v>0</v>
      </c>
      <c r="K480">
        <v>0</v>
      </c>
      <c r="L480">
        <v>0</v>
      </c>
      <c r="M480">
        <v>0</v>
      </c>
      <c r="N480">
        <v>0</v>
      </c>
    </row>
    <row r="481" spans="1:14">
      <c r="A481" t="s">
        <v>917</v>
      </c>
      <c r="B481" t="s">
        <v>918</v>
      </c>
      <c r="C481">
        <v>0</v>
      </c>
      <c r="D481">
        <v>0</v>
      </c>
      <c r="E481">
        <v>0</v>
      </c>
      <c r="F481">
        <v>0</v>
      </c>
      <c r="H481">
        <v>0</v>
      </c>
      <c r="I481">
        <v>0</v>
      </c>
      <c r="J481">
        <v>0</v>
      </c>
      <c r="K481">
        <v>0</v>
      </c>
      <c r="L481">
        <v>0</v>
      </c>
      <c r="M481">
        <v>0</v>
      </c>
      <c r="N48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3"/>
  <sheetViews>
    <sheetView workbookViewId="0"/>
  </sheetViews>
  <sheetFormatPr defaultRowHeight="14.5"/>
  <sheetData>
    <row r="1" spans="1:9">
      <c r="A1" t="s">
        <v>166</v>
      </c>
      <c r="B1" t="s">
        <v>276</v>
      </c>
      <c r="C1" t="s">
        <v>435</v>
      </c>
      <c r="D1" t="s">
        <v>436</v>
      </c>
      <c r="E1" t="s">
        <v>828</v>
      </c>
      <c r="F1" t="s">
        <v>919</v>
      </c>
      <c r="G1" t="s">
        <v>350</v>
      </c>
      <c r="H1" t="s">
        <v>920</v>
      </c>
      <c r="I1" t="s">
        <v>357</v>
      </c>
    </row>
    <row r="2" spans="1:9">
      <c r="A2" t="s">
        <v>68</v>
      </c>
      <c r="B2" t="s">
        <v>175</v>
      </c>
      <c r="C2">
        <v>0</v>
      </c>
      <c r="D2">
        <v>0</v>
      </c>
    </row>
    <row r="3" spans="1:9">
      <c r="A3" t="s">
        <v>921</v>
      </c>
      <c r="B3" t="s">
        <v>922</v>
      </c>
      <c r="C3">
        <v>0</v>
      </c>
      <c r="D3">
        <v>0</v>
      </c>
      <c r="F3" t="s">
        <v>923</v>
      </c>
    </row>
    <row r="4" spans="1:9">
      <c r="A4" t="s">
        <v>921</v>
      </c>
      <c r="B4" t="s">
        <v>924</v>
      </c>
      <c r="C4">
        <v>0</v>
      </c>
      <c r="D4">
        <v>0</v>
      </c>
      <c r="E4" t="s">
        <v>95</v>
      </c>
      <c r="F4" t="s">
        <v>925</v>
      </c>
    </row>
    <row r="5" spans="1:9">
      <c r="A5" t="s">
        <v>921</v>
      </c>
      <c r="B5" t="s">
        <v>926</v>
      </c>
      <c r="C5">
        <v>0</v>
      </c>
      <c r="D5">
        <v>0</v>
      </c>
      <c r="E5" t="s">
        <v>95</v>
      </c>
    </row>
    <row r="6" spans="1:9">
      <c r="A6" t="s">
        <v>921</v>
      </c>
      <c r="B6" t="s">
        <v>927</v>
      </c>
      <c r="C6">
        <v>0</v>
      </c>
      <c r="D6">
        <v>0</v>
      </c>
      <c r="E6" t="s">
        <v>95</v>
      </c>
    </row>
    <row r="7" spans="1:9">
      <c r="A7" t="s">
        <v>921</v>
      </c>
      <c r="B7" t="s">
        <v>833</v>
      </c>
      <c r="C7">
        <v>0</v>
      </c>
      <c r="D7">
        <v>0</v>
      </c>
      <c r="E7" t="s">
        <v>95</v>
      </c>
    </row>
    <row r="8" spans="1:9">
      <c r="A8" t="s">
        <v>921</v>
      </c>
      <c r="B8" t="s">
        <v>928</v>
      </c>
      <c r="C8">
        <v>0</v>
      </c>
      <c r="D8">
        <v>0</v>
      </c>
      <c r="E8" t="s">
        <v>95</v>
      </c>
      <c r="H8" t="s">
        <v>929</v>
      </c>
    </row>
    <row r="9" spans="1:9">
      <c r="A9" t="s">
        <v>921</v>
      </c>
      <c r="B9" t="s">
        <v>930</v>
      </c>
      <c r="C9">
        <v>0</v>
      </c>
      <c r="D9">
        <v>0</v>
      </c>
      <c r="E9" t="s">
        <v>95</v>
      </c>
    </row>
    <row r="10" spans="1:9">
      <c r="A10" t="s">
        <v>921</v>
      </c>
      <c r="B10" t="s">
        <v>931</v>
      </c>
      <c r="C10">
        <v>0</v>
      </c>
      <c r="D10">
        <v>0</v>
      </c>
      <c r="E10" t="s">
        <v>96</v>
      </c>
    </row>
    <row r="11" spans="1:9">
      <c r="A11" t="s">
        <v>921</v>
      </c>
      <c r="B11" t="s">
        <v>837</v>
      </c>
      <c r="C11">
        <v>0</v>
      </c>
      <c r="D11">
        <v>0</v>
      </c>
      <c r="E11" t="s">
        <v>96</v>
      </c>
    </row>
    <row r="12" spans="1:9">
      <c r="A12" t="s">
        <v>921</v>
      </c>
      <c r="B12" t="s">
        <v>932</v>
      </c>
      <c r="C12">
        <v>0</v>
      </c>
      <c r="D12">
        <v>0</v>
      </c>
      <c r="E12" t="s">
        <v>96</v>
      </c>
      <c r="I12" t="s">
        <v>933</v>
      </c>
    </row>
    <row r="13" spans="1:9">
      <c r="A13" t="s">
        <v>921</v>
      </c>
      <c r="B13" t="s">
        <v>839</v>
      </c>
      <c r="C13">
        <v>0</v>
      </c>
      <c r="D13">
        <v>0</v>
      </c>
      <c r="E13" t="s">
        <v>96</v>
      </c>
    </row>
    <row r="14" spans="1:9">
      <c r="A14" t="s">
        <v>921</v>
      </c>
      <c r="B14" t="s">
        <v>934</v>
      </c>
      <c r="C14">
        <v>0</v>
      </c>
      <c r="D14">
        <v>0</v>
      </c>
      <c r="E14" t="s">
        <v>97</v>
      </c>
      <c r="F14" t="s">
        <v>935</v>
      </c>
      <c r="G14" t="s">
        <v>933</v>
      </c>
    </row>
    <row r="15" spans="1:9">
      <c r="A15" t="s">
        <v>921</v>
      </c>
      <c r="B15" t="s">
        <v>833</v>
      </c>
      <c r="C15">
        <v>0</v>
      </c>
      <c r="D15">
        <v>0</v>
      </c>
      <c r="E15" t="s">
        <v>97</v>
      </c>
    </row>
    <row r="16" spans="1:9">
      <c r="A16" t="s">
        <v>921</v>
      </c>
      <c r="B16" t="s">
        <v>936</v>
      </c>
      <c r="C16">
        <v>0</v>
      </c>
      <c r="D16">
        <v>0</v>
      </c>
      <c r="E16" t="s">
        <v>97</v>
      </c>
      <c r="H16" t="s">
        <v>929</v>
      </c>
      <c r="I16" t="s">
        <v>933</v>
      </c>
    </row>
    <row r="17" spans="1:9">
      <c r="A17" t="s">
        <v>921</v>
      </c>
      <c r="B17" t="s">
        <v>937</v>
      </c>
      <c r="C17">
        <v>0</v>
      </c>
      <c r="D17">
        <v>0</v>
      </c>
      <c r="E17" t="s">
        <v>97</v>
      </c>
    </row>
    <row r="18" spans="1:9">
      <c r="A18" t="s">
        <v>921</v>
      </c>
      <c r="B18" t="s">
        <v>938</v>
      </c>
      <c r="C18">
        <v>0</v>
      </c>
      <c r="D18">
        <v>0</v>
      </c>
      <c r="E18" t="s">
        <v>98</v>
      </c>
      <c r="F18" t="s">
        <v>939</v>
      </c>
    </row>
    <row r="19" spans="1:9">
      <c r="A19" t="s">
        <v>921</v>
      </c>
      <c r="B19" t="s">
        <v>940</v>
      </c>
      <c r="C19">
        <v>0</v>
      </c>
      <c r="D19">
        <v>0</v>
      </c>
      <c r="E19" t="s">
        <v>98</v>
      </c>
    </row>
    <row r="20" spans="1:9">
      <c r="A20" t="s">
        <v>921</v>
      </c>
      <c r="B20" t="s">
        <v>845</v>
      </c>
      <c r="C20">
        <v>0</v>
      </c>
      <c r="D20">
        <v>0</v>
      </c>
      <c r="E20" t="s">
        <v>98</v>
      </c>
    </row>
    <row r="21" spans="1:9">
      <c r="A21" t="s">
        <v>921</v>
      </c>
      <c r="B21" t="s">
        <v>846</v>
      </c>
      <c r="C21">
        <v>0</v>
      </c>
      <c r="D21">
        <v>0</v>
      </c>
      <c r="E21" t="s">
        <v>98</v>
      </c>
    </row>
    <row r="22" spans="1:9">
      <c r="A22" t="s">
        <v>921</v>
      </c>
      <c r="B22" t="s">
        <v>941</v>
      </c>
      <c r="C22">
        <v>0</v>
      </c>
      <c r="D22">
        <v>0</v>
      </c>
      <c r="E22" t="s">
        <v>101</v>
      </c>
      <c r="G22" t="s">
        <v>942</v>
      </c>
      <c r="I22" t="s">
        <v>942</v>
      </c>
    </row>
    <row r="23" spans="1:9">
      <c r="A23" t="s">
        <v>921</v>
      </c>
      <c r="B23" t="s">
        <v>943</v>
      </c>
      <c r="C23">
        <v>0</v>
      </c>
      <c r="D23">
        <v>0</v>
      </c>
      <c r="E23" t="s">
        <v>101</v>
      </c>
    </row>
    <row r="24" spans="1:9">
      <c r="A24" t="s">
        <v>921</v>
      </c>
      <c r="B24" t="s">
        <v>849</v>
      </c>
      <c r="C24">
        <v>0</v>
      </c>
      <c r="D24">
        <v>0</v>
      </c>
      <c r="E24" t="s">
        <v>101</v>
      </c>
      <c r="I24" t="s">
        <v>944</v>
      </c>
    </row>
    <row r="25" spans="1:9">
      <c r="A25" t="s">
        <v>921</v>
      </c>
      <c r="B25" t="s">
        <v>850</v>
      </c>
      <c r="C25">
        <v>0</v>
      </c>
      <c r="D25">
        <v>0</v>
      </c>
      <c r="E25" t="s">
        <v>101</v>
      </c>
      <c r="F25" t="s">
        <v>945</v>
      </c>
    </row>
    <row r="26" spans="1:9">
      <c r="A26" t="s">
        <v>921</v>
      </c>
      <c r="B26" t="s">
        <v>946</v>
      </c>
      <c r="C26">
        <v>0</v>
      </c>
      <c r="D26">
        <v>0</v>
      </c>
      <c r="E26" t="s">
        <v>102</v>
      </c>
      <c r="F26" t="s">
        <v>947</v>
      </c>
    </row>
    <row r="27" spans="1:9">
      <c r="A27" t="s">
        <v>921</v>
      </c>
      <c r="B27" t="s">
        <v>852</v>
      </c>
      <c r="C27">
        <v>0</v>
      </c>
      <c r="D27">
        <v>0</v>
      </c>
      <c r="E27" t="s">
        <v>102</v>
      </c>
    </row>
    <row r="28" spans="1:9">
      <c r="A28" t="s">
        <v>921</v>
      </c>
      <c r="B28" t="s">
        <v>853</v>
      </c>
      <c r="C28">
        <v>0</v>
      </c>
      <c r="D28">
        <v>0</v>
      </c>
      <c r="E28" t="s">
        <v>102</v>
      </c>
    </row>
    <row r="29" spans="1:9">
      <c r="A29" t="s">
        <v>921</v>
      </c>
      <c r="B29" t="s">
        <v>948</v>
      </c>
      <c r="C29">
        <v>0</v>
      </c>
      <c r="D29">
        <v>0</v>
      </c>
      <c r="E29" t="s">
        <v>102</v>
      </c>
      <c r="H29" t="s">
        <v>949</v>
      </c>
    </row>
    <row r="30" spans="1:9">
      <c r="A30" t="s">
        <v>921</v>
      </c>
      <c r="B30" t="s">
        <v>855</v>
      </c>
      <c r="C30">
        <v>0</v>
      </c>
      <c r="D30">
        <v>0</v>
      </c>
      <c r="E30" t="s">
        <v>102</v>
      </c>
      <c r="I30" t="s">
        <v>950</v>
      </c>
    </row>
    <row r="31" spans="1:9">
      <c r="A31" t="s">
        <v>921</v>
      </c>
      <c r="B31" t="s">
        <v>951</v>
      </c>
      <c r="C31">
        <v>0</v>
      </c>
      <c r="D31">
        <v>0</v>
      </c>
      <c r="E31" t="s">
        <v>102</v>
      </c>
    </row>
    <row r="32" spans="1:9">
      <c r="A32" t="s">
        <v>921</v>
      </c>
      <c r="B32" t="s">
        <v>952</v>
      </c>
      <c r="C32">
        <v>0</v>
      </c>
      <c r="D32">
        <v>0</v>
      </c>
      <c r="E32" t="s">
        <v>104</v>
      </c>
    </row>
    <row r="33" spans="1:9">
      <c r="A33" t="s">
        <v>921</v>
      </c>
      <c r="B33" t="s">
        <v>858</v>
      </c>
      <c r="C33">
        <v>0</v>
      </c>
      <c r="D33">
        <v>0</v>
      </c>
      <c r="E33" t="s">
        <v>104</v>
      </c>
      <c r="G33" t="s">
        <v>929</v>
      </c>
    </row>
    <row r="34" spans="1:9">
      <c r="A34" t="s">
        <v>921</v>
      </c>
      <c r="B34" t="s">
        <v>953</v>
      </c>
      <c r="C34">
        <v>0</v>
      </c>
      <c r="D34">
        <v>0</v>
      </c>
      <c r="E34" t="s">
        <v>104</v>
      </c>
    </row>
    <row r="35" spans="1:9">
      <c r="A35" t="s">
        <v>921</v>
      </c>
      <c r="B35" t="s">
        <v>860</v>
      </c>
      <c r="C35">
        <v>0</v>
      </c>
      <c r="D35">
        <v>0</v>
      </c>
      <c r="E35" t="s">
        <v>104</v>
      </c>
      <c r="I35" t="s">
        <v>929</v>
      </c>
    </row>
    <row r="36" spans="1:9">
      <c r="A36" t="s">
        <v>921</v>
      </c>
      <c r="B36" t="s">
        <v>846</v>
      </c>
      <c r="C36">
        <v>0</v>
      </c>
      <c r="D36">
        <v>0</v>
      </c>
      <c r="E36" t="s">
        <v>104</v>
      </c>
    </row>
    <row r="37" spans="1:9">
      <c r="A37" t="s">
        <v>921</v>
      </c>
      <c r="B37" t="s">
        <v>954</v>
      </c>
      <c r="C37">
        <v>0</v>
      </c>
      <c r="D37">
        <v>0</v>
      </c>
      <c r="E37" t="s">
        <v>105</v>
      </c>
      <c r="G37" t="s">
        <v>955</v>
      </c>
    </row>
    <row r="38" spans="1:9">
      <c r="A38" t="s">
        <v>921</v>
      </c>
      <c r="B38" t="s">
        <v>956</v>
      </c>
      <c r="C38">
        <v>0</v>
      </c>
      <c r="D38">
        <v>0</v>
      </c>
      <c r="E38" t="s">
        <v>105</v>
      </c>
    </row>
    <row r="39" spans="1:9">
      <c r="A39" t="s">
        <v>921</v>
      </c>
      <c r="B39" t="s">
        <v>846</v>
      </c>
      <c r="C39">
        <v>0</v>
      </c>
      <c r="D39">
        <v>0</v>
      </c>
      <c r="E39" t="s">
        <v>105</v>
      </c>
    </row>
    <row r="40" spans="1:9">
      <c r="A40" t="s">
        <v>921</v>
      </c>
      <c r="B40" t="s">
        <v>957</v>
      </c>
      <c r="C40">
        <v>0</v>
      </c>
      <c r="D40">
        <v>0</v>
      </c>
      <c r="E40" t="s">
        <v>106</v>
      </c>
      <c r="G40" t="s">
        <v>945</v>
      </c>
    </row>
    <row r="41" spans="1:9">
      <c r="A41" t="s">
        <v>921</v>
      </c>
      <c r="B41" t="s">
        <v>958</v>
      </c>
      <c r="C41">
        <v>0</v>
      </c>
      <c r="D41">
        <v>0</v>
      </c>
      <c r="E41" t="s">
        <v>106</v>
      </c>
    </row>
    <row r="42" spans="1:9">
      <c r="A42" t="s">
        <v>921</v>
      </c>
      <c r="B42" t="s">
        <v>959</v>
      </c>
      <c r="C42">
        <v>0</v>
      </c>
      <c r="D42">
        <v>0</v>
      </c>
      <c r="E42" t="s">
        <v>106</v>
      </c>
      <c r="H42" t="s">
        <v>933</v>
      </c>
    </row>
    <row r="43" spans="1:9">
      <c r="A43" t="s">
        <v>921</v>
      </c>
      <c r="B43" t="s">
        <v>866</v>
      </c>
      <c r="C43">
        <v>0</v>
      </c>
      <c r="D43">
        <v>0</v>
      </c>
      <c r="E43" t="s">
        <v>106</v>
      </c>
    </row>
    <row r="44" spans="1:9">
      <c r="A44" t="s">
        <v>921</v>
      </c>
      <c r="B44" t="s">
        <v>867</v>
      </c>
      <c r="C44">
        <v>0</v>
      </c>
      <c r="D44">
        <v>0</v>
      </c>
      <c r="E44" t="s">
        <v>106</v>
      </c>
    </row>
    <row r="45" spans="1:9">
      <c r="A45" t="s">
        <v>921</v>
      </c>
      <c r="B45" t="s">
        <v>868</v>
      </c>
      <c r="C45">
        <v>0</v>
      </c>
      <c r="D45">
        <v>0</v>
      </c>
      <c r="E45" t="s">
        <v>106</v>
      </c>
      <c r="I45" t="s">
        <v>960</v>
      </c>
    </row>
    <row r="46" spans="1:9">
      <c r="A46" t="s">
        <v>921</v>
      </c>
      <c r="B46" t="s">
        <v>961</v>
      </c>
      <c r="C46">
        <v>0</v>
      </c>
      <c r="D46">
        <v>0</v>
      </c>
      <c r="E46" t="s">
        <v>107</v>
      </c>
    </row>
    <row r="47" spans="1:9">
      <c r="A47" t="s">
        <v>921</v>
      </c>
      <c r="B47" t="s">
        <v>870</v>
      </c>
      <c r="C47">
        <v>0</v>
      </c>
      <c r="D47">
        <v>0</v>
      </c>
      <c r="E47" t="s">
        <v>107</v>
      </c>
    </row>
    <row r="48" spans="1:9">
      <c r="A48" t="s">
        <v>921</v>
      </c>
      <c r="B48" t="s">
        <v>962</v>
      </c>
      <c r="C48">
        <v>0</v>
      </c>
      <c r="D48">
        <v>0</v>
      </c>
      <c r="E48" t="s">
        <v>107</v>
      </c>
      <c r="I48" t="s">
        <v>933</v>
      </c>
    </row>
    <row r="49" spans="1:9">
      <c r="A49" t="s">
        <v>921</v>
      </c>
      <c r="B49" t="s">
        <v>839</v>
      </c>
      <c r="C49">
        <v>0</v>
      </c>
      <c r="D49">
        <v>0</v>
      </c>
      <c r="E49" t="s">
        <v>107</v>
      </c>
    </row>
    <row r="50" spans="1:9">
      <c r="A50" t="s">
        <v>921</v>
      </c>
      <c r="B50" t="s">
        <v>963</v>
      </c>
      <c r="C50">
        <v>0</v>
      </c>
      <c r="D50">
        <v>0</v>
      </c>
      <c r="E50" t="s">
        <v>108</v>
      </c>
      <c r="F50" t="s">
        <v>929</v>
      </c>
    </row>
    <row r="51" spans="1:9">
      <c r="A51" t="s">
        <v>921</v>
      </c>
      <c r="B51" t="s">
        <v>964</v>
      </c>
      <c r="C51">
        <v>0</v>
      </c>
      <c r="D51">
        <v>0</v>
      </c>
      <c r="E51" t="s">
        <v>109</v>
      </c>
      <c r="F51" t="s">
        <v>942</v>
      </c>
    </row>
    <row r="52" spans="1:9">
      <c r="A52" t="s">
        <v>921</v>
      </c>
      <c r="B52" t="s">
        <v>874</v>
      </c>
      <c r="C52">
        <v>0</v>
      </c>
      <c r="D52">
        <v>0</v>
      </c>
      <c r="E52" t="s">
        <v>109</v>
      </c>
    </row>
    <row r="53" spans="1:9">
      <c r="A53" t="s">
        <v>921</v>
      </c>
      <c r="B53" t="s">
        <v>965</v>
      </c>
      <c r="C53">
        <v>0</v>
      </c>
      <c r="D53">
        <v>0</v>
      </c>
      <c r="E53" t="s">
        <v>109</v>
      </c>
      <c r="I53" t="s">
        <v>925</v>
      </c>
    </row>
    <row r="54" spans="1:9">
      <c r="A54" t="s">
        <v>921</v>
      </c>
      <c r="B54" t="s">
        <v>966</v>
      </c>
      <c r="C54">
        <v>0</v>
      </c>
      <c r="D54">
        <v>0</v>
      </c>
      <c r="E54" t="s">
        <v>109</v>
      </c>
    </row>
    <row r="55" spans="1:9">
      <c r="A55" t="s">
        <v>921</v>
      </c>
      <c r="B55" t="s">
        <v>967</v>
      </c>
      <c r="C55">
        <v>0</v>
      </c>
      <c r="D55">
        <v>0</v>
      </c>
      <c r="E55" t="s">
        <v>110</v>
      </c>
      <c r="F55" t="s">
        <v>968</v>
      </c>
    </row>
    <row r="56" spans="1:9">
      <c r="A56" t="s">
        <v>921</v>
      </c>
      <c r="B56" t="s">
        <v>969</v>
      </c>
      <c r="C56">
        <v>0</v>
      </c>
      <c r="D56">
        <v>0</v>
      </c>
      <c r="E56" t="s">
        <v>110</v>
      </c>
      <c r="H56" t="s">
        <v>970</v>
      </c>
    </row>
    <row r="57" spans="1:9">
      <c r="A57" t="s">
        <v>921</v>
      </c>
      <c r="B57" t="s">
        <v>879</v>
      </c>
      <c r="C57">
        <v>0</v>
      </c>
      <c r="D57">
        <v>0</v>
      </c>
      <c r="E57" t="s">
        <v>110</v>
      </c>
    </row>
    <row r="58" spans="1:9">
      <c r="A58" t="s">
        <v>921</v>
      </c>
      <c r="B58" t="s">
        <v>846</v>
      </c>
      <c r="C58">
        <v>0</v>
      </c>
      <c r="D58">
        <v>0</v>
      </c>
      <c r="E58" t="s">
        <v>110</v>
      </c>
    </row>
    <row r="59" spans="1:9">
      <c r="A59" t="s">
        <v>921</v>
      </c>
      <c r="B59" t="s">
        <v>971</v>
      </c>
      <c r="C59">
        <v>0</v>
      </c>
      <c r="D59">
        <v>0</v>
      </c>
      <c r="E59" t="s">
        <v>111</v>
      </c>
      <c r="G59" t="s">
        <v>972</v>
      </c>
    </row>
    <row r="60" spans="1:9">
      <c r="A60" t="s">
        <v>921</v>
      </c>
      <c r="B60" t="s">
        <v>973</v>
      </c>
      <c r="C60">
        <v>0</v>
      </c>
      <c r="D60">
        <v>0</v>
      </c>
      <c r="E60" t="s">
        <v>111</v>
      </c>
    </row>
    <row r="61" spans="1:9">
      <c r="A61" t="s">
        <v>921</v>
      </c>
      <c r="B61" t="s">
        <v>882</v>
      </c>
      <c r="C61">
        <v>0</v>
      </c>
      <c r="D61">
        <v>0</v>
      </c>
      <c r="E61" t="s">
        <v>111</v>
      </c>
    </row>
    <row r="62" spans="1:9">
      <c r="A62" t="s">
        <v>921</v>
      </c>
      <c r="B62" t="s">
        <v>974</v>
      </c>
      <c r="C62">
        <v>0</v>
      </c>
      <c r="D62">
        <v>0</v>
      </c>
      <c r="E62" t="s">
        <v>111</v>
      </c>
      <c r="F62" t="s">
        <v>968</v>
      </c>
    </row>
    <row r="63" spans="1:9">
      <c r="A63" t="s">
        <v>921</v>
      </c>
      <c r="B63" t="s">
        <v>975</v>
      </c>
      <c r="C63">
        <v>0</v>
      </c>
      <c r="D63">
        <v>0</v>
      </c>
      <c r="E63" t="s">
        <v>118</v>
      </c>
    </row>
    <row r="64" spans="1:9">
      <c r="A64" t="s">
        <v>921</v>
      </c>
      <c r="B64" t="s">
        <v>976</v>
      </c>
      <c r="C64">
        <v>0</v>
      </c>
      <c r="D64">
        <v>0</v>
      </c>
      <c r="E64" t="s">
        <v>118</v>
      </c>
    </row>
    <row r="65" spans="1:9">
      <c r="A65" t="s">
        <v>921</v>
      </c>
      <c r="B65" t="s">
        <v>886</v>
      </c>
      <c r="C65">
        <v>0</v>
      </c>
      <c r="D65">
        <v>0</v>
      </c>
      <c r="E65" t="s">
        <v>118</v>
      </c>
    </row>
    <row r="66" spans="1:9">
      <c r="A66" t="s">
        <v>921</v>
      </c>
      <c r="B66" t="s">
        <v>977</v>
      </c>
      <c r="C66">
        <v>0</v>
      </c>
      <c r="D66">
        <v>0</v>
      </c>
      <c r="E66" t="s">
        <v>118</v>
      </c>
    </row>
    <row r="67" spans="1:9">
      <c r="A67" t="s">
        <v>921</v>
      </c>
      <c r="B67" t="s">
        <v>978</v>
      </c>
      <c r="C67">
        <v>0</v>
      </c>
      <c r="D67">
        <v>0</v>
      </c>
      <c r="E67" t="s">
        <v>118</v>
      </c>
      <c r="H67" t="s">
        <v>929</v>
      </c>
    </row>
    <row r="68" spans="1:9">
      <c r="A68" t="s">
        <v>921</v>
      </c>
      <c r="B68" t="s">
        <v>889</v>
      </c>
      <c r="C68">
        <v>0</v>
      </c>
      <c r="D68">
        <v>0</v>
      </c>
      <c r="E68" t="s">
        <v>118</v>
      </c>
    </row>
    <row r="69" spans="1:9">
      <c r="A69" t="s">
        <v>921</v>
      </c>
      <c r="B69" t="s">
        <v>846</v>
      </c>
      <c r="C69">
        <v>0</v>
      </c>
      <c r="D69">
        <v>0</v>
      </c>
      <c r="E69" t="s">
        <v>118</v>
      </c>
    </row>
    <row r="70" spans="1:9">
      <c r="A70" t="s">
        <v>921</v>
      </c>
      <c r="B70" t="s">
        <v>979</v>
      </c>
      <c r="C70">
        <v>0</v>
      </c>
      <c r="D70">
        <v>0</v>
      </c>
      <c r="E70" t="s">
        <v>980</v>
      </c>
      <c r="H70" t="s">
        <v>949</v>
      </c>
    </row>
    <row r="71" spans="1:9">
      <c r="A71" t="s">
        <v>921</v>
      </c>
      <c r="B71" t="s">
        <v>891</v>
      </c>
      <c r="C71">
        <v>0</v>
      </c>
      <c r="D71">
        <v>0</v>
      </c>
      <c r="E71" t="s">
        <v>980</v>
      </c>
    </row>
    <row r="72" spans="1:9">
      <c r="A72" t="s">
        <v>921</v>
      </c>
      <c r="B72" t="s">
        <v>892</v>
      </c>
      <c r="C72">
        <v>0</v>
      </c>
      <c r="D72">
        <v>0</v>
      </c>
      <c r="E72" t="s">
        <v>980</v>
      </c>
      <c r="I72" t="s">
        <v>981</v>
      </c>
    </row>
    <row r="73" spans="1:9">
      <c r="A73" t="s">
        <v>921</v>
      </c>
      <c r="B73" t="s">
        <v>846</v>
      </c>
      <c r="C73">
        <v>0</v>
      </c>
      <c r="D73">
        <v>0</v>
      </c>
      <c r="E73" t="s">
        <v>980</v>
      </c>
    </row>
    <row r="74" spans="1:9">
      <c r="A74" t="s">
        <v>921</v>
      </c>
      <c r="B74" t="s">
        <v>982</v>
      </c>
      <c r="C74">
        <v>0</v>
      </c>
      <c r="D74">
        <v>0</v>
      </c>
      <c r="E74" t="s">
        <v>384</v>
      </c>
      <c r="H74" t="s">
        <v>950</v>
      </c>
    </row>
    <row r="75" spans="1:9">
      <c r="A75" t="s">
        <v>921</v>
      </c>
      <c r="B75" t="s">
        <v>889</v>
      </c>
      <c r="C75">
        <v>0</v>
      </c>
      <c r="D75">
        <v>0</v>
      </c>
      <c r="E75" t="s">
        <v>384</v>
      </c>
    </row>
    <row r="76" spans="1:9">
      <c r="A76" t="s">
        <v>921</v>
      </c>
      <c r="B76" t="s">
        <v>846</v>
      </c>
      <c r="C76">
        <v>0</v>
      </c>
      <c r="D76">
        <v>0</v>
      </c>
      <c r="E76" t="s">
        <v>384</v>
      </c>
    </row>
    <row r="77" spans="1:9">
      <c r="A77" t="s">
        <v>921</v>
      </c>
      <c r="B77" t="s">
        <v>983</v>
      </c>
      <c r="C77">
        <v>0</v>
      </c>
      <c r="D77">
        <v>0</v>
      </c>
      <c r="E77" t="s">
        <v>140</v>
      </c>
      <c r="H77" t="s">
        <v>933</v>
      </c>
    </row>
    <row r="78" spans="1:9">
      <c r="A78" t="s">
        <v>921</v>
      </c>
      <c r="B78" t="s">
        <v>889</v>
      </c>
      <c r="C78">
        <v>0</v>
      </c>
      <c r="D78">
        <v>0</v>
      </c>
      <c r="E78" t="s">
        <v>140</v>
      </c>
    </row>
    <row r="79" spans="1:9">
      <c r="A79" t="s">
        <v>921</v>
      </c>
      <c r="B79" t="s">
        <v>846</v>
      </c>
      <c r="C79">
        <v>0</v>
      </c>
      <c r="D79">
        <v>0</v>
      </c>
      <c r="E79" t="s">
        <v>140</v>
      </c>
    </row>
    <row r="80" spans="1:9">
      <c r="A80" t="s">
        <v>921</v>
      </c>
      <c r="B80" t="s">
        <v>984</v>
      </c>
      <c r="C80">
        <v>0</v>
      </c>
      <c r="D80">
        <v>0</v>
      </c>
      <c r="E80" t="s">
        <v>143</v>
      </c>
      <c r="F80" t="s">
        <v>981</v>
      </c>
    </row>
    <row r="81" spans="1:9">
      <c r="A81" t="s">
        <v>921</v>
      </c>
      <c r="B81" t="s">
        <v>896</v>
      </c>
      <c r="C81">
        <v>0</v>
      </c>
      <c r="D81">
        <v>0</v>
      </c>
      <c r="E81" t="s">
        <v>143</v>
      </c>
      <c r="G81" t="s">
        <v>985</v>
      </c>
    </row>
    <row r="82" spans="1:9">
      <c r="A82" t="s">
        <v>921</v>
      </c>
      <c r="B82" t="s">
        <v>986</v>
      </c>
      <c r="C82">
        <v>0</v>
      </c>
      <c r="D82">
        <v>0</v>
      </c>
      <c r="E82" t="s">
        <v>143</v>
      </c>
    </row>
    <row r="83" spans="1:9">
      <c r="A83" t="s">
        <v>921</v>
      </c>
      <c r="B83" t="s">
        <v>898</v>
      </c>
      <c r="C83">
        <v>0</v>
      </c>
      <c r="D83">
        <v>0</v>
      </c>
      <c r="E83" t="s">
        <v>143</v>
      </c>
      <c r="I83" t="s">
        <v>981</v>
      </c>
    </row>
    <row r="84" spans="1:9">
      <c r="A84" t="s">
        <v>921</v>
      </c>
      <c r="B84" t="s">
        <v>899</v>
      </c>
      <c r="C84">
        <v>0</v>
      </c>
      <c r="D84">
        <v>0</v>
      </c>
      <c r="E84" t="s">
        <v>143</v>
      </c>
    </row>
    <row r="85" spans="1:9">
      <c r="A85" t="s">
        <v>921</v>
      </c>
      <c r="B85" t="s">
        <v>987</v>
      </c>
      <c r="C85">
        <v>0</v>
      </c>
      <c r="D85">
        <v>0</v>
      </c>
      <c r="E85" t="s">
        <v>143</v>
      </c>
    </row>
    <row r="86" spans="1:9">
      <c r="A86" t="s">
        <v>921</v>
      </c>
      <c r="B86" t="s">
        <v>901</v>
      </c>
      <c r="C86">
        <v>0</v>
      </c>
      <c r="D86">
        <v>0</v>
      </c>
      <c r="E86" t="s">
        <v>143</v>
      </c>
    </row>
    <row r="87" spans="1:9">
      <c r="A87" t="s">
        <v>921</v>
      </c>
      <c r="B87" t="s">
        <v>988</v>
      </c>
      <c r="C87">
        <v>0</v>
      </c>
      <c r="D87">
        <v>0</v>
      </c>
      <c r="E87" t="s">
        <v>143</v>
      </c>
      <c r="I87" t="s">
        <v>985</v>
      </c>
    </row>
    <row r="88" spans="1:9">
      <c r="A88" t="s">
        <v>921</v>
      </c>
      <c r="B88" t="s">
        <v>903</v>
      </c>
      <c r="C88">
        <v>0</v>
      </c>
      <c r="D88">
        <v>0</v>
      </c>
      <c r="E88" t="s">
        <v>143</v>
      </c>
    </row>
    <row r="89" spans="1:9">
      <c r="A89" t="s">
        <v>921</v>
      </c>
      <c r="B89" t="s">
        <v>989</v>
      </c>
      <c r="C89">
        <v>0</v>
      </c>
      <c r="D89">
        <v>0</v>
      </c>
      <c r="E89" t="s">
        <v>143</v>
      </c>
    </row>
    <row r="90" spans="1:9">
      <c r="A90" t="s">
        <v>921</v>
      </c>
      <c r="B90" t="s">
        <v>990</v>
      </c>
      <c r="C90">
        <v>0</v>
      </c>
      <c r="D90">
        <v>0</v>
      </c>
      <c r="E90" t="s">
        <v>143</v>
      </c>
    </row>
    <row r="91" spans="1:9">
      <c r="A91" t="s">
        <v>921</v>
      </c>
      <c r="B91" t="s">
        <v>991</v>
      </c>
      <c r="C91">
        <v>0</v>
      </c>
      <c r="D91">
        <v>0</v>
      </c>
      <c r="E91" t="s">
        <v>143</v>
      </c>
    </row>
    <row r="92" spans="1:9">
      <c r="A92" t="s">
        <v>921</v>
      </c>
      <c r="B92" t="s">
        <v>992</v>
      </c>
      <c r="C92">
        <v>0</v>
      </c>
      <c r="D92">
        <v>0</v>
      </c>
      <c r="E92" t="s">
        <v>143</v>
      </c>
    </row>
    <row r="93" spans="1:9">
      <c r="A93" t="s">
        <v>921</v>
      </c>
      <c r="B93" t="s">
        <v>993</v>
      </c>
      <c r="C93">
        <v>0</v>
      </c>
      <c r="D93">
        <v>0</v>
      </c>
      <c r="E93" t="s">
        <v>143</v>
      </c>
    </row>
    <row r="94" spans="1:9">
      <c r="A94" t="s">
        <v>921</v>
      </c>
      <c r="B94" t="s">
        <v>994</v>
      </c>
      <c r="C94">
        <v>0</v>
      </c>
      <c r="D94">
        <v>0</v>
      </c>
      <c r="E94" t="s">
        <v>143</v>
      </c>
    </row>
    <row r="95" spans="1:9">
      <c r="A95" t="s">
        <v>921</v>
      </c>
      <c r="B95" t="s">
        <v>995</v>
      </c>
      <c r="C95">
        <v>0</v>
      </c>
      <c r="D95">
        <v>0</v>
      </c>
      <c r="E95" t="s">
        <v>143</v>
      </c>
    </row>
    <row r="96" spans="1:9">
      <c r="A96" t="s">
        <v>921</v>
      </c>
      <c r="B96" t="s">
        <v>996</v>
      </c>
      <c r="C96">
        <v>0</v>
      </c>
      <c r="D96">
        <v>0</v>
      </c>
      <c r="E96" t="s">
        <v>143</v>
      </c>
    </row>
    <row r="97" spans="1:9">
      <c r="A97" t="s">
        <v>921</v>
      </c>
      <c r="B97" t="s">
        <v>997</v>
      </c>
      <c r="C97">
        <v>0</v>
      </c>
      <c r="D97">
        <v>0</v>
      </c>
      <c r="E97" t="s">
        <v>143</v>
      </c>
    </row>
    <row r="98" spans="1:9">
      <c r="A98" t="s">
        <v>921</v>
      </c>
      <c r="B98" t="s">
        <v>913</v>
      </c>
      <c r="C98">
        <v>0</v>
      </c>
      <c r="D98">
        <v>0</v>
      </c>
      <c r="E98" t="s">
        <v>143</v>
      </c>
      <c r="I98" t="s">
        <v>998</v>
      </c>
    </row>
    <row r="99" spans="1:9">
      <c r="A99" t="s">
        <v>921</v>
      </c>
      <c r="B99" t="s">
        <v>999</v>
      </c>
      <c r="C99">
        <v>0</v>
      </c>
      <c r="D99">
        <v>0</v>
      </c>
      <c r="E99" t="s">
        <v>143</v>
      </c>
    </row>
    <row r="100" spans="1:9">
      <c r="A100" t="s">
        <v>921</v>
      </c>
      <c r="B100" t="s">
        <v>1000</v>
      </c>
      <c r="C100">
        <v>0</v>
      </c>
      <c r="D100">
        <v>0</v>
      </c>
      <c r="E100" t="s">
        <v>143</v>
      </c>
      <c r="G100" t="s">
        <v>985</v>
      </c>
    </row>
    <row r="101" spans="1:9">
      <c r="A101" t="s">
        <v>921</v>
      </c>
      <c r="B101" t="s">
        <v>916</v>
      </c>
      <c r="C101">
        <v>0</v>
      </c>
      <c r="D101">
        <v>0</v>
      </c>
      <c r="E101" t="s">
        <v>143</v>
      </c>
    </row>
    <row r="102" spans="1:9">
      <c r="A102" t="s">
        <v>921</v>
      </c>
      <c r="B102" t="s">
        <v>846</v>
      </c>
      <c r="C102">
        <v>0</v>
      </c>
      <c r="D102">
        <v>0</v>
      </c>
      <c r="E102" t="s">
        <v>143</v>
      </c>
    </row>
    <row r="103" spans="1:9">
      <c r="A103" t="s">
        <v>921</v>
      </c>
      <c r="B103" t="s">
        <v>175</v>
      </c>
      <c r="C103">
        <v>0</v>
      </c>
      <c r="D103">
        <v>0</v>
      </c>
      <c r="E103" t="s">
        <v>143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4.5"/>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4.5"/>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4.5"/>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4.5"/>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Q49"/>
  <sheetViews>
    <sheetView workbookViewId="0"/>
  </sheetViews>
  <sheetFormatPr defaultRowHeight="14.5"/>
  <sheetData>
    <row r="1" spans="1:43">
      <c r="A1" t="s">
        <v>166</v>
      </c>
      <c r="B1" t="s">
        <v>276</v>
      </c>
      <c r="C1" t="s">
        <v>1001</v>
      </c>
      <c r="D1" t="s">
        <v>1002</v>
      </c>
      <c r="E1" t="s">
        <v>1003</v>
      </c>
      <c r="F1" t="s">
        <v>1004</v>
      </c>
      <c r="G1" t="s">
        <v>1005</v>
      </c>
      <c r="H1" t="s">
        <v>1006</v>
      </c>
      <c r="I1" t="s">
        <v>1007</v>
      </c>
      <c r="J1" t="s">
        <v>1008</v>
      </c>
      <c r="K1" t="s">
        <v>1009</v>
      </c>
      <c r="L1" t="s">
        <v>1010</v>
      </c>
      <c r="M1" t="s">
        <v>1011</v>
      </c>
      <c r="N1" t="s">
        <v>1012</v>
      </c>
      <c r="O1" t="s">
        <v>1013</v>
      </c>
      <c r="P1" t="s">
        <v>1014</v>
      </c>
      <c r="Q1" t="s">
        <v>1015</v>
      </c>
      <c r="R1" t="s">
        <v>1016</v>
      </c>
      <c r="S1" t="s">
        <v>1017</v>
      </c>
      <c r="T1" t="s">
        <v>1018</v>
      </c>
      <c r="U1" t="s">
        <v>1019</v>
      </c>
      <c r="V1" t="s">
        <v>1020</v>
      </c>
      <c r="W1" t="s">
        <v>1021</v>
      </c>
      <c r="X1" t="s">
        <v>430</v>
      </c>
      <c r="Y1" t="s">
        <v>431</v>
      </c>
      <c r="Z1" t="s">
        <v>432</v>
      </c>
      <c r="AA1" t="s">
        <v>433</v>
      </c>
      <c r="AB1" t="s">
        <v>434</v>
      </c>
      <c r="AC1" t="s">
        <v>1022</v>
      </c>
      <c r="AD1" t="s">
        <v>1023</v>
      </c>
      <c r="AE1" t="s">
        <v>437</v>
      </c>
      <c r="AF1" t="s">
        <v>438</v>
      </c>
      <c r="AG1" t="s">
        <v>439</v>
      </c>
      <c r="AH1" t="s">
        <v>440</v>
      </c>
      <c r="AI1" t="s">
        <v>441</v>
      </c>
      <c r="AJ1" t="s">
        <v>442</v>
      </c>
      <c r="AK1" t="s">
        <v>443</v>
      </c>
      <c r="AL1" t="s">
        <v>444</v>
      </c>
      <c r="AM1" t="s">
        <v>445</v>
      </c>
      <c r="AN1" t="s">
        <v>446</v>
      </c>
      <c r="AO1" t="s">
        <v>447</v>
      </c>
      <c r="AP1" t="s">
        <v>448</v>
      </c>
      <c r="AQ1" t="s">
        <v>1024</v>
      </c>
    </row>
    <row r="2" spans="1:43">
      <c r="A2" t="s">
        <v>752</v>
      </c>
      <c r="B2" t="s">
        <v>1025</v>
      </c>
      <c r="C2">
        <v>0</v>
      </c>
      <c r="D2">
        <v>0</v>
      </c>
      <c r="E2">
        <v>0</v>
      </c>
      <c r="F2">
        <v>0</v>
      </c>
      <c r="G2">
        <v>0</v>
      </c>
      <c r="H2">
        <v>0</v>
      </c>
      <c r="I2">
        <v>0</v>
      </c>
      <c r="J2">
        <v>0</v>
      </c>
      <c r="K2">
        <v>0</v>
      </c>
      <c r="L2">
        <v>0</v>
      </c>
      <c r="M2">
        <v>0</v>
      </c>
      <c r="N2">
        <v>0</v>
      </c>
      <c r="O2">
        <v>0</v>
      </c>
      <c r="P2">
        <v>0</v>
      </c>
      <c r="Q2">
        <v>0</v>
      </c>
      <c r="R2">
        <v>0</v>
      </c>
      <c r="S2">
        <v>0</v>
      </c>
      <c r="T2">
        <v>0</v>
      </c>
      <c r="U2">
        <v>0</v>
      </c>
      <c r="V2">
        <v>0</v>
      </c>
      <c r="W2">
        <v>0</v>
      </c>
      <c r="AQ2">
        <v>0</v>
      </c>
    </row>
    <row r="3" spans="1:43">
      <c r="A3" t="s">
        <v>610</v>
      </c>
      <c r="B3" t="s">
        <v>770</v>
      </c>
      <c r="C3">
        <v>0</v>
      </c>
      <c r="D3">
        <v>0</v>
      </c>
      <c r="E3">
        <v>0</v>
      </c>
      <c r="F3">
        <v>0</v>
      </c>
      <c r="G3">
        <v>0</v>
      </c>
      <c r="H3">
        <v>0</v>
      </c>
      <c r="I3">
        <v>0</v>
      </c>
      <c r="J3">
        <v>0</v>
      </c>
      <c r="K3">
        <v>0</v>
      </c>
      <c r="L3">
        <v>0</v>
      </c>
      <c r="M3">
        <v>0</v>
      </c>
      <c r="N3">
        <v>0</v>
      </c>
      <c r="O3">
        <v>0</v>
      </c>
      <c r="P3">
        <v>0</v>
      </c>
      <c r="Q3">
        <v>0</v>
      </c>
      <c r="R3">
        <v>0</v>
      </c>
      <c r="S3">
        <v>0</v>
      </c>
      <c r="T3">
        <v>30</v>
      </c>
      <c r="U3">
        <v>4</v>
      </c>
      <c r="V3">
        <v>30.5</v>
      </c>
      <c r="W3">
        <v>0</v>
      </c>
      <c r="X3">
        <v>30</v>
      </c>
      <c r="Y3">
        <v>4</v>
      </c>
      <c r="Z3">
        <v>30.5</v>
      </c>
      <c r="AA3">
        <v>30.5</v>
      </c>
      <c r="AB3">
        <v>0</v>
      </c>
      <c r="AC3">
        <v>30</v>
      </c>
      <c r="AD3">
        <v>4</v>
      </c>
      <c r="AQ3">
        <v>0</v>
      </c>
    </row>
    <row r="4" spans="1:43">
      <c r="A4" t="s">
        <v>610</v>
      </c>
      <c r="B4" t="s">
        <v>771</v>
      </c>
      <c r="C4">
        <v>0</v>
      </c>
      <c r="D4">
        <v>0</v>
      </c>
      <c r="E4">
        <v>0</v>
      </c>
      <c r="F4">
        <v>0</v>
      </c>
      <c r="G4">
        <v>0</v>
      </c>
      <c r="H4">
        <v>0</v>
      </c>
      <c r="I4">
        <v>0</v>
      </c>
      <c r="J4">
        <v>0</v>
      </c>
      <c r="K4">
        <v>0</v>
      </c>
      <c r="L4">
        <v>0</v>
      </c>
      <c r="M4">
        <v>0</v>
      </c>
      <c r="N4">
        <v>0</v>
      </c>
      <c r="O4">
        <v>0</v>
      </c>
      <c r="P4">
        <v>0</v>
      </c>
      <c r="Q4">
        <v>0</v>
      </c>
      <c r="R4">
        <v>0</v>
      </c>
      <c r="S4">
        <v>0</v>
      </c>
      <c r="T4">
        <v>0</v>
      </c>
      <c r="U4">
        <v>0</v>
      </c>
      <c r="V4">
        <v>0</v>
      </c>
      <c r="W4">
        <v>0</v>
      </c>
      <c r="X4">
        <v>0</v>
      </c>
      <c r="Y4">
        <v>6</v>
      </c>
      <c r="Z4">
        <v>0.75</v>
      </c>
      <c r="AA4">
        <v>0.75</v>
      </c>
      <c r="AB4">
        <v>0</v>
      </c>
      <c r="AC4">
        <v>0</v>
      </c>
      <c r="AD4">
        <v>6</v>
      </c>
      <c r="AQ4">
        <v>0</v>
      </c>
    </row>
    <row r="5" spans="1:43">
      <c r="A5" t="s">
        <v>610</v>
      </c>
      <c r="B5" t="s">
        <v>772</v>
      </c>
      <c r="C5">
        <v>0</v>
      </c>
      <c r="D5">
        <v>0</v>
      </c>
      <c r="E5">
        <v>0</v>
      </c>
      <c r="F5">
        <v>0</v>
      </c>
      <c r="G5">
        <v>0</v>
      </c>
      <c r="H5">
        <v>0</v>
      </c>
      <c r="I5">
        <v>0</v>
      </c>
      <c r="J5">
        <v>0</v>
      </c>
      <c r="K5">
        <v>0</v>
      </c>
      <c r="L5">
        <v>0</v>
      </c>
      <c r="M5">
        <v>0</v>
      </c>
      <c r="N5">
        <v>0</v>
      </c>
      <c r="O5">
        <v>0</v>
      </c>
      <c r="P5">
        <v>0</v>
      </c>
      <c r="Q5">
        <v>0</v>
      </c>
      <c r="R5">
        <v>0</v>
      </c>
      <c r="S5">
        <v>0</v>
      </c>
      <c r="T5">
        <v>0</v>
      </c>
      <c r="U5">
        <v>0</v>
      </c>
      <c r="V5">
        <v>0</v>
      </c>
      <c r="W5">
        <v>0</v>
      </c>
      <c r="X5">
        <v>22</v>
      </c>
      <c r="Y5">
        <v>4</v>
      </c>
      <c r="Z5">
        <v>22.5</v>
      </c>
      <c r="AA5">
        <v>22.5</v>
      </c>
      <c r="AB5">
        <v>0</v>
      </c>
      <c r="AC5">
        <v>22</v>
      </c>
      <c r="AD5">
        <v>4</v>
      </c>
      <c r="AQ5">
        <v>0</v>
      </c>
    </row>
    <row r="6" spans="1:43">
      <c r="A6" t="s">
        <v>610</v>
      </c>
      <c r="B6" t="s">
        <v>773</v>
      </c>
      <c r="C6">
        <v>0</v>
      </c>
      <c r="D6">
        <v>0</v>
      </c>
      <c r="E6">
        <v>0</v>
      </c>
      <c r="F6">
        <v>0</v>
      </c>
      <c r="G6">
        <v>0</v>
      </c>
      <c r="H6">
        <v>0</v>
      </c>
      <c r="I6">
        <v>0</v>
      </c>
      <c r="J6">
        <v>0</v>
      </c>
      <c r="K6">
        <v>0</v>
      </c>
      <c r="L6">
        <v>0</v>
      </c>
      <c r="M6">
        <v>0</v>
      </c>
      <c r="N6">
        <v>0</v>
      </c>
      <c r="O6">
        <v>0</v>
      </c>
      <c r="P6">
        <v>0</v>
      </c>
      <c r="Q6">
        <v>0</v>
      </c>
      <c r="R6">
        <v>0</v>
      </c>
      <c r="S6">
        <v>0</v>
      </c>
      <c r="T6">
        <v>0</v>
      </c>
      <c r="U6">
        <v>0</v>
      </c>
      <c r="V6">
        <v>0</v>
      </c>
      <c r="W6">
        <v>0</v>
      </c>
      <c r="X6">
        <v>9</v>
      </c>
      <c r="Y6">
        <v>2</v>
      </c>
      <c r="Z6">
        <v>9.25</v>
      </c>
      <c r="AA6">
        <v>9.25</v>
      </c>
      <c r="AB6">
        <v>0</v>
      </c>
      <c r="AC6">
        <v>9</v>
      </c>
      <c r="AD6">
        <v>2</v>
      </c>
      <c r="AQ6">
        <v>0</v>
      </c>
    </row>
    <row r="7" spans="1:43">
      <c r="A7" t="s">
        <v>610</v>
      </c>
      <c r="B7" t="s">
        <v>774</v>
      </c>
      <c r="C7">
        <v>0</v>
      </c>
      <c r="D7">
        <v>0</v>
      </c>
      <c r="E7">
        <v>0</v>
      </c>
      <c r="F7">
        <v>0</v>
      </c>
      <c r="G7">
        <v>0</v>
      </c>
      <c r="H7">
        <v>0</v>
      </c>
      <c r="I7">
        <v>0</v>
      </c>
      <c r="J7">
        <v>0</v>
      </c>
      <c r="K7">
        <v>0</v>
      </c>
      <c r="L7">
        <v>0</v>
      </c>
      <c r="M7">
        <v>0</v>
      </c>
      <c r="N7">
        <v>0</v>
      </c>
      <c r="O7">
        <v>0</v>
      </c>
      <c r="P7">
        <v>0</v>
      </c>
      <c r="Q7">
        <v>0</v>
      </c>
      <c r="R7">
        <v>0</v>
      </c>
      <c r="S7">
        <v>0</v>
      </c>
      <c r="T7">
        <v>0</v>
      </c>
      <c r="U7">
        <v>0</v>
      </c>
      <c r="V7">
        <v>0</v>
      </c>
      <c r="W7">
        <v>0</v>
      </c>
      <c r="X7">
        <v>63</v>
      </c>
      <c r="Y7">
        <v>0</v>
      </c>
      <c r="Z7">
        <v>63</v>
      </c>
      <c r="AA7">
        <v>63</v>
      </c>
      <c r="AB7">
        <v>0</v>
      </c>
      <c r="AC7">
        <v>63</v>
      </c>
      <c r="AD7">
        <v>0</v>
      </c>
      <c r="AQ7">
        <v>0</v>
      </c>
    </row>
    <row r="8" spans="1:43">
      <c r="A8" t="s">
        <v>610</v>
      </c>
      <c r="B8" t="s">
        <v>775</v>
      </c>
      <c r="C8">
        <v>0</v>
      </c>
      <c r="D8">
        <v>0</v>
      </c>
      <c r="E8">
        <v>13</v>
      </c>
      <c r="F8">
        <v>4</v>
      </c>
      <c r="G8">
        <v>13.5</v>
      </c>
      <c r="H8">
        <v>0</v>
      </c>
      <c r="I8">
        <v>0</v>
      </c>
      <c r="J8">
        <v>0</v>
      </c>
      <c r="K8">
        <v>0</v>
      </c>
      <c r="L8">
        <v>0</v>
      </c>
      <c r="M8">
        <v>0</v>
      </c>
      <c r="N8">
        <v>0</v>
      </c>
      <c r="O8">
        <v>0</v>
      </c>
      <c r="P8">
        <v>0</v>
      </c>
      <c r="Q8">
        <v>0</v>
      </c>
      <c r="R8">
        <v>0</v>
      </c>
      <c r="S8">
        <v>0</v>
      </c>
      <c r="T8">
        <v>0</v>
      </c>
      <c r="U8">
        <v>0</v>
      </c>
      <c r="V8">
        <v>0</v>
      </c>
      <c r="W8">
        <v>0</v>
      </c>
      <c r="X8">
        <v>13</v>
      </c>
      <c r="Y8">
        <v>4</v>
      </c>
      <c r="Z8">
        <v>13.5</v>
      </c>
      <c r="AA8">
        <v>13.5</v>
      </c>
      <c r="AB8">
        <v>0</v>
      </c>
      <c r="AC8">
        <v>13</v>
      </c>
      <c r="AD8">
        <v>4</v>
      </c>
      <c r="AQ8">
        <v>0</v>
      </c>
    </row>
    <row r="9" spans="1:43">
      <c r="A9" t="s">
        <v>610</v>
      </c>
      <c r="B9" t="s">
        <v>776</v>
      </c>
      <c r="C9">
        <v>0</v>
      </c>
      <c r="D9">
        <v>0</v>
      </c>
      <c r="E9">
        <v>0</v>
      </c>
      <c r="F9">
        <v>0</v>
      </c>
      <c r="G9">
        <v>0</v>
      </c>
      <c r="H9">
        <v>0</v>
      </c>
      <c r="I9">
        <v>0</v>
      </c>
      <c r="J9">
        <v>0</v>
      </c>
      <c r="K9">
        <v>0</v>
      </c>
      <c r="L9">
        <v>0</v>
      </c>
      <c r="M9">
        <v>0</v>
      </c>
      <c r="N9">
        <v>0</v>
      </c>
      <c r="O9">
        <v>0</v>
      </c>
      <c r="P9">
        <v>0</v>
      </c>
      <c r="Q9">
        <v>0</v>
      </c>
      <c r="R9">
        <v>0</v>
      </c>
      <c r="S9">
        <v>0</v>
      </c>
      <c r="T9">
        <v>0</v>
      </c>
      <c r="U9">
        <v>0</v>
      </c>
      <c r="V9">
        <v>0</v>
      </c>
      <c r="W9">
        <v>0</v>
      </c>
      <c r="X9">
        <v>0</v>
      </c>
      <c r="Y9">
        <v>2</v>
      </c>
      <c r="Z9">
        <v>0.25</v>
      </c>
      <c r="AA9">
        <v>0.25</v>
      </c>
      <c r="AB9">
        <v>0</v>
      </c>
      <c r="AC9">
        <v>0</v>
      </c>
      <c r="AD9">
        <v>2</v>
      </c>
      <c r="AQ9">
        <v>0</v>
      </c>
    </row>
    <row r="10" spans="1:43">
      <c r="A10" t="s">
        <v>610</v>
      </c>
      <c r="B10" t="s">
        <v>777</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4</v>
      </c>
      <c r="Z10">
        <v>0.5</v>
      </c>
      <c r="AA10">
        <v>0.5</v>
      </c>
      <c r="AB10">
        <v>0</v>
      </c>
      <c r="AC10">
        <v>0</v>
      </c>
      <c r="AD10">
        <v>4</v>
      </c>
      <c r="AQ10">
        <v>0</v>
      </c>
    </row>
    <row r="11" spans="1:43">
      <c r="A11" t="s">
        <v>610</v>
      </c>
      <c r="B11" t="s">
        <v>1026</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AQ11">
        <v>0</v>
      </c>
    </row>
    <row r="12" spans="1:43">
      <c r="A12" t="s">
        <v>610</v>
      </c>
      <c r="B12" t="s">
        <v>1027</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AQ12">
        <v>0</v>
      </c>
    </row>
    <row r="13" spans="1:43">
      <c r="A13" t="s">
        <v>610</v>
      </c>
      <c r="B13" t="s">
        <v>780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4</v>
      </c>
      <c r="Y13">
        <v>0</v>
      </c>
      <c r="Z13">
        <v>4</v>
      </c>
      <c r="AA13">
        <v>4</v>
      </c>
      <c r="AB13">
        <v>0</v>
      </c>
      <c r="AC13">
        <v>4</v>
      </c>
      <c r="AD13">
        <v>0</v>
      </c>
      <c r="AQ13">
        <v>0</v>
      </c>
    </row>
    <row r="14" spans="1:43">
      <c r="A14" t="s">
        <v>610</v>
      </c>
      <c r="B14" t="s">
        <v>781</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6</v>
      </c>
      <c r="Z14">
        <v>0.75</v>
      </c>
      <c r="AA14">
        <v>0.75</v>
      </c>
      <c r="AB14">
        <v>0</v>
      </c>
      <c r="AC14">
        <v>0</v>
      </c>
      <c r="AD14">
        <v>6</v>
      </c>
      <c r="AQ14">
        <v>0</v>
      </c>
    </row>
    <row r="15" spans="1:43">
      <c r="A15" t="s">
        <v>610</v>
      </c>
      <c r="B15" t="s">
        <v>782</v>
      </c>
      <c r="C15">
        <v>0</v>
      </c>
      <c r="D15">
        <v>0</v>
      </c>
      <c r="E15">
        <v>0</v>
      </c>
      <c r="F15">
        <v>0</v>
      </c>
      <c r="G15">
        <v>0</v>
      </c>
      <c r="H15">
        <v>0</v>
      </c>
      <c r="I15">
        <v>0</v>
      </c>
      <c r="J15">
        <v>0</v>
      </c>
      <c r="K15">
        <v>0</v>
      </c>
      <c r="L15">
        <v>0</v>
      </c>
      <c r="M15">
        <v>0</v>
      </c>
      <c r="N15">
        <v>0</v>
      </c>
      <c r="O15">
        <v>0</v>
      </c>
      <c r="P15">
        <v>0</v>
      </c>
      <c r="Q15">
        <v>37</v>
      </c>
      <c r="R15">
        <v>4</v>
      </c>
      <c r="S15">
        <v>37.5</v>
      </c>
      <c r="T15">
        <v>0</v>
      </c>
      <c r="U15">
        <v>0</v>
      </c>
      <c r="V15">
        <v>0</v>
      </c>
      <c r="W15">
        <v>0</v>
      </c>
      <c r="X15">
        <v>7</v>
      </c>
      <c r="Y15">
        <v>4</v>
      </c>
      <c r="Z15">
        <v>7.5</v>
      </c>
      <c r="AA15">
        <v>30</v>
      </c>
      <c r="AB15">
        <v>-22.5</v>
      </c>
      <c r="AC15">
        <v>30</v>
      </c>
      <c r="AD15">
        <v>0</v>
      </c>
      <c r="AE15">
        <v>7</v>
      </c>
      <c r="AF15">
        <v>4</v>
      </c>
      <c r="AQ15">
        <v>0</v>
      </c>
    </row>
    <row r="16" spans="1:43">
      <c r="A16" t="s">
        <v>610</v>
      </c>
      <c r="B16" t="s">
        <v>783</v>
      </c>
      <c r="C16">
        <v>0</v>
      </c>
      <c r="D16">
        <v>0</v>
      </c>
      <c r="E16">
        <v>0</v>
      </c>
      <c r="F16">
        <v>0</v>
      </c>
      <c r="G16">
        <v>0</v>
      </c>
      <c r="H16">
        <v>0</v>
      </c>
      <c r="I16">
        <v>0</v>
      </c>
      <c r="J16">
        <v>0</v>
      </c>
      <c r="K16">
        <v>0</v>
      </c>
      <c r="L16">
        <v>0</v>
      </c>
      <c r="M16">
        <v>0</v>
      </c>
      <c r="N16">
        <v>0</v>
      </c>
      <c r="O16">
        <v>0</v>
      </c>
      <c r="P16">
        <v>0</v>
      </c>
      <c r="Q16">
        <v>9</v>
      </c>
      <c r="R16">
        <v>2</v>
      </c>
      <c r="S16">
        <v>9.25</v>
      </c>
      <c r="T16">
        <v>0</v>
      </c>
      <c r="U16">
        <v>0</v>
      </c>
      <c r="V16">
        <v>0</v>
      </c>
      <c r="W16">
        <v>0</v>
      </c>
      <c r="X16">
        <v>9</v>
      </c>
      <c r="Y16">
        <v>2</v>
      </c>
      <c r="Z16">
        <v>9.25</v>
      </c>
      <c r="AA16">
        <v>9.25</v>
      </c>
      <c r="AB16">
        <v>0</v>
      </c>
      <c r="AC16">
        <v>9</v>
      </c>
      <c r="AD16">
        <v>2</v>
      </c>
      <c r="AQ16">
        <v>0</v>
      </c>
    </row>
    <row r="17" spans="1:43">
      <c r="A17" t="s">
        <v>610</v>
      </c>
      <c r="B17" t="s">
        <v>784</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Q17">
        <v>0</v>
      </c>
    </row>
    <row r="18" spans="1:43">
      <c r="A18" t="s">
        <v>610</v>
      </c>
      <c r="B18" t="s">
        <v>785</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Q18">
        <v>0</v>
      </c>
    </row>
    <row r="19" spans="1:43">
      <c r="A19" t="s">
        <v>610</v>
      </c>
      <c r="B19" t="s">
        <v>1025</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AQ19">
        <v>0</v>
      </c>
    </row>
    <row r="20" spans="1:43">
      <c r="A20" t="s">
        <v>786</v>
      </c>
      <c r="B20" t="s">
        <v>1028</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AQ20">
        <v>0</v>
      </c>
    </row>
    <row r="21" spans="1:43">
      <c r="A21" t="s">
        <v>786</v>
      </c>
      <c r="B21" t="s">
        <v>788</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Q21">
        <v>0</v>
      </c>
    </row>
    <row r="22" spans="1:43">
      <c r="A22" t="s">
        <v>786</v>
      </c>
      <c r="B22" t="s">
        <v>789</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Q22">
        <v>0</v>
      </c>
    </row>
    <row r="23" spans="1:43">
      <c r="A23" t="s">
        <v>786</v>
      </c>
      <c r="B23" t="s">
        <v>1025</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AQ23">
        <v>0</v>
      </c>
    </row>
    <row r="24" spans="1:43">
      <c r="A24" t="s">
        <v>736</v>
      </c>
      <c r="B24" t="s">
        <v>790</v>
      </c>
      <c r="C24">
        <v>0</v>
      </c>
      <c r="D24">
        <v>0</v>
      </c>
      <c r="E24">
        <v>0</v>
      </c>
      <c r="F24">
        <v>0</v>
      </c>
      <c r="G24">
        <v>0</v>
      </c>
      <c r="H24">
        <v>0</v>
      </c>
      <c r="I24">
        <v>0</v>
      </c>
      <c r="J24">
        <v>0</v>
      </c>
      <c r="K24">
        <v>0</v>
      </c>
      <c r="L24">
        <v>0</v>
      </c>
      <c r="M24">
        <v>0</v>
      </c>
      <c r="N24">
        <v>0</v>
      </c>
      <c r="O24">
        <v>0</v>
      </c>
      <c r="P24">
        <v>0</v>
      </c>
      <c r="Q24">
        <v>0</v>
      </c>
      <c r="R24">
        <v>0</v>
      </c>
      <c r="S24">
        <v>0</v>
      </c>
      <c r="T24">
        <v>53</v>
      </c>
      <c r="U24">
        <v>4</v>
      </c>
      <c r="V24">
        <v>53.5</v>
      </c>
      <c r="W24">
        <v>0</v>
      </c>
      <c r="X24">
        <v>53</v>
      </c>
      <c r="Y24">
        <v>4</v>
      </c>
      <c r="Z24">
        <v>53.5</v>
      </c>
      <c r="AA24">
        <v>53.5</v>
      </c>
      <c r="AB24">
        <v>0</v>
      </c>
      <c r="AC24">
        <v>53</v>
      </c>
      <c r="AD24">
        <v>4</v>
      </c>
      <c r="AQ24">
        <v>0</v>
      </c>
    </row>
    <row r="25" spans="1:43">
      <c r="A25" t="s">
        <v>736</v>
      </c>
      <c r="B25" t="s">
        <v>791</v>
      </c>
      <c r="C25">
        <v>0</v>
      </c>
      <c r="D25">
        <v>0</v>
      </c>
      <c r="E25">
        <v>0</v>
      </c>
      <c r="F25">
        <v>0</v>
      </c>
      <c r="G25">
        <v>0</v>
      </c>
      <c r="H25">
        <v>333</v>
      </c>
      <c r="I25">
        <v>13</v>
      </c>
      <c r="J25">
        <v>334.62</v>
      </c>
      <c r="K25">
        <v>0</v>
      </c>
      <c r="L25">
        <v>0</v>
      </c>
      <c r="M25">
        <v>0</v>
      </c>
      <c r="N25">
        <v>0</v>
      </c>
      <c r="O25">
        <v>0</v>
      </c>
      <c r="P25">
        <v>0</v>
      </c>
      <c r="Q25">
        <v>0</v>
      </c>
      <c r="R25">
        <v>0</v>
      </c>
      <c r="S25">
        <v>0</v>
      </c>
      <c r="T25">
        <v>0</v>
      </c>
      <c r="U25">
        <v>0</v>
      </c>
      <c r="V25">
        <v>0</v>
      </c>
      <c r="W25">
        <v>0</v>
      </c>
      <c r="X25">
        <v>166</v>
      </c>
      <c r="Y25">
        <v>10.5</v>
      </c>
      <c r="Z25">
        <v>167.31</v>
      </c>
      <c r="AA25">
        <v>167.31</v>
      </c>
      <c r="AB25">
        <v>0</v>
      </c>
      <c r="AC25">
        <v>167</v>
      </c>
      <c r="AD25">
        <v>2.5</v>
      </c>
      <c r="AE25">
        <v>115</v>
      </c>
      <c r="AF25">
        <v>3</v>
      </c>
      <c r="AG25">
        <v>6</v>
      </c>
      <c r="AH25">
        <v>6</v>
      </c>
      <c r="AI25">
        <v>12</v>
      </c>
      <c r="AJ25">
        <v>0</v>
      </c>
      <c r="AK25">
        <v>12</v>
      </c>
      <c r="AL25">
        <v>0</v>
      </c>
      <c r="AM25">
        <v>10</v>
      </c>
      <c r="AN25">
        <v>0</v>
      </c>
      <c r="AO25">
        <v>11</v>
      </c>
      <c r="AP25">
        <v>1.5</v>
      </c>
      <c r="AQ25">
        <v>0</v>
      </c>
    </row>
    <row r="26" spans="1:43">
      <c r="A26" t="s">
        <v>736</v>
      </c>
      <c r="B26" t="s">
        <v>792</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8</v>
      </c>
      <c r="Y26">
        <v>5</v>
      </c>
      <c r="Z26">
        <v>8.6199999999999992</v>
      </c>
      <c r="AA26">
        <v>8.6199999999999992</v>
      </c>
      <c r="AB26">
        <v>0</v>
      </c>
      <c r="AC26">
        <v>8</v>
      </c>
      <c r="AD26">
        <v>5</v>
      </c>
      <c r="AQ26">
        <v>0</v>
      </c>
    </row>
    <row r="27" spans="1:43">
      <c r="A27" t="s">
        <v>736</v>
      </c>
      <c r="B27" t="s">
        <v>793</v>
      </c>
      <c r="C27">
        <v>0</v>
      </c>
      <c r="D27">
        <v>0</v>
      </c>
      <c r="E27">
        <v>247</v>
      </c>
      <c r="F27">
        <v>5.5</v>
      </c>
      <c r="G27">
        <v>247.69</v>
      </c>
      <c r="H27">
        <v>0</v>
      </c>
      <c r="I27">
        <v>0</v>
      </c>
      <c r="J27">
        <v>0</v>
      </c>
      <c r="K27">
        <v>0</v>
      </c>
      <c r="L27">
        <v>0</v>
      </c>
      <c r="M27">
        <v>0</v>
      </c>
      <c r="N27">
        <v>0</v>
      </c>
      <c r="O27">
        <v>0</v>
      </c>
      <c r="P27">
        <v>0</v>
      </c>
      <c r="Q27">
        <v>0</v>
      </c>
      <c r="R27">
        <v>0</v>
      </c>
      <c r="S27">
        <v>0</v>
      </c>
      <c r="T27">
        <v>0</v>
      </c>
      <c r="U27">
        <v>0</v>
      </c>
      <c r="V27">
        <v>0</v>
      </c>
      <c r="W27">
        <v>0</v>
      </c>
      <c r="X27">
        <v>18</v>
      </c>
      <c r="Y27">
        <v>2</v>
      </c>
      <c r="Z27">
        <v>18.25</v>
      </c>
      <c r="AA27">
        <v>229.44</v>
      </c>
      <c r="AB27">
        <v>-211.19</v>
      </c>
      <c r="AC27">
        <v>229</v>
      </c>
      <c r="AD27">
        <v>3.5</v>
      </c>
      <c r="AE27">
        <v>18</v>
      </c>
      <c r="AF27">
        <v>2</v>
      </c>
      <c r="AQ27">
        <v>0</v>
      </c>
    </row>
    <row r="28" spans="1:43">
      <c r="A28" t="s">
        <v>736</v>
      </c>
      <c r="B28" t="s">
        <v>794</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4</v>
      </c>
      <c r="Z28">
        <v>0.5</v>
      </c>
      <c r="AA28">
        <v>0.5</v>
      </c>
      <c r="AB28">
        <v>0</v>
      </c>
      <c r="AC28">
        <v>0</v>
      </c>
      <c r="AD28">
        <v>4</v>
      </c>
      <c r="AQ28">
        <v>0</v>
      </c>
    </row>
    <row r="29" spans="1:43">
      <c r="A29" t="s">
        <v>736</v>
      </c>
      <c r="B29" t="s">
        <v>795</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28</v>
      </c>
      <c r="Y29">
        <v>3.5</v>
      </c>
      <c r="Z29">
        <v>28.44</v>
      </c>
      <c r="AA29">
        <v>28.44</v>
      </c>
      <c r="AB29">
        <v>0</v>
      </c>
      <c r="AC29">
        <v>28</v>
      </c>
      <c r="AD29">
        <v>3.5</v>
      </c>
      <c r="AQ29">
        <v>0</v>
      </c>
    </row>
    <row r="30" spans="1:43">
      <c r="A30" t="s">
        <v>736</v>
      </c>
      <c r="B30" t="s">
        <v>796</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174</v>
      </c>
      <c r="Y30">
        <v>1</v>
      </c>
      <c r="Z30">
        <v>174.12</v>
      </c>
      <c r="AA30">
        <v>174.12</v>
      </c>
      <c r="AB30">
        <v>0</v>
      </c>
      <c r="AC30">
        <v>174</v>
      </c>
      <c r="AD30">
        <v>1</v>
      </c>
      <c r="AQ30">
        <v>0</v>
      </c>
    </row>
    <row r="31" spans="1:43">
      <c r="A31" t="s">
        <v>736</v>
      </c>
      <c r="B31" t="s">
        <v>797</v>
      </c>
      <c r="C31">
        <v>0</v>
      </c>
      <c r="D31">
        <v>0</v>
      </c>
      <c r="E31">
        <v>0</v>
      </c>
      <c r="F31">
        <v>0</v>
      </c>
      <c r="G31">
        <v>0</v>
      </c>
      <c r="H31">
        <v>0</v>
      </c>
      <c r="I31">
        <v>0</v>
      </c>
      <c r="J31">
        <v>0</v>
      </c>
      <c r="K31">
        <v>0</v>
      </c>
      <c r="L31">
        <v>0</v>
      </c>
      <c r="M31">
        <v>0</v>
      </c>
      <c r="N31">
        <v>0</v>
      </c>
      <c r="O31">
        <v>0</v>
      </c>
      <c r="P31">
        <v>0</v>
      </c>
      <c r="Q31">
        <v>8</v>
      </c>
      <c r="R31">
        <v>5</v>
      </c>
      <c r="S31">
        <v>8.6199999999999992</v>
      </c>
      <c r="T31">
        <v>0</v>
      </c>
      <c r="U31">
        <v>0</v>
      </c>
      <c r="V31">
        <v>0</v>
      </c>
      <c r="W31">
        <v>0</v>
      </c>
      <c r="X31">
        <v>8</v>
      </c>
      <c r="Y31">
        <v>5</v>
      </c>
      <c r="Z31">
        <v>8.6199999999999992</v>
      </c>
      <c r="AA31">
        <v>8.6199999999999992</v>
      </c>
      <c r="AB31">
        <v>0</v>
      </c>
      <c r="AC31">
        <v>8</v>
      </c>
      <c r="AD31">
        <v>5</v>
      </c>
      <c r="AQ31">
        <v>0</v>
      </c>
    </row>
    <row r="32" spans="1:43">
      <c r="A32" t="s">
        <v>736</v>
      </c>
      <c r="B32" t="s">
        <v>784</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Q32">
        <v>0</v>
      </c>
    </row>
    <row r="33" spans="1:43">
      <c r="A33" t="s">
        <v>736</v>
      </c>
      <c r="B33" t="s">
        <v>785</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Q33">
        <v>0</v>
      </c>
    </row>
    <row r="34" spans="1:43">
      <c r="A34" t="s">
        <v>736</v>
      </c>
      <c r="B34" t="s">
        <v>1025</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AQ34">
        <v>0</v>
      </c>
    </row>
    <row r="35" spans="1:43">
      <c r="A35" t="s">
        <v>654</v>
      </c>
      <c r="B35" t="s">
        <v>804</v>
      </c>
      <c r="C35">
        <v>0</v>
      </c>
      <c r="D35">
        <v>0</v>
      </c>
      <c r="E35">
        <v>0</v>
      </c>
      <c r="F35">
        <v>0</v>
      </c>
      <c r="G35">
        <v>0</v>
      </c>
      <c r="H35">
        <v>0</v>
      </c>
      <c r="I35">
        <v>0</v>
      </c>
      <c r="J35">
        <v>0</v>
      </c>
      <c r="K35">
        <v>0</v>
      </c>
      <c r="L35">
        <v>0</v>
      </c>
      <c r="M35">
        <v>0</v>
      </c>
      <c r="N35">
        <v>0</v>
      </c>
      <c r="O35">
        <v>0</v>
      </c>
      <c r="P35">
        <v>0</v>
      </c>
      <c r="Q35">
        <v>0</v>
      </c>
      <c r="R35">
        <v>0</v>
      </c>
      <c r="S35">
        <v>0</v>
      </c>
      <c r="T35">
        <v>39</v>
      </c>
      <c r="U35">
        <v>10</v>
      </c>
      <c r="V35">
        <v>40.25</v>
      </c>
      <c r="W35">
        <v>0</v>
      </c>
      <c r="X35">
        <v>6</v>
      </c>
      <c r="Y35">
        <v>7</v>
      </c>
      <c r="Z35">
        <v>6.88</v>
      </c>
      <c r="AA35">
        <v>33.380000000000003</v>
      </c>
      <c r="AB35">
        <v>-26.5</v>
      </c>
      <c r="AC35">
        <v>33</v>
      </c>
      <c r="AD35">
        <v>3</v>
      </c>
      <c r="AE35">
        <v>6</v>
      </c>
      <c r="AF35">
        <v>7</v>
      </c>
      <c r="AQ35">
        <v>0</v>
      </c>
    </row>
    <row r="36" spans="1:43">
      <c r="A36" t="s">
        <v>654</v>
      </c>
      <c r="B36" t="s">
        <v>805</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6</v>
      </c>
      <c r="Y36">
        <v>6</v>
      </c>
      <c r="Z36">
        <v>6.75</v>
      </c>
      <c r="AA36">
        <v>6.75</v>
      </c>
      <c r="AB36">
        <v>0</v>
      </c>
      <c r="AC36">
        <v>6</v>
      </c>
      <c r="AD36">
        <v>6</v>
      </c>
      <c r="AQ36">
        <v>0</v>
      </c>
    </row>
    <row r="37" spans="1:43">
      <c r="A37" t="s">
        <v>654</v>
      </c>
      <c r="B37" t="s">
        <v>1029</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AQ37">
        <v>0</v>
      </c>
    </row>
    <row r="38" spans="1:43">
      <c r="A38" t="s">
        <v>654</v>
      </c>
      <c r="B38" t="s">
        <v>807</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4</v>
      </c>
      <c r="Y38">
        <v>3</v>
      </c>
      <c r="Z38">
        <v>4.38</v>
      </c>
      <c r="AA38">
        <v>4.38</v>
      </c>
      <c r="AB38">
        <v>0</v>
      </c>
      <c r="AC38">
        <v>4</v>
      </c>
      <c r="AD38">
        <v>3</v>
      </c>
      <c r="AQ38">
        <v>0</v>
      </c>
    </row>
    <row r="39" spans="1:43">
      <c r="A39" t="s">
        <v>654</v>
      </c>
      <c r="B39" t="s">
        <v>808</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45</v>
      </c>
      <c r="Y39">
        <v>5</v>
      </c>
      <c r="Z39">
        <v>45.62</v>
      </c>
      <c r="AA39">
        <v>45.62</v>
      </c>
      <c r="AB39">
        <v>0</v>
      </c>
      <c r="AC39">
        <v>45</v>
      </c>
      <c r="AD39">
        <v>5</v>
      </c>
      <c r="AQ39">
        <v>0</v>
      </c>
    </row>
    <row r="40" spans="1:43">
      <c r="A40" t="s">
        <v>654</v>
      </c>
      <c r="B40" t="s">
        <v>809</v>
      </c>
      <c r="C40">
        <v>0</v>
      </c>
      <c r="D40">
        <v>0</v>
      </c>
      <c r="E40">
        <v>17</v>
      </c>
      <c r="F40">
        <v>4</v>
      </c>
      <c r="G40">
        <v>17.5</v>
      </c>
      <c r="H40">
        <v>0</v>
      </c>
      <c r="I40">
        <v>0</v>
      </c>
      <c r="J40">
        <v>0</v>
      </c>
      <c r="K40">
        <v>0</v>
      </c>
      <c r="L40">
        <v>0</v>
      </c>
      <c r="M40">
        <v>0</v>
      </c>
      <c r="N40">
        <v>0</v>
      </c>
      <c r="O40">
        <v>0</v>
      </c>
      <c r="P40">
        <v>0</v>
      </c>
      <c r="Q40">
        <v>0</v>
      </c>
      <c r="R40">
        <v>0</v>
      </c>
      <c r="S40">
        <v>0</v>
      </c>
      <c r="T40">
        <v>0</v>
      </c>
      <c r="U40">
        <v>0</v>
      </c>
      <c r="V40">
        <v>0</v>
      </c>
      <c r="W40">
        <v>0</v>
      </c>
      <c r="X40">
        <v>17</v>
      </c>
      <c r="Y40">
        <v>4</v>
      </c>
      <c r="Z40">
        <v>17.5</v>
      </c>
      <c r="AA40">
        <v>17.5</v>
      </c>
      <c r="AB40">
        <v>0</v>
      </c>
      <c r="AC40">
        <v>17</v>
      </c>
      <c r="AD40">
        <v>4</v>
      </c>
      <c r="AQ40">
        <v>0</v>
      </c>
    </row>
    <row r="41" spans="1:43">
      <c r="A41" t="s">
        <v>654</v>
      </c>
      <c r="B41" t="s">
        <v>794</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4</v>
      </c>
      <c r="Z41">
        <v>0.5</v>
      </c>
      <c r="AA41">
        <v>0.5</v>
      </c>
      <c r="AB41">
        <v>0</v>
      </c>
      <c r="AC41">
        <v>0</v>
      </c>
      <c r="AD41">
        <v>4</v>
      </c>
      <c r="AQ41">
        <v>0</v>
      </c>
    </row>
    <row r="42" spans="1:43">
      <c r="A42" t="s">
        <v>654</v>
      </c>
      <c r="B42" t="s">
        <v>810</v>
      </c>
      <c r="C42">
        <v>0</v>
      </c>
      <c r="D42">
        <v>0</v>
      </c>
      <c r="E42">
        <v>0</v>
      </c>
      <c r="F42">
        <v>0</v>
      </c>
      <c r="G42">
        <v>0</v>
      </c>
      <c r="H42">
        <v>0</v>
      </c>
      <c r="I42">
        <v>0</v>
      </c>
      <c r="J42">
        <v>0</v>
      </c>
      <c r="K42">
        <v>0</v>
      </c>
      <c r="L42">
        <v>0</v>
      </c>
      <c r="M42">
        <v>0</v>
      </c>
      <c r="N42">
        <v>4</v>
      </c>
      <c r="O42">
        <v>0</v>
      </c>
      <c r="P42">
        <v>4</v>
      </c>
      <c r="Q42">
        <v>0</v>
      </c>
      <c r="R42">
        <v>0</v>
      </c>
      <c r="S42">
        <v>0</v>
      </c>
      <c r="T42">
        <v>0</v>
      </c>
      <c r="U42">
        <v>0</v>
      </c>
      <c r="V42">
        <v>0</v>
      </c>
      <c r="W42">
        <v>0</v>
      </c>
      <c r="X42">
        <v>4</v>
      </c>
      <c r="Y42">
        <v>0</v>
      </c>
      <c r="Z42">
        <v>4</v>
      </c>
      <c r="AA42">
        <v>4</v>
      </c>
      <c r="AB42">
        <v>0</v>
      </c>
      <c r="AC42">
        <v>4</v>
      </c>
      <c r="AD42">
        <v>0</v>
      </c>
      <c r="AQ42">
        <v>0</v>
      </c>
    </row>
    <row r="43" spans="1:43">
      <c r="A43" t="s">
        <v>654</v>
      </c>
      <c r="B43" t="s">
        <v>811</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3</v>
      </c>
      <c r="Y43">
        <v>0</v>
      </c>
      <c r="Z43">
        <v>3</v>
      </c>
      <c r="AA43">
        <v>3</v>
      </c>
      <c r="AB43">
        <v>0</v>
      </c>
      <c r="AC43">
        <v>3</v>
      </c>
      <c r="AD43">
        <v>0</v>
      </c>
      <c r="AQ43">
        <v>0</v>
      </c>
    </row>
    <row r="44" spans="1:43">
      <c r="A44" t="s">
        <v>654</v>
      </c>
      <c r="B44" t="s">
        <v>813</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6</v>
      </c>
      <c r="Y44">
        <v>0</v>
      </c>
      <c r="Z44">
        <v>6</v>
      </c>
      <c r="AA44">
        <v>6</v>
      </c>
      <c r="AB44">
        <v>0</v>
      </c>
      <c r="AC44">
        <v>6</v>
      </c>
      <c r="AD44">
        <v>0</v>
      </c>
      <c r="AQ44">
        <v>0</v>
      </c>
    </row>
    <row r="45" spans="1:43">
      <c r="A45" t="s">
        <v>654</v>
      </c>
      <c r="B45" t="s">
        <v>814</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6</v>
      </c>
      <c r="Z45">
        <v>0.75</v>
      </c>
      <c r="AA45">
        <v>0.75</v>
      </c>
      <c r="AB45">
        <v>0</v>
      </c>
      <c r="AC45">
        <v>0</v>
      </c>
      <c r="AD45">
        <v>6</v>
      </c>
      <c r="AQ45">
        <v>0</v>
      </c>
    </row>
    <row r="46" spans="1:43">
      <c r="A46" t="s">
        <v>654</v>
      </c>
      <c r="B46" t="s">
        <v>815</v>
      </c>
      <c r="C46">
        <v>0</v>
      </c>
      <c r="D46">
        <v>0</v>
      </c>
      <c r="E46">
        <v>0</v>
      </c>
      <c r="F46">
        <v>0</v>
      </c>
      <c r="G46">
        <v>0</v>
      </c>
      <c r="H46">
        <v>0</v>
      </c>
      <c r="I46">
        <v>0</v>
      </c>
      <c r="J46">
        <v>0</v>
      </c>
      <c r="K46">
        <v>0</v>
      </c>
      <c r="L46">
        <v>0</v>
      </c>
      <c r="M46">
        <v>0</v>
      </c>
      <c r="N46">
        <v>5</v>
      </c>
      <c r="O46">
        <v>0</v>
      </c>
      <c r="P46">
        <v>5</v>
      </c>
      <c r="Q46">
        <v>0</v>
      </c>
      <c r="R46">
        <v>0</v>
      </c>
      <c r="S46">
        <v>0</v>
      </c>
      <c r="T46">
        <v>0</v>
      </c>
      <c r="U46">
        <v>0</v>
      </c>
      <c r="V46">
        <v>0</v>
      </c>
      <c r="W46">
        <v>0</v>
      </c>
      <c r="X46">
        <v>5</v>
      </c>
      <c r="Y46">
        <v>0</v>
      </c>
      <c r="Z46">
        <v>5</v>
      </c>
      <c r="AA46">
        <v>5</v>
      </c>
      <c r="AB46">
        <v>0</v>
      </c>
      <c r="AC46">
        <v>5</v>
      </c>
      <c r="AD46">
        <v>0</v>
      </c>
      <c r="AQ46">
        <v>0</v>
      </c>
    </row>
    <row r="47" spans="1:43">
      <c r="A47" t="s">
        <v>654</v>
      </c>
      <c r="B47" t="s">
        <v>816</v>
      </c>
      <c r="C47">
        <v>0</v>
      </c>
      <c r="D47">
        <v>0</v>
      </c>
      <c r="E47">
        <v>0</v>
      </c>
      <c r="F47">
        <v>0</v>
      </c>
      <c r="G47">
        <v>0</v>
      </c>
      <c r="H47">
        <v>0</v>
      </c>
      <c r="I47">
        <v>0</v>
      </c>
      <c r="J47">
        <v>0</v>
      </c>
      <c r="K47">
        <v>0</v>
      </c>
      <c r="L47">
        <v>0</v>
      </c>
      <c r="M47">
        <v>0</v>
      </c>
      <c r="N47">
        <v>0</v>
      </c>
      <c r="O47">
        <v>0</v>
      </c>
      <c r="P47">
        <v>0</v>
      </c>
      <c r="Q47">
        <v>9</v>
      </c>
      <c r="R47">
        <v>3</v>
      </c>
      <c r="S47">
        <v>9.3800000000000008</v>
      </c>
      <c r="T47">
        <v>0</v>
      </c>
      <c r="U47">
        <v>0</v>
      </c>
      <c r="V47">
        <v>0</v>
      </c>
      <c r="W47">
        <v>0</v>
      </c>
      <c r="X47">
        <v>9</v>
      </c>
      <c r="Y47">
        <v>3</v>
      </c>
      <c r="Z47">
        <v>9.3800000000000008</v>
      </c>
      <c r="AA47">
        <v>9.3800000000000008</v>
      </c>
      <c r="AB47">
        <v>0</v>
      </c>
      <c r="AC47">
        <v>9</v>
      </c>
      <c r="AD47">
        <v>3</v>
      </c>
      <c r="AQ47">
        <v>0</v>
      </c>
    </row>
    <row r="48" spans="1:43">
      <c r="A48" t="s">
        <v>654</v>
      </c>
      <c r="B48" t="s">
        <v>784</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Q48">
        <v>0</v>
      </c>
    </row>
    <row r="49" spans="1:43">
      <c r="A49" t="s">
        <v>654</v>
      </c>
      <c r="B49" t="s">
        <v>785</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Q49">
        <v>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17"/>
  <sheetViews>
    <sheetView workbookViewId="0"/>
  </sheetViews>
  <sheetFormatPr defaultRowHeight="14.5"/>
  <sheetData>
    <row r="1" spans="1:17">
      <c r="A1" t="s">
        <v>1030</v>
      </c>
      <c r="B1" t="s">
        <v>1031</v>
      </c>
      <c r="C1" t="s">
        <v>1018</v>
      </c>
      <c r="D1" t="s">
        <v>1019</v>
      </c>
      <c r="E1" t="s">
        <v>1020</v>
      </c>
      <c r="F1" t="s">
        <v>1006</v>
      </c>
      <c r="G1" t="s">
        <v>1007</v>
      </c>
      <c r="H1" t="s">
        <v>1024</v>
      </c>
      <c r="I1" t="s">
        <v>1015</v>
      </c>
      <c r="J1" t="s">
        <v>1016</v>
      </c>
      <c r="K1" t="s">
        <v>1017</v>
      </c>
      <c r="L1" t="s">
        <v>1032</v>
      </c>
      <c r="M1" t="s">
        <v>1033</v>
      </c>
      <c r="N1" t="s">
        <v>1034</v>
      </c>
      <c r="O1" t="s">
        <v>1035</v>
      </c>
      <c r="P1" t="s">
        <v>1036</v>
      </c>
      <c r="Q1" t="s">
        <v>1037</v>
      </c>
    </row>
    <row r="2" spans="1:17">
      <c r="A2" t="s">
        <v>752</v>
      </c>
      <c r="B2">
        <v>0</v>
      </c>
      <c r="C2">
        <v>0</v>
      </c>
      <c r="D2">
        <v>0</v>
      </c>
      <c r="E2">
        <v>0</v>
      </c>
      <c r="F2">
        <v>0</v>
      </c>
      <c r="G2">
        <v>0</v>
      </c>
      <c r="H2">
        <v>0</v>
      </c>
      <c r="I2">
        <v>0</v>
      </c>
      <c r="J2">
        <v>0</v>
      </c>
      <c r="K2">
        <v>0</v>
      </c>
      <c r="L2">
        <v>0</v>
      </c>
      <c r="M2">
        <v>0</v>
      </c>
    </row>
    <row r="3" spans="1:17">
      <c r="A3" t="s">
        <v>610</v>
      </c>
      <c r="B3">
        <v>0</v>
      </c>
      <c r="C3">
        <v>30</v>
      </c>
      <c r="D3">
        <v>4</v>
      </c>
      <c r="E3">
        <v>30.5</v>
      </c>
      <c r="F3">
        <v>0</v>
      </c>
      <c r="G3">
        <v>0</v>
      </c>
      <c r="H3">
        <v>0</v>
      </c>
      <c r="I3">
        <v>37</v>
      </c>
      <c r="J3">
        <v>4</v>
      </c>
      <c r="K3">
        <v>37.5</v>
      </c>
      <c r="L3">
        <v>30.5</v>
      </c>
      <c r="M3">
        <v>-7</v>
      </c>
      <c r="N3">
        <v>0.47</v>
      </c>
      <c r="O3">
        <v>0.48</v>
      </c>
      <c r="P3">
        <v>14.37</v>
      </c>
      <c r="Q3">
        <v>14.74</v>
      </c>
    </row>
    <row r="4" spans="1:17">
      <c r="A4" t="s">
        <v>786</v>
      </c>
      <c r="B4">
        <v>0</v>
      </c>
      <c r="C4">
        <v>0</v>
      </c>
      <c r="D4">
        <v>0</v>
      </c>
      <c r="E4">
        <v>0</v>
      </c>
      <c r="F4">
        <v>0</v>
      </c>
      <c r="G4">
        <v>0</v>
      </c>
      <c r="H4">
        <v>0</v>
      </c>
      <c r="I4">
        <v>0</v>
      </c>
      <c r="J4">
        <v>0</v>
      </c>
      <c r="K4">
        <v>0</v>
      </c>
      <c r="L4">
        <v>0</v>
      </c>
      <c r="M4">
        <v>0</v>
      </c>
    </row>
    <row r="5" spans="1:17">
      <c r="A5" t="s">
        <v>736</v>
      </c>
      <c r="B5">
        <v>0</v>
      </c>
      <c r="C5">
        <v>53</v>
      </c>
      <c r="D5">
        <v>4</v>
      </c>
      <c r="E5">
        <v>53.5</v>
      </c>
      <c r="F5">
        <v>0</v>
      </c>
      <c r="G5">
        <v>13</v>
      </c>
      <c r="H5">
        <v>0</v>
      </c>
      <c r="I5">
        <v>8</v>
      </c>
      <c r="J5">
        <v>5</v>
      </c>
      <c r="K5">
        <v>8.6199999999999992</v>
      </c>
      <c r="L5">
        <v>53.5</v>
      </c>
      <c r="M5">
        <v>44.88</v>
      </c>
    </row>
    <row r="6" spans="1:17">
      <c r="A6" t="s">
        <v>654</v>
      </c>
      <c r="B6">
        <v>0</v>
      </c>
      <c r="C6">
        <v>39</v>
      </c>
      <c r="D6">
        <v>10</v>
      </c>
      <c r="E6">
        <v>40.25</v>
      </c>
      <c r="F6">
        <v>0</v>
      </c>
      <c r="G6">
        <v>0</v>
      </c>
      <c r="H6">
        <v>0</v>
      </c>
      <c r="I6">
        <v>9</v>
      </c>
      <c r="J6">
        <v>3</v>
      </c>
      <c r="K6">
        <v>9.3800000000000008</v>
      </c>
      <c r="L6">
        <v>40.25</v>
      </c>
      <c r="M6">
        <v>30.88</v>
      </c>
    </row>
    <row r="7" spans="1:17">
      <c r="A7" t="s">
        <v>1038</v>
      </c>
      <c r="B7">
        <v>0</v>
      </c>
      <c r="C7">
        <v>0</v>
      </c>
      <c r="D7">
        <v>0</v>
      </c>
      <c r="E7">
        <v>0</v>
      </c>
      <c r="F7">
        <v>0</v>
      </c>
      <c r="G7">
        <v>0</v>
      </c>
      <c r="H7">
        <v>0</v>
      </c>
      <c r="I7">
        <v>0</v>
      </c>
      <c r="J7">
        <v>0</v>
      </c>
      <c r="K7">
        <v>0</v>
      </c>
      <c r="L7">
        <v>0</v>
      </c>
      <c r="M7">
        <v>0</v>
      </c>
    </row>
    <row r="8" spans="1:17">
      <c r="A8" t="s">
        <v>80</v>
      </c>
      <c r="B8">
        <v>0</v>
      </c>
      <c r="C8">
        <v>0</v>
      </c>
      <c r="D8">
        <v>0</v>
      </c>
      <c r="E8">
        <v>0</v>
      </c>
      <c r="F8">
        <v>0</v>
      </c>
      <c r="G8">
        <v>0</v>
      </c>
      <c r="H8">
        <v>0</v>
      </c>
      <c r="I8">
        <v>0</v>
      </c>
      <c r="J8">
        <v>0</v>
      </c>
      <c r="K8">
        <v>0</v>
      </c>
      <c r="L8">
        <v>0</v>
      </c>
      <c r="M8">
        <v>0</v>
      </c>
    </row>
    <row r="9" spans="1:17">
      <c r="A9" t="s">
        <v>1039</v>
      </c>
      <c r="B9">
        <v>0</v>
      </c>
      <c r="C9">
        <v>0</v>
      </c>
      <c r="D9">
        <v>0</v>
      </c>
      <c r="E9">
        <v>0</v>
      </c>
      <c r="F9">
        <v>0</v>
      </c>
      <c r="G9">
        <v>0</v>
      </c>
      <c r="H9">
        <v>0</v>
      </c>
      <c r="I9">
        <v>0</v>
      </c>
      <c r="J9">
        <v>0</v>
      </c>
      <c r="K9">
        <v>0</v>
      </c>
      <c r="L9">
        <v>0</v>
      </c>
      <c r="M9">
        <v>0</v>
      </c>
    </row>
    <row r="10" spans="1:17">
      <c r="A10" t="s">
        <v>1040</v>
      </c>
      <c r="B10">
        <v>0</v>
      </c>
      <c r="C10">
        <v>0</v>
      </c>
      <c r="D10">
        <v>0</v>
      </c>
      <c r="E10">
        <v>0</v>
      </c>
      <c r="F10">
        <v>0</v>
      </c>
      <c r="G10">
        <v>0</v>
      </c>
      <c r="H10">
        <v>0</v>
      </c>
      <c r="I10">
        <v>0</v>
      </c>
      <c r="J10">
        <v>0</v>
      </c>
      <c r="K10">
        <v>0</v>
      </c>
      <c r="L10">
        <v>0</v>
      </c>
      <c r="M10">
        <v>0</v>
      </c>
    </row>
    <row r="11" spans="1:17">
      <c r="A11" t="s">
        <v>70</v>
      </c>
      <c r="B11">
        <v>0</v>
      </c>
      <c r="C11">
        <v>0</v>
      </c>
      <c r="D11">
        <v>0</v>
      </c>
      <c r="E11">
        <v>0</v>
      </c>
      <c r="F11">
        <v>0</v>
      </c>
      <c r="G11">
        <v>0</v>
      </c>
      <c r="H11">
        <v>0</v>
      </c>
      <c r="I11">
        <v>0</v>
      </c>
      <c r="J11">
        <v>0</v>
      </c>
      <c r="K11">
        <v>0</v>
      </c>
      <c r="L11">
        <v>0</v>
      </c>
      <c r="M11">
        <v>0</v>
      </c>
    </row>
    <row r="12" spans="1:17">
      <c r="A12" t="s">
        <v>77</v>
      </c>
      <c r="B12">
        <v>0</v>
      </c>
      <c r="C12">
        <v>0</v>
      </c>
      <c r="D12">
        <v>0</v>
      </c>
      <c r="E12">
        <v>0</v>
      </c>
      <c r="F12">
        <v>0</v>
      </c>
      <c r="G12">
        <v>0</v>
      </c>
      <c r="H12">
        <v>0</v>
      </c>
      <c r="I12">
        <v>0</v>
      </c>
      <c r="J12">
        <v>0</v>
      </c>
      <c r="K12">
        <v>0</v>
      </c>
      <c r="L12">
        <v>0</v>
      </c>
      <c r="M12">
        <v>0</v>
      </c>
    </row>
    <row r="13" spans="1:17">
      <c r="A13" t="s">
        <v>71</v>
      </c>
      <c r="B13">
        <v>0</v>
      </c>
      <c r="C13">
        <v>0</v>
      </c>
      <c r="D13">
        <v>0</v>
      </c>
      <c r="E13">
        <v>0</v>
      </c>
      <c r="F13">
        <v>0</v>
      </c>
      <c r="G13">
        <v>0</v>
      </c>
      <c r="H13">
        <v>0</v>
      </c>
      <c r="I13">
        <v>0</v>
      </c>
      <c r="J13">
        <v>0</v>
      </c>
      <c r="K13">
        <v>0</v>
      </c>
      <c r="L13">
        <v>0</v>
      </c>
      <c r="M13">
        <v>0</v>
      </c>
    </row>
    <row r="14" spans="1:17">
      <c r="A14" t="s">
        <v>64</v>
      </c>
      <c r="B14">
        <v>0</v>
      </c>
      <c r="C14">
        <v>0</v>
      </c>
      <c r="D14">
        <v>0</v>
      </c>
      <c r="E14">
        <v>0</v>
      </c>
      <c r="F14">
        <v>0</v>
      </c>
      <c r="G14">
        <v>0</v>
      </c>
      <c r="H14">
        <v>0</v>
      </c>
      <c r="I14">
        <v>0</v>
      </c>
      <c r="J14">
        <v>0</v>
      </c>
      <c r="K14">
        <v>0</v>
      </c>
      <c r="L14">
        <v>0</v>
      </c>
      <c r="M14">
        <v>0</v>
      </c>
    </row>
    <row r="15" spans="1:17">
      <c r="A15" t="s">
        <v>65</v>
      </c>
      <c r="B15">
        <v>0</v>
      </c>
      <c r="C15">
        <v>0</v>
      </c>
      <c r="D15">
        <v>0</v>
      </c>
      <c r="E15">
        <v>0</v>
      </c>
      <c r="F15">
        <v>0</v>
      </c>
      <c r="G15">
        <v>0</v>
      </c>
      <c r="H15">
        <v>0</v>
      </c>
      <c r="I15">
        <v>0</v>
      </c>
      <c r="J15">
        <v>0</v>
      </c>
      <c r="K15">
        <v>0</v>
      </c>
      <c r="L15">
        <v>0</v>
      </c>
      <c r="M15">
        <v>0</v>
      </c>
    </row>
    <row r="16" spans="1:17">
      <c r="A16" t="s">
        <v>1041</v>
      </c>
      <c r="B16">
        <v>0</v>
      </c>
      <c r="C16">
        <v>0</v>
      </c>
      <c r="D16">
        <v>0</v>
      </c>
      <c r="E16">
        <v>0</v>
      </c>
      <c r="F16">
        <v>0</v>
      </c>
      <c r="G16">
        <v>0</v>
      </c>
      <c r="H16">
        <v>0</v>
      </c>
      <c r="I16">
        <v>0</v>
      </c>
      <c r="J16">
        <v>0</v>
      </c>
      <c r="K16">
        <v>0</v>
      </c>
      <c r="L16">
        <v>0</v>
      </c>
      <c r="M16">
        <v>0</v>
      </c>
      <c r="N16">
        <v>0.28999999999999998</v>
      </c>
      <c r="O16">
        <v>0.28000000000000003</v>
      </c>
      <c r="P16">
        <v>0</v>
      </c>
      <c r="Q16">
        <v>0</v>
      </c>
    </row>
    <row r="17" spans="1:13">
      <c r="A17" t="s">
        <v>1042</v>
      </c>
      <c r="B17">
        <v>0</v>
      </c>
      <c r="C17">
        <v>0</v>
      </c>
      <c r="D17">
        <v>0</v>
      </c>
      <c r="E17">
        <v>0</v>
      </c>
      <c r="F17">
        <v>0</v>
      </c>
      <c r="G17">
        <v>0</v>
      </c>
      <c r="H17">
        <v>0</v>
      </c>
      <c r="I17">
        <v>0</v>
      </c>
      <c r="J17">
        <v>0</v>
      </c>
      <c r="K17">
        <v>0</v>
      </c>
      <c r="L17">
        <v>0</v>
      </c>
      <c r="M17">
        <v>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P4"/>
  <sheetViews>
    <sheetView workbookViewId="0"/>
  </sheetViews>
  <sheetFormatPr defaultRowHeight="14.5"/>
  <sheetData>
    <row r="1" spans="1:42">
      <c r="A1" t="s">
        <v>166</v>
      </c>
      <c r="B1" t="s">
        <v>276</v>
      </c>
      <c r="C1" t="s">
        <v>425</v>
      </c>
      <c r="D1" t="s">
        <v>426</v>
      </c>
      <c r="E1" t="s">
        <v>427</v>
      </c>
      <c r="F1" t="s">
        <v>428</v>
      </c>
      <c r="G1" t="s">
        <v>429</v>
      </c>
      <c r="H1" t="s">
        <v>430</v>
      </c>
      <c r="I1" t="s">
        <v>431</v>
      </c>
      <c r="J1" t="s">
        <v>432</v>
      </c>
      <c r="K1" t="s">
        <v>433</v>
      </c>
      <c r="L1" t="s">
        <v>434</v>
      </c>
      <c r="M1" t="s">
        <v>1043</v>
      </c>
      <c r="N1" t="s">
        <v>1044</v>
      </c>
      <c r="O1" t="s">
        <v>449</v>
      </c>
      <c r="P1" t="s">
        <v>450</v>
      </c>
      <c r="Q1" t="s">
        <v>435</v>
      </c>
      <c r="R1" t="s">
        <v>436</v>
      </c>
      <c r="S1" t="s">
        <v>451</v>
      </c>
      <c r="T1" t="s">
        <v>452</v>
      </c>
      <c r="U1" t="s">
        <v>437</v>
      </c>
      <c r="V1" t="s">
        <v>438</v>
      </c>
      <c r="W1" t="s">
        <v>453</v>
      </c>
      <c r="X1" t="s">
        <v>454</v>
      </c>
      <c r="Y1" t="s">
        <v>439</v>
      </c>
      <c r="Z1" t="s">
        <v>440</v>
      </c>
      <c r="AA1" t="s">
        <v>455</v>
      </c>
      <c r="AB1" t="s">
        <v>456</v>
      </c>
      <c r="AC1" t="s">
        <v>441</v>
      </c>
      <c r="AD1" t="s">
        <v>442</v>
      </c>
      <c r="AE1" t="s">
        <v>443</v>
      </c>
      <c r="AF1" t="s">
        <v>444</v>
      </c>
      <c r="AG1" t="s">
        <v>445</v>
      </c>
      <c r="AH1" t="s">
        <v>446</v>
      </c>
      <c r="AI1" t="s">
        <v>1045</v>
      </c>
      <c r="AJ1" t="s">
        <v>1046</v>
      </c>
      <c r="AK1" t="s">
        <v>1047</v>
      </c>
      <c r="AL1" t="s">
        <v>1048</v>
      </c>
      <c r="AM1" t="s">
        <v>1049</v>
      </c>
      <c r="AN1" t="s">
        <v>1034</v>
      </c>
      <c r="AO1" t="s">
        <v>1035</v>
      </c>
      <c r="AP1" t="s">
        <v>1050</v>
      </c>
    </row>
    <row r="2" spans="1:42">
      <c r="A2" t="s">
        <v>608</v>
      </c>
      <c r="B2" t="s">
        <v>609</v>
      </c>
      <c r="C2">
        <v>14.4</v>
      </c>
      <c r="D2">
        <v>14</v>
      </c>
      <c r="E2">
        <v>7</v>
      </c>
      <c r="F2">
        <v>11.75</v>
      </c>
      <c r="G2" t="s">
        <v>610</v>
      </c>
      <c r="H2">
        <v>29</v>
      </c>
      <c r="I2">
        <v>8</v>
      </c>
      <c r="J2">
        <v>30</v>
      </c>
      <c r="K2">
        <v>30</v>
      </c>
      <c r="L2">
        <v>0</v>
      </c>
      <c r="M2">
        <v>30</v>
      </c>
      <c r="N2">
        <v>0</v>
      </c>
      <c r="O2">
        <v>9</v>
      </c>
      <c r="P2">
        <v>4</v>
      </c>
      <c r="Q2">
        <v>7</v>
      </c>
      <c r="R2">
        <v>4</v>
      </c>
      <c r="S2">
        <v>10</v>
      </c>
      <c r="T2">
        <v>0</v>
      </c>
      <c r="U2">
        <v>1</v>
      </c>
      <c r="V2">
        <v>1</v>
      </c>
      <c r="Y2">
        <v>21</v>
      </c>
      <c r="Z2">
        <v>3</v>
      </c>
      <c r="AI2">
        <v>0.47</v>
      </c>
      <c r="AJ2">
        <v>0.5</v>
      </c>
      <c r="AM2">
        <v>30</v>
      </c>
      <c r="AN2">
        <v>0.47</v>
      </c>
      <c r="AO2">
        <v>0.48</v>
      </c>
      <c r="AP2" t="s">
        <v>610</v>
      </c>
    </row>
    <row r="3" spans="1:42">
      <c r="A3" t="s">
        <v>608</v>
      </c>
      <c r="B3" t="s">
        <v>611</v>
      </c>
      <c r="C3">
        <v>50.7</v>
      </c>
      <c r="D3">
        <v>50</v>
      </c>
      <c r="E3">
        <v>14</v>
      </c>
      <c r="F3">
        <v>0</v>
      </c>
      <c r="G3" t="s">
        <v>612</v>
      </c>
      <c r="H3">
        <v>174</v>
      </c>
      <c r="I3">
        <v>0</v>
      </c>
      <c r="J3">
        <v>174</v>
      </c>
      <c r="K3">
        <v>174</v>
      </c>
      <c r="L3">
        <v>0</v>
      </c>
      <c r="M3">
        <v>174</v>
      </c>
      <c r="N3">
        <v>0</v>
      </c>
      <c r="O3">
        <v>6</v>
      </c>
      <c r="P3">
        <v>0</v>
      </c>
      <c r="Q3">
        <v>144</v>
      </c>
      <c r="R3">
        <v>0</v>
      </c>
      <c r="S3">
        <v>5</v>
      </c>
      <c r="T3">
        <v>0</v>
      </c>
      <c r="U3">
        <v>30</v>
      </c>
      <c r="V3">
        <v>0</v>
      </c>
      <c r="AI3">
        <v>0.3</v>
      </c>
      <c r="AJ3">
        <v>0.25</v>
      </c>
      <c r="AM3">
        <v>174</v>
      </c>
      <c r="AN3">
        <v>0.28999999999999998</v>
      </c>
      <c r="AO3">
        <v>0.28000000000000003</v>
      </c>
      <c r="AP3" t="s">
        <v>612</v>
      </c>
    </row>
    <row r="4" spans="1:42">
      <c r="A4" t="s">
        <v>608</v>
      </c>
      <c r="B4" t="s">
        <v>613</v>
      </c>
      <c r="C4">
        <v>65.099999999999994</v>
      </c>
      <c r="D4">
        <v>65</v>
      </c>
      <c r="E4">
        <v>1</v>
      </c>
      <c r="F4">
        <v>11.75</v>
      </c>
      <c r="H4">
        <v>0</v>
      </c>
      <c r="I4">
        <v>0</v>
      </c>
      <c r="J4">
        <v>0</v>
      </c>
      <c r="K4">
        <v>0</v>
      </c>
      <c r="L4">
        <v>0</v>
      </c>
      <c r="M4">
        <v>0</v>
      </c>
      <c r="N4">
        <v>0</v>
      </c>
      <c r="AI4" t="s">
        <v>1051</v>
      </c>
      <c r="AM4">
        <v>0</v>
      </c>
      <c r="AN4" t="s">
        <v>1051</v>
      </c>
      <c r="AO4" t="s">
        <v>1051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Overview</vt:lpstr>
      <vt:lpstr>Receipts</vt:lpstr>
      <vt:lpstr>Expenses</vt:lpstr>
      <vt:lpstr>Stock</vt:lpstr>
      <vt:lpstr>raw data</vt:lpstr>
      <vt:lpstr>Stock_raw</vt:lpstr>
      <vt:lpstr>Issues of the Mills</vt:lpstr>
      <vt:lpstr>Prices</vt:lpstr>
      <vt:lpstr>Labour Rents</vt:lpstr>
      <vt:lpstr>not needed</vt:lpstr>
      <vt:lpstr>Issues of the Grange raw</vt:lpstr>
      <vt:lpstr>Issues of the Grange</vt:lpstr>
      <vt:lpstr>Sale of Corn 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Kowalski, Kuba</cp:lastModifiedBy>
  <dcterms:created xsi:type="dcterms:W3CDTF">2024-09-06T15:22:17Z</dcterms:created>
  <dcterms:modified xsi:type="dcterms:W3CDTF">2026-02-04T22:32:39Z</dcterms:modified>
</cp:coreProperties>
</file>
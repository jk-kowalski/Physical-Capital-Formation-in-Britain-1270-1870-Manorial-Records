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OVERTONBOROUGH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0.36</v>
      </c>
      <c r="D4" s="13" t="n"/>
      <c r="E4" s="13" t="n"/>
    </row>
    <row r="5">
      <c r="A5" s="15" t="inlineStr">
        <is>
          <t>Rents of assize total</t>
        </is>
      </c>
      <c r="B5" s="76" t="n">
        <v>8.24</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8.109999999999999</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1.44</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'Receipts'!F19</f>
        <v/>
      </c>
      <c r="C25" s="10">
        <f>B23-B25</f>
        <v/>
      </c>
    </row>
    <row r="26">
      <c r="A26" s="83" t="inlineStr">
        <is>
          <t>Total recorded in the accounts incl. arrears</t>
        </is>
      </c>
      <c r="B26">
        <f>'Receipts'!F20</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0.36</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OVERTONBOROUGH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7</v>
      </c>
      <c r="D3" s="128" t="n">
        <v>2</v>
      </c>
      <c r="E3" s="128" t="n"/>
      <c r="F3" s="128" t="n">
        <v>0.36</v>
      </c>
      <c r="G3" s="128" t="n"/>
      <c r="H3" s="128" t="inlineStr">
        <is>
          <t>The same answers for 7 shilling 2pence of arrears from the last account of the preceding year.</t>
        </is>
      </c>
      <c r="I3" s="128" t="n"/>
    </row>
    <row r="4">
      <c r="A4" s="137" t="inlineStr">
        <is>
          <t>Arrears</t>
        </is>
      </c>
      <c r="B4" s="128" t="n">
        <v>0</v>
      </c>
      <c r="C4" s="128" t="n">
        <v>7</v>
      </c>
      <c r="D4" s="128" t="n">
        <v>2</v>
      </c>
      <c r="E4" s="128" t="n"/>
      <c r="F4" s="128" t="n">
        <v>0.36</v>
      </c>
      <c r="G4" s="128" t="n"/>
      <c r="H4" s="128" t="inlineStr">
        <is>
          <t>Total, 7 shilling 2pence.</t>
        </is>
      </c>
      <c r="I4" s="128" t="n"/>
    </row>
    <row r="5">
      <c r="A5" s="138" t="inlineStr">
        <is>
          <t>Arrears total</t>
        </is>
      </c>
      <c r="B5" s="139" t="n"/>
      <c r="C5" s="139" t="n"/>
      <c r="D5" s="139" t="n"/>
      <c r="E5" s="139" t="n"/>
      <c r="F5" s="139" t="n">
        <v>0.36</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8</v>
      </c>
      <c r="C7" s="128" t="n">
        <v>4</v>
      </c>
      <c r="D7" s="128" t="n">
        <v>8.5</v>
      </c>
      <c r="E7" s="128" t="n"/>
      <c r="F7" s="128" t="n">
        <v>8.24</v>
      </c>
      <c r="G7" s="128" t="n"/>
      <c r="H7" s="128" t="inlineStr">
        <is>
          <t>And for £8 4 shilling 8.5pence for all the rents of assize there for the year and all paid at Michaelmas (29 September).</t>
        </is>
      </c>
      <c r="I7" s="128" t="n"/>
    </row>
    <row r="8">
      <c r="A8" s="137" t="inlineStr">
        <is>
          <t>Rents of assize</t>
        </is>
      </c>
      <c r="B8" s="128" t="n">
        <v>8</v>
      </c>
      <c r="C8" s="128" t="n">
        <v>4</v>
      </c>
      <c r="D8" s="128" t="n">
        <v>8.5</v>
      </c>
      <c r="E8" s="128" t="n"/>
      <c r="F8" s="128" t="n">
        <v>8.24</v>
      </c>
      <c r="G8" s="128" t="n"/>
      <c r="H8" s="128" t="inlineStr">
        <is>
          <t>Total, £8 4 shilling 8.5pence.</t>
        </is>
      </c>
      <c r="I8" s="128" t="n"/>
    </row>
    <row r="9">
      <c r="A9" s="138" t="inlineStr">
        <is>
          <t>Rents of assize total</t>
        </is>
      </c>
      <c r="B9" s="139" t="n"/>
      <c r="C9" s="139" t="n"/>
      <c r="D9" s="139" t="n"/>
      <c r="E9" s="139" t="n"/>
      <c r="F9" s="139" t="n">
        <v>8.24</v>
      </c>
      <c r="G9" s="139" t="n">
        <v>0</v>
      </c>
      <c r="H9" s="139" t="inlineStr">
        <is>
          <t>Total</t>
        </is>
      </c>
      <c r="I9" s="139" t="n"/>
    </row>
    <row r="10">
      <c r="A10" s="137" t="n"/>
      <c r="B10" s="128" t="n"/>
      <c r="C10" s="128" t="n"/>
      <c r="D10" s="128" t="n"/>
      <c r="E10" s="128" t="n"/>
      <c r="F10" s="128" t="n"/>
      <c r="G10" s="128" t="n"/>
      <c r="H10" s="128" t="n"/>
      <c r="I10" s="128" t="n"/>
    </row>
    <row r="11">
      <c r="A11" s="136" t="inlineStr">
        <is>
          <t>Total of rents remaining clear</t>
        </is>
      </c>
      <c r="B11" s="128" t="n">
        <v>8</v>
      </c>
      <c r="C11" s="128" t="n">
        <v>2</v>
      </c>
      <c r="D11" s="128" t="n">
        <v>2.5</v>
      </c>
      <c r="E11" s="128" t="n"/>
      <c r="F11" s="128" t="n">
        <v>8.109999999999999</v>
      </c>
      <c r="G11" s="128" t="n"/>
      <c r="H11" s="128" t="inlineStr">
        <is>
          <t>Total of rents remaining clear, £8 2 shilling 2.5pence.</t>
        </is>
      </c>
      <c r="I11" s="128" t="n"/>
    </row>
    <row r="12">
      <c r="A12" s="138" t="inlineStr">
        <is>
          <t>Total of rents remaining clear total</t>
        </is>
      </c>
      <c r="B12" s="139" t="n"/>
      <c r="C12" s="139" t="n"/>
      <c r="D12" s="139" t="n"/>
      <c r="E12" s="139" t="n"/>
      <c r="F12" s="139" t="n">
        <v>8.109999999999999</v>
      </c>
      <c r="G12" s="139" t="n">
        <v>0</v>
      </c>
      <c r="H12" s="139" t="inlineStr">
        <is>
          <t>Total</t>
        </is>
      </c>
      <c r="I12" s="139" t="n"/>
    </row>
    <row r="13">
      <c r="A13" s="137" t="n"/>
      <c r="B13" s="128" t="n"/>
      <c r="C13" s="128" t="n"/>
      <c r="D13" s="128" t="n"/>
      <c r="E13" s="128" t="n"/>
      <c r="F13" s="128" t="n"/>
      <c r="G13" s="128" t="n"/>
      <c r="H13" s="128" t="n"/>
      <c r="I13" s="128" t="n"/>
    </row>
    <row r="14">
      <c r="A14" s="136" t="inlineStr">
        <is>
          <t>Perquisites of court</t>
        </is>
      </c>
      <c r="B14" s="128" t="n">
        <v>0</v>
      </c>
      <c r="C14" s="128" t="n">
        <v>11</v>
      </c>
      <c r="D14" s="128" t="n">
        <v>6</v>
      </c>
      <c r="E14" s="128" t="n"/>
      <c r="F14" s="128" t="n">
        <v>0.58</v>
      </c>
      <c r="G14" s="128" t="n"/>
      <c r="H14" s="128" t="inlineStr">
        <is>
          <t>And for 11 shilling 6pence from the perquisites of the tourn of Martinmas (11 November).</t>
        </is>
      </c>
      <c r="I14" s="128" t="n"/>
    </row>
    <row r="15">
      <c r="A15" s="137" t="inlineStr">
        <is>
          <t>Perquisites of court</t>
        </is>
      </c>
      <c r="B15" s="128" t="n">
        <v>0</v>
      </c>
      <c r="C15" s="128" t="n">
        <v>4</v>
      </c>
      <c r="D15" s="128" t="n">
        <v>8</v>
      </c>
      <c r="E15" s="128" t="n"/>
      <c r="F15" s="128" t="n">
        <v>0.23</v>
      </c>
      <c r="G15" s="128" t="n"/>
      <c r="H15" s="128" t="inlineStr">
        <is>
          <t>4 shilling 8pence from the perquisites of the courts held between the 2 tourns.</t>
        </is>
      </c>
      <c r="I15" s="128" t="n"/>
    </row>
    <row r="16">
      <c r="A16" s="137" t="inlineStr">
        <is>
          <t>Perquisites of court</t>
        </is>
      </c>
      <c r="B16" s="128" t="n">
        <v>0</v>
      </c>
      <c r="C16" s="128" t="n">
        <v>4</v>
      </c>
      <c r="D16" s="128" t="n">
        <v>7</v>
      </c>
      <c r="E16" s="128" t="n"/>
      <c r="F16" s="128" t="n">
        <v>0.23</v>
      </c>
      <c r="G16" s="128" t="n"/>
      <c r="H16" s="128" t="inlineStr">
        <is>
          <t>4 shilling 7pence from the perquisites of the tourn of Hockday (1 April).</t>
        </is>
      </c>
      <c r="I16" s="128" t="n"/>
    </row>
    <row r="17">
      <c r="A17" s="137" t="inlineStr">
        <is>
          <t>Perquisites of court</t>
        </is>
      </c>
      <c r="B17" s="128" t="n">
        <v>0</v>
      </c>
      <c r="C17" s="128" t="n">
        <v>8</v>
      </c>
      <c r="D17" s="128" t="n">
        <v>0</v>
      </c>
      <c r="E17" s="128" t="n"/>
      <c r="F17" s="128" t="n">
        <v>0.4</v>
      </c>
      <c r="G17" s="128" t="n"/>
      <c r="H17" s="128" t="inlineStr">
        <is>
          <t>8 shilling from the perquisites of the courts held after the said tourn.</t>
        </is>
      </c>
      <c r="I17" s="128" t="n"/>
    </row>
    <row r="18">
      <c r="A18" s="138" t="inlineStr">
        <is>
          <t>Perquisites of court total</t>
        </is>
      </c>
      <c r="B18" s="139" t="n">
        <v>1</v>
      </c>
      <c r="C18" s="139" t="n">
        <v>8</v>
      </c>
      <c r="D18" s="139" t="n">
        <v>9</v>
      </c>
      <c r="E18" s="139" t="n"/>
      <c r="F18" s="139" t="n">
        <v>1.44</v>
      </c>
      <c r="G18" s="139" t="n">
        <v>1.04</v>
      </c>
      <c r="H18" s="139" t="inlineStr">
        <is>
          <t>Total, £1 8 shilling 9pence.</t>
        </is>
      </c>
      <c r="I18" s="139" t="n"/>
    </row>
    <row r="19">
      <c r="A19" s="38" t="inlineStr">
        <is>
          <t>Total of all receipts recorded in accounts (calculated here)</t>
        </is>
      </c>
      <c r="F19">
        <f>SUMIF(A1:A18,"* total",F1:F18)-SUMIF(A1:A18,"Arrears total",F1:F18)</f>
        <v/>
      </c>
    </row>
    <row r="20">
      <c r="A20" s="38" t="inlineStr">
        <is>
          <t>Total of all receipts (calculated here) incl arrears</t>
        </is>
      </c>
      <c r="F20">
        <f>F19+SUMIF(A1:A18,"Arrears total",F1:F18)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OVERTONBOROUGH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Total of all allowances and cash deliveries</t>
        </is>
      </c>
      <c r="B4" s="128" t="n">
        <v>10</v>
      </c>
      <c r="C4" s="128" t="n">
        <v>18</v>
      </c>
      <c r="D4" s="128" t="n">
        <v>4.5</v>
      </c>
      <c r="E4" s="128" t="n"/>
      <c r="F4" s="128" t="n">
        <v>10.92</v>
      </c>
      <c r="G4" s="128" t="n"/>
      <c r="H4" s="128" t="inlineStr">
        <is>
          <t>Total of all allowances and cash deliveries, £10 18 shilling 4.5pence.</t>
        </is>
      </c>
    </row>
    <row r="5">
      <c r="A5" s="138" t="inlineStr">
        <is>
          <t>Total of all allowances and cash deliveries total</t>
        </is>
      </c>
      <c r="B5" s="139" t="n"/>
      <c r="C5" s="139" t="n"/>
      <c r="D5" s="139" t="n"/>
      <c r="E5" s="139" t="n"/>
      <c r="F5" s="139" t="n">
        <v>0</v>
      </c>
      <c r="G5" s="139" t="n">
        <v>-10.92</v>
      </c>
      <c r="H5" s="139" t="inlineStr">
        <is>
          <t>Total</t>
        </is>
      </c>
    </row>
    <row r="6">
      <c r="A6" s="137" t="n"/>
      <c r="B6" s="128" t="n"/>
      <c r="C6" s="128" t="n"/>
      <c r="D6" s="128" t="n"/>
      <c r="E6" s="128" t="n"/>
      <c r="F6" s="128" t="n"/>
      <c r="G6" s="128" t="n"/>
      <c r="H6" s="128" t="n"/>
    </row>
    <row r="7">
      <c r="A7" s="136" t="inlineStr">
        <is>
          <t>And he owes</t>
        </is>
      </c>
      <c r="B7" s="128" t="n">
        <v>0</v>
      </c>
      <c r="C7" s="128" t="n">
        <v>7</v>
      </c>
      <c r="D7" s="128" t="n">
        <v>2</v>
      </c>
      <c r="E7" s="128" t="n"/>
      <c r="F7" s="128" t="n">
        <v>0.36</v>
      </c>
      <c r="G7" s="128" t="n"/>
      <c r="H7" s="128" t="inlineStr">
        <is>
          <t>And he owes, 7 shilling 2pence, and all is in the hands of the escheator, for which he is charged in the following account.</t>
        </is>
      </c>
    </row>
    <row r="8">
      <c r="A8" s="138" t="inlineStr">
        <is>
          <t>And he owes total</t>
        </is>
      </c>
      <c r="B8" s="139" t="n"/>
      <c r="C8" s="139" t="n"/>
      <c r="D8" s="139" t="n"/>
      <c r="E8" s="139" t="n"/>
      <c r="F8" s="139" t="n">
        <v>0.36</v>
      </c>
      <c r="G8" s="139" t="n">
        <v>0</v>
      </c>
      <c r="H8" s="139"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OVERTONBOROUGH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2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Overton Borough</t>
        </is>
      </c>
      <c r="B2" t="inlineStr">
        <is>
          <t>The account of John Kiggille the elder, reeve there, for the abovesaid year of the translation of the lord.</t>
        </is>
      </c>
      <c r="C2" t="n">
        <v>0</v>
      </c>
      <c r="D2" t="n">
        <v>0</v>
      </c>
      <c r="E2" t="n">
        <v>0</v>
      </c>
      <c r="F2" t="n">
        <v>0</v>
      </c>
      <c r="H2" t="n">
        <v>0</v>
      </c>
      <c r="I2" t="n">
        <v>0</v>
      </c>
      <c r="J2" t="n">
        <v>0</v>
      </c>
      <c r="K2" t="n">
        <v>0</v>
      </c>
      <c r="L2" t="n">
        <v>0</v>
      </c>
      <c r="M2" t="n">
        <v>0</v>
      </c>
      <c r="N2" t="n">
        <v>0</v>
      </c>
    </row>
    <row r="3">
      <c r="A3" t="inlineStr">
        <is>
          <t>Arrears</t>
        </is>
      </c>
      <c r="B3" t="inlineStr">
        <is>
          <t>The same answers for 7 shilling 2pence of arrears from the last account of the preceding year.</t>
        </is>
      </c>
      <c r="C3" t="n">
        <v>0.36</v>
      </c>
      <c r="D3" t="n">
        <v>0</v>
      </c>
      <c r="E3" t="n">
        <v>7</v>
      </c>
      <c r="F3" t="n">
        <v>2</v>
      </c>
      <c r="H3" t="n">
        <v>0</v>
      </c>
      <c r="I3" t="n">
        <v>0</v>
      </c>
      <c r="J3" t="n">
        <v>0</v>
      </c>
      <c r="K3" t="n">
        <v>0</v>
      </c>
      <c r="L3" t="n">
        <v>0</v>
      </c>
      <c r="M3" t="n">
        <v>0</v>
      </c>
      <c r="N3" t="n">
        <v>0</v>
      </c>
    </row>
    <row r="4">
      <c r="A4" t="inlineStr">
        <is>
          <t>Arrears</t>
        </is>
      </c>
      <c r="B4" t="inlineStr">
        <is>
          <t>Total, 7 shilling 2pence.</t>
        </is>
      </c>
      <c r="C4" t="n">
        <v>0.36</v>
      </c>
      <c r="D4" t="n">
        <v>0</v>
      </c>
      <c r="E4" t="n">
        <v>7</v>
      </c>
      <c r="F4" t="n">
        <v>2</v>
      </c>
      <c r="H4" t="n">
        <v>0</v>
      </c>
      <c r="I4" t="n">
        <v>0</v>
      </c>
      <c r="J4" t="n">
        <v>0</v>
      </c>
      <c r="K4" t="n">
        <v>0</v>
      </c>
      <c r="L4" t="n">
        <v>0</v>
      </c>
      <c r="M4" t="n">
        <v>0</v>
      </c>
      <c r="N4" t="n">
        <v>0</v>
      </c>
    </row>
    <row r="5">
      <c r="A5" t="inlineStr">
        <is>
          <t>Rents of assize</t>
        </is>
      </c>
      <c r="B5" t="inlineStr">
        <is>
          <t>And for £8 4 shilling 8.5pence for all the rents of assize there for the year and all paid at Michaelmas (29 September).</t>
        </is>
      </c>
      <c r="C5" t="n">
        <v>8.24</v>
      </c>
      <c r="D5" t="n">
        <v>8</v>
      </c>
      <c r="E5" t="n">
        <v>4</v>
      </c>
      <c r="F5" t="n">
        <v>8.5</v>
      </c>
      <c r="H5" t="n">
        <v>0</v>
      </c>
      <c r="I5" t="n">
        <v>0</v>
      </c>
      <c r="J5" t="n">
        <v>0</v>
      </c>
      <c r="K5" t="n">
        <v>0</v>
      </c>
      <c r="L5" t="n">
        <v>0</v>
      </c>
      <c r="M5" t="n">
        <v>0</v>
      </c>
      <c r="N5" t="n">
        <v>0</v>
      </c>
    </row>
    <row r="6">
      <c r="A6" t="inlineStr">
        <is>
          <t>Rents of assize</t>
        </is>
      </c>
      <c r="B6" t="inlineStr">
        <is>
          <t>Total, £8 4 shilling 8.5pence.</t>
        </is>
      </c>
      <c r="C6" t="n">
        <v>8.24</v>
      </c>
      <c r="D6" t="n">
        <v>8</v>
      </c>
      <c r="E6" t="n">
        <v>4</v>
      </c>
      <c r="F6" t="n">
        <v>8.5</v>
      </c>
      <c r="H6" t="n">
        <v>0</v>
      </c>
      <c r="I6" t="n">
        <v>0</v>
      </c>
      <c r="J6" t="n">
        <v>0</v>
      </c>
      <c r="K6" t="n">
        <v>0</v>
      </c>
      <c r="L6" t="n">
        <v>0</v>
      </c>
      <c r="M6" t="n">
        <v>0</v>
      </c>
      <c r="N6" t="n">
        <v>0</v>
      </c>
    </row>
    <row r="7">
      <c r="A7" t="inlineStr">
        <is>
          <t>Quittances and defaults of rent</t>
        </is>
      </c>
      <c r="B7" t="inlineStr">
        <is>
          <t>In quittance of rent of the reeve of the borough for the year 2 shilling.</t>
        </is>
      </c>
      <c r="C7" t="n">
        <v>0.1</v>
      </c>
      <c r="D7" t="n">
        <v>0</v>
      </c>
      <c r="E7" t="n">
        <v>2</v>
      </c>
      <c r="F7" t="n">
        <v>0</v>
      </c>
      <c r="H7" t="n">
        <v>0</v>
      </c>
      <c r="I7" t="n">
        <v>0</v>
      </c>
      <c r="J7" t="n">
        <v>0</v>
      </c>
      <c r="K7" t="n">
        <v>0</v>
      </c>
      <c r="L7" t="n">
        <v>0</v>
      </c>
      <c r="M7" t="n">
        <v>0</v>
      </c>
      <c r="N7" t="n">
        <v>0</v>
      </c>
    </row>
    <row r="8">
      <c r="A8" t="inlineStr">
        <is>
          <t>Quittances and defaults of rent</t>
        </is>
      </c>
      <c r="B8" t="inlineStr">
        <is>
          <t>default of William Punch' for 1 house pulled down by statute 6pence.</t>
        </is>
      </c>
      <c r="C8" t="n">
        <v>0.03</v>
      </c>
      <c r="D8" t="n">
        <v>0</v>
      </c>
      <c r="E8" t="n">
        <v>0</v>
      </c>
      <c r="F8" t="n">
        <v>6</v>
      </c>
      <c r="H8" t="n">
        <v>0</v>
      </c>
      <c r="I8" t="n">
        <v>0</v>
      </c>
      <c r="J8" t="n">
        <v>0</v>
      </c>
      <c r="K8" t="n">
        <v>0</v>
      </c>
      <c r="L8" t="n">
        <v>0</v>
      </c>
      <c r="M8" t="n">
        <v>0</v>
      </c>
      <c r="N8" t="n">
        <v>0</v>
      </c>
    </row>
    <row r="9">
      <c r="A9" t="inlineStr">
        <is>
          <t>Quittances and defaults of rent</t>
        </is>
      </c>
      <c r="B9" t="inlineStr">
        <is>
          <t>Total of quittances and defaults of rent, 2 shilling 6pence.</t>
        </is>
      </c>
      <c r="C9" t="n">
        <v>0.12</v>
      </c>
      <c r="D9" t="n">
        <v>0</v>
      </c>
      <c r="E9" t="n">
        <v>2</v>
      </c>
      <c r="F9" t="n">
        <v>6</v>
      </c>
      <c r="H9" t="n">
        <v>0</v>
      </c>
      <c r="I9" t="n">
        <v>0</v>
      </c>
      <c r="J9" t="n">
        <v>0</v>
      </c>
      <c r="K9" t="n">
        <v>0</v>
      </c>
      <c r="L9" t="n">
        <v>0</v>
      </c>
      <c r="M9" t="n">
        <v>0</v>
      </c>
      <c r="N9" t="n">
        <v>0</v>
      </c>
    </row>
    <row r="10">
      <c r="A10" t="inlineStr">
        <is>
          <t>Total of rents remaining clear</t>
        </is>
      </c>
      <c r="B10" t="inlineStr">
        <is>
          <t>Total of rents remaining clear, £8 2 shilling 2.5pence.</t>
        </is>
      </c>
      <c r="C10" t="n">
        <v>8.109999999999999</v>
      </c>
      <c r="D10" t="n">
        <v>8</v>
      </c>
      <c r="E10" t="n">
        <v>2</v>
      </c>
      <c r="F10" t="n">
        <v>2.5</v>
      </c>
      <c r="H10" t="n">
        <v>0</v>
      </c>
      <c r="I10" t="n">
        <v>0</v>
      </c>
      <c r="J10" t="n">
        <v>0</v>
      </c>
      <c r="K10" t="n">
        <v>0</v>
      </c>
      <c r="L10" t="n">
        <v>0</v>
      </c>
      <c r="M10" t="n">
        <v>0</v>
      </c>
      <c r="N10" t="n">
        <v>0</v>
      </c>
    </row>
    <row r="11">
      <c r="A11" t="inlineStr">
        <is>
          <t>Seldage and stallage</t>
        </is>
      </c>
      <c r="B11" t="inlineStr">
        <is>
          <t>And for 10 shilling 8pence from 16 selds (seld' stall') hired there for the year, at 8pence a seld.</t>
        </is>
      </c>
      <c r="C11" t="n">
        <v>0.53</v>
      </c>
      <c r="D11" t="n">
        <v>0</v>
      </c>
      <c r="E11" t="n">
        <v>10</v>
      </c>
      <c r="F11" t="n">
        <v>8</v>
      </c>
      <c r="H11" t="n">
        <v>0</v>
      </c>
      <c r="I11" t="n">
        <v>0</v>
      </c>
      <c r="J11" t="n">
        <v>0</v>
      </c>
      <c r="K11" t="n">
        <v>0</v>
      </c>
      <c r="L11" t="n">
        <v>0</v>
      </c>
      <c r="M11" t="n">
        <v>0</v>
      </c>
      <c r="N11" t="n">
        <v>0</v>
      </c>
    </row>
    <row r="12">
      <c r="A12" t="inlineStr">
        <is>
          <t>Seldage and stallage</t>
        </is>
      </c>
      <c r="B12" t="inlineStr">
        <is>
          <t>3 shilling 4pence from 20 stalls (stall') hired there for the year.</t>
        </is>
      </c>
      <c r="C12" t="n">
        <v>0.17</v>
      </c>
      <c r="D12" t="n">
        <v>0</v>
      </c>
      <c r="E12" t="n">
        <v>3</v>
      </c>
      <c r="F12" t="n">
        <v>4</v>
      </c>
      <c r="H12" t="n">
        <v>0</v>
      </c>
      <c r="I12" t="n">
        <v>0</v>
      </c>
      <c r="J12" t="n">
        <v>0</v>
      </c>
      <c r="K12" t="n">
        <v>0</v>
      </c>
      <c r="L12" t="n">
        <v>0</v>
      </c>
      <c r="M12" t="n">
        <v>0</v>
      </c>
      <c r="N12" t="n">
        <v>0</v>
      </c>
    </row>
    <row r="13">
      <c r="A13" t="inlineStr">
        <is>
          <t>Seldage and stallage</t>
        </is>
      </c>
      <c r="B13" t="inlineStr">
        <is>
          <t>Total, 14 shilling.</t>
        </is>
      </c>
      <c r="C13" t="n">
        <v>0.7</v>
      </c>
      <c r="D13" t="n">
        <v>0</v>
      </c>
      <c r="E13" t="n">
        <v>14</v>
      </c>
      <c r="F13" t="n">
        <v>0</v>
      </c>
      <c r="H13" t="n">
        <v>0</v>
      </c>
      <c r="I13" t="n">
        <v>0</v>
      </c>
      <c r="J13" t="n">
        <v>0</v>
      </c>
      <c r="K13" t="n">
        <v>0</v>
      </c>
      <c r="L13" t="n">
        <v>0</v>
      </c>
      <c r="M13" t="n">
        <v>0</v>
      </c>
      <c r="N13" t="n">
        <v>0</v>
      </c>
    </row>
    <row r="14">
      <c r="A14" t="inlineStr">
        <is>
          <t>Farms</t>
        </is>
      </c>
      <c r="B14" t="inlineStr">
        <is>
          <t>And for 10 shilling for the farm of 1 messuage and 1 carrucate of land and meadow in Freefolk at Michaelmas, demised to Lucy Manyfelde by charter of the lord and confirmation of his chapter of St Swithun's, Winchester, which is now held by Ralph Greishanke at will.</t>
        </is>
      </c>
      <c r="C14" t="n">
        <v>0.5</v>
      </c>
      <c r="D14" t="n">
        <v>0</v>
      </c>
      <c r="E14" t="n">
        <v>10</v>
      </c>
      <c r="F14" t="n">
        <v>0</v>
      </c>
      <c r="H14" t="n">
        <v>0</v>
      </c>
      <c r="I14" t="n">
        <v>0</v>
      </c>
      <c r="J14" t="n">
        <v>0</v>
      </c>
      <c r="K14" t="n">
        <v>0</v>
      </c>
      <c r="L14" t="n">
        <v>0</v>
      </c>
      <c r="M14" t="n">
        <v>0</v>
      </c>
      <c r="N14" t="n">
        <v>0</v>
      </c>
    </row>
    <row r="15">
      <c r="A15" t="inlineStr">
        <is>
          <t>Farms</t>
        </is>
      </c>
      <c r="B15" t="inlineStr">
        <is>
          <t>nothing of the 10 shilling from the issue of the lands and tenements of Robert Sparke in Overton because they were granted to William Saleman by deed of William de Wykeham, recently lord bishop of Winchester, and confirmation of his aforesaid chapter of St Swithun's, Winchester, without paying anything therefor for 50 years, this year being the twenty-fourth.</t>
        </is>
      </c>
      <c r="C15" t="n">
        <v>0.5</v>
      </c>
      <c r="D15" t="n">
        <v>0</v>
      </c>
      <c r="E15" t="n">
        <v>10</v>
      </c>
      <c r="F15" t="n">
        <v>0</v>
      </c>
      <c r="H15" t="n">
        <v>0</v>
      </c>
      <c r="I15" t="n">
        <v>0</v>
      </c>
      <c r="J15" t="n">
        <v>0</v>
      </c>
      <c r="K15" t="n">
        <v>0</v>
      </c>
      <c r="L15" t="n">
        <v>0</v>
      </c>
      <c r="M15" t="n">
        <v>0</v>
      </c>
      <c r="N15" t="n">
        <v>0</v>
      </c>
    </row>
    <row r="16">
      <c r="A16" t="inlineStr">
        <is>
          <t>Farms</t>
        </is>
      </c>
      <c r="B16" t="inlineStr">
        <is>
          <t>3 shilling 5pence from the issue of the tenement of Robert Brasier from the time he became an outlaw, on top of the ancient rent.</t>
        </is>
      </c>
      <c r="C16" t="n">
        <v>0.17</v>
      </c>
      <c r="D16" t="n">
        <v>0</v>
      </c>
      <c r="E16" t="n">
        <v>3</v>
      </c>
      <c r="F16" t="n">
        <v>5</v>
      </c>
      <c r="H16" t="n">
        <v>0</v>
      </c>
      <c r="I16" t="n">
        <v>0</v>
      </c>
      <c r="J16" t="n">
        <v>0</v>
      </c>
      <c r="K16" t="n">
        <v>0</v>
      </c>
      <c r="L16" t="n">
        <v>0</v>
      </c>
      <c r="M16" t="n">
        <v>0</v>
      </c>
      <c r="N16" t="n">
        <v>0</v>
      </c>
    </row>
    <row r="17">
      <c r="A17" t="inlineStr">
        <is>
          <t>Farms</t>
        </is>
      </c>
      <c r="B17" t="inlineStr">
        <is>
          <t>Total, 13 shilling 5pence.</t>
        </is>
      </c>
      <c r="C17" t="n">
        <v>0.67</v>
      </c>
      <c r="D17" t="n">
        <v>0</v>
      </c>
      <c r="E17" t="n">
        <v>13</v>
      </c>
      <c r="F17" t="n">
        <v>5</v>
      </c>
      <c r="H17" t="n">
        <v>0</v>
      </c>
      <c r="I17" t="n">
        <v>0</v>
      </c>
      <c r="J17" t="n">
        <v>0</v>
      </c>
      <c r="K17" t="n">
        <v>0</v>
      </c>
      <c r="L17" t="n">
        <v>0</v>
      </c>
      <c r="M17" t="n">
        <v>0</v>
      </c>
      <c r="N17" t="n">
        <v>0</v>
      </c>
    </row>
    <row r="18">
      <c r="A18" t="inlineStr">
        <is>
          <t>Perquisites of court</t>
        </is>
      </c>
      <c r="B18" t="inlineStr">
        <is>
          <t>And for 11 shilling 6pence from the perquisites of the tourn of Martinmas (11 November).</t>
        </is>
      </c>
      <c r="C18" t="n">
        <v>0.58</v>
      </c>
      <c r="D18" t="n">
        <v>0</v>
      </c>
      <c r="E18" t="n">
        <v>11</v>
      </c>
      <c r="F18" t="n">
        <v>6</v>
      </c>
      <c r="H18" t="n">
        <v>0</v>
      </c>
      <c r="I18" t="n">
        <v>0</v>
      </c>
      <c r="J18" t="n">
        <v>0</v>
      </c>
      <c r="K18" t="n">
        <v>0</v>
      </c>
      <c r="L18" t="n">
        <v>0</v>
      </c>
      <c r="M18" t="n">
        <v>0</v>
      </c>
      <c r="N18" t="n">
        <v>0</v>
      </c>
    </row>
    <row r="19">
      <c r="A19" t="inlineStr">
        <is>
          <t>Perquisites of court</t>
        </is>
      </c>
      <c r="B19" t="inlineStr">
        <is>
          <t>4 shilling 8pence from the perquisites of the courts held between the 2 tourns.</t>
        </is>
      </c>
      <c r="C19" t="n">
        <v>0.23</v>
      </c>
      <c r="D19" t="n">
        <v>0</v>
      </c>
      <c r="E19" t="n">
        <v>4</v>
      </c>
      <c r="F19" t="n">
        <v>8</v>
      </c>
      <c r="H19" t="n">
        <v>0</v>
      </c>
      <c r="I19" t="n">
        <v>0</v>
      </c>
      <c r="J19" t="n">
        <v>0</v>
      </c>
      <c r="K19" t="n">
        <v>0</v>
      </c>
      <c r="L19" t="n">
        <v>0</v>
      </c>
      <c r="M19" t="n">
        <v>0</v>
      </c>
      <c r="N19" t="n">
        <v>0</v>
      </c>
    </row>
    <row r="20">
      <c r="A20" t="inlineStr">
        <is>
          <t>Perquisites of court</t>
        </is>
      </c>
      <c r="B20" t="inlineStr">
        <is>
          <t>4 shilling 7pence from the perquisites of the tourn of Hockday (1 April).</t>
        </is>
      </c>
      <c r="C20" t="n">
        <v>0.23</v>
      </c>
      <c r="D20" t="n">
        <v>0</v>
      </c>
      <c r="E20" t="n">
        <v>4</v>
      </c>
      <c r="F20" t="n">
        <v>7</v>
      </c>
      <c r="H20" t="n">
        <v>0</v>
      </c>
      <c r="I20" t="n">
        <v>0</v>
      </c>
      <c r="J20" t="n">
        <v>0</v>
      </c>
      <c r="K20" t="n">
        <v>0</v>
      </c>
      <c r="L20" t="n">
        <v>0</v>
      </c>
      <c r="M20" t="n">
        <v>0</v>
      </c>
      <c r="N20" t="n">
        <v>0</v>
      </c>
    </row>
    <row r="21">
      <c r="A21" t="inlineStr">
        <is>
          <t>Perquisites of court</t>
        </is>
      </c>
      <c r="B21" t="inlineStr">
        <is>
          <t>8 shilling from the perquisites of the courts held after the said tourn.</t>
        </is>
      </c>
      <c r="C21" t="n">
        <v>0.4</v>
      </c>
      <c r="D21" t="n">
        <v>0</v>
      </c>
      <c r="E21" t="n">
        <v>8</v>
      </c>
      <c r="F21" t="n">
        <v>0</v>
      </c>
      <c r="H21" t="n">
        <v>0</v>
      </c>
      <c r="I21" t="n">
        <v>0</v>
      </c>
      <c r="J21" t="n">
        <v>0</v>
      </c>
      <c r="K21" t="n">
        <v>0</v>
      </c>
      <c r="L21" t="n">
        <v>0</v>
      </c>
      <c r="M21" t="n">
        <v>0</v>
      </c>
      <c r="N21" t="n">
        <v>0</v>
      </c>
    </row>
    <row r="22">
      <c r="A22" t="inlineStr">
        <is>
          <t>Perquisites of court</t>
        </is>
      </c>
      <c r="B22" t="inlineStr">
        <is>
          <t>Total, £1 8 shilling 9pence.</t>
        </is>
      </c>
      <c r="C22" t="n">
        <v>1.44</v>
      </c>
      <c r="D22" t="n">
        <v>1</v>
      </c>
      <c r="E22" t="n">
        <v>8</v>
      </c>
      <c r="F22" t="n">
        <v>9</v>
      </c>
      <c r="H22" t="n">
        <v>0</v>
      </c>
      <c r="I22" t="n">
        <v>0</v>
      </c>
      <c r="J22" t="n">
        <v>0</v>
      </c>
      <c r="K22" t="n">
        <v>0</v>
      </c>
      <c r="L22" t="n">
        <v>0</v>
      </c>
      <c r="M22" t="n">
        <v>0</v>
      </c>
      <c r="N22" t="n">
        <v>0</v>
      </c>
    </row>
    <row r="23">
      <c r="A23" t="inlineStr">
        <is>
          <t>Total of all receipts with arrears</t>
        </is>
      </c>
      <c r="B23" t="inlineStr">
        <is>
          <t>Total of all receipts with arrears, £11 5 shilling 6.5pence.</t>
        </is>
      </c>
      <c r="C23" t="n">
        <v>11.28</v>
      </c>
      <c r="D23" t="n">
        <v>11</v>
      </c>
      <c r="E23" t="n">
        <v>5</v>
      </c>
      <c r="F23" t="n">
        <v>6.5</v>
      </c>
      <c r="H23" t="n">
        <v>0</v>
      </c>
      <c r="I23" t="n">
        <v>0</v>
      </c>
      <c r="J23" t="n">
        <v>0</v>
      </c>
      <c r="K23" t="n">
        <v>0</v>
      </c>
      <c r="L23" t="n">
        <v>0</v>
      </c>
      <c r="M23" t="n">
        <v>0</v>
      </c>
      <c r="N23" t="n">
        <v>0</v>
      </c>
    </row>
    <row r="24">
      <c r="A24" t="inlineStr">
        <is>
          <t>Cash Deliveries</t>
        </is>
      </c>
      <c r="B24" t="inlineStr">
        <is>
          <t>Delivered to John Arnold', receiver of money at Wolvesey, by 1 tally, £10 18 shilling 4.5pence.</t>
        </is>
      </c>
      <c r="C24" t="n">
        <v>10.92</v>
      </c>
      <c r="D24" t="n">
        <v>10</v>
      </c>
      <c r="E24" t="n">
        <v>18</v>
      </c>
      <c r="F24" t="n">
        <v>4.5</v>
      </c>
      <c r="H24" t="n">
        <v>0</v>
      </c>
      <c r="I24" t="n">
        <v>0</v>
      </c>
      <c r="J24" t="n">
        <v>0</v>
      </c>
      <c r="K24" t="n">
        <v>0</v>
      </c>
      <c r="L24" t="n">
        <v>0</v>
      </c>
      <c r="M24" t="n">
        <v>0</v>
      </c>
      <c r="N24" t="n">
        <v>0</v>
      </c>
    </row>
    <row r="25">
      <c r="A25" t="inlineStr">
        <is>
          <t>Cash Deliveries</t>
        </is>
      </c>
      <c r="B25" t="inlineStr">
        <is>
          <t>Total, £10 18 shilling 4.5pence.</t>
        </is>
      </c>
      <c r="C25" t="n">
        <v>10.92</v>
      </c>
      <c r="D25" t="n">
        <v>10</v>
      </c>
      <c r="E25" t="n">
        <v>18</v>
      </c>
      <c r="F25" t="n">
        <v>4.5</v>
      </c>
      <c r="H25" t="n">
        <v>0</v>
      </c>
      <c r="I25" t="n">
        <v>0</v>
      </c>
      <c r="J25" t="n">
        <v>0</v>
      </c>
      <c r="K25" t="n">
        <v>0</v>
      </c>
      <c r="L25" t="n">
        <v>0</v>
      </c>
      <c r="M25" t="n">
        <v>0</v>
      </c>
      <c r="N25" t="n">
        <v>0</v>
      </c>
    </row>
    <row r="26">
      <c r="A26" t="inlineStr">
        <is>
          <t>Total of all allowances and cash deliveries</t>
        </is>
      </c>
      <c r="B26" t="inlineStr">
        <is>
          <t>Total of all allowances and cash deliveries, £10 18 shilling 4.5pence.</t>
        </is>
      </c>
      <c r="C26" t="n">
        <v>10.92</v>
      </c>
      <c r="D26" t="n">
        <v>10</v>
      </c>
      <c r="E26" t="n">
        <v>18</v>
      </c>
      <c r="F26" t="n">
        <v>4.5</v>
      </c>
      <c r="H26" t="n">
        <v>0</v>
      </c>
      <c r="I26" t="n">
        <v>0</v>
      </c>
      <c r="J26" t="n">
        <v>0</v>
      </c>
      <c r="K26" t="n">
        <v>0</v>
      </c>
      <c r="L26" t="n">
        <v>0</v>
      </c>
      <c r="M26" t="n">
        <v>0</v>
      </c>
      <c r="N26" t="n">
        <v>0</v>
      </c>
    </row>
    <row r="27">
      <c r="A27" t="inlineStr">
        <is>
          <t>And he owes</t>
        </is>
      </c>
      <c r="B27" t="inlineStr">
        <is>
          <t>And he owes, 7 shilling 2pence, and all is in the hands of the escheator, for which he is charged in the following account.</t>
        </is>
      </c>
      <c r="C27" t="n">
        <v>0.36</v>
      </c>
      <c r="D27" t="n">
        <v>0</v>
      </c>
      <c r="E27" t="n">
        <v>7</v>
      </c>
      <c r="F27" t="n">
        <v>2</v>
      </c>
      <c r="H27" t="n">
        <v>0</v>
      </c>
      <c r="I27" t="n">
        <v>0</v>
      </c>
      <c r="J27" t="n">
        <v>0</v>
      </c>
      <c r="K27" t="n">
        <v>0</v>
      </c>
      <c r="L27" t="n">
        <v>0</v>
      </c>
      <c r="M27" t="n">
        <v>0</v>
      </c>
      <c r="N2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2026-02-04T20:29:37Z</dcterms:modified>
  <cp:lastModifiedBy>Kowalski, Kuba</cp:lastModifiedBy>
</cp:coreProperties>
</file>
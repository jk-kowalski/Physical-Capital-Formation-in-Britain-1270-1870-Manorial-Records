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RIMPTON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2.01</v>
      </c>
      <c r="D4" s="13" t="n"/>
      <c r="E4" s="13" t="n"/>
    </row>
    <row r="5">
      <c r="A5" s="15" t="inlineStr">
        <is>
          <t>Rents of assize total</t>
        </is>
      </c>
      <c r="B5" s="76" t="n">
        <v>6.96</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v>4.47</v>
      </c>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v>0.25</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'Receipts'!F30</f>
        <v/>
      </c>
      <c r="C25" s="10">
        <f>B23-B25</f>
        <v/>
      </c>
    </row>
    <row r="26">
      <c r="A26" s="83" t="inlineStr">
        <is>
          <t>Total recorded in the accounts incl. arrears</t>
        </is>
      </c>
      <c r="B26">
        <f>'Receipts'!F31</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0.01</v>
      </c>
    </row>
    <row r="43">
      <c r="A43" s="85" t="inlineStr">
        <is>
          <t>Annual fees</t>
        </is>
      </c>
      <c r="B43" s="86" t="n"/>
      <c r="C43" s="87" t="n"/>
      <c r="D43" s="88" t="n"/>
    </row>
    <row r="44">
      <c r="A44" s="82" t="inlineStr">
        <is>
          <t>Total of all expenses per account</t>
        </is>
      </c>
      <c r="B44" s="84">
        <f>'Expenses'!F31</f>
        <v/>
      </c>
    </row>
    <row r="45">
      <c r="A45" s="82" t="inlineStr">
        <is>
          <t>Total of all expenses (calculated here)</t>
        </is>
      </c>
      <c r="B45" s="84">
        <f>'Expenses'!F32</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54.02</v>
      </c>
    </row>
    <row r="51">
      <c r="A51" s="15" t="n"/>
    </row>
    <row r="52">
      <c r="A52" s="18" t="inlineStr">
        <is>
          <t>Allowances</t>
        </is>
      </c>
      <c r="B52" s="84" t="n"/>
    </row>
    <row r="53">
      <c r="A53" s="18" t="inlineStr">
        <is>
          <t>Cash deliveries</t>
        </is>
      </c>
      <c r="B53" s="84" t="n">
        <v>47.5</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16</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31"/>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RIMPTON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2</v>
      </c>
      <c r="C3" s="128" t="n">
        <v>0</v>
      </c>
      <c r="D3" s="128" t="n">
        <v>1.5</v>
      </c>
      <c r="E3" s="128" t="n"/>
      <c r="F3" s="128" t="n">
        <v>2.01</v>
      </c>
      <c r="G3" s="128" t="n"/>
      <c r="H3" s="128" t="inlineStr">
        <is>
          <t>The same answers for £2 1.5pence of arrears from his last account of the preceding year.</t>
        </is>
      </c>
      <c r="I3" s="128" t="n"/>
    </row>
    <row r="4">
      <c r="A4" s="137" t="inlineStr">
        <is>
          <t>Arrears</t>
        </is>
      </c>
      <c r="B4" s="128" t="n">
        <v>2</v>
      </c>
      <c r="C4" s="128" t="n">
        <v>0</v>
      </c>
      <c r="D4" s="128" t="n">
        <v>1.5</v>
      </c>
      <c r="E4" s="128" t="n"/>
      <c r="F4" s="128" t="n">
        <v>2.01</v>
      </c>
      <c r="G4" s="128" t="n"/>
      <c r="H4" s="128" t="inlineStr">
        <is>
          <t>Total, £2 1.5pence.</t>
        </is>
      </c>
      <c r="I4" s="128" t="n"/>
    </row>
    <row r="5">
      <c r="A5" s="138" t="inlineStr">
        <is>
          <t>Arrears total</t>
        </is>
      </c>
      <c r="B5" s="139" t="n"/>
      <c r="C5" s="139" t="n"/>
      <c r="D5" s="139" t="n"/>
      <c r="E5" s="139" t="n"/>
      <c r="F5" s="139" t="n">
        <v>2.01</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1</v>
      </c>
      <c r="C7" s="128" t="n">
        <v>14</v>
      </c>
      <c r="D7" s="128" t="n">
        <v>10</v>
      </c>
      <c r="E7" s="128" t="n"/>
      <c r="F7" s="128" t="n">
        <v>1.74</v>
      </c>
      <c r="G7" s="128" t="n"/>
      <c r="H7" s="128" t="inlineStr">
        <is>
          <t>And for £1 14 shilling 10pence for all rents of assize at Christmas.</t>
        </is>
      </c>
      <c r="I7" s="128" t="n"/>
    </row>
    <row r="8">
      <c r="A8" s="137" t="inlineStr">
        <is>
          <t>Rents of assize</t>
        </is>
      </c>
      <c r="B8" s="128" t="n">
        <v>1</v>
      </c>
      <c r="C8" s="128" t="n">
        <v>14</v>
      </c>
      <c r="D8" s="128" t="n">
        <v>10</v>
      </c>
      <c r="E8" s="128" t="n"/>
      <c r="F8" s="128" t="n">
        <v>1.74</v>
      </c>
      <c r="G8" s="128" t="n"/>
      <c r="H8" s="128" t="inlineStr">
        <is>
          <t>£1 14 shilling 10pence at Easter (23 March).</t>
        </is>
      </c>
      <c r="I8" s="128" t="n"/>
    </row>
    <row r="9">
      <c r="A9" s="137" t="inlineStr">
        <is>
          <t>Rents of assize</t>
        </is>
      </c>
      <c r="B9" s="128" t="n">
        <v>1</v>
      </c>
      <c r="C9" s="128" t="n">
        <v>14</v>
      </c>
      <c r="D9" s="128" t="n">
        <v>10</v>
      </c>
      <c r="E9" s="128" t="n"/>
      <c r="F9" s="128" t="n">
        <v>1.74</v>
      </c>
      <c r="G9" s="128" t="n"/>
      <c r="H9" s="128" t="inlineStr">
        <is>
          <t>£1 14 shilling 10pence at the Nativity of St John the Baptist (24 June).</t>
        </is>
      </c>
      <c r="I9" s="128" t="n"/>
    </row>
    <row r="10">
      <c r="A10" s="137" t="inlineStr">
        <is>
          <t>Rents of assize</t>
        </is>
      </c>
      <c r="B10" s="128" t="n">
        <v>1</v>
      </c>
      <c r="C10" s="128" t="n">
        <v>14</v>
      </c>
      <c r="D10" s="128" t="n">
        <v>10</v>
      </c>
      <c r="E10" s="128" t="n"/>
      <c r="F10" s="128" t="n">
        <v>1.74</v>
      </c>
      <c r="G10" s="128" t="n"/>
      <c r="H10" s="128" t="inlineStr">
        <is>
          <t>£1 14 shilling 10pence at Michaelmas (29 September).</t>
        </is>
      </c>
      <c r="I10" s="128" t="n"/>
    </row>
    <row r="11">
      <c r="A11" s="137" t="inlineStr">
        <is>
          <t>Rents of assize</t>
        </is>
      </c>
      <c r="B11" s="128" t="n">
        <v>6</v>
      </c>
      <c r="C11" s="128" t="n">
        <v>19</v>
      </c>
      <c r="D11" s="128" t="n">
        <v>4</v>
      </c>
      <c r="E11" s="128" t="n"/>
      <c r="F11" s="128" t="n">
        <v>6.97</v>
      </c>
      <c r="G11" s="128" t="n"/>
      <c r="H11" s="128" t="inlineStr">
        <is>
          <t>Total, £6 19 shilling 4pence.</t>
        </is>
      </c>
      <c r="I11" s="128" t="n"/>
    </row>
    <row r="12">
      <c r="A12" s="138" t="inlineStr">
        <is>
          <t>Rents of assize total</t>
        </is>
      </c>
      <c r="B12" s="139" t="n"/>
      <c r="C12" s="139" t="n"/>
      <c r="D12" s="139" t="n"/>
      <c r="E12" s="139" t="n"/>
      <c r="F12" s="139" t="n">
        <v>6.96</v>
      </c>
      <c r="G12" s="139" t="n">
        <v>-0.01</v>
      </c>
      <c r="H12" s="139" t="inlineStr">
        <is>
          <t>Total</t>
        </is>
      </c>
      <c r="I12" s="139" t="n"/>
    </row>
    <row r="13">
      <c r="A13" s="137" t="n"/>
      <c r="B13" s="128" t="n"/>
      <c r="C13" s="128" t="n"/>
      <c r="D13" s="128" t="n"/>
      <c r="E13" s="128" t="n"/>
      <c r="F13" s="128" t="n"/>
      <c r="G13" s="128" t="n"/>
      <c r="H13" s="128" t="n"/>
      <c r="I13" s="128" t="n"/>
    </row>
    <row r="14">
      <c r="A14" s="136" t="inlineStr">
        <is>
          <t>Total of rents remaining clear</t>
        </is>
      </c>
      <c r="B14" s="128" t="n">
        <v>4</v>
      </c>
      <c r="C14" s="128" t="n">
        <v>9</v>
      </c>
      <c r="D14" s="128" t="n">
        <v>4</v>
      </c>
      <c r="E14" s="128" t="n"/>
      <c r="F14" s="128" t="n">
        <v>4.47</v>
      </c>
      <c r="G14" s="128" t="n"/>
      <c r="H14" s="128" t="inlineStr">
        <is>
          <t>Total of rents remaining clear, £4 9 shilling 4pence.</t>
        </is>
      </c>
      <c r="I14" s="128" t="n"/>
    </row>
    <row r="15">
      <c r="A15" s="137" t="n"/>
      <c r="B15" s="128" t="n"/>
      <c r="C15" s="128" t="n"/>
      <c r="D15" s="128" t="n"/>
      <c r="E15" s="128" t="n"/>
      <c r="F15" s="128" t="n"/>
      <c r="G15" s="128" t="n"/>
      <c r="H15" s="128" t="n"/>
      <c r="I15" s="128" t="n"/>
    </row>
    <row r="16">
      <c r="A16" s="136" t="inlineStr">
        <is>
          <t>Customary payments</t>
        </is>
      </c>
      <c r="B16" s="128" t="n"/>
      <c r="C16" s="128" t="n"/>
      <c r="D16" s="128" t="n"/>
      <c r="E16" s="128" t="n"/>
      <c r="F16" s="128" t="n">
        <v>0.76</v>
      </c>
      <c r="G16" s="128" t="n"/>
      <c r="H16" s="128" t="inlineStr">
        <is>
          <t>Total</t>
        </is>
      </c>
      <c r="I16" s="128" t="n"/>
    </row>
    <row r="17">
      <c r="A17" s="137" t="n"/>
      <c r="B17" s="128" t="n"/>
      <c r="C17" s="128" t="n"/>
      <c r="D17" s="128" t="n"/>
      <c r="E17" s="128" t="n"/>
      <c r="F17" s="128" t="n"/>
      <c r="G17" s="128" t="n"/>
      <c r="H17" s="128" t="n"/>
      <c r="I17" s="128" t="n"/>
    </row>
    <row r="18">
      <c r="A18" s="136" t="inlineStr">
        <is>
          <t>Sale of stock</t>
        </is>
      </c>
      <c r="B18" s="128" t="n">
        <v>0</v>
      </c>
      <c r="C18" s="128" t="n">
        <v>7</v>
      </c>
      <c r="D18" s="128" t="n">
        <v>0</v>
      </c>
      <c r="E18" s="128" t="n"/>
      <c r="F18" s="128" t="n">
        <v>0.35</v>
      </c>
      <c r="G18" s="128" t="n"/>
      <c r="H18" s="128" t="inlineStr">
        <is>
          <t>And for 7 shilling from 1 steer from the heriot of John Newman sold.</t>
        </is>
      </c>
      <c r="I18" s="128" t="n"/>
    </row>
    <row r="19">
      <c r="A19" s="137" t="inlineStr">
        <is>
          <t>Sale of stock</t>
        </is>
      </c>
      <c r="B19" s="128" t="n">
        <v>0</v>
      </c>
      <c r="C19" s="128" t="n">
        <v>13</v>
      </c>
      <c r="D19" s="128" t="n">
        <v>4</v>
      </c>
      <c r="E19" s="128" t="n"/>
      <c r="F19" s="128" t="n">
        <v>0.67</v>
      </c>
      <c r="G19" s="128" t="n"/>
      <c r="H19" s="128" t="inlineStr">
        <is>
          <t>13 shilling 4pence from 1 ox from the heriot of John Spark sold.</t>
        </is>
      </c>
      <c r="I19" s="128" t="n"/>
    </row>
    <row r="20">
      <c r="A20" s="137" t="inlineStr">
        <is>
          <t>Sale of stock</t>
        </is>
      </c>
      <c r="B20" s="128" t="n">
        <v>0</v>
      </c>
      <c r="C20" s="128" t="n">
        <v>3</v>
      </c>
      <c r="D20" s="128" t="n">
        <v>0</v>
      </c>
      <c r="E20" s="128" t="n"/>
      <c r="F20" s="128" t="n">
        <v>0.15</v>
      </c>
      <c r="G20" s="128" t="n"/>
      <c r="H20" s="128" t="inlineStr">
        <is>
          <t>3 shilling from 1 plough-horse from the heriot of Stephen Podelynem sold.</t>
        </is>
      </c>
      <c r="I20" s="128" t="n"/>
    </row>
    <row r="21">
      <c r="A21" s="137" t="inlineStr">
        <is>
          <t>Sale of stock</t>
        </is>
      </c>
      <c r="B21" s="128" t="n">
        <v>0</v>
      </c>
      <c r="C21" s="128" t="n">
        <v>8</v>
      </c>
      <c r="D21" s="128" t="n">
        <v>0</v>
      </c>
      <c r="E21" s="128" t="n"/>
      <c r="F21" s="128" t="n">
        <v>0.4</v>
      </c>
      <c r="G21" s="128" t="n"/>
      <c r="H21" s="128" t="inlineStr">
        <is>
          <t>8 shilling from 1 cow from the heriot of Isabel Thomas sold.</t>
        </is>
      </c>
      <c r="I21" s="128" t="n"/>
    </row>
    <row r="22">
      <c r="A22" s="137" t="inlineStr">
        <is>
          <t>Sale of stock</t>
        </is>
      </c>
      <c r="B22" s="128" t="n">
        <v>1</v>
      </c>
      <c r="C22" s="128" t="n">
        <v>11</v>
      </c>
      <c r="D22" s="128" t="n">
        <v>4</v>
      </c>
      <c r="E22" s="128" t="n"/>
      <c r="F22" s="128" t="n">
        <v>1.57</v>
      </c>
      <c r="G22" s="128" t="n"/>
      <c r="H22" s="128" t="inlineStr">
        <is>
          <t>Total, £1 11 shilling 4pence.</t>
        </is>
      </c>
      <c r="I22" s="128" t="n"/>
    </row>
    <row r="23">
      <c r="A23" s="138" t="inlineStr">
        <is>
          <t>Sale of stock total</t>
        </is>
      </c>
      <c r="B23" s="139" t="n"/>
      <c r="C23" s="139" t="n"/>
      <c r="D23" s="139" t="n"/>
      <c r="E23" s="139" t="n"/>
      <c r="F23" s="139" t="n">
        <v>1.57</v>
      </c>
      <c r="G23" s="139" t="n">
        <v>0</v>
      </c>
      <c r="H23" s="139" t="inlineStr">
        <is>
          <t>Total</t>
        </is>
      </c>
      <c r="I23" s="139" t="n"/>
    </row>
    <row r="24">
      <c r="A24" s="137" t="n"/>
      <c r="B24" s="128" t="n"/>
      <c r="C24" s="128" t="n"/>
      <c r="D24" s="128" t="n"/>
      <c r="E24" s="128" t="n"/>
      <c r="F24" s="128" t="n"/>
      <c r="G24" s="128" t="n"/>
      <c r="H24" s="128" t="n"/>
      <c r="I24" s="128" t="n"/>
    </row>
    <row r="25">
      <c r="A25" s="136" t="inlineStr">
        <is>
          <t>Perquisites of court</t>
        </is>
      </c>
      <c r="B25" s="128" t="n">
        <v>0</v>
      </c>
      <c r="C25" s="128" t="n">
        <v>2</v>
      </c>
      <c r="D25" s="128" t="n">
        <v>8</v>
      </c>
      <c r="E25" s="128" t="n"/>
      <c r="F25" s="128" t="n">
        <v>0.13</v>
      </c>
      <c r="G25" s="128" t="n"/>
      <c r="H25" s="128" t="inlineStr">
        <is>
          <t>And for 2 shilling 8pence from the perquisites of the tourn of Martinmas (11 November).</t>
        </is>
      </c>
      <c r="I25" s="128" t="n"/>
    </row>
    <row r="26">
      <c r="A26" s="137" t="inlineStr">
        <is>
          <t>Perquisites of court</t>
        </is>
      </c>
      <c r="B26" s="128" t="n">
        <v>0</v>
      </c>
      <c r="C26" s="128" t="n">
        <v>0</v>
      </c>
      <c r="D26" s="128" t="n">
        <v>3</v>
      </c>
      <c r="E26" s="128" t="n"/>
      <c r="F26" s="128" t="n">
        <v>0.01</v>
      </c>
      <c r="G26" s="128" t="n"/>
      <c r="H26" s="128" t="inlineStr">
        <is>
          <t>3pence from the perquisites of the court held after the said tourn and before the tourn of Hockday.</t>
        </is>
      </c>
      <c r="I26" s="128" t="n"/>
    </row>
    <row r="27">
      <c r="A27" s="137" t="inlineStr">
        <is>
          <t>Perquisites of court</t>
        </is>
      </c>
      <c r="B27" s="128" t="n">
        <v>0</v>
      </c>
      <c r="C27" s="128" t="n">
        <v>0</v>
      </c>
      <c r="D27" s="128" t="n">
        <v>6</v>
      </c>
      <c r="E27" s="128" t="n"/>
      <c r="F27" s="128" t="n">
        <v>0.03</v>
      </c>
      <c r="G27" s="128" t="n"/>
      <c r="H27" s="128" t="inlineStr">
        <is>
          <t>6pence from the perquisites of the tourn of Hockday (1 April).</t>
        </is>
      </c>
      <c r="I27" s="128" t="n"/>
    </row>
    <row r="28">
      <c r="A28" s="137" t="inlineStr">
        <is>
          <t>Perquisites of court</t>
        </is>
      </c>
      <c r="B28" s="128" t="n">
        <v>0</v>
      </c>
      <c r="C28" s="128" t="n">
        <v>1</v>
      </c>
      <c r="D28" s="128" t="n">
        <v>6</v>
      </c>
      <c r="E28" s="128" t="n"/>
      <c r="F28" s="128" t="n">
        <v>0.08</v>
      </c>
      <c r="G28" s="128" t="n"/>
      <c r="H28" s="128" t="inlineStr">
        <is>
          <t>1 shilling 6pence from the perquisites  of the court held after the said tourn.</t>
        </is>
      </c>
      <c r="I28" s="128" t="n"/>
    </row>
    <row r="29">
      <c r="A29" s="138" t="inlineStr">
        <is>
          <t>Perquisites of court total</t>
        </is>
      </c>
      <c r="B29" s="139" t="n">
        <v>0</v>
      </c>
      <c r="C29" s="139" t="n">
        <v>4</v>
      </c>
      <c r="D29" s="139" t="n">
        <v>11</v>
      </c>
      <c r="E29" s="139" t="n"/>
      <c r="F29" s="139" t="n">
        <v>0.25</v>
      </c>
      <c r="G29" s="139" t="n">
        <v>0.17</v>
      </c>
      <c r="H29" s="139" t="inlineStr">
        <is>
          <t>Total, 4 shilling 11pence.</t>
        </is>
      </c>
      <c r="I29" s="139" t="n"/>
    </row>
    <row r="30">
      <c r="A30" s="38" t="inlineStr">
        <is>
          <t>Total of all receipts recorded in accounts (calculated here)</t>
        </is>
      </c>
      <c r="F30">
        <f>SUMIF(A1:A29,"* total",F1:F29)-SUMIF(A1:A29,"Arrears total",F1:F29)</f>
        <v/>
      </c>
    </row>
    <row r="31">
      <c r="A31" s="38" t="inlineStr">
        <is>
          <t>Total of all receipts (calculated here) incl arrears</t>
        </is>
      </c>
      <c r="F31">
        <f>F30+SUMIF(A1:A29,"Arrears total",F1:F29)</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4"/>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RIMPTON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Customary payments</t>
        </is>
      </c>
      <c r="B4" s="128" t="n">
        <v>0</v>
      </c>
      <c r="C4" s="128" t="n">
        <v>2</v>
      </c>
      <c r="D4" s="128" t="n">
        <v>5.5</v>
      </c>
      <c r="E4" s="128" t="n"/>
      <c r="F4" s="128" t="n">
        <v>0.12</v>
      </c>
      <c r="G4" s="128" t="n"/>
      <c r="H4" s="128" t="inlineStr">
        <is>
          <t>And for 2 shilling 5.5pence from the pannage of pigs, hoggets and piglets at Martinmas this year.</t>
        </is>
      </c>
    </row>
    <row r="5">
      <c r="A5" s="137" t="inlineStr">
        <is>
          <t>Customary payments</t>
        </is>
      </c>
      <c r="B5" s="128" t="n">
        <v>0</v>
      </c>
      <c r="C5" s="128" t="n">
        <v>3</v>
      </c>
      <c r="D5" s="128" t="n">
        <v>0</v>
      </c>
      <c r="E5" s="128" t="n"/>
      <c r="F5" s="128" t="n">
        <v>0.15</v>
      </c>
      <c r="G5" s="128" t="n"/>
      <c r="H5" s="128" t="inlineStr">
        <is>
          <t>3 shilling from churchscot at the same feast.</t>
        </is>
      </c>
    </row>
    <row r="6">
      <c r="A6" s="137" t="inlineStr">
        <is>
          <t>Customary payments</t>
        </is>
      </c>
      <c r="B6" s="128" t="n">
        <v>0</v>
      </c>
      <c r="C6" s="128" t="n">
        <v>4</v>
      </c>
      <c r="D6" s="128" t="n">
        <v>0</v>
      </c>
      <c r="E6" s="128" t="n"/>
      <c r="F6" s="128" t="n">
        <v>0.2</v>
      </c>
      <c r="G6" s="128" t="n"/>
      <c r="H6" s="128" t="inlineStr">
        <is>
          <t>4 shilling from tithingpenny at the tourn of Martinmas.</t>
        </is>
      </c>
    </row>
    <row r="7">
      <c r="A7" s="137" t="inlineStr">
        <is>
          <t>Customary payments</t>
        </is>
      </c>
      <c r="B7" s="128" t="n">
        <v>0</v>
      </c>
      <c r="C7" s="128" t="n">
        <v>4</v>
      </c>
      <c r="D7" s="128" t="n">
        <v>0</v>
      </c>
      <c r="E7" s="128" t="n"/>
      <c r="F7" s="128" t="n">
        <v>0.2</v>
      </c>
      <c r="G7" s="128" t="n"/>
      <c r="H7" s="128" t="inlineStr">
        <is>
          <t>4 shilling from tithingpenny at the tourn of Hockday.</t>
        </is>
      </c>
    </row>
    <row r="8">
      <c r="A8" s="137" t="inlineStr">
        <is>
          <t>Customary payments</t>
        </is>
      </c>
      <c r="B8" s="128" t="n">
        <v>0</v>
      </c>
      <c r="C8" s="128" t="n">
        <v>1</v>
      </c>
      <c r="D8" s="128" t="n">
        <v>9</v>
      </c>
      <c r="E8" s="128" t="n"/>
      <c r="F8" s="128" t="n">
        <v>0.09</v>
      </c>
      <c r="G8" s="128" t="n"/>
      <c r="H8" s="128" t="inlineStr">
        <is>
          <t>1 shilling 9pence from the residue of Peter's penee at Lammas (1 August).</t>
        </is>
      </c>
    </row>
    <row r="9">
      <c r="A9" s="137" t="inlineStr">
        <is>
          <t>Customary payments</t>
        </is>
      </c>
      <c r="B9" s="128" t="n">
        <v>0</v>
      </c>
      <c r="C9" s="128" t="n">
        <v>15</v>
      </c>
      <c r="D9" s="128" t="n">
        <v>2.5</v>
      </c>
      <c r="E9" s="128" t="n"/>
      <c r="F9" s="128" t="n">
        <v>0.76</v>
      </c>
      <c r="G9" s="128" t="n"/>
      <c r="H9" s="128" t="inlineStr">
        <is>
          <t>Total, 15 shilling 2.5pence.</t>
        </is>
      </c>
    </row>
    <row r="10">
      <c r="A10" s="137" t="inlineStr">
        <is>
          <t>Customary payments</t>
        </is>
      </c>
      <c r="B10" s="128" t="n">
        <v>0</v>
      </c>
      <c r="C10" s="128" t="n">
        <v>4</v>
      </c>
      <c r="D10" s="128" t="n">
        <v>0</v>
      </c>
      <c r="E10" s="128" t="n"/>
      <c r="F10" s="128" t="n">
        <v>0.2</v>
      </c>
      <c r="G10" s="128" t="n"/>
      <c r="H10" s="128" t="inlineStr">
        <is>
          <t>In customary payment to the customary tenants for their food at Christmas 4 shilling.</t>
        </is>
      </c>
    </row>
    <row r="11">
      <c r="A11" s="137" t="inlineStr">
        <is>
          <t>Customary payments</t>
        </is>
      </c>
      <c r="B11" s="128" t="n">
        <v>0</v>
      </c>
      <c r="C11" s="128" t="n">
        <v>4</v>
      </c>
      <c r="D11" s="128" t="n">
        <v>0</v>
      </c>
      <c r="E11" s="128" t="n"/>
      <c r="F11" s="128" t="n">
        <v>0.2</v>
      </c>
      <c r="G11" s="128" t="n"/>
      <c r="H11" s="128" t="inlineStr">
        <is>
          <t>Total, 4 shilling.</t>
        </is>
      </c>
    </row>
    <row r="12">
      <c r="A12" s="138" t="inlineStr">
        <is>
          <t>Customary payments total</t>
        </is>
      </c>
      <c r="B12" s="139" t="n"/>
      <c r="C12" s="139" t="n"/>
      <c r="D12" s="139" t="n"/>
      <c r="E12" s="139" t="n"/>
      <c r="F12" s="139" t="n">
        <v>0.2</v>
      </c>
      <c r="G12" s="139" t="n">
        <v>0</v>
      </c>
      <c r="H12" s="139" t="inlineStr">
        <is>
          <t>Total</t>
        </is>
      </c>
    </row>
    <row r="13">
      <c r="A13" s="137" t="n"/>
      <c r="B13" s="128" t="n"/>
      <c r="C13" s="128" t="n"/>
      <c r="D13" s="128" t="n"/>
      <c r="E13" s="128" t="n"/>
      <c r="F13" s="128" t="n"/>
      <c r="G13" s="128" t="n"/>
      <c r="H13" s="128" t="n"/>
    </row>
    <row r="14">
      <c r="A14" s="136" t="inlineStr">
        <is>
          <t>Perquisites of court</t>
        </is>
      </c>
      <c r="B14" s="128" t="n"/>
      <c r="C14" s="128" t="n"/>
      <c r="D14" s="128" t="n"/>
      <c r="E14" s="128" t="n"/>
      <c r="F14" s="128" t="n">
        <v>0.25</v>
      </c>
      <c r="G14" s="128" t="n"/>
      <c r="H14" s="128" t="inlineStr">
        <is>
          <t>Total</t>
        </is>
      </c>
    </row>
    <row r="15">
      <c r="A15" s="137" t="n"/>
      <c r="B15" s="128" t="n"/>
      <c r="C15" s="128" t="n"/>
      <c r="D15" s="128" t="n"/>
      <c r="E15" s="128" t="n"/>
      <c r="F15" s="128" t="n"/>
      <c r="G15" s="128" t="n"/>
      <c r="H15" s="128" t="n"/>
    </row>
    <row r="16">
      <c r="A16" s="136" t="inlineStr">
        <is>
          <t>Expenses of the steward</t>
        </is>
      </c>
      <c r="B16" s="128" t="n">
        <v>0</v>
      </c>
      <c r="C16" s="128" t="n">
        <v>0</v>
      </c>
      <c r="D16" s="128" t="n">
        <v>1.5</v>
      </c>
      <c r="E16" s="128" t="n"/>
      <c r="F16" s="128" t="n">
        <v>0.01</v>
      </c>
      <c r="G16" s="128" t="n"/>
      <c r="H16" s="128" t="inlineStr">
        <is>
          <t>In expenses of Richard Wyot', steward, holding the tourns of Martinmas and Hockday, by 2 sealed bills, 15s 1.5pence.</t>
        </is>
      </c>
    </row>
    <row r="17">
      <c r="A17" s="137" t="inlineStr">
        <is>
          <t>Expenses of the steward</t>
        </is>
      </c>
      <c r="B17" s="128" t="n">
        <v>0</v>
      </c>
      <c r="C17" s="128" t="n">
        <v>15</v>
      </c>
      <c r="D17" s="128" t="n">
        <v>1.5</v>
      </c>
      <c r="E17" s="128" t="n"/>
      <c r="F17" s="128" t="n">
        <v>0.76</v>
      </c>
      <c r="G17" s="128" t="n"/>
      <c r="H17" s="128" t="inlineStr">
        <is>
          <t>Total, 15 shilling 1.5pence.</t>
        </is>
      </c>
    </row>
    <row r="18">
      <c r="A18" s="138" t="inlineStr">
        <is>
          <t>Expenses of the steward total</t>
        </is>
      </c>
      <c r="B18" s="139" t="n"/>
      <c r="C18" s="139" t="n"/>
      <c r="D18" s="139" t="n"/>
      <c r="E18" s="139" t="n"/>
      <c r="F18" s="139" t="n">
        <v>0.01</v>
      </c>
      <c r="G18" s="139" t="n">
        <v>-0.75</v>
      </c>
      <c r="H18" s="139" t="inlineStr">
        <is>
          <t>Total</t>
        </is>
      </c>
    </row>
    <row r="19">
      <c r="A19" s="137" t="n"/>
      <c r="B19" s="128" t="n"/>
      <c r="C19" s="128" t="n"/>
      <c r="D19" s="128" t="n"/>
      <c r="E19" s="128" t="n"/>
      <c r="F19" s="128" t="n"/>
      <c r="G19" s="128" t="n"/>
      <c r="H19" s="128" t="n"/>
    </row>
    <row r="20">
      <c r="A20" s="137" t="inlineStr">
        <is>
          <t>Total of all expenses</t>
        </is>
      </c>
      <c r="B20" s="128" t="n">
        <v>1</v>
      </c>
      <c r="C20" s="128" t="n">
        <v>4</v>
      </c>
      <c r="D20" s="128" t="n">
        <v>1.5</v>
      </c>
      <c r="E20" s="128" t="n"/>
      <c r="F20" s="128" t="n">
        <v>1.21</v>
      </c>
      <c r="G20" s="128" t="n"/>
      <c r="H20" s="128" t="inlineStr">
        <is>
          <t>Total of all expenses, £1 4 shilling 1.5pence.</t>
        </is>
      </c>
    </row>
    <row r="21">
      <c r="A21" s="137" t="inlineStr">
        <is>
          <t>Total of all expenses</t>
        </is>
      </c>
      <c r="B21" s="128" t="n"/>
      <c r="C21" s="128" t="n"/>
      <c r="D21" s="128" t="n"/>
      <c r="E21" s="128" t="n"/>
      <c r="F21" s="128" t="n">
        <v>0</v>
      </c>
      <c r="G21" s="128" t="n">
        <v>-1.21</v>
      </c>
      <c r="H21" s="128" t="inlineStr">
        <is>
          <t>Total</t>
        </is>
      </c>
    </row>
    <row r="22">
      <c r="A22" s="137" t="n"/>
      <c r="B22" s="128" t="n"/>
      <c r="C22" s="128" t="n"/>
      <c r="D22" s="128" t="n"/>
      <c r="E22" s="128" t="n"/>
      <c r="F22" s="128" t="n"/>
      <c r="G22" s="128" t="n"/>
      <c r="H22" s="128" t="n"/>
    </row>
    <row r="23">
      <c r="A23" s="136" t="inlineStr">
        <is>
          <t>And he owes</t>
        </is>
      </c>
      <c r="B23" s="128" t="n">
        <v>54</v>
      </c>
      <c r="C23" s="128" t="n">
        <v>0</v>
      </c>
      <c r="D23" s="128" t="n">
        <v>6</v>
      </c>
      <c r="E23" s="128" t="n"/>
      <c r="F23" s="128" t="n">
        <v>54.02</v>
      </c>
      <c r="G23" s="128" t="n"/>
      <c r="H23" s="128" t="inlineStr">
        <is>
          <t>And he owes, £54 6pence.</t>
        </is>
      </c>
    </row>
    <row r="24">
      <c r="A24" s="137" t="inlineStr">
        <is>
          <t>And he owes</t>
        </is>
      </c>
      <c r="B24" s="128" t="n"/>
      <c r="C24" s="128" t="n"/>
      <c r="D24" s="128" t="n"/>
      <c r="E24" s="128" t="n"/>
      <c r="F24" s="128" t="n">
        <v>54.02</v>
      </c>
      <c r="G24" s="128" t="n"/>
      <c r="H24" s="128" t="inlineStr">
        <is>
          <t>Total</t>
        </is>
      </c>
    </row>
    <row r="25">
      <c r="A25" s="138" t="inlineStr">
        <is>
          <t>And he owes total</t>
        </is>
      </c>
      <c r="B25" s="139" t="n">
        <v>6</v>
      </c>
      <c r="C25" s="139" t="n">
        <v>10</v>
      </c>
      <c r="D25" s="139" t="n">
        <v>6</v>
      </c>
      <c r="E25" s="139" t="n"/>
      <c r="F25" s="139" t="n">
        <v>6.53</v>
      </c>
      <c r="G25" s="139" t="n">
        <v>-47.49</v>
      </c>
      <c r="H25" s="139" t="inlineStr">
        <is>
          <t>And he owes, £6 10 shilling 6pence, for which he is charged in the following year's account under the heading of arrears.</t>
        </is>
      </c>
    </row>
    <row r="26">
      <c r="A26" s="137" t="n"/>
      <c r="B26" s="128" t="n"/>
      <c r="C26" s="128" t="n"/>
      <c r="D26" s="128" t="n"/>
      <c r="E26" s="128" t="n"/>
      <c r="F26" s="128" t="n"/>
      <c r="G26" s="128" t="n"/>
      <c r="H26" s="128" t="n"/>
    </row>
    <row r="27">
      <c r="A27" s="136" t="inlineStr">
        <is>
          <t>Cash deliveries</t>
        </is>
      </c>
      <c r="B27" s="128" t="n">
        <v>47</v>
      </c>
      <c r="C27" s="128" t="n">
        <v>10</v>
      </c>
      <c r="D27" s="128" t="n">
        <v>0</v>
      </c>
      <c r="E27" s="128" t="n"/>
      <c r="F27" s="128" t="n">
        <v>47.5</v>
      </c>
      <c r="G27" s="128" t="n"/>
      <c r="H27" s="128" t="inlineStr">
        <is>
          <t>Delivered to John Arnald', receiver of Wolvesey, by .1 tally, £47 10 shilling.</t>
        </is>
      </c>
    </row>
    <row r="28">
      <c r="A28" s="137" t="inlineStr">
        <is>
          <t>Cash deliveries</t>
        </is>
      </c>
      <c r="B28" s="128" t="n">
        <v>47</v>
      </c>
      <c r="C28" s="128" t="n">
        <v>10</v>
      </c>
      <c r="D28" s="128" t="n">
        <v>0</v>
      </c>
      <c r="E28" s="128" t="n"/>
      <c r="F28" s="128" t="n">
        <v>47.5</v>
      </c>
      <c r="G28" s="128" t="n"/>
      <c r="H28" s="128" t="inlineStr">
        <is>
          <t>Total of cash deliveries, £47 10 shilling.</t>
        </is>
      </c>
    </row>
    <row r="29">
      <c r="A29" s="138" t="inlineStr">
        <is>
          <t>Cash deliveries total</t>
        </is>
      </c>
      <c r="B29" s="139" t="n"/>
      <c r="C29" s="139" t="n"/>
      <c r="D29" s="139" t="n"/>
      <c r="E29" s="139" t="n"/>
      <c r="F29" s="139" t="n">
        <v>47.5</v>
      </c>
      <c r="G29" s="139" t="n">
        <v>0</v>
      </c>
      <c r="H29" s="139" t="inlineStr">
        <is>
          <t>Total</t>
        </is>
      </c>
    </row>
    <row r="31">
      <c r="A31" s="38" t="inlineStr">
        <is>
          <t>Total of all expenses per account</t>
        </is>
      </c>
      <c r="B31" t="n">
        <v>1</v>
      </c>
      <c r="C31" t="n">
        <v>4</v>
      </c>
      <c r="D31" t="n">
        <v>1.5</v>
      </c>
      <c r="F31">
        <f>F20</f>
        <v/>
      </c>
    </row>
    <row r="32">
      <c r="A32" s="38" t="inlineStr">
        <is>
          <t>Total of all expenses (calculated here)</t>
        </is>
      </c>
      <c r="F32">
        <f>SUMIF(A1:A19,"* total",F1:F19)</f>
        <v/>
      </c>
    </row>
    <row r="33">
      <c r="A33" s="38" t="inlineStr">
        <is>
          <t>Total fixed investment</t>
        </is>
      </c>
    </row>
    <row r="34">
      <c r="A34"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RIMPTON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0</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16</v>
      </c>
      <c r="C12" t="n">
        <v>0</v>
      </c>
      <c r="H12" t="n">
        <v>0</v>
      </c>
      <c r="I12" t="n">
        <v>0</v>
      </c>
      <c r="K12">
        <f>B12+C12-H12-I12</f>
        <v/>
      </c>
      <c r="L12">
        <f>B12+C12-H12</f>
        <v/>
      </c>
      <c r="M12">
        <f>L12-B12</f>
        <v/>
      </c>
      <c r="N12">
        <f>C12</f>
        <v/>
      </c>
      <c r="O12" t="n">
        <v>0</v>
      </c>
      <c r="P12" s="72">
        <f>O12*K12</f>
        <v/>
      </c>
      <c r="R12" t="n">
        <v>0</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0</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0</v>
      </c>
      <c r="C19" t="n">
        <v>0</v>
      </c>
      <c r="H19" t="n">
        <v>0</v>
      </c>
      <c r="I19" t="n">
        <v>0</v>
      </c>
      <c r="K19">
        <f>B19+C19-H19-I19</f>
        <v/>
      </c>
      <c r="L19">
        <f>B19+C19-H19</f>
        <v/>
      </c>
      <c r="M19">
        <f>L19-B19</f>
        <v/>
      </c>
      <c r="N19">
        <f>C19</f>
        <v/>
      </c>
      <c r="O19" t="n">
        <v>0</v>
      </c>
      <c r="P19" s="72">
        <f>O19*K19</f>
        <v/>
      </c>
      <c r="R19" t="n">
        <v>0</v>
      </c>
      <c r="S19">
        <f>O19*M19</f>
        <v/>
      </c>
      <c r="T19">
        <f>O19*N19</f>
        <v/>
      </c>
    </row>
    <row r="20">
      <c r="A20" t="inlineStr">
        <is>
          <t>Rams</t>
        </is>
      </c>
      <c r="B20" t="n">
        <v>0</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0</v>
      </c>
      <c r="C21" t="n">
        <v>0</v>
      </c>
      <c r="H21" t="n">
        <v>0</v>
      </c>
      <c r="I21" t="n">
        <v>0</v>
      </c>
      <c r="K21">
        <f>B21+C21-H21-I21</f>
        <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K22">
        <f>B22+C22-H22-I22</f>
        <v/>
      </c>
      <c r="L22">
        <f>B22+C22-H22</f>
        <v/>
      </c>
      <c r="M22">
        <f>L22-B22</f>
        <v/>
      </c>
      <c r="N22">
        <f>C22</f>
        <v/>
      </c>
      <c r="O22" t="n">
        <v>0</v>
      </c>
      <c r="P22" s="72">
        <f>O22*K22</f>
        <v/>
      </c>
      <c r="R22" t="n">
        <v>0</v>
      </c>
      <c r="S22">
        <f>O22*M22</f>
        <v/>
      </c>
      <c r="T22">
        <f>O22*N22</f>
        <v/>
      </c>
    </row>
    <row r="23">
      <c r="A23" t="inlineStr">
        <is>
          <t>Lambs</t>
        </is>
      </c>
      <c r="B23" t="n">
        <v>0</v>
      </c>
      <c r="C23" t="n">
        <v>0</v>
      </c>
      <c r="H23" t="n">
        <v>0</v>
      </c>
      <c r="I23" t="n">
        <v>0</v>
      </c>
      <c r="K23">
        <f>B23+C23-H23-I23</f>
        <v/>
      </c>
      <c r="L23">
        <f>B23+C23-H23</f>
        <v/>
      </c>
      <c r="M23">
        <f>L23-B23</f>
        <v/>
      </c>
      <c r="N23">
        <f>C23</f>
        <v/>
      </c>
      <c r="O23" t="n">
        <v>0</v>
      </c>
      <c r="P23" s="72">
        <f>O23*K23</f>
        <v/>
      </c>
      <c r="R23" t="n">
        <v>0</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0</v>
      </c>
      <c r="C27" t="n">
        <v>0</v>
      </c>
      <c r="H27" t="n">
        <v>0</v>
      </c>
      <c r="I27" t="n">
        <v>0</v>
      </c>
      <c r="K27">
        <f>B27+C27-H27-I27</f>
        <v/>
      </c>
      <c r="L27">
        <f>B27+C27-H27</f>
        <v/>
      </c>
      <c r="M27">
        <f>L27-B27</f>
        <v/>
      </c>
      <c r="N27">
        <f>C27</f>
        <v/>
      </c>
      <c r="O27" t="n">
        <v>0</v>
      </c>
      <c r="P27" s="72">
        <f>O27*K27</f>
        <v/>
      </c>
      <c r="R27" t="n">
        <v>0</v>
      </c>
      <c r="S27">
        <f>O27*M27</f>
        <v/>
      </c>
      <c r="T27">
        <f>O27*N27</f>
        <v/>
      </c>
    </row>
    <row r="28">
      <c r="A28" t="inlineStr">
        <is>
          <t>Piglets</t>
        </is>
      </c>
      <c r="B28" t="n">
        <v>0</v>
      </c>
      <c r="C28" t="n">
        <v>0</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79"/>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rimpton</t>
        </is>
      </c>
      <c r="B2" t="inlineStr">
        <is>
          <t>the account of john kiggil, reeve there, for the sixth year of the translation of henry beaufort', lord bishop of winchester, and the eleventh year of the reign of king henry the fourth after the conquest.</t>
        </is>
      </c>
      <c r="C2" t="n">
        <v>0</v>
      </c>
      <c r="D2" t="n">
        <v>0</v>
      </c>
      <c r="E2" t="n">
        <v>0</v>
      </c>
      <c r="F2" t="n">
        <v>0</v>
      </c>
      <c r="H2" t="n">
        <v>0</v>
      </c>
      <c r="I2" t="n">
        <v>0</v>
      </c>
      <c r="J2" t="n">
        <v>0</v>
      </c>
      <c r="K2" t="n">
        <v>0</v>
      </c>
      <c r="L2" t="n">
        <v>0</v>
      </c>
      <c r="M2" t="n">
        <v>0</v>
      </c>
      <c r="N2" t="n">
        <v>0</v>
      </c>
    </row>
    <row r="3">
      <c r="A3" t="inlineStr">
        <is>
          <t>arrears</t>
        </is>
      </c>
      <c r="B3" t="inlineStr">
        <is>
          <t>the same answers for £2 1.5pence of arrears from his last account of the preceding year.</t>
        </is>
      </c>
      <c r="C3" t="n">
        <v>2.01</v>
      </c>
      <c r="D3" t="n">
        <v>2</v>
      </c>
      <c r="E3" t="n">
        <v>0</v>
      </c>
      <c r="F3" t="n">
        <v>1.5</v>
      </c>
      <c r="H3" t="n">
        <v>0</v>
      </c>
      <c r="I3" t="n">
        <v>0</v>
      </c>
      <c r="J3" t="n">
        <v>0</v>
      </c>
      <c r="K3" t="n">
        <v>0</v>
      </c>
      <c r="L3" t="n">
        <v>0</v>
      </c>
      <c r="M3" t="n">
        <v>0</v>
      </c>
      <c r="N3" t="n">
        <v>0</v>
      </c>
    </row>
    <row r="4">
      <c r="A4" t="inlineStr">
        <is>
          <t>arrears</t>
        </is>
      </c>
      <c r="B4" t="inlineStr">
        <is>
          <t>total, £2 1.5pence.</t>
        </is>
      </c>
      <c r="C4" t="n">
        <v>2.01</v>
      </c>
      <c r="D4" t="n">
        <v>2</v>
      </c>
      <c r="E4" t="n">
        <v>0</v>
      </c>
      <c r="F4" t="n">
        <v>1.5</v>
      </c>
      <c r="H4" t="n">
        <v>0</v>
      </c>
      <c r="I4" t="n">
        <v>0</v>
      </c>
      <c r="J4" t="n">
        <v>0</v>
      </c>
      <c r="K4" t="n">
        <v>0</v>
      </c>
      <c r="L4" t="n">
        <v>0</v>
      </c>
      <c r="M4" t="n">
        <v>0</v>
      </c>
      <c r="N4" t="n">
        <v>0</v>
      </c>
    </row>
    <row r="5">
      <c r="A5" t="inlineStr">
        <is>
          <t>rents of assize</t>
        </is>
      </c>
      <c r="B5" t="inlineStr">
        <is>
          <t>and for £1 14 shilling 10pence for all rents of assize at christmas.</t>
        </is>
      </c>
      <c r="C5" t="n">
        <v>1.74</v>
      </c>
      <c r="D5" t="n">
        <v>1</v>
      </c>
      <c r="E5" t="n">
        <v>14</v>
      </c>
      <c r="F5" t="n">
        <v>10</v>
      </c>
      <c r="H5" t="n">
        <v>0</v>
      </c>
      <c r="I5" t="n">
        <v>0</v>
      </c>
      <c r="J5" t="n">
        <v>0</v>
      </c>
      <c r="K5" t="n">
        <v>0</v>
      </c>
      <c r="L5" t="n">
        <v>0</v>
      </c>
      <c r="M5" t="n">
        <v>0</v>
      </c>
      <c r="N5" t="n">
        <v>0</v>
      </c>
    </row>
    <row r="6">
      <c r="A6" t="inlineStr">
        <is>
          <t>rents of assize</t>
        </is>
      </c>
      <c r="B6" t="inlineStr">
        <is>
          <t>£1 14 shilling 10pence at easter (23 march).</t>
        </is>
      </c>
      <c r="C6" t="n">
        <v>1.74</v>
      </c>
      <c r="D6" t="n">
        <v>1</v>
      </c>
      <c r="E6" t="n">
        <v>14</v>
      </c>
      <c r="F6" t="n">
        <v>10</v>
      </c>
      <c r="H6" t="n">
        <v>0</v>
      </c>
      <c r="I6" t="n">
        <v>0</v>
      </c>
      <c r="J6" t="n">
        <v>0</v>
      </c>
      <c r="K6" t="n">
        <v>0</v>
      </c>
      <c r="L6" t="n">
        <v>0</v>
      </c>
      <c r="M6" t="n">
        <v>0</v>
      </c>
      <c r="N6" t="n">
        <v>0</v>
      </c>
    </row>
    <row r="7">
      <c r="A7" t="inlineStr">
        <is>
          <t>rents of assize</t>
        </is>
      </c>
      <c r="B7" t="inlineStr">
        <is>
          <t>£1 14 shilling 10pence at the nativity of st john the baptist (24 june).</t>
        </is>
      </c>
      <c r="C7" t="n">
        <v>1.74</v>
      </c>
      <c r="D7" t="n">
        <v>1</v>
      </c>
      <c r="E7" t="n">
        <v>14</v>
      </c>
      <c r="F7" t="n">
        <v>10</v>
      </c>
      <c r="H7" t="n">
        <v>0</v>
      </c>
      <c r="I7" t="n">
        <v>0</v>
      </c>
      <c r="J7" t="n">
        <v>0</v>
      </c>
      <c r="K7" t="n">
        <v>0</v>
      </c>
      <c r="L7" t="n">
        <v>0</v>
      </c>
      <c r="M7" t="n">
        <v>0</v>
      </c>
      <c r="N7" t="n">
        <v>0</v>
      </c>
    </row>
    <row r="8">
      <c r="A8" t="inlineStr">
        <is>
          <t>rents of assize</t>
        </is>
      </c>
      <c r="B8" t="inlineStr">
        <is>
          <t>£1 14 shilling 10pence at michaelmas (29 september).</t>
        </is>
      </c>
      <c r="C8" t="n">
        <v>1.74</v>
      </c>
      <c r="D8" t="n">
        <v>1</v>
      </c>
      <c r="E8" t="n">
        <v>14</v>
      </c>
      <c r="F8" t="n">
        <v>10</v>
      </c>
      <c r="H8" t="n">
        <v>0</v>
      </c>
      <c r="I8" t="n">
        <v>0</v>
      </c>
      <c r="J8" t="n">
        <v>0</v>
      </c>
      <c r="K8" t="n">
        <v>0</v>
      </c>
      <c r="L8" t="n">
        <v>0</v>
      </c>
      <c r="M8" t="n">
        <v>0</v>
      </c>
      <c r="N8" t="n">
        <v>0</v>
      </c>
    </row>
    <row r="9">
      <c r="A9" t="inlineStr">
        <is>
          <t>rents of assize</t>
        </is>
      </c>
      <c r="B9" t="inlineStr">
        <is>
          <t>total, £6 19 shilling 4pence.</t>
        </is>
      </c>
      <c r="C9" t="n">
        <v>6.97</v>
      </c>
      <c r="D9" t="n">
        <v>6</v>
      </c>
      <c r="E9" t="n">
        <v>19</v>
      </c>
      <c r="F9" t="n">
        <v>4</v>
      </c>
      <c r="H9" t="n">
        <v>0</v>
      </c>
      <c r="I9" t="n">
        <v>0</v>
      </c>
      <c r="J9" t="n">
        <v>0</v>
      </c>
      <c r="K9" t="n">
        <v>0</v>
      </c>
      <c r="L9" t="n">
        <v>0</v>
      </c>
      <c r="M9" t="n">
        <v>0</v>
      </c>
      <c r="N9" t="n">
        <v>0</v>
      </c>
    </row>
    <row r="10">
      <c r="A10" t="inlineStr">
        <is>
          <t>quittances of rent</t>
        </is>
      </c>
      <c r="B10" t="inlineStr">
        <is>
          <t>in quittance of rent of 1 reeve for the year 3 shilling.</t>
        </is>
      </c>
      <c r="C10" t="n">
        <v>0.15</v>
      </c>
      <c r="D10" t="n">
        <v>0</v>
      </c>
      <c r="E10" t="n">
        <v>3</v>
      </c>
      <c r="F10" t="n">
        <v>0</v>
      </c>
      <c r="H10" t="n">
        <v>0</v>
      </c>
      <c r="I10" t="n">
        <v>0</v>
      </c>
      <c r="J10" t="n">
        <v>0</v>
      </c>
      <c r="K10" t="n">
        <v>0</v>
      </c>
      <c r="L10" t="n">
        <v>0</v>
      </c>
      <c r="M10" t="n">
        <v>0</v>
      </c>
      <c r="N10" t="n">
        <v>0</v>
      </c>
    </row>
    <row r="11">
      <c r="A11" t="inlineStr">
        <is>
          <t>quittances of rent</t>
        </is>
      </c>
      <c r="B11" t="inlineStr">
        <is>
          <t>1 overseer of the harvest from the customary tenants for the year 1 shilling.</t>
        </is>
      </c>
      <c r="C11" t="n">
        <v>0.05</v>
      </c>
      <c r="D11" t="n">
        <v>0</v>
      </c>
      <c r="E11" t="n">
        <v>1</v>
      </c>
      <c r="F11" t="n">
        <v>0</v>
      </c>
      <c r="H11" t="n">
        <v>0</v>
      </c>
      <c r="I11" t="n">
        <v>0</v>
      </c>
      <c r="J11" t="n">
        <v>0</v>
      </c>
      <c r="K11" t="n">
        <v>0</v>
      </c>
      <c r="L11" t="n">
        <v>0</v>
      </c>
      <c r="M11" t="n">
        <v>0</v>
      </c>
      <c r="N11" t="n">
        <v>0</v>
      </c>
    </row>
    <row r="12">
      <c r="A12" t="inlineStr">
        <is>
          <t>quittances of rent</t>
        </is>
      </c>
      <c r="B12" t="inlineStr">
        <is>
          <t>the customary tenants doing various labour services.</t>
        </is>
      </c>
      <c r="C12" t="n">
        <v>0</v>
      </c>
      <c r="D12" t="n">
        <v>0</v>
      </c>
      <c r="E12" t="n">
        <v>0</v>
      </c>
      <c r="F12" t="n">
        <v>0</v>
      </c>
      <c r="H12" t="n">
        <v>0</v>
      </c>
      <c r="I12" t="n">
        <v>0</v>
      </c>
      <c r="J12" t="n">
        <v>0</v>
      </c>
      <c r="K12" t="n">
        <v>0</v>
      </c>
      <c r="L12" t="n">
        <v>0</v>
      </c>
      <c r="M12" t="n">
        <v>0</v>
      </c>
      <c r="N12" t="n">
        <v>0</v>
      </c>
    </row>
    <row r="13">
      <c r="A13" t="inlineStr">
        <is>
          <t>quittances of rent</t>
        </is>
      </c>
      <c r="B13" t="inlineStr">
        <is>
          <t>for the year as made clear in the section (panell') for labour services £2 6 shilling, or 2 shilling each.</t>
        </is>
      </c>
      <c r="C13" t="n">
        <v>2.3</v>
      </c>
      <c r="D13" t="n">
        <v>2</v>
      </c>
      <c r="E13" t="n">
        <v>6</v>
      </c>
      <c r="F13" t="n">
        <v>0</v>
      </c>
      <c r="H13" t="n">
        <v>0</v>
      </c>
      <c r="I13" t="n">
        <v>0</v>
      </c>
      <c r="J13" t="n">
        <v>0</v>
      </c>
      <c r="K13" t="n">
        <v>0</v>
      </c>
      <c r="L13" t="n">
        <v>0</v>
      </c>
      <c r="M13" t="n">
        <v>0</v>
      </c>
      <c r="N13" t="n">
        <v>0</v>
      </c>
    </row>
    <row r="14">
      <c r="A14" t="inlineStr">
        <is>
          <t>quittances of rent</t>
        </is>
      </c>
      <c r="B14" t="inlineStr">
        <is>
          <t>total, £2 10 shilling.</t>
        </is>
      </c>
      <c r="C14" t="n">
        <v>2.5</v>
      </c>
      <c r="D14" t="n">
        <v>2</v>
      </c>
      <c r="E14" t="n">
        <v>10</v>
      </c>
      <c r="F14" t="n">
        <v>0</v>
      </c>
      <c r="H14" t="n">
        <v>0</v>
      </c>
      <c r="I14" t="n">
        <v>0</v>
      </c>
      <c r="J14" t="n">
        <v>0</v>
      </c>
      <c r="K14" t="n">
        <v>0</v>
      </c>
      <c r="L14" t="n">
        <v>0</v>
      </c>
      <c r="M14" t="n">
        <v>0</v>
      </c>
      <c r="N14" t="n">
        <v>0</v>
      </c>
    </row>
    <row r="15">
      <c r="A15" t="inlineStr">
        <is>
          <t>total of rents remaining clear</t>
        </is>
      </c>
      <c r="B15" t="inlineStr">
        <is>
          <t>total of rents remaining clear, £4 9 shilling 4pence.</t>
        </is>
      </c>
      <c r="C15" t="n">
        <v>4.47</v>
      </c>
      <c r="D15" t="n">
        <v>4</v>
      </c>
      <c r="E15" t="n">
        <v>9</v>
      </c>
      <c r="F15" t="n">
        <v>4</v>
      </c>
      <c r="H15" t="n">
        <v>0</v>
      </c>
      <c r="I15" t="n">
        <v>0</v>
      </c>
      <c r="J15" t="n">
        <v>0</v>
      </c>
      <c r="K15" t="n">
        <v>0</v>
      </c>
      <c r="L15" t="n">
        <v>0</v>
      </c>
      <c r="M15" t="n">
        <v>0</v>
      </c>
      <c r="N15" t="n">
        <v>0</v>
      </c>
    </row>
    <row r="16">
      <c r="A16" t="inlineStr">
        <is>
          <t>farms</t>
        </is>
      </c>
      <c r="B16" t="inlineStr">
        <is>
          <t>and for £20 for the farm of the demesne land of rimpton manor demised to john burch' and john roppeligh' for 12 years, this year being the fifth, as made clear in the indenture drawn up between the lord's steward and the said farmers.</t>
        </is>
      </c>
      <c r="C16" t="n">
        <v>20</v>
      </c>
      <c r="D16" t="n">
        <v>20</v>
      </c>
      <c r="E16" t="n">
        <v>0</v>
      </c>
      <c r="F16" t="n">
        <v>0</v>
      </c>
      <c r="H16" t="n">
        <v>0</v>
      </c>
      <c r="I16" t="n">
        <v>0</v>
      </c>
      <c r="J16" t="n">
        <v>0</v>
      </c>
      <c r="K16" t="n">
        <v>0</v>
      </c>
      <c r="L16" t="n">
        <v>0</v>
      </c>
      <c r="M16" t="n">
        <v>0</v>
      </c>
      <c r="N16" t="n">
        <v>0</v>
      </c>
    </row>
    <row r="17">
      <c r="A17" t="inlineStr">
        <is>
          <t>farms</t>
        </is>
      </c>
      <c r="B17" t="inlineStr">
        <is>
          <t>18 shilling for the farm of 15 acres of arable land and 3 acres 3 roods of meadow in aillesham demised to thomas boye for the term of his life, which formerly belonged to the lord’s demesne.</t>
        </is>
      </c>
      <c r="C17" t="n">
        <v>0.9</v>
      </c>
      <c r="D17" t="n">
        <v>0</v>
      </c>
      <c r="E17" t="n">
        <v>18</v>
      </c>
      <c r="F17" t="n">
        <v>0</v>
      </c>
      <c r="H17" t="n">
        <v>0</v>
      </c>
      <c r="I17" t="n">
        <v>0</v>
      </c>
      <c r="J17" t="n">
        <v>0</v>
      </c>
      <c r="K17" t="n">
        <v>0</v>
      </c>
      <c r="L17" t="n">
        <v>0</v>
      </c>
      <c r="M17" t="n">
        <v>0</v>
      </c>
      <c r="N17" t="n">
        <v>0</v>
      </c>
    </row>
    <row r="18">
      <c r="A18" t="inlineStr">
        <is>
          <t>farms</t>
        </is>
      </c>
      <c r="B18" t="inlineStr">
        <is>
          <t>£2 from john stul for the farm of the mill of rimpton demised to him for the term of his life.</t>
        </is>
      </c>
      <c r="C18" t="n">
        <v>2</v>
      </c>
      <c r="D18" t="n">
        <v>2</v>
      </c>
      <c r="E18" t="n">
        <v>0</v>
      </c>
      <c r="F18" t="n">
        <v>0</v>
      </c>
      <c r="H18" t="n">
        <v>0</v>
      </c>
      <c r="I18" t="n">
        <v>0</v>
      </c>
      <c r="J18" t="n">
        <v>0</v>
      </c>
      <c r="K18" t="n">
        <v>0</v>
      </c>
      <c r="L18" t="n">
        <v>0</v>
      </c>
      <c r="M18" t="n">
        <v>0</v>
      </c>
      <c r="N18" t="n">
        <v>0</v>
      </c>
    </row>
    <row r="19">
      <c r="A19" t="inlineStr">
        <is>
          <t>farms</t>
        </is>
      </c>
      <c r="B19" t="inlineStr">
        <is>
          <t>1 shilling from the same john for the farm of 2 acres of land demised to him for the term of his life, of which 1 acre lies in shortelond' and 1 acre in the ploughland (cultura)  of nyneacres.</t>
        </is>
      </c>
      <c r="C19" t="n">
        <v>0.05</v>
      </c>
      <c r="D19" t="n">
        <v>0</v>
      </c>
      <c r="E19" t="n">
        <v>1</v>
      </c>
      <c r="F19" t="n">
        <v>0</v>
      </c>
      <c r="H19" t="n">
        <v>0</v>
      </c>
      <c r="I19" t="n">
        <v>0</v>
      </c>
      <c r="J19" t="n">
        <v>0</v>
      </c>
      <c r="K19" t="n">
        <v>0</v>
      </c>
      <c r="L19" t="n">
        <v>0</v>
      </c>
      <c r="M19" t="n">
        <v>0</v>
      </c>
      <c r="N19" t="n">
        <v>0</v>
      </c>
    </row>
    <row r="20">
      <c r="A20" t="inlineStr">
        <is>
          <t>farms</t>
        </is>
      </c>
      <c r="B20" t="inlineStr">
        <is>
          <t>2 shilling 6pence from roger stul for the farm of 2 acres of arable land called hullehifurl’ demised to him from the lord’s demesne for the term of his life.</t>
        </is>
      </c>
      <c r="C20" t="n">
        <v>0.12</v>
      </c>
      <c r="D20" t="n">
        <v>0</v>
      </c>
      <c r="E20" t="n">
        <v>2</v>
      </c>
      <c r="F20" t="n">
        <v>6</v>
      </c>
      <c r="H20" t="n">
        <v>0</v>
      </c>
      <c r="I20" t="n">
        <v>0</v>
      </c>
      <c r="J20" t="n">
        <v>0</v>
      </c>
      <c r="K20" t="n">
        <v>0</v>
      </c>
      <c r="L20" t="n">
        <v>0</v>
      </c>
      <c r="M20" t="n">
        <v>0</v>
      </c>
      <c r="N20" t="n">
        <v>0</v>
      </c>
    </row>
    <row r="21">
      <c r="A21" t="inlineStr">
        <is>
          <t>farms</t>
        </is>
      </c>
      <c r="B21" t="inlineStr">
        <is>
          <t>3 shilling 6d for the farm of 3.5 acres of land of the lord's demesne at westland' demised to john roppele for the term of his life.</t>
        </is>
      </c>
      <c r="C21" t="n">
        <v>0.15</v>
      </c>
      <c r="D21" t="n">
        <v>0</v>
      </c>
      <c r="E21" t="n">
        <v>3</v>
      </c>
      <c r="F21" t="n">
        <v>0</v>
      </c>
      <c r="H21" t="n">
        <v>0</v>
      </c>
      <c r="I21" t="n">
        <v>0</v>
      </c>
      <c r="J21" t="n">
        <v>0</v>
      </c>
      <c r="K21" t="n">
        <v>0</v>
      </c>
      <c r="L21" t="n">
        <v>0</v>
      </c>
      <c r="M21" t="n">
        <v>0</v>
      </c>
      <c r="N21" t="n">
        <v>0</v>
      </c>
    </row>
    <row r="22">
      <c r="A22" t="inlineStr">
        <is>
          <t>farms</t>
        </is>
      </c>
      <c r="B22" t="inlineStr">
        <is>
          <t>1 shilling 9pence for the farm of 1.5 acres of land of the lord’s demesne at okeligh' demised to richard gildeneye for the term of his life.</t>
        </is>
      </c>
      <c r="C22" t="n">
        <v>0.09</v>
      </c>
      <c r="D22" t="n">
        <v>0</v>
      </c>
      <c r="E22" t="n">
        <v>1</v>
      </c>
      <c r="F22" t="n">
        <v>9</v>
      </c>
      <c r="H22" t="n">
        <v>0</v>
      </c>
      <c r="I22" t="n">
        <v>0</v>
      </c>
      <c r="J22" t="n">
        <v>0</v>
      </c>
      <c r="K22" t="n">
        <v>0</v>
      </c>
      <c r="L22" t="n">
        <v>0</v>
      </c>
      <c r="M22" t="n">
        <v>0</v>
      </c>
      <c r="N22" t="n">
        <v>0</v>
      </c>
    </row>
    <row r="23">
      <c r="A23" t="inlineStr">
        <is>
          <t>farms</t>
        </is>
      </c>
      <c r="B23" t="inlineStr">
        <is>
          <t>8pence for the farm of 3 acres of arable land called grutteputtefurl' of the 'terra demesne demised to john burch' for the term of his life.</t>
        </is>
      </c>
      <c r="C23" t="n">
        <v>0.03</v>
      </c>
      <c r="D23" t="n">
        <v>0</v>
      </c>
      <c r="E23" t="n">
        <v>0</v>
      </c>
      <c r="F23" t="n">
        <v>8</v>
      </c>
      <c r="H23" t="n">
        <v>0</v>
      </c>
      <c r="I23" t="n">
        <v>0</v>
      </c>
      <c r="J23" t="n">
        <v>0</v>
      </c>
      <c r="K23" t="n">
        <v>0</v>
      </c>
      <c r="L23" t="n">
        <v>0</v>
      </c>
      <c r="M23" t="n">
        <v>0</v>
      </c>
      <c r="N23" t="n">
        <v>0</v>
      </c>
    </row>
    <row r="24">
      <c r="A24" t="inlineStr">
        <is>
          <t>farms</t>
        </is>
      </c>
      <c r="B24" t="inlineStr">
        <is>
          <t>3 shilling for the farm of 3 farm of 2 acres of the lord's land at okeligh' demised to thomas hamond' for th for the acrerd's arable land in the field of bare demised to richard gyldeney for the term of his lisfof: 11pence for the farm of 1 acre 1 rood of land in berefurl' of the lord's demesne demiseed. to john burch' for the term of his life.</t>
        </is>
      </c>
      <c r="C24" t="n">
        <v>0.2</v>
      </c>
      <c r="D24" t="n">
        <v>0</v>
      </c>
      <c r="E24" t="n">
        <v>3</v>
      </c>
      <c r="F24" t="n">
        <v>11</v>
      </c>
      <c r="H24" t="n">
        <v>0</v>
      </c>
      <c r="I24" t="n">
        <v>0</v>
      </c>
      <c r="J24" t="n">
        <v>0</v>
      </c>
      <c r="K24" t="n">
        <v>0</v>
      </c>
      <c r="L24" t="n">
        <v>0</v>
      </c>
      <c r="M24" t="n">
        <v>0</v>
      </c>
      <c r="N24" t="n">
        <v>0</v>
      </c>
    </row>
    <row r="25">
      <c r="A25" t="inlineStr">
        <is>
          <t>farms</t>
        </is>
      </c>
      <c r="B25" t="inlineStr">
        <is>
          <t>11pence for the farm of 1 acre 1 rood of land in berefurl' of the lord's demesne demised to john peny for the term of his life.</t>
        </is>
      </c>
      <c r="C25" t="n">
        <v>0.05</v>
      </c>
      <c r="D25" t="n">
        <v>0</v>
      </c>
      <c r="E25" t="n">
        <v>0</v>
      </c>
      <c r="F25" t="n">
        <v>11</v>
      </c>
      <c r="H25" t="n">
        <v>0</v>
      </c>
      <c r="I25" t="n">
        <v>0</v>
      </c>
      <c r="J25" t="n">
        <v>0</v>
      </c>
      <c r="K25" t="n">
        <v>0</v>
      </c>
      <c r="L25" t="n">
        <v>0</v>
      </c>
      <c r="M25" t="n">
        <v>0</v>
      </c>
      <c r="N25" t="n">
        <v>0</v>
      </c>
    </row>
    <row r="26">
      <c r="A26" t="inlineStr">
        <is>
          <t>farms</t>
        </is>
      </c>
      <c r="B26" t="inlineStr">
        <is>
          <t>2 shilling 8pence from john stul for the farm of 3 acres of land of the lord's demesne, of which 1 acre lies at nyneacres and 2 acres lie in the ploughland of fyveacres, demised to him for the term of his life.</t>
        </is>
      </c>
      <c r="C26" t="n">
        <v>0.13</v>
      </c>
      <c r="D26" t="n">
        <v>0</v>
      </c>
      <c r="E26" t="n">
        <v>2</v>
      </c>
      <c r="F26" t="n">
        <v>8</v>
      </c>
      <c r="H26" t="n">
        <v>0</v>
      </c>
      <c r="I26" t="n">
        <v>0</v>
      </c>
      <c r="J26" t="n">
        <v>0</v>
      </c>
      <c r="K26" t="n">
        <v>0</v>
      </c>
      <c r="L26" t="n">
        <v>0</v>
      </c>
      <c r="M26" t="n">
        <v>0</v>
      </c>
      <c r="N26" t="n">
        <v>0</v>
      </c>
    </row>
    <row r="27">
      <c r="A27" t="inlineStr">
        <is>
          <t>farms</t>
        </is>
      </c>
      <c r="B27" t="inlineStr">
        <is>
          <t>total, £23 17 shilling 9pence.</t>
        </is>
      </c>
      <c r="C27" t="n">
        <v>23.89</v>
      </c>
      <c r="D27" t="n">
        <v>23</v>
      </c>
      <c r="E27" t="n">
        <v>17</v>
      </c>
      <c r="F27" t="n">
        <v>9</v>
      </c>
      <c r="H27" t="n">
        <v>0</v>
      </c>
      <c r="I27" t="n">
        <v>0</v>
      </c>
      <c r="J27" t="n">
        <v>0</v>
      </c>
      <c r="K27" t="n">
        <v>0</v>
      </c>
      <c r="L27" t="n">
        <v>0</v>
      </c>
      <c r="M27" t="n">
        <v>0</v>
      </c>
      <c r="N27" t="n">
        <v>0</v>
      </c>
    </row>
    <row r="28">
      <c r="A28" t="inlineStr">
        <is>
          <t>customary payments</t>
        </is>
      </c>
      <c r="B28" t="inlineStr">
        <is>
          <t>and for 2 shilling 5.5pence from the pannage of pigs, hoggets and piglets at martinmas this year.</t>
        </is>
      </c>
      <c r="C28" t="n">
        <v>0.12</v>
      </c>
      <c r="D28" t="n">
        <v>0</v>
      </c>
      <c r="E28" t="n">
        <v>2</v>
      </c>
      <c r="F28" t="n">
        <v>5.5</v>
      </c>
      <c r="H28" t="n">
        <v>0</v>
      </c>
      <c r="I28" t="n">
        <v>0</v>
      </c>
      <c r="J28" t="n">
        <v>0</v>
      </c>
      <c r="K28" t="n">
        <v>0</v>
      </c>
      <c r="L28" t="n">
        <v>0</v>
      </c>
      <c r="M28" t="n">
        <v>0</v>
      </c>
      <c r="N28" t="n">
        <v>0</v>
      </c>
    </row>
    <row r="29">
      <c r="A29" t="inlineStr">
        <is>
          <t>customary payments</t>
        </is>
      </c>
      <c r="B29" t="inlineStr">
        <is>
          <t>3 shilling from churchscot at the same feast.</t>
        </is>
      </c>
      <c r="C29" t="n">
        <v>0.15</v>
      </c>
      <c r="D29" t="n">
        <v>0</v>
      </c>
      <c r="E29" t="n">
        <v>3</v>
      </c>
      <c r="F29" t="n">
        <v>0</v>
      </c>
      <c r="H29" t="n">
        <v>0</v>
      </c>
      <c r="I29" t="n">
        <v>0</v>
      </c>
      <c r="J29" t="n">
        <v>0</v>
      </c>
      <c r="K29" t="n">
        <v>0</v>
      </c>
      <c r="L29" t="n">
        <v>0</v>
      </c>
      <c r="M29" t="n">
        <v>0</v>
      </c>
      <c r="N29" t="n">
        <v>0</v>
      </c>
    </row>
    <row r="30">
      <c r="A30" t="inlineStr">
        <is>
          <t>customary payments</t>
        </is>
      </c>
      <c r="B30" t="inlineStr">
        <is>
          <t>4 shilling from tithingpenny at the tourn of martinmas.</t>
        </is>
      </c>
      <c r="C30" t="n">
        <v>0.2</v>
      </c>
      <c r="D30" t="n">
        <v>0</v>
      </c>
      <c r="E30" t="n">
        <v>4</v>
      </c>
      <c r="F30" t="n">
        <v>0</v>
      </c>
      <c r="H30" t="n">
        <v>0</v>
      </c>
      <c r="I30" t="n">
        <v>0</v>
      </c>
      <c r="J30" t="n">
        <v>0</v>
      </c>
      <c r="K30" t="n">
        <v>0</v>
      </c>
      <c r="L30" t="n">
        <v>0</v>
      </c>
      <c r="M30" t="n">
        <v>0</v>
      </c>
      <c r="N30" t="n">
        <v>0</v>
      </c>
    </row>
    <row r="31">
      <c r="A31" t="inlineStr">
        <is>
          <t>customary payments</t>
        </is>
      </c>
      <c r="B31" t="inlineStr">
        <is>
          <t>4 shilling from tithingpenny at the tourn of hockday.</t>
        </is>
      </c>
      <c r="C31" t="n">
        <v>0.2</v>
      </c>
      <c r="D31" t="n">
        <v>0</v>
      </c>
      <c r="E31" t="n">
        <v>4</v>
      </c>
      <c r="F31" t="n">
        <v>0</v>
      </c>
      <c r="H31" t="n">
        <v>0</v>
      </c>
      <c r="I31" t="n">
        <v>0</v>
      </c>
      <c r="J31" t="n">
        <v>0</v>
      </c>
      <c r="K31" t="n">
        <v>0</v>
      </c>
      <c r="L31" t="n">
        <v>0</v>
      </c>
      <c r="M31" t="n">
        <v>0</v>
      </c>
      <c r="N31" t="n">
        <v>0</v>
      </c>
    </row>
    <row r="32">
      <c r="A32" t="inlineStr">
        <is>
          <t>customary payments</t>
        </is>
      </c>
      <c r="B32" t="inlineStr">
        <is>
          <t>1 shilling 9pence from the residue of peter's penee at lammas (1 august).</t>
        </is>
      </c>
      <c r="C32" t="n">
        <v>0.09</v>
      </c>
      <c r="D32" t="n">
        <v>0</v>
      </c>
      <c r="E32" t="n">
        <v>1</v>
      </c>
      <c r="F32" t="n">
        <v>9</v>
      </c>
      <c r="H32" t="n">
        <v>0</v>
      </c>
      <c r="I32" t="n">
        <v>0</v>
      </c>
      <c r="J32" t="n">
        <v>0</v>
      </c>
      <c r="K32" t="n">
        <v>0</v>
      </c>
      <c r="L32" t="n">
        <v>0</v>
      </c>
      <c r="M32" t="n">
        <v>0</v>
      </c>
      <c r="N32" t="n">
        <v>0</v>
      </c>
    </row>
    <row r="33">
      <c r="A33" t="inlineStr">
        <is>
          <t>customary payments</t>
        </is>
      </c>
      <c r="B33" t="inlineStr">
        <is>
          <t>total, 15 shilling 2.5pence.</t>
        </is>
      </c>
      <c r="C33" t="n">
        <v>0.76</v>
      </c>
      <c r="D33" t="n">
        <v>0</v>
      </c>
      <c r="E33" t="n">
        <v>15</v>
      </c>
      <c r="F33" t="n">
        <v>2.5</v>
      </c>
      <c r="H33" t="n">
        <v>0</v>
      </c>
      <c r="I33" t="n">
        <v>0</v>
      </c>
      <c r="J33" t="n">
        <v>0</v>
      </c>
      <c r="K33" t="n">
        <v>0</v>
      </c>
      <c r="L33" t="n">
        <v>0</v>
      </c>
      <c r="M33" t="n">
        <v>0</v>
      </c>
      <c r="N33" t="n">
        <v>0</v>
      </c>
    </row>
    <row r="34">
      <c r="A34" t="inlineStr">
        <is>
          <t>sale of stock</t>
        </is>
      </c>
      <c r="B34" t="inlineStr">
        <is>
          <t>and for 7 shilling from 1 steer from the heriot of john newman sold.</t>
        </is>
      </c>
      <c r="C34" t="n">
        <v>0.35</v>
      </c>
      <c r="D34" t="n">
        <v>0</v>
      </c>
      <c r="E34" t="n">
        <v>7</v>
      </c>
      <c r="F34" t="n">
        <v>0</v>
      </c>
      <c r="H34" t="n">
        <v>0</v>
      </c>
      <c r="I34" t="n">
        <v>0</v>
      </c>
      <c r="J34" t="n">
        <v>0</v>
      </c>
      <c r="K34" t="n">
        <v>0</v>
      </c>
      <c r="L34" t="n">
        <v>0</v>
      </c>
      <c r="M34" t="n">
        <v>0</v>
      </c>
      <c r="N34" t="n">
        <v>0</v>
      </c>
    </row>
    <row r="35">
      <c r="A35" t="inlineStr">
        <is>
          <t>sale of stock</t>
        </is>
      </c>
      <c r="B35" t="inlineStr">
        <is>
          <t>13 shilling 4pence from 1 ox from the heriot of john spark sold.</t>
        </is>
      </c>
      <c r="C35" t="n">
        <v>0.67</v>
      </c>
      <c r="D35" t="n">
        <v>0</v>
      </c>
      <c r="E35" t="n">
        <v>13</v>
      </c>
      <c r="F35" t="n">
        <v>4</v>
      </c>
      <c r="H35" t="n">
        <v>0</v>
      </c>
      <c r="I35" t="n">
        <v>0</v>
      </c>
      <c r="J35" t="n">
        <v>0</v>
      </c>
      <c r="K35" t="n">
        <v>0</v>
      </c>
      <c r="L35" t="n">
        <v>0</v>
      </c>
      <c r="M35" t="n">
        <v>0</v>
      </c>
      <c r="N35" t="n">
        <v>0</v>
      </c>
    </row>
    <row r="36">
      <c r="A36" t="inlineStr">
        <is>
          <t>sale of stock</t>
        </is>
      </c>
      <c r="B36" t="inlineStr">
        <is>
          <t>3 shilling from 1 plough-horse from the heriot of stephen podelynem sold.</t>
        </is>
      </c>
      <c r="C36" t="n">
        <v>0.15</v>
      </c>
      <c r="D36" t="n">
        <v>0</v>
      </c>
      <c r="E36" t="n">
        <v>3</v>
      </c>
      <c r="F36" t="n">
        <v>0</v>
      </c>
      <c r="H36" t="n">
        <v>0</v>
      </c>
      <c r="I36" t="n">
        <v>0</v>
      </c>
      <c r="J36" t="n">
        <v>0</v>
      </c>
      <c r="K36" t="n">
        <v>0</v>
      </c>
      <c r="L36" t="n">
        <v>0</v>
      </c>
      <c r="M36" t="n">
        <v>0</v>
      </c>
      <c r="N36" t="n">
        <v>0</v>
      </c>
    </row>
    <row r="37">
      <c r="A37" t="inlineStr">
        <is>
          <t>sale of stock</t>
        </is>
      </c>
      <c r="B37" t="inlineStr">
        <is>
          <t>8 shilling from 1 cow from the heriot of isabel thomas sold.</t>
        </is>
      </c>
      <c r="C37" t="n">
        <v>0.4</v>
      </c>
      <c r="D37" t="n">
        <v>0</v>
      </c>
      <c r="E37" t="n">
        <v>8</v>
      </c>
      <c r="F37" t="n">
        <v>0</v>
      </c>
      <c r="H37" t="n">
        <v>0</v>
      </c>
      <c r="I37" t="n">
        <v>0</v>
      </c>
      <c r="J37" t="n">
        <v>0</v>
      </c>
      <c r="K37" t="n">
        <v>0</v>
      </c>
      <c r="L37" t="n">
        <v>0</v>
      </c>
      <c r="M37" t="n">
        <v>0</v>
      </c>
      <c r="N37" t="n">
        <v>0</v>
      </c>
    </row>
    <row r="38">
      <c r="A38" t="inlineStr">
        <is>
          <t>sale of stock</t>
        </is>
      </c>
      <c r="B38" t="inlineStr">
        <is>
          <t>total, £1 11 shilling 4pence.</t>
        </is>
      </c>
      <c r="C38" t="n">
        <v>1.57</v>
      </c>
      <c r="D38" t="n">
        <v>1</v>
      </c>
      <c r="E38" t="n">
        <v>11</v>
      </c>
      <c r="F38" t="n">
        <v>4</v>
      </c>
      <c r="H38" t="n">
        <v>0</v>
      </c>
      <c r="I38" t="n">
        <v>0</v>
      </c>
      <c r="J38" t="n">
        <v>0</v>
      </c>
      <c r="K38" t="n">
        <v>0</v>
      </c>
      <c r="L38" t="n">
        <v>0</v>
      </c>
      <c r="M38" t="n">
        <v>0</v>
      </c>
      <c r="N38" t="n">
        <v>0</v>
      </c>
    </row>
    <row r="39">
      <c r="A39" t="inlineStr">
        <is>
          <t>sale of labour services</t>
        </is>
      </c>
      <c r="B39" t="inlineStr">
        <is>
          <t>and for £9 11.5pence from 4,343 manual labour services sold, at 0.5pence a labour service.</t>
        </is>
      </c>
      <c r="C39" t="n">
        <v>9.050000000000001</v>
      </c>
      <c r="D39" t="n">
        <v>9</v>
      </c>
      <c r="E39" t="n">
        <v>0</v>
      </c>
      <c r="F39" t="n">
        <v>11.5</v>
      </c>
      <c r="H39" t="n">
        <v>0</v>
      </c>
      <c r="I39" t="n">
        <v>0</v>
      </c>
      <c r="J39" t="n">
        <v>0</v>
      </c>
      <c r="K39" t="n">
        <v>0</v>
      </c>
      <c r="L39" t="n">
        <v>0</v>
      </c>
      <c r="M39" t="n">
        <v>0</v>
      </c>
      <c r="N39" t="n">
        <v>0</v>
      </c>
    </row>
    <row r="40">
      <c r="A40" t="inlineStr">
        <is>
          <t>sale of labour services</t>
        </is>
      </c>
      <c r="B40" t="inlineStr">
        <is>
          <t>total, £9 11.5pence.</t>
        </is>
      </c>
      <c r="C40" t="n">
        <v>9.050000000000001</v>
      </c>
      <c r="D40" t="n">
        <v>9</v>
      </c>
      <c r="E40" t="n">
        <v>0</v>
      </c>
      <c r="F40" t="n">
        <v>11.5</v>
      </c>
      <c r="H40" t="n">
        <v>0</v>
      </c>
      <c r="I40" t="n">
        <v>0</v>
      </c>
      <c r="J40" t="n">
        <v>0</v>
      </c>
      <c r="K40" t="n">
        <v>0</v>
      </c>
      <c r="L40" t="n">
        <v>0</v>
      </c>
      <c r="M40" t="n">
        <v>0</v>
      </c>
      <c r="N40" t="n">
        <v>0</v>
      </c>
    </row>
    <row r="41">
      <c r="A41" t="inlineStr">
        <is>
          <t>entry and marriage fines</t>
        </is>
      </c>
      <c r="B41" t="inlineStr">
        <is>
          <t>and for 6 shilling 8pence from john nobes to have 1 messuage and 1 ferling of villein land, containing 10 acres, by surrender of stephen pedlynem.</t>
        </is>
      </c>
      <c r="C41" t="n">
        <v>0.33</v>
      </c>
      <c r="D41" t="n">
        <v>0</v>
      </c>
      <c r="E41" t="n">
        <v>6</v>
      </c>
      <c r="F41" t="n">
        <v>8</v>
      </c>
      <c r="H41" t="n">
        <v>0</v>
      </c>
      <c r="I41" t="n">
        <v>0</v>
      </c>
      <c r="J41" t="n">
        <v>0</v>
      </c>
      <c r="K41" t="n">
        <v>0</v>
      </c>
      <c r="L41" t="n">
        <v>0</v>
      </c>
      <c r="M41" t="n">
        <v>0</v>
      </c>
      <c r="N41" t="n">
        <v>0</v>
      </c>
    </row>
    <row r="42">
      <c r="A42" t="inlineStr">
        <is>
          <t>entry and marriage fines</t>
        </is>
      </c>
      <c r="B42" t="inlineStr">
        <is>
          <t>£4 from john thomas to have 1 messuage 1 virgate of villein land, containing 30 acres, at le wodehous in the tithing of rimpton by surrender of john newman.</t>
        </is>
      </c>
      <c r="C42" t="n">
        <v>4</v>
      </c>
      <c r="D42" t="n">
        <v>4</v>
      </c>
      <c r="E42" t="n">
        <v>0</v>
      </c>
      <c r="F42" t="n">
        <v>0</v>
      </c>
      <c r="H42" t="n">
        <v>0</v>
      </c>
      <c r="I42" t="n">
        <v>0</v>
      </c>
      <c r="J42" t="n">
        <v>0</v>
      </c>
      <c r="K42" t="n">
        <v>0</v>
      </c>
      <c r="L42" t="n">
        <v>0</v>
      </c>
      <c r="M42" t="n">
        <v>0</v>
      </c>
      <c r="N42" t="n">
        <v>0</v>
      </c>
    </row>
    <row r="43">
      <c r="A43" t="inlineStr">
        <is>
          <t>entry and marriage fines</t>
        </is>
      </c>
      <c r="B43" t="inlineStr">
        <is>
          <t>5 shilling from john stul to have the pasture called le grute in the tithing of rimpton, which william manyel held, for the term of his life.</t>
        </is>
      </c>
      <c r="C43" t="n">
        <v>0.25</v>
      </c>
      <c r="D43" t="n">
        <v>0</v>
      </c>
      <c r="E43" t="n">
        <v>5</v>
      </c>
      <c r="F43" t="n">
        <v>0</v>
      </c>
      <c r="H43" t="n">
        <v>0</v>
      </c>
      <c r="I43" t="n">
        <v>0</v>
      </c>
      <c r="J43" t="n">
        <v>0</v>
      </c>
      <c r="K43" t="n">
        <v>0</v>
      </c>
      <c r="L43" t="n">
        <v>0</v>
      </c>
      <c r="M43" t="n">
        <v>0</v>
      </c>
      <c r="N43" t="n">
        <v>0</v>
      </c>
    </row>
    <row r="44">
      <c r="A44" t="inlineStr">
        <is>
          <t>entry and marriage fines</t>
        </is>
      </c>
      <c r="B44" t="inlineStr">
        <is>
          <t>10 shilling from john roppele, alice his wife and william his son to have 1 cottage with a curtilage and 1 acre of overland in the tithing of rimpton by surrender of richard gyldeney.</t>
        </is>
      </c>
      <c r="C44" t="n">
        <v>0.5</v>
      </c>
      <c r="D44" t="n">
        <v>0</v>
      </c>
      <c r="E44" t="n">
        <v>10</v>
      </c>
      <c r="F44" t="n">
        <v>0</v>
      </c>
      <c r="H44" t="n">
        <v>0</v>
      </c>
      <c r="I44" t="n">
        <v>0</v>
      </c>
      <c r="J44" t="n">
        <v>0</v>
      </c>
      <c r="K44" t="n">
        <v>0</v>
      </c>
      <c r="L44" t="n">
        <v>0</v>
      </c>
      <c r="M44" t="n">
        <v>0</v>
      </c>
      <c r="N44" t="n">
        <v>0</v>
      </c>
    </row>
    <row r="45">
      <c r="A45" t="inlineStr">
        <is>
          <t>entry and marriage fines</t>
        </is>
      </c>
      <c r="B45" t="inlineStr">
        <is>
          <t>4 shilling from thomas peny for marrying alice his daughter outside.</t>
        </is>
      </c>
      <c r="C45" t="n">
        <v>0.2</v>
      </c>
      <c r="D45" t="n">
        <v>0</v>
      </c>
      <c r="E45" t="n">
        <v>4</v>
      </c>
      <c r="F45" t="n">
        <v>0</v>
      </c>
      <c r="H45" t="n">
        <v>0</v>
      </c>
      <c r="I45" t="n">
        <v>0</v>
      </c>
      <c r="J45" t="n">
        <v>0</v>
      </c>
      <c r="K45" t="n">
        <v>0</v>
      </c>
      <c r="L45" t="n">
        <v>0</v>
      </c>
      <c r="M45" t="n">
        <v>0</v>
      </c>
      <c r="N45" t="n">
        <v>0</v>
      </c>
    </row>
    <row r="46">
      <c r="A46" t="inlineStr">
        <is>
          <t>entry and marriage fines</t>
        </is>
      </c>
      <c r="B46" t="inlineStr">
        <is>
          <t>6 shilling from joan, who was wife of john spark, to retain 1 messuage 1 virgate of villein land, containing 32 acres, and 3 roods of overland which belonged to the aforesaid john her husband.</t>
        </is>
      </c>
      <c r="C46" t="n">
        <v>0.3</v>
      </c>
      <c r="D46" t="n">
        <v>0</v>
      </c>
      <c r="E46" t="n">
        <v>6</v>
      </c>
      <c r="F46" t="n">
        <v>0</v>
      </c>
      <c r="H46" t="n">
        <v>0</v>
      </c>
      <c r="I46" t="n">
        <v>0</v>
      </c>
      <c r="J46" t="n">
        <v>0</v>
      </c>
      <c r="K46" t="n">
        <v>0</v>
      </c>
      <c r="L46" t="n">
        <v>0</v>
      </c>
      <c r="M46" t="n">
        <v>0</v>
      </c>
      <c r="N46" t="n">
        <v>0</v>
      </c>
    </row>
    <row r="47">
      <c r="A47" t="inlineStr">
        <is>
          <t>entry and marriage fines</t>
        </is>
      </c>
      <c r="B47" t="inlineStr">
        <is>
          <t>£5 from william ryol to have joan spark with her land, that is, 1 messuage and 1 virgate of villein land, containing 32 acres, and 3 acres of overland.</t>
        </is>
      </c>
      <c r="C47" t="n">
        <v>5</v>
      </c>
      <c r="D47" t="n">
        <v>5</v>
      </c>
      <c r="E47" t="n">
        <v>0</v>
      </c>
      <c r="F47" t="n">
        <v>0</v>
      </c>
      <c r="H47" t="n">
        <v>0</v>
      </c>
      <c r="I47" t="n">
        <v>0</v>
      </c>
      <c r="J47" t="n">
        <v>0</v>
      </c>
      <c r="K47" t="n">
        <v>0</v>
      </c>
      <c r="L47" t="n">
        <v>0</v>
      </c>
      <c r="M47" t="n">
        <v>0</v>
      </c>
      <c r="N47" t="n">
        <v>0</v>
      </c>
    </row>
    <row r="48">
      <c r="A48" t="inlineStr">
        <is>
          <t>entry and marriage fines</t>
        </is>
      </c>
      <c r="B48" t="inlineStr">
        <is>
          <t>£2 13 shilling 4pence from thomas thomas to have 1 messuage 0.5 virgate of villein land, containing 15 acres, and 0.5 ferling of villein land, containing 5 acres of villein land, by surrender of isabel thomas.</t>
        </is>
      </c>
      <c r="C48" t="n">
        <v>2.67</v>
      </c>
      <c r="D48" t="n">
        <v>2</v>
      </c>
      <c r="E48" t="n">
        <v>13</v>
      </c>
      <c r="F48" t="n">
        <v>4</v>
      </c>
      <c r="H48" t="n">
        <v>0</v>
      </c>
      <c r="I48" t="n">
        <v>0</v>
      </c>
      <c r="J48" t="n">
        <v>0</v>
      </c>
      <c r="K48" t="n">
        <v>0</v>
      </c>
      <c r="L48" t="n">
        <v>0</v>
      </c>
      <c r="M48" t="n">
        <v>0</v>
      </c>
      <c r="N48" t="n">
        <v>0</v>
      </c>
    </row>
    <row r="49">
      <c r="A49" t="inlineStr">
        <is>
          <t>entry and marriage fines</t>
        </is>
      </c>
      <c r="B49" t="inlineStr">
        <is>
          <t>total, £13 15 shilling.</t>
        </is>
      </c>
      <c r="C49" t="n">
        <v>13.75</v>
      </c>
      <c r="D49" t="n">
        <v>13</v>
      </c>
      <c r="E49" t="n">
        <v>15</v>
      </c>
      <c r="F49" t="n">
        <v>0</v>
      </c>
      <c r="H49" t="n">
        <v>0</v>
      </c>
      <c r="I49" t="n">
        <v>0</v>
      </c>
      <c r="J49" t="n">
        <v>0</v>
      </c>
      <c r="K49" t="n">
        <v>0</v>
      </c>
      <c r="L49" t="n">
        <v>0</v>
      </c>
      <c r="M49" t="n">
        <v>0</v>
      </c>
      <c r="N49" t="n">
        <v>0</v>
      </c>
    </row>
    <row r="50">
      <c r="A50" t="inlineStr">
        <is>
          <t>perquisites of court</t>
        </is>
      </c>
      <c r="B50" t="inlineStr">
        <is>
          <t>and for 2 shilling 8pence from the perquisites of the tourn of martinmas (11 november).</t>
        </is>
      </c>
      <c r="C50" t="n">
        <v>0.13</v>
      </c>
      <c r="D50" t="n">
        <v>0</v>
      </c>
      <c r="E50" t="n">
        <v>2</v>
      </c>
      <c r="F50" t="n">
        <v>8</v>
      </c>
      <c r="H50" t="n">
        <v>0</v>
      </c>
      <c r="I50" t="n">
        <v>0</v>
      </c>
      <c r="J50" t="n">
        <v>0</v>
      </c>
      <c r="K50" t="n">
        <v>0</v>
      </c>
      <c r="L50" t="n">
        <v>0</v>
      </c>
      <c r="M50" t="n">
        <v>0</v>
      </c>
      <c r="N50" t="n">
        <v>0</v>
      </c>
    </row>
    <row r="51">
      <c r="A51" t="inlineStr">
        <is>
          <t>perquisites of court</t>
        </is>
      </c>
      <c r="B51" t="inlineStr">
        <is>
          <t>3pence from the perquisites of the court held after the said tourn and before the tourn of hockday.</t>
        </is>
      </c>
      <c r="C51" t="n">
        <v>0.01</v>
      </c>
      <c r="D51" t="n">
        <v>0</v>
      </c>
      <c r="E51" t="n">
        <v>0</v>
      </c>
      <c r="F51" t="n">
        <v>3</v>
      </c>
      <c r="H51" t="n">
        <v>0</v>
      </c>
      <c r="I51" t="n">
        <v>0</v>
      </c>
      <c r="J51" t="n">
        <v>0</v>
      </c>
      <c r="K51" t="n">
        <v>0</v>
      </c>
      <c r="L51" t="n">
        <v>0</v>
      </c>
      <c r="M51" t="n">
        <v>0</v>
      </c>
      <c r="N51" t="n">
        <v>0</v>
      </c>
    </row>
    <row r="52">
      <c r="A52" t="inlineStr">
        <is>
          <t>perquisites of court</t>
        </is>
      </c>
      <c r="B52" t="inlineStr">
        <is>
          <t>6pence from the perquisites of the tourn of hockday (1 april).</t>
        </is>
      </c>
      <c r="C52" t="n">
        <v>0.03</v>
      </c>
      <c r="D52" t="n">
        <v>0</v>
      </c>
      <c r="E52" t="n">
        <v>0</v>
      </c>
      <c r="F52" t="n">
        <v>6</v>
      </c>
      <c r="H52" t="n">
        <v>0</v>
      </c>
      <c r="I52" t="n">
        <v>0</v>
      </c>
      <c r="J52" t="n">
        <v>0</v>
      </c>
      <c r="K52" t="n">
        <v>0</v>
      </c>
      <c r="L52" t="n">
        <v>0</v>
      </c>
      <c r="M52" t="n">
        <v>0</v>
      </c>
      <c r="N52" t="n">
        <v>0</v>
      </c>
    </row>
    <row r="53">
      <c r="A53" t="inlineStr">
        <is>
          <t>perquisites of court</t>
        </is>
      </c>
      <c r="B53" t="inlineStr">
        <is>
          <t>1 shilling 6pence from the perquisites  of the court held after the said tourn.</t>
        </is>
      </c>
      <c r="C53" t="n">
        <v>0.08</v>
      </c>
      <c r="D53" t="n">
        <v>0</v>
      </c>
      <c r="E53" t="n">
        <v>1</v>
      </c>
      <c r="F53" t="n">
        <v>6</v>
      </c>
      <c r="H53" t="n">
        <v>0</v>
      </c>
      <c r="I53" t="n">
        <v>0</v>
      </c>
      <c r="J53" t="n">
        <v>0</v>
      </c>
      <c r="K53" t="n">
        <v>0</v>
      </c>
      <c r="L53" t="n">
        <v>0</v>
      </c>
      <c r="M53" t="n">
        <v>0</v>
      </c>
      <c r="N53" t="n">
        <v>0</v>
      </c>
    </row>
    <row r="54">
      <c r="A54" t="inlineStr">
        <is>
          <t>perquisites of court</t>
        </is>
      </c>
      <c r="B54" t="inlineStr">
        <is>
          <t>total, 4 shilling 11pence.</t>
        </is>
      </c>
      <c r="C54" t="n">
        <v>0.25</v>
      </c>
      <c r="D54" t="n">
        <v>0</v>
      </c>
      <c r="E54" t="n">
        <v>4</v>
      </c>
      <c r="F54" t="n">
        <v>11</v>
      </c>
      <c r="H54" t="n">
        <v>0</v>
      </c>
      <c r="I54" t="n">
        <v>0</v>
      </c>
      <c r="J54" t="n">
        <v>0</v>
      </c>
      <c r="K54" t="n">
        <v>0</v>
      </c>
      <c r="L54" t="n">
        <v>0</v>
      </c>
      <c r="M54" t="n">
        <v>0</v>
      </c>
      <c r="N54" t="n">
        <v>0</v>
      </c>
    </row>
    <row r="55">
      <c r="A55" t="inlineStr">
        <is>
          <t>total of all receipts with arrears</t>
        </is>
      </c>
      <c r="B55" t="inlineStr">
        <is>
          <t>total of all receipts with arrears, £55 4 shilling 7.5pence.</t>
        </is>
      </c>
      <c r="C55" t="n">
        <v>55.23</v>
      </c>
      <c r="D55" t="n">
        <v>55</v>
      </c>
      <c r="E55" t="n">
        <v>4</v>
      </c>
      <c r="F55" t="n">
        <v>7.5</v>
      </c>
      <c r="H55" t="n">
        <v>0</v>
      </c>
      <c r="I55" t="n">
        <v>0</v>
      </c>
      <c r="J55" t="n">
        <v>0</v>
      </c>
      <c r="K55" t="n">
        <v>0</v>
      </c>
      <c r="L55" t="n">
        <v>0</v>
      </c>
      <c r="M55" t="n">
        <v>0</v>
      </c>
      <c r="N55" t="n">
        <v>0</v>
      </c>
    </row>
    <row r="56">
      <c r="A56" t="inlineStr">
        <is>
          <t>customary payments</t>
        </is>
      </c>
      <c r="B56" t="inlineStr">
        <is>
          <t>in customary payment to the customary tenants for their food at christmas 4 shilling.</t>
        </is>
      </c>
      <c r="C56" t="n">
        <v>0.2</v>
      </c>
      <c r="D56" t="n">
        <v>0</v>
      </c>
      <c r="E56" t="n">
        <v>4</v>
      </c>
      <c r="F56" t="n">
        <v>0</v>
      </c>
      <c r="H56" t="n">
        <v>0</v>
      </c>
      <c r="I56" t="n">
        <v>0</v>
      </c>
      <c r="J56" t="n">
        <v>0</v>
      </c>
      <c r="K56" t="n">
        <v>0</v>
      </c>
      <c r="L56" t="n">
        <v>0</v>
      </c>
      <c r="M56" t="n">
        <v>0</v>
      </c>
      <c r="N56" t="n">
        <v>0</v>
      </c>
    </row>
    <row r="57">
      <c r="A57" t="inlineStr">
        <is>
          <t>customary payments</t>
        </is>
      </c>
      <c r="B57" t="inlineStr">
        <is>
          <t>total, 4 shilling.</t>
        </is>
      </c>
      <c r="C57" t="n">
        <v>0.2</v>
      </c>
      <c r="D57" t="n">
        <v>0</v>
      </c>
      <c r="E57" t="n">
        <v>4</v>
      </c>
      <c r="F57" t="n">
        <v>0</v>
      </c>
      <c r="H57" t="n">
        <v>0</v>
      </c>
      <c r="I57" t="n">
        <v>0</v>
      </c>
      <c r="J57" t="n">
        <v>0</v>
      </c>
      <c r="K57" t="n">
        <v>0</v>
      </c>
      <c r="L57" t="n">
        <v>0</v>
      </c>
      <c r="M57" t="n">
        <v>0</v>
      </c>
      <c r="N57" t="n">
        <v>0</v>
      </c>
    </row>
    <row r="58">
      <c r="A58" t="inlineStr">
        <is>
          <t>cost of the mill and necessaries</t>
        </is>
      </c>
      <c r="B58" t="inlineStr">
        <is>
          <t>in remaking 1 broken mill spindle with iron bought for the same 2 shilling.</t>
        </is>
      </c>
      <c r="C58" t="n">
        <v>0.1</v>
      </c>
      <c r="D58" t="n">
        <v>0</v>
      </c>
      <c r="E58" t="n">
        <v>2</v>
      </c>
      <c r="F58" t="n">
        <v>0</v>
      </c>
      <c r="H58" t="n">
        <v>0</v>
      </c>
      <c r="I58" t="n">
        <v>0</v>
      </c>
      <c r="J58" t="n">
        <v>0</v>
      </c>
      <c r="K58" t="n">
        <v>0</v>
      </c>
      <c r="L58" t="n">
        <v>0</v>
      </c>
      <c r="M58" t="n">
        <v>0</v>
      </c>
      <c r="N58" t="n">
        <v>0</v>
      </c>
    </row>
    <row r="59">
      <c r="A59" t="inlineStr">
        <is>
          <t>cost of the mill and necessaries</t>
        </is>
      </c>
      <c r="B59" t="inlineStr">
        <is>
          <t>1 iron band bought to hoop the trundle-wheel 10pence.</t>
        </is>
      </c>
      <c r="C59" t="n">
        <v>0.04</v>
      </c>
      <c r="D59" t="n">
        <v>0</v>
      </c>
      <c r="E59" t="n">
        <v>0</v>
      </c>
      <c r="F59" t="n">
        <v>10</v>
      </c>
      <c r="H59" t="n">
        <v>0</v>
      </c>
      <c r="I59" t="n">
        <v>0</v>
      </c>
      <c r="J59" t="n">
        <v>0</v>
      </c>
      <c r="K59" t="n">
        <v>0</v>
      </c>
      <c r="L59" t="n">
        <v>0</v>
      </c>
      <c r="M59" t="n">
        <v>0</v>
      </c>
      <c r="N59" t="n">
        <v>0</v>
      </c>
    </row>
    <row r="60">
      <c r="A60" t="inlineStr">
        <is>
          <t>cost of the mill and necessaries</t>
        </is>
      </c>
      <c r="B60" t="inlineStr">
        <is>
          <t>hiring 2 carpenters for 2.5 days to make anew the brace of the inner wheel and to mend and fit with a ground-sill the door of the mill-house 2 shilling 1pence, taking 5pence each a day.</t>
        </is>
      </c>
      <c r="C60" t="n">
        <v>0.1</v>
      </c>
      <c r="D60" t="n">
        <v>0</v>
      </c>
      <c r="E60" t="n">
        <v>2</v>
      </c>
      <c r="F60" t="n">
        <v>1</v>
      </c>
      <c r="H60" t="n">
        <v>0</v>
      </c>
      <c r="I60" t="n">
        <v>0</v>
      </c>
      <c r="J60" t="n">
        <v>0</v>
      </c>
      <c r="K60" t="n">
        <v>0</v>
      </c>
      <c r="L60" t="n">
        <v>0</v>
      </c>
      <c r="M60" t="n">
        <v>0</v>
      </c>
      <c r="N60" t="n">
        <v>0</v>
      </c>
    </row>
    <row r="61">
      <c r="A61" t="inlineStr">
        <is>
          <t>cost of the mill and necessaries</t>
        </is>
      </c>
      <c r="B61" t="inlineStr">
        <is>
          <t>parchment bought for the court roll 1pence.</t>
        </is>
      </c>
      <c r="C61" t="n">
        <v>0</v>
      </c>
      <c r="D61" t="n">
        <v>0</v>
      </c>
      <c r="E61" t="n">
        <v>0</v>
      </c>
      <c r="F61" t="n">
        <v>1</v>
      </c>
      <c r="H61" t="n">
        <v>0</v>
      </c>
      <c r="I61" t="n">
        <v>0</v>
      </c>
      <c r="J61" t="n">
        <v>0</v>
      </c>
      <c r="K61" t="n">
        <v>0</v>
      </c>
      <c r="L61" t="n">
        <v>0</v>
      </c>
      <c r="M61" t="n">
        <v>0</v>
      </c>
      <c r="N61" t="n">
        <v>0</v>
      </c>
    </row>
    <row r="62">
      <c r="A62" t="inlineStr">
        <is>
          <t>cost of the mill and necessaries</t>
        </is>
      </c>
      <c r="B62" t="inlineStr">
        <is>
          <t>total, 5 shilling.</t>
        </is>
      </c>
      <c r="C62" t="n">
        <v>0.25</v>
      </c>
      <c r="D62" t="n">
        <v>0</v>
      </c>
      <c r="E62" t="n">
        <v>5</v>
      </c>
      <c r="F62" t="n">
        <v>0</v>
      </c>
      <c r="H62" t="n">
        <v>0</v>
      </c>
      <c r="I62" t="n">
        <v>0</v>
      </c>
      <c r="J62" t="n">
        <v>0</v>
      </c>
      <c r="K62" t="n">
        <v>0</v>
      </c>
      <c r="L62" t="n">
        <v>0</v>
      </c>
      <c r="M62" t="n">
        <v>0</v>
      </c>
      <c r="N62" t="n">
        <v>0</v>
      </c>
    </row>
    <row r="63">
      <c r="A63" t="inlineStr">
        <is>
          <t>expenses of the steward</t>
        </is>
      </c>
      <c r="B63" t="inlineStr">
        <is>
          <t>in expenses of richard wyot', steward, holding the tourns of martinmas and hockday, by 2 sealed bills, 15s 1.5pence.</t>
        </is>
      </c>
      <c r="C63" t="n">
        <v>0.01</v>
      </c>
      <c r="D63" t="n">
        <v>0</v>
      </c>
      <c r="E63" t="n">
        <v>0</v>
      </c>
      <c r="F63" t="n">
        <v>1.5</v>
      </c>
      <c r="H63" t="n">
        <v>0</v>
      </c>
      <c r="I63" t="n">
        <v>0</v>
      </c>
      <c r="J63" t="n">
        <v>0</v>
      </c>
      <c r="K63" t="n">
        <v>0</v>
      </c>
      <c r="L63" t="n">
        <v>0</v>
      </c>
      <c r="M63" t="n">
        <v>0</v>
      </c>
      <c r="N63" t="n">
        <v>0</v>
      </c>
    </row>
    <row r="64">
      <c r="A64" t="inlineStr">
        <is>
          <t>expenses of the steward</t>
        </is>
      </c>
      <c r="B64" t="inlineStr">
        <is>
          <t>total, 15 shilling 1.5pence.</t>
        </is>
      </c>
      <c r="C64" t="n">
        <v>0.76</v>
      </c>
      <c r="D64" t="n">
        <v>0</v>
      </c>
      <c r="E64" t="n">
        <v>15</v>
      </c>
      <c r="F64" t="n">
        <v>1.5</v>
      </c>
      <c r="H64" t="n">
        <v>0</v>
      </c>
      <c r="I64" t="n">
        <v>0</v>
      </c>
      <c r="J64" t="n">
        <v>0</v>
      </c>
      <c r="K64" t="n">
        <v>0</v>
      </c>
      <c r="L64" t="n">
        <v>0</v>
      </c>
      <c r="M64" t="n">
        <v>0</v>
      </c>
      <c r="N64" t="n">
        <v>0</v>
      </c>
    </row>
    <row r="65">
      <c r="A65" t="inlineStr">
        <is>
          <t>total of all expenses</t>
        </is>
      </c>
      <c r="B65" t="inlineStr">
        <is>
          <t>total of all expenses, £1 4 shilling 1.5pence.</t>
        </is>
      </c>
      <c r="C65" t="n">
        <v>1.21</v>
      </c>
      <c r="D65" t="n">
        <v>1</v>
      </c>
      <c r="E65" t="n">
        <v>4</v>
      </c>
      <c r="F65" t="n">
        <v>1.5</v>
      </c>
      <c r="H65" t="n">
        <v>0</v>
      </c>
      <c r="I65" t="n">
        <v>0</v>
      </c>
      <c r="J65" t="n">
        <v>0</v>
      </c>
      <c r="K65" t="n">
        <v>0</v>
      </c>
      <c r="L65" t="n">
        <v>0</v>
      </c>
      <c r="M65" t="n">
        <v>0</v>
      </c>
      <c r="N65" t="n">
        <v>0</v>
      </c>
    </row>
    <row r="66">
      <c r="A66" t="inlineStr">
        <is>
          <t>and he owes</t>
        </is>
      </c>
      <c r="B66" t="inlineStr">
        <is>
          <t>and he owes, £54 6pence.</t>
        </is>
      </c>
      <c r="C66" t="n">
        <v>54.02</v>
      </c>
      <c r="D66" t="n">
        <v>54</v>
      </c>
      <c r="E66" t="n">
        <v>0</v>
      </c>
      <c r="F66" t="n">
        <v>6</v>
      </c>
      <c r="H66" t="n">
        <v>0</v>
      </c>
      <c r="I66" t="n">
        <v>0</v>
      </c>
      <c r="J66" t="n">
        <v>0</v>
      </c>
      <c r="K66" t="n">
        <v>0</v>
      </c>
      <c r="L66" t="n">
        <v>0</v>
      </c>
      <c r="M66" t="n">
        <v>0</v>
      </c>
      <c r="N66" t="n">
        <v>0</v>
      </c>
    </row>
    <row r="67">
      <c r="A67" t="inlineStr">
        <is>
          <t>cash deliveries</t>
        </is>
      </c>
      <c r="B67" t="inlineStr">
        <is>
          <t>delivered to john arnald', receiver of wolvesey, by .1 tally, £47 10 shilling.</t>
        </is>
      </c>
      <c r="C67" t="n">
        <v>47.5</v>
      </c>
      <c r="D67" t="n">
        <v>47</v>
      </c>
      <c r="E67" t="n">
        <v>10</v>
      </c>
      <c r="F67" t="n">
        <v>0</v>
      </c>
      <c r="H67" t="n">
        <v>0</v>
      </c>
      <c r="I67" t="n">
        <v>0</v>
      </c>
      <c r="J67" t="n">
        <v>0</v>
      </c>
      <c r="K67" t="n">
        <v>0</v>
      </c>
      <c r="L67" t="n">
        <v>0</v>
      </c>
      <c r="M67" t="n">
        <v>0</v>
      </c>
      <c r="N67" t="n">
        <v>0</v>
      </c>
    </row>
    <row r="68">
      <c r="A68" t="inlineStr">
        <is>
          <t>cash deliveries</t>
        </is>
      </c>
      <c r="B68" t="inlineStr">
        <is>
          <t>total of cash deliveries, £47 10 shilling.</t>
        </is>
      </c>
      <c r="C68" t="n">
        <v>47.5</v>
      </c>
      <c r="D68" t="n">
        <v>47</v>
      </c>
      <c r="E68" t="n">
        <v>10</v>
      </c>
      <c r="F68" t="n">
        <v>0</v>
      </c>
      <c r="H68" t="n">
        <v>0</v>
      </c>
      <c r="I68" t="n">
        <v>0</v>
      </c>
      <c r="J68" t="n">
        <v>0</v>
      </c>
      <c r="K68" t="n">
        <v>0</v>
      </c>
      <c r="L68" t="n">
        <v>0</v>
      </c>
      <c r="M68" t="n">
        <v>0</v>
      </c>
      <c r="N68" t="n">
        <v>0</v>
      </c>
    </row>
    <row r="69">
      <c r="A69" t="inlineStr">
        <is>
          <t>and he owes</t>
        </is>
      </c>
      <c r="B69" t="inlineStr">
        <is>
          <t>and he owes, £6 10 shilling 6pence, for which he is charged in the following year's account under the heading of arrears.</t>
        </is>
      </c>
      <c r="C69" t="n">
        <v>6.53</v>
      </c>
      <c r="D69" t="n">
        <v>6</v>
      </c>
      <c r="E69" t="n">
        <v>10</v>
      </c>
      <c r="F69" t="n">
        <v>6</v>
      </c>
      <c r="H69" t="n">
        <v>0</v>
      </c>
      <c r="I69" t="n">
        <v>0</v>
      </c>
      <c r="J69" t="n">
        <v>0</v>
      </c>
      <c r="K69" t="n">
        <v>0</v>
      </c>
      <c r="L69" t="n">
        <v>0</v>
      </c>
      <c r="M69" t="n">
        <v>0</v>
      </c>
      <c r="N69" t="n">
        <v>0</v>
      </c>
    </row>
    <row r="70">
      <c r="A70" t="inlineStr">
        <is>
          <t>wheat</t>
        </is>
      </c>
      <c r="B70" t="inlineStr">
        <is>
          <t>the same john answers for 10 quarters of wheat remaining..</t>
        </is>
      </c>
      <c r="C70" t="n">
        <v>0</v>
      </c>
      <c r="D70" t="n">
        <v>0</v>
      </c>
      <c r="E70" t="n">
        <v>0</v>
      </c>
      <c r="F70" t="n">
        <v>0</v>
      </c>
      <c r="G70" t="inlineStr">
        <is>
          <t>wheat</t>
        </is>
      </c>
      <c r="H70" t="n">
        <v>10</v>
      </c>
      <c r="I70" t="n">
        <v>0</v>
      </c>
      <c r="J70" t="n">
        <v>10</v>
      </c>
      <c r="K70" t="n">
        <v>10</v>
      </c>
      <c r="L70" t="n">
        <v>0</v>
      </c>
      <c r="M70" t="n">
        <v>10</v>
      </c>
      <c r="N70" t="n">
        <v>0</v>
      </c>
    </row>
    <row r="71">
      <c r="A71" t="inlineStr">
        <is>
          <t>wheat</t>
        </is>
      </c>
      <c r="B71" t="inlineStr">
        <is>
          <t>total, 102 quarters..</t>
        </is>
      </c>
      <c r="C71" t="n">
        <v>0</v>
      </c>
      <c r="D71" t="n">
        <v>0</v>
      </c>
      <c r="E71" t="n">
        <v>0</v>
      </c>
      <c r="F71" t="n">
        <v>0</v>
      </c>
      <c r="H71" t="n">
        <v>102</v>
      </c>
      <c r="I71" t="n">
        <v>0</v>
      </c>
      <c r="J71" t="n">
        <v>102</v>
      </c>
      <c r="K71" t="n">
        <v>102</v>
      </c>
      <c r="L71" t="n">
        <v>0</v>
      </c>
      <c r="M71" t="n">
        <v>102</v>
      </c>
      <c r="N71" t="n">
        <v>0</v>
      </c>
    </row>
    <row r="72">
      <c r="A72" t="inlineStr">
        <is>
          <t>wheat</t>
        </is>
      </c>
      <c r="B72" t="inlineStr">
        <is>
          <t>10 quarters remain in the hands of john burch' and john roppeligh', farmers, to be restored to the lord at the end of the 12 years, this year being the fifth.</t>
        </is>
      </c>
      <c r="C72" t="n">
        <v>0</v>
      </c>
      <c r="D72" t="n">
        <v>0</v>
      </c>
      <c r="E72" t="n">
        <v>0</v>
      </c>
      <c r="F72" t="n">
        <v>0</v>
      </c>
      <c r="H72" t="n">
        <v>10</v>
      </c>
      <c r="I72" t="n">
        <v>0</v>
      </c>
      <c r="J72" t="n">
        <v>10</v>
      </c>
      <c r="K72" t="n">
        <v>10</v>
      </c>
      <c r="L72" t="n">
        <v>0</v>
      </c>
      <c r="M72" t="n">
        <v>10</v>
      </c>
      <c r="N72" t="n">
        <v>0</v>
      </c>
    </row>
    <row r="73">
      <c r="A73" t="inlineStr">
        <is>
          <t>oats</t>
        </is>
      </c>
      <c r="B73" t="inlineStr">
        <is>
          <t>and for 16 quarters of oats remaining..</t>
        </is>
      </c>
      <c r="C73" t="n">
        <v>0</v>
      </c>
      <c r="D73" t="n">
        <v>0</v>
      </c>
      <c r="E73" t="n">
        <v>0</v>
      </c>
      <c r="F73" t="n">
        <v>0</v>
      </c>
      <c r="G73" t="inlineStr">
        <is>
          <t>oats</t>
        </is>
      </c>
      <c r="H73" t="n">
        <v>16</v>
      </c>
      <c r="I73" t="n">
        <v>0</v>
      </c>
      <c r="J73" t="n">
        <v>16</v>
      </c>
      <c r="K73" t="n">
        <v>16</v>
      </c>
      <c r="L73" t="n">
        <v>0</v>
      </c>
      <c r="M73" t="n">
        <v>16</v>
      </c>
      <c r="N73" t="n">
        <v>0</v>
      </c>
    </row>
    <row r="74">
      <c r="A74" t="inlineStr">
        <is>
          <t>oats</t>
        </is>
      </c>
      <c r="B74" t="inlineStr">
        <is>
          <t>total, 16 quarters..</t>
        </is>
      </c>
      <c r="C74" t="n">
        <v>0</v>
      </c>
      <c r="D74" t="n">
        <v>0</v>
      </c>
      <c r="E74" t="n">
        <v>0</v>
      </c>
      <c r="F74" t="n">
        <v>0</v>
      </c>
      <c r="H74" t="n">
        <v>16</v>
      </c>
      <c r="I74" t="n">
        <v>0</v>
      </c>
      <c r="J74" t="n">
        <v>16</v>
      </c>
      <c r="K74" t="n">
        <v>16</v>
      </c>
      <c r="L74" t="n">
        <v>0</v>
      </c>
      <c r="M74" t="n">
        <v>16</v>
      </c>
      <c r="N74" t="n">
        <v>0</v>
      </c>
    </row>
    <row r="75">
      <c r="A75" t="inlineStr">
        <is>
          <t>oats</t>
        </is>
      </c>
      <c r="B75" t="inlineStr">
        <is>
          <t>16 quarters remain in the hands of farmers, to be restored to the lord at the end of their farm as before..</t>
        </is>
      </c>
      <c r="C75" t="n">
        <v>0</v>
      </c>
      <c r="D75" t="n">
        <v>0</v>
      </c>
      <c r="E75" t="n">
        <v>0</v>
      </c>
      <c r="F75" t="n">
        <v>0</v>
      </c>
      <c r="H75" t="n">
        <v>16</v>
      </c>
      <c r="I75" t="n">
        <v>0</v>
      </c>
      <c r="J75" t="n">
        <v>16</v>
      </c>
      <c r="K75" t="n">
        <v>16</v>
      </c>
      <c r="L75" t="n">
        <v>0</v>
      </c>
      <c r="M75" t="n">
        <v>16</v>
      </c>
      <c r="N75" t="n">
        <v>0</v>
      </c>
    </row>
    <row r="76">
      <c r="A76" t="inlineStr">
        <is>
          <t>stock</t>
        </is>
      </c>
      <c r="B76" t="inlineStr">
        <is>
          <t>oxen: and for 16 oxen remaining.</t>
        </is>
      </c>
      <c r="C76" t="n">
        <v>0</v>
      </c>
      <c r="D76" t="n">
        <v>0</v>
      </c>
      <c r="E76" t="n">
        <v>0</v>
      </c>
      <c r="F76" t="n">
        <v>0</v>
      </c>
      <c r="H76" t="n">
        <v>0</v>
      </c>
      <c r="I76" t="n">
        <v>0</v>
      </c>
      <c r="J76" t="n">
        <v>0</v>
      </c>
      <c r="K76" t="n">
        <v>0</v>
      </c>
      <c r="L76" t="n">
        <v>0</v>
      </c>
      <c r="M76" t="n">
        <v>0</v>
      </c>
      <c r="N76" t="n">
        <v>0</v>
      </c>
    </row>
    <row r="77">
      <c r="A77" t="inlineStr">
        <is>
          <t>stock</t>
        </is>
      </c>
      <c r="B77" t="inlineStr">
        <is>
          <t>total, 16. 16 remain in the hands of the said farmers, worth 13 shilling 4pence each, to be restored to the lord, or their value, at the choice of the lord or his attorney, at the end of the 12 years, this year being the fifth.</t>
        </is>
      </c>
      <c r="C77" t="n">
        <v>0.67</v>
      </c>
      <c r="D77" t="n">
        <v>0</v>
      </c>
      <c r="E77" t="n">
        <v>13</v>
      </c>
      <c r="F77" t="n">
        <v>4</v>
      </c>
      <c r="H77" t="n">
        <v>0</v>
      </c>
      <c r="I77" t="n">
        <v>0</v>
      </c>
      <c r="J77" t="n">
        <v>0</v>
      </c>
      <c r="K77" t="n">
        <v>0</v>
      </c>
      <c r="L77" t="n">
        <v>0</v>
      </c>
      <c r="M77" t="n">
        <v>0</v>
      </c>
      <c r="N77" t="n">
        <v>0</v>
      </c>
    </row>
    <row r="78">
      <c r="A78" t="inlineStr">
        <is>
          <t>stock</t>
        </is>
      </c>
      <c r="B78" t="inlineStr">
        <is>
          <t>labour services: nothing of manual labour services because they are in the cash account within, as made  clear under the heading, sale of labour services.</t>
        </is>
      </c>
      <c r="C78" t="n">
        <v>0</v>
      </c>
      <c r="D78" t="n">
        <v>0</v>
      </c>
      <c r="E78" t="n">
        <v>0</v>
      </c>
      <c r="F78" t="n">
        <v>0</v>
      </c>
      <c r="H78" t="n">
        <v>0</v>
      </c>
      <c r="I78" t="n">
        <v>0</v>
      </c>
      <c r="J78" t="n">
        <v>0</v>
      </c>
      <c r="K78" t="n">
        <v>0</v>
      </c>
      <c r="L78" t="n">
        <v>0</v>
      </c>
      <c r="M78" t="n">
        <v>0</v>
      </c>
      <c r="N78" t="n">
        <v>0</v>
      </c>
    </row>
    <row r="79">
      <c r="A79" t="inlineStr">
        <is>
          <t>stock</t>
        </is>
      </c>
      <c r="B79" t="inlineStr">
        <is>
          <t>hay: and for 6 haycocks remaining in the hands of the said farmers, to be restored at the end of their farm as before.</t>
        </is>
      </c>
      <c r="C79" t="n">
        <v>0</v>
      </c>
      <c r="D79" t="n">
        <v>0</v>
      </c>
      <c r="E79" t="n">
        <v>0</v>
      </c>
      <c r="F79" t="n">
        <v>0</v>
      </c>
      <c r="H79" t="n">
        <v>0</v>
      </c>
      <c r="I79" t="n">
        <v>0</v>
      </c>
      <c r="J79" t="n">
        <v>0</v>
      </c>
      <c r="K79" t="n">
        <v>0</v>
      </c>
      <c r="L79" t="n">
        <v>0</v>
      </c>
      <c r="M79" t="n">
        <v>0</v>
      </c>
      <c r="N7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Oxen: And for 16 oxen remaining.</t>
        </is>
      </c>
      <c r="C3" t="n">
        <v>0</v>
      </c>
      <c r="D3" t="n">
        <v>0</v>
      </c>
      <c r="E3" t="inlineStr">
        <is>
          <t>Oxen</t>
        </is>
      </c>
    </row>
    <row r="4">
      <c r="A4" t="inlineStr">
        <is>
          <t>Stock</t>
        </is>
      </c>
      <c r="B4" t="inlineStr">
        <is>
          <t>Total, 16. 16 remain in the hands of the said farmers, worth 13 shilling 4pence each, to be restored to the lord, or their value, at the choice of the lord or his attorney, at the end of the 12 years, this year being the fifth.</t>
        </is>
      </c>
      <c r="C4" t="n">
        <v>0</v>
      </c>
      <c r="D4" t="n">
        <v>0</v>
      </c>
      <c r="E4" t="inlineStr">
        <is>
          <t>Oxen</t>
        </is>
      </c>
      <c r="F4" t="inlineStr">
        <is>
          <t>16</t>
        </is>
      </c>
    </row>
    <row r="5">
      <c r="A5" t="inlineStr">
        <is>
          <t>Stock</t>
        </is>
      </c>
      <c r="B5" t="inlineStr">
        <is>
          <t>Labour services: Nothing of manual labour services because they are in the cash account within, as made  clear under the heading, sale of labour services.</t>
        </is>
      </c>
      <c r="C5" t="n">
        <v>0</v>
      </c>
      <c r="D5" t="n">
        <v>0</v>
      </c>
      <c r="E5" t="inlineStr">
        <is>
          <t>Oxen</t>
        </is>
      </c>
    </row>
    <row r="6">
      <c r="A6" t="inlineStr">
        <is>
          <t>Stock</t>
        </is>
      </c>
      <c r="B6" t="inlineStr">
        <is>
          <t>Hay: And for 6 haycocks remaining in the hands of the said farmers, to be restored at the end of their farm as before.</t>
        </is>
      </c>
      <c r="C6" t="n">
        <v>0</v>
      </c>
      <c r="D6" t="n">
        <v>0</v>
      </c>
      <c r="E6" t="inlineStr">
        <is>
          <t>Oxen</t>
        </is>
      </c>
    </row>
    <row r="7">
      <c r="A7" t="inlineStr">
        <is>
          <t>Stock</t>
        </is>
      </c>
      <c r="B7" t="inlineStr">
        <is>
          <t>Total</t>
        </is>
      </c>
      <c r="C7" t="n">
        <v>0</v>
      </c>
      <c r="D7" t="n">
        <v>0</v>
      </c>
      <c r="E7" t="inlineStr">
        <is>
          <t>Oxen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9"/>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E2" t="n">
        <v>0</v>
      </c>
    </row>
    <row r="3">
      <c r="A3" t="inlineStr">
        <is>
          <t>wheat</t>
        </is>
      </c>
      <c r="B3" t="inlineStr">
        <is>
          <t>the same john answers for 10 quarters of wheat remaining..</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10</v>
      </c>
      <c r="Y3" t="n">
        <v>0</v>
      </c>
      <c r="Z3" t="n">
        <v>10</v>
      </c>
      <c r="AA3" t="n">
        <v>10</v>
      </c>
      <c r="AB3" t="n">
        <v>0</v>
      </c>
      <c r="AC3" t="n">
        <v>10</v>
      </c>
      <c r="AD3" t="n">
        <v>0</v>
      </c>
      <c r="AE3" t="n">
        <v>0</v>
      </c>
    </row>
    <row r="4">
      <c r="A4" t="inlineStr">
        <is>
          <t>wheat</t>
        </is>
      </c>
      <c r="B4" t="inlineStr">
        <is>
          <t>total, 102 quarters..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102</v>
      </c>
      <c r="Y4" t="n">
        <v>0</v>
      </c>
      <c r="Z4" t="n">
        <v>102</v>
      </c>
      <c r="AA4" t="n">
        <v>102</v>
      </c>
      <c r="AB4" t="n">
        <v>0</v>
      </c>
      <c r="AC4" t="n">
        <v>102</v>
      </c>
      <c r="AD4" t="n">
        <v>0</v>
      </c>
      <c r="AE4" t="n">
        <v>0</v>
      </c>
    </row>
    <row r="5">
      <c r="A5" t="inlineStr">
        <is>
          <t>wheat</t>
        </is>
      </c>
      <c r="B5" t="inlineStr">
        <is>
          <t>10 quarters remain in the hands of john burch' and john roppeligh', farmers, to be restored to the lord at the end of the 12 years, this year being the fifth.</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10</v>
      </c>
      <c r="Y5" t="n">
        <v>0</v>
      </c>
      <c r="Z5" t="n">
        <v>10</v>
      </c>
      <c r="AA5" t="n">
        <v>10</v>
      </c>
      <c r="AB5" t="n">
        <v>0</v>
      </c>
      <c r="AC5" t="n">
        <v>10</v>
      </c>
      <c r="AD5" t="n">
        <v>0</v>
      </c>
      <c r="AE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AE6" t="n">
        <v>0</v>
      </c>
    </row>
    <row r="7">
      <c r="A7" t="inlineStr">
        <is>
          <t>oats</t>
        </is>
      </c>
      <c r="B7" t="inlineStr">
        <is>
          <t>and for 16 quarters of oats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16</v>
      </c>
      <c r="Y7" t="n">
        <v>0</v>
      </c>
      <c r="Z7" t="n">
        <v>16</v>
      </c>
      <c r="AA7" t="n">
        <v>16</v>
      </c>
      <c r="AB7" t="n">
        <v>0</v>
      </c>
      <c r="AC7" t="n">
        <v>16</v>
      </c>
      <c r="AD7" t="n">
        <v>0</v>
      </c>
      <c r="AE7" t="n">
        <v>0</v>
      </c>
    </row>
    <row r="8">
      <c r="A8" t="inlineStr">
        <is>
          <t>oats</t>
        </is>
      </c>
      <c r="B8" t="inlineStr">
        <is>
          <t>total, 16 quarters..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16</v>
      </c>
      <c r="Y8" t="n">
        <v>0</v>
      </c>
      <c r="Z8" t="n">
        <v>16</v>
      </c>
      <c r="AA8" t="n">
        <v>16</v>
      </c>
      <c r="AB8" t="n">
        <v>0</v>
      </c>
      <c r="AC8" t="n">
        <v>16</v>
      </c>
      <c r="AD8" t="n">
        <v>0</v>
      </c>
      <c r="AE8" t="n">
        <v>0</v>
      </c>
    </row>
    <row r="9">
      <c r="A9" t="inlineStr">
        <is>
          <t>oats</t>
        </is>
      </c>
      <c r="B9" t="inlineStr">
        <is>
          <t>16 quarters remain in the hands of farmers, to be restored to the lord at the end of their farm as before..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16</v>
      </c>
      <c r="Y9" t="n">
        <v>0</v>
      </c>
      <c r="Z9" t="n">
        <v>16</v>
      </c>
      <c r="AA9" t="n">
        <v>16</v>
      </c>
      <c r="AB9" t="n">
        <v>0</v>
      </c>
      <c r="AC9" t="n">
        <v>16</v>
      </c>
      <c r="AD9" t="n">
        <v>0</v>
      </c>
      <c r="AE9"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oats</t>
        </is>
      </c>
      <c r="B4" t="n">
        <v>0</v>
      </c>
      <c r="C4" t="n">
        <v>0</v>
      </c>
      <c r="D4" t="n">
        <v>0</v>
      </c>
      <c r="E4" t="n">
        <v>0</v>
      </c>
      <c r="F4" t="n">
        <v>0</v>
      </c>
      <c r="G4" t="n">
        <v>0</v>
      </c>
      <c r="H4" t="n">
        <v>0</v>
      </c>
      <c r="I4" t="n">
        <v>0</v>
      </c>
      <c r="J4" t="n">
        <v>0</v>
      </c>
      <c r="K4" t="n">
        <v>0</v>
      </c>
      <c r="L4" t="n">
        <v>0</v>
      </c>
      <c r="M4" t="n">
        <v>0</v>
      </c>
    </row>
    <row r="5">
      <c r="A5" t="inlineStr">
        <is>
          <t>Mancorn</t>
        </is>
      </c>
      <c r="B5" t="n">
        <v>0</v>
      </c>
      <c r="C5" t="n">
        <v>0</v>
      </c>
      <c r="D5" t="n">
        <v>0</v>
      </c>
      <c r="E5" t="n">
        <v>0</v>
      </c>
      <c r="F5" t="n">
        <v>0</v>
      </c>
      <c r="G5" t="n">
        <v>0</v>
      </c>
      <c r="H5" t="n">
        <v>0</v>
      </c>
      <c r="I5" t="n">
        <v>0</v>
      </c>
      <c r="J5" t="n">
        <v>0</v>
      </c>
      <c r="K5" t="n">
        <v>0</v>
      </c>
      <c r="L5" t="n">
        <v>0</v>
      </c>
      <c r="M5" t="n">
        <v>0</v>
      </c>
    </row>
    <row r="6">
      <c r="A6" t="inlineStr">
        <is>
          <t>Maslin</t>
        </is>
      </c>
      <c r="B6" t="n">
        <v>0</v>
      </c>
      <c r="C6" t="n">
        <v>0</v>
      </c>
      <c r="D6" t="n">
        <v>0</v>
      </c>
      <c r="E6" t="n">
        <v>0</v>
      </c>
      <c r="F6" t="n">
        <v>0</v>
      </c>
      <c r="G6" t="n">
        <v>0</v>
      </c>
      <c r="H6" t="n">
        <v>0</v>
      </c>
      <c r="I6" t="n">
        <v>0</v>
      </c>
      <c r="J6" t="n">
        <v>0</v>
      </c>
      <c r="K6" t="n">
        <v>0</v>
      </c>
      <c r="L6" t="n">
        <v>0</v>
      </c>
      <c r="M6" t="n">
        <v>0</v>
      </c>
    </row>
    <row r="7">
      <c r="A7" t="inlineStr">
        <is>
          <t>Barley</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 a quarter 1</t>
        </is>
      </c>
      <c r="X1" t="inlineStr">
        <is>
          <t>£ a quarter 2</t>
        </is>
      </c>
      <c r="Y1" t="inlineStr">
        <is>
          <t>£ a quarter 3</t>
        </is>
      </c>
      <c r="Z1" t="inlineStr">
        <is>
          <t>£ a quarter 4</t>
        </is>
      </c>
      <c r="AA1" t="inlineStr">
        <is>
          <t>Quarters Sold</t>
        </is>
      </c>
      <c r="AB1" t="inlineStr">
        <is>
          <t>Weighted Average Price per Quarter</t>
        </is>
      </c>
      <c r="AC1" t="inlineStr">
        <is>
          <t>Non-Weighted Average Price per Quarter</t>
        </is>
      </c>
      <c r="AD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2026-02-04T20:29:37Z</dcterms:modified>
  <cp:lastModifiedBy>Kowalski, Kuba</cp:lastModifiedBy>
</cp:coreProperties>
</file>
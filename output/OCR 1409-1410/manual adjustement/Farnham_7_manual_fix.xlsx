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FARNHAM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135.71</v>
      </c>
    </row>
    <row r="6">
      <c r="A6" s="15" t="inlineStr">
        <is>
          <t>Quittances total</t>
        </is>
      </c>
      <c r="B6" s="76" t="n"/>
    </row>
    <row r="7">
      <c r="A7" s="15" t="inlineStr">
        <is>
          <t>Defaults of rent total</t>
        </is>
      </c>
      <c r="B7" s="76" t="n">
        <v>15.62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18.44</v>
      </c>
    </row>
    <row r="12">
      <c r="A12" s="76" t="inlineStr">
        <is>
          <t>Total of rents remaining clear total</t>
        </is>
      </c>
      <c r="B12" s="76" t="n">
        <v>117.26</v>
      </c>
    </row>
    <row r="13">
      <c r="A13" s="76" t="inlineStr">
        <is>
          <t>Farms total</t>
        </is>
      </c>
      <c r="B13" s="76" t="n"/>
    </row>
    <row r="14">
      <c r="A14" s="15" t="inlineStr">
        <is>
          <t>Annual recognizances total</t>
        </is>
      </c>
      <c r="B14" s="76" t="n">
        <v>0.1</v>
      </c>
    </row>
    <row r="15">
      <c r="A15" s="15" t="inlineStr">
        <is>
          <t>Issues of the Manor total</t>
        </is>
      </c>
      <c r="B15" s="76" t="n">
        <v>20.99</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7.93</v>
      </c>
    </row>
    <row r="20">
      <c r="A20" s="15" t="inlineStr">
        <is>
          <t>Pleas &amp; perquisites total</t>
        </is>
      </c>
      <c r="B20" s="76" t="n">
        <v>4.78</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'Receipts'!F129</f>
        <v/>
      </c>
      <c r="C25" s="10">
        <f>B23-B25</f>
        <v/>
      </c>
    </row>
    <row r="26">
      <c r="A26" s="83" t="inlineStr">
        <is>
          <t>Total recorded in the accounts incl. arrears</t>
        </is>
      </c>
      <c r="B26">
        <f>'Receipts'!F130</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2.48</v>
      </c>
    </row>
    <row r="43">
      <c r="A43" s="85" t="inlineStr">
        <is>
          <t>Annual fees</t>
        </is>
      </c>
      <c r="B43" s="86" t="n"/>
      <c r="C43" s="87" t="n"/>
      <c r="D43" s="88" t="n"/>
    </row>
    <row r="44">
      <c r="A44" s="82" t="inlineStr">
        <is>
          <t>Total of all expenses per account</t>
        </is>
      </c>
      <c r="B44" s="84">
        <f>'Expenses'!F31</f>
        <v/>
      </c>
    </row>
    <row r="45">
      <c r="A45" s="82" t="inlineStr">
        <is>
          <t>Total of all expenses (calculated here)</t>
        </is>
      </c>
      <c r="B45" s="84">
        <f>'Expenses'!F32</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0.78</v>
      </c>
    </row>
    <row r="51">
      <c r="A51" s="15" t="n"/>
    </row>
    <row r="52">
      <c r="A52" s="18" t="inlineStr">
        <is>
          <t>Allowances</t>
        </is>
      </c>
      <c r="B52" s="84" t="n"/>
    </row>
    <row r="53">
      <c r="A53" s="18" t="inlineStr">
        <is>
          <t>Cash deliveries</t>
        </is>
      </c>
      <c r="B53" s="84" t="n">
        <v>62.52</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14</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200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4</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3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FARNHAM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1</v>
      </c>
      <c r="C3" s="128" t="n">
        <v>0</v>
      </c>
      <c r="D3" s="128" t="n">
        <v>3.75</v>
      </c>
      <c r="E3" s="128" t="n"/>
      <c r="F3" s="128" t="n">
        <v>1.02</v>
      </c>
      <c r="G3" s="128" t="n"/>
      <c r="H3" s="128" t="inlineStr">
        <is>
          <t>And for £1 3.75pence for all rents of assize at Christmas.</t>
        </is>
      </c>
      <c r="I3" s="128" t="n"/>
    </row>
    <row r="4">
      <c r="A4" s="137" t="inlineStr">
        <is>
          <t>Rents of assize</t>
        </is>
      </c>
      <c r="B4" s="128" t="n">
        <v>65</v>
      </c>
      <c r="C4" s="128" t="n">
        <v>0</v>
      </c>
      <c r="D4" s="128" t="n">
        <v>1</v>
      </c>
      <c r="E4" s="128" t="n"/>
      <c r="F4" s="128" t="n">
        <v>65</v>
      </c>
      <c r="G4" s="128" t="n"/>
      <c r="H4" s="128" t="inlineStr">
        <is>
          <t>£65 1pence at Easter (23 March).</t>
        </is>
      </c>
      <c r="I4" s="128" t="n"/>
    </row>
    <row r="5">
      <c r="A5" s="137" t="inlineStr">
        <is>
          <t>Rents of assize</t>
        </is>
      </c>
      <c r="B5" s="128" t="n">
        <v>1</v>
      </c>
      <c r="C5" s="128" t="n">
        <v>0</v>
      </c>
      <c r="D5" s="128" t="n">
        <v>3.25</v>
      </c>
      <c r="E5" s="128" t="n"/>
      <c r="F5" s="128" t="n">
        <v>1.01</v>
      </c>
      <c r="G5" s="128" t="n"/>
      <c r="H5" s="128" t="inlineStr">
        <is>
          <t>£1 3.25pence at Nativity of St.</t>
        </is>
      </c>
      <c r="I5" s="128" t="n"/>
    </row>
    <row r="6">
      <c r="A6" s="137" t="inlineStr">
        <is>
          <t>Rents of assize</t>
        </is>
      </c>
      <c r="B6" s="128" t="n">
        <v>0</v>
      </c>
      <c r="C6" s="128" t="n">
        <v>0</v>
      </c>
      <c r="D6" s="128" t="n">
        <v>0</v>
      </c>
      <c r="E6" s="128" t="n"/>
      <c r="F6" s="128" t="n">
        <v>0</v>
      </c>
      <c r="G6" s="128" t="n"/>
      <c r="H6" s="128" t="inlineStr">
        <is>
          <t>John the Baptist (24 June).</t>
        </is>
      </c>
      <c r="I6" s="128" t="n"/>
    </row>
    <row r="7">
      <c r="A7" s="137" t="inlineStr">
        <is>
          <t>Rents of assize</t>
        </is>
      </c>
      <c r="B7" s="128" t="n">
        <v>68</v>
      </c>
      <c r="C7" s="128" t="n">
        <v>13</v>
      </c>
      <c r="D7" s="128" t="n">
        <v>6</v>
      </c>
      <c r="E7" s="128" t="n"/>
      <c r="F7" s="128" t="n">
        <v>68.68000000000001</v>
      </c>
      <c r="G7" s="128" t="n"/>
      <c r="H7" s="128" t="inlineStr">
        <is>
          <t>£68 13 shilling 6pence at Michaelmas (29 September).</t>
        </is>
      </c>
      <c r="I7" s="128" t="n"/>
    </row>
    <row r="8">
      <c r="A8" s="137" t="inlineStr">
        <is>
          <t>Rents of assize</t>
        </is>
      </c>
      <c r="B8" s="128" t="n">
        <v>135</v>
      </c>
      <c r="C8" s="128" t="n">
        <v>14</v>
      </c>
      <c r="D8" s="128" t="n">
        <v>1.5</v>
      </c>
      <c r="E8" s="128" t="n"/>
      <c r="F8" s="128" t="n">
        <v>135.71</v>
      </c>
      <c r="G8" s="128" t="n"/>
      <c r="H8" s="128" t="inlineStr">
        <is>
          <t>Total £135 14 shilling 1.5pence.</t>
        </is>
      </c>
      <c r="I8" s="128" t="n"/>
    </row>
    <row r="9">
      <c r="A9" s="138" t="inlineStr">
        <is>
          <t>Rents of assize total</t>
        </is>
      </c>
      <c r="B9" s="139" t="n"/>
      <c r="C9" s="139" t="n"/>
      <c r="D9" s="139" t="n"/>
      <c r="E9" s="139" t="n"/>
      <c r="F9" s="139" t="n">
        <v>135.71</v>
      </c>
      <c r="G9" s="139" t="n">
        <v>0</v>
      </c>
      <c r="H9" s="139" t="inlineStr">
        <is>
          <t>Total</t>
        </is>
      </c>
      <c r="I9" s="139" t="n"/>
    </row>
    <row r="10">
      <c r="A10" s="137" t="n"/>
      <c r="B10" s="128" t="n"/>
      <c r="C10" s="128" t="n"/>
      <c r="D10" s="128" t="n"/>
      <c r="E10" s="128" t="n"/>
      <c r="F10" s="128" t="n"/>
      <c r="G10" s="128" t="n"/>
      <c r="H10" s="128" t="n"/>
      <c r="I10" s="128" t="n"/>
    </row>
    <row r="11">
      <c r="A11" s="136" t="inlineStr">
        <is>
          <t>Defaults of rent</t>
        </is>
      </c>
      <c r="B11" s="128" t="n">
        <v>6</v>
      </c>
      <c r="C11" s="128" t="n">
        <v>5</v>
      </c>
      <c r="D11" s="128" t="n">
        <v>10</v>
      </c>
      <c r="E11" s="128" t="n"/>
      <c r="F11" s="128" t="n">
        <v>6.29</v>
      </c>
      <c r="G11" s="128" t="n"/>
      <c r="H11" s="128" t="inlineStr">
        <is>
          <t>In default of the land formerly of Thomas Beel which was taken into the lord’s hands to be leased (assidet) for rent and was afterwards restored without the rent of £6 5 shilling 10pence.</t>
        </is>
      </c>
      <c r="I11" s="128" t="n"/>
    </row>
    <row r="12">
      <c r="A12" s="137" t="inlineStr">
        <is>
          <t>Defaults of rent</t>
        </is>
      </c>
      <c r="B12" s="128" t="n">
        <v>0</v>
      </c>
      <c r="C12" s="128" t="n">
        <v>12</v>
      </c>
      <c r="D12" s="128" t="n">
        <v>3</v>
      </c>
      <c r="E12" s="128" t="n"/>
      <c r="F12" s="128" t="n">
        <v>0.61</v>
      </c>
      <c r="G12" s="128" t="n"/>
      <c r="H12" s="128" t="inlineStr">
        <is>
          <t>the land formerly of Peter de Snayleslynch’ for a similar reason 12 shilling 3pence.</t>
        </is>
      </c>
      <c r="I12" s="128" t="n"/>
    </row>
    <row r="13">
      <c r="A13" s="137" t="inlineStr">
        <is>
          <t>Defaults of rent</t>
        </is>
      </c>
      <c r="B13" s="128" t="n">
        <v>0</v>
      </c>
      <c r="C13" s="128" t="n">
        <v>4</v>
      </c>
      <c r="D13" s="128" t="n">
        <v>2</v>
      </c>
      <c r="E13" s="128" t="n"/>
      <c r="F13" s="128" t="n">
        <v>0.21</v>
      </c>
      <c r="G13" s="128" t="n"/>
      <c r="H13" s="128" t="inlineStr">
        <is>
          <t>the land of Seale drawn into demesne and not leased because it would be more detrimental than profitable 4 shilling 2 pence.</t>
        </is>
      </c>
      <c r="I13" s="128" t="n"/>
    </row>
    <row r="14">
      <c r="A14" s="137" t="inlineStr">
        <is>
          <t>Defaults of rent</t>
        </is>
      </c>
      <c r="B14" s="128" t="n">
        <v>0</v>
      </c>
      <c r="C14" s="128" t="n">
        <v>1</v>
      </c>
      <c r="D14" s="128" t="n">
        <v>6</v>
      </c>
      <c r="E14" s="128" t="n"/>
      <c r="F14" s="128" t="n">
        <v>0.08</v>
      </c>
      <c r="G14" s="128" t="n"/>
      <c r="H14" s="128" t="inlineStr">
        <is>
          <t>a certain weir in the water of Elstead which John Bykenholt held because the said weir was completely destroyed on account of a weir elsewhere in the same water which Henry Bykenholt now holds 1 shilling 6pence.</t>
        </is>
      </c>
      <c r="I14" s="128" t="n"/>
    </row>
    <row r="15">
      <c r="A15" s="137" t="inlineStr">
        <is>
          <t>Defaults of rent</t>
        </is>
      </c>
      <c r="B15" s="128" t="n">
        <v>0</v>
      </c>
      <c r="C15" s="128" t="n">
        <v>0</v>
      </c>
      <c r="D15" s="128" t="n">
        <v>2</v>
      </c>
      <c r="E15" s="128" t="n"/>
      <c r="F15" s="128" t="n">
        <v>0.01</v>
      </c>
      <c r="G15" s="128" t="n"/>
      <c r="H15" s="128" t="inlineStr">
        <is>
          <t>a certain plot of land recently of Katherine, widow, overrun by the quarry 2pence.</t>
        </is>
      </c>
      <c r="I15" s="128" t="n"/>
    </row>
    <row r="16">
      <c r="A16" s="137" t="inlineStr">
        <is>
          <t>Defaults of rent</t>
        </is>
      </c>
      <c r="B16" s="128" t="n">
        <v>0</v>
      </c>
      <c r="C16" s="128" t="n">
        <v>0</v>
      </c>
      <c r="D16" s="128" t="n">
        <v>1</v>
      </c>
      <c r="E16" s="128" t="n"/>
      <c r="F16" s="128" t="n">
        <v>0</v>
      </c>
      <c r="G16" s="128" t="n"/>
      <c r="H16" s="128" t="inlineStr">
        <is>
          <t>a certain plot of land formerly of Margaret Gryffyn’ overrun by the quarry 1pence.</t>
        </is>
      </c>
      <c r="I16" s="128" t="n"/>
    </row>
    <row r="17">
      <c r="A17" s="137" t="inlineStr">
        <is>
          <t>Defaults of rent</t>
        </is>
      </c>
      <c r="B17" s="128" t="n">
        <v>0</v>
      </c>
      <c r="C17" s="128" t="n">
        <v>0</v>
      </c>
      <c r="D17" s="128" t="n">
        <v>2</v>
      </c>
      <c r="E17" s="128" t="n"/>
      <c r="F17" s="128" t="n">
        <v>0.01</v>
      </c>
      <c r="G17" s="128" t="n"/>
      <c r="H17" s="128" t="inlineStr">
        <is>
          <t>a certain plot of land formerly of Alexander Carpent’ overrun by the quarry 2pence.</t>
        </is>
      </c>
      <c r="I17" s="128" t="n"/>
    </row>
    <row r="18">
      <c r="A18" s="137" t="inlineStr">
        <is>
          <t>Defaults of rent</t>
        </is>
      </c>
      <c r="B18" s="128" t="n">
        <v>0</v>
      </c>
      <c r="C18" s="128" t="n">
        <v>0</v>
      </c>
      <c r="D18" s="128" t="n">
        <v>6</v>
      </c>
      <c r="E18" s="128" t="n"/>
      <c r="F18" s="128" t="n">
        <v>0.03</v>
      </c>
      <c r="G18" s="128" t="n"/>
      <c r="H18" s="128" t="inlineStr">
        <is>
          <t>a certain curtilage of land of the same Alexander drawn into demesne 6pence.</t>
        </is>
      </c>
      <c r="I18" s="128" t="n"/>
    </row>
    <row r="19">
      <c r="A19" s="137" t="inlineStr">
        <is>
          <t>Defaults of rent</t>
        </is>
      </c>
      <c r="B19" s="128" t="n">
        <v>4</v>
      </c>
      <c r="C19" s="128" t="n">
        <v>0</v>
      </c>
      <c r="D19" s="128" t="n">
        <v>2</v>
      </c>
      <c r="E19" s="128" t="n"/>
      <c r="F19" s="128" t="n">
        <v>4.01</v>
      </c>
      <c r="G19" s="128" t="n"/>
      <c r="H19" s="128" t="inlineStr">
        <is>
          <t>the mill of Bourne and the adjacent lands and meadows formerly let to Thomas Tyeller’ at fee-farm and now in the lord’s hands £4 2pence.</t>
        </is>
      </c>
      <c r="I19" s="128" t="n"/>
    </row>
    <row r="20">
      <c r="A20" s="137" t="inlineStr">
        <is>
          <t>Defaults of rent</t>
        </is>
      </c>
      <c r="B20" s="128" t="n">
        <v>1</v>
      </c>
      <c r="C20" s="128" t="n">
        <v>10</v>
      </c>
      <c r="D20" s="128" t="n">
        <v>0</v>
      </c>
      <c r="E20" s="128" t="n"/>
      <c r="F20" s="128" t="n">
        <v>1.5</v>
      </c>
      <c r="G20" s="128" t="n"/>
      <c r="H20" s="128" t="inlineStr">
        <is>
          <t>the mill of Memulle and the adjacent lands and meadows formerly let to the same Thomas in the aforesaid way and now in the lord’s hand £1 10 shilling.</t>
        </is>
      </c>
      <c r="I20" s="128" t="n"/>
    </row>
    <row r="21">
      <c r="A21" s="137" t="inlineStr">
        <is>
          <t>Defaults of rent</t>
        </is>
      </c>
      <c r="B21" s="128" t="n">
        <v>0</v>
      </c>
      <c r="C21" s="128" t="n">
        <v>4</v>
      </c>
      <c r="D21" s="128" t="n">
        <v>8.5</v>
      </c>
      <c r="E21" s="128" t="n"/>
      <c r="F21" s="128" t="n">
        <v>0.24</v>
      </c>
      <c r="G21" s="128" t="n"/>
      <c r="H21" s="128" t="inlineStr">
        <is>
          <t>the land formerly of Godfrey de Hemeweye drawn into demesne and the park, 4 shilling 8.5pence for the year.</t>
        </is>
      </c>
      <c r="I21" s="128" t="n"/>
    </row>
    <row r="22">
      <c r="A22" s="137" t="inlineStr">
        <is>
          <t>Defaults of rent</t>
        </is>
      </c>
      <c r="B22" s="128" t="n">
        <v>0</v>
      </c>
      <c r="C22" s="128" t="n">
        <v>12</v>
      </c>
      <c r="D22" s="128" t="n">
        <v>0</v>
      </c>
      <c r="E22" s="128" t="n"/>
      <c r="F22" s="128" t="n">
        <v>0.6</v>
      </c>
      <c r="G22" s="128" t="n"/>
      <c r="H22" s="128" t="inlineStr">
        <is>
          <t>the land formerly of Ralph Beauchamp’ which was recovered because he stopped the 12 shilling, and not more because 2 acres are let to William Perys and 3 shilling a year are paid therefor.</t>
        </is>
      </c>
      <c r="I22" s="128" t="n"/>
    </row>
    <row r="23">
      <c r="A23" s="137" t="inlineStr">
        <is>
          <t>Defaults of rent</t>
        </is>
      </c>
      <c r="B23" s="128" t="n">
        <v>0</v>
      </c>
      <c r="C23" s="128" t="n">
        <v>1</v>
      </c>
      <c r="D23" s="128" t="n">
        <v>6</v>
      </c>
      <c r="E23" s="128" t="n"/>
      <c r="F23" s="128" t="n">
        <v>0.08</v>
      </c>
      <c r="G23" s="128" t="n"/>
      <c r="H23" s="128" t="inlineStr">
        <is>
          <t>1 acre of land formerly of Thomas Dolysely drawn into demesne, 1 shilling 6pence for the year.</t>
        </is>
      </c>
      <c r="I23" s="128" t="n"/>
    </row>
    <row r="24">
      <c r="A24" s="137" t="inlineStr">
        <is>
          <t>Defaults of rent</t>
        </is>
      </c>
      <c r="B24" s="128" t="n">
        <v>0</v>
      </c>
      <c r="C24" s="128" t="n">
        <v>1</v>
      </c>
      <c r="D24" s="128" t="n">
        <v>6</v>
      </c>
      <c r="E24" s="128" t="n"/>
      <c r="F24" s="128" t="n">
        <v>0.08</v>
      </c>
      <c r="G24" s="128" t="n"/>
      <c r="H24" s="128" t="inlineStr">
        <is>
          <t>1 acre of land formerly of Richard Gylkyn' drawn into demesne, 1 shilling 6pence for the year.</t>
        </is>
      </c>
      <c r="I24" s="128" t="n"/>
    </row>
    <row r="25">
      <c r="A25" s="137" t="inlineStr">
        <is>
          <t>Defaults of rent</t>
        </is>
      </c>
      <c r="B25" s="128" t="n">
        <v>0</v>
      </c>
      <c r="C25" s="128" t="n">
        <v>1</v>
      </c>
      <c r="D25" s="128" t="n">
        <v>11</v>
      </c>
      <c r="E25" s="128" t="n"/>
      <c r="F25" s="128" t="n">
        <v>0.1</v>
      </c>
      <c r="G25" s="128" t="n"/>
      <c r="H25" s="128" t="inlineStr">
        <is>
          <t>3 roods formerly of Gilbert Abbecroft drawn into demesne, 1 shilling 11 pence for the year.</t>
        </is>
      </c>
      <c r="I25" s="128" t="n"/>
    </row>
    <row r="26">
      <c r="A26" s="137" t="inlineStr">
        <is>
          <t>Defaults of rent</t>
        </is>
      </c>
      <c r="B26" s="128" t="n">
        <v>0</v>
      </c>
      <c r="C26" s="128" t="n">
        <v>5</v>
      </c>
      <c r="D26" s="128" t="n">
        <v>10.25</v>
      </c>
      <c r="E26" s="128" t="n"/>
      <c r="F26" s="128" t="n">
        <v>0.29</v>
      </c>
      <c r="G26" s="128" t="n"/>
      <c r="H26" s="128"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I26" s="128" t="n"/>
    </row>
    <row r="27">
      <c r="A27" s="137" t="inlineStr">
        <is>
          <t>Defaults of rent</t>
        </is>
      </c>
      <c r="B27" s="128" t="n">
        <v>0</v>
      </c>
      <c r="C27" s="128" t="n">
        <v>14</v>
      </c>
      <c r="D27" s="128" t="n">
        <v>8.5</v>
      </c>
      <c r="E27" s="128" t="n"/>
      <c r="F27" s="128" t="n">
        <v>0.74</v>
      </c>
      <c r="G27" s="128" t="n"/>
      <c r="H27" s="128" t="inlineStr">
        <is>
          <t>the land, meadows and wood called Wytherfughleslond' which belonged to John Bydon' drawn into demesne and the park, 14 shilling 8.5pence for the year.</t>
        </is>
      </c>
      <c r="I27" s="128" t="n"/>
    </row>
    <row r="28">
      <c r="A28" s="137" t="inlineStr">
        <is>
          <t>Defaults of rent</t>
        </is>
      </c>
      <c r="B28" s="128" t="n">
        <v>0</v>
      </c>
      <c r="C28" s="128" t="n">
        <v>7</v>
      </c>
      <c r="D28" s="128" t="n">
        <v>6</v>
      </c>
      <c r="E28" s="128" t="n"/>
      <c r="F28" s="128" t="n">
        <v>0.38</v>
      </c>
      <c r="G28" s="128" t="n"/>
      <c r="H28" s="128" t="inlineStr">
        <is>
          <t>the land and wood called Hemeweyeslond' which belonged to John Nyweman drawn into demesne and the park, 7 shilling 6pence for the year.</t>
        </is>
      </c>
      <c r="I28" s="128" t="n"/>
    </row>
    <row r="29">
      <c r="A29" s="137" t="inlineStr">
        <is>
          <t>Defaults of rent</t>
        </is>
      </c>
      <c r="B29" s="128" t="n">
        <v>0</v>
      </c>
      <c r="C29" s="128" t="n">
        <v>1</v>
      </c>
      <c r="D29" s="128" t="n">
        <v>0</v>
      </c>
      <c r="E29" s="128" t="n"/>
      <c r="F29" s="128" t="n">
        <v>0.05</v>
      </c>
      <c r="G29" s="128" t="n"/>
      <c r="H29" s="128" t="inlineStr">
        <is>
          <t>3 crofts of land which belonged to Nicholas atte Hulde drawn into demesne and the park, 1 shilling for the year.</t>
        </is>
      </c>
      <c r="I29" s="128" t="n"/>
    </row>
    <row r="30">
      <c r="A30" s="137" t="inlineStr">
        <is>
          <t>Defaults of rent</t>
        </is>
      </c>
      <c r="B30" s="128" t="n">
        <v>0</v>
      </c>
      <c r="C30" s="128" t="n">
        <v>4</v>
      </c>
      <c r="D30" s="128" t="n">
        <v>9</v>
      </c>
      <c r="E30" s="128" t="n"/>
      <c r="F30" s="128" t="n">
        <v>0.24</v>
      </c>
      <c r="G30" s="128" t="n"/>
      <c r="H30" s="128" t="inlineStr">
        <is>
          <t>9.5 acres of purpresture in the tithing of Badshot which belonged to Roger Hale drawn into the park and demesne, 4 shilling 9pence for the year.</t>
        </is>
      </c>
      <c r="I30" s="128" t="n"/>
    </row>
    <row r="31">
      <c r="A31" s="137" t="inlineStr">
        <is>
          <t>Defaults of rent</t>
        </is>
      </c>
      <c r="B31" s="128" t="n">
        <v>0</v>
      </c>
      <c r="C31" s="128" t="n">
        <v>1</v>
      </c>
      <c r="D31" s="128" t="n">
        <v>0</v>
      </c>
      <c r="E31" s="128" t="n"/>
      <c r="F31" s="128" t="n">
        <v>0.05</v>
      </c>
      <c r="G31" s="128" t="n"/>
      <c r="H31" s="128" t="inlineStr">
        <is>
          <t>2 crofts of purpresture in the tithing of Badshot, containing 2 acres, which belonged to Walter Bartlot drawn into demesne and the park, 1 shilling for the year.</t>
        </is>
      </c>
      <c r="I31" s="128" t="n"/>
    </row>
    <row r="32">
      <c r="A32" s="137" t="inlineStr">
        <is>
          <t>Defaults of rent</t>
        </is>
      </c>
      <c r="B32" s="128" t="n">
        <v>0</v>
      </c>
      <c r="C32" s="128" t="n">
        <v>0</v>
      </c>
      <c r="D32" s="128" t="n">
        <v>4.5</v>
      </c>
      <c r="E32" s="128" t="n"/>
      <c r="F32" s="128" t="n">
        <v>0.02</v>
      </c>
      <c r="G32" s="128" t="n"/>
      <c r="H32" s="128" t="inlineStr">
        <is>
          <t>1 croft of purpresture in the same tithing, containing 3 roods, which belonged to the said Walter drawn into demesne and the park, 4.5pence for the year.</t>
        </is>
      </c>
      <c r="I32" s="128" t="n"/>
    </row>
    <row r="33">
      <c r="A33" s="137" t="inlineStr">
        <is>
          <t>Defaults of rent</t>
        </is>
      </c>
      <c r="B33" s="128" t="n">
        <v>15</v>
      </c>
      <c r="C33" s="128" t="n">
        <v>11</v>
      </c>
      <c r="D33" s="128" t="n">
        <v>4.25</v>
      </c>
      <c r="E33" s="128" t="n"/>
      <c r="F33" s="128" t="n">
        <v>15.57</v>
      </c>
      <c r="G33" s="128" t="n"/>
      <c r="H33" s="128" t="inlineStr">
        <is>
          <t>Total, £15 11 shilling 4.25pence.</t>
        </is>
      </c>
      <c r="I33" s="128" t="n"/>
    </row>
    <row r="34">
      <c r="A34" s="138" t="inlineStr">
        <is>
          <t>Defaults of rent total</t>
        </is>
      </c>
      <c r="B34" s="139" t="n"/>
      <c r="C34" s="139" t="n"/>
      <c r="D34" s="139" t="n"/>
      <c r="E34" s="139" t="n"/>
      <c r="F34" s="139" t="n">
        <v>15.62</v>
      </c>
      <c r="G34" s="139" t="n">
        <v>0.05</v>
      </c>
      <c r="H34" s="139" t="inlineStr">
        <is>
          <t>Total</t>
        </is>
      </c>
      <c r="I34" s="139" t="n"/>
    </row>
    <row r="35">
      <c r="A35" s="137" t="n"/>
      <c r="B35" s="128" t="n"/>
      <c r="C35" s="128" t="n"/>
      <c r="D35" s="128" t="n"/>
      <c r="E35" s="128" t="n"/>
      <c r="F35" s="128" t="n"/>
      <c r="G35" s="128" t="n"/>
      <c r="H35" s="128" t="n"/>
      <c r="I35" s="128" t="n"/>
    </row>
    <row r="36">
      <c r="A36" s="136" t="inlineStr">
        <is>
          <t>Total of quittances and defaults of rent</t>
        </is>
      </c>
      <c r="B36" s="128" t="n">
        <v>18</v>
      </c>
      <c r="C36" s="128" t="n">
        <v>8</v>
      </c>
      <c r="D36" s="128" t="n">
        <v>10.75</v>
      </c>
      <c r="E36" s="128" t="n"/>
      <c r="F36" s="128" t="n">
        <v>18.44</v>
      </c>
      <c r="G36" s="128" t="n"/>
      <c r="H36" s="128" t="inlineStr">
        <is>
          <t>Total of quittances and defaults of rent, £18 8 shilling 10.75pence.</t>
        </is>
      </c>
      <c r="I36" s="128" t="n"/>
    </row>
    <row r="37">
      <c r="A37" s="138" t="inlineStr">
        <is>
          <t>Total of quittances and defaults of rent total</t>
        </is>
      </c>
      <c r="B37" s="139" t="n"/>
      <c r="C37" s="139" t="n"/>
      <c r="D37" s="139" t="n"/>
      <c r="E37" s="139" t="n"/>
      <c r="F37" s="139" t="n">
        <v>18.44</v>
      </c>
      <c r="G37" s="139" t="n">
        <v>0</v>
      </c>
      <c r="H37" s="139" t="inlineStr">
        <is>
          <t>Total</t>
        </is>
      </c>
      <c r="I37" s="139" t="n"/>
    </row>
    <row r="38">
      <c r="A38" s="137" t="n"/>
      <c r="B38" s="128" t="n"/>
      <c r="C38" s="128" t="n"/>
      <c r="D38" s="128" t="n"/>
      <c r="E38" s="128" t="n"/>
      <c r="F38" s="128" t="n"/>
      <c r="G38" s="128" t="n"/>
      <c r="H38" s="128" t="n"/>
      <c r="I38" s="128" t="n"/>
    </row>
    <row r="39">
      <c r="A39" s="136" t="inlineStr">
        <is>
          <t>Total of rents remaining clear</t>
        </is>
      </c>
      <c r="B39" s="128" t="n">
        <v>117</v>
      </c>
      <c r="C39" s="128" t="n">
        <v>5</v>
      </c>
      <c r="D39" s="128" t="n">
        <v>2.75</v>
      </c>
      <c r="E39" s="128" t="n"/>
      <c r="F39" s="128" t="n">
        <v>117.26</v>
      </c>
      <c r="G39" s="128" t="n"/>
      <c r="H39" s="128" t="inlineStr">
        <is>
          <t>Total of rents remaining clear, £117 5 shilling 2.75pence.</t>
        </is>
      </c>
      <c r="I39" s="128" t="n"/>
    </row>
    <row r="40">
      <c r="A40" s="138" t="inlineStr">
        <is>
          <t>Total of rents remaining clear total</t>
        </is>
      </c>
      <c r="B40" s="139" t="n"/>
      <c r="C40" s="139" t="n"/>
      <c r="D40" s="139" t="n"/>
      <c r="E40" s="139" t="n"/>
      <c r="F40" s="139" t="n">
        <v>117.26</v>
      </c>
      <c r="G40" s="139" t="n">
        <v>0</v>
      </c>
      <c r="H40" s="139" t="inlineStr">
        <is>
          <t>Total</t>
        </is>
      </c>
      <c r="I40" s="139" t="n"/>
    </row>
    <row r="41">
      <c r="A41" s="137" t="n"/>
      <c r="B41" s="128" t="n"/>
      <c r="C41" s="128" t="n"/>
      <c r="D41" s="128" t="n"/>
      <c r="E41" s="128" t="n"/>
      <c r="F41" s="128" t="n"/>
      <c r="G41" s="128" t="n"/>
      <c r="H41" s="128" t="n"/>
      <c r="I41" s="128" t="n"/>
    </row>
    <row r="42">
      <c r="A42" s="136" t="inlineStr">
        <is>
          <t>Farm of the borough</t>
        </is>
      </c>
      <c r="B42" s="128" t="n">
        <v>6</v>
      </c>
      <c r="C42" s="128" t="n">
        <v>0</v>
      </c>
      <c r="D42" s="128" t="n">
        <v>0</v>
      </c>
      <c r="E42" s="128" t="n"/>
      <c r="F42" s="128" t="n">
        <v>6</v>
      </c>
      <c r="G42" s="128" t="n"/>
      <c r="H42" s="128" t="inlineStr">
        <is>
          <t>And for £6 for the farm of the borough at Easter.</t>
        </is>
      </c>
      <c r="I42" s="128" t="n"/>
    </row>
    <row r="43">
      <c r="A43" s="137" t="inlineStr">
        <is>
          <t>Farm of the borough</t>
        </is>
      </c>
      <c r="B43" s="128" t="n">
        <v>6</v>
      </c>
      <c r="C43" s="128" t="n">
        <v>0</v>
      </c>
      <c r="D43" s="128" t="n">
        <v>0</v>
      </c>
      <c r="E43" s="128" t="n"/>
      <c r="F43" s="128" t="n">
        <v>6</v>
      </c>
      <c r="G43" s="128" t="n"/>
      <c r="H43" s="128" t="inlineStr">
        <is>
          <t>£6 for the farm of the said borough at Michaelmas.</t>
        </is>
      </c>
      <c r="I43" s="128" t="n"/>
    </row>
    <row r="44">
      <c r="A44" s="137" t="inlineStr">
        <is>
          <t>Farm of the borough</t>
        </is>
      </c>
      <c r="B44" s="128" t="n">
        <v>12</v>
      </c>
      <c r="C44" s="128" t="n">
        <v>0</v>
      </c>
      <c r="D44" s="128" t="n">
        <v>0</v>
      </c>
      <c r="E44" s="128" t="n"/>
      <c r="F44" s="128" t="n">
        <v>12</v>
      </c>
      <c r="G44" s="128" t="n"/>
      <c r="H44" s="128" t="inlineStr">
        <is>
          <t>Total, £12..</t>
        </is>
      </c>
      <c r="I44" s="128" t="n"/>
    </row>
    <row r="45">
      <c r="A45" s="138" t="inlineStr">
        <is>
          <t>Farm of the borough total</t>
        </is>
      </c>
      <c r="B45" s="139" t="n"/>
      <c r="C45" s="139" t="n"/>
      <c r="D45" s="139" t="n"/>
      <c r="E45" s="139" t="n"/>
      <c r="F45" s="139" t="n">
        <v>12</v>
      </c>
      <c r="G45" s="139" t="n">
        <v>0</v>
      </c>
      <c r="H45" s="139" t="inlineStr">
        <is>
          <t>Total</t>
        </is>
      </c>
      <c r="I45" s="139" t="n"/>
    </row>
    <row r="46">
      <c r="A46" s="137" t="n"/>
      <c r="B46" s="128" t="n"/>
      <c r="C46" s="128" t="n"/>
      <c r="D46" s="128" t="n"/>
      <c r="E46" s="128" t="n"/>
      <c r="F46" s="128" t="n"/>
      <c r="G46" s="128" t="n"/>
      <c r="H46" s="128" t="n"/>
      <c r="I46" s="128" t="n"/>
    </row>
    <row r="47">
      <c r="A47" s="136" t="inlineStr">
        <is>
          <t>Annual recognizance</t>
        </is>
      </c>
      <c r="B47" s="128" t="n">
        <v>0</v>
      </c>
      <c r="C47" s="128" t="n">
        <v>2</v>
      </c>
      <c r="D47" s="128" t="n">
        <v>0</v>
      </c>
      <c r="E47" s="128" t="n"/>
      <c r="F47" s="128" t="n">
        <v>0.1</v>
      </c>
      <c r="G47" s="128" t="n"/>
      <c r="H47" s="128" t="inlineStr">
        <is>
          <t>And for 2 shilling from William atte Hethe, son of Henry atte Hethe, the lord's villein, so that he may dwell outside the lord's liberty as long as it pleases the lord and come to the 2 tourns for the year and remain the lord's villein as before.</t>
        </is>
      </c>
      <c r="I47" s="128" t="n"/>
    </row>
    <row r="48">
      <c r="A48" s="137" t="inlineStr">
        <is>
          <t>Annual recognizance</t>
        </is>
      </c>
      <c r="B48" s="128" t="n">
        <v>0</v>
      </c>
      <c r="C48" s="128" t="n">
        <v>2</v>
      </c>
      <c r="D48" s="128" t="n">
        <v>0</v>
      </c>
      <c r="E48" s="128" t="n"/>
      <c r="F48" s="128" t="n">
        <v>0.1</v>
      </c>
      <c r="G48" s="128" t="n"/>
      <c r="H48" s="128" t="inlineStr">
        <is>
          <t>Total, 2 shilling.</t>
        </is>
      </c>
      <c r="I48" s="128" t="n"/>
    </row>
    <row r="49">
      <c r="A49" s="138" t="inlineStr">
        <is>
          <t>Annual recognizance total</t>
        </is>
      </c>
      <c r="B49" s="139" t="n"/>
      <c r="C49" s="139" t="n"/>
      <c r="D49" s="139" t="n"/>
      <c r="E49" s="139" t="n"/>
      <c r="F49" s="139" t="n">
        <v>0.1</v>
      </c>
      <c r="G49" s="139" t="n">
        <v>0</v>
      </c>
      <c r="H49" s="139" t="inlineStr">
        <is>
          <t>Total</t>
        </is>
      </c>
      <c r="I49" s="139" t="n"/>
    </row>
    <row r="50">
      <c r="A50" s="137" t="n"/>
      <c r="B50" s="128" t="n"/>
      <c r="C50" s="128" t="n"/>
      <c r="D50" s="128" t="n"/>
      <c r="E50" s="128" t="n"/>
      <c r="F50" s="128" t="n"/>
      <c r="G50" s="128" t="n"/>
      <c r="H50" s="128" t="n"/>
      <c r="I50" s="128" t="n"/>
    </row>
    <row r="51">
      <c r="A51" s="136" t="inlineStr">
        <is>
          <t>Issues of the manor</t>
        </is>
      </c>
      <c r="B51" s="128" t="n">
        <v>0</v>
      </c>
      <c r="C51" s="128" t="n">
        <v>12</v>
      </c>
      <c r="D51" s="128" t="n">
        <v>2.5</v>
      </c>
      <c r="E51" s="128" t="n"/>
      <c r="F51" s="128" t="n">
        <v>0.61</v>
      </c>
      <c r="G51" s="128" t="n"/>
      <c r="H51" s="128" t="inlineStr">
        <is>
          <t>And for 12 shilling 2.5pence from common pannage of the villeins' pigs this year.</t>
        </is>
      </c>
      <c r="I51" s="128" t="n"/>
    </row>
    <row r="52">
      <c r="A52" s="137" t="inlineStr">
        <is>
          <t>Issues of the manor</t>
        </is>
      </c>
      <c r="B52" s="128" t="n">
        <v>0</v>
      </c>
      <c r="C52" s="128" t="n">
        <v>0</v>
      </c>
      <c r="D52" s="128" t="n">
        <v>0</v>
      </c>
      <c r="E52" s="128" t="n"/>
      <c r="F52" s="128" t="n">
        <v>0</v>
      </c>
      <c r="G52" s="128" t="n"/>
      <c r="H52" s="128" t="inlineStr">
        <is>
          <t>nothing from the agistment of pigs in the great park this year because there was no mast.</t>
        </is>
      </c>
      <c r="I52" s="128" t="n"/>
    </row>
    <row r="53">
      <c r="A53" s="137" t="inlineStr">
        <is>
          <t>Issues of the manor</t>
        </is>
      </c>
      <c r="B53" s="128" t="n">
        <v>0</v>
      </c>
      <c r="C53" s="128" t="n">
        <v>0</v>
      </c>
      <c r="D53" s="128" t="n">
        <v>0</v>
      </c>
      <c r="E53" s="128" t="n"/>
      <c r="F53" s="128" t="n">
        <v>0</v>
      </c>
      <c r="G53" s="128" t="n"/>
      <c r="H53" s="128" t="inlineStr">
        <is>
          <t>nothing from the agistment of pigs in the new park nor in The Reeds this year.</t>
        </is>
      </c>
      <c r="I53" s="128" t="n"/>
    </row>
    <row r="54">
      <c r="A54" s="137" t="inlineStr">
        <is>
          <t>Issues of the manor</t>
        </is>
      </c>
      <c r="B54" s="128" t="n">
        <v>0</v>
      </c>
      <c r="C54" s="128" t="n">
        <v>0</v>
      </c>
      <c r="D54" s="128" t="n">
        <v>0</v>
      </c>
      <c r="E54" s="128" t="n"/>
      <c r="F54" s="128" t="n">
        <v>0</v>
      </c>
      <c r="G54" s="128" t="n"/>
      <c r="H54" s="128" t="inlineStr">
        <is>
          <t>nothing from the agistment of pigs in the lord's woods of Churt, Cockner and Ottering Wood this year.</t>
        </is>
      </c>
      <c r="I54" s="128" t="n"/>
    </row>
    <row r="55">
      <c r="A55" s="137" t="inlineStr">
        <is>
          <t>Issues of the manor</t>
        </is>
      </c>
      <c r="B55" s="128" t="n">
        <v>0</v>
      </c>
      <c r="C55" s="128" t="n">
        <v>0</v>
      </c>
      <c r="D55" s="128" t="n">
        <v>0</v>
      </c>
      <c r="E55" s="128" t="n"/>
      <c r="F55" s="128" t="n">
        <v>0</v>
      </c>
      <c r="G55" s="128" t="n"/>
      <c r="H55" s="128" t="inlineStr">
        <is>
          <t>nothing from winter pasturage in Tyelbed' because it is let with the farm of the demesne lands.</t>
        </is>
      </c>
      <c r="I55" s="128" t="n"/>
    </row>
    <row r="56">
      <c r="A56" s="137" t="inlineStr">
        <is>
          <t>Issues of the manor</t>
        </is>
      </c>
      <c r="B56" s="128" t="n">
        <v>0</v>
      </c>
      <c r="C56" s="128" t="n">
        <v>0</v>
      </c>
      <c r="D56" s="128" t="n">
        <v>0</v>
      </c>
      <c r="E56" s="128" t="n"/>
      <c r="F56" s="128" t="n">
        <v>0</v>
      </c>
      <c r="G56" s="128" t="n"/>
      <c r="H56" s="128" t="inlineStr">
        <is>
          <t>nothing from the same pasture after mowing for the aforesaid reason.</t>
        </is>
      </c>
      <c r="I56" s="128" t="n"/>
    </row>
    <row r="57">
      <c r="A57" s="137" t="inlineStr">
        <is>
          <t>Issues of the manor</t>
        </is>
      </c>
      <c r="B57" s="128" t="n">
        <v>0</v>
      </c>
      <c r="C57" s="128" t="n">
        <v>13</v>
      </c>
      <c r="D57" s="128" t="n">
        <v>4</v>
      </c>
      <c r="E57" s="128" t="n"/>
      <c r="F57" s="128" t="n">
        <v>0.67</v>
      </c>
      <c r="G57" s="128" t="n"/>
      <c r="H57" s="128" t="inlineStr">
        <is>
          <t>13 shilling 4pence from winter pasturage in Northemede sold this year.</t>
        </is>
      </c>
      <c r="I57" s="128" t="n"/>
    </row>
    <row r="58">
      <c r="A58" s="137" t="inlineStr">
        <is>
          <t>Issues of the manor</t>
        </is>
      </c>
      <c r="B58" s="128" t="n">
        <v>0</v>
      </c>
      <c r="C58" s="128" t="n">
        <v>0</v>
      </c>
      <c r="D58" s="128" t="n">
        <v>0</v>
      </c>
      <c r="E58" s="128" t="n"/>
      <c r="F58" s="128" t="n">
        <v>0</v>
      </c>
      <c r="G58" s="128" t="n"/>
      <c r="H58" s="128" t="inlineStr">
        <is>
          <t>nothing from the pasturage of Suthemede because it is in the fee of the constable.</t>
        </is>
      </c>
      <c r="I58" s="128" t="n"/>
    </row>
    <row r="59">
      <c r="A59" s="137" t="inlineStr">
        <is>
          <t>Issues of the manor</t>
        </is>
      </c>
      <c r="B59" s="128" t="n">
        <v>0</v>
      </c>
      <c r="C59" s="128" t="n">
        <v>5</v>
      </c>
      <c r="D59" s="128" t="n">
        <v>0</v>
      </c>
      <c r="E59" s="128" t="n"/>
      <c r="F59" s="128" t="n">
        <v>0.25</v>
      </c>
      <c r="G59" s="128" t="n"/>
      <c r="H59" s="128" t="inlineStr">
        <is>
          <t>nothing from winter pasturage in Fyssheweremed', which used to be sold for 5 shilling, because it is grown (edit') close to the fishpond there.</t>
        </is>
      </c>
      <c r="I59" s="128" t="n"/>
    </row>
    <row r="60">
      <c r="A60" s="137" t="inlineStr">
        <is>
          <t>Issues of the manor</t>
        </is>
      </c>
      <c r="B60" s="128" t="n">
        <v>0</v>
      </c>
      <c r="C60" s="128" t="n">
        <v>0</v>
      </c>
      <c r="D60" s="128" t="n">
        <v>8</v>
      </c>
      <c r="E60" s="128" t="n"/>
      <c r="F60" s="128" t="n">
        <v>0.03</v>
      </c>
      <c r="G60" s="128" t="n"/>
      <c r="H60" s="128" t="inlineStr">
        <is>
          <t>8pence from the pasturage within the fishpond beside Brodemede sold this year.</t>
        </is>
      </c>
      <c r="I60" s="128" t="n"/>
    </row>
    <row r="61">
      <c r="A61" s="137" t="inlineStr">
        <is>
          <t>Issues of the manor</t>
        </is>
      </c>
      <c r="B61" s="128" t="n">
        <v>0</v>
      </c>
      <c r="C61" s="128" t="n">
        <v>0</v>
      </c>
      <c r="D61" s="128" t="n">
        <v>4</v>
      </c>
      <c r="E61" s="128" t="n"/>
      <c r="F61" s="128" t="n">
        <v>0.02</v>
      </c>
      <c r="G61" s="128" t="n"/>
      <c r="H61" s="128" t="inlineStr">
        <is>
          <t>4pence from the pasturage around the rabbit warren beside Langebrygg' sold this year.</t>
        </is>
      </c>
      <c r="I61" s="128" t="n"/>
    </row>
    <row r="62">
      <c r="A62" s="137" t="inlineStr">
        <is>
          <t>Issues of the manor</t>
        </is>
      </c>
      <c r="B62" s="128" t="n">
        <v>0</v>
      </c>
      <c r="C62" s="128" t="n">
        <v>0</v>
      </c>
      <c r="D62" s="128" t="n">
        <v>0</v>
      </c>
      <c r="E62" s="128" t="n"/>
      <c r="F62" s="128" t="n">
        <v>0</v>
      </c>
      <c r="G62" s="128" t="n"/>
      <c r="H62" s="128" t="inlineStr">
        <is>
          <t>nothing from the agistment of cattle in the great park because it is for the animals of the farmer there.</t>
        </is>
      </c>
      <c r="I62" s="128" t="n"/>
    </row>
    <row r="63">
      <c r="A63" s="137" t="inlineStr">
        <is>
          <t>Issues of the manor</t>
        </is>
      </c>
      <c r="B63" s="128" t="n">
        <v>0</v>
      </c>
      <c r="C63" s="128" t="n">
        <v>0</v>
      </c>
      <c r="D63" s="128" t="n">
        <v>0</v>
      </c>
      <c r="E63" s="128" t="n"/>
      <c r="F63" s="128" t="n">
        <v>0</v>
      </c>
      <c r="G63" s="128" t="n"/>
      <c r="H63" s="128" t="inlineStr">
        <is>
          <t>nothing from the sale of pasturage in Rysshemed' because it is reserved for the mill-horses.</t>
        </is>
      </c>
      <c r="I63" s="128" t="n"/>
    </row>
    <row r="64">
      <c r="A64" s="137" t="inlineStr">
        <is>
          <t>Issues of the manor</t>
        </is>
      </c>
      <c r="B64" s="128" t="n">
        <v>0</v>
      </c>
      <c r="C64" s="128" t="n">
        <v>0</v>
      </c>
      <c r="D64" s="128" t="n">
        <v>0</v>
      </c>
      <c r="E64" s="128" t="n"/>
      <c r="F64" s="128" t="n">
        <v>0</v>
      </c>
      <c r="G64" s="128" t="n"/>
      <c r="H64" s="128" t="inlineStr">
        <is>
          <t>nothing from the sale of winter pasturage in Brodemed' because the farmer has the said pasturage with the farm.</t>
        </is>
      </c>
      <c r="I64" s="128" t="n"/>
    </row>
    <row r="65">
      <c r="A65" s="137" t="inlineStr">
        <is>
          <t>Issues of the manor</t>
        </is>
      </c>
      <c r="B65" s="128" t="n">
        <v>0</v>
      </c>
      <c r="C65" s="128" t="n">
        <v>8</v>
      </c>
      <c r="D65" s="128" t="n">
        <v>0</v>
      </c>
      <c r="E65" s="128" t="n"/>
      <c r="F65" s="128" t="n">
        <v>0.4</v>
      </c>
      <c r="G65" s="128" t="n"/>
      <c r="H65" s="128" t="inlineStr">
        <is>
          <t>nothing of the 8 shilling from the pasturage of the same sold after mowing for the aforesaid reason.</t>
        </is>
      </c>
      <c r="I65" s="128" t="n"/>
    </row>
    <row r="66">
      <c r="A66" s="137" t="inlineStr">
        <is>
          <t>Issues of the manor</t>
        </is>
      </c>
      <c r="B66" s="128" t="n">
        <v>0</v>
      </c>
      <c r="C66" s="128" t="n">
        <v>0</v>
      </c>
      <c r="D66" s="128" t="n">
        <v>0</v>
      </c>
      <c r="E66" s="128" t="n"/>
      <c r="F66" s="128" t="n">
        <v>0</v>
      </c>
      <c r="G66" s="128" t="n"/>
      <c r="H66" s="128" t="inlineStr">
        <is>
          <t>nothing from the sale of pasturage in the new park or in The Reeds because it is grazed by the lord's colts.</t>
        </is>
      </c>
      <c r="I66" s="128" t="n"/>
    </row>
    <row r="67">
      <c r="A67" s="137" t="inlineStr">
        <is>
          <t>Issues of the manor</t>
        </is>
      </c>
      <c r="B67" s="128" t="n">
        <v>3</v>
      </c>
      <c r="C67" s="128" t="n">
        <v>6</v>
      </c>
      <c r="D67" s="128" t="n">
        <v>8</v>
      </c>
      <c r="E67" s="128" t="n"/>
      <c r="F67" s="128" t="n">
        <v>3.33</v>
      </c>
      <c r="G67" s="128" t="n"/>
      <c r="H67" s="128" t="inlineStr">
        <is>
          <t>£3 6 shilling 8pence for the farm of Seale, demised to John Shire for 9 years, this year being the first.</t>
        </is>
      </c>
      <c r="I67" s="128" t="n"/>
    </row>
    <row r="68">
      <c r="A68" s="137" t="inlineStr">
        <is>
          <t>Issues of the manor</t>
        </is>
      </c>
      <c r="B68" s="128" t="n">
        <v>0</v>
      </c>
      <c r="C68" s="128" t="n">
        <v>0</v>
      </c>
      <c r="D68" s="128" t="n">
        <v>6</v>
      </c>
      <c r="E68" s="128" t="n"/>
      <c r="F68" s="128" t="n">
        <v>0.03</v>
      </c>
      <c r="G68" s="128" t="n"/>
      <c r="H68" s="128" t="inlineStr">
        <is>
          <t>nothing of the 6pence for the service of one smith at Farnham, because he owes service for the ironwork of 1 plough and 1 plough-horse, because it is currently with the aforesaid farm.</t>
        </is>
      </c>
      <c r="I68" s="128" t="n"/>
    </row>
    <row r="69">
      <c r="A69" s="137" t="inlineStr">
        <is>
          <t>Issues of the manor</t>
        </is>
      </c>
      <c r="B69" s="128" t="n">
        <v>0</v>
      </c>
      <c r="C69" s="128" t="n">
        <v>0</v>
      </c>
      <c r="D69" s="128" t="n">
        <v>6</v>
      </c>
      <c r="E69" s="128" t="n"/>
      <c r="F69" s="128" t="n">
        <v>0.03</v>
      </c>
      <c r="G69" s="128" t="n"/>
      <c r="H69" s="128" t="inlineStr">
        <is>
          <t>nothing of the 6pence for the service of mowing 2 acres of meadow in la Ryenmede as it used to be whilst it was in the lord's hands because it is currently with the aforesaid farm.</t>
        </is>
      </c>
      <c r="I69" s="128" t="n"/>
    </row>
    <row r="70">
      <c r="A70" s="137" t="inlineStr">
        <is>
          <t>Issues of the manor</t>
        </is>
      </c>
      <c r="B70" s="128" t="n">
        <v>0</v>
      </c>
      <c r="C70" s="128" t="n">
        <v>0</v>
      </c>
      <c r="D70" s="128" t="n">
        <v>6</v>
      </c>
      <c r="E70" s="128" t="n"/>
      <c r="F70" s="128" t="n">
        <v>0.03</v>
      </c>
      <c r="G70" s="128" t="n"/>
      <c r="H70" s="128" t="inlineStr">
        <is>
          <t>nothing of the 6pence for the labour services of the cottars stacking the lord's corn and washing and shearing the lord's sheep because they performed the labour service of washing and shearing.</t>
        </is>
      </c>
      <c r="I70" s="128" t="n"/>
    </row>
    <row r="71">
      <c r="A71" s="137" t="inlineStr">
        <is>
          <t>Issues of the manor</t>
        </is>
      </c>
      <c r="B71" s="128" t="n">
        <v>2</v>
      </c>
      <c r="C71" s="128" t="n">
        <v>10</v>
      </c>
      <c r="D71" s="128" t="n">
        <v>0</v>
      </c>
      <c r="E71" s="128" t="n"/>
      <c r="F71" s="128" t="n">
        <v>2.5</v>
      </c>
      <c r="G71" s="128" t="n"/>
      <c r="H71" s="128" t="inlineStr">
        <is>
          <t>£2 10 shilling for the fleeces of 200 wethers, demised to John Shyre, farmer of Seale, for 9 years, this year being the first.</t>
        </is>
      </c>
      <c r="I71" s="128" t="n"/>
    </row>
    <row r="72">
      <c r="A72" s="137" t="inlineStr">
        <is>
          <t>Issues of the manor</t>
        </is>
      </c>
      <c r="B72" s="128" t="n">
        <v>0</v>
      </c>
      <c r="C72" s="128" t="n">
        <v>10</v>
      </c>
      <c r="D72" s="128" t="n">
        <v>0</v>
      </c>
      <c r="E72" s="128" t="n"/>
      <c r="F72" s="128" t="n">
        <v>0.5</v>
      </c>
      <c r="G72" s="128" t="n"/>
      <c r="H72" s="128" t="inlineStr">
        <is>
          <t>10 shilling for the labour services of 4 cottars keeping the lord's sheep, on top of the rent of assize, demised to William Westbrok' for the year.</t>
        </is>
      </c>
      <c r="I72" s="128" t="n"/>
    </row>
    <row r="73">
      <c r="A73" s="137" t="inlineStr">
        <is>
          <t>Issues of the manor</t>
        </is>
      </c>
      <c r="B73" s="128" t="n">
        <v>0</v>
      </c>
      <c r="C73" s="128" t="n">
        <v>5</v>
      </c>
      <c r="D73" s="128" t="n">
        <v>0</v>
      </c>
      <c r="E73" s="128" t="n"/>
      <c r="F73" s="128" t="n">
        <v>0.25</v>
      </c>
      <c r="G73" s="128" t="n"/>
      <c r="H73" s="128" t="inlineStr">
        <is>
          <t>5 shilling for the labour services of 2 cottars keeping the lord's sheep of Seale, on top of the rent of assize, demised to Thomas Colyn' and John Goldyng' for the year.</t>
        </is>
      </c>
      <c r="I73" s="128" t="n"/>
    </row>
    <row r="74">
      <c r="A74" s="137" t="inlineStr">
        <is>
          <t>Issues of the manor</t>
        </is>
      </c>
      <c r="B74" s="128" t="n">
        <v>0</v>
      </c>
      <c r="C74" s="128" t="n">
        <v>16</v>
      </c>
      <c r="D74" s="128" t="n">
        <v>8</v>
      </c>
      <c r="E74" s="128" t="n"/>
      <c r="F74" s="128" t="n">
        <v>0.83</v>
      </c>
      <c r="G74" s="128" t="n"/>
      <c r="H74" s="128"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I74" s="128" t="n"/>
    </row>
    <row r="75">
      <c r="A75" s="137" t="inlineStr">
        <is>
          <t>Issues of the manor</t>
        </is>
      </c>
      <c r="B75" s="128" t="n">
        <v>0</v>
      </c>
      <c r="C75" s="128" t="n">
        <v>0</v>
      </c>
      <c r="D75" s="128" t="n">
        <v>0</v>
      </c>
      <c r="E75" s="128" t="n"/>
      <c r="F75" s="128" t="n">
        <v>0</v>
      </c>
      <c r="G75" s="128" t="n"/>
      <c r="H75" s="128" t="inlineStr">
        <is>
          <t>nothing of the 80 hens which William Parker was accustomed to pay in fee for the rent, and he is dead, for which reason the office is at the lord's will.</t>
        </is>
      </c>
      <c r="I75" s="128" t="n"/>
    </row>
    <row r="76">
      <c r="A76" s="137" t="inlineStr">
        <is>
          <t>Issues of the manor</t>
        </is>
      </c>
      <c r="B76" s="128" t="n">
        <v>0</v>
      </c>
      <c r="C76" s="128" t="n">
        <v>4</v>
      </c>
      <c r="D76" s="128" t="n">
        <v>2</v>
      </c>
      <c r="E76" s="128" t="n"/>
      <c r="F76" s="128" t="n">
        <v>0.21</v>
      </c>
      <c r="G76" s="128" t="n"/>
      <c r="H76" s="128"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I76" s="128" t="n"/>
    </row>
    <row r="77">
      <c r="A77" s="137" t="inlineStr">
        <is>
          <t>Issues of the manor</t>
        </is>
      </c>
      <c r="B77" s="128" t="n">
        <v>2</v>
      </c>
      <c r="C77" s="128" t="n">
        <v>10</v>
      </c>
      <c r="D77" s="128" t="n">
        <v>0</v>
      </c>
      <c r="E77" s="128" t="n"/>
      <c r="F77" s="128" t="n">
        <v>2.5</v>
      </c>
      <c r="G77" s="128" t="n"/>
      <c r="H77" s="128" t="inlineStr">
        <is>
          <t>£2 10 shilling for the fleeces of 200 wethers at Farnham, demised to William Goos for 9 years, this year being the first, just as is made clear in a certain indenture made therefor.</t>
        </is>
      </c>
      <c r="I77" s="128" t="n"/>
    </row>
    <row r="78">
      <c r="A78" s="137" t="inlineStr">
        <is>
          <t>Issues of the manor</t>
        </is>
      </c>
      <c r="B78" s="128" t="n">
        <v>0</v>
      </c>
      <c r="C78" s="128" t="n">
        <v>8</v>
      </c>
      <c r="D78" s="128" t="n">
        <v>0</v>
      </c>
      <c r="E78" s="128" t="n"/>
      <c r="F78" s="128" t="n">
        <v>0.4</v>
      </c>
      <c r="G78" s="128" t="n"/>
      <c r="H78" s="128" t="inlineStr">
        <is>
          <t>nothing of the 8 shilling from John Meon' for 16 acres of arable land and I piece of pasture beside Medmull' because it is under the heading, farm of the mills, among the issues of the same mill.</t>
        </is>
      </c>
      <c r="I78" s="128" t="n"/>
    </row>
    <row r="79">
      <c r="A79" s="137" t="inlineStr">
        <is>
          <t>Issues of the manor</t>
        </is>
      </c>
      <c r="B79" s="128" t="n">
        <v>0</v>
      </c>
      <c r="C79" s="128" t="n">
        <v>3</v>
      </c>
      <c r="D79" s="128" t="n">
        <v>4</v>
      </c>
      <c r="E79" s="128" t="n"/>
      <c r="F79" s="128" t="n">
        <v>0.17</v>
      </c>
      <c r="G79" s="128" t="n"/>
      <c r="H79" s="128" t="inlineStr">
        <is>
          <t>3 shilling 4pence from the herbage of the meadow called Lovesonesmede sold wholesale.</t>
        </is>
      </c>
      <c r="I79" s="128" t="n"/>
    </row>
    <row r="80">
      <c r="A80" s="137" t="inlineStr">
        <is>
          <t>Issues of the manor</t>
        </is>
      </c>
      <c r="B80" s="128" t="n">
        <v>0</v>
      </c>
      <c r="C80" s="128" t="n">
        <v>0</v>
      </c>
      <c r="D80" s="128" t="n">
        <v>0</v>
      </c>
      <c r="E80" s="128" t="n"/>
      <c r="F80" s="128" t="n">
        <v>0</v>
      </c>
      <c r="G80" s="128" t="n"/>
      <c r="H80" s="128" t="inlineStr">
        <is>
          <t>nothing from the agistment of pigs in the stubble because it pertains to the farmer.</t>
        </is>
      </c>
      <c r="I80" s="128" t="n"/>
    </row>
    <row r="81">
      <c r="A81" s="137" t="inlineStr">
        <is>
          <t>Issues of the manor</t>
        </is>
      </c>
      <c r="B81" s="128" t="n">
        <v>0</v>
      </c>
      <c r="C81" s="128" t="n">
        <v>3</v>
      </c>
      <c r="D81" s="128" t="n">
        <v>0</v>
      </c>
      <c r="E81" s="128" t="n"/>
      <c r="F81" s="128" t="n">
        <v>0.15</v>
      </c>
      <c r="G81" s="128" t="n"/>
      <c r="H81" s="128" t="inlineStr">
        <is>
          <t>3 shilling from the herbage of 2 acres of meadow in la Suthmede and 2 roods of meadow at le Medmulle sold this year.</t>
        </is>
      </c>
      <c r="I81" s="128" t="n"/>
    </row>
    <row r="82">
      <c r="A82" s="137" t="inlineStr">
        <is>
          <t>Issues of the manor</t>
        </is>
      </c>
      <c r="B82" s="128" t="n">
        <v>0</v>
      </c>
      <c r="C82" s="128" t="n">
        <v>3</v>
      </c>
      <c r="D82" s="128" t="n">
        <v>0</v>
      </c>
      <c r="E82" s="128" t="n"/>
      <c r="F82" s="128" t="n">
        <v>0.15</v>
      </c>
      <c r="G82" s="128" t="n"/>
      <c r="H82" s="128" t="inlineStr">
        <is>
          <t>3 shilling from 3.5 acres of arable land in Buttewell' and Borden', demised to Thomas Cook' for the year.</t>
        </is>
      </c>
      <c r="I82" s="128" t="n"/>
    </row>
    <row r="83">
      <c r="A83" s="137" t="inlineStr">
        <is>
          <t>Issues of the manor</t>
        </is>
      </c>
      <c r="B83" s="128" t="n">
        <v>0</v>
      </c>
      <c r="C83" s="128" t="n">
        <v>13</v>
      </c>
      <c r="D83" s="128" t="n">
        <v>4</v>
      </c>
      <c r="E83" s="128" t="n"/>
      <c r="F83" s="128" t="n">
        <v>0.67</v>
      </c>
      <c r="G83" s="128" t="n"/>
      <c r="H83" s="128" t="inlineStr">
        <is>
          <t>nothing of the 13 shilling 4pence for the taking of eels from the lord's fishpond of Frensham on account of the destruction of the fishpond there.</t>
        </is>
      </c>
      <c r="I83" s="128" t="n"/>
    </row>
    <row r="84">
      <c r="A84" s="137" t="inlineStr">
        <is>
          <t>Issues of the manor</t>
        </is>
      </c>
      <c r="B84" s="128" t="n">
        <v>0</v>
      </c>
      <c r="C84" s="128" t="n">
        <v>13</v>
      </c>
      <c r="D84" s="128" t="n">
        <v>4</v>
      </c>
      <c r="E84" s="128" t="n"/>
      <c r="F84" s="128" t="n">
        <v>0.67</v>
      </c>
      <c r="G84" s="128" t="n"/>
      <c r="H84" s="128" t="inlineStr">
        <is>
          <t>13 shilling 4pence from fishing in the river of Frensham sold this year.</t>
        </is>
      </c>
      <c r="I84" s="128" t="n"/>
    </row>
    <row r="85">
      <c r="A85" s="137" t="inlineStr">
        <is>
          <t>Issues of the manor</t>
        </is>
      </c>
      <c r="B85" s="128" t="n">
        <v>1</v>
      </c>
      <c r="C85" s="128" t="n">
        <v>0</v>
      </c>
      <c r="D85" s="128" t="n">
        <v>0</v>
      </c>
      <c r="E85" s="128" t="n"/>
      <c r="F85" s="128" t="n">
        <v>1</v>
      </c>
      <c r="G85" s="128" t="n"/>
      <c r="H85" s="128" t="inlineStr">
        <is>
          <t>£1 from potters' clay sold this year.</t>
        </is>
      </c>
      <c r="I85" s="128" t="n"/>
    </row>
    <row r="86">
      <c r="A86" s="137" t="inlineStr">
        <is>
          <t>Issues of the manor</t>
        </is>
      </c>
      <c r="B86" s="128" t="n">
        <v>2</v>
      </c>
      <c r="C86" s="128" t="n">
        <v>0</v>
      </c>
      <c r="D86" s="128" t="n">
        <v>0</v>
      </c>
      <c r="E86" s="128" t="n"/>
      <c r="F86" s="128" t="n">
        <v>2</v>
      </c>
      <c r="G86" s="128" t="n"/>
      <c r="H86" s="128" t="inlineStr">
        <is>
          <t>£2 from underwood sold in the vert (verid') this year.</t>
        </is>
      </c>
      <c r="I86" s="128" t="n"/>
    </row>
    <row r="87">
      <c r="A87" s="137" t="inlineStr">
        <is>
          <t>Issues of the manor</t>
        </is>
      </c>
      <c r="B87" s="128" t="n">
        <v>0</v>
      </c>
      <c r="C87" s="128" t="n">
        <v>0</v>
      </c>
      <c r="D87" s="128" t="n">
        <v>0</v>
      </c>
      <c r="E87" s="128" t="n"/>
      <c r="F87" s="128" t="n">
        <v>0</v>
      </c>
      <c r="G87" s="128" t="n"/>
      <c r="H87" s="128" t="inlineStr">
        <is>
          <t>nothing from the milking of cows because it pertains to the farmer.</t>
        </is>
      </c>
      <c r="I87" s="128" t="n"/>
    </row>
    <row r="88">
      <c r="A88" s="137" t="inlineStr">
        <is>
          <t>Issues of the manor</t>
        </is>
      </c>
      <c r="B88" s="128" t="n">
        <v>3</v>
      </c>
      <c r="C88" s="128" t="n">
        <v>0</v>
      </c>
      <c r="D88" s="128" t="n">
        <v>10</v>
      </c>
      <c r="E88" s="128" t="n"/>
      <c r="F88" s="128" t="n">
        <v>3.04</v>
      </c>
      <c r="G88" s="128" t="n"/>
      <c r="H88" s="128" t="inlineStr">
        <is>
          <t>£3 10pence from 365 rabbits sold to the lord's household, at 4pence a pair.</t>
        </is>
      </c>
      <c r="I88" s="128" t="n"/>
    </row>
    <row r="89">
      <c r="A89" s="137" t="inlineStr">
        <is>
          <t>Issues of the manor</t>
        </is>
      </c>
      <c r="B89" s="128" t="n">
        <v>0</v>
      </c>
      <c r="C89" s="128" t="n">
        <v>10</v>
      </c>
      <c r="D89" s="128" t="n">
        <v>11.5</v>
      </c>
      <c r="E89" s="128" t="n"/>
      <c r="F89" s="128" t="n">
        <v>0.55</v>
      </c>
      <c r="G89" s="128" t="n"/>
      <c r="H89" s="128" t="inlineStr">
        <is>
          <t>10 shilling 11.5pence from 95 young rabbits sold to the household.</t>
        </is>
      </c>
      <c r="I89" s="128" t="n"/>
    </row>
    <row r="90">
      <c r="A90" s="137" t="inlineStr">
        <is>
          <t>Issues of the manor</t>
        </is>
      </c>
      <c r="B90" s="128" t="n">
        <v>0</v>
      </c>
      <c r="C90" s="128" t="n">
        <v>0</v>
      </c>
      <c r="D90" s="128" t="n">
        <v>0</v>
      </c>
      <c r="E90" s="128" t="n"/>
      <c r="F90" s="128" t="n">
        <v>0</v>
      </c>
      <c r="G90" s="128" t="n"/>
      <c r="H90" s="12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I90" s="128" t="n"/>
    </row>
    <row r="91">
      <c r="A91" s="137" t="inlineStr">
        <is>
          <t>Issues of the manor</t>
        </is>
      </c>
      <c r="B91" s="128" t="n">
        <v>19</v>
      </c>
      <c r="C91" s="128" t="n">
        <v>3</v>
      </c>
      <c r="D91" s="128" t="n">
        <v>6</v>
      </c>
      <c r="E91" s="128" t="n"/>
      <c r="F91" s="128" t="n">
        <v>19.17</v>
      </c>
      <c r="G91" s="128" t="n"/>
      <c r="H91" s="128" t="inlineStr">
        <is>
          <t>Total, £19 3 shilling 6pence.</t>
        </is>
      </c>
      <c r="I91" s="128" t="n"/>
    </row>
    <row r="92">
      <c r="A92" s="138" t="inlineStr">
        <is>
          <t>Issues of the manor total</t>
        </is>
      </c>
      <c r="B92" s="139" t="n"/>
      <c r="C92" s="139" t="n"/>
      <c r="D92" s="139" t="n"/>
      <c r="E92" s="139" t="n"/>
      <c r="F92" s="139" t="n">
        <v>20.99</v>
      </c>
      <c r="G92" s="139" t="n">
        <v>1.82</v>
      </c>
      <c r="H92" s="139" t="inlineStr">
        <is>
          <t>Total</t>
        </is>
      </c>
      <c r="I92" s="139" t="n"/>
    </row>
    <row r="93">
      <c r="A93" s="137" t="n"/>
      <c r="B93" s="128" t="n"/>
      <c r="C93" s="128" t="n"/>
      <c r="D93" s="128" t="n"/>
      <c r="E93" s="128" t="n"/>
      <c r="F93" s="128" t="n"/>
      <c r="G93" s="128" t="n"/>
      <c r="H93" s="128" t="n"/>
      <c r="I93" s="128" t="n"/>
    </row>
    <row r="94">
      <c r="A94" s="136" t="inlineStr">
        <is>
          <t>Sale of stock</t>
        </is>
      </c>
      <c r="B94" s="128" t="n">
        <v>0</v>
      </c>
      <c r="C94" s="128" t="n">
        <v>18</v>
      </c>
      <c r="D94" s="128" t="n">
        <v>4</v>
      </c>
      <c r="E94" s="128" t="n"/>
      <c r="F94" s="128" t="n">
        <v>0.92</v>
      </c>
      <c r="G94" s="128" t="n"/>
      <c r="H94" s="128" t="inlineStr">
        <is>
          <t>And for 18 shilling 4pence from 3 cows sold as made clear elsewhere, at 6 shilling 8pence each for 2, and 5 shilling for 1.</t>
        </is>
      </c>
      <c r="I94" s="128" t="n"/>
    </row>
    <row r="95">
      <c r="A95" s="137" t="inlineStr">
        <is>
          <t>Sale of stock</t>
        </is>
      </c>
      <c r="B95" s="128" t="n">
        <v>0</v>
      </c>
      <c r="C95" s="128" t="n">
        <v>5</v>
      </c>
      <c r="D95" s="128" t="n">
        <v>8</v>
      </c>
      <c r="E95" s="128" t="n"/>
      <c r="F95" s="128" t="n">
        <v>0.28</v>
      </c>
      <c r="G95" s="128" t="n"/>
      <c r="H95" s="128" t="inlineStr">
        <is>
          <t>5 shilling from 3 wethers sold as made clear elsewhere, at 1 shilling 8pence each.</t>
        </is>
      </c>
      <c r="I95" s="128" t="n"/>
    </row>
    <row r="96">
      <c r="A96" s="137" t="inlineStr">
        <is>
          <t>Sale of stock</t>
        </is>
      </c>
      <c r="B96" s="128" t="n">
        <v>1</v>
      </c>
      <c r="C96" s="128" t="n">
        <v>3</v>
      </c>
      <c r="D96" s="128" t="n">
        <v>4</v>
      </c>
      <c r="E96" s="128" t="n"/>
      <c r="F96" s="128" t="n">
        <v>1.17</v>
      </c>
      <c r="G96" s="128" t="n"/>
      <c r="H96" s="128" t="inlineStr">
        <is>
          <t>Total, £1 3 shilling 4pence.</t>
        </is>
      </c>
      <c r="I96" s="128" t="n"/>
    </row>
    <row r="97">
      <c r="A97" s="138" t="inlineStr">
        <is>
          <t>Sale of stock total</t>
        </is>
      </c>
      <c r="B97" s="139" t="n"/>
      <c r="C97" s="139" t="n"/>
      <c r="D97" s="139" t="n"/>
      <c r="E97" s="139" t="n"/>
      <c r="F97" s="139" t="n">
        <v>1.2</v>
      </c>
      <c r="G97" s="139" t="n">
        <v>0.03</v>
      </c>
      <c r="H97" s="139" t="inlineStr">
        <is>
          <t>Total</t>
        </is>
      </c>
      <c r="I97" s="139" t="n"/>
    </row>
    <row r="98">
      <c r="A98" s="137" t="n"/>
      <c r="B98" s="128" t="n"/>
      <c r="C98" s="128" t="n"/>
      <c r="D98" s="128" t="n"/>
      <c r="E98" s="128" t="n"/>
      <c r="F98" s="128" t="n"/>
      <c r="G98" s="128" t="n"/>
      <c r="H98" s="128" t="n"/>
      <c r="I98" s="128" t="n"/>
    </row>
    <row r="99">
      <c r="A99" s="136" t="inlineStr">
        <is>
          <t>Entry and marriage fines</t>
        </is>
      </c>
      <c r="B99" s="128" t="n">
        <v>2</v>
      </c>
      <c r="C99" s="128" t="n">
        <v>9</v>
      </c>
      <c r="D99" s="128" t="n">
        <v>10</v>
      </c>
      <c r="E99" s="128" t="n"/>
      <c r="F99" s="128" t="n">
        <v>2.49</v>
      </c>
      <c r="G99" s="128" t="n"/>
      <c r="H99" s="128" t="inlineStr">
        <is>
          <t>And for £2 9 shilling 10pence from the fixed payment for tithingpenny of the 15 inner tithings at the tourn of Martinmas.</t>
        </is>
      </c>
      <c r="I99" s="128" t="n"/>
    </row>
    <row r="100">
      <c r="A100" s="137" t="inlineStr">
        <is>
          <t>Entry and marriage fines</t>
        </is>
      </c>
      <c r="B100" s="128" t="n">
        <v>0</v>
      </c>
      <c r="C100" s="128" t="n">
        <v>4</v>
      </c>
      <c r="D100" s="128" t="n">
        <v>0</v>
      </c>
      <c r="E100" s="128" t="n"/>
      <c r="F100" s="128" t="n">
        <v>0.2</v>
      </c>
      <c r="G100" s="128" t="n"/>
      <c r="H100" s="128" t="inlineStr">
        <is>
          <t>4 shilling from the 4 foreign tithings at the same tourn.</t>
        </is>
      </c>
      <c r="I100" s="128" t="n"/>
    </row>
    <row r="101">
      <c r="A101" s="137" t="inlineStr">
        <is>
          <t>Entry and marriage fines</t>
        </is>
      </c>
      <c r="B101" s="128" t="n">
        <v>2</v>
      </c>
      <c r="C101" s="128" t="n">
        <v>9</v>
      </c>
      <c r="D101" s="128" t="n">
        <v>10</v>
      </c>
      <c r="E101" s="128" t="n"/>
      <c r="F101" s="128" t="n">
        <v>2.49</v>
      </c>
      <c r="G101" s="128" t="n"/>
      <c r="H101" s="128" t="inlineStr">
        <is>
          <t>£2 9 shilling 10pence from the fixed payment for tithingpenny of the 15 inner tithings at the tourn of Hockday.</t>
        </is>
      </c>
      <c r="I101" s="128" t="n"/>
    </row>
    <row r="102">
      <c r="A102" s="137" t="inlineStr">
        <is>
          <t>Entry and marriage fines</t>
        </is>
      </c>
      <c r="B102" s="128" t="n">
        <v>0</v>
      </c>
      <c r="C102" s="128" t="n">
        <v>4</v>
      </c>
      <c r="D102" s="128" t="n">
        <v>0</v>
      </c>
      <c r="E102" s="128" t="n"/>
      <c r="F102" s="128" t="n">
        <v>0.2</v>
      </c>
      <c r="G102" s="128" t="n"/>
      <c r="H102" s="128" t="inlineStr">
        <is>
          <t>4 shilling from the 4 foreign tithings at the same.</t>
        </is>
      </c>
      <c r="I102" s="128" t="n"/>
    </row>
    <row r="103">
      <c r="A103" s="137" t="inlineStr">
        <is>
          <t>Entry and marriage fines</t>
        </is>
      </c>
      <c r="B103" s="128" t="n">
        <v>0</v>
      </c>
      <c r="C103" s="128" t="n">
        <v>6</v>
      </c>
      <c r="D103" s="128" t="n">
        <v>8</v>
      </c>
      <c r="E103" s="128" t="n"/>
      <c r="F103" s="128" t="n">
        <v>0.33</v>
      </c>
      <c r="G103" s="128" t="n"/>
      <c r="H103" s="128" t="inlineStr">
        <is>
          <t>6 shilling 8pence from John, son of Stephen Frost, to have 1 messuage with a curtilage and 1 virgate of villein land and 1 parcel of meadow purpresture in the tithing of Runfold which belonged to the aforesaid Stephen his father.</t>
        </is>
      </c>
      <c r="I103" s="128" t="n"/>
    </row>
    <row r="104">
      <c r="A104" s="137" t="inlineStr">
        <is>
          <t>Entry and marriage fines</t>
        </is>
      </c>
      <c r="B104" s="128" t="n">
        <v>0</v>
      </c>
      <c r="C104" s="128" t="n">
        <v>3</v>
      </c>
      <c r="D104" s="128" t="n">
        <v>4</v>
      </c>
      <c r="E104" s="128" t="n"/>
      <c r="F104" s="128" t="n">
        <v>0.17</v>
      </c>
      <c r="G104" s="128" t="n"/>
      <c r="H104" s="128" t="inlineStr">
        <is>
          <t>3 shilling 4pence from Alice Askolne to have 1 messuage with a curtilage and 1 virgate of villein land in the tithing of Frensham which belonged to William Leyere her kinsman.</t>
        </is>
      </c>
      <c r="I104" s="128" t="n"/>
    </row>
    <row r="105">
      <c r="A105" s="137" t="inlineStr">
        <is>
          <t>Entry and marriage fines</t>
        </is>
      </c>
      <c r="B105" s="128" t="n">
        <v>0</v>
      </c>
      <c r="C105" s="128" t="n">
        <v>6</v>
      </c>
      <c r="D105" s="128" t="n">
        <v>8</v>
      </c>
      <c r="E105" s="128" t="n"/>
      <c r="F105" s="128" t="n">
        <v>0.33</v>
      </c>
      <c r="G105" s="128" t="n"/>
      <c r="H105" s="128" t="inlineStr">
        <is>
          <t>6 shilling 8pence from William Askolne to have Alice Askolne with her land, that is, 1 messuage with a curtilage and 1 virgate of villein land in the tithing of Frensham.</t>
        </is>
      </c>
      <c r="I105" s="128" t="n"/>
    </row>
    <row r="106">
      <c r="A106" s="137" t="inlineStr">
        <is>
          <t>Entry and marriage fines</t>
        </is>
      </c>
      <c r="B106" s="128" t="n">
        <v>0</v>
      </c>
      <c r="C106" s="128" t="n">
        <v>2</v>
      </c>
      <c r="D106" s="128" t="n">
        <v>0</v>
      </c>
      <c r="E106" s="128" t="n"/>
      <c r="F106" s="128" t="n">
        <v>0.1</v>
      </c>
      <c r="G106" s="128" t="n"/>
      <c r="H106" s="128" t="inlineStr">
        <is>
          <t>2 shilling from Walter Sprot to have 1 messuage with a curtilage and' virgate of villein land and 2 acres of purpresture in the tithing of Tilford by surrender of William Colman.</t>
        </is>
      </c>
      <c r="I106" s="128" t="n"/>
    </row>
    <row r="107">
      <c r="A107" s="137" t="inlineStr">
        <is>
          <t>Entry and marriage fines</t>
        </is>
      </c>
      <c r="B107" s="128" t="n">
        <v>0</v>
      </c>
      <c r="C107" s="128" t="n">
        <v>6</v>
      </c>
      <c r="D107" s="128" t="n">
        <v>8</v>
      </c>
      <c r="E107" s="128" t="n"/>
      <c r="F107" s="128" t="n">
        <v>0.33</v>
      </c>
      <c r="G107" s="128" t="n"/>
      <c r="H107" s="128"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I107" s="128" t="n"/>
    </row>
    <row r="108">
      <c r="A108" s="137" t="inlineStr">
        <is>
          <t>Entry and marriage fines</t>
        </is>
      </c>
      <c r="B108" s="128" t="n">
        <v>0</v>
      </c>
      <c r="C108" s="128" t="n">
        <v>1</v>
      </c>
      <c r="D108" s="128" t="n">
        <v>0</v>
      </c>
      <c r="E108" s="128" t="n"/>
      <c r="F108" s="128" t="n">
        <v>0.05</v>
      </c>
      <c r="G108" s="128" t="n"/>
      <c r="H108" s="128" t="inlineStr">
        <is>
          <t>1 shilling from John Plonker' to have 12 acres of purpresture in the tithing of Churt by surrender of William Bereford'.</t>
        </is>
      </c>
      <c r="I108" s="128" t="n"/>
    </row>
    <row r="109">
      <c r="A109" s="137" t="inlineStr">
        <is>
          <t>Entry and marriage fines</t>
        </is>
      </c>
      <c r="B109" s="128" t="n">
        <v>0</v>
      </c>
      <c r="C109" s="128" t="n">
        <v>2</v>
      </c>
      <c r="D109" s="128" t="n">
        <v>0</v>
      </c>
      <c r="E109" s="128" t="n"/>
      <c r="F109" s="128" t="n">
        <v>0.1</v>
      </c>
      <c r="G109" s="128" t="n"/>
      <c r="H109" s="128" t="inlineStr">
        <is>
          <t>2 shilling from Richard atte Wellere to have 1 cottage and 8 acres of villein land in the tithing of Dogflood which belonged to Alice atte Welle his mother.</t>
        </is>
      </c>
      <c r="I109" s="128" t="n"/>
    </row>
    <row r="110">
      <c r="A110" s="137" t="inlineStr">
        <is>
          <t>Entry and marriage fines</t>
        </is>
      </c>
      <c r="B110" s="128" t="n">
        <v>0</v>
      </c>
      <c r="C110" s="128" t="n">
        <v>0</v>
      </c>
      <c r="D110" s="128" t="n">
        <v>8</v>
      </c>
      <c r="E110" s="128" t="n"/>
      <c r="F110" s="128" t="n">
        <v>0.03</v>
      </c>
      <c r="G110" s="128" t="n"/>
      <c r="H110" s="128" t="inlineStr">
        <is>
          <t>8pence from William Lopere to have 1 acre of purpresture in 1 croft of land called Tolhopescroft in the tithing of Badshot by surrender of John Hacchere.</t>
        </is>
      </c>
      <c r="I110" s="128" t="n"/>
    </row>
    <row r="111">
      <c r="A111" s="137" t="inlineStr">
        <is>
          <t>Entry and marriage fines</t>
        </is>
      </c>
      <c r="B111" s="128" t="n">
        <v>0</v>
      </c>
      <c r="C111" s="128" t="n">
        <v>3</v>
      </c>
      <c r="D111" s="128" t="n">
        <v>4</v>
      </c>
      <c r="E111" s="128" t="n"/>
      <c r="F111" s="128" t="n">
        <v>0.17</v>
      </c>
      <c r="G111" s="128" t="n"/>
      <c r="H111" s="128"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I111" s="128" t="n"/>
    </row>
    <row r="112">
      <c r="A112" s="137" t="inlineStr">
        <is>
          <t>Entry and marriage fines</t>
        </is>
      </c>
      <c r="B112" s="128" t="n">
        <v>0</v>
      </c>
      <c r="C112" s="128" t="n">
        <v>6</v>
      </c>
      <c r="D112" s="128" t="n">
        <v>8</v>
      </c>
      <c r="E112" s="128" t="n"/>
      <c r="F112" s="128" t="n">
        <v>0.33</v>
      </c>
      <c r="G112" s="128" t="n"/>
      <c r="H112" s="128" t="inlineStr">
        <is>
          <t>6 shilling 8pence from Robert Floder' to have 1 messuage with a curtilage and .5 virgate of villein land and 4 acres of purpresture in the tithing of Tilford which formerly belonged to Robert Hampton' by surrender of John Kempe.</t>
        </is>
      </c>
      <c r="I112" s="128" t="n"/>
    </row>
    <row r="113">
      <c r="A113" s="137" t="inlineStr">
        <is>
          <t>Entry and marriage fines</t>
        </is>
      </c>
      <c r="B113" s="128" t="n">
        <v>0</v>
      </c>
      <c r="C113" s="128" t="n">
        <v>10</v>
      </c>
      <c r="D113" s="128" t="n">
        <v>0</v>
      </c>
      <c r="E113" s="128" t="n"/>
      <c r="F113" s="128" t="n">
        <v>0.5</v>
      </c>
      <c r="G113" s="128" t="n"/>
      <c r="H113" s="128"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I113" s="128" t="n"/>
    </row>
    <row r="114">
      <c r="A114" s="137" t="inlineStr">
        <is>
          <t>Entry and marriage fines</t>
        </is>
      </c>
      <c r="B114" s="128" t="n">
        <v>0</v>
      </c>
      <c r="C114" s="128" t="n">
        <v>0</v>
      </c>
      <c r="D114" s="128" t="n">
        <v>8</v>
      </c>
      <c r="E114" s="128" t="n"/>
      <c r="F114" s="128" t="n">
        <v>0.03</v>
      </c>
      <c r="G114" s="128" t="n"/>
      <c r="H114" s="128" t="inlineStr">
        <is>
          <t>8pence from John Hacchere to have 1 acre of purpresture in 1 croft called Tolhopescroft in the tithing of Badshot by surrender of Alice atte Hacche his mother.</t>
        </is>
      </c>
      <c r="I114" s="128" t="n"/>
    </row>
    <row r="115">
      <c r="A115" s="137" t="inlineStr">
        <is>
          <t>Entry and marriage fines</t>
        </is>
      </c>
      <c r="B115" s="128" t="n">
        <v>0</v>
      </c>
      <c r="C115" s="128" t="n">
        <v>0</v>
      </c>
      <c r="D115" s="128" t="n">
        <v>8</v>
      </c>
      <c r="E115" s="128" t="n"/>
      <c r="F115" s="128" t="n">
        <v>0.03</v>
      </c>
      <c r="G115" s="128" t="n"/>
      <c r="H115" s="128" t="inlineStr">
        <is>
          <t>8pence from William Lepere to have 1 acre of purpresture in Tolhopescroft in the tithing of Badshot by surrender of Margaret atte Welle.</t>
        </is>
      </c>
      <c r="I115" s="128" t="n"/>
    </row>
    <row r="116">
      <c r="A116" s="137" t="inlineStr">
        <is>
          <t>Entry and marriage fines</t>
        </is>
      </c>
      <c r="B116" s="128" t="n">
        <v>0</v>
      </c>
      <c r="C116" s="128" t="n">
        <v>1</v>
      </c>
      <c r="D116" s="128" t="n">
        <v>0</v>
      </c>
      <c r="E116" s="128" t="n"/>
      <c r="F116" s="128" t="n">
        <v>0.05</v>
      </c>
      <c r="G116" s="128" t="n"/>
      <c r="H116" s="128" t="inlineStr">
        <is>
          <t>1 shilling from Thomas Fox' to have 1 cottage with a curtilage in the tithing of Compton by surrender of William Goos.</t>
        </is>
      </c>
      <c r="I116" s="128" t="n"/>
    </row>
    <row r="117">
      <c r="A117" s="137" t="inlineStr">
        <is>
          <t>Entry and marriage fines</t>
        </is>
      </c>
      <c r="B117" s="128" t="n">
        <v>7</v>
      </c>
      <c r="C117" s="128" t="n">
        <v>19</v>
      </c>
      <c r="D117" s="128" t="n">
        <v>0</v>
      </c>
      <c r="E117" s="128" t="n"/>
      <c r="F117" s="128" t="n">
        <v>7.95</v>
      </c>
      <c r="G117" s="128" t="n"/>
      <c r="H117" s="128" t="inlineStr">
        <is>
          <t>Total, £7 19 shilling.</t>
        </is>
      </c>
      <c r="I117" s="128" t="n"/>
    </row>
    <row r="118">
      <c r="A118" s="138" t="inlineStr">
        <is>
          <t>Entry and marriage fines total</t>
        </is>
      </c>
      <c r="B118" s="139" t="n"/>
      <c r="C118" s="139" t="n"/>
      <c r="D118" s="139" t="n"/>
      <c r="E118" s="139" t="n"/>
      <c r="F118" s="139" t="n">
        <v>7.93</v>
      </c>
      <c r="G118" s="139" t="n">
        <v>-0.02</v>
      </c>
      <c r="H118" s="139" t="inlineStr">
        <is>
          <t>Total</t>
        </is>
      </c>
      <c r="I118" s="139" t="n"/>
    </row>
    <row r="119">
      <c r="A119" s="137" t="n"/>
      <c r="B119" s="128" t="n"/>
      <c r="C119" s="128" t="n"/>
      <c r="D119" s="128" t="n"/>
      <c r="E119" s="128" t="n"/>
      <c r="F119" s="128" t="n"/>
      <c r="G119" s="128" t="n"/>
      <c r="H119" s="128" t="n"/>
      <c r="I119" s="128" t="n"/>
    </row>
    <row r="120">
      <c r="A120" s="136" t="inlineStr">
        <is>
          <t>Perquisites of court</t>
        </is>
      </c>
      <c r="B120" s="128" t="n">
        <v>2</v>
      </c>
      <c r="C120" s="128" t="n">
        <v>0</v>
      </c>
      <c r="D120" s="128" t="n">
        <v>9</v>
      </c>
      <c r="E120" s="128" t="n"/>
      <c r="F120" s="128" t="n">
        <v>2.04</v>
      </c>
      <c r="G120" s="128" t="n"/>
      <c r="H120" s="128" t="inlineStr">
        <is>
          <t>And for £2 9pence from the perquisites of the toum of Martinmas (11 November).</t>
        </is>
      </c>
      <c r="I120" s="128" t="n"/>
    </row>
    <row r="121">
      <c r="A121" s="137" t="inlineStr">
        <is>
          <t>Perquisites of court</t>
        </is>
      </c>
      <c r="B121" s="128" t="n">
        <v>0</v>
      </c>
      <c r="C121" s="128" t="n">
        <v>15</v>
      </c>
      <c r="D121" s="128" t="n">
        <v>10</v>
      </c>
      <c r="E121" s="128" t="n"/>
      <c r="F121" s="128" t="n">
        <v>0.79</v>
      </c>
      <c r="G121" s="128" t="n"/>
      <c r="H121" s="128" t="inlineStr">
        <is>
          <t>15 shilling 10pence from the perquisites of the courts held by the constable after the said tourn and before.</t>
        </is>
      </c>
      <c r="I121" s="128" t="n"/>
    </row>
    <row r="122">
      <c r="A122" s="137" t="inlineStr">
        <is>
          <t>Perquisites of court</t>
        </is>
      </c>
      <c r="B122" s="128" t="n">
        <v>1</v>
      </c>
      <c r="C122" s="128" t="n">
        <v>1</v>
      </c>
      <c r="D122" s="128" t="n">
        <v>9</v>
      </c>
      <c r="E122" s="128" t="n"/>
      <c r="F122" s="128" t="n">
        <v>1.09</v>
      </c>
      <c r="G122" s="128" t="n"/>
      <c r="H122" s="128" t="inlineStr">
        <is>
          <t>£1 1 shilling 9pence from the perquisites of the toum of Hockday (1 April).</t>
        </is>
      </c>
      <c r="I122" s="128" t="n"/>
    </row>
    <row r="123">
      <c r="A123" s="137" t="inlineStr">
        <is>
          <t>Perquisites of court</t>
        </is>
      </c>
      <c r="B123" s="128" t="n">
        <v>0</v>
      </c>
      <c r="C123" s="128" t="n">
        <v>17</v>
      </c>
      <c r="D123" s="128" t="n">
        <v>2</v>
      </c>
      <c r="E123" s="128" t="n"/>
      <c r="F123" s="128" t="n">
        <v>0.86</v>
      </c>
      <c r="G123" s="128" t="n"/>
      <c r="H123" s="128" t="inlineStr">
        <is>
          <t>17 shilling 2pence from the perquisites of the courts held by the constable after the said tourn and before, and not more because the farmer has the amercements of the demesne land with the farm.</t>
        </is>
      </c>
      <c r="I123" s="128" t="n"/>
    </row>
    <row r="124">
      <c r="A124" s="137" t="inlineStr">
        <is>
          <t>Perquisites of court</t>
        </is>
      </c>
      <c r="B124" s="128" t="n">
        <v>4</v>
      </c>
      <c r="C124" s="128" t="n">
        <v>15</v>
      </c>
      <c r="D124" s="128" t="n">
        <v>6</v>
      </c>
      <c r="E124" s="128" t="n"/>
      <c r="F124" s="128" t="n">
        <v>4.78</v>
      </c>
      <c r="G124" s="128" t="n"/>
      <c r="H124" s="128" t="inlineStr">
        <is>
          <t>Total, £4 15 shilling 6pence.</t>
        </is>
      </c>
      <c r="I124" s="128" t="n"/>
    </row>
    <row r="125">
      <c r="A125" s="138" t="inlineStr">
        <is>
          <t>Perquisites of court total</t>
        </is>
      </c>
      <c r="B125" s="139" t="n"/>
      <c r="C125" s="139" t="n"/>
      <c r="D125" s="139" t="n"/>
      <c r="E125" s="139" t="n"/>
      <c r="F125" s="139" t="n">
        <v>4.78</v>
      </c>
      <c r="G125" s="139" t="n">
        <v>0</v>
      </c>
      <c r="H125" s="139" t="inlineStr">
        <is>
          <t>Total</t>
        </is>
      </c>
      <c r="I125" s="139" t="n"/>
    </row>
    <row r="126">
      <c r="A126" s="137" t="n"/>
      <c r="B126" s="128" t="n"/>
      <c r="C126" s="128" t="n"/>
      <c r="D126" s="128" t="n"/>
      <c r="E126" s="128" t="n"/>
      <c r="F126" s="128" t="n"/>
      <c r="G126" s="128" t="n"/>
      <c r="H126" s="128" t="n"/>
      <c r="I126" s="128" t="n"/>
    </row>
    <row r="127">
      <c r="A127" s="136" t="inlineStr">
        <is>
          <t>Green wax</t>
        </is>
      </c>
      <c r="B127" s="128" t="n">
        <v>0</v>
      </c>
      <c r="C127" s="128" t="n">
        <v>0</v>
      </c>
      <c r="D127" s="128" t="n">
        <v>0</v>
      </c>
      <c r="E127" s="128" t="n"/>
      <c r="F127" s="128" t="n">
        <v>0</v>
      </c>
      <c r="G127" s="128" t="n"/>
      <c r="H127" s="128"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I127" s="128" t="n"/>
    </row>
    <row r="128">
      <c r="A128" s="138" t="inlineStr">
        <is>
          <t>Green wax total</t>
        </is>
      </c>
      <c r="B128" s="139" t="n">
        <v>307</v>
      </c>
      <c r="C128" s="139" t="n">
        <v>1</v>
      </c>
      <c r="D128" s="139" t="n">
        <v>9</v>
      </c>
      <c r="E128" s="139" t="n"/>
      <c r="F128" s="139" t="n">
        <v>307.09</v>
      </c>
      <c r="G128" s="139" t="n">
        <v>307.09</v>
      </c>
      <c r="H128" s="139" t="inlineStr">
        <is>
          <t>Total of all receipts with arrears, £307 1 shilling 9pence.</t>
        </is>
      </c>
      <c r="I128" s="139" t="n"/>
    </row>
    <row r="129">
      <c r="A129" s="38" t="inlineStr">
        <is>
          <t>Total of all receipts recorded in accounts (calculated here)</t>
        </is>
      </c>
      <c r="F129">
        <f>SUMIF(A1:A128,"* total",F1:F128)-SUMIF(A1:A128,"Arrears total",F1:F128)</f>
        <v/>
      </c>
    </row>
    <row r="130">
      <c r="A130" s="38" t="inlineStr">
        <is>
          <t>Total of all receipts (calculated here) incl arrears</t>
        </is>
      </c>
      <c r="F130">
        <f>F129+SUMIF(A1:A128,"Arrears total",F1:F128)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FARNHAM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Customary payments</t>
        </is>
      </c>
      <c r="B4" s="128" t="n">
        <v>0</v>
      </c>
      <c r="C4" s="128" t="n">
        <v>0</v>
      </c>
      <c r="D4" s="128" t="n">
        <v>0</v>
      </c>
      <c r="E4" s="128" t="n"/>
      <c r="F4" s="128" t="n">
        <v>0</v>
      </c>
      <c r="G4" s="128" t="n"/>
      <c r="H4" s="128" t="inlineStr">
        <is>
          <t>In customary payment to 24 of the lord's customary tenants for their meals for 3 days.</t>
        </is>
      </c>
    </row>
    <row r="5">
      <c r="A5" s="137" t="inlineStr">
        <is>
          <t>Customary payments</t>
        </is>
      </c>
      <c r="B5" s="128" t="n">
        <v>0</v>
      </c>
      <c r="C5" s="128" t="n">
        <v>9</v>
      </c>
      <c r="D5" s="128" t="n">
        <v>0</v>
      </c>
      <c r="E5" s="128" t="n"/>
      <c r="F5" s="128" t="n">
        <v>0.45</v>
      </c>
      <c r="G5" s="128" t="n"/>
      <c r="H5" s="128" t="inlineStr">
        <is>
          <t>a year, at Christmas, Shrove Tuesday and Easter, 9 shilling.</t>
        </is>
      </c>
    </row>
    <row r="6">
      <c r="A6" s="137" t="inlineStr">
        <is>
          <t>Customary payments</t>
        </is>
      </c>
      <c r="B6" s="128" t="n">
        <v>0</v>
      </c>
      <c r="C6" s="128" t="n">
        <v>9</v>
      </c>
      <c r="D6" s="128" t="n">
        <v>0</v>
      </c>
      <c r="E6" s="128" t="n"/>
      <c r="F6" s="128" t="n">
        <v>0.45</v>
      </c>
      <c r="G6" s="128" t="n"/>
      <c r="H6" s="128" t="inlineStr">
        <is>
          <t>Total, 9 shilling.</t>
        </is>
      </c>
    </row>
    <row r="7">
      <c r="A7" s="138" t="inlineStr">
        <is>
          <t>Customary payments total</t>
        </is>
      </c>
      <c r="B7" s="139" t="n"/>
      <c r="C7" s="139" t="n"/>
      <c r="D7" s="139" t="n"/>
      <c r="E7" s="139" t="n"/>
      <c r="F7" s="139" t="n">
        <v>0.45</v>
      </c>
      <c r="G7" s="139" t="n">
        <v>0</v>
      </c>
      <c r="H7" s="139" t="inlineStr">
        <is>
          <t>Total</t>
        </is>
      </c>
    </row>
    <row r="8">
      <c r="A8" s="137" t="n"/>
      <c r="B8" s="128" t="n"/>
      <c r="C8" s="128" t="n"/>
      <c r="D8" s="128" t="n"/>
      <c r="E8" s="128" t="n"/>
      <c r="F8" s="128" t="n"/>
      <c r="G8" s="128" t="n"/>
      <c r="H8" s="128" t="n"/>
    </row>
    <row r="9">
      <c r="A9" s="136" t="inlineStr">
        <is>
          <t>Expenses of the steward</t>
        </is>
      </c>
      <c r="B9" s="128" t="n">
        <v>1</v>
      </c>
      <c r="C9" s="128" t="n">
        <v>15</v>
      </c>
      <c r="D9" s="128" t="n">
        <v>7</v>
      </c>
      <c r="E9" s="128" t="n"/>
      <c r="F9" s="128" t="n">
        <v>1.78</v>
      </c>
      <c r="G9" s="128" t="n"/>
      <c r="H9" s="128" t="inlineStr">
        <is>
          <t>In expenses of Richard Wyot', steward, at the tourns of Martinmas and Hockday, by 2 sealed bills in cash, £1 15 shilling 7pence.</t>
        </is>
      </c>
    </row>
    <row r="10">
      <c r="A10" s="137" t="inlineStr">
        <is>
          <t>Expenses of the steward</t>
        </is>
      </c>
      <c r="B10" s="128" t="n">
        <v>0</v>
      </c>
      <c r="C10" s="128" t="n">
        <v>5</v>
      </c>
      <c r="D10" s="128" t="n">
        <v>0</v>
      </c>
      <c r="E10" s="128" t="n"/>
      <c r="F10" s="128" t="n">
        <v>0.25</v>
      </c>
      <c r="G10" s="128" t="n"/>
      <c r="H10" s="128" t="inlineStr">
        <is>
          <t>5 bushels of wheat bought for the provision of the same 5 shilling.</t>
        </is>
      </c>
    </row>
    <row r="11">
      <c r="A11" s="137" t="inlineStr">
        <is>
          <t>Expenses of the steward</t>
        </is>
      </c>
      <c r="B11" s="128" t="n">
        <v>0</v>
      </c>
      <c r="C11" s="128" t="n">
        <v>9</v>
      </c>
      <c r="D11" s="128" t="n">
        <v>0</v>
      </c>
      <c r="E11" s="128" t="n"/>
      <c r="F11" s="128" t="n">
        <v>0.45</v>
      </c>
      <c r="G11" s="128" t="n"/>
      <c r="H11" s="128" t="inlineStr">
        <is>
          <t>4 quarters 4 bushels of oats bought for the fodder of the horses at the said tourns 9 shilling, at 2 shilling a qr.</t>
        </is>
      </c>
    </row>
    <row r="12">
      <c r="A12" s="137" t="inlineStr">
        <is>
          <t>Expenses of the steward</t>
        </is>
      </c>
      <c r="B12" s="128" t="n">
        <v>2</v>
      </c>
      <c r="C12" s="128" t="n">
        <v>9</v>
      </c>
      <c r="D12" s="128" t="n">
        <v>7</v>
      </c>
      <c r="E12" s="128" t="n"/>
      <c r="F12" s="128" t="n">
        <v>2.48</v>
      </c>
      <c r="G12" s="128" t="n"/>
      <c r="H12" s="128" t="inlineStr">
        <is>
          <t>Total, £2 9 shilling 7pence.</t>
        </is>
      </c>
    </row>
    <row r="13">
      <c r="A13" s="138" t="inlineStr">
        <is>
          <t>Expenses of the steward total</t>
        </is>
      </c>
      <c r="B13" s="139" t="n"/>
      <c r="C13" s="139" t="n"/>
      <c r="D13" s="139" t="n"/>
      <c r="E13" s="139" t="n"/>
      <c r="F13" s="139" t="n">
        <v>2.48</v>
      </c>
      <c r="G13" s="139" t="n">
        <v>0</v>
      </c>
      <c r="H13" s="139" t="inlineStr">
        <is>
          <t>Total</t>
        </is>
      </c>
    </row>
    <row r="14">
      <c r="A14" s="137" t="n"/>
      <c r="B14" s="128" t="n"/>
      <c r="C14" s="128" t="n"/>
      <c r="D14" s="128" t="n"/>
      <c r="E14" s="128" t="n"/>
      <c r="F14" s="128" t="n"/>
      <c r="G14" s="128" t="n"/>
      <c r="H14" s="128" t="n"/>
    </row>
    <row r="15">
      <c r="A15" s="137" t="inlineStr">
        <is>
          <t>Total of all expenses</t>
        </is>
      </c>
      <c r="B15" s="128" t="n">
        <v>60</v>
      </c>
      <c r="C15" s="128" t="n">
        <v>19</v>
      </c>
      <c r="D15" s="128" t="n">
        <v>8</v>
      </c>
      <c r="E15" s="128" t="n"/>
      <c r="F15" s="128" t="n">
        <v>60.98</v>
      </c>
      <c r="G15" s="128" t="n"/>
      <c r="H15" s="128" t="inlineStr">
        <is>
          <t>Total of all expenses, £60 19 shilling 8pence.</t>
        </is>
      </c>
    </row>
    <row r="16">
      <c r="A16" s="137" t="inlineStr">
        <is>
          <t>Total of all expenses</t>
        </is>
      </c>
      <c r="B16" s="128" t="n"/>
      <c r="C16" s="128" t="n"/>
      <c r="D16" s="128" t="n"/>
      <c r="E16" s="128" t="n"/>
      <c r="F16" s="128" t="n">
        <v>0</v>
      </c>
      <c r="G16" s="128" t="n">
        <v>-60.98</v>
      </c>
      <c r="H16" s="128" t="inlineStr">
        <is>
          <t>Total</t>
        </is>
      </c>
    </row>
    <row r="17">
      <c r="A17" s="137" t="n"/>
      <c r="B17" s="128" t="n"/>
      <c r="C17" s="128" t="n"/>
      <c r="D17" s="128" t="n"/>
      <c r="E17" s="128" t="n"/>
      <c r="F17" s="128" t="n"/>
      <c r="G17" s="128" t="n"/>
      <c r="H17" s="128" t="n"/>
    </row>
    <row r="18">
      <c r="A18" s="136" t="inlineStr">
        <is>
          <t>And he owes</t>
        </is>
      </c>
      <c r="B18" s="128" t="n">
        <v>246</v>
      </c>
      <c r="C18" s="128" t="n">
        <v>2</v>
      </c>
      <c r="D18" s="128" t="n">
        <v>1</v>
      </c>
      <c r="E18" s="128" t="n"/>
      <c r="F18" s="128" t="n">
        <v>246.1</v>
      </c>
      <c r="G18" s="128" t="n"/>
      <c r="H18" s="128" t="inlineStr">
        <is>
          <t>And he owes, £246 2 shilling 1pence.</t>
        </is>
      </c>
    </row>
    <row r="19">
      <c r="A19" s="137" t="inlineStr">
        <is>
          <t>And he owes</t>
        </is>
      </c>
      <c r="B19" s="128" t="n"/>
      <c r="C19" s="128" t="n"/>
      <c r="D19" s="128" t="n"/>
      <c r="E19" s="128" t="n"/>
      <c r="F19" s="128" t="n">
        <v>246.1</v>
      </c>
      <c r="G19" s="128" t="n"/>
      <c r="H19" s="128" t="inlineStr">
        <is>
          <t>Total</t>
        </is>
      </c>
    </row>
    <row r="20">
      <c r="A20" s="137" t="inlineStr">
        <is>
          <t>And he owes</t>
        </is>
      </c>
      <c r="B20" s="128" t="n">
        <v>69</v>
      </c>
      <c r="C20" s="128" t="n">
        <v>3</v>
      </c>
      <c r="D20" s="128" t="n">
        <v>9</v>
      </c>
      <c r="E20" s="128" t="n"/>
      <c r="F20" s="128" t="n">
        <v>69.19</v>
      </c>
      <c r="G20" s="128" t="n"/>
      <c r="H20" s="128"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row>
    <row r="21">
      <c r="A21" s="137" t="inlineStr">
        <is>
          <t>And he owes</t>
        </is>
      </c>
      <c r="B21" s="128" t="n">
        <v>0</v>
      </c>
      <c r="C21" s="128" t="n">
        <v>15</v>
      </c>
      <c r="D21" s="128" t="n">
        <v>8</v>
      </c>
      <c r="E21" s="128" t="n"/>
      <c r="F21" s="128" t="n">
        <v>0.78</v>
      </c>
      <c r="G21" s="128" t="n"/>
      <c r="H21" s="128" t="inlineStr">
        <is>
          <t>15 shilling 8pence for the rents of various parcels of decayed land in the lord's hands, cancelled above, and among the rents until an inquest is made by the steward and a certificate made therefor.</t>
        </is>
      </c>
    </row>
    <row r="22">
      <c r="A22" s="138" t="inlineStr">
        <is>
          <t>And he owes total</t>
        </is>
      </c>
      <c r="B22" s="139" t="n">
        <v>5</v>
      </c>
      <c r="C22" s="139" t="n">
        <v>18</v>
      </c>
      <c r="D22" s="139" t="n">
        <v>7</v>
      </c>
      <c r="E22" s="139" t="n"/>
      <c r="F22" s="139" t="n">
        <v>5.93</v>
      </c>
      <c r="G22" s="139" t="n">
        <v>5.15</v>
      </c>
      <c r="H22" s="139" t="inlineStr">
        <is>
          <t>Total remaining, £5 18 shilling 7pence.</t>
        </is>
      </c>
    </row>
    <row r="23">
      <c r="A23" s="137" t="n"/>
      <c r="B23" s="128" t="n"/>
      <c r="C23" s="128" t="n"/>
      <c r="D23" s="128" t="n"/>
      <c r="E23" s="128" t="n"/>
      <c r="F23" s="128" t="n"/>
      <c r="G23" s="128" t="n"/>
      <c r="H23" s="128" t="n"/>
    </row>
    <row r="24">
      <c r="A24" s="136" t="inlineStr">
        <is>
          <t>Cash deliveries</t>
        </is>
      </c>
      <c r="B24" s="128" t="n">
        <v>62</v>
      </c>
      <c r="C24" s="128" t="n">
        <v>10</v>
      </c>
      <c r="D24" s="128" t="n">
        <v>4</v>
      </c>
      <c r="E24" s="128" t="n"/>
      <c r="F24" s="128" t="n">
        <v>62.52</v>
      </c>
      <c r="G24" s="128" t="n"/>
      <c r="H24" s="128" t="inlineStr">
        <is>
          <t>Delivered to John Arnold', receiver of Wolvesey, by 4 tallies, £62 10 shilling 4pence.</t>
        </is>
      </c>
    </row>
    <row r="25">
      <c r="A25" s="137" t="inlineStr">
        <is>
          <t>Cash deliveries</t>
        </is>
      </c>
      <c r="B25" s="128" t="n">
        <v>62</v>
      </c>
      <c r="C25" s="128" t="n">
        <v>10</v>
      </c>
      <c r="D25" s="128" t="n">
        <v>4</v>
      </c>
      <c r="E25" s="128" t="n"/>
      <c r="F25" s="128" t="n">
        <v>62.52</v>
      </c>
      <c r="G25" s="128" t="n"/>
      <c r="H25" s="128" t="inlineStr">
        <is>
          <t>Total, £62 10 shilling 4pence.</t>
        </is>
      </c>
    </row>
    <row r="26">
      <c r="A26" s="138" t="inlineStr">
        <is>
          <t>Cash deliveries total</t>
        </is>
      </c>
      <c r="B26" s="139" t="n"/>
      <c r="C26" s="139" t="n"/>
      <c r="D26" s="139" t="n"/>
      <c r="E26" s="139" t="n"/>
      <c r="F26" s="139" t="n">
        <v>62.52</v>
      </c>
      <c r="G26" s="139" t="n">
        <v>0</v>
      </c>
      <c r="H26" s="139" t="inlineStr">
        <is>
          <t>Total</t>
        </is>
      </c>
    </row>
    <row r="27">
      <c r="A27" s="137" t="n"/>
      <c r="B27" s="128" t="n"/>
      <c r="C27" s="128" t="n"/>
      <c r="D27" s="128" t="n"/>
      <c r="E27" s="128" t="n"/>
      <c r="F27" s="128" t="n"/>
      <c r="G27" s="128" t="n"/>
      <c r="H27" s="128" t="n"/>
    </row>
    <row r="28">
      <c r="A28" s="136" t="inlineStr">
        <is>
          <t>Total of all allowances and cash deliveries</t>
        </is>
      </c>
      <c r="B28" s="128" t="n">
        <v>176</v>
      </c>
      <c r="C28" s="128" t="n">
        <v>18</v>
      </c>
      <c r="D28" s="128" t="n">
        <v>4</v>
      </c>
      <c r="E28" s="128" t="n"/>
      <c r="F28" s="128" t="n">
        <v>176.92</v>
      </c>
      <c r="G28" s="128" t="n"/>
      <c r="H28" s="128" t="inlineStr">
        <is>
          <t>Total of all allowances and cash deliveries, £176 18 shilling 4pence.</t>
        </is>
      </c>
    </row>
    <row r="29">
      <c r="A29" s="138" t="inlineStr">
        <is>
          <t>Total of all allowances and cash deliveries total</t>
        </is>
      </c>
      <c r="B29" s="139" t="n"/>
      <c r="C29" s="139" t="n"/>
      <c r="D29" s="139" t="n"/>
      <c r="E29" s="139" t="n"/>
      <c r="F29" s="139" t="n">
        <v>0</v>
      </c>
      <c r="G29" s="139" t="n">
        <v>-176.92</v>
      </c>
      <c r="H29" s="139" t="inlineStr">
        <is>
          <t>Total</t>
        </is>
      </c>
    </row>
    <row r="31">
      <c r="A31" s="38" t="inlineStr">
        <is>
          <t>Total of all expenses per account</t>
        </is>
      </c>
      <c r="B31" t="n">
        <v>60</v>
      </c>
      <c r="C31" t="n">
        <v>19</v>
      </c>
      <c r="D31" t="n">
        <v>8</v>
      </c>
      <c r="F31">
        <f>F15</f>
        <v/>
      </c>
    </row>
    <row r="32">
      <c r="A32" s="38" t="inlineStr">
        <is>
          <t>Total of all expenses (calculated here)</t>
        </is>
      </c>
      <c r="F32">
        <f>SUMIF(A1:A14,"* total",F1:F14)</f>
        <v/>
      </c>
    </row>
    <row r="33">
      <c r="A33" s="38" t="inlineStr">
        <is>
          <t>Total fixed investment</t>
        </is>
      </c>
    </row>
    <row r="34">
      <c r="A34"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FARNHAM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14</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200</v>
      </c>
      <c r="C14" t="n">
        <v>0</v>
      </c>
      <c r="H14" t="n">
        <v>3</v>
      </c>
      <c r="I14" t="n">
        <v>1</v>
      </c>
      <c r="K14">
        <f>B14+C14-H14-I14</f>
        <v/>
      </c>
      <c r="L14">
        <f>B14+C14-H14</f>
        <v/>
      </c>
      <c r="M14">
        <f>L14-B14</f>
        <v/>
      </c>
      <c r="N14">
        <f>C14</f>
        <v/>
      </c>
      <c r="O14" t="n">
        <v>0.3066666666666667</v>
      </c>
      <c r="P14" s="72">
        <f>O14*K14</f>
        <v/>
      </c>
      <c r="R14" t="n">
        <v>0.92</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0.28</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4</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1.04</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30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Farnham</t>
        </is>
      </c>
      <c r="B2" t="inlineStr">
        <is>
          <t>The account of William atte Rok, reeve there, for the sixth year of the translation of Henry,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Rents of assize</t>
        </is>
      </c>
      <c r="B3" t="inlineStr">
        <is>
          <t>And for £1 3.75pence for all rents of assize at Christmas.</t>
        </is>
      </c>
      <c r="C3" t="n">
        <v>1.02</v>
      </c>
      <c r="D3" t="n">
        <v>1</v>
      </c>
      <c r="E3" t="n">
        <v>0</v>
      </c>
      <c r="F3" t="n">
        <v>3.75</v>
      </c>
      <c r="H3" t="n">
        <v>0</v>
      </c>
      <c r="I3" t="n">
        <v>0</v>
      </c>
      <c r="J3" t="n">
        <v>0</v>
      </c>
      <c r="K3" t="n">
        <v>0</v>
      </c>
      <c r="L3" t="n">
        <v>0</v>
      </c>
      <c r="M3" t="n">
        <v>0</v>
      </c>
      <c r="N3" t="n">
        <v>0</v>
      </c>
    </row>
    <row r="4">
      <c r="A4" t="inlineStr">
        <is>
          <t>Rents of assize</t>
        </is>
      </c>
      <c r="B4" t="inlineStr">
        <is>
          <t>£65 1pence at Easter (23 March).</t>
        </is>
      </c>
      <c r="C4" t="n">
        <v>65</v>
      </c>
      <c r="D4" t="n">
        <v>65</v>
      </c>
      <c r="E4" t="n">
        <v>0</v>
      </c>
      <c r="F4" t="n">
        <v>1</v>
      </c>
      <c r="H4" t="n">
        <v>0</v>
      </c>
      <c r="I4" t="n">
        <v>0</v>
      </c>
      <c r="J4" t="n">
        <v>0</v>
      </c>
      <c r="K4" t="n">
        <v>0</v>
      </c>
      <c r="L4" t="n">
        <v>0</v>
      </c>
      <c r="M4" t="n">
        <v>0</v>
      </c>
      <c r="N4" t="n">
        <v>0</v>
      </c>
    </row>
    <row r="5">
      <c r="A5" t="inlineStr">
        <is>
          <t>Rents of assize</t>
        </is>
      </c>
      <c r="B5" t="inlineStr">
        <is>
          <t>£1 3.25pence at Nativity of St.</t>
        </is>
      </c>
      <c r="C5" t="n">
        <v>1.01</v>
      </c>
      <c r="D5" t="n">
        <v>1</v>
      </c>
      <c r="E5" t="n">
        <v>0</v>
      </c>
      <c r="F5" t="n">
        <v>3.25</v>
      </c>
      <c r="H5" t="n">
        <v>0</v>
      </c>
      <c r="I5" t="n">
        <v>0</v>
      </c>
      <c r="J5" t="n">
        <v>0</v>
      </c>
      <c r="K5" t="n">
        <v>0</v>
      </c>
      <c r="L5" t="n">
        <v>0</v>
      </c>
      <c r="M5" t="n">
        <v>0</v>
      </c>
      <c r="N5" t="n">
        <v>0</v>
      </c>
    </row>
    <row r="6">
      <c r="A6" t="inlineStr">
        <is>
          <t>Rents of assize</t>
        </is>
      </c>
      <c r="B6" t="inlineStr">
        <is>
          <t>John the Baptist (24 June).</t>
        </is>
      </c>
      <c r="C6" t="n">
        <v>0</v>
      </c>
      <c r="D6" t="n">
        <v>0</v>
      </c>
      <c r="E6" t="n">
        <v>0</v>
      </c>
      <c r="F6" t="n">
        <v>0</v>
      </c>
      <c r="H6" t="n">
        <v>0</v>
      </c>
      <c r="I6" t="n">
        <v>0</v>
      </c>
      <c r="J6" t="n">
        <v>0</v>
      </c>
      <c r="K6" t="n">
        <v>0</v>
      </c>
      <c r="L6" t="n">
        <v>0</v>
      </c>
      <c r="M6" t="n">
        <v>0</v>
      </c>
      <c r="N6" t="n">
        <v>0</v>
      </c>
    </row>
    <row r="7">
      <c r="A7" t="inlineStr">
        <is>
          <t>Rents of assize</t>
        </is>
      </c>
      <c r="B7" t="inlineStr">
        <is>
          <t>£68 13 shilling 6pence at Michaelmas (29 September).</t>
        </is>
      </c>
      <c r="C7" t="n">
        <v>68.68000000000001</v>
      </c>
      <c r="D7" t="n">
        <v>68</v>
      </c>
      <c r="E7" t="n">
        <v>13</v>
      </c>
      <c r="F7" t="n">
        <v>6</v>
      </c>
      <c r="H7" t="n">
        <v>0</v>
      </c>
      <c r="I7" t="n">
        <v>0</v>
      </c>
      <c r="J7" t="n">
        <v>0</v>
      </c>
      <c r="K7" t="n">
        <v>0</v>
      </c>
      <c r="L7" t="n">
        <v>0</v>
      </c>
      <c r="M7" t="n">
        <v>0</v>
      </c>
      <c r="N7" t="n">
        <v>0</v>
      </c>
    </row>
    <row r="8">
      <c r="A8" t="inlineStr">
        <is>
          <t>Rents of assize</t>
        </is>
      </c>
      <c r="B8" t="inlineStr">
        <is>
          <t>Total £135 14 shilling 1.5pence.</t>
        </is>
      </c>
      <c r="C8" t="n">
        <v>135.71</v>
      </c>
      <c r="D8" t="n">
        <v>135</v>
      </c>
      <c r="E8" t="n">
        <v>14</v>
      </c>
      <c r="F8" t="n">
        <v>1.5</v>
      </c>
      <c r="H8" t="n">
        <v>0</v>
      </c>
      <c r="I8" t="n">
        <v>0</v>
      </c>
      <c r="J8" t="n">
        <v>0</v>
      </c>
      <c r="K8" t="n">
        <v>0</v>
      </c>
      <c r="L8" t="n">
        <v>0</v>
      </c>
      <c r="M8" t="n">
        <v>0</v>
      </c>
      <c r="N8" t="n">
        <v>0</v>
      </c>
    </row>
    <row r="9">
      <c r="A9" t="inlineStr">
        <is>
          <t>Quittances of rent</t>
        </is>
      </c>
      <c r="B9" t="inlineStr">
        <is>
          <t>In quittance of rent of 1 reeve of Farnahm for the year 5 shilling, and nothing should be provided for the reeve of Seale because the land is let at farm and there is no reeve there.</t>
        </is>
      </c>
      <c r="C9" t="n">
        <v>0.25</v>
      </c>
      <c r="D9" t="n">
        <v>0</v>
      </c>
      <c r="E9" t="n">
        <v>5</v>
      </c>
      <c r="F9" t="n">
        <v>0</v>
      </c>
      <c r="H9" t="n">
        <v>0</v>
      </c>
      <c r="I9" t="n">
        <v>0</v>
      </c>
      <c r="J9" t="n">
        <v>0</v>
      </c>
      <c r="K9" t="n">
        <v>0</v>
      </c>
      <c r="L9" t="n">
        <v>0</v>
      </c>
      <c r="M9" t="n">
        <v>0</v>
      </c>
      <c r="N9" t="n">
        <v>0</v>
      </c>
    </row>
    <row r="10">
      <c r="A10" t="inlineStr">
        <is>
          <t>Quittances of rent</t>
        </is>
      </c>
      <c r="B10" t="inlineStr">
        <is>
          <t>1 beadle for the year 3 shilling, because he is obliged to be overseer of the harvest over the land under cultivation (waynag) and to make summonses.</t>
        </is>
      </c>
      <c r="C10" t="n">
        <v>0.15</v>
      </c>
      <c r="D10" t="n">
        <v>0</v>
      </c>
      <c r="E10" t="n">
        <v>3</v>
      </c>
      <c r="F10" t="n">
        <v>0</v>
      </c>
      <c r="H10" t="n">
        <v>0</v>
      </c>
      <c r="I10" t="n">
        <v>0</v>
      </c>
      <c r="J10" t="n">
        <v>0</v>
      </c>
      <c r="K10" t="n">
        <v>0</v>
      </c>
      <c r="L10" t="n">
        <v>0</v>
      </c>
      <c r="M10" t="n">
        <v>0</v>
      </c>
      <c r="N10" t="n">
        <v>0</v>
      </c>
    </row>
    <row r="11">
      <c r="A11" t="inlineStr">
        <is>
          <t>Quittances of rent</t>
        </is>
      </c>
      <c r="B11" t="inlineStr">
        <is>
          <t>1 smith for the year 10pence, and not more because there is nothing there except one plough.</t>
        </is>
      </c>
      <c r="C11" t="n">
        <v>0.04</v>
      </c>
      <c r="D11" t="n">
        <v>0</v>
      </c>
      <c r="E11" t="n">
        <v>0</v>
      </c>
      <c r="F11" t="n">
        <v>10</v>
      </c>
      <c r="H11" t="n">
        <v>0</v>
      </c>
      <c r="I11" t="n">
        <v>0</v>
      </c>
      <c r="J11" t="n">
        <v>0</v>
      </c>
      <c r="K11" t="n">
        <v>0</v>
      </c>
      <c r="L11" t="n">
        <v>0</v>
      </c>
      <c r="M11" t="n">
        <v>0</v>
      </c>
      <c r="N11" t="n">
        <v>0</v>
      </c>
    </row>
    <row r="12">
      <c r="A12" t="inlineStr">
        <is>
          <t>Quittances of rent</t>
        </is>
      </c>
      <c r="B12" t="inlineStr">
        <is>
          <t>1 ploughman, nothing, because he now has the lord’s livery.</t>
        </is>
      </c>
      <c r="C12" t="n">
        <v>0</v>
      </c>
      <c r="D12" t="n">
        <v>0</v>
      </c>
      <c r="E12" t="n">
        <v>0</v>
      </c>
      <c r="F12" t="n">
        <v>0</v>
      </c>
      <c r="H12" t="n">
        <v>0</v>
      </c>
      <c r="I12" t="n">
        <v>0</v>
      </c>
      <c r="J12" t="n">
        <v>0</v>
      </c>
      <c r="K12" t="n">
        <v>0</v>
      </c>
      <c r="L12" t="n">
        <v>0</v>
      </c>
      <c r="M12" t="n">
        <v>0</v>
      </c>
      <c r="N12" t="n">
        <v>0</v>
      </c>
    </row>
    <row r="13">
      <c r="A13" t="inlineStr">
        <is>
          <t>Quittances of rent</t>
        </is>
      </c>
      <c r="B13" t="inlineStr">
        <is>
          <t>1 park-keeper, nothing, because he now has wages from the lord.</t>
        </is>
      </c>
      <c r="C13" t="n">
        <v>0</v>
      </c>
      <c r="D13" t="n">
        <v>0</v>
      </c>
      <c r="E13" t="n">
        <v>0</v>
      </c>
      <c r="F13" t="n">
        <v>0</v>
      </c>
      <c r="H13" t="n">
        <v>0</v>
      </c>
      <c r="I13" t="n">
        <v>0</v>
      </c>
      <c r="J13" t="n">
        <v>0</v>
      </c>
      <c r="K13" t="n">
        <v>0</v>
      </c>
      <c r="L13" t="n">
        <v>0</v>
      </c>
      <c r="M13" t="n">
        <v>0</v>
      </c>
      <c r="N13" t="n">
        <v>0</v>
      </c>
    </row>
    <row r="14">
      <c r="A14" t="inlineStr">
        <is>
          <t>Quittances of rent</t>
        </is>
      </c>
      <c r="B14" t="inlineStr">
        <is>
          <t>1 cowherd, nothing, because he now has the lord’s livery.</t>
        </is>
      </c>
      <c r="C14" t="n">
        <v>0</v>
      </c>
      <c r="D14" t="n">
        <v>0</v>
      </c>
      <c r="E14" t="n">
        <v>0</v>
      </c>
      <c r="F14" t="n">
        <v>0</v>
      </c>
      <c r="H14" t="n">
        <v>0</v>
      </c>
      <c r="I14" t="n">
        <v>0</v>
      </c>
      <c r="J14" t="n">
        <v>0</v>
      </c>
      <c r="K14" t="n">
        <v>0</v>
      </c>
      <c r="L14" t="n">
        <v>0</v>
      </c>
      <c r="M14" t="n">
        <v>0</v>
      </c>
      <c r="N14" t="n">
        <v>0</v>
      </c>
    </row>
    <row r="15">
      <c r="A15" t="inlineStr">
        <is>
          <t>Quittances of rent</t>
        </is>
      </c>
      <c r="B15" t="inlineStr">
        <is>
          <t>1 swineherd, nothing, because he now has the lord’s livery.</t>
        </is>
      </c>
      <c r="C15" t="n">
        <v>0</v>
      </c>
      <c r="D15" t="n">
        <v>0</v>
      </c>
      <c r="E15" t="n">
        <v>0</v>
      </c>
      <c r="F15" t="n">
        <v>0</v>
      </c>
      <c r="H15" t="n">
        <v>0</v>
      </c>
      <c r="I15" t="n">
        <v>0</v>
      </c>
      <c r="J15" t="n">
        <v>0</v>
      </c>
      <c r="K15" t="n">
        <v>0</v>
      </c>
      <c r="L15" t="n">
        <v>0</v>
      </c>
      <c r="M15" t="n">
        <v>0</v>
      </c>
      <c r="N15" t="n">
        <v>0</v>
      </c>
    </row>
    <row r="16">
      <c r="A16" t="inlineStr">
        <is>
          <t>Quittances of rent</t>
        </is>
      </c>
      <c r="B16" t="inlineStr">
        <is>
          <t>Total, 8 shilling 10pence.</t>
        </is>
      </c>
      <c r="C16" t="n">
        <v>0.44</v>
      </c>
      <c r="D16" t="n">
        <v>0</v>
      </c>
      <c r="E16" t="n">
        <v>8</v>
      </c>
      <c r="F16" t="n">
        <v>10</v>
      </c>
      <c r="H16" t="n">
        <v>0</v>
      </c>
      <c r="I16" t="n">
        <v>0</v>
      </c>
      <c r="J16" t="n">
        <v>0</v>
      </c>
      <c r="K16" t="n">
        <v>0</v>
      </c>
      <c r="L16" t="n">
        <v>0</v>
      </c>
      <c r="M16" t="n">
        <v>0</v>
      </c>
      <c r="N16" t="n">
        <v>0</v>
      </c>
    </row>
    <row r="17">
      <c r="A17" t="inlineStr">
        <is>
          <t>Defaults of rent</t>
        </is>
      </c>
      <c r="B17" t="inlineStr">
        <is>
          <t>In default of the land formerly of Thomas Beel which was taken into the lord’s hands to be leased (assidet) for rent and was afterwards restored without the rent of £6 5 shilling 10pence.</t>
        </is>
      </c>
      <c r="C17" t="n">
        <v>6.29</v>
      </c>
      <c r="D17" t="n">
        <v>6</v>
      </c>
      <c r="E17" t="n">
        <v>5</v>
      </c>
      <c r="F17" t="n">
        <v>10</v>
      </c>
      <c r="H17" t="n">
        <v>0</v>
      </c>
      <c r="I17" t="n">
        <v>0</v>
      </c>
      <c r="J17" t="n">
        <v>0</v>
      </c>
      <c r="K17" t="n">
        <v>0</v>
      </c>
      <c r="L17" t="n">
        <v>0</v>
      </c>
      <c r="M17" t="n">
        <v>0</v>
      </c>
      <c r="N17" t="n">
        <v>0</v>
      </c>
    </row>
    <row r="18">
      <c r="A18" t="inlineStr">
        <is>
          <t>Defaults of rent</t>
        </is>
      </c>
      <c r="B18" t="inlineStr">
        <is>
          <t>the land formerly of Peter de Snayleslynch’ for a similar reason 12 shilling 3pence.</t>
        </is>
      </c>
      <c r="C18" t="n">
        <v>0.61</v>
      </c>
      <c r="D18" t="n">
        <v>0</v>
      </c>
      <c r="E18" t="n">
        <v>12</v>
      </c>
      <c r="F18" t="n">
        <v>3</v>
      </c>
      <c r="H18" t="n">
        <v>0</v>
      </c>
      <c r="I18" t="n">
        <v>0</v>
      </c>
      <c r="J18" t="n">
        <v>0</v>
      </c>
      <c r="K18" t="n">
        <v>0</v>
      </c>
      <c r="L18" t="n">
        <v>0</v>
      </c>
      <c r="M18" t="n">
        <v>0</v>
      </c>
      <c r="N18" t="n">
        <v>0</v>
      </c>
    </row>
    <row r="19">
      <c r="A19" t="inlineStr">
        <is>
          <t>Defaults of rent</t>
        </is>
      </c>
      <c r="B19" t="inlineStr">
        <is>
          <t>the land of Seale drawn into demesne and not leased because it would be more detrimental than profitable 4 shilling 2 pence.</t>
        </is>
      </c>
      <c r="C19" t="n">
        <v>0.21</v>
      </c>
      <c r="D19" t="n">
        <v>0</v>
      </c>
      <c r="E19" t="n">
        <v>4</v>
      </c>
      <c r="F19" t="n">
        <v>2</v>
      </c>
      <c r="H19" t="n">
        <v>0</v>
      </c>
      <c r="I19" t="n">
        <v>0</v>
      </c>
      <c r="J19" t="n">
        <v>0</v>
      </c>
      <c r="K19" t="n">
        <v>0</v>
      </c>
      <c r="L19" t="n">
        <v>0</v>
      </c>
      <c r="M19" t="n">
        <v>0</v>
      </c>
      <c r="N19" t="n">
        <v>0</v>
      </c>
    </row>
    <row r="20">
      <c r="A20" t="inlineStr">
        <is>
          <t>Defaults of rent</t>
        </is>
      </c>
      <c r="B20" t="inlineStr">
        <is>
          <t>a certain weir in the water of Elstead which John Bykenholt held because the said weir was completely destroyed on account of a weir elsewhere in the same water which Henry Bykenholt now holds 1 shilling 6pence.</t>
        </is>
      </c>
      <c r="C20" t="n">
        <v>0.08</v>
      </c>
      <c r="D20" t="n">
        <v>0</v>
      </c>
      <c r="E20" t="n">
        <v>1</v>
      </c>
      <c r="F20" t="n">
        <v>6</v>
      </c>
      <c r="H20" t="n">
        <v>0</v>
      </c>
      <c r="I20" t="n">
        <v>0</v>
      </c>
      <c r="J20" t="n">
        <v>0</v>
      </c>
      <c r="K20" t="n">
        <v>0</v>
      </c>
      <c r="L20" t="n">
        <v>0</v>
      </c>
      <c r="M20" t="n">
        <v>0</v>
      </c>
      <c r="N20" t="n">
        <v>0</v>
      </c>
    </row>
    <row r="21">
      <c r="A21" t="inlineStr">
        <is>
          <t>Defaults of rent</t>
        </is>
      </c>
      <c r="B21" t="inlineStr">
        <is>
          <t>a certain plot of land recently of Katherine, widow, overrun by the quarry 2pence.</t>
        </is>
      </c>
      <c r="C21" t="n">
        <v>0.01</v>
      </c>
      <c r="D21" t="n">
        <v>0</v>
      </c>
      <c r="E21" t="n">
        <v>0</v>
      </c>
      <c r="F21" t="n">
        <v>2</v>
      </c>
      <c r="H21" t="n">
        <v>0</v>
      </c>
      <c r="I21" t="n">
        <v>0</v>
      </c>
      <c r="J21" t="n">
        <v>0</v>
      </c>
      <c r="K21" t="n">
        <v>0</v>
      </c>
      <c r="L21" t="n">
        <v>0</v>
      </c>
      <c r="M21" t="n">
        <v>0</v>
      </c>
      <c r="N21" t="n">
        <v>0</v>
      </c>
    </row>
    <row r="22">
      <c r="A22" t="inlineStr">
        <is>
          <t>Defaults of rent</t>
        </is>
      </c>
      <c r="B22" t="inlineStr">
        <is>
          <t>a certain plot of land formerly of Margaret Gryffyn’ overrun by the quarry 1pence.</t>
        </is>
      </c>
      <c r="C22" t="n">
        <v>0</v>
      </c>
      <c r="D22" t="n">
        <v>0</v>
      </c>
      <c r="E22" t="n">
        <v>0</v>
      </c>
      <c r="F22" t="n">
        <v>1</v>
      </c>
      <c r="H22" t="n">
        <v>0</v>
      </c>
      <c r="I22" t="n">
        <v>0</v>
      </c>
      <c r="J22" t="n">
        <v>0</v>
      </c>
      <c r="K22" t="n">
        <v>0</v>
      </c>
      <c r="L22" t="n">
        <v>0</v>
      </c>
      <c r="M22" t="n">
        <v>0</v>
      </c>
      <c r="N22" t="n">
        <v>0</v>
      </c>
    </row>
    <row r="23">
      <c r="A23" t="inlineStr">
        <is>
          <t>Defaults of rent</t>
        </is>
      </c>
      <c r="B23" t="inlineStr">
        <is>
          <t>a certain plot of land formerly of Alexander Carpent’ overrun by the quarry 2pence.</t>
        </is>
      </c>
      <c r="C23" t="n">
        <v>0.01</v>
      </c>
      <c r="D23" t="n">
        <v>0</v>
      </c>
      <c r="E23" t="n">
        <v>0</v>
      </c>
      <c r="F23" t="n">
        <v>2</v>
      </c>
      <c r="H23" t="n">
        <v>0</v>
      </c>
      <c r="I23" t="n">
        <v>0</v>
      </c>
      <c r="J23" t="n">
        <v>0</v>
      </c>
      <c r="K23" t="n">
        <v>0</v>
      </c>
      <c r="L23" t="n">
        <v>0</v>
      </c>
      <c r="M23" t="n">
        <v>0</v>
      </c>
      <c r="N23" t="n">
        <v>0</v>
      </c>
    </row>
    <row r="24">
      <c r="A24" t="inlineStr">
        <is>
          <t>Defaults of rent</t>
        </is>
      </c>
      <c r="B24" t="inlineStr">
        <is>
          <t>a certain curtilage of land of the same Alexander drawn into demesne 6pence.</t>
        </is>
      </c>
      <c r="C24" t="n">
        <v>0.03</v>
      </c>
      <c r="D24" t="n">
        <v>0</v>
      </c>
      <c r="E24" t="n">
        <v>0</v>
      </c>
      <c r="F24" t="n">
        <v>6</v>
      </c>
      <c r="H24" t="n">
        <v>0</v>
      </c>
      <c r="I24" t="n">
        <v>0</v>
      </c>
      <c r="J24" t="n">
        <v>0</v>
      </c>
      <c r="K24" t="n">
        <v>0</v>
      </c>
      <c r="L24" t="n">
        <v>0</v>
      </c>
      <c r="M24" t="n">
        <v>0</v>
      </c>
      <c r="N24" t="n">
        <v>0</v>
      </c>
    </row>
    <row r="25">
      <c r="A25" t="inlineStr">
        <is>
          <t>Defaults of rent</t>
        </is>
      </c>
      <c r="B25" t="inlineStr">
        <is>
          <t>the mill of Bourne and the adjacent lands and meadows formerly let to Thomas Tyeller’ at fee-farm and now in the lord’s hands £4 2pence.</t>
        </is>
      </c>
      <c r="C25" t="n">
        <v>4.01</v>
      </c>
      <c r="D25" t="n">
        <v>4</v>
      </c>
      <c r="E25" t="n">
        <v>0</v>
      </c>
      <c r="F25" t="n">
        <v>2</v>
      </c>
      <c r="H25" t="n">
        <v>0</v>
      </c>
      <c r="I25" t="n">
        <v>0</v>
      </c>
      <c r="J25" t="n">
        <v>0</v>
      </c>
      <c r="K25" t="n">
        <v>0</v>
      </c>
      <c r="L25" t="n">
        <v>0</v>
      </c>
      <c r="M25" t="n">
        <v>0</v>
      </c>
      <c r="N25" t="n">
        <v>0</v>
      </c>
    </row>
    <row r="26">
      <c r="A26" t="inlineStr">
        <is>
          <t>Defaults of rent</t>
        </is>
      </c>
      <c r="B26" t="inlineStr">
        <is>
          <t>the mill of Memulle and the adjacent lands and meadows formerly let to the same Thomas in the aforesaid way and now in the lord’s hand £1 10 shilling.</t>
        </is>
      </c>
      <c r="C26" t="n">
        <v>1.5</v>
      </c>
      <c r="D26" t="n">
        <v>1</v>
      </c>
      <c r="E26" t="n">
        <v>10</v>
      </c>
      <c r="F26" t="n">
        <v>0</v>
      </c>
      <c r="H26" t="n">
        <v>0</v>
      </c>
      <c r="I26" t="n">
        <v>0</v>
      </c>
      <c r="J26" t="n">
        <v>0</v>
      </c>
      <c r="K26" t="n">
        <v>0</v>
      </c>
      <c r="L26" t="n">
        <v>0</v>
      </c>
      <c r="M26" t="n">
        <v>0</v>
      </c>
      <c r="N26" t="n">
        <v>0</v>
      </c>
    </row>
    <row r="27">
      <c r="A27" t="inlineStr">
        <is>
          <t>Defaults of rent</t>
        </is>
      </c>
      <c r="B27" t="inlineStr">
        <is>
          <t>the land formerly of Godfrey de Hemeweye drawn into demesne and the park, 4 shilling 8.5pence for the year.</t>
        </is>
      </c>
      <c r="C27" t="n">
        <v>0.24</v>
      </c>
      <c r="D27" t="n">
        <v>0</v>
      </c>
      <c r="E27" t="n">
        <v>4</v>
      </c>
      <c r="F27" t="n">
        <v>8.5</v>
      </c>
      <c r="H27" t="n">
        <v>0</v>
      </c>
      <c r="I27" t="n">
        <v>0</v>
      </c>
      <c r="J27" t="n">
        <v>0</v>
      </c>
      <c r="K27" t="n">
        <v>0</v>
      </c>
      <c r="L27" t="n">
        <v>0</v>
      </c>
      <c r="M27" t="n">
        <v>0</v>
      </c>
      <c r="N27" t="n">
        <v>0</v>
      </c>
    </row>
    <row r="28">
      <c r="A28" t="inlineStr">
        <is>
          <t>Defaults of rent</t>
        </is>
      </c>
      <c r="B28" t="inlineStr">
        <is>
          <t>the land formerly of Ralph Beauchamp’ which was recovered because he stopped the 12 shilling, and not more because 2 acres are let to William Perys and 3 shilling a year are paid therefor.</t>
        </is>
      </c>
      <c r="C28" t="n">
        <v>0.6</v>
      </c>
      <c r="D28" t="n">
        <v>0</v>
      </c>
      <c r="E28" t="n">
        <v>12</v>
      </c>
      <c r="F28" t="n">
        <v>0</v>
      </c>
      <c r="H28" t="n">
        <v>0</v>
      </c>
      <c r="I28" t="n">
        <v>0</v>
      </c>
      <c r="J28" t="n">
        <v>0</v>
      </c>
      <c r="K28" t="n">
        <v>0</v>
      </c>
      <c r="L28" t="n">
        <v>0</v>
      </c>
      <c r="M28" t="n">
        <v>0</v>
      </c>
      <c r="N28" t="n">
        <v>0</v>
      </c>
    </row>
    <row r="29">
      <c r="A29" t="inlineStr">
        <is>
          <t>Defaults of rent</t>
        </is>
      </c>
      <c r="B29" t="inlineStr">
        <is>
          <t>1 acre of land formerly of Thomas Dolysely drawn into demesne, 1 shilling 6pence for the year.</t>
        </is>
      </c>
      <c r="C29" t="n">
        <v>0.08</v>
      </c>
      <c r="D29" t="n">
        <v>0</v>
      </c>
      <c r="E29" t="n">
        <v>1</v>
      </c>
      <c r="F29" t="n">
        <v>6</v>
      </c>
      <c r="H29" t="n">
        <v>0</v>
      </c>
      <c r="I29" t="n">
        <v>0</v>
      </c>
      <c r="J29" t="n">
        <v>0</v>
      </c>
      <c r="K29" t="n">
        <v>0</v>
      </c>
      <c r="L29" t="n">
        <v>0</v>
      </c>
      <c r="M29" t="n">
        <v>0</v>
      </c>
      <c r="N29" t="n">
        <v>0</v>
      </c>
    </row>
    <row r="30">
      <c r="A30" t="inlineStr">
        <is>
          <t>Defaults of rent</t>
        </is>
      </c>
      <c r="B30" t="inlineStr">
        <is>
          <t>1 acre of land formerly of Richard Gylkyn' drawn into demesne, 1 shilling 6pence for the year.</t>
        </is>
      </c>
      <c r="C30" t="n">
        <v>0.08</v>
      </c>
      <c r="D30" t="n">
        <v>0</v>
      </c>
      <c r="E30" t="n">
        <v>1</v>
      </c>
      <c r="F30" t="n">
        <v>6</v>
      </c>
      <c r="H30" t="n">
        <v>0</v>
      </c>
      <c r="I30" t="n">
        <v>0</v>
      </c>
      <c r="J30" t="n">
        <v>0</v>
      </c>
      <c r="K30" t="n">
        <v>0</v>
      </c>
      <c r="L30" t="n">
        <v>0</v>
      </c>
      <c r="M30" t="n">
        <v>0</v>
      </c>
      <c r="N30" t="n">
        <v>0</v>
      </c>
    </row>
    <row r="31">
      <c r="A31" t="inlineStr">
        <is>
          <t>Defaults of rent</t>
        </is>
      </c>
      <c r="B31" t="inlineStr">
        <is>
          <t>3 roods formerly of Gilbert Abbecroft drawn into demesne, 1 shilling 11 pence for the year.</t>
        </is>
      </c>
      <c r="C31" t="n">
        <v>0.1</v>
      </c>
      <c r="D31" t="n">
        <v>0</v>
      </c>
      <c r="E31" t="n">
        <v>1</v>
      </c>
      <c r="F31" t="n">
        <v>11</v>
      </c>
      <c r="H31" t="n">
        <v>0</v>
      </c>
      <c r="I31" t="n">
        <v>0</v>
      </c>
      <c r="J31" t="n">
        <v>0</v>
      </c>
      <c r="K31" t="n">
        <v>0</v>
      </c>
      <c r="L31" t="n">
        <v>0</v>
      </c>
      <c r="M31" t="n">
        <v>0</v>
      </c>
      <c r="N31" t="n">
        <v>0</v>
      </c>
    </row>
    <row r="32">
      <c r="A32" t="inlineStr">
        <is>
          <t>Defaults of rent</t>
        </is>
      </c>
      <c r="B32"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32" t="n">
        <v>0.29</v>
      </c>
      <c r="D32" t="n">
        <v>0</v>
      </c>
      <c r="E32" t="n">
        <v>5</v>
      </c>
      <c r="F32" t="n">
        <v>10.25</v>
      </c>
      <c r="H32" t="n">
        <v>0</v>
      </c>
      <c r="I32" t="n">
        <v>0</v>
      </c>
      <c r="J32" t="n">
        <v>0</v>
      </c>
      <c r="K32" t="n">
        <v>0</v>
      </c>
      <c r="L32" t="n">
        <v>0</v>
      </c>
      <c r="M32" t="n">
        <v>0</v>
      </c>
      <c r="N32" t="n">
        <v>0</v>
      </c>
    </row>
    <row r="33">
      <c r="A33" t="inlineStr">
        <is>
          <t>Defaults of rent</t>
        </is>
      </c>
      <c r="B33" t="inlineStr">
        <is>
          <t>the land, meadows and wood called Wytherfughleslond' which belonged to John Bydon' drawn into demesne and the park, 14 shilling 8.5pence for the year.</t>
        </is>
      </c>
      <c r="C33" t="n">
        <v>0.74</v>
      </c>
      <c r="D33" t="n">
        <v>0</v>
      </c>
      <c r="E33" t="n">
        <v>14</v>
      </c>
      <c r="F33" t="n">
        <v>8.5</v>
      </c>
      <c r="H33" t="n">
        <v>0</v>
      </c>
      <c r="I33" t="n">
        <v>0</v>
      </c>
      <c r="J33" t="n">
        <v>0</v>
      </c>
      <c r="K33" t="n">
        <v>0</v>
      </c>
      <c r="L33" t="n">
        <v>0</v>
      </c>
      <c r="M33" t="n">
        <v>0</v>
      </c>
      <c r="N33" t="n">
        <v>0</v>
      </c>
    </row>
    <row r="34">
      <c r="A34" t="inlineStr">
        <is>
          <t>Defaults of rent</t>
        </is>
      </c>
      <c r="B34" t="inlineStr">
        <is>
          <t>the land and wood called Hemeweyeslond' which belonged to John Nyweman drawn into demesne and the park, 7 shilling 6pence for the year.</t>
        </is>
      </c>
      <c r="C34" t="n">
        <v>0.38</v>
      </c>
      <c r="D34" t="n">
        <v>0</v>
      </c>
      <c r="E34" t="n">
        <v>7</v>
      </c>
      <c r="F34" t="n">
        <v>6</v>
      </c>
      <c r="H34" t="n">
        <v>0</v>
      </c>
      <c r="I34" t="n">
        <v>0</v>
      </c>
      <c r="J34" t="n">
        <v>0</v>
      </c>
      <c r="K34" t="n">
        <v>0</v>
      </c>
      <c r="L34" t="n">
        <v>0</v>
      </c>
      <c r="M34" t="n">
        <v>0</v>
      </c>
      <c r="N34" t="n">
        <v>0</v>
      </c>
    </row>
    <row r="35">
      <c r="A35" t="inlineStr">
        <is>
          <t>Defaults of rent</t>
        </is>
      </c>
      <c r="B35" t="inlineStr">
        <is>
          <t>3 crofts of land which belonged to Nicholas atte Hulde drawn into demesne and the park, 1 shilling for the year.</t>
        </is>
      </c>
      <c r="C35" t="n">
        <v>0.05</v>
      </c>
      <c r="D35" t="n">
        <v>0</v>
      </c>
      <c r="E35" t="n">
        <v>1</v>
      </c>
      <c r="F35" t="n">
        <v>0</v>
      </c>
      <c r="H35" t="n">
        <v>0</v>
      </c>
      <c r="I35" t="n">
        <v>0</v>
      </c>
      <c r="J35" t="n">
        <v>0</v>
      </c>
      <c r="K35" t="n">
        <v>0</v>
      </c>
      <c r="L35" t="n">
        <v>0</v>
      </c>
      <c r="M35" t="n">
        <v>0</v>
      </c>
      <c r="N35" t="n">
        <v>0</v>
      </c>
    </row>
    <row r="36">
      <c r="A36" t="inlineStr">
        <is>
          <t>Defaults of rent</t>
        </is>
      </c>
      <c r="B36" t="inlineStr">
        <is>
          <t>9.5 acres of purpresture in the tithing of Badshot which belonged to Roger Hale drawn into the park and demesne, 4 shilling 9pence for the year.</t>
        </is>
      </c>
      <c r="C36" t="n">
        <v>0.24</v>
      </c>
      <c r="D36" t="n">
        <v>0</v>
      </c>
      <c r="E36" t="n">
        <v>4</v>
      </c>
      <c r="F36" t="n">
        <v>9</v>
      </c>
      <c r="H36" t="n">
        <v>0</v>
      </c>
      <c r="I36" t="n">
        <v>0</v>
      </c>
      <c r="J36" t="n">
        <v>0</v>
      </c>
      <c r="K36" t="n">
        <v>0</v>
      </c>
      <c r="L36" t="n">
        <v>0</v>
      </c>
      <c r="M36" t="n">
        <v>0</v>
      </c>
      <c r="N36" t="n">
        <v>0</v>
      </c>
    </row>
    <row r="37">
      <c r="A37" t="inlineStr">
        <is>
          <t>Defaults of rent</t>
        </is>
      </c>
      <c r="B37" t="inlineStr">
        <is>
          <t>2 crofts of purpresture in the tithing of Badshot, containing 2 acres, which belonged to Walter Bartlot drawn into demesne and the park, 1 shilling for the year.</t>
        </is>
      </c>
      <c r="C37" t="n">
        <v>0.05</v>
      </c>
      <c r="D37" t="n">
        <v>0</v>
      </c>
      <c r="E37" t="n">
        <v>1</v>
      </c>
      <c r="F37" t="n">
        <v>0</v>
      </c>
      <c r="H37" t="n">
        <v>0</v>
      </c>
      <c r="I37" t="n">
        <v>0</v>
      </c>
      <c r="J37" t="n">
        <v>0</v>
      </c>
      <c r="K37" t="n">
        <v>0</v>
      </c>
      <c r="L37" t="n">
        <v>0</v>
      </c>
      <c r="M37" t="n">
        <v>0</v>
      </c>
      <c r="N37" t="n">
        <v>0</v>
      </c>
    </row>
    <row r="38">
      <c r="A38" t="inlineStr">
        <is>
          <t>Defaults of rent</t>
        </is>
      </c>
      <c r="B38" t="inlineStr">
        <is>
          <t>1 croft of purpresture in the same tithing, containing 3 roods, which belonged to the said Walter drawn into demesne and the park, 4.5pence for the year.</t>
        </is>
      </c>
      <c r="C38" t="n">
        <v>0.02</v>
      </c>
      <c r="D38" t="n">
        <v>0</v>
      </c>
      <c r="E38" t="n">
        <v>0</v>
      </c>
      <c r="F38" t="n">
        <v>4.5</v>
      </c>
      <c r="H38" t="n">
        <v>0</v>
      </c>
      <c r="I38" t="n">
        <v>0</v>
      </c>
      <c r="J38" t="n">
        <v>0</v>
      </c>
      <c r="K38" t="n">
        <v>0</v>
      </c>
      <c r="L38" t="n">
        <v>0</v>
      </c>
      <c r="M38" t="n">
        <v>0</v>
      </c>
      <c r="N38" t="n">
        <v>0</v>
      </c>
    </row>
    <row r="39">
      <c r="A39" t="inlineStr">
        <is>
          <t>Defaults of rent</t>
        </is>
      </c>
      <c r="B39" t="inlineStr">
        <is>
          <t>Total, £15 11 shilling 4.25pence.</t>
        </is>
      </c>
      <c r="C39" t="n">
        <v>15.57</v>
      </c>
      <c r="D39" t="n">
        <v>15</v>
      </c>
      <c r="E39" t="n">
        <v>11</v>
      </c>
      <c r="F39" t="n">
        <v>4.25</v>
      </c>
      <c r="H39" t="n">
        <v>0</v>
      </c>
      <c r="I39" t="n">
        <v>0</v>
      </c>
      <c r="J39" t="n">
        <v>0</v>
      </c>
      <c r="K39" t="n">
        <v>0</v>
      </c>
      <c r="L39" t="n">
        <v>0</v>
      </c>
      <c r="M39" t="n">
        <v>0</v>
      </c>
      <c r="N39" t="n">
        <v>0</v>
      </c>
    </row>
    <row r="40">
      <c r="A40" t="inlineStr">
        <is>
          <t>Defaults of rent through the pestilence</t>
        </is>
      </c>
      <c r="B40" t="inlineStr">
        <is>
          <t>In default of 6 acres of land and heath in the tithing of Elstead which belonged to William Stynt in the lord's hands from a want of tenants 1 shilling 10pence.</t>
        </is>
      </c>
      <c r="C40" t="n">
        <v>0.09</v>
      </c>
      <c r="D40" t="n">
        <v>0</v>
      </c>
      <c r="E40" t="n">
        <v>1</v>
      </c>
      <c r="F40" t="n">
        <v>10</v>
      </c>
      <c r="H40" t="n">
        <v>0</v>
      </c>
      <c r="I40" t="n">
        <v>0</v>
      </c>
      <c r="J40" t="n">
        <v>0</v>
      </c>
      <c r="K40" t="n">
        <v>0</v>
      </c>
      <c r="L40" t="n">
        <v>0</v>
      </c>
      <c r="M40" t="n">
        <v>0</v>
      </c>
      <c r="N40" t="n">
        <v>0</v>
      </c>
    </row>
    <row r="41">
      <c r="A41" t="inlineStr">
        <is>
          <t>Defaults of rent through the pestilence</t>
        </is>
      </c>
      <c r="B41" t="inlineStr">
        <is>
          <t>the rent and labour service of carrying wood of 1 toft and one virgate of villein land in the tithing of Tilford which belonged to William Hampton' in the lord's hands from a want of tenants, 9 shilling 11.5pence, because it lies in common and nothing can be raised from it.</t>
        </is>
      </c>
      <c r="C41" t="n">
        <v>0.5</v>
      </c>
      <c r="D41" t="n">
        <v>0</v>
      </c>
      <c r="E41" t="n">
        <v>9</v>
      </c>
      <c r="F41" t="n">
        <v>11.5</v>
      </c>
      <c r="H41" t="n">
        <v>0</v>
      </c>
      <c r="I41" t="n">
        <v>0</v>
      </c>
      <c r="J41" t="n">
        <v>0</v>
      </c>
      <c r="K41" t="n">
        <v>0</v>
      </c>
      <c r="L41" t="n">
        <v>0</v>
      </c>
      <c r="M41" t="n">
        <v>0</v>
      </c>
      <c r="N41" t="n">
        <v>0</v>
      </c>
    </row>
    <row r="42">
      <c r="A42" t="inlineStr">
        <is>
          <t>Defaults of rent through the pestilence</t>
        </is>
      </c>
      <c r="B42" t="inlineStr">
        <is>
          <t>the rent and labour service of carrying wood of 1 toft and 1 virgate of villein land, 1 fishery and 5 acres of purpresture in the tithing of Tilford which belonged to Stephen Horsman in the lord's hands from a want of tenants, 13 shilling 9.5pence, for the aforesaid reason.</t>
        </is>
      </c>
      <c r="C42" t="n">
        <v>0.6899999999999999</v>
      </c>
      <c r="D42" t="n">
        <v>0</v>
      </c>
      <c r="E42" t="n">
        <v>13</v>
      </c>
      <c r="F42" t="n">
        <v>9.5</v>
      </c>
      <c r="H42" t="n">
        <v>0</v>
      </c>
      <c r="I42" t="n">
        <v>0</v>
      </c>
      <c r="J42" t="n">
        <v>0</v>
      </c>
      <c r="K42" t="n">
        <v>0</v>
      </c>
      <c r="L42" t="n">
        <v>0</v>
      </c>
      <c r="M42" t="n">
        <v>0</v>
      </c>
      <c r="N42" t="n">
        <v>0</v>
      </c>
    </row>
    <row r="43">
      <c r="A43" t="inlineStr">
        <is>
          <t>Defaults of rent through the pestilence</t>
        </is>
      </c>
      <c r="B43" t="inlineStr">
        <is>
          <t>6 acres of arable land at Buttewell' and Borden' which belonged to Roger Dene in the tithing of Runwick 3 shilling, and not more because 5 shilling are raised from the issue this year.</t>
        </is>
      </c>
      <c r="C43" t="n">
        <v>0.15</v>
      </c>
      <c r="D43" t="n">
        <v>0</v>
      </c>
      <c r="E43" t="n">
        <v>3</v>
      </c>
      <c r="F43" t="n">
        <v>0</v>
      </c>
      <c r="H43" t="n">
        <v>0</v>
      </c>
      <c r="I43" t="n">
        <v>0</v>
      </c>
      <c r="J43" t="n">
        <v>0</v>
      </c>
      <c r="K43" t="n">
        <v>0</v>
      </c>
      <c r="L43" t="n">
        <v>0</v>
      </c>
      <c r="M43" t="n">
        <v>0</v>
      </c>
      <c r="N43" t="n">
        <v>0</v>
      </c>
    </row>
    <row r="44">
      <c r="A44" t="inlineStr">
        <is>
          <t>Defaults of rent through the pestilence</t>
        </is>
      </c>
      <c r="B44" t="inlineStr">
        <is>
          <t>5 acres of land and heath at Cornlondes in the tithing of Wrecclesham which belonged to Nicholas Coupere 2 shilling 5.5pence, because it lies in common and nothing can be raised from it, and the said Nicholas was compelled to take 1 virgate of villein land.</t>
        </is>
      </c>
      <c r="C44" t="n">
        <v>0.12</v>
      </c>
      <c r="D44" t="n">
        <v>0</v>
      </c>
      <c r="E44" t="n">
        <v>2</v>
      </c>
      <c r="F44" t="n">
        <v>5.5</v>
      </c>
      <c r="H44" t="n">
        <v>0</v>
      </c>
      <c r="I44" t="n">
        <v>0</v>
      </c>
      <c r="J44" t="n">
        <v>0</v>
      </c>
      <c r="K44" t="n">
        <v>0</v>
      </c>
      <c r="L44" t="n">
        <v>0</v>
      </c>
      <c r="M44" t="n">
        <v>0</v>
      </c>
      <c r="N44" t="n">
        <v>0</v>
      </c>
    </row>
    <row r="45">
      <c r="A45" t="inlineStr">
        <is>
          <t>Defaults of rent through the pestilence</t>
        </is>
      </c>
      <c r="B45" t="inlineStr">
        <is>
          <t>6 acres of purpresture in the tithing of Dogflood at Riggeweye in Wynterbourne which belonged to John Edewyne 3 shilling, because it lies in the warren and is grazed on by the lord's rabbits and nothing can be raised from it, in the lord's hands from a want of tenants.</t>
        </is>
      </c>
      <c r="C45" t="n">
        <v>0.15</v>
      </c>
      <c r="D45" t="n">
        <v>0</v>
      </c>
      <c r="E45" t="n">
        <v>3</v>
      </c>
      <c r="F45" t="n">
        <v>0</v>
      </c>
      <c r="H45" t="n">
        <v>0</v>
      </c>
      <c r="I45" t="n">
        <v>0</v>
      </c>
      <c r="J45" t="n">
        <v>0</v>
      </c>
      <c r="K45" t="n">
        <v>0</v>
      </c>
      <c r="L45" t="n">
        <v>0</v>
      </c>
      <c r="M45" t="n">
        <v>0</v>
      </c>
      <c r="N45" t="n">
        <v>0</v>
      </c>
    </row>
    <row r="46">
      <c r="A46" t="inlineStr">
        <is>
          <t>Defaults of rent through the pestilence</t>
        </is>
      </c>
      <c r="B46" t="inlineStr">
        <is>
          <t>1 messuage, 22 acres and 1 rood of purpresture in the tithing of Frensham which belonged to William Wylot and afterwards to Richard Hardyng' 4 shilling 2pence, and not more because 8 shilling are raised from the issue.</t>
        </is>
      </c>
      <c r="C46" t="n">
        <v>0.21</v>
      </c>
      <c r="D46" t="n">
        <v>0</v>
      </c>
      <c r="E46" t="n">
        <v>4</v>
      </c>
      <c r="F46" t="n">
        <v>2</v>
      </c>
      <c r="H46" t="n">
        <v>0</v>
      </c>
      <c r="I46" t="n">
        <v>0</v>
      </c>
      <c r="J46" t="n">
        <v>0</v>
      </c>
      <c r="K46" t="n">
        <v>0</v>
      </c>
      <c r="L46" t="n">
        <v>0</v>
      </c>
      <c r="M46" t="n">
        <v>0</v>
      </c>
      <c r="N46" t="n">
        <v>0</v>
      </c>
    </row>
    <row r="47">
      <c r="A47" t="inlineStr">
        <is>
          <t>Defaults of rent through the pestilence</t>
        </is>
      </c>
      <c r="B47" t="inlineStr">
        <is>
          <t>4 acres and 1 rood of purpresture in the tithing of Runwick which belonged to John Partrych' because it lies in common 3 shilling 3pence, and not more because 3 shilling are raised from the issue.</t>
        </is>
      </c>
      <c r="C47" t="n">
        <v>0.16</v>
      </c>
      <c r="D47" t="n">
        <v>0</v>
      </c>
      <c r="E47" t="n">
        <v>3</v>
      </c>
      <c r="F47" t="n">
        <v>3</v>
      </c>
      <c r="H47" t="n">
        <v>0</v>
      </c>
      <c r="I47" t="n">
        <v>0</v>
      </c>
      <c r="J47" t="n">
        <v>0</v>
      </c>
      <c r="K47" t="n">
        <v>0</v>
      </c>
      <c r="L47" t="n">
        <v>0</v>
      </c>
      <c r="M47" t="n">
        <v>0</v>
      </c>
      <c r="N47" t="n">
        <v>0</v>
      </c>
    </row>
    <row r="48">
      <c r="A48" t="inlineStr">
        <is>
          <t>Defaults of rent through the pestilence</t>
        </is>
      </c>
      <c r="B48" t="inlineStr">
        <is>
          <t>1 moor of purpresture in the tithing of Elstead 2 shilling, and not more because 2 shilling 6pence are raised from the issue.</t>
        </is>
      </c>
      <c r="C48" t="n">
        <v>0.12</v>
      </c>
      <c r="D48" t="n">
        <v>0</v>
      </c>
      <c r="E48" t="n">
        <v>2</v>
      </c>
      <c r="F48" t="n">
        <v>6</v>
      </c>
      <c r="H48" t="n">
        <v>0</v>
      </c>
      <c r="I48" t="n">
        <v>0</v>
      </c>
      <c r="J48" t="n">
        <v>0</v>
      </c>
      <c r="K48" t="n">
        <v>0</v>
      </c>
      <c r="L48" t="n">
        <v>0</v>
      </c>
      <c r="M48" t="n">
        <v>0</v>
      </c>
      <c r="N48" t="n">
        <v>0</v>
      </c>
    </row>
    <row r="49">
      <c r="A49" t="inlineStr">
        <is>
          <t>Defaults of rent through the pestilence</t>
        </is>
      </c>
      <c r="B49" t="inlineStr">
        <is>
          <t>2 crofts of purpresture called Sandalesreden' remaining in the lord's hands in the tithing of Badshot from a want of tenants 4 shilling.</t>
        </is>
      </c>
      <c r="C49" t="n">
        <v>0.2</v>
      </c>
      <c r="D49" t="n">
        <v>0</v>
      </c>
      <c r="E49" t="n">
        <v>4</v>
      </c>
      <c r="F49" t="n">
        <v>0</v>
      </c>
      <c r="H49" t="n">
        <v>0</v>
      </c>
      <c r="I49" t="n">
        <v>0</v>
      </c>
      <c r="J49" t="n">
        <v>0</v>
      </c>
      <c r="K49" t="n">
        <v>0</v>
      </c>
      <c r="L49" t="n">
        <v>0</v>
      </c>
      <c r="M49" t="n">
        <v>0</v>
      </c>
      <c r="N49" t="n">
        <v>0</v>
      </c>
    </row>
    <row r="50">
      <c r="A50" t="inlineStr">
        <is>
          <t>Defaults of rent through the pestilence</t>
        </is>
      </c>
      <c r="B50" t="inlineStr">
        <is>
          <t>and 1 shilling 2pence for various tenements in Farnham in West Street in the holding of Hoggetol because he showed one charter for the payment of 13 shilling 4pence a year where the collector of rents charged 14 shilling 6pence.</t>
        </is>
      </c>
      <c r="C50" t="n">
        <v>0.06</v>
      </c>
      <c r="D50" t="n">
        <v>0</v>
      </c>
      <c r="E50" t="n">
        <v>1</v>
      </c>
      <c r="F50" t="n">
        <v>2</v>
      </c>
      <c r="H50" t="n">
        <v>0</v>
      </c>
      <c r="I50" t="n">
        <v>0</v>
      </c>
      <c r="J50" t="n">
        <v>0</v>
      </c>
      <c r="K50" t="n">
        <v>0</v>
      </c>
      <c r="L50" t="n">
        <v>0</v>
      </c>
      <c r="M50" t="n">
        <v>0</v>
      </c>
      <c r="N50" t="n">
        <v>0</v>
      </c>
    </row>
    <row r="51">
      <c r="A51" t="inlineStr">
        <is>
          <t>Defaults of rent through the pestilence</t>
        </is>
      </c>
      <c r="B51" t="inlineStr">
        <is>
          <t>Total, £2 8 shilling 8.5pence.</t>
        </is>
      </c>
      <c r="C51" t="n">
        <v>2.44</v>
      </c>
      <c r="D51" t="n">
        <v>2</v>
      </c>
      <c r="E51" t="n">
        <v>8</v>
      </c>
      <c r="F51" t="n">
        <v>8.5</v>
      </c>
      <c r="H51" t="n">
        <v>0</v>
      </c>
      <c r="I51" t="n">
        <v>0</v>
      </c>
      <c r="J51" t="n">
        <v>0</v>
      </c>
      <c r="K51" t="n">
        <v>0</v>
      </c>
      <c r="L51" t="n">
        <v>0</v>
      </c>
      <c r="M51" t="n">
        <v>0</v>
      </c>
      <c r="N51" t="n">
        <v>0</v>
      </c>
    </row>
    <row r="52">
      <c r="A52" t="inlineStr">
        <is>
          <t>Total of quittances and defaults of rent</t>
        </is>
      </c>
      <c r="B52" t="inlineStr">
        <is>
          <t>Total of quittances and defaults of rent, £18 8 shilling 10.75pence.</t>
        </is>
      </c>
      <c r="C52" t="n">
        <v>18.44</v>
      </c>
      <c r="D52" t="n">
        <v>18</v>
      </c>
      <c r="E52" t="n">
        <v>8</v>
      </c>
      <c r="F52" t="n">
        <v>10.75</v>
      </c>
      <c r="H52" t="n">
        <v>0</v>
      </c>
      <c r="I52" t="n">
        <v>0</v>
      </c>
      <c r="J52" t="n">
        <v>0</v>
      </c>
      <c r="K52" t="n">
        <v>0</v>
      </c>
      <c r="L52" t="n">
        <v>0</v>
      </c>
      <c r="M52" t="n">
        <v>0</v>
      </c>
      <c r="N52" t="n">
        <v>0</v>
      </c>
    </row>
    <row r="53">
      <c r="A53" t="inlineStr">
        <is>
          <t>Total of rents remaining clear</t>
        </is>
      </c>
      <c r="B53" t="inlineStr">
        <is>
          <t>Total of rents remaining clear, £117 5 shilling 2.75pence.</t>
        </is>
      </c>
      <c r="C53" t="n">
        <v>117.26</v>
      </c>
      <c r="D53" t="n">
        <v>117</v>
      </c>
      <c r="E53" t="n">
        <v>5</v>
      </c>
      <c r="F53" t="n">
        <v>2.75</v>
      </c>
      <c r="H53" t="n">
        <v>0</v>
      </c>
      <c r="I53" t="n">
        <v>0</v>
      </c>
      <c r="J53" t="n">
        <v>0</v>
      </c>
      <c r="K53" t="n">
        <v>0</v>
      </c>
      <c r="L53" t="n">
        <v>0</v>
      </c>
      <c r="M53" t="n">
        <v>0</v>
      </c>
      <c r="N53" t="n">
        <v>0</v>
      </c>
    </row>
    <row r="54">
      <c r="A54" t="inlineStr">
        <is>
          <t>Sale of labour services</t>
        </is>
      </c>
      <c r="B54" t="inlineStr">
        <is>
          <t>And for £14 12 shilling 3pence for the release of the labour services of the lord's customary tenants at Easter.</t>
        </is>
      </c>
      <c r="C54" t="n">
        <v>14.61</v>
      </c>
      <c r="D54" t="n">
        <v>14</v>
      </c>
      <c r="E54" t="n">
        <v>12</v>
      </c>
      <c r="F54" t="n">
        <v>3</v>
      </c>
      <c r="H54" t="n">
        <v>0</v>
      </c>
      <c r="I54" t="n">
        <v>0</v>
      </c>
      <c r="J54" t="n">
        <v>0</v>
      </c>
      <c r="K54" t="n">
        <v>0</v>
      </c>
      <c r="L54" t="n">
        <v>0</v>
      </c>
      <c r="M54" t="n">
        <v>0</v>
      </c>
      <c r="N54" t="n">
        <v>0</v>
      </c>
    </row>
    <row r="55">
      <c r="A55" t="inlineStr">
        <is>
          <t>Sale of labour services</t>
        </is>
      </c>
      <c r="B55" t="inlineStr">
        <is>
          <t>£14 12 shilling 3pence for the release of the labour services of the custom tenants at Michaelmas, for 146 virgates of land, of which £9 1 shilling 8pence are for	release of transport-services, and know that all those who hold the said virgates of land should, for the said £29 4 shilling 6pence, be quit of the labour services which they were obliged to do for the lord, except that at each visit of the lord king and lord bishop to Farnham they must fell and carry sufficient wood to the lord's castle, these services not being commuted as made clear below.</t>
        </is>
      </c>
      <c r="C55" t="n">
        <v>14.61</v>
      </c>
      <c r="D55" t="n">
        <v>14</v>
      </c>
      <c r="E55" t="n">
        <v>12</v>
      </c>
      <c r="F55" t="n">
        <v>3</v>
      </c>
      <c r="H55" t="n">
        <v>0</v>
      </c>
      <c r="I55" t="n">
        <v>0</v>
      </c>
      <c r="J55" t="n">
        <v>0</v>
      </c>
      <c r="K55" t="n">
        <v>0</v>
      </c>
      <c r="L55" t="n">
        <v>0</v>
      </c>
      <c r="M55" t="n">
        <v>0</v>
      </c>
      <c r="N55" t="n">
        <v>0</v>
      </c>
    </row>
    <row r="56">
      <c r="A56" t="inlineStr">
        <is>
          <t>Sale of labour services</t>
        </is>
      </c>
      <c r="B56" t="inlineStr">
        <is>
          <t>they must also mow, spread and make hay from the herbage of the lord's meadows and carry the hay to the castle as they were accustomed to, together with the help of the cottars, and there are there 12 cottars whose services are not commuted, that is, they are reserved and each of them is obliged to be a ploughman, 1 cowherd, 1 swineherd or a shepherd at the lord's will, and they are obliged to spread, toss and stack the corn, and wash and shear the lord's sheep.</t>
        </is>
      </c>
      <c r="C56" t="n">
        <v>0</v>
      </c>
      <c r="D56" t="n">
        <v>0</v>
      </c>
      <c r="E56" t="n">
        <v>0</v>
      </c>
      <c r="F56" t="n">
        <v>0</v>
      </c>
      <c r="H56" t="n">
        <v>0</v>
      </c>
      <c r="I56" t="n">
        <v>0</v>
      </c>
      <c r="J56" t="n">
        <v>0</v>
      </c>
      <c r="K56" t="n">
        <v>0</v>
      </c>
      <c r="L56" t="n">
        <v>0</v>
      </c>
      <c r="M56" t="n">
        <v>0</v>
      </c>
      <c r="N56" t="n">
        <v>0</v>
      </c>
    </row>
    <row r="57">
      <c r="A57" t="inlineStr">
        <is>
          <t>Sale of labour services</t>
        </is>
      </c>
      <c r="B57" t="inlineStr">
        <is>
          <t>moreover, there are there 6 small cottars whose services are not commuted, that is, they are reserved because modest, though they are held for driving pigs and other animals when they should be in mast or at slaughter, and for carrying hens and eggs to Wolvesey, and for cleaning the buildings of the castle at each visit of the lord.</t>
        </is>
      </c>
      <c r="C57" t="n">
        <v>0</v>
      </c>
      <c r="D57" t="n">
        <v>0</v>
      </c>
      <c r="E57" t="n">
        <v>0</v>
      </c>
      <c r="F57" t="n">
        <v>0</v>
      </c>
      <c r="H57" t="n">
        <v>0</v>
      </c>
      <c r="I57" t="n">
        <v>0</v>
      </c>
      <c r="J57" t="n">
        <v>0</v>
      </c>
      <c r="K57" t="n">
        <v>0</v>
      </c>
      <c r="L57" t="n">
        <v>0</v>
      </c>
      <c r="M57" t="n">
        <v>0</v>
      </c>
      <c r="N57" t="n">
        <v>0</v>
      </c>
    </row>
    <row r="58">
      <c r="A58" t="inlineStr">
        <is>
          <t>Sale of labour services</t>
        </is>
      </c>
      <c r="B58" t="inlineStr">
        <is>
          <t>nothing of the 6 shilling 11pence from the prior and convent of St Swithun's, Winchester, and their homage of Crondall, except the free men, for release of their labour services enclosing the park of Farnham at Michaelmas, that is, for 332 perches of palisade of the park, at .25pence a perch, because it is now enclosed.</t>
        </is>
      </c>
      <c r="C58" t="n">
        <v>0.35</v>
      </c>
      <c r="D58" t="n">
        <v>0</v>
      </c>
      <c r="E58" t="n">
        <v>6</v>
      </c>
      <c r="F58" t="n">
        <v>11</v>
      </c>
      <c r="H58" t="n">
        <v>0</v>
      </c>
      <c r="I58" t="n">
        <v>0</v>
      </c>
      <c r="J58" t="n">
        <v>0</v>
      </c>
      <c r="K58" t="n">
        <v>0</v>
      </c>
      <c r="L58" t="n">
        <v>0</v>
      </c>
      <c r="M58" t="n">
        <v>0</v>
      </c>
      <c r="N58" t="n">
        <v>0</v>
      </c>
    </row>
    <row r="59">
      <c r="A59" t="inlineStr">
        <is>
          <t>Sale of labour services</t>
        </is>
      </c>
      <c r="B59" t="inlineStr">
        <is>
          <t>£5 for the release of the labour services of the lord's customary tenants for the year, for felling and carrying wood to the castle at the visits of the lord bishop to Farnham, which services the aforesaid customary tenants were accustomed to do, because the said services were commuted by the lord bishop Henry, to be paid at Christmas.</t>
        </is>
      </c>
      <c r="C59" t="n">
        <v>5</v>
      </c>
      <c r="D59" t="n">
        <v>5</v>
      </c>
      <c r="E59" t="n">
        <v>0</v>
      </c>
      <c r="F59" t="n">
        <v>0</v>
      </c>
      <c r="H59" t="n">
        <v>0</v>
      </c>
      <c r="I59" t="n">
        <v>0</v>
      </c>
      <c r="J59" t="n">
        <v>0</v>
      </c>
      <c r="K59" t="n">
        <v>0</v>
      </c>
      <c r="L59" t="n">
        <v>0</v>
      </c>
      <c r="M59" t="n">
        <v>0</v>
      </c>
      <c r="N59" t="n">
        <v>0</v>
      </c>
    </row>
    <row r="60">
      <c r="A60" t="inlineStr">
        <is>
          <t>Sale of labour services</t>
        </is>
      </c>
      <c r="B60" t="inlineStr">
        <is>
          <t>8 shilling 9.75pence for the labour services of the lord's customary tenants of Farnham, for 423 perches of palisade, which palisade the lord has now built, to be paid at Christmas, at .25pence a perch.</t>
        </is>
      </c>
      <c r="C60" t="n">
        <v>0.44</v>
      </c>
      <c r="D60" t="n">
        <v>0</v>
      </c>
      <c r="E60" t="n">
        <v>8</v>
      </c>
      <c r="F60" t="n">
        <v>9.75</v>
      </c>
      <c r="H60" t="n">
        <v>0</v>
      </c>
      <c r="I60" t="n">
        <v>0</v>
      </c>
      <c r="J60" t="n">
        <v>0</v>
      </c>
      <c r="K60" t="n">
        <v>0</v>
      </c>
      <c r="L60" t="n">
        <v>0</v>
      </c>
      <c r="M60" t="n">
        <v>0</v>
      </c>
      <c r="N60" t="n">
        <v>0</v>
      </c>
    </row>
    <row r="61">
      <c r="A61" t="inlineStr">
        <is>
          <t>Sale of labour services</t>
        </is>
      </c>
      <c r="B61" t="inlineStr">
        <is>
          <t>£3 4 shilling for the release of the labour services of 8 cottars, for the offices of ploughman, cowherd, shepherd and swineherd, at Easter and Michaelmas for the year, at 8 shilling for each cottar, as long as it pleases the lord.</t>
        </is>
      </c>
      <c r="C61" t="n">
        <v>3.2</v>
      </c>
      <c r="D61" t="n">
        <v>3</v>
      </c>
      <c r="E61" t="n">
        <v>4</v>
      </c>
      <c r="F61" t="n">
        <v>0</v>
      </c>
      <c r="H61" t="n">
        <v>0</v>
      </c>
      <c r="I61" t="n">
        <v>0</v>
      </c>
      <c r="J61" t="n">
        <v>0</v>
      </c>
      <c r="K61" t="n">
        <v>0</v>
      </c>
      <c r="L61" t="n">
        <v>0</v>
      </c>
      <c r="M61" t="n">
        <v>0</v>
      </c>
      <c r="N61" t="n">
        <v>0</v>
      </c>
    </row>
    <row r="62">
      <c r="A62" t="inlineStr">
        <is>
          <t>Sale of labour services</t>
        </is>
      </c>
      <c r="B62" t="inlineStr">
        <is>
          <t>nevertheless, the aforesaid cottars are obliged to spread, make hay from and stack the herbage of the lord's meadows and also to stack the corn and wash and shear the lord's sheep, just as they were accustomed to do before.</t>
        </is>
      </c>
      <c r="C62" t="n">
        <v>0</v>
      </c>
      <c r="D62" t="n">
        <v>0</v>
      </c>
      <c r="E62" t="n">
        <v>0</v>
      </c>
      <c r="F62" t="n">
        <v>0</v>
      </c>
      <c r="H62" t="n">
        <v>0</v>
      </c>
      <c r="I62" t="n">
        <v>0</v>
      </c>
      <c r="J62" t="n">
        <v>0</v>
      </c>
      <c r="K62" t="n">
        <v>0</v>
      </c>
      <c r="L62" t="n">
        <v>0</v>
      </c>
      <c r="M62" t="n">
        <v>0</v>
      </c>
      <c r="N62" t="n">
        <v>0</v>
      </c>
    </row>
    <row r="63">
      <c r="A63" t="inlineStr">
        <is>
          <t>Sale of labour services</t>
        </is>
      </c>
      <c r="B63" t="inlineStr">
        <is>
          <t>Total, £37 17 shilling 3.75pence.</t>
        </is>
      </c>
      <c r="C63" t="n">
        <v>37.87</v>
      </c>
      <c r="D63" t="n">
        <v>37</v>
      </c>
      <c r="E63" t="n">
        <v>17</v>
      </c>
      <c r="F63" t="n">
        <v>3.75</v>
      </c>
      <c r="H63" t="n">
        <v>0</v>
      </c>
      <c r="I63" t="n">
        <v>0</v>
      </c>
      <c r="J63" t="n">
        <v>0</v>
      </c>
      <c r="K63" t="n">
        <v>0</v>
      </c>
      <c r="L63" t="n">
        <v>0</v>
      </c>
      <c r="M63" t="n">
        <v>0</v>
      </c>
      <c r="N63" t="n">
        <v>0</v>
      </c>
    </row>
    <row r="64">
      <c r="A64" t="inlineStr">
        <is>
          <t>Quittance of labour services</t>
        </is>
      </c>
      <c r="B64" t="inlineStr">
        <is>
          <t>In quittance of 1 reeve for 2 virgates of land for the year 8 shilling id.</t>
        </is>
      </c>
      <c r="C64" t="n">
        <v>0.4</v>
      </c>
      <c r="D64" t="n">
        <v>0</v>
      </c>
      <c r="E64" t="n">
        <v>8</v>
      </c>
      <c r="F64" t="n">
        <v>0</v>
      </c>
      <c r="H64" t="n">
        <v>0</v>
      </c>
      <c r="I64" t="n">
        <v>0</v>
      </c>
      <c r="J64" t="n">
        <v>0</v>
      </c>
      <c r="K64" t="n">
        <v>0</v>
      </c>
      <c r="L64" t="n">
        <v>0</v>
      </c>
      <c r="M64" t="n">
        <v>0</v>
      </c>
      <c r="N64" t="n">
        <v>0</v>
      </c>
    </row>
    <row r="65">
      <c r="A65" t="inlineStr">
        <is>
          <t>Quittance of labour services</t>
        </is>
      </c>
      <c r="B65" t="inlineStr">
        <is>
          <t>Nothing should be provided for the reeve of Seale because the land there is let at farm and there is no reeve there.</t>
        </is>
      </c>
      <c r="C65" t="n">
        <v>0</v>
      </c>
      <c r="D65" t="n">
        <v>0</v>
      </c>
      <c r="E65" t="n">
        <v>0</v>
      </c>
      <c r="F65" t="n">
        <v>0</v>
      </c>
      <c r="H65" t="n">
        <v>0</v>
      </c>
      <c r="I65" t="n">
        <v>0</v>
      </c>
      <c r="J65" t="n">
        <v>0</v>
      </c>
      <c r="K65" t="n">
        <v>0</v>
      </c>
      <c r="L65" t="n">
        <v>0</v>
      </c>
      <c r="M65" t="n">
        <v>0</v>
      </c>
      <c r="N65" t="n">
        <v>0</v>
      </c>
    </row>
    <row r="66">
      <c r="A66" t="inlineStr">
        <is>
          <t>Quittance of labour services</t>
        </is>
      </c>
      <c r="B66" t="inlineStr">
        <is>
          <t>quittance of 1 beadle for .5 virgate of land for the year 2 shilling 0.25pence.</t>
        </is>
      </c>
      <c r="C66" t="n">
        <v>0.1</v>
      </c>
      <c r="D66" t="n">
        <v>0</v>
      </c>
      <c r="E66" t="n">
        <v>2</v>
      </c>
      <c r="F66" t="n">
        <v>0.25</v>
      </c>
      <c r="H66" t="n">
        <v>0</v>
      </c>
      <c r="I66" t="n">
        <v>0</v>
      </c>
      <c r="J66" t="n">
        <v>0</v>
      </c>
      <c r="K66" t="n">
        <v>0</v>
      </c>
      <c r="L66" t="n">
        <v>0</v>
      </c>
      <c r="M66" t="n">
        <v>0</v>
      </c>
      <c r="N66" t="n">
        <v>0</v>
      </c>
    </row>
    <row r="67">
      <c r="A67" t="inlineStr">
        <is>
          <t>Quittance of labour services</t>
        </is>
      </c>
      <c r="B67" t="inlineStr">
        <is>
          <t>1 woodward of Cockner for .5 virgate of land for the year 2 shilling .25pence.</t>
        </is>
      </c>
      <c r="C67" t="n">
        <v>0.2</v>
      </c>
      <c r="D67" t="n">
        <v>0</v>
      </c>
      <c r="E67" t="n">
        <v>2</v>
      </c>
      <c r="F67" t="n">
        <v>25</v>
      </c>
      <c r="H67" t="n">
        <v>0</v>
      </c>
      <c r="I67" t="n">
        <v>0</v>
      </c>
      <c r="J67" t="n">
        <v>0</v>
      </c>
      <c r="K67" t="n">
        <v>0</v>
      </c>
      <c r="L67" t="n">
        <v>0</v>
      </c>
      <c r="M67" t="n">
        <v>0</v>
      </c>
      <c r="N67" t="n">
        <v>0</v>
      </c>
    </row>
    <row r="68">
      <c r="A68" t="inlineStr">
        <is>
          <t>Quittance of labour services</t>
        </is>
      </c>
      <c r="B68" t="inlineStr">
        <is>
          <t>2 woodwards of Churt for 1 virgate of land for the year 3 shilling 4pence.</t>
        </is>
      </c>
      <c r="C68" t="n">
        <v>0.17</v>
      </c>
      <c r="D68" t="n">
        <v>0</v>
      </c>
      <c r="E68" t="n">
        <v>3</v>
      </c>
      <c r="F68" t="n">
        <v>4</v>
      </c>
      <c r="H68" t="n">
        <v>0</v>
      </c>
      <c r="I68" t="n">
        <v>0</v>
      </c>
      <c r="J68" t="n">
        <v>0</v>
      </c>
      <c r="K68" t="n">
        <v>0</v>
      </c>
      <c r="L68" t="n">
        <v>0</v>
      </c>
      <c r="M68" t="n">
        <v>0</v>
      </c>
      <c r="N68" t="n">
        <v>0</v>
      </c>
    </row>
    <row r="69">
      <c r="A69" t="inlineStr">
        <is>
          <t>Quittance of labour services</t>
        </is>
      </c>
      <c r="B69" t="inlineStr">
        <is>
          <t>Total, 15 shilling 5.5pence.</t>
        </is>
      </c>
      <c r="C69" t="n">
        <v>0.77</v>
      </c>
      <c r="D69" t="n">
        <v>0</v>
      </c>
      <c r="E69" t="n">
        <v>15</v>
      </c>
      <c r="F69" t="n">
        <v>5.5</v>
      </c>
      <c r="H69" t="n">
        <v>0</v>
      </c>
      <c r="I69" t="n">
        <v>0</v>
      </c>
      <c r="J69" t="n">
        <v>0</v>
      </c>
      <c r="K69" t="n">
        <v>0</v>
      </c>
      <c r="L69" t="n">
        <v>0</v>
      </c>
      <c r="M69" t="n">
        <v>0</v>
      </c>
      <c r="N69" t="n">
        <v>0</v>
      </c>
    </row>
    <row r="70">
      <c r="A70" t="inlineStr">
        <is>
          <t>Total of labour services remaining clear</t>
        </is>
      </c>
      <c r="B70" t="inlineStr">
        <is>
          <t>Total of labour services remaining clear, £37 1 shilling 10.25pence.</t>
        </is>
      </c>
      <c r="C70" t="n">
        <v>37.09</v>
      </c>
      <c r="D70" t="n">
        <v>37</v>
      </c>
      <c r="E70" t="n">
        <v>1</v>
      </c>
      <c r="F70" t="n">
        <v>10.25</v>
      </c>
      <c r="H70" t="n">
        <v>0</v>
      </c>
      <c r="I70" t="n">
        <v>0</v>
      </c>
      <c r="J70" t="n">
        <v>0</v>
      </c>
      <c r="K70" t="n">
        <v>0</v>
      </c>
      <c r="L70" t="n">
        <v>0</v>
      </c>
      <c r="M70" t="n">
        <v>0</v>
      </c>
      <c r="N70" t="n">
        <v>0</v>
      </c>
    </row>
    <row r="71">
      <c r="A71" t="inlineStr">
        <is>
          <t>Farm of the borough</t>
        </is>
      </c>
      <c r="B71" t="inlineStr">
        <is>
          <t>And for £6 for the farm of the borough at Easter.</t>
        </is>
      </c>
      <c r="C71" t="n">
        <v>6</v>
      </c>
      <c r="D71" t="n">
        <v>6</v>
      </c>
      <c r="E71" t="n">
        <v>0</v>
      </c>
      <c r="F71" t="n">
        <v>0</v>
      </c>
      <c r="H71" t="n">
        <v>0</v>
      </c>
      <c r="I71" t="n">
        <v>0</v>
      </c>
      <c r="J71" t="n">
        <v>0</v>
      </c>
      <c r="K71" t="n">
        <v>0</v>
      </c>
      <c r="L71" t="n">
        <v>0</v>
      </c>
      <c r="M71" t="n">
        <v>0</v>
      </c>
      <c r="N71" t="n">
        <v>0</v>
      </c>
    </row>
    <row r="72">
      <c r="A72" t="inlineStr">
        <is>
          <t>Farm of the borough</t>
        </is>
      </c>
      <c r="B72" t="inlineStr">
        <is>
          <t>£6 for the farm of the said borough at Michaelmas.</t>
        </is>
      </c>
      <c r="C72" t="n">
        <v>6</v>
      </c>
      <c r="D72" t="n">
        <v>6</v>
      </c>
      <c r="E72" t="n">
        <v>0</v>
      </c>
      <c r="F72" t="n">
        <v>0</v>
      </c>
      <c r="H72" t="n">
        <v>0</v>
      </c>
      <c r="I72" t="n">
        <v>0</v>
      </c>
      <c r="J72" t="n">
        <v>0</v>
      </c>
      <c r="K72" t="n">
        <v>0</v>
      </c>
      <c r="L72" t="n">
        <v>0</v>
      </c>
      <c r="M72" t="n">
        <v>0</v>
      </c>
      <c r="N72" t="n">
        <v>0</v>
      </c>
    </row>
    <row r="73">
      <c r="A73" t="inlineStr">
        <is>
          <t>Farm of the borough</t>
        </is>
      </c>
      <c r="B73" t="inlineStr">
        <is>
          <t>Total, £12..</t>
        </is>
      </c>
      <c r="C73" t="n">
        <v>12</v>
      </c>
      <c r="D73" t="n">
        <v>12</v>
      </c>
      <c r="E73" t="n">
        <v>0</v>
      </c>
      <c r="F73" t="n">
        <v>0</v>
      </c>
      <c r="H73" t="n">
        <v>0</v>
      </c>
      <c r="I73" t="n">
        <v>0</v>
      </c>
      <c r="J73" t="n">
        <v>0</v>
      </c>
      <c r="K73" t="n">
        <v>0</v>
      </c>
      <c r="L73" t="n">
        <v>0</v>
      </c>
      <c r="M73" t="n">
        <v>0</v>
      </c>
      <c r="N73" t="n">
        <v>0</v>
      </c>
    </row>
    <row r="74">
      <c r="A74" t="inlineStr">
        <is>
          <t>Farm of the mills</t>
        </is>
      </c>
      <c r="B74" t="inlineStr">
        <is>
          <t>And for £14 13 shilling 4pence for the farm of the mill of Bourne for the year.</t>
        </is>
      </c>
      <c r="C74" t="n">
        <v>14.67</v>
      </c>
      <c r="D74" t="n">
        <v>14</v>
      </c>
      <c r="E74" t="n">
        <v>13</v>
      </c>
      <c r="F74" t="n">
        <v>4</v>
      </c>
      <c r="H74" t="n">
        <v>0</v>
      </c>
      <c r="I74" t="n">
        <v>0</v>
      </c>
      <c r="J74" t="n">
        <v>0</v>
      </c>
      <c r="K74" t="n">
        <v>0</v>
      </c>
      <c r="L74" t="n">
        <v>0</v>
      </c>
      <c r="M74" t="n">
        <v>0</v>
      </c>
      <c r="N74" t="n">
        <v>0</v>
      </c>
    </row>
    <row r="75">
      <c r="A75" t="inlineStr">
        <is>
          <t>Farm of the mills</t>
        </is>
      </c>
      <c r="B75" t="inlineStr">
        <is>
          <t>£2 3 shilling 4pence for the farm of the fulling mill, demised to William Guy and Thomas Fuller' for 15 years, this year being the seventh.</t>
        </is>
      </c>
      <c r="C75" t="n">
        <v>2.17</v>
      </c>
      <c r="D75" t="n">
        <v>2</v>
      </c>
      <c r="E75" t="n">
        <v>3</v>
      </c>
      <c r="F75" t="n">
        <v>4</v>
      </c>
      <c r="H75" t="n">
        <v>0</v>
      </c>
      <c r="I75" t="n">
        <v>0</v>
      </c>
      <c r="J75" t="n">
        <v>0</v>
      </c>
      <c r="K75" t="n">
        <v>0</v>
      </c>
      <c r="L75" t="n">
        <v>0</v>
      </c>
      <c r="M75" t="n">
        <v>0</v>
      </c>
      <c r="N75" t="n">
        <v>0</v>
      </c>
    </row>
    <row r="76">
      <c r="A76" t="inlineStr">
        <is>
          <t>Farm of the mills</t>
        </is>
      </c>
      <c r="B76" t="inlineStr">
        <is>
          <t>Total, £16 16 shilling 8pence.</t>
        </is>
      </c>
      <c r="C76" t="n">
        <v>16.83</v>
      </c>
      <c r="D76" t="n">
        <v>16</v>
      </c>
      <c r="E76" t="n">
        <v>16</v>
      </c>
      <c r="F76" t="n">
        <v>8</v>
      </c>
      <c r="H76" t="n">
        <v>0</v>
      </c>
      <c r="I76" t="n">
        <v>0</v>
      </c>
      <c r="J76" t="n">
        <v>0</v>
      </c>
      <c r="K76" t="n">
        <v>0</v>
      </c>
      <c r="L76" t="n">
        <v>0</v>
      </c>
      <c r="M76" t="n">
        <v>0</v>
      </c>
      <c r="N76" t="n">
        <v>0</v>
      </c>
    </row>
    <row r="77">
      <c r="A77" t="inlineStr">
        <is>
          <t>Annual recognizance</t>
        </is>
      </c>
      <c r="B77" t="inlineStr">
        <is>
          <t>And for 2 shilling from William atte Hethe, son of Henry atte Hethe, the lord's villein, so that he may dwell outside the lord's liberty as long as it pleases the lord and come to the 2 tourns for the year and remain the lord's villein as before.</t>
        </is>
      </c>
      <c r="C77" t="n">
        <v>0.1</v>
      </c>
      <c r="D77" t="n">
        <v>0</v>
      </c>
      <c r="E77" t="n">
        <v>2</v>
      </c>
      <c r="F77" t="n">
        <v>0</v>
      </c>
      <c r="H77" t="n">
        <v>0</v>
      </c>
      <c r="I77" t="n">
        <v>0</v>
      </c>
      <c r="J77" t="n">
        <v>0</v>
      </c>
      <c r="K77" t="n">
        <v>0</v>
      </c>
      <c r="L77" t="n">
        <v>0</v>
      </c>
      <c r="M77" t="n">
        <v>0</v>
      </c>
      <c r="N77" t="n">
        <v>0</v>
      </c>
    </row>
    <row r="78">
      <c r="A78" t="inlineStr">
        <is>
          <t>Annual recognizance</t>
        </is>
      </c>
      <c r="B78" t="inlineStr">
        <is>
          <t>Total, 2 shilling.</t>
        </is>
      </c>
      <c r="C78" t="n">
        <v>0.1</v>
      </c>
      <c r="D78" t="n">
        <v>0</v>
      </c>
      <c r="E78" t="n">
        <v>2</v>
      </c>
      <c r="F78" t="n">
        <v>0</v>
      </c>
      <c r="H78" t="n">
        <v>0</v>
      </c>
      <c r="I78" t="n">
        <v>0</v>
      </c>
      <c r="J78" t="n">
        <v>0</v>
      </c>
      <c r="K78" t="n">
        <v>0</v>
      </c>
      <c r="L78" t="n">
        <v>0</v>
      </c>
      <c r="M78" t="n">
        <v>0</v>
      </c>
      <c r="N78" t="n">
        <v>0</v>
      </c>
    </row>
    <row r="79">
      <c r="A79" t="inlineStr">
        <is>
          <t>Issues of the manor</t>
        </is>
      </c>
      <c r="B79" t="inlineStr">
        <is>
          <t>And for 12 shilling 2.5pence from common pannage of the villeins' pigs this year.</t>
        </is>
      </c>
      <c r="C79" t="n">
        <v>0.61</v>
      </c>
      <c r="D79" t="n">
        <v>0</v>
      </c>
      <c r="E79" t="n">
        <v>12</v>
      </c>
      <c r="F79" t="n">
        <v>2.5</v>
      </c>
      <c r="H79" t="n">
        <v>0</v>
      </c>
      <c r="I79" t="n">
        <v>0</v>
      </c>
      <c r="J79" t="n">
        <v>0</v>
      </c>
      <c r="K79" t="n">
        <v>0</v>
      </c>
      <c r="L79" t="n">
        <v>0</v>
      </c>
      <c r="M79" t="n">
        <v>0</v>
      </c>
      <c r="N79" t="n">
        <v>0</v>
      </c>
    </row>
    <row r="80">
      <c r="A80" t="inlineStr">
        <is>
          <t>Issues of the manor</t>
        </is>
      </c>
      <c r="B80" t="inlineStr">
        <is>
          <t>nothing from the agistment of pigs in the great park this year because there was no mast.</t>
        </is>
      </c>
      <c r="C80" t="n">
        <v>0</v>
      </c>
      <c r="D80" t="n">
        <v>0</v>
      </c>
      <c r="E80" t="n">
        <v>0</v>
      </c>
      <c r="F80" t="n">
        <v>0</v>
      </c>
      <c r="H80" t="n">
        <v>0</v>
      </c>
      <c r="I80" t="n">
        <v>0</v>
      </c>
      <c r="J80" t="n">
        <v>0</v>
      </c>
      <c r="K80" t="n">
        <v>0</v>
      </c>
      <c r="L80" t="n">
        <v>0</v>
      </c>
      <c r="M80" t="n">
        <v>0</v>
      </c>
      <c r="N80" t="n">
        <v>0</v>
      </c>
    </row>
    <row r="81">
      <c r="A81" t="inlineStr">
        <is>
          <t>Issues of the manor</t>
        </is>
      </c>
      <c r="B81" t="inlineStr">
        <is>
          <t>nothing from the agistment of pigs in the new park nor in The Reeds this year.</t>
        </is>
      </c>
      <c r="C81" t="n">
        <v>0</v>
      </c>
      <c r="D81" t="n">
        <v>0</v>
      </c>
      <c r="E81" t="n">
        <v>0</v>
      </c>
      <c r="F81" t="n">
        <v>0</v>
      </c>
      <c r="H81" t="n">
        <v>0</v>
      </c>
      <c r="I81" t="n">
        <v>0</v>
      </c>
      <c r="J81" t="n">
        <v>0</v>
      </c>
      <c r="K81" t="n">
        <v>0</v>
      </c>
      <c r="L81" t="n">
        <v>0</v>
      </c>
      <c r="M81" t="n">
        <v>0</v>
      </c>
      <c r="N81" t="n">
        <v>0</v>
      </c>
    </row>
    <row r="82">
      <c r="A82" t="inlineStr">
        <is>
          <t>Issues of the manor</t>
        </is>
      </c>
      <c r="B82" t="inlineStr">
        <is>
          <t>nothing from the agistment of pigs in the lord's woods of Churt, Cockner and Ottering Wood this year.</t>
        </is>
      </c>
      <c r="C82" t="n">
        <v>0</v>
      </c>
      <c r="D82" t="n">
        <v>0</v>
      </c>
      <c r="E82" t="n">
        <v>0</v>
      </c>
      <c r="F82" t="n">
        <v>0</v>
      </c>
      <c r="H82" t="n">
        <v>0</v>
      </c>
      <c r="I82" t="n">
        <v>0</v>
      </c>
      <c r="J82" t="n">
        <v>0</v>
      </c>
      <c r="K82" t="n">
        <v>0</v>
      </c>
      <c r="L82" t="n">
        <v>0</v>
      </c>
      <c r="M82" t="n">
        <v>0</v>
      </c>
      <c r="N82" t="n">
        <v>0</v>
      </c>
    </row>
    <row r="83">
      <c r="A83" t="inlineStr">
        <is>
          <t>Issues of the manor</t>
        </is>
      </c>
      <c r="B83" t="inlineStr">
        <is>
          <t>nothing from winter pasturage in Tyelbed' because it is let with the farm of the demesne lands.</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same pasture after mowing for the aforesaid reason.</t>
        </is>
      </c>
      <c r="C84" t="n">
        <v>0</v>
      </c>
      <c r="D84" t="n">
        <v>0</v>
      </c>
      <c r="E84" t="n">
        <v>0</v>
      </c>
      <c r="F84" t="n">
        <v>0</v>
      </c>
      <c r="H84" t="n">
        <v>0</v>
      </c>
      <c r="I84" t="n">
        <v>0</v>
      </c>
      <c r="J84" t="n">
        <v>0</v>
      </c>
      <c r="K84" t="n">
        <v>0</v>
      </c>
      <c r="L84" t="n">
        <v>0</v>
      </c>
      <c r="M84" t="n">
        <v>0</v>
      </c>
      <c r="N84" t="n">
        <v>0</v>
      </c>
    </row>
    <row r="85">
      <c r="A85" t="inlineStr">
        <is>
          <t>Issues of the manor</t>
        </is>
      </c>
      <c r="B85" t="inlineStr">
        <is>
          <t>13 shilling 4pence from winter pasturage in Northemede sold this year.</t>
        </is>
      </c>
      <c r="C85" t="n">
        <v>0.67</v>
      </c>
      <c r="D85" t="n">
        <v>0</v>
      </c>
      <c r="E85" t="n">
        <v>13</v>
      </c>
      <c r="F85" t="n">
        <v>4</v>
      </c>
      <c r="H85" t="n">
        <v>0</v>
      </c>
      <c r="I85" t="n">
        <v>0</v>
      </c>
      <c r="J85" t="n">
        <v>0</v>
      </c>
      <c r="K85" t="n">
        <v>0</v>
      </c>
      <c r="L85" t="n">
        <v>0</v>
      </c>
      <c r="M85" t="n">
        <v>0</v>
      </c>
      <c r="N85" t="n">
        <v>0</v>
      </c>
    </row>
    <row r="86">
      <c r="A86" t="inlineStr">
        <is>
          <t>Issues of the manor</t>
        </is>
      </c>
      <c r="B86" t="inlineStr">
        <is>
          <t>nothing from the pasturage of Suthemede because it is in the fee of the constable.</t>
        </is>
      </c>
      <c r="C86" t="n">
        <v>0</v>
      </c>
      <c r="D86" t="n">
        <v>0</v>
      </c>
      <c r="E86" t="n">
        <v>0</v>
      </c>
      <c r="F86" t="n">
        <v>0</v>
      </c>
      <c r="H86" t="n">
        <v>0</v>
      </c>
      <c r="I86" t="n">
        <v>0</v>
      </c>
      <c r="J86" t="n">
        <v>0</v>
      </c>
      <c r="K86" t="n">
        <v>0</v>
      </c>
      <c r="L86" t="n">
        <v>0</v>
      </c>
      <c r="M86" t="n">
        <v>0</v>
      </c>
      <c r="N86" t="n">
        <v>0</v>
      </c>
    </row>
    <row r="87">
      <c r="A87" t="inlineStr">
        <is>
          <t>Issues of the manor</t>
        </is>
      </c>
      <c r="B87" t="inlineStr">
        <is>
          <t>nothing from winter pasturage in Fyssheweremed', which used to be sold for 5 shilling, because it is grown (edit') close to the fishpond there.</t>
        </is>
      </c>
      <c r="C87" t="n">
        <v>0.25</v>
      </c>
      <c r="D87" t="n">
        <v>0</v>
      </c>
      <c r="E87" t="n">
        <v>5</v>
      </c>
      <c r="F87" t="n">
        <v>0</v>
      </c>
      <c r="H87" t="n">
        <v>0</v>
      </c>
      <c r="I87" t="n">
        <v>0</v>
      </c>
      <c r="J87" t="n">
        <v>0</v>
      </c>
      <c r="K87" t="n">
        <v>0</v>
      </c>
      <c r="L87" t="n">
        <v>0</v>
      </c>
      <c r="M87" t="n">
        <v>0</v>
      </c>
      <c r="N87" t="n">
        <v>0</v>
      </c>
    </row>
    <row r="88">
      <c r="A88" t="inlineStr">
        <is>
          <t>Issues of the manor</t>
        </is>
      </c>
      <c r="B88" t="inlineStr">
        <is>
          <t>8pence from the pasturage within the fishpond beside Brodemede sold this year.</t>
        </is>
      </c>
      <c r="C88" t="n">
        <v>0.03</v>
      </c>
      <c r="D88" t="n">
        <v>0</v>
      </c>
      <c r="E88" t="n">
        <v>0</v>
      </c>
      <c r="F88" t="n">
        <v>8</v>
      </c>
      <c r="H88" t="n">
        <v>0</v>
      </c>
      <c r="I88" t="n">
        <v>0</v>
      </c>
      <c r="J88" t="n">
        <v>0</v>
      </c>
      <c r="K88" t="n">
        <v>0</v>
      </c>
      <c r="L88" t="n">
        <v>0</v>
      </c>
      <c r="M88" t="n">
        <v>0</v>
      </c>
      <c r="N88" t="n">
        <v>0</v>
      </c>
    </row>
    <row r="89">
      <c r="A89" t="inlineStr">
        <is>
          <t>Issues of the manor</t>
        </is>
      </c>
      <c r="B89" t="inlineStr">
        <is>
          <t>4pence from the pasturage around the rabbit warren beside Langebrygg' sold this year.</t>
        </is>
      </c>
      <c r="C89" t="n">
        <v>0.02</v>
      </c>
      <c r="D89" t="n">
        <v>0</v>
      </c>
      <c r="E89" t="n">
        <v>0</v>
      </c>
      <c r="F89" t="n">
        <v>4</v>
      </c>
      <c r="H89" t="n">
        <v>0</v>
      </c>
      <c r="I89" t="n">
        <v>0</v>
      </c>
      <c r="J89" t="n">
        <v>0</v>
      </c>
      <c r="K89" t="n">
        <v>0</v>
      </c>
      <c r="L89" t="n">
        <v>0</v>
      </c>
      <c r="M89" t="n">
        <v>0</v>
      </c>
      <c r="N89" t="n">
        <v>0</v>
      </c>
    </row>
    <row r="90">
      <c r="A90" t="inlineStr">
        <is>
          <t>Issues of the manor</t>
        </is>
      </c>
      <c r="B90" t="inlineStr">
        <is>
          <t>nothing from the agistment of cattle in the great park because it is for the animals of the farmer there.</t>
        </is>
      </c>
      <c r="C90" t="n">
        <v>0</v>
      </c>
      <c r="D90" t="n">
        <v>0</v>
      </c>
      <c r="E90" t="n">
        <v>0</v>
      </c>
      <c r="F90" t="n">
        <v>0</v>
      </c>
      <c r="H90" t="n">
        <v>0</v>
      </c>
      <c r="I90" t="n">
        <v>0</v>
      </c>
      <c r="J90" t="n">
        <v>0</v>
      </c>
      <c r="K90" t="n">
        <v>0</v>
      </c>
      <c r="L90" t="n">
        <v>0</v>
      </c>
      <c r="M90" t="n">
        <v>0</v>
      </c>
      <c r="N90" t="n">
        <v>0</v>
      </c>
    </row>
    <row r="91">
      <c r="A91" t="inlineStr">
        <is>
          <t>Issues of the manor</t>
        </is>
      </c>
      <c r="B91" t="inlineStr">
        <is>
          <t>nothing from the sale of pasturage in Rysshemed' because it is reserved for the mill-horses.</t>
        </is>
      </c>
      <c r="C91" t="n">
        <v>0</v>
      </c>
      <c r="D91" t="n">
        <v>0</v>
      </c>
      <c r="E91" t="n">
        <v>0</v>
      </c>
      <c r="F91" t="n">
        <v>0</v>
      </c>
      <c r="H91" t="n">
        <v>0</v>
      </c>
      <c r="I91" t="n">
        <v>0</v>
      </c>
      <c r="J91" t="n">
        <v>0</v>
      </c>
      <c r="K91" t="n">
        <v>0</v>
      </c>
      <c r="L91" t="n">
        <v>0</v>
      </c>
      <c r="M91" t="n">
        <v>0</v>
      </c>
      <c r="N91" t="n">
        <v>0</v>
      </c>
    </row>
    <row r="92">
      <c r="A92" t="inlineStr">
        <is>
          <t>Issues of the manor</t>
        </is>
      </c>
      <c r="B92" t="inlineStr">
        <is>
          <t>nothing from the sale of winter pasturage in Brodemed' because the farmer has the said pasturage with the farm.</t>
        </is>
      </c>
      <c r="C92" t="n">
        <v>0</v>
      </c>
      <c r="D92" t="n">
        <v>0</v>
      </c>
      <c r="E92" t="n">
        <v>0</v>
      </c>
      <c r="F92" t="n">
        <v>0</v>
      </c>
      <c r="H92" t="n">
        <v>0</v>
      </c>
      <c r="I92" t="n">
        <v>0</v>
      </c>
      <c r="J92" t="n">
        <v>0</v>
      </c>
      <c r="K92" t="n">
        <v>0</v>
      </c>
      <c r="L92" t="n">
        <v>0</v>
      </c>
      <c r="M92" t="n">
        <v>0</v>
      </c>
      <c r="N92" t="n">
        <v>0</v>
      </c>
    </row>
    <row r="93">
      <c r="A93" t="inlineStr">
        <is>
          <t>Issues of the manor</t>
        </is>
      </c>
      <c r="B93" t="inlineStr">
        <is>
          <t>nothing of the 8 shilling from the pasturage of the same sold after mowing for the aforesaid reason.</t>
        </is>
      </c>
      <c r="C93" t="n">
        <v>0.4</v>
      </c>
      <c r="D93" t="n">
        <v>0</v>
      </c>
      <c r="E93" t="n">
        <v>8</v>
      </c>
      <c r="F93" t="n">
        <v>0</v>
      </c>
      <c r="H93" t="n">
        <v>0</v>
      </c>
      <c r="I93" t="n">
        <v>0</v>
      </c>
      <c r="J93" t="n">
        <v>0</v>
      </c>
      <c r="K93" t="n">
        <v>0</v>
      </c>
      <c r="L93" t="n">
        <v>0</v>
      </c>
      <c r="M93" t="n">
        <v>0</v>
      </c>
      <c r="N93" t="n">
        <v>0</v>
      </c>
    </row>
    <row r="94">
      <c r="A94" t="inlineStr">
        <is>
          <t>Issues of the manor</t>
        </is>
      </c>
      <c r="B94" t="inlineStr">
        <is>
          <t>nothing from the sale of pasturage in the new park or in The Reeds because it is grazed by the lord's colts.</t>
        </is>
      </c>
      <c r="C94" t="n">
        <v>0</v>
      </c>
      <c r="D94" t="n">
        <v>0</v>
      </c>
      <c r="E94" t="n">
        <v>0</v>
      </c>
      <c r="F94" t="n">
        <v>0</v>
      </c>
      <c r="H94" t="n">
        <v>0</v>
      </c>
      <c r="I94" t="n">
        <v>0</v>
      </c>
      <c r="J94" t="n">
        <v>0</v>
      </c>
      <c r="K94" t="n">
        <v>0</v>
      </c>
      <c r="L94" t="n">
        <v>0</v>
      </c>
      <c r="M94" t="n">
        <v>0</v>
      </c>
      <c r="N94" t="n">
        <v>0</v>
      </c>
    </row>
    <row r="95">
      <c r="A95" t="inlineStr">
        <is>
          <t>Issues of the manor</t>
        </is>
      </c>
      <c r="B95" t="inlineStr">
        <is>
          <t>£3 6 shilling 8pence for the farm of Seale, demised to John Shire for 9 years, this year being the first.</t>
        </is>
      </c>
      <c r="C95" t="n">
        <v>3.33</v>
      </c>
      <c r="D95" t="n">
        <v>3</v>
      </c>
      <c r="E95" t="n">
        <v>6</v>
      </c>
      <c r="F95" t="n">
        <v>8</v>
      </c>
      <c r="H95" t="n">
        <v>0</v>
      </c>
      <c r="I95" t="n">
        <v>0</v>
      </c>
      <c r="J95" t="n">
        <v>0</v>
      </c>
      <c r="K95" t="n">
        <v>0</v>
      </c>
      <c r="L95" t="n">
        <v>0</v>
      </c>
      <c r="M95" t="n">
        <v>0</v>
      </c>
      <c r="N95" t="n">
        <v>0</v>
      </c>
    </row>
    <row r="96">
      <c r="A96" t="inlineStr">
        <is>
          <t>Issues of the manor</t>
        </is>
      </c>
      <c r="B96" t="inlineStr">
        <is>
          <t>nothing of the 6pence for the service of one smith at Farnham, because he owes service for the ironwork of 1 plough and 1 plough-horse, because it is currently with the aforesaid farm.</t>
        </is>
      </c>
      <c r="C96" t="n">
        <v>0.03</v>
      </c>
      <c r="D96" t="n">
        <v>0</v>
      </c>
      <c r="E96" t="n">
        <v>0</v>
      </c>
      <c r="F96" t="n">
        <v>6</v>
      </c>
      <c r="H96" t="n">
        <v>0</v>
      </c>
      <c r="I96" t="n">
        <v>0</v>
      </c>
      <c r="J96" t="n">
        <v>0</v>
      </c>
      <c r="K96" t="n">
        <v>0</v>
      </c>
      <c r="L96" t="n">
        <v>0</v>
      </c>
      <c r="M96" t="n">
        <v>0</v>
      </c>
      <c r="N96" t="n">
        <v>0</v>
      </c>
    </row>
    <row r="97">
      <c r="A97" t="inlineStr">
        <is>
          <t>Issues of the manor</t>
        </is>
      </c>
      <c r="B97" t="inlineStr">
        <is>
          <t>nothing of the 6pence for the service of mowing 2 acres of meadow in la Ryenmede as it used to be whilst it was in the lord's hands because it is currently with the aforesaid farm.</t>
        </is>
      </c>
      <c r="C97" t="n">
        <v>0.03</v>
      </c>
      <c r="D97" t="n">
        <v>0</v>
      </c>
      <c r="E97" t="n">
        <v>0</v>
      </c>
      <c r="F97" t="n">
        <v>6</v>
      </c>
      <c r="G97" t="inlineStr">
        <is>
          <t>rye</t>
        </is>
      </c>
      <c r="H97" t="n">
        <v>0</v>
      </c>
      <c r="I97" t="n">
        <v>0</v>
      </c>
      <c r="J97" t="n">
        <v>0</v>
      </c>
      <c r="K97" t="n">
        <v>0</v>
      </c>
      <c r="L97" t="n">
        <v>0</v>
      </c>
      <c r="M97" t="n">
        <v>0</v>
      </c>
      <c r="N97" t="n">
        <v>0</v>
      </c>
    </row>
    <row r="98">
      <c r="A98" t="inlineStr">
        <is>
          <t>Issues of the manor</t>
        </is>
      </c>
      <c r="B98" t="inlineStr">
        <is>
          <t>nothing of the 6pence for the labour services of the cottars stacking the lord's corn and washing and shearing the lord's sheep because they performed the labour service of washing and shearing.</t>
        </is>
      </c>
      <c r="C98" t="n">
        <v>0.03</v>
      </c>
      <c r="D98" t="n">
        <v>0</v>
      </c>
      <c r="E98" t="n">
        <v>0</v>
      </c>
      <c r="F98" t="n">
        <v>6</v>
      </c>
      <c r="H98" t="n">
        <v>0</v>
      </c>
      <c r="I98" t="n">
        <v>0</v>
      </c>
      <c r="J98" t="n">
        <v>0</v>
      </c>
      <c r="K98" t="n">
        <v>0</v>
      </c>
      <c r="L98" t="n">
        <v>0</v>
      </c>
      <c r="M98" t="n">
        <v>0</v>
      </c>
      <c r="N98" t="n">
        <v>0</v>
      </c>
    </row>
    <row r="99">
      <c r="A99" t="inlineStr">
        <is>
          <t>Issues of the manor</t>
        </is>
      </c>
      <c r="B99" t="inlineStr">
        <is>
          <t>£2 10 shilling for the fleeces of 200 wethers, demised to John Shyre, farmer of Seale, for 9 years, this year being the first.</t>
        </is>
      </c>
      <c r="C99" t="n">
        <v>2.5</v>
      </c>
      <c r="D99" t="n">
        <v>2</v>
      </c>
      <c r="E99" t="n">
        <v>10</v>
      </c>
      <c r="F99" t="n">
        <v>0</v>
      </c>
      <c r="H99" t="n">
        <v>0</v>
      </c>
      <c r="I99" t="n">
        <v>0</v>
      </c>
      <c r="J99" t="n">
        <v>0</v>
      </c>
      <c r="K99" t="n">
        <v>0</v>
      </c>
      <c r="L99" t="n">
        <v>0</v>
      </c>
      <c r="M99" t="n">
        <v>0</v>
      </c>
      <c r="N99" t="n">
        <v>0</v>
      </c>
    </row>
    <row r="100">
      <c r="A100" t="inlineStr">
        <is>
          <t>Issues of the manor</t>
        </is>
      </c>
      <c r="B100" t="inlineStr">
        <is>
          <t>10 shilling for the labour services of 4 cottars keeping the lord's sheep, on top of the rent of assize, demised to William Westbrok' for the year.</t>
        </is>
      </c>
      <c r="C100" t="n">
        <v>0.5</v>
      </c>
      <c r="D100" t="n">
        <v>0</v>
      </c>
      <c r="E100" t="n">
        <v>10</v>
      </c>
      <c r="F100" t="n">
        <v>0</v>
      </c>
      <c r="H100" t="n">
        <v>0</v>
      </c>
      <c r="I100" t="n">
        <v>0</v>
      </c>
      <c r="J100" t="n">
        <v>0</v>
      </c>
      <c r="K100" t="n">
        <v>0</v>
      </c>
      <c r="L100" t="n">
        <v>0</v>
      </c>
      <c r="M100" t="n">
        <v>0</v>
      </c>
      <c r="N100" t="n">
        <v>0</v>
      </c>
    </row>
    <row r="101">
      <c r="A101" t="inlineStr">
        <is>
          <t>Issues of the manor</t>
        </is>
      </c>
      <c r="B101" t="inlineStr">
        <is>
          <t>5 shilling for the labour services of 2 cottars keeping the lord's sheep of Seale, on top of the rent of assize, demised to Thomas Colyn' and John Goldyng' for the year.</t>
        </is>
      </c>
      <c r="C101" t="n">
        <v>0.25</v>
      </c>
      <c r="D101" t="n">
        <v>0</v>
      </c>
      <c r="E101" t="n">
        <v>5</v>
      </c>
      <c r="F101" t="n">
        <v>0</v>
      </c>
      <c r="H101" t="n">
        <v>0</v>
      </c>
      <c r="I101" t="n">
        <v>0</v>
      </c>
      <c r="J101" t="n">
        <v>0</v>
      </c>
      <c r="K101" t="n">
        <v>0</v>
      </c>
      <c r="L101" t="n">
        <v>0</v>
      </c>
      <c r="M101" t="n">
        <v>0</v>
      </c>
      <c r="N101" t="n">
        <v>0</v>
      </c>
    </row>
    <row r="102">
      <c r="A102" t="inlineStr">
        <is>
          <t>Issues of the manor</t>
        </is>
      </c>
      <c r="B10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102" t="n">
        <v>0.83</v>
      </c>
      <c r="D102" t="n">
        <v>0</v>
      </c>
      <c r="E102" t="n">
        <v>16</v>
      </c>
      <c r="F102" t="n">
        <v>8</v>
      </c>
      <c r="H102" t="n">
        <v>0</v>
      </c>
      <c r="I102" t="n">
        <v>0</v>
      </c>
      <c r="J102" t="n">
        <v>0</v>
      </c>
      <c r="K102" t="n">
        <v>0</v>
      </c>
      <c r="L102" t="n">
        <v>0</v>
      </c>
      <c r="M102" t="n">
        <v>0</v>
      </c>
      <c r="N102" t="n">
        <v>0</v>
      </c>
    </row>
    <row r="103">
      <c r="A103" t="inlineStr">
        <is>
          <t>Issues of the manor</t>
        </is>
      </c>
      <c r="B103" t="inlineStr">
        <is>
          <t>nothing of the 80 hens which William Parker was accustomed to pay in fee for the rent, and he is dead, for which reason the office is at the lord's will.</t>
        </is>
      </c>
      <c r="C103" t="n">
        <v>0</v>
      </c>
      <c r="D103" t="n">
        <v>0</v>
      </c>
      <c r="E103" t="n">
        <v>0</v>
      </c>
      <c r="F103" t="n">
        <v>0</v>
      </c>
      <c r="H103" t="n">
        <v>0</v>
      </c>
      <c r="I103" t="n">
        <v>0</v>
      </c>
      <c r="J103" t="n">
        <v>0</v>
      </c>
      <c r="K103" t="n">
        <v>0</v>
      </c>
      <c r="L103" t="n">
        <v>0</v>
      </c>
      <c r="M103" t="n">
        <v>0</v>
      </c>
      <c r="N103" t="n">
        <v>0</v>
      </c>
    </row>
    <row r="104">
      <c r="A104" t="inlineStr">
        <is>
          <t>Issues of the manor</t>
        </is>
      </c>
      <c r="B10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104" t="n">
        <v>0.21</v>
      </c>
      <c r="D104" t="n">
        <v>0</v>
      </c>
      <c r="E104" t="n">
        <v>4</v>
      </c>
      <c r="F104" t="n">
        <v>2</v>
      </c>
      <c r="H104" t="n">
        <v>0</v>
      </c>
      <c r="I104" t="n">
        <v>0</v>
      </c>
      <c r="J104" t="n">
        <v>0</v>
      </c>
      <c r="K104" t="n">
        <v>0</v>
      </c>
      <c r="L104" t="n">
        <v>0</v>
      </c>
      <c r="M104" t="n">
        <v>0</v>
      </c>
      <c r="N104" t="n">
        <v>0</v>
      </c>
    </row>
    <row r="105">
      <c r="A105" t="inlineStr">
        <is>
          <t>Issues of the manor</t>
        </is>
      </c>
      <c r="B105" t="inlineStr">
        <is>
          <t>£2 10 shilling for the fleeces of 200 wethers at Farnham, demised to William Goos for 9 years, this year being the first, just as is made clear in a certain indenture made therefor.</t>
        </is>
      </c>
      <c r="C105" t="n">
        <v>2.5</v>
      </c>
      <c r="D105" t="n">
        <v>2</v>
      </c>
      <c r="E105" t="n">
        <v>10</v>
      </c>
      <c r="F105" t="n">
        <v>0</v>
      </c>
      <c r="H105" t="n">
        <v>0</v>
      </c>
      <c r="I105" t="n">
        <v>0</v>
      </c>
      <c r="J105" t="n">
        <v>0</v>
      </c>
      <c r="K105" t="n">
        <v>0</v>
      </c>
      <c r="L105" t="n">
        <v>0</v>
      </c>
      <c r="M105" t="n">
        <v>0</v>
      </c>
      <c r="N105" t="n">
        <v>0</v>
      </c>
    </row>
    <row r="106">
      <c r="A106" t="inlineStr">
        <is>
          <t>Issues of the manor</t>
        </is>
      </c>
      <c r="B106" t="inlineStr">
        <is>
          <t>nothing of the 8 shilling from John Meon' for 16 acres of arable land and I piece of pasture beside Medmull' because it is under the heading, farm of the mills, among the issues of the same mill.</t>
        </is>
      </c>
      <c r="C106" t="n">
        <v>0.4</v>
      </c>
      <c r="D106" t="n">
        <v>0</v>
      </c>
      <c r="E106" t="n">
        <v>8</v>
      </c>
      <c r="F106" t="n">
        <v>0</v>
      </c>
      <c r="H106" t="n">
        <v>0</v>
      </c>
      <c r="I106" t="n">
        <v>0</v>
      </c>
      <c r="J106" t="n">
        <v>0</v>
      </c>
      <c r="K106" t="n">
        <v>0</v>
      </c>
      <c r="L106" t="n">
        <v>0</v>
      </c>
      <c r="M106" t="n">
        <v>0</v>
      </c>
      <c r="N106" t="n">
        <v>0</v>
      </c>
    </row>
    <row r="107">
      <c r="A107" t="inlineStr">
        <is>
          <t>Issues of the manor</t>
        </is>
      </c>
      <c r="B107" t="inlineStr">
        <is>
          <t>3 shilling 4pence from the herbage of the meadow called Lovesonesmede sold wholesale.</t>
        </is>
      </c>
      <c r="C107" t="n">
        <v>0.17</v>
      </c>
      <c r="D107" t="n">
        <v>0</v>
      </c>
      <c r="E107" t="n">
        <v>3</v>
      </c>
      <c r="F107" t="n">
        <v>4</v>
      </c>
      <c r="H107" t="n">
        <v>0</v>
      </c>
      <c r="I107" t="n">
        <v>0</v>
      </c>
      <c r="J107" t="n">
        <v>0</v>
      </c>
      <c r="K107" t="n">
        <v>0</v>
      </c>
      <c r="L107" t="n">
        <v>0</v>
      </c>
      <c r="M107" t="n">
        <v>0</v>
      </c>
      <c r="N107" t="n">
        <v>0</v>
      </c>
    </row>
    <row r="108">
      <c r="A108" t="inlineStr">
        <is>
          <t>Issues of the manor</t>
        </is>
      </c>
      <c r="B108" t="inlineStr">
        <is>
          <t>nothing from the agistment of pigs in the stubble because it pertains to the farmer.</t>
        </is>
      </c>
      <c r="C108" t="n">
        <v>0</v>
      </c>
      <c r="D108" t="n">
        <v>0</v>
      </c>
      <c r="E108" t="n">
        <v>0</v>
      </c>
      <c r="F108" t="n">
        <v>0</v>
      </c>
      <c r="H108" t="n">
        <v>0</v>
      </c>
      <c r="I108" t="n">
        <v>0</v>
      </c>
      <c r="J108" t="n">
        <v>0</v>
      </c>
      <c r="K108" t="n">
        <v>0</v>
      </c>
      <c r="L108" t="n">
        <v>0</v>
      </c>
      <c r="M108" t="n">
        <v>0</v>
      </c>
      <c r="N108" t="n">
        <v>0</v>
      </c>
    </row>
    <row r="109">
      <c r="A109" t="inlineStr">
        <is>
          <t>Issues of the manor</t>
        </is>
      </c>
      <c r="B109" t="inlineStr">
        <is>
          <t>3 shilling from the herbage of 2 acres of meadow in la Suthmede and 2 roods of meadow at le Medmulle sold this year.</t>
        </is>
      </c>
      <c r="C109" t="n">
        <v>0.15</v>
      </c>
      <c r="D109" t="n">
        <v>0</v>
      </c>
      <c r="E109" t="n">
        <v>3</v>
      </c>
      <c r="F109" t="n">
        <v>0</v>
      </c>
      <c r="H109" t="n">
        <v>0</v>
      </c>
      <c r="I109" t="n">
        <v>0</v>
      </c>
      <c r="J109" t="n">
        <v>0</v>
      </c>
      <c r="K109" t="n">
        <v>0</v>
      </c>
      <c r="L109" t="n">
        <v>0</v>
      </c>
      <c r="M109" t="n">
        <v>0</v>
      </c>
      <c r="N109" t="n">
        <v>0</v>
      </c>
    </row>
    <row r="110">
      <c r="A110" t="inlineStr">
        <is>
          <t>Issues of the manor</t>
        </is>
      </c>
      <c r="B110" t="inlineStr">
        <is>
          <t>3 shilling from 3.5 acres of arable land in Buttewell' and Borden', demised to Thomas Cook' for the year.</t>
        </is>
      </c>
      <c r="C110" t="n">
        <v>0.15</v>
      </c>
      <c r="D110" t="n">
        <v>0</v>
      </c>
      <c r="E110" t="n">
        <v>3</v>
      </c>
      <c r="F110" t="n">
        <v>0</v>
      </c>
      <c r="H110" t="n">
        <v>0</v>
      </c>
      <c r="I110" t="n">
        <v>0</v>
      </c>
      <c r="J110" t="n">
        <v>0</v>
      </c>
      <c r="K110" t="n">
        <v>0</v>
      </c>
      <c r="L110" t="n">
        <v>0</v>
      </c>
      <c r="M110" t="n">
        <v>0</v>
      </c>
      <c r="N110" t="n">
        <v>0</v>
      </c>
    </row>
    <row r="111">
      <c r="A111" t="inlineStr">
        <is>
          <t>Issues of the manor</t>
        </is>
      </c>
      <c r="B111" t="inlineStr">
        <is>
          <t>nothing of the 13 shilling 4pence for the taking of eels from the lord's fishpond of Frensham on account of the destruction of the fishpond there.</t>
        </is>
      </c>
      <c r="C111" t="n">
        <v>0.67</v>
      </c>
      <c r="D111" t="n">
        <v>0</v>
      </c>
      <c r="E111" t="n">
        <v>13</v>
      </c>
      <c r="F111" t="n">
        <v>4</v>
      </c>
      <c r="H111" t="n">
        <v>0</v>
      </c>
      <c r="I111" t="n">
        <v>0</v>
      </c>
      <c r="J111" t="n">
        <v>0</v>
      </c>
      <c r="K111" t="n">
        <v>0</v>
      </c>
      <c r="L111" t="n">
        <v>0</v>
      </c>
      <c r="M111" t="n">
        <v>0</v>
      </c>
      <c r="N111" t="n">
        <v>0</v>
      </c>
    </row>
    <row r="112">
      <c r="A112" t="inlineStr">
        <is>
          <t>Issues of the manor</t>
        </is>
      </c>
      <c r="B112" t="inlineStr">
        <is>
          <t>13 shilling 4pence from fishing in the river of Frensham sold this year.</t>
        </is>
      </c>
      <c r="C112" t="n">
        <v>0.67</v>
      </c>
      <c r="D112" t="n">
        <v>0</v>
      </c>
      <c r="E112" t="n">
        <v>13</v>
      </c>
      <c r="F112" t="n">
        <v>4</v>
      </c>
      <c r="H112" t="n">
        <v>0</v>
      </c>
      <c r="I112" t="n">
        <v>0</v>
      </c>
      <c r="J112" t="n">
        <v>0</v>
      </c>
      <c r="K112" t="n">
        <v>0</v>
      </c>
      <c r="L112" t="n">
        <v>0</v>
      </c>
      <c r="M112" t="n">
        <v>0</v>
      </c>
      <c r="N112" t="n">
        <v>0</v>
      </c>
    </row>
    <row r="113">
      <c r="A113" t="inlineStr">
        <is>
          <t>Issues of the manor</t>
        </is>
      </c>
      <c r="B113" t="inlineStr">
        <is>
          <t>£1 from potters' clay sold this year.</t>
        </is>
      </c>
      <c r="C113" t="n">
        <v>1</v>
      </c>
      <c r="D113" t="n">
        <v>1</v>
      </c>
      <c r="E113" t="n">
        <v>0</v>
      </c>
      <c r="F113" t="n">
        <v>0</v>
      </c>
      <c r="H113" t="n">
        <v>0</v>
      </c>
      <c r="I113" t="n">
        <v>0</v>
      </c>
      <c r="J113" t="n">
        <v>0</v>
      </c>
      <c r="K113" t="n">
        <v>0</v>
      </c>
      <c r="L113" t="n">
        <v>0</v>
      </c>
      <c r="M113" t="n">
        <v>0</v>
      </c>
      <c r="N113" t="n">
        <v>0</v>
      </c>
    </row>
    <row r="114">
      <c r="A114" t="inlineStr">
        <is>
          <t>Issues of the manor</t>
        </is>
      </c>
      <c r="B114" t="inlineStr">
        <is>
          <t>£2 from underwood sold in the vert (verid') this year.</t>
        </is>
      </c>
      <c r="C114" t="n">
        <v>2</v>
      </c>
      <c r="D114" t="n">
        <v>2</v>
      </c>
      <c r="E114" t="n">
        <v>0</v>
      </c>
      <c r="F114" t="n">
        <v>0</v>
      </c>
      <c r="H114" t="n">
        <v>0</v>
      </c>
      <c r="I114" t="n">
        <v>0</v>
      </c>
      <c r="J114" t="n">
        <v>0</v>
      </c>
      <c r="K114" t="n">
        <v>0</v>
      </c>
      <c r="L114" t="n">
        <v>0</v>
      </c>
      <c r="M114" t="n">
        <v>0</v>
      </c>
      <c r="N114" t="n">
        <v>0</v>
      </c>
    </row>
    <row r="115">
      <c r="A115" t="inlineStr">
        <is>
          <t>Issues of the manor</t>
        </is>
      </c>
      <c r="B115" t="inlineStr">
        <is>
          <t>nothing from the milking of cows because it pertains to the farmer.</t>
        </is>
      </c>
      <c r="C115" t="n">
        <v>0</v>
      </c>
      <c r="D115" t="n">
        <v>0</v>
      </c>
      <c r="E115" t="n">
        <v>0</v>
      </c>
      <c r="F115" t="n">
        <v>0</v>
      </c>
      <c r="H115" t="n">
        <v>0</v>
      </c>
      <c r="I115" t="n">
        <v>0</v>
      </c>
      <c r="J115" t="n">
        <v>0</v>
      </c>
      <c r="K115" t="n">
        <v>0</v>
      </c>
      <c r="L115" t="n">
        <v>0</v>
      </c>
      <c r="M115" t="n">
        <v>0</v>
      </c>
      <c r="N115" t="n">
        <v>0</v>
      </c>
    </row>
    <row r="116">
      <c r="A116" t="inlineStr">
        <is>
          <t>Issues of the manor</t>
        </is>
      </c>
      <c r="B116" t="inlineStr">
        <is>
          <t>£3 10pence from 365 rabbits sold to the lord's household, at 4pence a pair.</t>
        </is>
      </c>
      <c r="C116" t="n">
        <v>3.04</v>
      </c>
      <c r="D116" t="n">
        <v>3</v>
      </c>
      <c r="E116" t="n">
        <v>0</v>
      </c>
      <c r="F116" t="n">
        <v>10</v>
      </c>
      <c r="H116" t="n">
        <v>0</v>
      </c>
      <c r="I116" t="n">
        <v>0</v>
      </c>
      <c r="J116" t="n">
        <v>0</v>
      </c>
      <c r="K116" t="n">
        <v>0</v>
      </c>
      <c r="L116" t="n">
        <v>0</v>
      </c>
      <c r="M116" t="n">
        <v>0</v>
      </c>
      <c r="N116" t="n">
        <v>0</v>
      </c>
    </row>
    <row r="117">
      <c r="A117" t="inlineStr">
        <is>
          <t>Issues of the manor</t>
        </is>
      </c>
      <c r="B117" t="inlineStr">
        <is>
          <t>10 shilling 11.5pence from 95 young rabbits sold to the household.</t>
        </is>
      </c>
      <c r="C117" t="n">
        <v>0.55</v>
      </c>
      <c r="D117" t="n">
        <v>0</v>
      </c>
      <c r="E117" t="n">
        <v>10</v>
      </c>
      <c r="F117" t="n">
        <v>11.5</v>
      </c>
      <c r="H117" t="n">
        <v>0</v>
      </c>
      <c r="I117" t="n">
        <v>0</v>
      </c>
      <c r="J117" t="n">
        <v>0</v>
      </c>
      <c r="K117" t="n">
        <v>0</v>
      </c>
      <c r="L117" t="n">
        <v>0</v>
      </c>
      <c r="M117" t="n">
        <v>0</v>
      </c>
      <c r="N117" t="n">
        <v>0</v>
      </c>
    </row>
    <row r="118">
      <c r="A118" t="inlineStr">
        <is>
          <t>Issues of the manor</t>
        </is>
      </c>
      <c r="B11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118" t="n">
        <v>0</v>
      </c>
      <c r="D118" t="n">
        <v>0</v>
      </c>
      <c r="E118" t="n">
        <v>0</v>
      </c>
      <c r="F118" t="n">
        <v>0</v>
      </c>
      <c r="H118" t="n">
        <v>0</v>
      </c>
      <c r="I118" t="n">
        <v>0</v>
      </c>
      <c r="J118" t="n">
        <v>0</v>
      </c>
      <c r="K118" t="n">
        <v>0</v>
      </c>
      <c r="L118" t="n">
        <v>0</v>
      </c>
      <c r="M118" t="n">
        <v>0</v>
      </c>
      <c r="N118" t="n">
        <v>0</v>
      </c>
    </row>
    <row r="119">
      <c r="A119" t="inlineStr">
        <is>
          <t>Issues of the manor</t>
        </is>
      </c>
      <c r="B119" t="inlineStr">
        <is>
          <t>Total, £19 3 shilling 6pence.</t>
        </is>
      </c>
      <c r="C119" t="n">
        <v>19.17</v>
      </c>
      <c r="D119" t="n">
        <v>19</v>
      </c>
      <c r="E119" t="n">
        <v>3</v>
      </c>
      <c r="F119" t="n">
        <v>6</v>
      </c>
      <c r="H119" t="n">
        <v>0</v>
      </c>
      <c r="I119" t="n">
        <v>0</v>
      </c>
      <c r="J119" t="n">
        <v>0</v>
      </c>
      <c r="K119" t="n">
        <v>0</v>
      </c>
      <c r="L119" t="n">
        <v>0</v>
      </c>
      <c r="M119" t="n">
        <v>0</v>
      </c>
      <c r="N119" t="n">
        <v>0</v>
      </c>
    </row>
    <row r="120">
      <c r="A120" t="inlineStr">
        <is>
          <t>Farm of the manors</t>
        </is>
      </c>
      <c r="B120" t="inlineStr">
        <is>
          <t>And for £232 from Richard Porter and William Goos for the farm of the manor there, apart from Blakemoresmode, together with the arable land, meadows, pastures (pascuis) and pasturage (pastur') of the same manor, and also the customary payments of the whole hundred for mowing, spreading, making and stacking the hay in the barn and washing and shearing the lord's sheep there, demised to the aforesaid William for 9 years, this year being the first, to be paid at Easter and Michaelmas, as is fully contained in a certain indenture.</t>
        </is>
      </c>
      <c r="C120" t="n">
        <v>232</v>
      </c>
      <c r="D120" t="n">
        <v>232</v>
      </c>
      <c r="E120" t="n">
        <v>0</v>
      </c>
      <c r="F120" t="n">
        <v>0</v>
      </c>
      <c r="H120" t="n">
        <v>0</v>
      </c>
      <c r="I120" t="n">
        <v>0</v>
      </c>
      <c r="J120" t="n">
        <v>0</v>
      </c>
      <c r="K120" t="n">
        <v>0</v>
      </c>
      <c r="L120" t="n">
        <v>0</v>
      </c>
      <c r="M120" t="n">
        <v>0</v>
      </c>
      <c r="N120" t="n">
        <v>0</v>
      </c>
    </row>
    <row r="121">
      <c r="A121" t="inlineStr">
        <is>
          <t>Farm of the manors</t>
        </is>
      </c>
      <c r="B121" t="inlineStr">
        <is>
          <t>Total, £23..</t>
        </is>
      </c>
      <c r="C121" t="n">
        <v>23</v>
      </c>
      <c r="D121" t="n">
        <v>23</v>
      </c>
      <c r="E121" t="n">
        <v>0</v>
      </c>
      <c r="F121" t="n">
        <v>0</v>
      </c>
      <c r="H121" t="n">
        <v>0</v>
      </c>
      <c r="I121" t="n">
        <v>0</v>
      </c>
      <c r="J121" t="n">
        <v>0</v>
      </c>
      <c r="K121" t="n">
        <v>0</v>
      </c>
      <c r="L121" t="n">
        <v>0</v>
      </c>
      <c r="M121" t="n">
        <v>0</v>
      </c>
      <c r="N121" t="n">
        <v>0</v>
      </c>
    </row>
    <row r="122">
      <c r="A122" t="inlineStr">
        <is>
          <t>Sale of stock</t>
        </is>
      </c>
      <c r="B122" t="inlineStr">
        <is>
          <t>And for 18 shilling 4pence from 3 cows sold as made clear elsewhere, at 6 shilling 8pence each for 2, and 5 shilling for 1.</t>
        </is>
      </c>
      <c r="C122" t="n">
        <v>0.92</v>
      </c>
      <c r="D122" t="n">
        <v>0</v>
      </c>
      <c r="E122" t="n">
        <v>18</v>
      </c>
      <c r="F122" t="n">
        <v>4</v>
      </c>
      <c r="H122" t="n">
        <v>0</v>
      </c>
      <c r="I122" t="n">
        <v>0</v>
      </c>
      <c r="J122" t="n">
        <v>0</v>
      </c>
      <c r="K122" t="n">
        <v>0</v>
      </c>
      <c r="L122" t="n">
        <v>0</v>
      </c>
      <c r="M122" t="n">
        <v>0</v>
      </c>
      <c r="N122" t="n">
        <v>0</v>
      </c>
    </row>
    <row r="123">
      <c r="A123" t="inlineStr">
        <is>
          <t>Sale of stock</t>
        </is>
      </c>
      <c r="B123" t="inlineStr">
        <is>
          <t>5 shilling from 3 wethers sold as made clear elsewhere, at 1 shilling 8pence each.</t>
        </is>
      </c>
      <c r="C123" t="n">
        <v>0.28</v>
      </c>
      <c r="D123" t="n">
        <v>0</v>
      </c>
      <c r="E123" t="n">
        <v>5</v>
      </c>
      <c r="F123" t="n">
        <v>8</v>
      </c>
      <c r="H123" t="n">
        <v>0</v>
      </c>
      <c r="I123" t="n">
        <v>0</v>
      </c>
      <c r="J123" t="n">
        <v>0</v>
      </c>
      <c r="K123" t="n">
        <v>0</v>
      </c>
      <c r="L123" t="n">
        <v>0</v>
      </c>
      <c r="M123" t="n">
        <v>0</v>
      </c>
      <c r="N123" t="n">
        <v>0</v>
      </c>
    </row>
    <row r="124">
      <c r="A124" t="inlineStr">
        <is>
          <t>Sale of stock</t>
        </is>
      </c>
      <c r="B124" t="inlineStr">
        <is>
          <t>Total, £1 3 shilling 4pence.</t>
        </is>
      </c>
      <c r="C124" t="n">
        <v>1.17</v>
      </c>
      <c r="D124" t="n">
        <v>1</v>
      </c>
      <c r="E124" t="n">
        <v>3</v>
      </c>
      <c r="F124" t="n">
        <v>4</v>
      </c>
      <c r="H124" t="n">
        <v>0</v>
      </c>
      <c r="I124" t="n">
        <v>0</v>
      </c>
      <c r="J124" t="n">
        <v>0</v>
      </c>
      <c r="K124" t="n">
        <v>0</v>
      </c>
      <c r="L124" t="n">
        <v>0</v>
      </c>
      <c r="M124" t="n">
        <v>0</v>
      </c>
      <c r="N124" t="n">
        <v>0</v>
      </c>
    </row>
    <row r="125">
      <c r="A125" t="inlineStr">
        <is>
          <t>Entry and marriage fines</t>
        </is>
      </c>
      <c r="B125" t="inlineStr">
        <is>
          <t>And for £2 9 shilling 10pence from the fixed payment for tithingpenny of the 15 inner tithings at the tourn of Martinmas.</t>
        </is>
      </c>
      <c r="C125" t="n">
        <v>2.49</v>
      </c>
      <c r="D125" t="n">
        <v>2</v>
      </c>
      <c r="E125" t="n">
        <v>9</v>
      </c>
      <c r="F125" t="n">
        <v>10</v>
      </c>
      <c r="H125" t="n">
        <v>0</v>
      </c>
      <c r="I125" t="n">
        <v>0</v>
      </c>
      <c r="J125" t="n">
        <v>0</v>
      </c>
      <c r="K125" t="n">
        <v>0</v>
      </c>
      <c r="L125" t="n">
        <v>0</v>
      </c>
      <c r="M125" t="n">
        <v>0</v>
      </c>
      <c r="N125" t="n">
        <v>0</v>
      </c>
    </row>
    <row r="126">
      <c r="A126" t="inlineStr">
        <is>
          <t>Entry and marriage fines</t>
        </is>
      </c>
      <c r="B126" t="inlineStr">
        <is>
          <t>4 shilling from the 4 foreign tithings at the same tourn.</t>
        </is>
      </c>
      <c r="C126" t="n">
        <v>0.2</v>
      </c>
      <c r="D126" t="n">
        <v>0</v>
      </c>
      <c r="E126" t="n">
        <v>4</v>
      </c>
      <c r="F126" t="n">
        <v>0</v>
      </c>
      <c r="H126" t="n">
        <v>0</v>
      </c>
      <c r="I126" t="n">
        <v>0</v>
      </c>
      <c r="J126" t="n">
        <v>0</v>
      </c>
      <c r="K126" t="n">
        <v>0</v>
      </c>
      <c r="L126" t="n">
        <v>0</v>
      </c>
      <c r="M126" t="n">
        <v>0</v>
      </c>
      <c r="N126" t="n">
        <v>0</v>
      </c>
    </row>
    <row r="127">
      <c r="A127" t="inlineStr">
        <is>
          <t>Entry and marriage fines</t>
        </is>
      </c>
      <c r="B127" t="inlineStr">
        <is>
          <t>£2 9 shilling 10pence from the fixed payment for tithingpenny of the 15 inner tithings at the tourn of Hockday.</t>
        </is>
      </c>
      <c r="C127" t="n">
        <v>2.49</v>
      </c>
      <c r="D127" t="n">
        <v>2</v>
      </c>
      <c r="E127" t="n">
        <v>9</v>
      </c>
      <c r="F127" t="n">
        <v>10</v>
      </c>
      <c r="H127" t="n">
        <v>0</v>
      </c>
      <c r="I127" t="n">
        <v>0</v>
      </c>
      <c r="J127" t="n">
        <v>0</v>
      </c>
      <c r="K127" t="n">
        <v>0</v>
      </c>
      <c r="L127" t="n">
        <v>0</v>
      </c>
      <c r="M127" t="n">
        <v>0</v>
      </c>
      <c r="N127" t="n">
        <v>0</v>
      </c>
    </row>
    <row r="128">
      <c r="A128" t="inlineStr">
        <is>
          <t>Entry and marriage fines</t>
        </is>
      </c>
      <c r="B128" t="inlineStr">
        <is>
          <t>4 shilling from the 4 foreign tithings at the same.</t>
        </is>
      </c>
      <c r="C128" t="n">
        <v>0.2</v>
      </c>
      <c r="D128" t="n">
        <v>0</v>
      </c>
      <c r="E128" t="n">
        <v>4</v>
      </c>
      <c r="F128" t="n">
        <v>0</v>
      </c>
      <c r="H128" t="n">
        <v>0</v>
      </c>
      <c r="I128" t="n">
        <v>0</v>
      </c>
      <c r="J128" t="n">
        <v>0</v>
      </c>
      <c r="K128" t="n">
        <v>0</v>
      </c>
      <c r="L128" t="n">
        <v>0</v>
      </c>
      <c r="M128" t="n">
        <v>0</v>
      </c>
      <c r="N128" t="n">
        <v>0</v>
      </c>
    </row>
    <row r="129">
      <c r="A129" t="inlineStr">
        <is>
          <t>Entry and marriage fines</t>
        </is>
      </c>
      <c r="B129" t="inlineStr">
        <is>
          <t>6 shilling 8pence from John, son of Stephen Frost, to have 1 messuage with a curtilage and 1 virgate of villein land and 1 parcel of meadow purpresture in the tithing of Runfold which belonged to the aforesaid Stephen his father.</t>
        </is>
      </c>
      <c r="C129" t="n">
        <v>0.33</v>
      </c>
      <c r="D129" t="n">
        <v>0</v>
      </c>
      <c r="E129" t="n">
        <v>6</v>
      </c>
      <c r="F129" t="n">
        <v>8</v>
      </c>
      <c r="H129" t="n">
        <v>0</v>
      </c>
      <c r="I129" t="n">
        <v>0</v>
      </c>
      <c r="J129" t="n">
        <v>0</v>
      </c>
      <c r="K129" t="n">
        <v>0</v>
      </c>
      <c r="L129" t="n">
        <v>0</v>
      </c>
      <c r="M129" t="n">
        <v>0</v>
      </c>
      <c r="N129" t="n">
        <v>0</v>
      </c>
    </row>
    <row r="130">
      <c r="A130" t="inlineStr">
        <is>
          <t>Entry and marriage fines</t>
        </is>
      </c>
      <c r="B130" t="inlineStr">
        <is>
          <t>3 shilling 4pence from Alice Askolne to have 1 messuage with a curtilage and 1 virgate of villein land in the tithing of Frensham which belonged to William Leyere her kinsman.</t>
        </is>
      </c>
      <c r="C130" t="n">
        <v>0.17</v>
      </c>
      <c r="D130" t="n">
        <v>0</v>
      </c>
      <c r="E130" t="n">
        <v>3</v>
      </c>
      <c r="F130" t="n">
        <v>4</v>
      </c>
      <c r="H130" t="n">
        <v>0</v>
      </c>
      <c r="I130" t="n">
        <v>0</v>
      </c>
      <c r="J130" t="n">
        <v>0</v>
      </c>
      <c r="K130" t="n">
        <v>0</v>
      </c>
      <c r="L130" t="n">
        <v>0</v>
      </c>
      <c r="M130" t="n">
        <v>0</v>
      </c>
      <c r="N130" t="n">
        <v>0</v>
      </c>
    </row>
    <row r="131">
      <c r="A131" t="inlineStr">
        <is>
          <t>Entry and marriage fines</t>
        </is>
      </c>
      <c r="B131" t="inlineStr">
        <is>
          <t>6 shilling 8pence from William Askolne to have Alice Askolne with her land, that is, 1 messuage with a curtilage and 1 virgate of villein land in the tithing of Frensham.</t>
        </is>
      </c>
      <c r="C131" t="n">
        <v>0.33</v>
      </c>
      <c r="D131" t="n">
        <v>0</v>
      </c>
      <c r="E131" t="n">
        <v>6</v>
      </c>
      <c r="F131" t="n">
        <v>8</v>
      </c>
      <c r="H131" t="n">
        <v>0</v>
      </c>
      <c r="I131" t="n">
        <v>0</v>
      </c>
      <c r="J131" t="n">
        <v>0</v>
      </c>
      <c r="K131" t="n">
        <v>0</v>
      </c>
      <c r="L131" t="n">
        <v>0</v>
      </c>
      <c r="M131" t="n">
        <v>0</v>
      </c>
      <c r="N131" t="n">
        <v>0</v>
      </c>
    </row>
    <row r="132">
      <c r="A132" t="inlineStr">
        <is>
          <t>Entry and marriage fines</t>
        </is>
      </c>
      <c r="B132" t="inlineStr">
        <is>
          <t>2 shilling from Walter Sprot to have 1 messuage with a curtilage and' virgate of villein land and 2 acres of purpresture in the tithing of Tilford by surrender of William Colman.</t>
        </is>
      </c>
      <c r="C132" t="n">
        <v>0.1</v>
      </c>
      <c r="D132" t="n">
        <v>0</v>
      </c>
      <c r="E132" t="n">
        <v>2</v>
      </c>
      <c r="F132" t="n">
        <v>0</v>
      </c>
      <c r="H132" t="n">
        <v>0</v>
      </c>
      <c r="I132" t="n">
        <v>0</v>
      </c>
      <c r="J132" t="n">
        <v>0</v>
      </c>
      <c r="K132" t="n">
        <v>0</v>
      </c>
      <c r="L132" t="n">
        <v>0</v>
      </c>
      <c r="M132" t="n">
        <v>0</v>
      </c>
      <c r="N132" t="n">
        <v>0</v>
      </c>
    </row>
    <row r="133">
      <c r="A133" t="inlineStr">
        <is>
          <t>Entry and marriage fines</t>
        </is>
      </c>
      <c r="B133"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33" t="n">
        <v>0.33</v>
      </c>
      <c r="D133" t="n">
        <v>0</v>
      </c>
      <c r="E133" t="n">
        <v>6</v>
      </c>
      <c r="F133" t="n">
        <v>8</v>
      </c>
      <c r="H133" t="n">
        <v>0</v>
      </c>
      <c r="I133" t="n">
        <v>0</v>
      </c>
      <c r="J133" t="n">
        <v>0</v>
      </c>
      <c r="K133" t="n">
        <v>0</v>
      </c>
      <c r="L133" t="n">
        <v>0</v>
      </c>
      <c r="M133" t="n">
        <v>0</v>
      </c>
      <c r="N133" t="n">
        <v>0</v>
      </c>
    </row>
    <row r="134">
      <c r="A134" t="inlineStr">
        <is>
          <t>Entry and marriage fines</t>
        </is>
      </c>
      <c r="B134" t="inlineStr">
        <is>
          <t>1 shilling from John Plonker' to have 12 acres of purpresture in the tithing of Churt by surrender of William Bereford'.</t>
        </is>
      </c>
      <c r="C134" t="n">
        <v>0.05</v>
      </c>
      <c r="D134" t="n">
        <v>0</v>
      </c>
      <c r="E134" t="n">
        <v>1</v>
      </c>
      <c r="F134" t="n">
        <v>0</v>
      </c>
      <c r="H134" t="n">
        <v>0</v>
      </c>
      <c r="I134" t="n">
        <v>0</v>
      </c>
      <c r="J134" t="n">
        <v>0</v>
      </c>
      <c r="K134" t="n">
        <v>0</v>
      </c>
      <c r="L134" t="n">
        <v>0</v>
      </c>
      <c r="M134" t="n">
        <v>0</v>
      </c>
      <c r="N134" t="n">
        <v>0</v>
      </c>
    </row>
    <row r="135">
      <c r="A135" t="inlineStr">
        <is>
          <t>Entry and marriage fines</t>
        </is>
      </c>
      <c r="B135" t="inlineStr">
        <is>
          <t>2 shilling from Richard atte Wellere to have 1 cottage and 8 acres of villein land in the tithing of Dogflood which belonged to Alice atte Welle his mother.</t>
        </is>
      </c>
      <c r="C135" t="n">
        <v>0.1</v>
      </c>
      <c r="D135" t="n">
        <v>0</v>
      </c>
      <c r="E135" t="n">
        <v>2</v>
      </c>
      <c r="F135" t="n">
        <v>0</v>
      </c>
      <c r="H135" t="n">
        <v>0</v>
      </c>
      <c r="I135" t="n">
        <v>0</v>
      </c>
      <c r="J135" t="n">
        <v>0</v>
      </c>
      <c r="K135" t="n">
        <v>0</v>
      </c>
      <c r="L135" t="n">
        <v>0</v>
      </c>
      <c r="M135" t="n">
        <v>0</v>
      </c>
      <c r="N135" t="n">
        <v>0</v>
      </c>
    </row>
    <row r="136">
      <c r="A136" t="inlineStr">
        <is>
          <t>Entry and marriage fines</t>
        </is>
      </c>
      <c r="B136" t="inlineStr">
        <is>
          <t>8pence from William Lopere to have 1 acre of purpresture in 1 croft of land called Tolhopescroft in the tithing of Badshot by surrender of John Hacchere.</t>
        </is>
      </c>
      <c r="C136" t="n">
        <v>0.03</v>
      </c>
      <c r="D136" t="n">
        <v>0</v>
      </c>
      <c r="E136" t="n">
        <v>0</v>
      </c>
      <c r="F136" t="n">
        <v>8</v>
      </c>
      <c r="H136" t="n">
        <v>0</v>
      </c>
      <c r="I136" t="n">
        <v>0</v>
      </c>
      <c r="J136" t="n">
        <v>0</v>
      </c>
      <c r="K136" t="n">
        <v>0</v>
      </c>
      <c r="L136" t="n">
        <v>0</v>
      </c>
      <c r="M136" t="n">
        <v>0</v>
      </c>
      <c r="N136" t="n">
        <v>0</v>
      </c>
    </row>
    <row r="137">
      <c r="A137" t="inlineStr">
        <is>
          <t>Entry and marriage fines</t>
        </is>
      </c>
      <c r="B137"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37" t="n">
        <v>0.17</v>
      </c>
      <c r="D137" t="n">
        <v>0</v>
      </c>
      <c r="E137" t="n">
        <v>3</v>
      </c>
      <c r="F137" t="n">
        <v>4</v>
      </c>
      <c r="H137" t="n">
        <v>0</v>
      </c>
      <c r="I137" t="n">
        <v>0</v>
      </c>
      <c r="J137" t="n">
        <v>0</v>
      </c>
      <c r="K137" t="n">
        <v>0</v>
      </c>
      <c r="L137" t="n">
        <v>0</v>
      </c>
      <c r="M137" t="n">
        <v>0</v>
      </c>
      <c r="N137" t="n">
        <v>0</v>
      </c>
    </row>
    <row r="138">
      <c r="A138" t="inlineStr">
        <is>
          <t>Entry and marriage fines</t>
        </is>
      </c>
      <c r="B138" t="inlineStr">
        <is>
          <t>6 shilling 8pence from Robert Floder' to have 1 messuage with a curtilage and .5 virgate of villein land and 4 acres of purpresture in the tithing of Tilford which formerly belonged to Robert Hampton' by surrender of John Kempe.</t>
        </is>
      </c>
      <c r="C138" t="n">
        <v>0.33</v>
      </c>
      <c r="D138" t="n">
        <v>0</v>
      </c>
      <c r="E138" t="n">
        <v>6</v>
      </c>
      <c r="F138" t="n">
        <v>8</v>
      </c>
      <c r="H138" t="n">
        <v>0</v>
      </c>
      <c r="I138" t="n">
        <v>0</v>
      </c>
      <c r="J138" t="n">
        <v>0</v>
      </c>
      <c r="K138" t="n">
        <v>0</v>
      </c>
      <c r="L138" t="n">
        <v>0</v>
      </c>
      <c r="M138" t="n">
        <v>0</v>
      </c>
      <c r="N138" t="n">
        <v>0</v>
      </c>
    </row>
    <row r="139">
      <c r="A139" t="inlineStr">
        <is>
          <t>Entry and marriage fines</t>
        </is>
      </c>
      <c r="B139"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39" t="n">
        <v>0.5</v>
      </c>
      <c r="D139" t="n">
        <v>0</v>
      </c>
      <c r="E139" t="n">
        <v>10</v>
      </c>
      <c r="F139" t="n">
        <v>0</v>
      </c>
      <c r="H139" t="n">
        <v>0</v>
      </c>
      <c r="I139" t="n">
        <v>0</v>
      </c>
      <c r="J139" t="n">
        <v>0</v>
      </c>
      <c r="K139" t="n">
        <v>0</v>
      </c>
      <c r="L139" t="n">
        <v>0</v>
      </c>
      <c r="M139" t="n">
        <v>0</v>
      </c>
      <c r="N139" t="n">
        <v>0</v>
      </c>
    </row>
    <row r="140">
      <c r="A140" t="inlineStr">
        <is>
          <t>Entry and marriage fines</t>
        </is>
      </c>
      <c r="B140" t="inlineStr">
        <is>
          <t>8pence from John Hacchere to have 1 acre of purpresture in 1 croft called Tolhopescroft in the tithing of Badshot by surrender of Alice atte Hacche his mother.</t>
        </is>
      </c>
      <c r="C140" t="n">
        <v>0.03</v>
      </c>
      <c r="D140" t="n">
        <v>0</v>
      </c>
      <c r="E140" t="n">
        <v>0</v>
      </c>
      <c r="F140" t="n">
        <v>8</v>
      </c>
      <c r="H140" t="n">
        <v>0</v>
      </c>
      <c r="I140" t="n">
        <v>0</v>
      </c>
      <c r="J140" t="n">
        <v>0</v>
      </c>
      <c r="K140" t="n">
        <v>0</v>
      </c>
      <c r="L140" t="n">
        <v>0</v>
      </c>
      <c r="M140" t="n">
        <v>0</v>
      </c>
      <c r="N140" t="n">
        <v>0</v>
      </c>
    </row>
    <row r="141">
      <c r="A141" t="inlineStr">
        <is>
          <t>Entry and marriage fines</t>
        </is>
      </c>
      <c r="B141" t="inlineStr">
        <is>
          <t>8pence from William Lepere to have 1 acre of purpresture in Tolhopescroft in the tithing of Badshot by surrender of Margaret atte Welle.</t>
        </is>
      </c>
      <c r="C141" t="n">
        <v>0.03</v>
      </c>
      <c r="D141" t="n">
        <v>0</v>
      </c>
      <c r="E141" t="n">
        <v>0</v>
      </c>
      <c r="F141" t="n">
        <v>8</v>
      </c>
      <c r="H141" t="n">
        <v>0</v>
      </c>
      <c r="I141" t="n">
        <v>0</v>
      </c>
      <c r="J141" t="n">
        <v>0</v>
      </c>
      <c r="K141" t="n">
        <v>0</v>
      </c>
      <c r="L141" t="n">
        <v>0</v>
      </c>
      <c r="M141" t="n">
        <v>0</v>
      </c>
      <c r="N141" t="n">
        <v>0</v>
      </c>
    </row>
    <row r="142">
      <c r="A142" t="inlineStr">
        <is>
          <t>Entry and marriage fines</t>
        </is>
      </c>
      <c r="B142" t="inlineStr">
        <is>
          <t>1 shilling from Thomas Fox' to have 1 cottage with a curtilage in the tithing of Compton by surrender of William Goos.</t>
        </is>
      </c>
      <c r="C142" t="n">
        <v>0.05</v>
      </c>
      <c r="D142" t="n">
        <v>0</v>
      </c>
      <c r="E142" t="n">
        <v>1</v>
      </c>
      <c r="F142" t="n">
        <v>0</v>
      </c>
      <c r="H142" t="n">
        <v>0</v>
      </c>
      <c r="I142" t="n">
        <v>0</v>
      </c>
      <c r="J142" t="n">
        <v>0</v>
      </c>
      <c r="K142" t="n">
        <v>0</v>
      </c>
      <c r="L142" t="n">
        <v>0</v>
      </c>
      <c r="M142" t="n">
        <v>0</v>
      </c>
      <c r="N142" t="n">
        <v>0</v>
      </c>
    </row>
    <row r="143">
      <c r="A143" t="inlineStr">
        <is>
          <t>Entry and marriage fines</t>
        </is>
      </c>
      <c r="B143" t="inlineStr">
        <is>
          <t>Total, £7 19 shilling.</t>
        </is>
      </c>
      <c r="C143" t="n">
        <v>7.95</v>
      </c>
      <c r="D143" t="n">
        <v>7</v>
      </c>
      <c r="E143" t="n">
        <v>19</v>
      </c>
      <c r="F143" t="n">
        <v>0</v>
      </c>
      <c r="H143" t="n">
        <v>0</v>
      </c>
      <c r="I143" t="n">
        <v>0</v>
      </c>
      <c r="J143" t="n">
        <v>0</v>
      </c>
      <c r="K143" t="n">
        <v>0</v>
      </c>
      <c r="L143" t="n">
        <v>0</v>
      </c>
      <c r="M143" t="n">
        <v>0</v>
      </c>
      <c r="N143" t="n">
        <v>0</v>
      </c>
    </row>
    <row r="144">
      <c r="A144" t="inlineStr">
        <is>
          <t>Perquisites of court</t>
        </is>
      </c>
      <c r="B144" t="inlineStr">
        <is>
          <t>And for £2 9pence from the perquisites of the toum of Martinmas (11 November).</t>
        </is>
      </c>
      <c r="C144" t="n">
        <v>2.04</v>
      </c>
      <c r="D144" t="n">
        <v>2</v>
      </c>
      <c r="E144" t="n">
        <v>0</v>
      </c>
      <c r="F144" t="n">
        <v>9</v>
      </c>
      <c r="H144" t="n">
        <v>0</v>
      </c>
      <c r="I144" t="n">
        <v>0</v>
      </c>
      <c r="J144" t="n">
        <v>0</v>
      </c>
      <c r="K144" t="n">
        <v>0</v>
      </c>
      <c r="L144" t="n">
        <v>0</v>
      </c>
      <c r="M144" t="n">
        <v>0</v>
      </c>
      <c r="N144" t="n">
        <v>0</v>
      </c>
    </row>
    <row r="145">
      <c r="A145" t="inlineStr">
        <is>
          <t>Perquisites of court</t>
        </is>
      </c>
      <c r="B145" t="inlineStr">
        <is>
          <t>15 shilling 10pence from the perquisites of the courts held by the constable after the said tourn and before.</t>
        </is>
      </c>
      <c r="C145" t="n">
        <v>0.79</v>
      </c>
      <c r="D145" t="n">
        <v>0</v>
      </c>
      <c r="E145" t="n">
        <v>15</v>
      </c>
      <c r="F145" t="n">
        <v>10</v>
      </c>
      <c r="H145" t="n">
        <v>0</v>
      </c>
      <c r="I145" t="n">
        <v>0</v>
      </c>
      <c r="J145" t="n">
        <v>0</v>
      </c>
      <c r="K145" t="n">
        <v>0</v>
      </c>
      <c r="L145" t="n">
        <v>0</v>
      </c>
      <c r="M145" t="n">
        <v>0</v>
      </c>
      <c r="N145" t="n">
        <v>0</v>
      </c>
    </row>
    <row r="146">
      <c r="A146" t="inlineStr">
        <is>
          <t>Perquisites of court</t>
        </is>
      </c>
      <c r="B146" t="inlineStr">
        <is>
          <t>£1 1 shilling 9pence from the perquisites of the toum of Hockday (1 April).</t>
        </is>
      </c>
      <c r="C146" t="n">
        <v>1.09</v>
      </c>
      <c r="D146" t="n">
        <v>1</v>
      </c>
      <c r="E146" t="n">
        <v>1</v>
      </c>
      <c r="F146" t="n">
        <v>9</v>
      </c>
      <c r="H146" t="n">
        <v>0</v>
      </c>
      <c r="I146" t="n">
        <v>0</v>
      </c>
      <c r="J146" t="n">
        <v>0</v>
      </c>
      <c r="K146" t="n">
        <v>0</v>
      </c>
      <c r="L146" t="n">
        <v>0</v>
      </c>
      <c r="M146" t="n">
        <v>0</v>
      </c>
      <c r="N146" t="n">
        <v>0</v>
      </c>
    </row>
    <row r="147">
      <c r="A147" t="inlineStr">
        <is>
          <t>Perquisites of court</t>
        </is>
      </c>
      <c r="B147" t="inlineStr">
        <is>
          <t>17 shilling 2pence from the perquisites of the courts held by the constable after the said tourn and before, and not more because the farmer has the amercements of the demesne land with the farm.</t>
        </is>
      </c>
      <c r="C147" t="n">
        <v>0.86</v>
      </c>
      <c r="D147" t="n">
        <v>0</v>
      </c>
      <c r="E147" t="n">
        <v>17</v>
      </c>
      <c r="F147" t="n">
        <v>2</v>
      </c>
      <c r="H147" t="n">
        <v>0</v>
      </c>
      <c r="I147" t="n">
        <v>0</v>
      </c>
      <c r="J147" t="n">
        <v>0</v>
      </c>
      <c r="K147" t="n">
        <v>0</v>
      </c>
      <c r="L147" t="n">
        <v>0</v>
      </c>
      <c r="M147" t="n">
        <v>0</v>
      </c>
      <c r="N147" t="n">
        <v>0</v>
      </c>
    </row>
    <row r="148">
      <c r="A148" t="inlineStr">
        <is>
          <t>Perquisites of court</t>
        </is>
      </c>
      <c r="B148" t="inlineStr">
        <is>
          <t>Total, £4 15 shilling 6pence.</t>
        </is>
      </c>
      <c r="C148" t="n">
        <v>4.78</v>
      </c>
      <c r="D148" t="n">
        <v>4</v>
      </c>
      <c r="E148" t="n">
        <v>15</v>
      </c>
      <c r="F148" t="n">
        <v>6</v>
      </c>
      <c r="H148" t="n">
        <v>0</v>
      </c>
      <c r="I148" t="n">
        <v>0</v>
      </c>
      <c r="J148" t="n">
        <v>0</v>
      </c>
      <c r="K148" t="n">
        <v>0</v>
      </c>
      <c r="L148" t="n">
        <v>0</v>
      </c>
      <c r="M148" t="n">
        <v>0</v>
      </c>
      <c r="N148" t="n">
        <v>0</v>
      </c>
    </row>
    <row r="149">
      <c r="A149" t="inlineStr">
        <is>
          <t>Foreign receipts</t>
        </is>
      </c>
      <c r="B149" t="inlineStr">
        <is>
          <t>And for 16 shilling 8pence from himself as collector of the rents and farm of Snailslinch.</t>
        </is>
      </c>
      <c r="C149" t="n">
        <v>0.83</v>
      </c>
      <c r="D149" t="n">
        <v>0</v>
      </c>
      <c r="E149" t="n">
        <v>16</v>
      </c>
      <c r="F149" t="n">
        <v>8</v>
      </c>
      <c r="H149" t="n">
        <v>0</v>
      </c>
      <c r="I149" t="n">
        <v>0</v>
      </c>
      <c r="J149" t="n">
        <v>0</v>
      </c>
      <c r="K149" t="n">
        <v>0</v>
      </c>
      <c r="L149" t="n">
        <v>0</v>
      </c>
      <c r="M149" t="n">
        <v>0</v>
      </c>
      <c r="N149" t="n">
        <v>0</v>
      </c>
    </row>
    <row r="150">
      <c r="A150" t="inlineStr">
        <is>
          <t>Foreign receipts</t>
        </is>
      </c>
      <c r="B150" t="inlineStr">
        <is>
          <t>£1 6 shilling 8pence from 8 cart-loads of hay from Blakemoresmed' sold to the lord's household.</t>
        </is>
      </c>
      <c r="C150" t="n">
        <v>1.33</v>
      </c>
      <c r="D150" t="n">
        <v>1</v>
      </c>
      <c r="E150" t="n">
        <v>6</v>
      </c>
      <c r="F150" t="n">
        <v>8</v>
      </c>
      <c r="H150" t="n">
        <v>0</v>
      </c>
      <c r="I150" t="n">
        <v>0</v>
      </c>
      <c r="J150" t="n">
        <v>0</v>
      </c>
      <c r="K150" t="n">
        <v>0</v>
      </c>
      <c r="L150" t="n">
        <v>0</v>
      </c>
      <c r="M150" t="n">
        <v>0</v>
      </c>
      <c r="N150" t="n">
        <v>0</v>
      </c>
    </row>
    <row r="151">
      <c r="A151" t="inlineStr">
        <is>
          <t>Foreign receipts</t>
        </is>
      </c>
      <c r="B151" t="inlineStr">
        <is>
          <t>3 shilling from the pasturage of the same sold after mowing.</t>
        </is>
      </c>
      <c r="C151" t="n">
        <v>0.15</v>
      </c>
      <c r="D151" t="n">
        <v>0</v>
      </c>
      <c r="E151" t="n">
        <v>3</v>
      </c>
      <c r="F151" t="n">
        <v>0</v>
      </c>
      <c r="H151" t="n">
        <v>0</v>
      </c>
      <c r="I151" t="n">
        <v>0</v>
      </c>
      <c r="J151" t="n">
        <v>0</v>
      </c>
      <c r="K151" t="n">
        <v>0</v>
      </c>
      <c r="L151" t="n">
        <v>0</v>
      </c>
      <c r="M151" t="n">
        <v>0</v>
      </c>
      <c r="N151" t="n">
        <v>0</v>
      </c>
    </row>
    <row r="152">
      <c r="A152" t="inlineStr">
        <is>
          <t>Foreign receipts</t>
        </is>
      </c>
      <c r="B152" t="inlineStr">
        <is>
          <t>6 shilling 8pence from Peter TyeIler' for 1 meadow at Asshe, acquired from Nicholas Thorncombe, demised to him for the year.</t>
        </is>
      </c>
      <c r="C152" t="n">
        <v>0.33</v>
      </c>
      <c r="D152" t="n">
        <v>0</v>
      </c>
      <c r="E152" t="n">
        <v>6</v>
      </c>
      <c r="F152" t="n">
        <v>8</v>
      </c>
      <c r="H152" t="n">
        <v>0</v>
      </c>
      <c r="I152" t="n">
        <v>0</v>
      </c>
      <c r="J152" t="n">
        <v>0</v>
      </c>
      <c r="K152" t="n">
        <v>0</v>
      </c>
      <c r="L152" t="n">
        <v>0</v>
      </c>
      <c r="M152" t="n">
        <v>0</v>
      </c>
      <c r="N152" t="n">
        <v>0</v>
      </c>
    </row>
    <row r="153">
      <c r="A153" t="inlineStr">
        <is>
          <t>Foreign receipts</t>
        </is>
      </c>
      <c r="B153" t="inlineStr">
        <is>
          <t>6 shilling from Thomas Cook' for three small crofts at Dippenhall demised to him for the year.</t>
        </is>
      </c>
      <c r="C153" t="n">
        <v>0.3</v>
      </c>
      <c r="D153" t="n">
        <v>0</v>
      </c>
      <c r="E153" t="n">
        <v>6</v>
      </c>
      <c r="F153" t="n">
        <v>0</v>
      </c>
      <c r="H153" t="n">
        <v>0</v>
      </c>
      <c r="I153" t="n">
        <v>0</v>
      </c>
      <c r="J153" t="n">
        <v>0</v>
      </c>
      <c r="K153" t="n">
        <v>0</v>
      </c>
      <c r="L153" t="n">
        <v>0</v>
      </c>
      <c r="M153" t="n">
        <v>0</v>
      </c>
      <c r="N153" t="n">
        <v>0</v>
      </c>
    </row>
    <row r="154">
      <c r="A154" t="inlineStr">
        <is>
          <t>Foreign receipts</t>
        </is>
      </c>
      <c r="B154" t="inlineStr">
        <is>
          <t>3 shilling from John Clere for 1 croft of land called Dymereslond', acquired from the same Nicholas, demised to him for the year.</t>
        </is>
      </c>
      <c r="C154" t="n">
        <v>0.15</v>
      </c>
      <c r="D154" t="n">
        <v>0</v>
      </c>
      <c r="E154" t="n">
        <v>3</v>
      </c>
      <c r="F154" t="n">
        <v>0</v>
      </c>
      <c r="H154" t="n">
        <v>0</v>
      </c>
      <c r="I154" t="n">
        <v>0</v>
      </c>
      <c r="J154" t="n">
        <v>0</v>
      </c>
      <c r="K154" t="n">
        <v>0</v>
      </c>
      <c r="L154" t="n">
        <v>0</v>
      </c>
      <c r="M154" t="n">
        <v>0</v>
      </c>
      <c r="N154" t="n">
        <v>0</v>
      </c>
    </row>
    <row r="155">
      <c r="A155" t="inlineStr">
        <is>
          <t>Foreign receipts</t>
        </is>
      </c>
      <c r="B155" t="inlineStr">
        <is>
          <t>3 shilling from Thomas Parker for 3 acres of arable land, acquired from the same Nicholas, demised to him for the year.</t>
        </is>
      </c>
      <c r="C155" t="n">
        <v>0.15</v>
      </c>
      <c r="D155" t="n">
        <v>0</v>
      </c>
      <c r="E155" t="n">
        <v>3</v>
      </c>
      <c r="F155" t="n">
        <v>0</v>
      </c>
      <c r="H155" t="n">
        <v>0</v>
      </c>
      <c r="I155" t="n">
        <v>0</v>
      </c>
      <c r="J155" t="n">
        <v>0</v>
      </c>
      <c r="K155" t="n">
        <v>0</v>
      </c>
      <c r="L155" t="n">
        <v>0</v>
      </c>
      <c r="M155" t="n">
        <v>0</v>
      </c>
      <c r="N155" t="n">
        <v>0</v>
      </c>
    </row>
    <row r="156">
      <c r="A156" t="inlineStr">
        <is>
          <t>Foreign receipts</t>
        </is>
      </c>
      <c r="B156" t="inlineStr">
        <is>
          <t>£3 from William Strete for the farm of the mill of Willey with 3.5 crofts of adjacent land demised to him for 30 years, this year being the first.</t>
        </is>
      </c>
      <c r="C156" t="n">
        <v>3</v>
      </c>
      <c r="D156" t="n">
        <v>3</v>
      </c>
      <c r="E156" t="n">
        <v>0</v>
      </c>
      <c r="F156" t="n">
        <v>0</v>
      </c>
      <c r="H156" t="n">
        <v>0</v>
      </c>
      <c r="I156" t="n">
        <v>0</v>
      </c>
      <c r="J156" t="n">
        <v>0</v>
      </c>
      <c r="K156" t="n">
        <v>0</v>
      </c>
      <c r="L156" t="n">
        <v>0</v>
      </c>
      <c r="M156" t="n">
        <v>0</v>
      </c>
      <c r="N156" t="n">
        <v>0</v>
      </c>
    </row>
    <row r="157">
      <c r="A157" t="inlineStr">
        <is>
          <t>Foreign receipts</t>
        </is>
      </c>
      <c r="B157" t="inlineStr">
        <is>
          <t>Total, £6 5 shilling.</t>
        </is>
      </c>
      <c r="C157" t="n">
        <v>6.25</v>
      </c>
      <c r="D157" t="n">
        <v>6</v>
      </c>
      <c r="E157" t="n">
        <v>5</v>
      </c>
      <c r="F157" t="n">
        <v>0</v>
      </c>
      <c r="H157" t="n">
        <v>0</v>
      </c>
      <c r="I157" t="n">
        <v>0</v>
      </c>
      <c r="J157" t="n">
        <v>0</v>
      </c>
      <c r="K157" t="n">
        <v>0</v>
      </c>
      <c r="L157" t="n">
        <v>0</v>
      </c>
      <c r="M157" t="n">
        <v>0</v>
      </c>
      <c r="N157" t="n">
        <v>0</v>
      </c>
    </row>
    <row r="158">
      <c r="A158" t="inlineStr">
        <is>
          <t>Chattels of felons</t>
        </is>
      </c>
      <c r="B158" t="inlineStr">
        <is>
          <t>And for £1 9 shilling 2pence from 25 wethers stolen by a felon sold this year.</t>
        </is>
      </c>
      <c r="C158" t="n">
        <v>1.46</v>
      </c>
      <c r="D158" t="n">
        <v>1</v>
      </c>
      <c r="E158" t="n">
        <v>9</v>
      </c>
      <c r="F158" t="n">
        <v>2</v>
      </c>
      <c r="H158" t="n">
        <v>0</v>
      </c>
      <c r="I158" t="n">
        <v>0</v>
      </c>
      <c r="J158" t="n">
        <v>0</v>
      </c>
      <c r="K158" t="n">
        <v>0</v>
      </c>
      <c r="L158" t="n">
        <v>0</v>
      </c>
      <c r="M158" t="n">
        <v>0</v>
      </c>
      <c r="N158" t="n">
        <v>0</v>
      </c>
    </row>
    <row r="159">
      <c r="A159" t="inlineStr">
        <is>
          <t>Chattels of felons</t>
        </is>
      </c>
      <c r="B159" t="inlineStr">
        <is>
          <t>Total, £1 9 shilling 2pence.</t>
        </is>
      </c>
      <c r="C159" t="n">
        <v>1.46</v>
      </c>
      <c r="D159" t="n">
        <v>1</v>
      </c>
      <c r="E159" t="n">
        <v>9</v>
      </c>
      <c r="F159" t="n">
        <v>2</v>
      </c>
      <c r="H159" t="n">
        <v>0</v>
      </c>
      <c r="I159" t="n">
        <v>0</v>
      </c>
      <c r="J159" t="n">
        <v>0</v>
      </c>
      <c r="K159" t="n">
        <v>0</v>
      </c>
      <c r="L159" t="n">
        <v>0</v>
      </c>
      <c r="M159" t="n">
        <v>0</v>
      </c>
      <c r="N159" t="n">
        <v>0</v>
      </c>
    </row>
    <row r="160">
      <c r="A160" t="inlineStr">
        <is>
          <t>Green wax</t>
        </is>
      </c>
      <c r="B160"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60" t="n">
        <v>0</v>
      </c>
      <c r="D160" t="n">
        <v>0</v>
      </c>
      <c r="E160" t="n">
        <v>0</v>
      </c>
      <c r="F160" t="n">
        <v>0</v>
      </c>
      <c r="H160" t="n">
        <v>0</v>
      </c>
      <c r="I160" t="n">
        <v>0</v>
      </c>
      <c r="J160" t="n">
        <v>0</v>
      </c>
      <c r="K160" t="n">
        <v>0</v>
      </c>
      <c r="L160" t="n">
        <v>0</v>
      </c>
      <c r="M160" t="n">
        <v>0</v>
      </c>
      <c r="N160" t="n">
        <v>0</v>
      </c>
    </row>
    <row r="161">
      <c r="A161" t="inlineStr">
        <is>
          <t>Green wax</t>
        </is>
      </c>
      <c r="B161" t="inlineStr">
        <is>
          <t>Total of all receipts with arrears, £307 1 shilling 9pence.</t>
        </is>
      </c>
      <c r="C161" t="n">
        <v>307.09</v>
      </c>
      <c r="D161" t="n">
        <v>307</v>
      </c>
      <c r="E161" t="n">
        <v>1</v>
      </c>
      <c r="F161" t="n">
        <v>9</v>
      </c>
      <c r="H161" t="n">
        <v>0</v>
      </c>
      <c r="I161" t="n">
        <v>0</v>
      </c>
      <c r="J161" t="n">
        <v>0</v>
      </c>
      <c r="K161" t="n">
        <v>0</v>
      </c>
      <c r="L161" t="n">
        <v>0</v>
      </c>
      <c r="M161" t="n">
        <v>0</v>
      </c>
      <c r="N161" t="n">
        <v>0</v>
      </c>
    </row>
    <row r="162">
      <c r="A162" t="inlineStr">
        <is>
          <t>Customary payments</t>
        </is>
      </c>
      <c r="B162" t="inlineStr">
        <is>
          <t>In customary payment to 24 of the lord's customary tenants for their meals for 3 days.</t>
        </is>
      </c>
      <c r="C162" t="n">
        <v>0</v>
      </c>
      <c r="D162" t="n">
        <v>0</v>
      </c>
      <c r="E162" t="n">
        <v>0</v>
      </c>
      <c r="F162" t="n">
        <v>0</v>
      </c>
      <c r="G162" t="inlineStr">
        <is>
          <t>meal</t>
        </is>
      </c>
      <c r="H162" t="n">
        <v>0</v>
      </c>
      <c r="I162" t="n">
        <v>0</v>
      </c>
      <c r="J162" t="n">
        <v>0</v>
      </c>
      <c r="K162" t="n">
        <v>0</v>
      </c>
      <c r="L162" t="n">
        <v>0</v>
      </c>
      <c r="M162" t="n">
        <v>0</v>
      </c>
      <c r="N162" t="n">
        <v>0</v>
      </c>
    </row>
    <row r="163">
      <c r="A163" t="inlineStr">
        <is>
          <t>Customary payments</t>
        </is>
      </c>
      <c r="B163" t="inlineStr">
        <is>
          <t>a year, at Christmas, Shrove Tuesday and Easter, 9 shilling.</t>
        </is>
      </c>
      <c r="C163" t="n">
        <v>0.45</v>
      </c>
      <c r="D163" t="n">
        <v>0</v>
      </c>
      <c r="E163" t="n">
        <v>9</v>
      </c>
      <c r="F163" t="n">
        <v>0</v>
      </c>
      <c r="H163" t="n">
        <v>0</v>
      </c>
      <c r="I163" t="n">
        <v>0</v>
      </c>
      <c r="J163" t="n">
        <v>0</v>
      </c>
      <c r="K163" t="n">
        <v>0</v>
      </c>
      <c r="L163" t="n">
        <v>0</v>
      </c>
      <c r="M163" t="n">
        <v>0</v>
      </c>
      <c r="N163" t="n">
        <v>0</v>
      </c>
    </row>
    <row r="164">
      <c r="A164" t="inlineStr">
        <is>
          <t>Customary payments</t>
        </is>
      </c>
      <c r="B164" t="inlineStr">
        <is>
          <t>Total, 9 shilling.</t>
        </is>
      </c>
      <c r="C164" t="n">
        <v>0.45</v>
      </c>
      <c r="D164" t="n">
        <v>0</v>
      </c>
      <c r="E164" t="n">
        <v>9</v>
      </c>
      <c r="F164" t="n">
        <v>0</v>
      </c>
      <c r="H164" t="n">
        <v>0</v>
      </c>
      <c r="I164" t="n">
        <v>0</v>
      </c>
      <c r="J164" t="n">
        <v>0</v>
      </c>
      <c r="K164" t="n">
        <v>0</v>
      </c>
      <c r="L164" t="n">
        <v>0</v>
      </c>
      <c r="M164" t="n">
        <v>0</v>
      </c>
      <c r="N164" t="n">
        <v>0</v>
      </c>
    </row>
    <row r="165">
      <c r="A165" t="inlineStr">
        <is>
          <t>Repair of the buildings of the liberty</t>
        </is>
      </c>
      <c r="B165" t="inlineStr">
        <is>
          <t>In payment to Thomas Glasyer' of Selborne remaking anew the windows of the lord's chamber, chapel and hall, broken by the great wind, where it was needed, with new glass bought for the same, by piece-work by fixed agreement, £2..</t>
        </is>
      </c>
      <c r="C165" t="n">
        <v>2</v>
      </c>
      <c r="D165" t="n">
        <v>2</v>
      </c>
      <c r="E165" t="n">
        <v>0</v>
      </c>
      <c r="F165" t="n">
        <v>0</v>
      </c>
      <c r="H165" t="n">
        <v>0</v>
      </c>
      <c r="I165" t="n">
        <v>0</v>
      </c>
      <c r="J165" t="n">
        <v>0</v>
      </c>
      <c r="K165" t="n">
        <v>0</v>
      </c>
      <c r="L165" t="n">
        <v>0</v>
      </c>
      <c r="M165" t="n">
        <v>0</v>
      </c>
      <c r="N165" t="n">
        <v>0</v>
      </c>
    </row>
    <row r="166">
      <c r="A166" t="inlineStr">
        <is>
          <t>Repair of the buildings of the liberty</t>
        </is>
      </c>
      <c r="B166" t="inlineStr">
        <is>
          <t>payment to William Bagge mending the ironwork of the windows of the lord's chamber 2 shilling 6pence.</t>
        </is>
      </c>
      <c r="C166" t="n">
        <v>0.12</v>
      </c>
      <c r="D166" t="n">
        <v>0</v>
      </c>
      <c r="E166" t="n">
        <v>2</v>
      </c>
      <c r="F166" t="n">
        <v>6</v>
      </c>
      <c r="H166" t="n">
        <v>0</v>
      </c>
      <c r="I166" t="n">
        <v>0</v>
      </c>
      <c r="J166" t="n">
        <v>0</v>
      </c>
      <c r="K166" t="n">
        <v>0</v>
      </c>
      <c r="L166" t="n">
        <v>0</v>
      </c>
      <c r="M166" t="n">
        <v>0</v>
      </c>
      <c r="N166" t="n">
        <v>0</v>
      </c>
    </row>
    <row r="167">
      <c r="A167" t="inlineStr">
        <is>
          <t>Repair of the buildings of the liberty</t>
        </is>
      </c>
      <c r="B167" t="inlineStr">
        <is>
          <t>melting 66 cloves of lead from the lord's stock and forging 1 new sheet therefrom for the gutter of the kitchen 8 shilling 3pence, giving 1.5pence a clove.</t>
        </is>
      </c>
      <c r="C167" t="n">
        <v>0.41</v>
      </c>
      <c r="D167" t="n">
        <v>0</v>
      </c>
      <c r="E167" t="n">
        <v>8</v>
      </c>
      <c r="F167" t="n">
        <v>3</v>
      </c>
      <c r="H167" t="n">
        <v>0</v>
      </c>
      <c r="I167" t="n">
        <v>0</v>
      </c>
      <c r="J167" t="n">
        <v>0</v>
      </c>
      <c r="K167" t="n">
        <v>0</v>
      </c>
      <c r="L167" t="n">
        <v>0</v>
      </c>
      <c r="M167" t="n">
        <v>0</v>
      </c>
      <c r="N167" t="n">
        <v>0</v>
      </c>
    </row>
    <row r="168">
      <c r="A168" t="inlineStr">
        <is>
          <t>Repair of the buildings of the liberty</t>
        </is>
      </c>
      <c r="B168" t="inlineStr">
        <is>
          <t>36 cloves of new lead bought at Guildford in 1 sheet for the said gutter 19 shilling 6pence, giving 6.5pence a clove.</t>
        </is>
      </c>
      <c r="C168" t="n">
        <v>0.97</v>
      </c>
      <c r="D168" t="n">
        <v>0</v>
      </c>
      <c r="E168" t="n">
        <v>19</v>
      </c>
      <c r="F168" t="n">
        <v>6</v>
      </c>
      <c r="H168" t="n">
        <v>0</v>
      </c>
      <c r="I168" t="n">
        <v>0</v>
      </c>
      <c r="J168" t="n">
        <v>0</v>
      </c>
      <c r="K168" t="n">
        <v>0</v>
      </c>
      <c r="L168" t="n">
        <v>0</v>
      </c>
      <c r="M168" t="n">
        <v>0</v>
      </c>
      <c r="N168" t="n">
        <v>0</v>
      </c>
    </row>
    <row r="169">
      <c r="A169" t="inlineStr">
        <is>
          <t>Repair of the buildings of the liberty</t>
        </is>
      </c>
      <c r="B169" t="inlineStr">
        <is>
          <t>hiring 1 carter to carry the said lead from Guildford to Farnham 10pence.</t>
        </is>
      </c>
      <c r="C169" t="n">
        <v>0.04</v>
      </c>
      <c r="D169" t="n">
        <v>0</v>
      </c>
      <c r="E169" t="n">
        <v>0</v>
      </c>
      <c r="F169" t="n">
        <v>10</v>
      </c>
      <c r="H169" t="n">
        <v>0</v>
      </c>
      <c r="I169" t="n">
        <v>0</v>
      </c>
      <c r="J169" t="n">
        <v>0</v>
      </c>
      <c r="K169" t="n">
        <v>0</v>
      </c>
      <c r="L169" t="n">
        <v>0</v>
      </c>
      <c r="M169" t="n">
        <v>0</v>
      </c>
      <c r="N169" t="n">
        <v>0</v>
      </c>
    </row>
    <row r="170">
      <c r="A170" t="inlineStr">
        <is>
          <t>Repair of the buildings of the liberty</t>
        </is>
      </c>
      <c r="B170" t="inlineStr">
        <is>
          <t>wages of John Plom' who is there for 3 days to lay the said lead 3 shilling.</t>
        </is>
      </c>
      <c r="C170" t="n">
        <v>0.15</v>
      </c>
      <c r="D170" t="n">
        <v>0</v>
      </c>
      <c r="E170" t="n">
        <v>3</v>
      </c>
      <c r="F170" t="n">
        <v>0</v>
      </c>
      <c r="H170" t="n">
        <v>0</v>
      </c>
      <c r="I170" t="n">
        <v>0</v>
      </c>
      <c r="J170" t="n">
        <v>0</v>
      </c>
      <c r="K170" t="n">
        <v>0</v>
      </c>
      <c r="L170" t="n">
        <v>0</v>
      </c>
      <c r="M170" t="n">
        <v>0</v>
      </c>
      <c r="N170" t="n">
        <v>0</v>
      </c>
    </row>
    <row r="171">
      <c r="A171" t="inlineStr">
        <is>
          <t>Repair of the buildings of the liberty</t>
        </is>
      </c>
      <c r="B171" t="inlineStr">
        <is>
          <t>hiring 2 mates of the same John to help carry and place the said lead for 3 days 2 shilling.</t>
        </is>
      </c>
      <c r="C171" t="n">
        <v>0.1</v>
      </c>
      <c r="D171" t="n">
        <v>0</v>
      </c>
      <c r="E171" t="n">
        <v>2</v>
      </c>
      <c r="F171" t="n">
        <v>0</v>
      </c>
      <c r="H171" t="n">
        <v>0</v>
      </c>
      <c r="I171" t="n">
        <v>0</v>
      </c>
      <c r="J171" t="n">
        <v>0</v>
      </c>
      <c r="K171" t="n">
        <v>0</v>
      </c>
      <c r="L171" t="n">
        <v>0</v>
      </c>
      <c r="M171" t="n">
        <v>0</v>
      </c>
      <c r="N171" t="n">
        <v>0</v>
      </c>
    </row>
    <row r="172">
      <c r="A172" t="inlineStr">
        <is>
          <t>Repair of the buildings of the liberty</t>
        </is>
      </c>
      <c r="B172" t="inlineStr">
        <is>
          <t>hiring 1 carpenter for 2 days to mend various defects of the said gutter with planks where it was needed before the lead sheets were laid 11pence.</t>
        </is>
      </c>
      <c r="C172" t="n">
        <v>0.05</v>
      </c>
      <c r="D172" t="n">
        <v>0</v>
      </c>
      <c r="E172" t="n">
        <v>0</v>
      </c>
      <c r="F172" t="n">
        <v>11</v>
      </c>
      <c r="H172" t="n">
        <v>0</v>
      </c>
      <c r="I172" t="n">
        <v>0</v>
      </c>
      <c r="J172" t="n">
        <v>0</v>
      </c>
      <c r="K172" t="n">
        <v>0</v>
      </c>
      <c r="L172" t="n">
        <v>0</v>
      </c>
      <c r="M172" t="n">
        <v>0</v>
      </c>
      <c r="N172" t="n">
        <v>0</v>
      </c>
    </row>
    <row r="173">
      <c r="A173" t="inlineStr">
        <is>
          <t>Repair of the buildings of the liberty</t>
        </is>
      </c>
      <c r="B173" t="inlineStr">
        <is>
          <t>hiring 1 labourer to clean the said gutter and to carry clay (lutum) to the same for 1 day 4pence.</t>
        </is>
      </c>
      <c r="C173" t="n">
        <v>0.02</v>
      </c>
      <c r="D173" t="n">
        <v>0</v>
      </c>
      <c r="E173" t="n">
        <v>0</v>
      </c>
      <c r="F173" t="n">
        <v>4</v>
      </c>
      <c r="H173" t="n">
        <v>0</v>
      </c>
      <c r="I173" t="n">
        <v>0</v>
      </c>
      <c r="J173" t="n">
        <v>0</v>
      </c>
      <c r="K173" t="n">
        <v>0</v>
      </c>
      <c r="L173" t="n">
        <v>0</v>
      </c>
      <c r="M173" t="n">
        <v>0</v>
      </c>
      <c r="N173" t="n">
        <v>0</v>
      </c>
    </row>
    <row r="174">
      <c r="A174" t="inlineStr">
        <is>
          <t>Repair of the buildings of the liberty</t>
        </is>
      </c>
      <c r="B174" t="inlineStr">
        <is>
          <t>200 lead-nails bought for the same 10pence.</t>
        </is>
      </c>
      <c r="C174" t="n">
        <v>0.04</v>
      </c>
      <c r="D174" t="n">
        <v>0</v>
      </c>
      <c r="E174" t="n">
        <v>0</v>
      </c>
      <c r="F174" t="n">
        <v>10</v>
      </c>
      <c r="H174" t="n">
        <v>0</v>
      </c>
      <c r="I174" t="n">
        <v>0</v>
      </c>
      <c r="J174" t="n">
        <v>0</v>
      </c>
      <c r="K174" t="n">
        <v>0</v>
      </c>
      <c r="L174" t="n">
        <v>0</v>
      </c>
      <c r="M174" t="n">
        <v>0</v>
      </c>
      <c r="N174" t="n">
        <v>0</v>
      </c>
    </row>
    <row r="175">
      <c r="A175" t="inlineStr">
        <is>
          <t>Repair of the buildings of the liberty</t>
        </is>
      </c>
      <c r="B175" t="inlineStr">
        <is>
          <t>9 lb of solder bought for the same 6 shilling, giving 8pence a lb.</t>
        </is>
      </c>
      <c r="C175" t="n">
        <v>0.33</v>
      </c>
      <c r="D175" t="n">
        <v>0</v>
      </c>
      <c r="E175" t="n">
        <v>6</v>
      </c>
      <c r="F175" t="n">
        <v>8</v>
      </c>
      <c r="H175" t="n">
        <v>0</v>
      </c>
      <c r="I175" t="n">
        <v>0</v>
      </c>
      <c r="J175" t="n">
        <v>0</v>
      </c>
      <c r="K175" t="n">
        <v>0</v>
      </c>
      <c r="L175" t="n">
        <v>0</v>
      </c>
      <c r="M175" t="n">
        <v>0</v>
      </c>
      <c r="N175" t="n">
        <v>0</v>
      </c>
    </row>
    <row r="176">
      <c r="A176" t="inlineStr">
        <is>
          <t>Repair of the buildings of the liberty</t>
        </is>
      </c>
      <c r="B176" t="inlineStr">
        <is>
          <t>1,000 plain tiles bought for tiling various buildings within the castle 3 shilling 4pence.</t>
        </is>
      </c>
      <c r="C176" t="n">
        <v>0.17</v>
      </c>
      <c r="D176" t="n">
        <v>0</v>
      </c>
      <c r="E176" t="n">
        <v>3</v>
      </c>
      <c r="F176" t="n">
        <v>4</v>
      </c>
      <c r="H176" t="n">
        <v>0</v>
      </c>
      <c r="I176" t="n">
        <v>0</v>
      </c>
      <c r="J176" t="n">
        <v>0</v>
      </c>
      <c r="K176" t="n">
        <v>0</v>
      </c>
      <c r="L176" t="n">
        <v>0</v>
      </c>
      <c r="M176" t="n">
        <v>0</v>
      </c>
      <c r="N176" t="n">
        <v>0</v>
      </c>
    </row>
    <row r="177">
      <c r="A177" t="inlineStr">
        <is>
          <t>Repair of the buildings of the liberty</t>
        </is>
      </c>
      <c r="B177" t="inlineStr">
        <is>
          <t>carrying the said tiles from Tongham to the castle for 1 day 10pence.</t>
        </is>
      </c>
      <c r="C177" t="n">
        <v>0.04</v>
      </c>
      <c r="D177" t="n">
        <v>0</v>
      </c>
      <c r="E177" t="n">
        <v>0</v>
      </c>
      <c r="F177" t="n">
        <v>10</v>
      </c>
      <c r="H177" t="n">
        <v>0</v>
      </c>
      <c r="I177" t="n">
        <v>0</v>
      </c>
      <c r="J177" t="n">
        <v>0</v>
      </c>
      <c r="K177" t="n">
        <v>0</v>
      </c>
      <c r="L177" t="n">
        <v>0</v>
      </c>
      <c r="M177" t="n">
        <v>0</v>
      </c>
      <c r="N177" t="n">
        <v>0</v>
      </c>
    </row>
    <row r="178">
      <c r="A178" t="inlineStr">
        <is>
          <t>Repair of the buildings of the liberty</t>
        </is>
      </c>
      <c r="B178" t="inlineStr">
        <is>
          <t>1 cask of lime bought for the works at the castle with its carriage 4 shilling 5pence.</t>
        </is>
      </c>
      <c r="C178" t="n">
        <v>0.22</v>
      </c>
      <c r="D178" t="n">
        <v>0</v>
      </c>
      <c r="E178" t="n">
        <v>4</v>
      </c>
      <c r="F178" t="n">
        <v>5</v>
      </c>
      <c r="H178" t="n">
        <v>0</v>
      </c>
      <c r="I178" t="n">
        <v>0</v>
      </c>
      <c r="J178" t="n">
        <v>0</v>
      </c>
      <c r="K178" t="n">
        <v>0</v>
      </c>
      <c r="L178" t="n">
        <v>0</v>
      </c>
      <c r="M178" t="n">
        <v>0</v>
      </c>
      <c r="N178" t="n">
        <v>0</v>
      </c>
    </row>
    <row r="179">
      <c r="A179" t="inlineStr">
        <is>
          <t>Repair of the buildings of the liberty</t>
        </is>
      </c>
      <c r="B179" t="inlineStr">
        <is>
          <t>25 hollow tiles bought for the same 1 shilling.</t>
        </is>
      </c>
      <c r="C179" t="n">
        <v>0.05</v>
      </c>
      <c r="D179" t="n">
        <v>0</v>
      </c>
      <c r="E179" t="n">
        <v>1</v>
      </c>
      <c r="F179" t="n">
        <v>0</v>
      </c>
      <c r="H179" t="n">
        <v>0</v>
      </c>
      <c r="I179" t="n">
        <v>0</v>
      </c>
      <c r="J179" t="n">
        <v>0</v>
      </c>
      <c r="K179" t="n">
        <v>0</v>
      </c>
      <c r="L179" t="n">
        <v>0</v>
      </c>
      <c r="M179" t="n">
        <v>0</v>
      </c>
      <c r="N179" t="n">
        <v>0</v>
      </c>
    </row>
    <row r="180">
      <c r="A180" t="inlineStr">
        <is>
          <t>Repair of the buildings of the liberty</t>
        </is>
      </c>
      <c r="B180" t="inlineStr">
        <is>
          <t>hiring 1 tiler with his mate for 32 days to tile and mend various defects on the lord's chamber, hall and kitchen, the squires' chamber, the clerks' chamber and the knights' chamber, where it was needed, £1 1 shilling 4pence, taking between them 8pence a day.</t>
        </is>
      </c>
      <c r="C180" t="n">
        <v>1.07</v>
      </c>
      <c r="D180" t="n">
        <v>1</v>
      </c>
      <c r="E180" t="n">
        <v>1</v>
      </c>
      <c r="F180" t="n">
        <v>4</v>
      </c>
      <c r="H180" t="n">
        <v>0</v>
      </c>
      <c r="I180" t="n">
        <v>0</v>
      </c>
      <c r="J180" t="n">
        <v>0</v>
      </c>
      <c r="K180" t="n">
        <v>0</v>
      </c>
      <c r="L180" t="n">
        <v>0</v>
      </c>
      <c r="M180" t="n">
        <v>0</v>
      </c>
      <c r="N180" t="n">
        <v>0</v>
      </c>
    </row>
    <row r="181">
      <c r="A181" t="inlineStr">
        <is>
          <t>Repair of the buildings of the liberty</t>
        </is>
      </c>
      <c r="B181" t="inlineStr">
        <is>
          <t>laths and lath-nails bought for the same 1 shilling 4pence.</t>
        </is>
      </c>
      <c r="C181" t="n">
        <v>0.07000000000000001</v>
      </c>
      <c r="D181" t="n">
        <v>0</v>
      </c>
      <c r="E181" t="n">
        <v>1</v>
      </c>
      <c r="F181" t="n">
        <v>4</v>
      </c>
      <c r="H181" t="n">
        <v>0</v>
      </c>
      <c r="I181" t="n">
        <v>0</v>
      </c>
      <c r="J181" t="n">
        <v>0</v>
      </c>
      <c r="K181" t="n">
        <v>0</v>
      </c>
      <c r="L181" t="n">
        <v>0</v>
      </c>
      <c r="M181" t="n">
        <v>0</v>
      </c>
      <c r="N181" t="n">
        <v>0</v>
      </c>
    </row>
    <row r="182">
      <c r="A182" t="inlineStr">
        <is>
          <t>Repair of the buildings of the liberty</t>
        </is>
      </c>
      <c r="B182" t="inlineStr">
        <is>
          <t>tile-pins bought for the same 4pence.</t>
        </is>
      </c>
      <c r="C182" t="n">
        <v>0.02</v>
      </c>
      <c r="D182" t="n">
        <v>0</v>
      </c>
      <c r="E182" t="n">
        <v>0</v>
      </c>
      <c r="F182" t="n">
        <v>4</v>
      </c>
      <c r="H182" t="n">
        <v>0</v>
      </c>
      <c r="I182" t="n">
        <v>0</v>
      </c>
      <c r="J182" t="n">
        <v>0</v>
      </c>
      <c r="K182" t="n">
        <v>0</v>
      </c>
      <c r="L182" t="n">
        <v>0</v>
      </c>
      <c r="M182" t="n">
        <v>0</v>
      </c>
      <c r="N182" t="n">
        <v>0</v>
      </c>
    </row>
    <row r="183">
      <c r="A183" t="inlineStr">
        <is>
          <t>Repair of the buildings of the liberty</t>
        </is>
      </c>
      <c r="B183" t="inlineStr">
        <is>
          <t>hiring 1 carter to carry sand for 1 day 8pence.</t>
        </is>
      </c>
      <c r="C183" t="n">
        <v>0.03</v>
      </c>
      <c r="D183" t="n">
        <v>0</v>
      </c>
      <c r="E183" t="n">
        <v>0</v>
      </c>
      <c r="F183" t="n">
        <v>8</v>
      </c>
      <c r="H183" t="n">
        <v>0</v>
      </c>
      <c r="I183" t="n">
        <v>0</v>
      </c>
      <c r="J183" t="n">
        <v>0</v>
      </c>
      <c r="K183" t="n">
        <v>0</v>
      </c>
      <c r="L183" t="n">
        <v>0</v>
      </c>
      <c r="M183" t="n">
        <v>0</v>
      </c>
      <c r="N183" t="n">
        <v>0</v>
      </c>
    </row>
    <row r="184">
      <c r="A184" t="inlineStr">
        <is>
          <t>Repair of the buildings of the liberty</t>
        </is>
      </c>
      <c r="B184" t="inlineStr">
        <is>
          <t>wages of William Coupere for 2 days mending various defects of the shingles of the high towers there 1 shilling.</t>
        </is>
      </c>
      <c r="C184" t="n">
        <v>0.05</v>
      </c>
      <c r="D184" t="n">
        <v>0</v>
      </c>
      <c r="E184" t="n">
        <v>1</v>
      </c>
      <c r="F184" t="n">
        <v>0</v>
      </c>
      <c r="H184" t="n">
        <v>0</v>
      </c>
      <c r="I184" t="n">
        <v>0</v>
      </c>
      <c r="J184" t="n">
        <v>0</v>
      </c>
      <c r="K184" t="n">
        <v>0</v>
      </c>
      <c r="L184" t="n">
        <v>0</v>
      </c>
      <c r="M184" t="n">
        <v>0</v>
      </c>
      <c r="N184" t="n">
        <v>0</v>
      </c>
    </row>
    <row r="185">
      <c r="A185" t="inlineStr">
        <is>
          <t>Repair of the buildings of the liberty</t>
        </is>
      </c>
      <c r="B185" t="inlineStr">
        <is>
          <t>50 clout-nails bought for the same 3pence.</t>
        </is>
      </c>
      <c r="C185" t="n">
        <v>0.01</v>
      </c>
      <c r="D185" t="n">
        <v>0</v>
      </c>
      <c r="E185" t="n">
        <v>0</v>
      </c>
      <c r="F185" t="n">
        <v>3</v>
      </c>
      <c r="H185" t="n">
        <v>0</v>
      </c>
      <c r="I185" t="n">
        <v>0</v>
      </c>
      <c r="J185" t="n">
        <v>0</v>
      </c>
      <c r="K185" t="n">
        <v>0</v>
      </c>
      <c r="L185" t="n">
        <v>0</v>
      </c>
      <c r="M185" t="n">
        <v>0</v>
      </c>
      <c r="N185" t="n">
        <v>0</v>
      </c>
    </row>
    <row r="186">
      <c r="A186" t="inlineStr">
        <is>
          <t>Repair of the buildings of the liberty</t>
        </is>
      </c>
      <c r="B186" t="inlineStr">
        <is>
          <t>mending 6 broken locks with 3 new keys bought, that is, for the door of the lord's chapel, the door of the south larder, the door of the oats granary, the door of the lord Henry, and other doors within the castle, 2 shilling 41..</t>
        </is>
      </c>
      <c r="C186" t="n">
        <v>0.1</v>
      </c>
      <c r="D186" t="n">
        <v>0</v>
      </c>
      <c r="E186" t="n">
        <v>2</v>
      </c>
      <c r="F186" t="n">
        <v>0</v>
      </c>
      <c r="G186" t="inlineStr">
        <is>
          <t>oats</t>
        </is>
      </c>
      <c r="H186" t="n">
        <v>0</v>
      </c>
      <c r="I186" t="n">
        <v>0</v>
      </c>
      <c r="J186" t="n">
        <v>0</v>
      </c>
      <c r="K186" t="n">
        <v>0</v>
      </c>
      <c r="L186" t="n">
        <v>0</v>
      </c>
      <c r="M186" t="n">
        <v>0</v>
      </c>
      <c r="N186" t="n">
        <v>0</v>
      </c>
    </row>
    <row r="187">
      <c r="A187" t="inlineStr">
        <is>
          <t>Repair of the buildings of the liberty</t>
        </is>
      </c>
      <c r="B187" t="inlineStr">
        <is>
          <t>hiring 1 carpenter to mend the fodder-racks and mangers in the lord's and squires' stables for 1 day 6pence.</t>
        </is>
      </c>
      <c r="C187" t="n">
        <v>0.03</v>
      </c>
      <c r="D187" t="n">
        <v>0</v>
      </c>
      <c r="E187" t="n">
        <v>0</v>
      </c>
      <c r="F187" t="n">
        <v>6</v>
      </c>
      <c r="H187" t="n">
        <v>0</v>
      </c>
      <c r="I187" t="n">
        <v>0</v>
      </c>
      <c r="J187" t="n">
        <v>0</v>
      </c>
      <c r="K187" t="n">
        <v>0</v>
      </c>
      <c r="L187" t="n">
        <v>0</v>
      </c>
      <c r="M187" t="n">
        <v>0</v>
      </c>
      <c r="N187" t="n">
        <v>0</v>
      </c>
    </row>
    <row r="188">
      <c r="A188" t="inlineStr">
        <is>
          <t>Repair of the buildings of the liberty</t>
        </is>
      </c>
      <c r="B188" t="inlineStr">
        <is>
          <t>200 spike-nails bought for the same 1 shilling.</t>
        </is>
      </c>
      <c r="C188" t="n">
        <v>0.05</v>
      </c>
      <c r="D188" t="n">
        <v>0</v>
      </c>
      <c r="E188" t="n">
        <v>1</v>
      </c>
      <c r="F188" t="n">
        <v>0</v>
      </c>
      <c r="H188" t="n">
        <v>0</v>
      </c>
      <c r="I188" t="n">
        <v>0</v>
      </c>
      <c r="J188" t="n">
        <v>0</v>
      </c>
      <c r="K188" t="n">
        <v>0</v>
      </c>
      <c r="L188" t="n">
        <v>0</v>
      </c>
      <c r="M188" t="n">
        <v>0</v>
      </c>
      <c r="N188" t="n">
        <v>0</v>
      </c>
    </row>
    <row r="189">
      <c r="A189" t="inlineStr">
        <is>
          <t>Repair of the buildings of the liberty</t>
        </is>
      </c>
      <c r="B189" t="inlineStr">
        <is>
          <t>bringing up 1 bucket from the well beside the hall on 6 occasions this year 2 shilling.</t>
        </is>
      </c>
      <c r="C189" t="n">
        <v>0.1</v>
      </c>
      <c r="D189" t="n">
        <v>0</v>
      </c>
      <c r="E189" t="n">
        <v>2</v>
      </c>
      <c r="F189" t="n">
        <v>0</v>
      </c>
      <c r="H189" t="n">
        <v>0</v>
      </c>
      <c r="I189" t="n">
        <v>0</v>
      </c>
      <c r="J189" t="n">
        <v>0</v>
      </c>
      <c r="K189" t="n">
        <v>0</v>
      </c>
      <c r="L189" t="n">
        <v>0</v>
      </c>
      <c r="M189" t="n">
        <v>0</v>
      </c>
      <c r="N189" t="n">
        <v>0</v>
      </c>
    </row>
    <row r="190">
      <c r="A190" t="inlineStr">
        <is>
          <t>Repair of the buildings of the liberty</t>
        </is>
      </c>
      <c r="B190" t="inlineStr">
        <is>
          <t>hiring 1 labourer to break and mend the walls of the squires' stable for 1 day 4pence.</t>
        </is>
      </c>
      <c r="C190" t="n">
        <v>0.02</v>
      </c>
      <c r="D190" t="n">
        <v>0</v>
      </c>
      <c r="E190" t="n">
        <v>0</v>
      </c>
      <c r="F190" t="n">
        <v>4</v>
      </c>
      <c r="H190" t="n">
        <v>0</v>
      </c>
      <c r="I190" t="n">
        <v>0</v>
      </c>
      <c r="J190" t="n">
        <v>0</v>
      </c>
      <c r="K190" t="n">
        <v>0</v>
      </c>
      <c r="L190" t="n">
        <v>0</v>
      </c>
      <c r="M190" t="n">
        <v>0</v>
      </c>
      <c r="N190" t="n">
        <v>0</v>
      </c>
    </row>
    <row r="191">
      <c r="A191" t="inlineStr">
        <is>
          <t>Repair of the buildings of the liberty</t>
        </is>
      </c>
      <c r="B191" t="inlineStr">
        <is>
          <t>payment to William Coupere making 1 building and roofing it with heath for putting the lord's timber within the castle in the same, by piece-work by fixed agreement, 10 shilling.</t>
        </is>
      </c>
      <c r="C191" t="n">
        <v>0.5</v>
      </c>
      <c r="D191" t="n">
        <v>0</v>
      </c>
      <c r="E191" t="n">
        <v>10</v>
      </c>
      <c r="F191" t="n">
        <v>0</v>
      </c>
      <c r="H191" t="n">
        <v>0</v>
      </c>
      <c r="I191" t="n">
        <v>0</v>
      </c>
      <c r="J191" t="n">
        <v>0</v>
      </c>
      <c r="K191" t="n">
        <v>0</v>
      </c>
      <c r="L191" t="n">
        <v>0</v>
      </c>
      <c r="M191" t="n">
        <v>0</v>
      </c>
      <c r="N191" t="n">
        <v>0</v>
      </c>
    </row>
    <row r="192">
      <c r="A192" t="inlineStr">
        <is>
          <t>Repair of the buildings of the liberty</t>
        </is>
      </c>
      <c r="B192" t="inlineStr">
        <is>
          <t>4 wicker hand-barrows (civer' manual' de virg') bought for carrying dung from within the castle outside 8pence.</t>
        </is>
      </c>
      <c r="C192" t="n">
        <v>0.03</v>
      </c>
      <c r="D192" t="n">
        <v>0</v>
      </c>
      <c r="E192" t="n">
        <v>0</v>
      </c>
      <c r="F192" t="n">
        <v>8</v>
      </c>
      <c r="H192" t="n">
        <v>0</v>
      </c>
      <c r="I192" t="n">
        <v>0</v>
      </c>
      <c r="J192" t="n">
        <v>0</v>
      </c>
      <c r="K192" t="n">
        <v>0</v>
      </c>
      <c r="L192" t="n">
        <v>0</v>
      </c>
      <c r="M192" t="n">
        <v>0</v>
      </c>
      <c r="N192" t="n">
        <v>0</v>
      </c>
    </row>
    <row r="193">
      <c r="A193" t="inlineStr">
        <is>
          <t>Repair of the buildings of the liberty</t>
        </is>
      </c>
      <c r="B193" t="inlineStr">
        <is>
          <t>payment to Robert Twychener' for putting various pieces of timber together there, by piece-work by fixed agreement, 5 shilling 6pence.</t>
        </is>
      </c>
      <c r="C193" t="n">
        <v>0.28</v>
      </c>
      <c r="D193" t="n">
        <v>0</v>
      </c>
      <c r="E193" t="n">
        <v>5</v>
      </c>
      <c r="F193" t="n">
        <v>6</v>
      </c>
      <c r="H193" t="n">
        <v>0</v>
      </c>
      <c r="I193" t="n">
        <v>0</v>
      </c>
      <c r="J193" t="n">
        <v>0</v>
      </c>
      <c r="K193" t="n">
        <v>0</v>
      </c>
      <c r="L193" t="n">
        <v>0</v>
      </c>
      <c r="M193" t="n">
        <v>0</v>
      </c>
      <c r="N193" t="n">
        <v>0</v>
      </c>
    </row>
    <row r="194">
      <c r="A194" t="inlineStr">
        <is>
          <t>Repair of the buildings of the liberty</t>
        </is>
      </c>
      <c r="B194" t="inlineStr">
        <is>
          <t>1 cask of lime bought with its carriage 4 shilling 5pence.</t>
        </is>
      </c>
      <c r="C194" t="n">
        <v>0.22</v>
      </c>
      <c r="D194" t="n">
        <v>0</v>
      </c>
      <c r="E194" t="n">
        <v>4</v>
      </c>
      <c r="F194" t="n">
        <v>5</v>
      </c>
      <c r="H194" t="n">
        <v>0</v>
      </c>
      <c r="I194" t="n">
        <v>0</v>
      </c>
      <c r="J194" t="n">
        <v>0</v>
      </c>
      <c r="K194" t="n">
        <v>0</v>
      </c>
      <c r="L194" t="n">
        <v>0</v>
      </c>
      <c r="M194" t="n">
        <v>0</v>
      </c>
      <c r="N194" t="n">
        <v>0</v>
      </c>
    </row>
    <row r="195">
      <c r="A195" t="inlineStr">
        <is>
          <t>Repair of the buildings of the liberty</t>
        </is>
      </c>
      <c r="B195" t="inlineStr">
        <is>
          <t>hiring 1 mason with 1 labourer to build and fill in anew the walls of the kitchen and knights' chamber, by piece-work by fixed agreement, 4 shilling 6pence.</t>
        </is>
      </c>
      <c r="C195" t="n">
        <v>0.23</v>
      </c>
      <c r="D195" t="n">
        <v>0</v>
      </c>
      <c r="E195" t="n">
        <v>4</v>
      </c>
      <c r="F195" t="n">
        <v>6</v>
      </c>
      <c r="H195" t="n">
        <v>0</v>
      </c>
      <c r="I195" t="n">
        <v>0</v>
      </c>
      <c r="J195" t="n">
        <v>0</v>
      </c>
      <c r="K195" t="n">
        <v>0</v>
      </c>
      <c r="L195" t="n">
        <v>0</v>
      </c>
      <c r="M195" t="n">
        <v>0</v>
      </c>
      <c r="N195" t="n">
        <v>0</v>
      </c>
    </row>
    <row r="196">
      <c r="A196" t="inlineStr">
        <is>
          <t>Repair of the buildings of the liberty</t>
        </is>
      </c>
      <c r="B196" t="inlineStr">
        <is>
          <t>hiring 1 carter for 1 day to carry clay and sand for the same 8pence.</t>
        </is>
      </c>
      <c r="C196" t="n">
        <v>0.03</v>
      </c>
      <c r="D196" t="n">
        <v>0</v>
      </c>
      <c r="E196" t="n">
        <v>0</v>
      </c>
      <c r="F196" t="n">
        <v>8</v>
      </c>
      <c r="H196" t="n">
        <v>0</v>
      </c>
      <c r="I196" t="n">
        <v>0</v>
      </c>
      <c r="J196" t="n">
        <v>0</v>
      </c>
      <c r="K196" t="n">
        <v>0</v>
      </c>
      <c r="L196" t="n">
        <v>0</v>
      </c>
      <c r="M196" t="n">
        <v>0</v>
      </c>
      <c r="N196" t="n">
        <v>0</v>
      </c>
    </row>
    <row r="197">
      <c r="A197" t="inlineStr">
        <is>
          <t>Repair of the buildings of the liberty</t>
        </is>
      </c>
      <c r="B197" t="inlineStr">
        <is>
          <t>hiring 1 labourer to break off and daub anew various defects on the walls of the lord Henry's chamber, the grooms' (vadlect') chamber and the lord's stable for 4 days 1 shilling 4pence.</t>
        </is>
      </c>
      <c r="C197" t="n">
        <v>0.07000000000000001</v>
      </c>
      <c r="D197" t="n">
        <v>0</v>
      </c>
      <c r="E197" t="n">
        <v>1</v>
      </c>
      <c r="F197" t="n">
        <v>4</v>
      </c>
      <c r="H197" t="n">
        <v>0</v>
      </c>
      <c r="I197" t="n">
        <v>0</v>
      </c>
      <c r="J197" t="n">
        <v>0</v>
      </c>
      <c r="K197" t="n">
        <v>0</v>
      </c>
      <c r="L197" t="n">
        <v>0</v>
      </c>
      <c r="M197" t="n">
        <v>0</v>
      </c>
      <c r="N197" t="n">
        <v>0</v>
      </c>
    </row>
    <row r="198">
      <c r="A198" t="inlineStr">
        <is>
          <t>Repair of the buildings of the liberty</t>
        </is>
      </c>
      <c r="B198" t="inlineStr">
        <is>
          <t>100 laths bought for the same 6pence.</t>
        </is>
      </c>
      <c r="C198" t="n">
        <v>0.03</v>
      </c>
      <c r="D198" t="n">
        <v>0</v>
      </c>
      <c r="E198" t="n">
        <v>0</v>
      </c>
      <c r="F198" t="n">
        <v>6</v>
      </c>
      <c r="H198" t="n">
        <v>0</v>
      </c>
      <c r="I198" t="n">
        <v>0</v>
      </c>
      <c r="J198" t="n">
        <v>0</v>
      </c>
      <c r="K198" t="n">
        <v>0</v>
      </c>
      <c r="L198" t="n">
        <v>0</v>
      </c>
      <c r="M198" t="n">
        <v>0</v>
      </c>
      <c r="N198" t="n">
        <v>0</v>
      </c>
    </row>
    <row r="199">
      <c r="A199" t="inlineStr">
        <is>
          <t>Repair of the buildings of the liberty</t>
        </is>
      </c>
      <c r="B199" t="inlineStr">
        <is>
          <t>nails bought for the same 4pence.</t>
        </is>
      </c>
      <c r="C199" t="n">
        <v>0.02</v>
      </c>
      <c r="D199" t="n">
        <v>0</v>
      </c>
      <c r="E199" t="n">
        <v>0</v>
      </c>
      <c r="F199" t="n">
        <v>4</v>
      </c>
      <c r="H199" t="n">
        <v>0</v>
      </c>
      <c r="I199" t="n">
        <v>0</v>
      </c>
      <c r="J199" t="n">
        <v>0</v>
      </c>
      <c r="K199" t="n">
        <v>0</v>
      </c>
      <c r="L199" t="n">
        <v>0</v>
      </c>
      <c r="M199" t="n">
        <v>0</v>
      </c>
      <c r="N199" t="n">
        <v>0</v>
      </c>
    </row>
    <row r="200">
      <c r="A200" t="inlineStr">
        <is>
          <t>Repair of the buildings of the liberty</t>
        </is>
      </c>
      <c r="B200" t="inlineStr">
        <is>
          <t>Total, £7 12 shilling 9pence.</t>
        </is>
      </c>
      <c r="C200" t="n">
        <v>7.64</v>
      </c>
      <c r="D200" t="n">
        <v>7</v>
      </c>
      <c r="E200" t="n">
        <v>12</v>
      </c>
      <c r="F200" t="n">
        <v>9</v>
      </c>
      <c r="H200" t="n">
        <v>0</v>
      </c>
      <c r="I200" t="n">
        <v>0</v>
      </c>
      <c r="J200" t="n">
        <v>0</v>
      </c>
      <c r="K200" t="n">
        <v>0</v>
      </c>
      <c r="L200" t="n">
        <v>0</v>
      </c>
      <c r="M200" t="n">
        <v>0</v>
      </c>
      <c r="N200" t="n">
        <v>0</v>
      </c>
    </row>
    <row r="201">
      <c r="A201" t="inlineStr">
        <is>
          <t>Annual payments</t>
        </is>
      </c>
      <c r="B201" t="inlineStr">
        <is>
          <t>In a certain annuity of 20 marks a year granted by the lord to Reginald Curteys, esquire (scutifero), for the term of his life, to be received annually from the issues of this demesne through the hands of the reeve or receiver who is there at the time, at Easter and Michaelmas, in equal portions, by the lord's letters patent, the foot of which remains with Reginald, and by the lord's letters of warranty given on 24 December in the tenth year of the reign of the present king (1408), shown at the audit of this account, the foot of which remains with the reeve there, and by 1 quittance of the same Reginald for Easter delivered to the audit of this account within, and nothing for Michaelmas because he did not show a quittance, the moiety of which for the year to come is £6 13 shilling 4pence.</t>
        </is>
      </c>
      <c r="C201" t="n">
        <v>6.67</v>
      </c>
      <c r="D201" t="n">
        <v>6</v>
      </c>
      <c r="E201" t="n">
        <v>13</v>
      </c>
      <c r="F201" t="n">
        <v>4</v>
      </c>
      <c r="H201" t="n">
        <v>0</v>
      </c>
      <c r="I201" t="n">
        <v>0</v>
      </c>
      <c r="J201" t="n">
        <v>0</v>
      </c>
      <c r="K201" t="n">
        <v>0</v>
      </c>
      <c r="L201" t="n">
        <v>0</v>
      </c>
      <c r="M201" t="n">
        <v>0</v>
      </c>
      <c r="N201" t="n">
        <v>0</v>
      </c>
    </row>
    <row r="202">
      <c r="A202" t="inlineStr">
        <is>
          <t>Annual payments</t>
        </is>
      </c>
      <c r="B202" t="inlineStr">
        <is>
          <t>Total, £6 13 shilling 4pence.</t>
        </is>
      </c>
      <c r="C202" t="n">
        <v>6.67</v>
      </c>
      <c r="D202" t="n">
        <v>6</v>
      </c>
      <c r="E202" t="n">
        <v>13</v>
      </c>
      <c r="F202" t="n">
        <v>4</v>
      </c>
      <c r="H202" t="n">
        <v>0</v>
      </c>
      <c r="I202" t="n">
        <v>0</v>
      </c>
      <c r="J202" t="n">
        <v>0</v>
      </c>
      <c r="K202" t="n">
        <v>0</v>
      </c>
      <c r="L202" t="n">
        <v>0</v>
      </c>
      <c r="M202" t="n">
        <v>0</v>
      </c>
      <c r="N202" t="n">
        <v>0</v>
      </c>
    </row>
    <row r="203">
      <c r="A203" t="inlineStr">
        <is>
          <t>Wages</t>
        </is>
      </c>
      <c r="B203" t="inlineStr">
        <is>
          <t>In wages of John Clypsham, constable of Farnham castle, £10 for the year.</t>
        </is>
      </c>
      <c r="C203" t="n">
        <v>10</v>
      </c>
      <c r="D203" t="n">
        <v>10</v>
      </c>
      <c r="E203" t="n">
        <v>0</v>
      </c>
      <c r="F203" t="n">
        <v>0</v>
      </c>
      <c r="H203" t="n">
        <v>0</v>
      </c>
      <c r="I203" t="n">
        <v>0</v>
      </c>
      <c r="J203" t="n">
        <v>0</v>
      </c>
      <c r="K203" t="n">
        <v>0</v>
      </c>
      <c r="L203" t="n">
        <v>0</v>
      </c>
      <c r="M203" t="n">
        <v>0</v>
      </c>
      <c r="N203" t="n">
        <v>0</v>
      </c>
    </row>
    <row r="204">
      <c r="A204" t="inlineStr">
        <is>
          <t>Wages</t>
        </is>
      </c>
      <c r="B204" t="inlineStr">
        <is>
          <t>wages of the door-keeper there for the year £3 10pence, taking 2pence a day.</t>
        </is>
      </c>
      <c r="C204" t="n">
        <v>3.04</v>
      </c>
      <c r="D204" t="n">
        <v>3</v>
      </c>
      <c r="E204" t="n">
        <v>0</v>
      </c>
      <c r="F204" t="n">
        <v>10</v>
      </c>
      <c r="H204" t="n">
        <v>0</v>
      </c>
      <c r="I204" t="n">
        <v>0</v>
      </c>
      <c r="J204" t="n">
        <v>0</v>
      </c>
      <c r="K204" t="n">
        <v>0</v>
      </c>
      <c r="L204" t="n">
        <v>0</v>
      </c>
      <c r="M204" t="n">
        <v>0</v>
      </c>
      <c r="N204" t="n">
        <v>0</v>
      </c>
    </row>
    <row r="205">
      <c r="A205" t="inlineStr">
        <is>
          <t>Wages</t>
        </is>
      </c>
      <c r="B205" t="inlineStr">
        <is>
          <t>wages of Thomas Parker keeping the great park for the year £3 10pence, taking for a day as before.</t>
        </is>
      </c>
      <c r="C205" t="n">
        <v>3.04</v>
      </c>
      <c r="D205" t="n">
        <v>3</v>
      </c>
      <c r="E205" t="n">
        <v>0</v>
      </c>
      <c r="F205" t="n">
        <v>10</v>
      </c>
      <c r="H205" t="n">
        <v>0</v>
      </c>
      <c r="I205" t="n">
        <v>0</v>
      </c>
      <c r="J205" t="n">
        <v>0</v>
      </c>
      <c r="K205" t="n">
        <v>0</v>
      </c>
      <c r="L205" t="n">
        <v>0</v>
      </c>
      <c r="M205" t="n">
        <v>0</v>
      </c>
      <c r="N205" t="n">
        <v>0</v>
      </c>
    </row>
    <row r="206">
      <c r="A206" t="inlineStr">
        <is>
          <t>Wages</t>
        </is>
      </c>
      <c r="B206" t="inlineStr">
        <is>
          <t>wages of Stephen atte Ford' keeping the chase of Crondall for the year £1 10 shilling 5pence, taking  a day.</t>
        </is>
      </c>
      <c r="C206" t="n">
        <v>1.52</v>
      </c>
      <c r="D206" t="n">
        <v>1</v>
      </c>
      <c r="E206" t="n">
        <v>10</v>
      </c>
      <c r="F206" t="n">
        <v>5</v>
      </c>
      <c r="H206" t="n">
        <v>0</v>
      </c>
      <c r="I206" t="n">
        <v>0</v>
      </c>
      <c r="J206" t="n">
        <v>0</v>
      </c>
      <c r="K206" t="n">
        <v>0</v>
      </c>
      <c r="L206" t="n">
        <v>0</v>
      </c>
      <c r="M206" t="n">
        <v>0</v>
      </c>
      <c r="N206" t="n">
        <v>0</v>
      </c>
    </row>
    <row r="207">
      <c r="A207" t="inlineStr">
        <is>
          <t>Wages</t>
        </is>
      </c>
      <c r="B207" t="inlineStr">
        <is>
          <t>wages of the warrener for the year £3 10pence, taking 2pence a day.</t>
        </is>
      </c>
      <c r="C207" t="n">
        <v>3.04</v>
      </c>
      <c r="D207" t="n">
        <v>3</v>
      </c>
      <c r="E207" t="n">
        <v>0</v>
      </c>
      <c r="F207" t="n">
        <v>10</v>
      </c>
      <c r="H207" t="n">
        <v>0</v>
      </c>
      <c r="I207" t="n">
        <v>0</v>
      </c>
      <c r="J207" t="n">
        <v>0</v>
      </c>
      <c r="K207" t="n">
        <v>0</v>
      </c>
      <c r="L207" t="n">
        <v>0</v>
      </c>
      <c r="M207" t="n">
        <v>0</v>
      </c>
      <c r="N207" t="n">
        <v>0</v>
      </c>
    </row>
    <row r="208">
      <c r="A208" t="inlineStr">
        <is>
          <t>Wages</t>
        </is>
      </c>
      <c r="B208" t="inlineStr">
        <is>
          <t>wages of Thomas Strete, park-keeper of the new park, £3 10pence for the year, taking 2pence a day.</t>
        </is>
      </c>
      <c r="C208" t="n">
        <v>3.04</v>
      </c>
      <c r="D208" t="n">
        <v>3</v>
      </c>
      <c r="E208" t="n">
        <v>0</v>
      </c>
      <c r="F208" t="n">
        <v>10</v>
      </c>
      <c r="H208" t="n">
        <v>0</v>
      </c>
      <c r="I208" t="n">
        <v>0</v>
      </c>
      <c r="J208" t="n">
        <v>0</v>
      </c>
      <c r="K208" t="n">
        <v>0</v>
      </c>
      <c r="L208" t="n">
        <v>0</v>
      </c>
      <c r="M208" t="n">
        <v>0</v>
      </c>
      <c r="N208" t="n">
        <v>0</v>
      </c>
    </row>
    <row r="209">
      <c r="A209" t="inlineStr">
        <is>
          <t>Wages</t>
        </is>
      </c>
      <c r="B209" t="inlineStr">
        <is>
          <t>Total, £23 13 shilling 9pence.</t>
        </is>
      </c>
      <c r="C209" t="n">
        <v>23.69</v>
      </c>
      <c r="D209" t="n">
        <v>23</v>
      </c>
      <c r="E209" t="n">
        <v>13</v>
      </c>
      <c r="F209" t="n">
        <v>9</v>
      </c>
      <c r="H209" t="n">
        <v>0</v>
      </c>
      <c r="I209" t="n">
        <v>0</v>
      </c>
      <c r="J209" t="n">
        <v>0</v>
      </c>
      <c r="K209" t="n">
        <v>0</v>
      </c>
      <c r="L209" t="n">
        <v>0</v>
      </c>
      <c r="M209" t="n">
        <v>0</v>
      </c>
      <c r="N209" t="n">
        <v>0</v>
      </c>
    </row>
    <row r="210">
      <c r="A210" t="inlineStr">
        <is>
          <t>Mowing the meadows</t>
        </is>
      </c>
      <c r="B210" t="inlineStr">
        <is>
          <t>In mowing 6 acres of meadow called Blakemoresmed' acquired from Nicholas Merston' by piece-work 4 shilling.</t>
        </is>
      </c>
      <c r="C210" t="n">
        <v>0.2</v>
      </c>
      <c r="D210" t="n">
        <v>0</v>
      </c>
      <c r="E210" t="n">
        <v>4</v>
      </c>
      <c r="F210" t="n">
        <v>0</v>
      </c>
      <c r="H210" t="n">
        <v>0</v>
      </c>
      <c r="I210" t="n">
        <v>0</v>
      </c>
      <c r="J210" t="n">
        <v>0</v>
      </c>
      <c r="K210" t="n">
        <v>0</v>
      </c>
      <c r="L210" t="n">
        <v>0</v>
      </c>
      <c r="M210" t="n">
        <v>0</v>
      </c>
      <c r="N210" t="n">
        <v>0</v>
      </c>
    </row>
    <row r="211">
      <c r="A211" t="inlineStr">
        <is>
          <t>Mowing the meadows</t>
        </is>
      </c>
      <c r="B211" t="inlineStr">
        <is>
          <t>spreading and turning the herbage of the same meadow and making the hay therefrom 3 shilling 4pence.</t>
        </is>
      </c>
      <c r="C211" t="n">
        <v>0.17</v>
      </c>
      <c r="D211" t="n">
        <v>0</v>
      </c>
      <c r="E211" t="n">
        <v>3</v>
      </c>
      <c r="F211" t="n">
        <v>4</v>
      </c>
      <c r="H211" t="n">
        <v>0</v>
      </c>
      <c r="I211" t="n">
        <v>0</v>
      </c>
      <c r="J211" t="n">
        <v>0</v>
      </c>
      <c r="K211" t="n">
        <v>0</v>
      </c>
      <c r="L211" t="n">
        <v>0</v>
      </c>
      <c r="M211" t="n">
        <v>0</v>
      </c>
      <c r="N211" t="n">
        <v>0</v>
      </c>
    </row>
    <row r="212">
      <c r="A212" t="inlineStr">
        <is>
          <t>Mowing the meadows</t>
        </is>
      </c>
      <c r="B212" t="inlineStr">
        <is>
          <t>Total, 7 shilling 4pence.</t>
        </is>
      </c>
      <c r="C212" t="n">
        <v>0.37</v>
      </c>
      <c r="D212" t="n">
        <v>0</v>
      </c>
      <c r="E212" t="n">
        <v>7</v>
      </c>
      <c r="F212" t="n">
        <v>4</v>
      </c>
      <c r="H212" t="n">
        <v>0</v>
      </c>
      <c r="I212" t="n">
        <v>0</v>
      </c>
      <c r="J212" t="n">
        <v>0</v>
      </c>
      <c r="K212" t="n">
        <v>0</v>
      </c>
      <c r="L212" t="n">
        <v>0</v>
      </c>
      <c r="M212" t="n">
        <v>0</v>
      </c>
      <c r="N212" t="n">
        <v>0</v>
      </c>
    </row>
    <row r="213">
      <c r="A213" t="inlineStr">
        <is>
          <t>Expenses of the steward</t>
        </is>
      </c>
      <c r="B213" t="inlineStr">
        <is>
          <t>In expenses of Richard Wyot', steward, at the tourns of Martinmas and Hockday, by 2 sealed bills in cash, £1 15 shilling 7pence.</t>
        </is>
      </c>
      <c r="C213" t="n">
        <v>1.78</v>
      </c>
      <c r="D213" t="n">
        <v>1</v>
      </c>
      <c r="E213" t="n">
        <v>15</v>
      </c>
      <c r="F213" t="n">
        <v>7</v>
      </c>
      <c r="H213" t="n">
        <v>0</v>
      </c>
      <c r="I213" t="n">
        <v>0</v>
      </c>
      <c r="J213" t="n">
        <v>0</v>
      </c>
      <c r="K213" t="n">
        <v>0</v>
      </c>
      <c r="L213" t="n">
        <v>0</v>
      </c>
      <c r="M213" t="n">
        <v>0</v>
      </c>
      <c r="N213" t="n">
        <v>0</v>
      </c>
    </row>
    <row r="214">
      <c r="A214" t="inlineStr">
        <is>
          <t>Expenses of the steward</t>
        </is>
      </c>
      <c r="B214" t="inlineStr">
        <is>
          <t>5 bushels of wheat bought for the provision of the same 5 shilling.</t>
        </is>
      </c>
      <c r="C214" t="n">
        <v>0.25</v>
      </c>
      <c r="D214" t="n">
        <v>0</v>
      </c>
      <c r="E214" t="n">
        <v>5</v>
      </c>
      <c r="F214" t="n">
        <v>0</v>
      </c>
      <c r="G214" t="inlineStr">
        <is>
          <t>wheat</t>
        </is>
      </c>
      <c r="H214" t="n">
        <v>0</v>
      </c>
      <c r="I214" t="n">
        <v>5</v>
      </c>
      <c r="J214" t="n">
        <v>0.62</v>
      </c>
      <c r="K214" t="n">
        <v>0.62</v>
      </c>
      <c r="L214" t="n">
        <v>0</v>
      </c>
      <c r="M214" t="n">
        <v>0</v>
      </c>
      <c r="N214" t="n">
        <v>5</v>
      </c>
    </row>
    <row r="215">
      <c r="A215" t="inlineStr">
        <is>
          <t>Expenses of the steward</t>
        </is>
      </c>
      <c r="B215" t="inlineStr">
        <is>
          <t>4 quarters 4 bushels of oats bought for the fodder of the horses at the said tourns 9 shilling, at 2 shilling a quarters.</t>
        </is>
      </c>
      <c r="C215" t="n">
        <v>0.45</v>
      </c>
      <c r="D215" t="n">
        <v>0</v>
      </c>
      <c r="E215" t="n">
        <v>9</v>
      </c>
      <c r="F215" t="n">
        <v>0</v>
      </c>
      <c r="G215" t="inlineStr">
        <is>
          <t>oats</t>
        </is>
      </c>
      <c r="H215" t="n">
        <v>4</v>
      </c>
      <c r="I215" t="n">
        <v>4</v>
      </c>
      <c r="J215" t="n">
        <v>4.5</v>
      </c>
      <c r="K215" t="n">
        <v>4.5</v>
      </c>
      <c r="L215" t="n">
        <v>0</v>
      </c>
      <c r="M215" t="n">
        <v>4</v>
      </c>
      <c r="N215" t="n">
        <v>4</v>
      </c>
      <c r="S215" t="n">
        <v>2</v>
      </c>
      <c r="T215" t="n">
        <v>0</v>
      </c>
    </row>
    <row r="216">
      <c r="A216" t="inlineStr">
        <is>
          <t>Expenses of the steward</t>
        </is>
      </c>
      <c r="B216" t="inlineStr">
        <is>
          <t>Total, £2 9 shilling 7pence.</t>
        </is>
      </c>
      <c r="C216" t="n">
        <v>2.48</v>
      </c>
      <c r="D216" t="n">
        <v>2</v>
      </c>
      <c r="E216" t="n">
        <v>9</v>
      </c>
      <c r="F216" t="n">
        <v>7</v>
      </c>
      <c r="H216" t="n">
        <v>0</v>
      </c>
      <c r="I216" t="n">
        <v>0</v>
      </c>
      <c r="J216" t="n">
        <v>0</v>
      </c>
      <c r="K216" t="n">
        <v>0</v>
      </c>
      <c r="L216" t="n">
        <v>0</v>
      </c>
      <c r="M216" t="n">
        <v>0</v>
      </c>
      <c r="N216" t="n">
        <v>0</v>
      </c>
    </row>
    <row r="217">
      <c r="A217" t="inlineStr">
        <is>
          <t>Cost of the mill of Bourne</t>
        </is>
      </c>
      <c r="B217" t="inlineStr">
        <is>
          <t>In payment to John Babbe, mason, quarrying freestone from the quarry of Kyffolde and burrs from the quarry of Seale, dressing them, and making therefrom a new mill-dam there with heathstone, by piece-work by fixed agreement, £3 13 shilling 4pence.</t>
        </is>
      </c>
      <c r="C217" t="n">
        <v>3.67</v>
      </c>
      <c r="D217" t="n">
        <v>3</v>
      </c>
      <c r="E217" t="n">
        <v>13</v>
      </c>
      <c r="F217" t="n">
        <v>4</v>
      </c>
      <c r="H217" t="n">
        <v>0</v>
      </c>
      <c r="I217" t="n">
        <v>0</v>
      </c>
      <c r="J217" t="n">
        <v>0</v>
      </c>
      <c r="K217" t="n">
        <v>0</v>
      </c>
      <c r="L217" t="n">
        <v>0</v>
      </c>
      <c r="M217" t="n">
        <v>0</v>
      </c>
      <c r="N217" t="n">
        <v>0</v>
      </c>
    </row>
    <row r="218">
      <c r="A218" t="inlineStr">
        <is>
          <t>Cost of the mill of Bourne</t>
        </is>
      </c>
      <c r="B218" t="inlineStr">
        <is>
          <t>16 loads of freestone bought from John Kyffolde for the same 3 shilling 4pence.</t>
        </is>
      </c>
      <c r="C218" t="n">
        <v>0.17</v>
      </c>
      <c r="D218" t="n">
        <v>0</v>
      </c>
      <c r="E218" t="n">
        <v>3</v>
      </c>
      <c r="F218" t="n">
        <v>4</v>
      </c>
      <c r="H218" t="n">
        <v>0</v>
      </c>
      <c r="I218" t="n">
        <v>0</v>
      </c>
      <c r="J218" t="n">
        <v>0</v>
      </c>
      <c r="K218" t="n">
        <v>0</v>
      </c>
      <c r="L218" t="n">
        <v>0</v>
      </c>
      <c r="M218" t="n">
        <v>0</v>
      </c>
      <c r="N218" t="n">
        <v>0</v>
      </c>
    </row>
    <row r="219">
      <c r="A219" t="inlineStr">
        <is>
          <t>Cost of the mill of Bourne</t>
        </is>
      </c>
      <c r="B219" t="inlineStr">
        <is>
          <t>bread, ale and meat bought for 12 men coming for a boon-work with 4 carts (bigis) to carry 4 loads of the said stone from Kyffolde to the said mill, together with the hire of helpers to load the said wains (wenes), 4 shilling.</t>
        </is>
      </c>
      <c r="C219" t="n">
        <v>0.2</v>
      </c>
      <c r="D219" t="n">
        <v>0</v>
      </c>
      <c r="E219" t="n">
        <v>4</v>
      </c>
      <c r="F219" t="n">
        <v>0</v>
      </c>
      <c r="H219" t="n">
        <v>0</v>
      </c>
      <c r="I219" t="n">
        <v>0</v>
      </c>
      <c r="J219" t="n">
        <v>0</v>
      </c>
      <c r="K219" t="n">
        <v>0</v>
      </c>
      <c r="L219" t="n">
        <v>0</v>
      </c>
      <c r="M219" t="n">
        <v>0</v>
      </c>
      <c r="N219" t="n">
        <v>0</v>
      </c>
    </row>
    <row r="220">
      <c r="A220" t="inlineStr">
        <is>
          <t>Cost of the mill of Bourne</t>
        </is>
      </c>
      <c r="B220" t="inlineStr">
        <is>
          <t>hiring 2 wains from John Mixenbrok' and John Donstot to carry 12 loads of the said stone from there to the said mill, that is, for 16 miles, £1 4 shilling, giving 2 shilling a load, and so much because they are not tenants of the lord.</t>
        </is>
      </c>
      <c r="C220" t="n">
        <v>1.2</v>
      </c>
      <c r="D220" t="n">
        <v>1</v>
      </c>
      <c r="E220" t="n">
        <v>4</v>
      </c>
      <c r="F220" t="n">
        <v>0</v>
      </c>
      <c r="H220" t="n">
        <v>0</v>
      </c>
      <c r="I220" t="n">
        <v>0</v>
      </c>
      <c r="J220" t="n">
        <v>0</v>
      </c>
      <c r="K220" t="n">
        <v>0</v>
      </c>
      <c r="L220" t="n">
        <v>0</v>
      </c>
      <c r="M220" t="n">
        <v>0</v>
      </c>
      <c r="N220" t="n">
        <v>0</v>
      </c>
    </row>
    <row r="221">
      <c r="A221" t="inlineStr">
        <is>
          <t>Cost of the mill of Bourne</t>
        </is>
      </c>
      <c r="B221" t="inlineStr">
        <is>
          <t>splitting 500 heathstones for the same 6 shilling 8pence, at 1 shilling 4pence a 100..</t>
        </is>
      </c>
      <c r="C221" t="n">
        <v>0.33</v>
      </c>
      <c r="D221" t="n">
        <v>0</v>
      </c>
      <c r="E221" t="n">
        <v>6</v>
      </c>
      <c r="F221" t="n">
        <v>8</v>
      </c>
      <c r="H221" t="n">
        <v>0</v>
      </c>
      <c r="I221" t="n">
        <v>0</v>
      </c>
      <c r="J221" t="n">
        <v>0</v>
      </c>
      <c r="K221" t="n">
        <v>0</v>
      </c>
      <c r="L221" t="n">
        <v>0</v>
      </c>
      <c r="M221" t="n">
        <v>0</v>
      </c>
      <c r="N221" t="n">
        <v>0</v>
      </c>
    </row>
    <row r="222">
      <c r="A222" t="inlineStr">
        <is>
          <t>Cost of the mill of Bourne</t>
        </is>
      </c>
      <c r="B222" t="inlineStr">
        <is>
          <t>carrying the said stones from the lord king's forest of Windsor to the said mill 16 shilling 8pence, giving 3 shilling 4pence a 100..</t>
        </is>
      </c>
      <c r="C222" t="n">
        <v>0.83</v>
      </c>
      <c r="D222" t="n">
        <v>0</v>
      </c>
      <c r="E222" t="n">
        <v>16</v>
      </c>
      <c r="F222" t="n">
        <v>8</v>
      </c>
      <c r="H222" t="n">
        <v>0</v>
      </c>
      <c r="I222" t="n">
        <v>0</v>
      </c>
      <c r="J222" t="n">
        <v>0</v>
      </c>
      <c r="K222" t="n">
        <v>0</v>
      </c>
      <c r="L222" t="n">
        <v>0</v>
      </c>
      <c r="M222" t="n">
        <v>0</v>
      </c>
      <c r="N222" t="n">
        <v>0</v>
      </c>
    </row>
    <row r="223">
      <c r="A223" t="inlineStr">
        <is>
          <t>Cost of the mill of Bourne</t>
        </is>
      </c>
      <c r="B223" t="inlineStr">
        <is>
          <t>hiring 2 carters for 9 days to carry 38 cart-loads of burrs, that is, building stones, from Seale to the said mill 17 shilling, each of them taking 1 shilling a day.</t>
        </is>
      </c>
      <c r="C223" t="n">
        <v>0.85</v>
      </c>
      <c r="D223" t="n">
        <v>0</v>
      </c>
      <c r="E223" t="n">
        <v>17</v>
      </c>
      <c r="F223" t="n">
        <v>0</v>
      </c>
      <c r="H223" t="n">
        <v>0</v>
      </c>
      <c r="I223" t="n">
        <v>0</v>
      </c>
      <c r="J223" t="n">
        <v>0</v>
      </c>
      <c r="K223" t="n">
        <v>0</v>
      </c>
      <c r="L223" t="n">
        <v>0</v>
      </c>
      <c r="M223" t="n">
        <v>0</v>
      </c>
      <c r="N223" t="n">
        <v>0</v>
      </c>
    </row>
    <row r="224">
      <c r="A224" t="inlineStr">
        <is>
          <t>Cost of the mill of Bourne</t>
        </is>
      </c>
      <c r="B224" t="inlineStr">
        <is>
          <t>reward made to John Hughet for having the said burrs on his land 3 shilling 4pence.</t>
        </is>
      </c>
      <c r="C224" t="n">
        <v>0.17</v>
      </c>
      <c r="D224" t="n">
        <v>0</v>
      </c>
      <c r="E224" t="n">
        <v>3</v>
      </c>
      <c r="F224" t="n">
        <v>4</v>
      </c>
      <c r="H224" t="n">
        <v>0</v>
      </c>
      <c r="I224" t="n">
        <v>0</v>
      </c>
      <c r="J224" t="n">
        <v>0</v>
      </c>
      <c r="K224" t="n">
        <v>0</v>
      </c>
      <c r="L224" t="n">
        <v>0</v>
      </c>
      <c r="M224" t="n">
        <v>0</v>
      </c>
      <c r="N224" t="n">
        <v>0</v>
      </c>
    </row>
    <row r="225">
      <c r="A225" t="inlineStr">
        <is>
          <t>Cost of the mill of Bourne</t>
        </is>
      </c>
      <c r="B225" t="inlineStr">
        <is>
          <t>5 casks of lime bought £1..</t>
        </is>
      </c>
      <c r="C225" t="n">
        <v>1</v>
      </c>
      <c r="D225" t="n">
        <v>1</v>
      </c>
      <c r="E225" t="n">
        <v>0</v>
      </c>
      <c r="F225" t="n">
        <v>0</v>
      </c>
      <c r="H225" t="n">
        <v>0</v>
      </c>
      <c r="I225" t="n">
        <v>0</v>
      </c>
      <c r="J225" t="n">
        <v>0</v>
      </c>
      <c r="K225" t="n">
        <v>0</v>
      </c>
      <c r="L225" t="n">
        <v>0</v>
      </c>
      <c r="M225" t="n">
        <v>0</v>
      </c>
      <c r="N225" t="n">
        <v>0</v>
      </c>
    </row>
    <row r="226">
      <c r="A226" t="inlineStr">
        <is>
          <t>Cost of the mill of Bourne</t>
        </is>
      </c>
      <c r="B226" t="inlineStr">
        <is>
          <t>carrying the said lime from Tongham to the mill for 2.5 days 2 shilling 6pence.</t>
        </is>
      </c>
      <c r="C226" t="n">
        <v>0.12</v>
      </c>
      <c r="D226" t="n">
        <v>0</v>
      </c>
      <c r="E226" t="n">
        <v>2</v>
      </c>
      <c r="F226" t="n">
        <v>6</v>
      </c>
      <c r="H226" t="n">
        <v>0</v>
      </c>
      <c r="I226" t="n">
        <v>0</v>
      </c>
      <c r="J226" t="n">
        <v>0</v>
      </c>
      <c r="K226" t="n">
        <v>0</v>
      </c>
      <c r="L226" t="n">
        <v>0</v>
      </c>
      <c r="M226" t="n">
        <v>0</v>
      </c>
      <c r="N226" t="n">
        <v>0</v>
      </c>
    </row>
    <row r="227">
      <c r="A227" t="inlineStr">
        <is>
          <t>Cost of the mill of Bourne</t>
        </is>
      </c>
      <c r="B227" t="inlineStr">
        <is>
          <t>hiring 1 carter to carry sand to the same for 3 days 2 shilling 6pence.</t>
        </is>
      </c>
      <c r="C227" t="n">
        <v>0.12</v>
      </c>
      <c r="D227" t="n">
        <v>0</v>
      </c>
      <c r="E227" t="n">
        <v>2</v>
      </c>
      <c r="F227" t="n">
        <v>6</v>
      </c>
      <c r="H227" t="n">
        <v>0</v>
      </c>
      <c r="I227" t="n">
        <v>0</v>
      </c>
      <c r="J227" t="n">
        <v>0</v>
      </c>
      <c r="K227" t="n">
        <v>0</v>
      </c>
      <c r="L227" t="n">
        <v>0</v>
      </c>
      <c r="M227" t="n">
        <v>0</v>
      </c>
      <c r="N227" t="n">
        <v>0</v>
      </c>
    </row>
    <row r="228">
      <c r="A228" t="inlineStr">
        <is>
          <t>Cost of the mill of Bourne</t>
        </is>
      </c>
      <c r="B228" t="inlineStr">
        <is>
          <t>4 pieces of iron bought, weighing 27.5 lb, for the stanchions in front of the said stones in the said mill-dam by the sockets (apud les suttell'), with their forging, 5 shilling 7.5pence, giving 2.5pence a lb.</t>
        </is>
      </c>
      <c r="C228" t="n">
        <v>0.28</v>
      </c>
      <c r="D228" t="n">
        <v>0</v>
      </c>
      <c r="E228" t="n">
        <v>5</v>
      </c>
      <c r="F228" t="n">
        <v>7.5</v>
      </c>
      <c r="H228" t="n">
        <v>0</v>
      </c>
      <c r="I228" t="n">
        <v>0</v>
      </c>
      <c r="J228" t="n">
        <v>0</v>
      </c>
      <c r="K228" t="n">
        <v>0</v>
      </c>
      <c r="L228" t="n">
        <v>0</v>
      </c>
      <c r="M228" t="n">
        <v>0</v>
      </c>
      <c r="N228" t="n">
        <v>0</v>
      </c>
    </row>
    <row r="229">
      <c r="A229" t="inlineStr">
        <is>
          <t>Cost of the mill of Bourne</t>
        </is>
      </c>
      <c r="B229" t="inlineStr">
        <is>
          <t>1 long iron bar bought, weighing 11 lb, for the said sockets (suttellis) in the same mill-dam 1 shilling 4.5pence, at 1.5pence a lb.</t>
        </is>
      </c>
      <c r="C229" t="n">
        <v>0.07000000000000001</v>
      </c>
      <c r="D229" t="n">
        <v>0</v>
      </c>
      <c r="E229" t="n">
        <v>1</v>
      </c>
      <c r="F229" t="n">
        <v>4.5</v>
      </c>
      <c r="H229" t="n">
        <v>0</v>
      </c>
      <c r="I229" t="n">
        <v>0</v>
      </c>
      <c r="J229" t="n">
        <v>0</v>
      </c>
      <c r="K229" t="n">
        <v>0</v>
      </c>
      <c r="L229" t="n">
        <v>0</v>
      </c>
      <c r="M229" t="n">
        <v>0</v>
      </c>
      <c r="N229" t="n">
        <v>0</v>
      </c>
    </row>
    <row r="230">
      <c r="A230" t="inlineStr">
        <is>
          <t>Cost of the mill of Bourne</t>
        </is>
      </c>
      <c r="B230" t="inlineStr">
        <is>
          <t>12 cramps bought for the freestone in the said mill-dam together with their collection 1 shilling 8pence.</t>
        </is>
      </c>
      <c r="C230" t="n">
        <v>0.08</v>
      </c>
      <c r="D230" t="n">
        <v>0</v>
      </c>
      <c r="E230" t="n">
        <v>1</v>
      </c>
      <c r="F230" t="n">
        <v>8</v>
      </c>
      <c r="H230" t="n">
        <v>0</v>
      </c>
      <c r="I230" t="n">
        <v>0</v>
      </c>
      <c r="J230" t="n">
        <v>0</v>
      </c>
      <c r="K230" t="n">
        <v>0</v>
      </c>
      <c r="L230" t="n">
        <v>0</v>
      </c>
      <c r="M230" t="n">
        <v>0</v>
      </c>
      <c r="N230" t="n">
        <v>0</v>
      </c>
    </row>
    <row r="231">
      <c r="A231" t="inlineStr">
        <is>
          <t>Cost of the mill of Bourne</t>
        </is>
      </c>
      <c r="B231" t="inlineStr">
        <is>
          <t>18 cloves of lead bought to fill the joints of the said freestone in the mill-dam of the said mill 9 shilling, giving 6pence a lb.</t>
        </is>
      </c>
      <c r="C231" t="n">
        <v>0.48</v>
      </c>
      <c r="D231" t="n">
        <v>0</v>
      </c>
      <c r="E231" t="n">
        <v>9</v>
      </c>
      <c r="F231" t="n">
        <v>6</v>
      </c>
      <c r="H231" t="n">
        <v>0</v>
      </c>
      <c r="I231" t="n">
        <v>0</v>
      </c>
      <c r="J231" t="n">
        <v>0</v>
      </c>
      <c r="K231" t="n">
        <v>0</v>
      </c>
      <c r="L231" t="n">
        <v>0</v>
      </c>
      <c r="M231" t="n">
        <v>0</v>
      </c>
      <c r="N231" t="n">
        <v>0</v>
      </c>
    </row>
    <row r="232">
      <c r="A232" t="inlineStr">
        <is>
          <t>Cost of the mill of Bourne</t>
        </is>
      </c>
      <c r="B232" t="inlineStr">
        <is>
          <t>16 lb of resin bought for the same 1 shilling 4pence.</t>
        </is>
      </c>
      <c r="C232" t="n">
        <v>0.07000000000000001</v>
      </c>
      <c r="D232" t="n">
        <v>0</v>
      </c>
      <c r="E232" t="n">
        <v>1</v>
      </c>
      <c r="F232" t="n">
        <v>4</v>
      </c>
      <c r="H232" t="n">
        <v>0</v>
      </c>
      <c r="I232" t="n">
        <v>0</v>
      </c>
      <c r="J232" t="n">
        <v>0</v>
      </c>
      <c r="K232" t="n">
        <v>0</v>
      </c>
      <c r="L232" t="n">
        <v>0</v>
      </c>
      <c r="M232" t="n">
        <v>0</v>
      </c>
      <c r="N232" t="n">
        <v>0</v>
      </c>
    </row>
    <row r="233">
      <c r="A233" t="inlineStr">
        <is>
          <t>Cost of the mill of Bourne</t>
        </is>
      </c>
      <c r="B233" t="inlineStr">
        <is>
          <t>tallow bought for the same 4pence.</t>
        </is>
      </c>
      <c r="C233" t="n">
        <v>0.02</v>
      </c>
      <c r="D233" t="n">
        <v>0</v>
      </c>
      <c r="E233" t="n">
        <v>0</v>
      </c>
      <c r="F233" t="n">
        <v>4</v>
      </c>
      <c r="H233" t="n">
        <v>0</v>
      </c>
      <c r="I233" t="n">
        <v>0</v>
      </c>
      <c r="J233" t="n">
        <v>0</v>
      </c>
      <c r="K233" t="n">
        <v>0</v>
      </c>
      <c r="L233" t="n">
        <v>0</v>
      </c>
      <c r="M233" t="n">
        <v>0</v>
      </c>
      <c r="N233" t="n">
        <v>0</v>
      </c>
    </row>
    <row r="234">
      <c r="A234" t="inlineStr">
        <is>
          <t>Cost of the mill of Bourne</t>
        </is>
      </c>
      <c r="B234" t="inlineStr">
        <is>
          <t>payment to Richard Austrode, carpenter, for felling, trimming and sawing timber in the great park and the wood of the abbot of Waverley and for making therefrom half of the said mill-dam anew, 1 new floodgate and 2 new troughs in which the water runs to the said mill, by piece-work by fixed agreement made by the constable and clerk, £4 6 shilling 8pence.</t>
        </is>
      </c>
      <c r="C234" t="n">
        <v>4.33</v>
      </c>
      <c r="D234" t="n">
        <v>4</v>
      </c>
      <c r="E234" t="n">
        <v>6</v>
      </c>
      <c r="F234" t="n">
        <v>8</v>
      </c>
      <c r="H234" t="n">
        <v>0</v>
      </c>
      <c r="I234" t="n">
        <v>0</v>
      </c>
      <c r="J234" t="n">
        <v>0</v>
      </c>
      <c r="K234" t="n">
        <v>0</v>
      </c>
      <c r="L234" t="n">
        <v>0</v>
      </c>
      <c r="M234" t="n">
        <v>0</v>
      </c>
      <c r="N234" t="n">
        <v>0</v>
      </c>
    </row>
    <row r="235">
      <c r="A235" t="inlineStr">
        <is>
          <t>Cost of the mill of Bourne</t>
        </is>
      </c>
      <c r="B235" t="inlineStr">
        <is>
          <t>wages of Stephen Somer' for 5 days, William Mollyng for 5 days, William Golle for 2 days and William atte Rook' for 6 days, carrying cart-loads of timber from the great park and the wood of the abbot of Waverley to the said mill, 18 shilling, each of them taking 1 shilling a day.</t>
        </is>
      </c>
      <c r="C235" t="n">
        <v>0.9</v>
      </c>
      <c r="D235" t="n">
        <v>0</v>
      </c>
      <c r="E235" t="n">
        <v>18</v>
      </c>
      <c r="F235" t="n">
        <v>0</v>
      </c>
      <c r="H235" t="n">
        <v>0</v>
      </c>
      <c r="I235" t="n">
        <v>0</v>
      </c>
      <c r="J235" t="n">
        <v>0</v>
      </c>
      <c r="K235" t="n">
        <v>0</v>
      </c>
      <c r="L235" t="n">
        <v>0</v>
      </c>
      <c r="M235" t="n">
        <v>0</v>
      </c>
      <c r="N235" t="n">
        <v>0</v>
      </c>
    </row>
    <row r="236">
      <c r="A236" t="inlineStr">
        <is>
          <t>Cost of the mill of Bourne</t>
        </is>
      </c>
      <c r="B236" t="inlineStr">
        <is>
          <t>wages of John Pomel for 20 days, Walter Martyn for 30 days, Thomas Caym' for 28 days and Nicholas Meyre for 16 days, labourers, helping to load the carts with stone and timber, divert the water, remove the old timber of the said mill-dam and floodgate, flood the pond in front of the mill-dam of the said mill, and clear out and ram down the said mill-dam and floodgate, £1 11 shilling 4pence, each of them taking 4pence a day.</t>
        </is>
      </c>
      <c r="C236" t="n">
        <v>1.57</v>
      </c>
      <c r="D236" t="n">
        <v>1</v>
      </c>
      <c r="E236" t="n">
        <v>11</v>
      </c>
      <c r="F236" t="n">
        <v>4</v>
      </c>
      <c r="H236" t="n">
        <v>0</v>
      </c>
      <c r="I236" t="n">
        <v>0</v>
      </c>
      <c r="J236" t="n">
        <v>0</v>
      </c>
      <c r="K236" t="n">
        <v>0</v>
      </c>
      <c r="L236" t="n">
        <v>0</v>
      </c>
      <c r="M236" t="n">
        <v>0</v>
      </c>
      <c r="N236" t="n">
        <v>0</v>
      </c>
    </row>
    <row r="237">
      <c r="A237" t="inlineStr">
        <is>
          <t>Cost of the mill of Bourne</t>
        </is>
      </c>
      <c r="B237" t="inlineStr">
        <is>
          <t>100 large nails bought for fastening planks 55. 4pence.</t>
        </is>
      </c>
      <c r="C237" t="n">
        <v>0.02</v>
      </c>
      <c r="D237" t="n">
        <v>0</v>
      </c>
      <c r="E237" t="n">
        <v>0</v>
      </c>
      <c r="F237" t="n">
        <v>4</v>
      </c>
      <c r="H237" t="n">
        <v>0</v>
      </c>
      <c r="I237" t="n">
        <v>0</v>
      </c>
      <c r="J237" t="n">
        <v>0</v>
      </c>
      <c r="K237" t="n">
        <v>0</v>
      </c>
      <c r="L237" t="n">
        <v>0</v>
      </c>
      <c r="M237" t="n">
        <v>0</v>
      </c>
      <c r="N237" t="n">
        <v>0</v>
      </c>
    </row>
    <row r="238">
      <c r="A238" t="inlineStr">
        <is>
          <t>Cost of the mill of Bourne</t>
        </is>
      </c>
      <c r="B238" t="inlineStr">
        <is>
          <t>mending 1 broken spindle of the corn mill 1 shilling 6pence.</t>
        </is>
      </c>
      <c r="C238" t="n">
        <v>0.08</v>
      </c>
      <c r="D238" t="n">
        <v>0</v>
      </c>
      <c r="E238" t="n">
        <v>1</v>
      </c>
      <c r="F238" t="n">
        <v>6</v>
      </c>
      <c r="H238" t="n">
        <v>0</v>
      </c>
      <c r="I238" t="n">
        <v>0</v>
      </c>
      <c r="J238" t="n">
        <v>0</v>
      </c>
      <c r="K238" t="n">
        <v>0</v>
      </c>
      <c r="L238" t="n">
        <v>0</v>
      </c>
      <c r="M238" t="n">
        <v>0</v>
      </c>
      <c r="N238" t="n">
        <v>0</v>
      </c>
    </row>
    <row r="239">
      <c r="A239" t="inlineStr">
        <is>
          <t>Cost of the mill of Bourne</t>
        </is>
      </c>
      <c r="B239" t="inlineStr">
        <is>
          <t>nails bought for hooping 1 trundle-wheel of the malt mill 3pence.</t>
        </is>
      </c>
      <c r="C239" t="n">
        <v>0.01</v>
      </c>
      <c r="D239" t="n">
        <v>0</v>
      </c>
      <c r="E239" t="n">
        <v>0</v>
      </c>
      <c r="F239" t="n">
        <v>3</v>
      </c>
      <c r="G239" t="inlineStr">
        <is>
          <t>malt</t>
        </is>
      </c>
      <c r="H239" t="n">
        <v>0</v>
      </c>
      <c r="I239" t="n">
        <v>0</v>
      </c>
      <c r="J239" t="n">
        <v>0</v>
      </c>
      <c r="K239" t="n">
        <v>0</v>
      </c>
      <c r="L239" t="n">
        <v>0</v>
      </c>
      <c r="M239" t="n">
        <v>0</v>
      </c>
      <c r="N239" t="n">
        <v>0</v>
      </c>
    </row>
    <row r="240">
      <c r="A240" t="inlineStr">
        <is>
          <t>Cost of the mill of Bourne</t>
        </is>
      </c>
      <c r="B240" t="inlineStr">
        <is>
          <t>hiring 1 tiler with his mate to tile the house of the said mill for 3 days 2 shilling, taking 8pence a day.</t>
        </is>
      </c>
      <c r="C240" t="n">
        <v>0.13</v>
      </c>
      <c r="D240" t="n">
        <v>0</v>
      </c>
      <c r="E240" t="n">
        <v>2</v>
      </c>
      <c r="F240" t="n">
        <v>8</v>
      </c>
      <c r="H240" t="n">
        <v>0</v>
      </c>
      <c r="I240" t="n">
        <v>0</v>
      </c>
      <c r="J240" t="n">
        <v>0</v>
      </c>
      <c r="K240" t="n">
        <v>0</v>
      </c>
      <c r="L240" t="n">
        <v>0</v>
      </c>
      <c r="M240" t="n">
        <v>0</v>
      </c>
      <c r="N240" t="n">
        <v>0</v>
      </c>
    </row>
    <row r="241">
      <c r="A241" t="inlineStr">
        <is>
          <t>Cost of the mill of Bourne</t>
        </is>
      </c>
      <c r="B241" t="inlineStr">
        <is>
          <t>Total, £16 18 shilling 9pence.</t>
        </is>
      </c>
      <c r="C241" t="n">
        <v>16.94</v>
      </c>
      <c r="D241" t="n">
        <v>16</v>
      </c>
      <c r="E241" t="n">
        <v>18</v>
      </c>
      <c r="F241" t="n">
        <v>9</v>
      </c>
      <c r="H241" t="n">
        <v>0</v>
      </c>
      <c r="I241" t="n">
        <v>0</v>
      </c>
      <c r="J241" t="n">
        <v>0</v>
      </c>
      <c r="K241" t="n">
        <v>0</v>
      </c>
      <c r="L241" t="n">
        <v>0</v>
      </c>
      <c r="M241" t="n">
        <v>0</v>
      </c>
      <c r="N241" t="n">
        <v>0</v>
      </c>
    </row>
    <row r="242">
      <c r="A242" t="inlineStr">
        <is>
          <t>Cost of the mill of Willey</t>
        </is>
      </c>
      <c r="B242" t="inlineStr">
        <is>
          <t>In remaking anew 1 broken iron spindle of the said mill with iron bought for the same 2 shilling 6pence.</t>
        </is>
      </c>
      <c r="C242" t="n">
        <v>0.12</v>
      </c>
      <c r="D242" t="n">
        <v>0</v>
      </c>
      <c r="E242" t="n">
        <v>2</v>
      </c>
      <c r="F242" t="n">
        <v>6</v>
      </c>
      <c r="H242" t="n">
        <v>0</v>
      </c>
      <c r="I242" t="n">
        <v>0</v>
      </c>
      <c r="J242" t="n">
        <v>0</v>
      </c>
      <c r="K242" t="n">
        <v>0</v>
      </c>
      <c r="L242" t="n">
        <v>0</v>
      </c>
      <c r="M242" t="n">
        <v>0</v>
      </c>
      <c r="N242" t="n">
        <v>0</v>
      </c>
    </row>
    <row r="243">
      <c r="A243" t="inlineStr">
        <is>
          <t>Cost of the mill of Willey</t>
        </is>
      </c>
      <c r="B243" t="inlineStr">
        <is>
          <t>3 wooden hoops bought to hoop the mill-hoop (le mullehope) of the said mill 8pence.</t>
        </is>
      </c>
      <c r="C243" t="n">
        <v>0.03</v>
      </c>
      <c r="D243" t="n">
        <v>0</v>
      </c>
      <c r="E243" t="n">
        <v>0</v>
      </c>
      <c r="F243" t="n">
        <v>8</v>
      </c>
      <c r="H243" t="n">
        <v>0</v>
      </c>
      <c r="I243" t="n">
        <v>0</v>
      </c>
      <c r="J243" t="n">
        <v>0</v>
      </c>
      <c r="K243" t="n">
        <v>0</v>
      </c>
      <c r="L243" t="n">
        <v>0</v>
      </c>
      <c r="M243" t="n">
        <v>0</v>
      </c>
      <c r="N243" t="n">
        <v>0</v>
      </c>
    </row>
    <row r="244">
      <c r="A244" t="inlineStr">
        <is>
          <t>Cost of the mill of Willey</t>
        </is>
      </c>
      <c r="B244" t="inlineStr">
        <is>
          <t>nails bought for the same 2pence.</t>
        </is>
      </c>
      <c r="C244" t="n">
        <v>0.01</v>
      </c>
      <c r="D244" t="n">
        <v>0</v>
      </c>
      <c r="E244" t="n">
        <v>0</v>
      </c>
      <c r="F244" t="n">
        <v>2</v>
      </c>
      <c r="H244" t="n">
        <v>0</v>
      </c>
      <c r="I244" t="n">
        <v>0</v>
      </c>
      <c r="J244" t="n">
        <v>0</v>
      </c>
      <c r="K244" t="n">
        <v>0</v>
      </c>
      <c r="L244" t="n">
        <v>0</v>
      </c>
      <c r="M244" t="n">
        <v>0</v>
      </c>
      <c r="N244" t="n">
        <v>0</v>
      </c>
    </row>
    <row r="245">
      <c r="A245" t="inlineStr">
        <is>
          <t>Cost of the mill of Willey</t>
        </is>
      </c>
      <c r="B245" t="inlineStr">
        <is>
          <t>hiring 1 carpenter to make 1 new paddle (padeltr') for 1 day 5pence.</t>
        </is>
      </c>
      <c r="C245" t="n">
        <v>0.02</v>
      </c>
      <c r="D245" t="n">
        <v>0</v>
      </c>
      <c r="E245" t="n">
        <v>0</v>
      </c>
      <c r="F245" t="n">
        <v>5</v>
      </c>
      <c r="H245" t="n">
        <v>0</v>
      </c>
      <c r="I245" t="n">
        <v>0</v>
      </c>
      <c r="J245" t="n">
        <v>0</v>
      </c>
      <c r="K245" t="n">
        <v>0</v>
      </c>
      <c r="L245" t="n">
        <v>0</v>
      </c>
      <c r="M245" t="n">
        <v>0</v>
      </c>
      <c r="N245" t="n">
        <v>0</v>
      </c>
    </row>
    <row r="246">
      <c r="A246" t="inlineStr">
        <is>
          <t>Cost of the mill of Willey</t>
        </is>
      </c>
      <c r="B246" t="inlineStr">
        <is>
          <t>Total, 3 shilling 9pence.</t>
        </is>
      </c>
      <c r="C246" t="n">
        <v>0.19</v>
      </c>
      <c r="D246" t="n">
        <v>0</v>
      </c>
      <c r="E246" t="n">
        <v>3</v>
      </c>
      <c r="F246" t="n">
        <v>9</v>
      </c>
      <c r="H246" t="n">
        <v>0</v>
      </c>
      <c r="I246" t="n">
        <v>0</v>
      </c>
      <c r="J246" t="n">
        <v>0</v>
      </c>
      <c r="K246" t="n">
        <v>0</v>
      </c>
      <c r="L246" t="n">
        <v>0</v>
      </c>
      <c r="M246" t="n">
        <v>0</v>
      </c>
      <c r="N246" t="n">
        <v>0</v>
      </c>
    </row>
    <row r="247">
      <c r="A247" t="inlineStr">
        <is>
          <t>Cost of the great park</t>
        </is>
      </c>
      <c r="B247" t="inlineStr">
        <is>
          <t>In hiring 1 carpenter for 1 day to remake anew 1 broken leaf of the great gate there 5pence.</t>
        </is>
      </c>
      <c r="C247" t="n">
        <v>0.02</v>
      </c>
      <c r="D247" t="n">
        <v>0</v>
      </c>
      <c r="E247" t="n">
        <v>0</v>
      </c>
      <c r="F247" t="n">
        <v>5</v>
      </c>
      <c r="H247" t="n">
        <v>0</v>
      </c>
      <c r="I247" t="n">
        <v>0</v>
      </c>
      <c r="J247" t="n">
        <v>0</v>
      </c>
      <c r="K247" t="n">
        <v>0</v>
      </c>
      <c r="L247" t="n">
        <v>0</v>
      </c>
      <c r="M247" t="n">
        <v>0</v>
      </c>
      <c r="N247" t="n">
        <v>0</v>
      </c>
    </row>
    <row r="248">
      <c r="A248" t="inlineStr">
        <is>
          <t>Cost of the great park</t>
        </is>
      </c>
      <c r="B248" t="inlineStr">
        <is>
          <t>nails bought for the same 4pence.</t>
        </is>
      </c>
      <c r="C248" t="n">
        <v>0.02</v>
      </c>
      <c r="D248" t="n">
        <v>0</v>
      </c>
      <c r="E248" t="n">
        <v>0</v>
      </c>
      <c r="F248" t="n">
        <v>4</v>
      </c>
      <c r="H248" t="n">
        <v>0</v>
      </c>
      <c r="I248" t="n">
        <v>0</v>
      </c>
      <c r="J248" t="n">
        <v>0</v>
      </c>
      <c r="K248" t="n">
        <v>0</v>
      </c>
      <c r="L248" t="n">
        <v>0</v>
      </c>
      <c r="M248" t="n">
        <v>0</v>
      </c>
      <c r="N248" t="n">
        <v>0</v>
      </c>
    </row>
    <row r="249">
      <c r="A249" t="inlineStr">
        <is>
          <t>Cost of the great park</t>
        </is>
      </c>
      <c r="B249" t="inlineStr">
        <is>
          <t>payment to Richard Som' for enclosing with new hedge 194 perches around Coulese, by piece-work by fixed agreement, £1 18 shilling 4pence, giving 2.5pence a perch.</t>
        </is>
      </c>
      <c r="C249" t="n">
        <v>1.92</v>
      </c>
      <c r="D249" t="n">
        <v>1</v>
      </c>
      <c r="E249" t="n">
        <v>18</v>
      </c>
      <c r="F249" t="n">
        <v>4</v>
      </c>
      <c r="H249" t="n">
        <v>0</v>
      </c>
      <c r="I249" t="n">
        <v>0</v>
      </c>
      <c r="J249" t="n">
        <v>0</v>
      </c>
      <c r="K249" t="n">
        <v>0</v>
      </c>
      <c r="L249" t="n">
        <v>0</v>
      </c>
      <c r="M249" t="n">
        <v>0</v>
      </c>
      <c r="N249" t="n">
        <v>0</v>
      </c>
    </row>
    <row r="250">
      <c r="A250" t="inlineStr">
        <is>
          <t>Cost of the great park</t>
        </is>
      </c>
      <c r="B250" t="inlineStr">
        <is>
          <t>payment to the same Richard for 10 days mending various defects of the hedge of the coppice there where it was needed 3 shilling 4pence, taking 4pence a day.</t>
        </is>
      </c>
      <c r="C250" t="n">
        <v>0.17</v>
      </c>
      <c r="D250" t="n">
        <v>0</v>
      </c>
      <c r="E250" t="n">
        <v>3</v>
      </c>
      <c r="F250" t="n">
        <v>4</v>
      </c>
      <c r="H250" t="n">
        <v>0</v>
      </c>
      <c r="I250" t="n">
        <v>0</v>
      </c>
      <c r="J250" t="n">
        <v>0</v>
      </c>
      <c r="K250" t="n">
        <v>0</v>
      </c>
      <c r="L250" t="n">
        <v>0</v>
      </c>
      <c r="M250" t="n">
        <v>0</v>
      </c>
      <c r="N250" t="n">
        <v>0</v>
      </c>
    </row>
    <row r="251">
      <c r="A251" t="inlineStr">
        <is>
          <t>Cost of the great park</t>
        </is>
      </c>
      <c r="B251" t="inlineStr">
        <is>
          <t>payment to the same Richard for 19 days mending various defects of the palisade where it was needed 6 shilling 4pence, taking 4pence a day.</t>
        </is>
      </c>
      <c r="C251" t="n">
        <v>0.32</v>
      </c>
      <c r="D251" t="n">
        <v>0</v>
      </c>
      <c r="E251" t="n">
        <v>6</v>
      </c>
      <c r="F251" t="n">
        <v>4</v>
      </c>
      <c r="H251" t="n">
        <v>0</v>
      </c>
      <c r="I251" t="n">
        <v>0</v>
      </c>
      <c r="J251" t="n">
        <v>0</v>
      </c>
      <c r="K251" t="n">
        <v>0</v>
      </c>
      <c r="L251" t="n">
        <v>0</v>
      </c>
      <c r="M251" t="n">
        <v>0</v>
      </c>
      <c r="N251" t="n">
        <v>0</v>
      </c>
    </row>
    <row r="252">
      <c r="A252" t="inlineStr">
        <is>
          <t>Cost of the great park</t>
        </is>
      </c>
      <c r="B252" t="inlineStr">
        <is>
          <t>Total, £2 8 shilling 9pence.</t>
        </is>
      </c>
      <c r="C252" t="n">
        <v>2.44</v>
      </c>
      <c r="D252" t="n">
        <v>2</v>
      </c>
      <c r="E252" t="n">
        <v>8</v>
      </c>
      <c r="F252" t="n">
        <v>9</v>
      </c>
      <c r="H252" t="n">
        <v>0</v>
      </c>
      <c r="I252" t="n">
        <v>0</v>
      </c>
      <c r="J252" t="n">
        <v>0</v>
      </c>
      <c r="K252" t="n">
        <v>0</v>
      </c>
      <c r="L252" t="n">
        <v>0</v>
      </c>
      <c r="M252" t="n">
        <v>0</v>
      </c>
      <c r="N252" t="n">
        <v>0</v>
      </c>
    </row>
    <row r="253">
      <c r="A253" t="inlineStr">
        <is>
          <t>Cost of the new park</t>
        </is>
      </c>
      <c r="B253" t="inlineStr">
        <is>
          <t>in hiring 1 man to mend various defects of the palisade of the said park for 8 days, 2 shilling 8pence this year.</t>
        </is>
      </c>
      <c r="C253" t="n">
        <v>0.13</v>
      </c>
      <c r="D253" t="n">
        <v>0</v>
      </c>
      <c r="E253" t="n">
        <v>2</v>
      </c>
      <c r="F253" t="n">
        <v>8</v>
      </c>
      <c r="H253" t="n">
        <v>0</v>
      </c>
      <c r="I253" t="n">
        <v>0</v>
      </c>
      <c r="J253" t="n">
        <v>0</v>
      </c>
      <c r="K253" t="n">
        <v>0</v>
      </c>
      <c r="L253" t="n">
        <v>0</v>
      </c>
      <c r="M253" t="n">
        <v>0</v>
      </c>
      <c r="N253" t="n">
        <v>0</v>
      </c>
    </row>
    <row r="254">
      <c r="A254" t="inlineStr">
        <is>
          <t>Cost of the new park</t>
        </is>
      </c>
      <c r="B254" t="inlineStr">
        <is>
          <t>Total, 2 shilling 8pence.</t>
        </is>
      </c>
      <c r="C254" t="n">
        <v>0.13</v>
      </c>
      <c r="D254" t="n">
        <v>0</v>
      </c>
      <c r="E254" t="n">
        <v>2</v>
      </c>
      <c r="F254" t="n">
        <v>8</v>
      </c>
      <c r="H254" t="n">
        <v>0</v>
      </c>
      <c r="I254" t="n">
        <v>0</v>
      </c>
      <c r="J254" t="n">
        <v>0</v>
      </c>
      <c r="K254" t="n">
        <v>0</v>
      </c>
      <c r="L254" t="n">
        <v>0</v>
      </c>
      <c r="M254" t="n">
        <v>0</v>
      </c>
      <c r="N254" t="n">
        <v>0</v>
      </c>
    </row>
    <row r="255">
      <c r="A255" t="inlineStr">
        <is>
          <t>Total of all expenses</t>
        </is>
      </c>
      <c r="B255" t="inlineStr">
        <is>
          <t>Total of all expenses, £60 19 shilling 8pence.</t>
        </is>
      </c>
      <c r="C255" t="n">
        <v>60.98</v>
      </c>
      <c r="D255" t="n">
        <v>60</v>
      </c>
      <c r="E255" t="n">
        <v>19</v>
      </c>
      <c r="F255" t="n">
        <v>8</v>
      </c>
      <c r="H255" t="n">
        <v>0</v>
      </c>
      <c r="I255" t="n">
        <v>0</v>
      </c>
      <c r="J255" t="n">
        <v>0</v>
      </c>
      <c r="K255" t="n">
        <v>0</v>
      </c>
      <c r="L255" t="n">
        <v>0</v>
      </c>
      <c r="M255" t="n">
        <v>0</v>
      </c>
      <c r="N255" t="n">
        <v>0</v>
      </c>
    </row>
    <row r="256">
      <c r="A256" t="inlineStr">
        <is>
          <t>And he owes</t>
        </is>
      </c>
      <c r="B256" t="inlineStr">
        <is>
          <t>And he owes, £246 2 shilling 1pence.</t>
        </is>
      </c>
      <c r="C256" t="n">
        <v>246.1</v>
      </c>
      <c r="D256" t="n">
        <v>246</v>
      </c>
      <c r="E256" t="n">
        <v>2</v>
      </c>
      <c r="F256" t="n">
        <v>1</v>
      </c>
      <c r="H256" t="n">
        <v>0</v>
      </c>
      <c r="I256" t="n">
        <v>0</v>
      </c>
      <c r="J256" t="n">
        <v>0</v>
      </c>
      <c r="K256" t="n">
        <v>0</v>
      </c>
      <c r="L256" t="n">
        <v>0</v>
      </c>
      <c r="M256" t="n">
        <v>0</v>
      </c>
      <c r="N256" t="n">
        <v>0</v>
      </c>
    </row>
    <row r="257">
      <c r="A257" t="inlineStr">
        <is>
          <t>Allowances without writ</t>
        </is>
      </c>
      <c r="B257" t="inlineStr">
        <is>
          <t>in allowance to the same for £6 13 shilling 4pence for the annuity of Reginald Curteys, esquire, respited in the account of the preceding year for a particular reason.</t>
        </is>
      </c>
      <c r="C257" t="n">
        <v>6.67</v>
      </c>
      <c r="D257" t="n">
        <v>6</v>
      </c>
      <c r="E257" t="n">
        <v>13</v>
      </c>
      <c r="F257" t="n">
        <v>4</v>
      </c>
      <c r="H257" t="n">
        <v>0</v>
      </c>
      <c r="I257" t="n">
        <v>0</v>
      </c>
      <c r="J257" t="n">
        <v>0</v>
      </c>
      <c r="K257" t="n">
        <v>0</v>
      </c>
      <c r="L257" t="n">
        <v>0</v>
      </c>
      <c r="M257" t="n">
        <v>0</v>
      </c>
      <c r="N257" t="n">
        <v>0</v>
      </c>
    </row>
    <row r="258">
      <c r="A258" t="inlineStr">
        <is>
          <t>Allowances without writ</t>
        </is>
      </c>
      <c r="B258" t="inlineStr">
        <is>
          <t>10 shilling for carrying dung outside the castle not allowed above.</t>
        </is>
      </c>
      <c r="C258" t="n">
        <v>0.5</v>
      </c>
      <c r="D258" t="n">
        <v>0</v>
      </c>
      <c r="E258" t="n">
        <v>10</v>
      </c>
      <c r="F258" t="n">
        <v>0</v>
      </c>
      <c r="H258" t="n">
        <v>0</v>
      </c>
      <c r="I258" t="n">
        <v>0</v>
      </c>
      <c r="J258" t="n">
        <v>0</v>
      </c>
      <c r="K258" t="n">
        <v>0</v>
      </c>
      <c r="L258" t="n">
        <v>0</v>
      </c>
      <c r="M258" t="n">
        <v>0</v>
      </c>
      <c r="N258" t="n">
        <v>0</v>
      </c>
    </row>
    <row r="259">
      <c r="A259" t="inlineStr">
        <is>
          <t>Allowances without writ</t>
        </is>
      </c>
      <c r="B259" t="inlineStr">
        <is>
          <t>8 shilling for the cost of carrying convicted thieves from Southwark to Farnham and from there to Wolvesey not allowed above.</t>
        </is>
      </c>
      <c r="C259" t="n">
        <v>0.4</v>
      </c>
      <c r="D259" t="n">
        <v>0</v>
      </c>
      <c r="E259" t="n">
        <v>8</v>
      </c>
      <c r="F259" t="n">
        <v>0</v>
      </c>
      <c r="H259" t="n">
        <v>0</v>
      </c>
      <c r="I259" t="n">
        <v>0</v>
      </c>
      <c r="J259" t="n">
        <v>0</v>
      </c>
      <c r="K259" t="n">
        <v>0</v>
      </c>
      <c r="L259" t="n">
        <v>0</v>
      </c>
      <c r="M259" t="n">
        <v>0</v>
      </c>
      <c r="N259" t="n">
        <v>0</v>
      </c>
    </row>
    <row r="260">
      <c r="A260" t="inlineStr">
        <is>
          <t>Allowances without writ</t>
        </is>
      </c>
      <c r="B260" t="inlineStr">
        <is>
          <t>£3 for the excess of the last account in the preceding year of Richard Port', sergeant of Welle, as made clear in the foot there, paid to him from this account.</t>
        </is>
      </c>
      <c r="C260" t="n">
        <v>3</v>
      </c>
      <c r="D260" t="n">
        <v>3</v>
      </c>
      <c r="E260" t="n">
        <v>0</v>
      </c>
      <c r="F260" t="n">
        <v>0</v>
      </c>
      <c r="H260" t="n">
        <v>0</v>
      </c>
      <c r="I260" t="n">
        <v>0</v>
      </c>
      <c r="J260" t="n">
        <v>0</v>
      </c>
      <c r="K260" t="n">
        <v>0</v>
      </c>
      <c r="L260" t="n">
        <v>0</v>
      </c>
      <c r="M260" t="n">
        <v>0</v>
      </c>
      <c r="N260" t="n">
        <v>0</v>
      </c>
    </row>
    <row r="261">
      <c r="A261" t="inlineStr">
        <is>
          <t>Allowances without writ</t>
        </is>
      </c>
      <c r="B261" t="inlineStr">
        <is>
          <t>Total, £12 8 shilling 4pence.</t>
        </is>
      </c>
      <c r="C261" t="n">
        <v>12.42</v>
      </c>
      <c r="D261" t="n">
        <v>12</v>
      </c>
      <c r="E261" t="n">
        <v>8</v>
      </c>
      <c r="F261" t="n">
        <v>4</v>
      </c>
      <c r="H261" t="n">
        <v>0</v>
      </c>
      <c r="I261" t="n">
        <v>0</v>
      </c>
      <c r="J261" t="n">
        <v>0</v>
      </c>
      <c r="K261" t="n">
        <v>0</v>
      </c>
      <c r="L261" t="n">
        <v>0</v>
      </c>
      <c r="M261" t="n">
        <v>0</v>
      </c>
      <c r="N261" t="n">
        <v>0</v>
      </c>
    </row>
    <row r="262">
      <c r="A262" t="inlineStr">
        <is>
          <t>Allowances by writ</t>
        </is>
      </c>
      <c r="B262" t="inlineStr">
        <is>
          <t>In allowance to the same for £101 19 shilling 8pence delivered to John Rede, treasurer of the lord's household, as the price of various victuals for the provision of the said household, just as is made clear by the evidence of the same addressed to the auditor of this account.</t>
        </is>
      </c>
      <c r="C262" t="n">
        <v>101.98</v>
      </c>
      <c r="D262" t="n">
        <v>101</v>
      </c>
      <c r="E262" t="n">
        <v>19</v>
      </c>
      <c r="F262" t="n">
        <v>8</v>
      </c>
      <c r="H262" t="n">
        <v>0</v>
      </c>
      <c r="I262" t="n">
        <v>0</v>
      </c>
      <c r="J262" t="n">
        <v>0</v>
      </c>
      <c r="K262" t="n">
        <v>0</v>
      </c>
      <c r="L262" t="n">
        <v>0</v>
      </c>
      <c r="M262" t="n">
        <v>0</v>
      </c>
      <c r="N262" t="n">
        <v>0</v>
      </c>
    </row>
    <row r="263">
      <c r="A263" t="inlineStr">
        <is>
          <t>Allowances by writ</t>
        </is>
      </c>
      <c r="B263" t="inlineStr">
        <is>
          <t>Total, £101 19 shilling 8pence.</t>
        </is>
      </c>
      <c r="C263" t="n">
        <v>101.98</v>
      </c>
      <c r="D263" t="n">
        <v>101</v>
      </c>
      <c r="E263" t="n">
        <v>19</v>
      </c>
      <c r="F263" t="n">
        <v>8</v>
      </c>
      <c r="H263" t="n">
        <v>0</v>
      </c>
      <c r="I263" t="n">
        <v>0</v>
      </c>
      <c r="J263" t="n">
        <v>0</v>
      </c>
      <c r="K263" t="n">
        <v>0</v>
      </c>
      <c r="L263" t="n">
        <v>0</v>
      </c>
      <c r="M263" t="n">
        <v>0</v>
      </c>
      <c r="N263" t="n">
        <v>0</v>
      </c>
    </row>
    <row r="264">
      <c r="A264" t="inlineStr">
        <is>
          <t>Cash deliveries</t>
        </is>
      </c>
      <c r="B264" t="inlineStr">
        <is>
          <t>Delivered to John Arnold', receiver of Wolvesey, by 4 tallies, £62 10 shilling 4pence.</t>
        </is>
      </c>
      <c r="C264" t="n">
        <v>62.52</v>
      </c>
      <c r="D264" t="n">
        <v>62</v>
      </c>
      <c r="E264" t="n">
        <v>10</v>
      </c>
      <c r="F264" t="n">
        <v>4</v>
      </c>
      <c r="H264" t="n">
        <v>0</v>
      </c>
      <c r="I264" t="n">
        <v>0</v>
      </c>
      <c r="J264" t="n">
        <v>0</v>
      </c>
      <c r="K264" t="n">
        <v>0</v>
      </c>
      <c r="L264" t="n">
        <v>0</v>
      </c>
      <c r="M264" t="n">
        <v>0</v>
      </c>
      <c r="N264" t="n">
        <v>0</v>
      </c>
    </row>
    <row r="265">
      <c r="A265" t="inlineStr">
        <is>
          <t>Cash deliveries</t>
        </is>
      </c>
      <c r="B265" t="inlineStr">
        <is>
          <t>Total, £62 10 shilling 4pence.</t>
        </is>
      </c>
      <c r="C265" t="n">
        <v>62.52</v>
      </c>
      <c r="D265" t="n">
        <v>62</v>
      </c>
      <c r="E265" t="n">
        <v>10</v>
      </c>
      <c r="F265" t="n">
        <v>4</v>
      </c>
      <c r="H265" t="n">
        <v>0</v>
      </c>
      <c r="I265" t="n">
        <v>0</v>
      </c>
      <c r="J265" t="n">
        <v>0</v>
      </c>
      <c r="K265" t="n">
        <v>0</v>
      </c>
      <c r="L265" t="n">
        <v>0</v>
      </c>
      <c r="M265" t="n">
        <v>0</v>
      </c>
      <c r="N265" t="n">
        <v>0</v>
      </c>
    </row>
    <row r="266">
      <c r="A266" t="inlineStr">
        <is>
          <t>Total of all allowances and cash deliveries</t>
        </is>
      </c>
      <c r="B266" t="inlineStr">
        <is>
          <t>Total of all allowances and cash deliveries, £176 18 shilling 4pence.</t>
        </is>
      </c>
      <c r="C266" t="n">
        <v>176.92</v>
      </c>
      <c r="D266" t="n">
        <v>176</v>
      </c>
      <c r="E266" t="n">
        <v>18</v>
      </c>
      <c r="F266" t="n">
        <v>4</v>
      </c>
      <c r="H266" t="n">
        <v>0</v>
      </c>
      <c r="I266" t="n">
        <v>0</v>
      </c>
      <c r="J266" t="n">
        <v>0</v>
      </c>
      <c r="K266" t="n">
        <v>0</v>
      </c>
      <c r="L266" t="n">
        <v>0</v>
      </c>
      <c r="M266" t="n">
        <v>0</v>
      </c>
      <c r="N266" t="n">
        <v>0</v>
      </c>
    </row>
    <row r="267">
      <c r="A267" t="inlineStr">
        <is>
          <t>And he owes</t>
        </is>
      </c>
      <c r="B26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67" t="n">
        <v>69.19</v>
      </c>
      <c r="D267" t="n">
        <v>69</v>
      </c>
      <c r="E267" t="n">
        <v>3</v>
      </c>
      <c r="F267" t="n">
        <v>9</v>
      </c>
      <c r="H267" t="n">
        <v>0</v>
      </c>
      <c r="I267" t="n">
        <v>0</v>
      </c>
      <c r="J267" t="n">
        <v>0</v>
      </c>
      <c r="K267" t="n">
        <v>0</v>
      </c>
      <c r="L267" t="n">
        <v>0</v>
      </c>
      <c r="M267" t="n">
        <v>0</v>
      </c>
      <c r="N267" t="n">
        <v>0</v>
      </c>
    </row>
    <row r="268">
      <c r="A268" t="inlineStr">
        <is>
          <t>And he owes</t>
        </is>
      </c>
      <c r="B268" t="inlineStr">
        <is>
          <t>15 shilling 8pence for the rents of various parcels of decayed land in the lord's hands, cancelled above, and among the rents until an inquest is made by the steward and a certificate made therefor.</t>
        </is>
      </c>
      <c r="C268" t="n">
        <v>0.78</v>
      </c>
      <c r="D268" t="n">
        <v>0</v>
      </c>
      <c r="E268" t="n">
        <v>15</v>
      </c>
      <c r="F268" t="n">
        <v>8</v>
      </c>
      <c r="H268" t="n">
        <v>0</v>
      </c>
      <c r="I268" t="n">
        <v>0</v>
      </c>
      <c r="J268" t="n">
        <v>0</v>
      </c>
      <c r="K268" t="n">
        <v>0</v>
      </c>
      <c r="L268" t="n">
        <v>0</v>
      </c>
      <c r="M268" t="n">
        <v>0</v>
      </c>
      <c r="N268" t="n">
        <v>0</v>
      </c>
    </row>
    <row r="269">
      <c r="A269" t="inlineStr">
        <is>
          <t>And he owes</t>
        </is>
      </c>
      <c r="B269" t="inlineStr">
        <is>
          <t>Total remaining, £5 18 shilling 7pence.</t>
        </is>
      </c>
      <c r="C269" t="n">
        <v>5.93</v>
      </c>
      <c r="D269" t="n">
        <v>5</v>
      </c>
      <c r="E269" t="n">
        <v>18</v>
      </c>
      <c r="F269" t="n">
        <v>7</v>
      </c>
      <c r="H269" t="n">
        <v>0</v>
      </c>
      <c r="I269" t="n">
        <v>0</v>
      </c>
      <c r="J269" t="n">
        <v>0</v>
      </c>
      <c r="K269" t="n">
        <v>0</v>
      </c>
      <c r="L269" t="n">
        <v>0</v>
      </c>
      <c r="M269" t="n">
        <v>0</v>
      </c>
      <c r="N269" t="n">
        <v>0</v>
      </c>
    </row>
    <row r="270">
      <c r="A270" t="inlineStr">
        <is>
          <t>And he owes clear</t>
        </is>
      </c>
      <c r="B270" t="inlineStr">
        <is>
          <t>And he owes clear, £63 5 shilling 2pence, of which £2 13 shilling 10pence is in the hands of the escheator, for which he is charged in the following account.</t>
        </is>
      </c>
      <c r="C270" t="n">
        <v>63.26</v>
      </c>
      <c r="D270" t="n">
        <v>63</v>
      </c>
      <c r="E270" t="n">
        <v>5</v>
      </c>
      <c r="F270" t="n">
        <v>2</v>
      </c>
      <c r="H270" t="n">
        <v>0</v>
      </c>
      <c r="I270" t="n">
        <v>0</v>
      </c>
      <c r="J270" t="n">
        <v>0</v>
      </c>
      <c r="K270" t="n">
        <v>0</v>
      </c>
      <c r="L270" t="n">
        <v>0</v>
      </c>
      <c r="M270" t="n">
        <v>0</v>
      </c>
      <c r="N270" t="n">
        <v>0</v>
      </c>
    </row>
    <row r="271">
      <c r="A271" t="inlineStr">
        <is>
          <t>Acreage sown</t>
        </is>
      </c>
      <c r="B271" t="inlineStr">
        <is>
          <t>William Goos, farmer there, answers for 30 acres of wheat sown with 7 quarters 4 bushels of wheat, 18.5 acres sown with 9 quarters 4 bushels of barley, and 5 acres of oats sown with 2 quarters 4 bushels of oats..</t>
        </is>
      </c>
      <c r="C271" t="n">
        <v>0</v>
      </c>
      <c r="D271" t="n">
        <v>0</v>
      </c>
      <c r="E271" t="n">
        <v>0</v>
      </c>
      <c r="F271" t="n">
        <v>0</v>
      </c>
      <c r="G271" t="inlineStr">
        <is>
          <t>wheat, barley, oats</t>
        </is>
      </c>
      <c r="H271" t="n">
        <v>11</v>
      </c>
      <c r="I271" t="n">
        <v>8</v>
      </c>
      <c r="J271" t="n">
        <v>12</v>
      </c>
      <c r="K271" t="n">
        <v>7.5</v>
      </c>
      <c r="L271" t="n">
        <v>4.5</v>
      </c>
      <c r="M271" t="n">
        <v>7</v>
      </c>
      <c r="N271" t="n">
        <v>4</v>
      </c>
      <c r="O271" t="n">
        <v>9</v>
      </c>
      <c r="P271" t="n">
        <v>4</v>
      </c>
      <c r="Q271" t="n">
        <v>2</v>
      </c>
      <c r="R271" t="n">
        <v>4</v>
      </c>
    </row>
    <row r="272">
      <c r="A272" t="inlineStr">
        <is>
          <t>Acreage sown</t>
        </is>
      </c>
      <c r="B272" t="inlineStr">
        <is>
          <t>Total, 53.5 acres. 53 acres remain, sown with various kinds of corn, to be restored at the end of his term.</t>
        </is>
      </c>
      <c r="C272" t="n">
        <v>0</v>
      </c>
      <c r="D272" t="n">
        <v>0</v>
      </c>
      <c r="E272" t="n">
        <v>0</v>
      </c>
      <c r="F272" t="n">
        <v>0</v>
      </c>
      <c r="H272" t="n">
        <v>0</v>
      </c>
      <c r="I272" t="n">
        <v>0</v>
      </c>
      <c r="J272" t="n">
        <v>0</v>
      </c>
      <c r="K272" t="n">
        <v>0</v>
      </c>
      <c r="L272" t="n">
        <v>0</v>
      </c>
      <c r="M272" t="n">
        <v>0</v>
      </c>
      <c r="N272" t="n">
        <v>0</v>
      </c>
    </row>
    <row r="273">
      <c r="A273" t="inlineStr">
        <is>
          <t>Stock</t>
        </is>
      </c>
      <c r="B273" t="inlineStr">
        <is>
          <t>Horses: 4 remain.</t>
        </is>
      </c>
      <c r="C273" t="n">
        <v>0</v>
      </c>
      <c r="D273" t="n">
        <v>0</v>
      </c>
      <c r="E273" t="n">
        <v>0</v>
      </c>
      <c r="F273" t="n">
        <v>0</v>
      </c>
      <c r="H273" t="n">
        <v>0</v>
      </c>
      <c r="I273" t="n">
        <v>0</v>
      </c>
      <c r="J273" t="n">
        <v>0</v>
      </c>
      <c r="K273" t="n">
        <v>0</v>
      </c>
      <c r="L273" t="n">
        <v>0</v>
      </c>
      <c r="M273" t="n">
        <v>0</v>
      </c>
      <c r="N273" t="n">
        <v>0</v>
      </c>
    </row>
    <row r="274">
      <c r="A274" t="inlineStr">
        <is>
          <t>Stock</t>
        </is>
      </c>
      <c r="B274" t="inlineStr">
        <is>
          <t>Total, 4. 4 remain in the hands of William Goos, farmer, worth £2, to be handed back at the end of his farm or the value thereof at the lord's will.</t>
        </is>
      </c>
      <c r="C274" t="n">
        <v>2</v>
      </c>
      <c r="D274" t="n">
        <v>2</v>
      </c>
      <c r="E274" t="n">
        <v>0</v>
      </c>
      <c r="F274" t="n">
        <v>0</v>
      </c>
      <c r="H274" t="n">
        <v>0</v>
      </c>
      <c r="I274" t="n">
        <v>0</v>
      </c>
      <c r="J274" t="n">
        <v>0</v>
      </c>
      <c r="K274" t="n">
        <v>0</v>
      </c>
      <c r="L274" t="n">
        <v>0</v>
      </c>
      <c r="M274" t="n">
        <v>0</v>
      </c>
      <c r="N274" t="n">
        <v>0</v>
      </c>
    </row>
    <row r="275">
      <c r="A275" t="inlineStr">
        <is>
          <t>Stock</t>
        </is>
      </c>
      <c r="B275" t="inlineStr">
        <is>
          <t>Oxen: 14 remain.</t>
        </is>
      </c>
      <c r="C275" t="n">
        <v>0</v>
      </c>
      <c r="D275" t="n">
        <v>0</v>
      </c>
      <c r="E275" t="n">
        <v>0</v>
      </c>
      <c r="F275" t="n">
        <v>0</v>
      </c>
      <c r="H275" t="n">
        <v>0</v>
      </c>
      <c r="I275" t="n">
        <v>0</v>
      </c>
      <c r="J275" t="n">
        <v>0</v>
      </c>
      <c r="K275" t="n">
        <v>0</v>
      </c>
      <c r="L275" t="n">
        <v>0</v>
      </c>
      <c r="M275" t="n">
        <v>0</v>
      </c>
      <c r="N275" t="n">
        <v>0</v>
      </c>
    </row>
    <row r="276">
      <c r="A276" t="inlineStr">
        <is>
          <t>Stock</t>
        </is>
      </c>
      <c r="B276" t="inlineStr">
        <is>
          <t>Total, 14. 14 remain in the hands of the said William, worth £7, to be handed back at the end of his farm or the value thereof at the lord's will.</t>
        </is>
      </c>
      <c r="C276" t="n">
        <v>7</v>
      </c>
      <c r="D276" t="n">
        <v>7</v>
      </c>
      <c r="E276" t="n">
        <v>0</v>
      </c>
      <c r="F276" t="n">
        <v>0</v>
      </c>
      <c r="H276" t="n">
        <v>0</v>
      </c>
      <c r="I276" t="n">
        <v>0</v>
      </c>
      <c r="J276" t="n">
        <v>0</v>
      </c>
      <c r="K276" t="n">
        <v>0</v>
      </c>
      <c r="L276" t="n">
        <v>0</v>
      </c>
      <c r="M276" t="n">
        <v>0</v>
      </c>
      <c r="N276" t="n">
        <v>0</v>
      </c>
    </row>
    <row r="277">
      <c r="A277" t="inlineStr">
        <is>
          <t>Stock</t>
        </is>
      </c>
      <c r="B277" t="inlineStr">
        <is>
          <t>Cows: 1 from the heriot of William Wyne.</t>
        </is>
      </c>
      <c r="C277" t="n">
        <v>0</v>
      </c>
      <c r="D277" t="n">
        <v>0</v>
      </c>
      <c r="E277" t="n">
        <v>0</v>
      </c>
      <c r="F277" t="n">
        <v>0</v>
      </c>
      <c r="H277" t="n">
        <v>0</v>
      </c>
      <c r="I277" t="n">
        <v>0</v>
      </c>
      <c r="J277" t="n">
        <v>0</v>
      </c>
      <c r="K277" t="n">
        <v>0</v>
      </c>
      <c r="L277" t="n">
        <v>0</v>
      </c>
      <c r="M277" t="n">
        <v>0</v>
      </c>
      <c r="N277" t="n">
        <v>0</v>
      </c>
    </row>
    <row r="278">
      <c r="A278" t="inlineStr">
        <is>
          <t>Stock</t>
        </is>
      </c>
      <c r="B278" t="inlineStr">
        <is>
          <t>1 from the heriot of John Smyth.</t>
        </is>
      </c>
      <c r="C278" t="n">
        <v>0</v>
      </c>
      <c r="D278" t="n">
        <v>0</v>
      </c>
      <c r="E278" t="n">
        <v>0</v>
      </c>
      <c r="F278" t="n">
        <v>0</v>
      </c>
      <c r="H278" t="n">
        <v>0</v>
      </c>
      <c r="I278" t="n">
        <v>0</v>
      </c>
      <c r="J278" t="n">
        <v>0</v>
      </c>
      <c r="K278" t="n">
        <v>0</v>
      </c>
      <c r="L278" t="n">
        <v>0</v>
      </c>
      <c r="M278" t="n">
        <v>0</v>
      </c>
      <c r="N278" t="n">
        <v>0</v>
      </c>
    </row>
    <row r="279">
      <c r="A279" t="inlineStr">
        <is>
          <t>Stock</t>
        </is>
      </c>
      <c r="B279" t="inlineStr">
        <is>
          <t>1 from the heriot of William Leyer'.</t>
        </is>
      </c>
      <c r="C279" t="n">
        <v>0</v>
      </c>
      <c r="D279" t="n">
        <v>0</v>
      </c>
      <c r="E279" t="n">
        <v>0</v>
      </c>
      <c r="F279" t="n">
        <v>0</v>
      </c>
      <c r="H279" t="n">
        <v>0</v>
      </c>
      <c r="I279" t="n">
        <v>0</v>
      </c>
      <c r="J279" t="n">
        <v>0</v>
      </c>
      <c r="K279" t="n">
        <v>0</v>
      </c>
      <c r="L279" t="n">
        <v>0</v>
      </c>
      <c r="M279" t="n">
        <v>0</v>
      </c>
      <c r="N279" t="n">
        <v>0</v>
      </c>
    </row>
    <row r="280">
      <c r="A280" t="inlineStr">
        <is>
          <t>Stock</t>
        </is>
      </c>
      <c r="B280" t="inlineStr">
        <is>
          <t>Total, 3. Sold within.</t>
        </is>
      </c>
      <c r="C280" t="n">
        <v>0</v>
      </c>
      <c r="D280" t="n">
        <v>0</v>
      </c>
      <c r="E280" t="n">
        <v>0</v>
      </c>
      <c r="F280" t="n">
        <v>0</v>
      </c>
      <c r="H280" t="n">
        <v>0</v>
      </c>
      <c r="I280" t="n">
        <v>0</v>
      </c>
      <c r="J280" t="n">
        <v>0</v>
      </c>
      <c r="K280" t="n">
        <v>0</v>
      </c>
      <c r="L280" t="n">
        <v>0</v>
      </c>
      <c r="M280" t="n">
        <v>0</v>
      </c>
      <c r="N280" t="n">
        <v>0</v>
      </c>
    </row>
    <row r="281">
      <c r="A281" t="inlineStr">
        <is>
          <t>Stock</t>
        </is>
      </c>
      <c r="B281" t="inlineStr">
        <is>
          <t>none remain.</t>
        </is>
      </c>
      <c r="C281" t="n">
        <v>0</v>
      </c>
      <c r="D281" t="n">
        <v>0</v>
      </c>
      <c r="E281" t="n">
        <v>0</v>
      </c>
      <c r="F281" t="n">
        <v>0</v>
      </c>
      <c r="H281" t="n">
        <v>0</v>
      </c>
      <c r="I281" t="n">
        <v>0</v>
      </c>
      <c r="J281" t="n">
        <v>0</v>
      </c>
      <c r="K281" t="n">
        <v>0</v>
      </c>
      <c r="L281" t="n">
        <v>0</v>
      </c>
      <c r="M281" t="n">
        <v>0</v>
      </c>
      <c r="N281" t="n">
        <v>0</v>
      </c>
    </row>
    <row r="282">
      <c r="A282" t="inlineStr">
        <is>
          <t>Stock</t>
        </is>
      </c>
      <c r="B282" t="inlineStr">
        <is>
          <t>Wethers at Farnham: 200 remain.</t>
        </is>
      </c>
      <c r="C282" t="n">
        <v>0</v>
      </c>
      <c r="D282" t="n">
        <v>0</v>
      </c>
      <c r="E282" t="n">
        <v>0</v>
      </c>
      <c r="F282" t="n">
        <v>0</v>
      </c>
      <c r="H282" t="n">
        <v>0</v>
      </c>
      <c r="I282" t="n">
        <v>0</v>
      </c>
      <c r="J282" t="n">
        <v>0</v>
      </c>
      <c r="K282" t="n">
        <v>0</v>
      </c>
      <c r="L282" t="n">
        <v>0</v>
      </c>
      <c r="M282" t="n">
        <v>0</v>
      </c>
      <c r="N282" t="n">
        <v>0</v>
      </c>
    </row>
    <row r="283">
      <c r="A283" t="inlineStr">
        <is>
          <t>Stock</t>
        </is>
      </c>
      <c r="B283" t="inlineStr">
        <is>
          <t>4 from strays this year.</t>
        </is>
      </c>
      <c r="C283" t="n">
        <v>0</v>
      </c>
      <c r="D283" t="n">
        <v>0</v>
      </c>
      <c r="E283" t="n">
        <v>0</v>
      </c>
      <c r="F283" t="n">
        <v>0</v>
      </c>
      <c r="H283" t="n">
        <v>0</v>
      </c>
      <c r="I283" t="n">
        <v>0</v>
      </c>
      <c r="J283" t="n">
        <v>0</v>
      </c>
      <c r="K283" t="n">
        <v>0</v>
      </c>
      <c r="L283" t="n">
        <v>0</v>
      </c>
      <c r="M283" t="n">
        <v>0</v>
      </c>
      <c r="N283" t="n">
        <v>0</v>
      </c>
    </row>
    <row r="284">
      <c r="A284" t="inlineStr">
        <is>
          <t>Stock</t>
        </is>
      </c>
      <c r="B284" t="inlineStr">
        <is>
          <t>Total, 204. 1 in murrain.</t>
        </is>
      </c>
      <c r="C284" t="n">
        <v>0</v>
      </c>
      <c r="D284" t="n">
        <v>0</v>
      </c>
      <c r="E284" t="n">
        <v>0</v>
      </c>
      <c r="F284" t="n">
        <v>0</v>
      </c>
      <c r="H284" t="n">
        <v>0</v>
      </c>
      <c r="I284" t="n">
        <v>0</v>
      </c>
      <c r="J284" t="n">
        <v>0</v>
      </c>
      <c r="K284" t="n">
        <v>0</v>
      </c>
      <c r="L284" t="n">
        <v>0</v>
      </c>
      <c r="M284" t="n">
        <v>0</v>
      </c>
      <c r="N284" t="n">
        <v>0</v>
      </c>
    </row>
    <row r="285">
      <c r="A285" t="inlineStr">
        <is>
          <t>Stock</t>
        </is>
      </c>
      <c r="B285" t="inlineStr">
        <is>
          <t>3 sold within.</t>
        </is>
      </c>
      <c r="C285" t="n">
        <v>0</v>
      </c>
      <c r="D285" t="n">
        <v>0</v>
      </c>
      <c r="E285" t="n">
        <v>0</v>
      </c>
      <c r="F285" t="n">
        <v>0</v>
      </c>
      <c r="H285" t="n">
        <v>0</v>
      </c>
      <c r="I285" t="n">
        <v>0</v>
      </c>
      <c r="J285" t="n">
        <v>0</v>
      </c>
      <c r="K285" t="n">
        <v>0</v>
      </c>
      <c r="L285" t="n">
        <v>0</v>
      </c>
      <c r="M285" t="n">
        <v>0</v>
      </c>
      <c r="N285" t="n">
        <v>0</v>
      </c>
    </row>
    <row r="286">
      <c r="A286" t="inlineStr">
        <is>
          <t>Stock</t>
        </is>
      </c>
      <c r="B286" t="inlineStr">
        <is>
          <t>200 remain in the hands of the said William, farmer there, worth £15, to be handed back at the end of his farm or the value thereof at the lord's will.</t>
        </is>
      </c>
      <c r="C286" t="n">
        <v>15</v>
      </c>
      <c r="D286" t="n">
        <v>15</v>
      </c>
      <c r="E286" t="n">
        <v>0</v>
      </c>
      <c r="F286" t="n">
        <v>0</v>
      </c>
      <c r="H286" t="n">
        <v>0</v>
      </c>
      <c r="I286" t="n">
        <v>0</v>
      </c>
      <c r="J286" t="n">
        <v>0</v>
      </c>
      <c r="K286" t="n">
        <v>0</v>
      </c>
      <c r="L286" t="n">
        <v>0</v>
      </c>
      <c r="M286" t="n">
        <v>0</v>
      </c>
      <c r="N286" t="n">
        <v>0</v>
      </c>
    </row>
    <row r="287">
      <c r="A287" t="inlineStr">
        <is>
          <t>Stock</t>
        </is>
      </c>
      <c r="B287" t="inlineStr">
        <is>
          <t>Wethers at Seale: 200 remain.</t>
        </is>
      </c>
      <c r="C287" t="n">
        <v>0</v>
      </c>
      <c r="D287" t="n">
        <v>0</v>
      </c>
      <c r="E287" t="n">
        <v>0</v>
      </c>
      <c r="F287" t="n">
        <v>0</v>
      </c>
      <c r="H287" t="n">
        <v>0</v>
      </c>
      <c r="I287" t="n">
        <v>0</v>
      </c>
      <c r="J287" t="n">
        <v>0</v>
      </c>
      <c r="K287" t="n">
        <v>0</v>
      </c>
      <c r="L287" t="n">
        <v>0</v>
      </c>
      <c r="M287" t="n">
        <v>0</v>
      </c>
      <c r="N287" t="n">
        <v>0</v>
      </c>
    </row>
    <row r="288">
      <c r="A288" t="inlineStr">
        <is>
          <t>Stock</t>
        </is>
      </c>
      <c r="B288" t="inlineStr">
        <is>
          <t>Total, 200. 200 remain in the hands of John Shire, farmer there, worth £15, to be handed back at the end of his farm or the value thereof at the lord's will.</t>
        </is>
      </c>
      <c r="C288" t="n">
        <v>15</v>
      </c>
      <c r="D288" t="n">
        <v>15</v>
      </c>
      <c r="E288" t="n">
        <v>0</v>
      </c>
      <c r="F288" t="n">
        <v>0</v>
      </c>
      <c r="H288" t="n">
        <v>0</v>
      </c>
      <c r="I288" t="n">
        <v>0</v>
      </c>
      <c r="J288" t="n">
        <v>0</v>
      </c>
      <c r="K288" t="n">
        <v>0</v>
      </c>
      <c r="L288" t="n">
        <v>0</v>
      </c>
      <c r="M288" t="n">
        <v>0</v>
      </c>
      <c r="N288" t="n">
        <v>0</v>
      </c>
    </row>
    <row r="289">
      <c r="A289" t="inlineStr">
        <is>
          <t>Stock</t>
        </is>
      </c>
      <c r="B289" t="inlineStr">
        <is>
          <t>Swans: 4 remain.</t>
        </is>
      </c>
      <c r="C289" t="n">
        <v>0</v>
      </c>
      <c r="D289" t="n">
        <v>0</v>
      </c>
      <c r="E289" t="n">
        <v>0</v>
      </c>
      <c r="F289" t="n">
        <v>0</v>
      </c>
      <c r="H289" t="n">
        <v>0</v>
      </c>
      <c r="I289" t="n">
        <v>0</v>
      </c>
      <c r="J289" t="n">
        <v>0</v>
      </c>
      <c r="K289" t="n">
        <v>0</v>
      </c>
      <c r="L289" t="n">
        <v>0</v>
      </c>
      <c r="M289" t="n">
        <v>0</v>
      </c>
      <c r="N289" t="n">
        <v>0</v>
      </c>
    </row>
    <row r="290">
      <c r="A290" t="inlineStr">
        <is>
          <t>Stock</t>
        </is>
      </c>
      <c r="B290" t="inlineStr">
        <is>
          <t>Total, 4. 4 remain.</t>
        </is>
      </c>
      <c r="C290" t="n">
        <v>0</v>
      </c>
      <c r="D290" t="n">
        <v>0</v>
      </c>
      <c r="E290" t="n">
        <v>0</v>
      </c>
      <c r="F290" t="n">
        <v>0</v>
      </c>
      <c r="H290" t="n">
        <v>0</v>
      </c>
      <c r="I290" t="n">
        <v>0</v>
      </c>
      <c r="J290" t="n">
        <v>0</v>
      </c>
      <c r="K290" t="n">
        <v>0</v>
      </c>
      <c r="L290" t="n">
        <v>0</v>
      </c>
      <c r="M290" t="n">
        <v>0</v>
      </c>
      <c r="N290" t="n">
        <v>0</v>
      </c>
    </row>
    <row r="291">
      <c r="A291" t="inlineStr">
        <is>
          <t>Stock</t>
        </is>
      </c>
      <c r="B291" t="inlineStr">
        <is>
          <t>Hens: 380 from the park-keeper and 3 woodwards according to custom.</t>
        </is>
      </c>
      <c r="C291" t="n">
        <v>0</v>
      </c>
      <c r="D291" t="n">
        <v>0</v>
      </c>
      <c r="E291" t="n">
        <v>0</v>
      </c>
      <c r="F291" t="n">
        <v>0</v>
      </c>
      <c r="H291" t="n">
        <v>0</v>
      </c>
      <c r="I291" t="n">
        <v>0</v>
      </c>
      <c r="J291" t="n">
        <v>0</v>
      </c>
      <c r="K291" t="n">
        <v>0</v>
      </c>
      <c r="L291" t="n">
        <v>0</v>
      </c>
      <c r="M291" t="n">
        <v>0</v>
      </c>
      <c r="N291" t="n">
        <v>0</v>
      </c>
    </row>
    <row r="292">
      <c r="A292" t="inlineStr">
        <is>
          <t>Stock</t>
        </is>
      </c>
      <c r="B292" t="inlineStr">
        <is>
          <t>Total, 380. 200 in quittance of the reeve, beadle and hayward of Seale on account of the lands leased and labour services commuted.</t>
        </is>
      </c>
      <c r="C292" t="n">
        <v>0</v>
      </c>
      <c r="D292" t="n">
        <v>0</v>
      </c>
      <c r="E292" t="n">
        <v>0</v>
      </c>
      <c r="F292" t="n">
        <v>0</v>
      </c>
      <c r="H292" t="n">
        <v>0</v>
      </c>
      <c r="I292" t="n">
        <v>0</v>
      </c>
      <c r="J292" t="n">
        <v>0</v>
      </c>
      <c r="K292" t="n">
        <v>0</v>
      </c>
      <c r="L292" t="n">
        <v>0</v>
      </c>
      <c r="M292" t="n">
        <v>0</v>
      </c>
      <c r="N292" t="n">
        <v>0</v>
      </c>
    </row>
    <row r="293">
      <c r="A293" t="inlineStr">
        <is>
          <t>Stock</t>
        </is>
      </c>
      <c r="B293" t="inlineStr">
        <is>
          <t>80 in default of William Parker because the office is in the lord's hands and was accustomed to be in free tenure.</t>
        </is>
      </c>
      <c r="C293" t="n">
        <v>0</v>
      </c>
      <c r="D293" t="n">
        <v>0</v>
      </c>
      <c r="E293" t="n">
        <v>0</v>
      </c>
      <c r="F293" t="n">
        <v>0</v>
      </c>
      <c r="H293" t="n">
        <v>0</v>
      </c>
      <c r="I293" t="n">
        <v>0</v>
      </c>
      <c r="J293" t="n">
        <v>0</v>
      </c>
      <c r="K293" t="n">
        <v>0</v>
      </c>
      <c r="L293" t="n">
        <v>0</v>
      </c>
      <c r="M293" t="n">
        <v>0</v>
      </c>
      <c r="N293" t="n">
        <v>0</v>
      </c>
    </row>
    <row r="294">
      <c r="A294" t="inlineStr">
        <is>
          <t>Stock</t>
        </is>
      </c>
      <c r="B294" t="inlineStr">
        <is>
          <t>100 sold within.</t>
        </is>
      </c>
      <c r="C294" t="n">
        <v>0</v>
      </c>
      <c r="D294" t="n">
        <v>0</v>
      </c>
      <c r="E294" t="n">
        <v>0</v>
      </c>
      <c r="F294" t="n">
        <v>0</v>
      </c>
      <c r="H294" t="n">
        <v>0</v>
      </c>
      <c r="I294" t="n">
        <v>0</v>
      </c>
      <c r="J294" t="n">
        <v>0</v>
      </c>
      <c r="K294" t="n">
        <v>0</v>
      </c>
      <c r="L294" t="n">
        <v>0</v>
      </c>
      <c r="M294" t="n">
        <v>0</v>
      </c>
      <c r="N294" t="n">
        <v>0</v>
      </c>
    </row>
    <row r="295">
      <c r="A295" t="inlineStr">
        <is>
          <t>Stock</t>
        </is>
      </c>
      <c r="B295" t="inlineStr">
        <is>
          <t>Total as before.</t>
        </is>
      </c>
      <c r="C295" t="n">
        <v>0</v>
      </c>
      <c r="D295" t="n">
        <v>0</v>
      </c>
      <c r="E295" t="n">
        <v>0</v>
      </c>
      <c r="F295" t="n">
        <v>0</v>
      </c>
      <c r="H295" t="n">
        <v>0</v>
      </c>
      <c r="I295" t="n">
        <v>0</v>
      </c>
      <c r="J295" t="n">
        <v>0</v>
      </c>
      <c r="K295" t="n">
        <v>0</v>
      </c>
      <c r="L295" t="n">
        <v>0</v>
      </c>
      <c r="M295" t="n">
        <v>0</v>
      </c>
      <c r="N295" t="n">
        <v>0</v>
      </c>
    </row>
    <row r="296">
      <c r="A296" t="inlineStr">
        <is>
          <t>Stock</t>
        </is>
      </c>
      <c r="B296" t="inlineStr">
        <is>
          <t>It balances.</t>
        </is>
      </c>
      <c r="C296" t="n">
        <v>0</v>
      </c>
      <c r="D296" t="n">
        <v>0</v>
      </c>
      <c r="E296" t="n">
        <v>0</v>
      </c>
      <c r="F296" t="n">
        <v>0</v>
      </c>
      <c r="H296" t="n">
        <v>0</v>
      </c>
      <c r="I296" t="n">
        <v>0</v>
      </c>
      <c r="J296" t="n">
        <v>0</v>
      </c>
      <c r="K296" t="n">
        <v>0</v>
      </c>
      <c r="L296" t="n">
        <v>0</v>
      </c>
      <c r="M296" t="n">
        <v>0</v>
      </c>
      <c r="N296" t="n">
        <v>0</v>
      </c>
    </row>
    <row r="297">
      <c r="A297" t="inlineStr">
        <is>
          <t>Stock</t>
        </is>
      </c>
      <c r="B297" t="inlineStr">
        <is>
          <t>Eggs: 3,000 hens' eggs from the 3 woodwards according to custom.</t>
        </is>
      </c>
      <c r="C297" t="n">
        <v>0</v>
      </c>
      <c r="D297" t="n">
        <v>0</v>
      </c>
      <c r="E297" t="n">
        <v>0</v>
      </c>
      <c r="F297" t="n">
        <v>0</v>
      </c>
      <c r="H297" t="n">
        <v>0</v>
      </c>
      <c r="I297" t="n">
        <v>0</v>
      </c>
      <c r="J297" t="n">
        <v>0</v>
      </c>
      <c r="K297" t="n">
        <v>0</v>
      </c>
      <c r="L297" t="n">
        <v>0</v>
      </c>
      <c r="M297" t="n">
        <v>0</v>
      </c>
      <c r="N297" t="n">
        <v>0</v>
      </c>
    </row>
    <row r="298">
      <c r="A298" t="inlineStr">
        <is>
          <t>Stock</t>
        </is>
      </c>
      <c r="B298" t="inlineStr">
        <is>
          <t>Total, 3,000. 2,000 in default of the reeve and hayward of Seale.</t>
        </is>
      </c>
      <c r="C298" t="n">
        <v>0</v>
      </c>
      <c r="D298" t="n">
        <v>0</v>
      </c>
      <c r="E298" t="n">
        <v>0</v>
      </c>
      <c r="F298" t="n">
        <v>0</v>
      </c>
      <c r="H298" t="n">
        <v>0</v>
      </c>
      <c r="I298" t="n">
        <v>0</v>
      </c>
      <c r="J298" t="n">
        <v>0</v>
      </c>
      <c r="K298" t="n">
        <v>0</v>
      </c>
      <c r="L298" t="n">
        <v>0</v>
      </c>
      <c r="M298" t="n">
        <v>0</v>
      </c>
      <c r="N298" t="n">
        <v>0</v>
      </c>
    </row>
    <row r="299">
      <c r="A299" t="inlineStr">
        <is>
          <t>Stock</t>
        </is>
      </c>
      <c r="B299" t="inlineStr">
        <is>
          <t>1,000 sold within.</t>
        </is>
      </c>
      <c r="C299" t="n">
        <v>0</v>
      </c>
      <c r="D299" t="n">
        <v>0</v>
      </c>
      <c r="E299" t="n">
        <v>0</v>
      </c>
      <c r="F299" t="n">
        <v>0</v>
      </c>
      <c r="H299" t="n">
        <v>0</v>
      </c>
      <c r="I299" t="n">
        <v>0</v>
      </c>
      <c r="J299" t="n">
        <v>0</v>
      </c>
      <c r="K299" t="n">
        <v>0</v>
      </c>
      <c r="L299" t="n">
        <v>0</v>
      </c>
      <c r="M299" t="n">
        <v>0</v>
      </c>
      <c r="N299" t="n">
        <v>0</v>
      </c>
    </row>
    <row r="300">
      <c r="A300" t="inlineStr">
        <is>
          <t>Stock</t>
        </is>
      </c>
      <c r="B300" t="inlineStr">
        <is>
          <t>Total as before.</t>
        </is>
      </c>
      <c r="C300" t="n">
        <v>0</v>
      </c>
      <c r="D300" t="n">
        <v>0</v>
      </c>
      <c r="E300" t="n">
        <v>0</v>
      </c>
      <c r="F300" t="n">
        <v>0</v>
      </c>
      <c r="H300" t="n">
        <v>0</v>
      </c>
      <c r="I300" t="n">
        <v>0</v>
      </c>
      <c r="J300" t="n">
        <v>0</v>
      </c>
      <c r="K300" t="n">
        <v>0</v>
      </c>
      <c r="L300" t="n">
        <v>0</v>
      </c>
      <c r="M300" t="n">
        <v>0</v>
      </c>
      <c r="N300" t="n">
        <v>0</v>
      </c>
    </row>
    <row r="301">
      <c r="A301" t="inlineStr">
        <is>
          <t>Stock</t>
        </is>
      </c>
      <c r="B301" t="inlineStr">
        <is>
          <t>It balances.</t>
        </is>
      </c>
      <c r="C301" t="n">
        <v>0</v>
      </c>
      <c r="D301" t="n">
        <v>0</v>
      </c>
      <c r="E301" t="n">
        <v>0</v>
      </c>
      <c r="F301" t="n">
        <v>0</v>
      </c>
      <c r="H301" t="n">
        <v>0</v>
      </c>
      <c r="I301" t="n">
        <v>0</v>
      </c>
      <c r="J301" t="n">
        <v>0</v>
      </c>
      <c r="K301" t="n">
        <v>0</v>
      </c>
      <c r="L301" t="n">
        <v>0</v>
      </c>
      <c r="M301" t="n">
        <v>0</v>
      </c>
      <c r="N301" t="n">
        <v>0</v>
      </c>
    </row>
    <row r="302">
      <c r="A302" t="inlineStr">
        <is>
          <t>Stock</t>
        </is>
      </c>
      <c r="B302" t="inlineStr">
        <is>
          <t>Bows: 1 bow with 1 bow-string from the rent of John Geffard this year.</t>
        </is>
      </c>
      <c r="C302" t="n">
        <v>0</v>
      </c>
      <c r="D302" t="n">
        <v>0</v>
      </c>
      <c r="E302" t="n">
        <v>0</v>
      </c>
      <c r="F302" t="n">
        <v>0</v>
      </c>
      <c r="H302" t="n">
        <v>0</v>
      </c>
      <c r="I302" t="n">
        <v>0</v>
      </c>
      <c r="J302" t="n">
        <v>0</v>
      </c>
      <c r="K302" t="n">
        <v>0</v>
      </c>
      <c r="L302" t="n">
        <v>0</v>
      </c>
      <c r="M302" t="n">
        <v>0</v>
      </c>
      <c r="N302" t="n">
        <v>0</v>
      </c>
    </row>
    <row r="303">
      <c r="A303" t="inlineStr">
        <is>
          <t>Stock</t>
        </is>
      </c>
      <c r="B303" t="inlineStr">
        <is>
          <t>Total, 1 bow with 1 bow-string. 1 bow with 1 bow-string remains in the hands of the said John..</t>
        </is>
      </c>
      <c r="C303" t="n">
        <v>0</v>
      </c>
      <c r="D303" t="n">
        <v>0</v>
      </c>
      <c r="E303" t="n">
        <v>0</v>
      </c>
      <c r="F303" t="n">
        <v>0</v>
      </c>
      <c r="H303" t="n">
        <v>0</v>
      </c>
      <c r="I303" t="n">
        <v>0</v>
      </c>
      <c r="J303" t="n">
        <v>0</v>
      </c>
      <c r="K303" t="n">
        <v>0</v>
      </c>
      <c r="L303" t="n">
        <v>0</v>
      </c>
      <c r="M303" t="n">
        <v>0</v>
      </c>
      <c r="N303" t="n">
        <v>0</v>
      </c>
    </row>
    <row r="304">
      <c r="A304" t="inlineStr">
        <is>
          <t>Stock</t>
        </is>
      </c>
      <c r="B304" t="inlineStr">
        <is>
          <t>Large arrows: 6 new barbed arrows with peacocks' feathers for hunting from the rent of the said John.</t>
        </is>
      </c>
      <c r="C304" t="n">
        <v>0</v>
      </c>
      <c r="D304" t="n">
        <v>0</v>
      </c>
      <c r="E304" t="n">
        <v>0</v>
      </c>
      <c r="F304" t="n">
        <v>0</v>
      </c>
      <c r="H304" t="n">
        <v>0</v>
      </c>
      <c r="I304" t="n">
        <v>0</v>
      </c>
      <c r="J304" t="n">
        <v>0</v>
      </c>
      <c r="K304" t="n">
        <v>0</v>
      </c>
      <c r="L304" t="n">
        <v>0</v>
      </c>
      <c r="M304" t="n">
        <v>0</v>
      </c>
      <c r="N304" t="n">
        <v>0</v>
      </c>
    </row>
    <row r="305">
      <c r="A305" t="inlineStr">
        <is>
          <t>Stock</t>
        </is>
      </c>
      <c r="B305" t="inlineStr">
        <is>
          <t>Total, 6 arrows. 6 barbed arrows remain in the hands of the said John..</t>
        </is>
      </c>
      <c r="C305" t="n">
        <v>0</v>
      </c>
      <c r="D305" t="n">
        <v>0</v>
      </c>
      <c r="E305" t="n">
        <v>0</v>
      </c>
      <c r="F305" t="n">
        <v>0</v>
      </c>
      <c r="H305" t="n">
        <v>0</v>
      </c>
      <c r="I305" t="n">
        <v>0</v>
      </c>
      <c r="J305" t="n">
        <v>0</v>
      </c>
      <c r="K305" t="n">
        <v>0</v>
      </c>
      <c r="L305" t="n">
        <v>0</v>
      </c>
      <c r="M305" t="n">
        <v>0</v>
      </c>
      <c r="N305" t="n">
        <v>0</v>
      </c>
    </row>
    <row r="306">
      <c r="A306" t="inlineStr">
        <is>
          <t>Stock</t>
        </is>
      </c>
      <c r="B306" t="inlineStr">
        <is>
          <t>Fallow deer: 1 deer (dam') from the rent of the said John Giffard' for the year.</t>
        </is>
      </c>
      <c r="C306" t="n">
        <v>0</v>
      </c>
      <c r="D306" t="n">
        <v>0</v>
      </c>
      <c r="E306" t="n">
        <v>0</v>
      </c>
      <c r="F306" t="n">
        <v>0</v>
      </c>
      <c r="H306" t="n">
        <v>0</v>
      </c>
      <c r="I306" t="n">
        <v>0</v>
      </c>
      <c r="J306" t="n">
        <v>0</v>
      </c>
      <c r="K306" t="n">
        <v>0</v>
      </c>
      <c r="L306" t="n">
        <v>0</v>
      </c>
      <c r="M306" t="n">
        <v>0</v>
      </c>
      <c r="N30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And he owes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remain in the hands of William Goos, farmer, worth £2, to be handed back at the end of his farm or the value thereof at the lord's will.</t>
        </is>
      </c>
      <c r="C4" t="n">
        <v>0</v>
      </c>
      <c r="D4" t="n">
        <v>0</v>
      </c>
    </row>
    <row r="5">
      <c r="A5" t="inlineStr">
        <is>
          <t>Stock</t>
        </is>
      </c>
      <c r="B5" t="inlineStr">
        <is>
          <t>Oxen: 14 remain.</t>
        </is>
      </c>
      <c r="C5" t="n">
        <v>0</v>
      </c>
      <c r="D5" t="n">
        <v>0</v>
      </c>
      <c r="E5" t="inlineStr">
        <is>
          <t>Oxen</t>
        </is>
      </c>
      <c r="F5" t="inlineStr">
        <is>
          <t>14</t>
        </is>
      </c>
    </row>
    <row r="6">
      <c r="A6" t="inlineStr">
        <is>
          <t>Stock</t>
        </is>
      </c>
      <c r="B6" t="inlineStr">
        <is>
          <t>Total, 14. 14 remain in the hands of the said William, worth £7, to be handed back at the end of his farm or the value thereof at the lord's will.</t>
        </is>
      </c>
      <c r="C6" t="n">
        <v>0</v>
      </c>
      <c r="D6" t="n">
        <v>0</v>
      </c>
      <c r="E6" t="inlineStr">
        <is>
          <t>Oxen</t>
        </is>
      </c>
    </row>
    <row r="7">
      <c r="A7" t="inlineStr">
        <is>
          <t>Stock</t>
        </is>
      </c>
      <c r="B7" t="inlineStr">
        <is>
          <t>Cows: 1 from the heriot of William Wyne.</t>
        </is>
      </c>
      <c r="C7" t="n">
        <v>0</v>
      </c>
      <c r="D7" t="n">
        <v>0</v>
      </c>
      <c r="E7" t="inlineStr">
        <is>
          <t>Cows</t>
        </is>
      </c>
    </row>
    <row r="8">
      <c r="A8" t="inlineStr">
        <is>
          <t>Stock</t>
        </is>
      </c>
      <c r="B8" t="inlineStr">
        <is>
          <t>1 from the heriot of John Smyth.</t>
        </is>
      </c>
      <c r="C8" t="n">
        <v>0</v>
      </c>
      <c r="D8" t="n">
        <v>0</v>
      </c>
      <c r="E8" t="inlineStr">
        <is>
          <t>Cows</t>
        </is>
      </c>
    </row>
    <row r="9">
      <c r="A9" t="inlineStr">
        <is>
          <t>Stock</t>
        </is>
      </c>
      <c r="B9" t="inlineStr">
        <is>
          <t>1 from the heriot of William Leyer'.</t>
        </is>
      </c>
      <c r="C9" t="n">
        <v>0</v>
      </c>
      <c r="D9" t="n">
        <v>0</v>
      </c>
      <c r="E9" t="inlineStr">
        <is>
          <t>Cows</t>
        </is>
      </c>
    </row>
    <row r="10">
      <c r="A10" t="inlineStr">
        <is>
          <t>Stock</t>
        </is>
      </c>
      <c r="B10" t="inlineStr">
        <is>
          <t>Total, 3. Sold within.</t>
        </is>
      </c>
      <c r="C10" t="n">
        <v>0</v>
      </c>
      <c r="D10" t="n">
        <v>0</v>
      </c>
      <c r="E10" t="inlineStr">
        <is>
          <t>Cows</t>
        </is>
      </c>
    </row>
    <row r="11">
      <c r="A11" t="inlineStr">
        <is>
          <t>Stock</t>
        </is>
      </c>
      <c r="B11" t="inlineStr">
        <is>
          <t>none remain.</t>
        </is>
      </c>
      <c r="C11" t="n">
        <v>0</v>
      </c>
      <c r="D11" t="n">
        <v>0</v>
      </c>
      <c r="E11" t="inlineStr">
        <is>
          <t>Cows</t>
        </is>
      </c>
    </row>
    <row r="12">
      <c r="A12" t="inlineStr">
        <is>
          <t>Stock</t>
        </is>
      </c>
      <c r="B12" t="inlineStr">
        <is>
          <t>Wethers at Farnham: 200 remain.</t>
        </is>
      </c>
      <c r="C12" t="n">
        <v>0</v>
      </c>
      <c r="D12" t="n">
        <v>0</v>
      </c>
      <c r="E12" t="inlineStr">
        <is>
          <t>Cows</t>
        </is>
      </c>
      <c r="F12" t="inlineStr">
        <is>
          <t>200</t>
        </is>
      </c>
    </row>
    <row r="13">
      <c r="A13" t="inlineStr">
        <is>
          <t>Stock</t>
        </is>
      </c>
      <c r="B13" t="inlineStr">
        <is>
          <t>4 from strays this year.</t>
        </is>
      </c>
      <c r="C13" t="n">
        <v>0</v>
      </c>
      <c r="D13" t="n">
        <v>0</v>
      </c>
      <c r="E13" t="inlineStr">
        <is>
          <t>Cows</t>
        </is>
      </c>
    </row>
    <row r="14">
      <c r="A14" t="inlineStr">
        <is>
          <t>Stock</t>
        </is>
      </c>
      <c r="B14" t="inlineStr">
        <is>
          <t>Total, 204. 1 in murrain.</t>
        </is>
      </c>
      <c r="C14" t="n">
        <v>0</v>
      </c>
      <c r="D14" t="n">
        <v>0</v>
      </c>
      <c r="E14" t="inlineStr">
        <is>
          <t>Cows</t>
        </is>
      </c>
      <c r="H14" t="inlineStr">
        <is>
          <t>1</t>
        </is>
      </c>
    </row>
    <row r="15">
      <c r="A15" t="inlineStr">
        <is>
          <t>Stock</t>
        </is>
      </c>
      <c r="B15" t="inlineStr">
        <is>
          <t>3 sold within.</t>
        </is>
      </c>
      <c r="C15" t="n">
        <v>0</v>
      </c>
      <c r="D15" t="n">
        <v>0</v>
      </c>
      <c r="E15" t="inlineStr">
        <is>
          <t>Cows</t>
        </is>
      </c>
      <c r="I15" t="inlineStr">
        <is>
          <t>3</t>
        </is>
      </c>
    </row>
    <row r="16">
      <c r="A16" t="inlineStr">
        <is>
          <t>Stock</t>
        </is>
      </c>
      <c r="B16" t="inlineStr">
        <is>
          <t>200 remain in the hands of the said William, farmer there, worth £15, to be handed back at the end of his farm or the value thereof at the lord's will.</t>
        </is>
      </c>
      <c r="C16" t="n">
        <v>0</v>
      </c>
      <c r="D16" t="n">
        <v>0</v>
      </c>
      <c r="E16" t="inlineStr">
        <is>
          <t>Cows</t>
        </is>
      </c>
    </row>
    <row r="17">
      <c r="A17" t="inlineStr">
        <is>
          <t>Stock</t>
        </is>
      </c>
      <c r="B17" t="inlineStr">
        <is>
          <t>Wethers at Seale: 200 remain.</t>
        </is>
      </c>
      <c r="C17" t="n">
        <v>0</v>
      </c>
      <c r="D17" t="n">
        <v>0</v>
      </c>
      <c r="E17" t="inlineStr">
        <is>
          <t>Cows</t>
        </is>
      </c>
    </row>
    <row r="18">
      <c r="A18" t="inlineStr">
        <is>
          <t>Stock</t>
        </is>
      </c>
      <c r="B18" t="inlineStr">
        <is>
          <t>Total, 200. 200 remain in the hands of John Shire, farmer there, worth £15, to be handed back at the end of his farm or the value thereof at the lord's will.</t>
        </is>
      </c>
      <c r="C18" t="n">
        <v>0</v>
      </c>
      <c r="D18" t="n">
        <v>0</v>
      </c>
      <c r="E18" t="inlineStr">
        <is>
          <t>Cows</t>
        </is>
      </c>
    </row>
    <row r="19">
      <c r="A19" t="inlineStr">
        <is>
          <t>Stock</t>
        </is>
      </c>
      <c r="B19" t="inlineStr">
        <is>
          <t>Swans: 4 remain.</t>
        </is>
      </c>
      <c r="C19" t="n">
        <v>0</v>
      </c>
      <c r="D19" t="n">
        <v>0</v>
      </c>
      <c r="E19" t="inlineStr">
        <is>
          <t>Swans</t>
        </is>
      </c>
      <c r="F19" t="inlineStr">
        <is>
          <t>4</t>
        </is>
      </c>
    </row>
    <row r="20">
      <c r="A20" t="inlineStr">
        <is>
          <t>Stock</t>
        </is>
      </c>
      <c r="B20" t="inlineStr">
        <is>
          <t>Total, 4. 4 remain.</t>
        </is>
      </c>
      <c r="C20" t="n">
        <v>0</v>
      </c>
      <c r="D20" t="n">
        <v>0</v>
      </c>
      <c r="E20" t="inlineStr">
        <is>
          <t>Swans</t>
        </is>
      </c>
    </row>
    <row r="21">
      <c r="A21" t="inlineStr">
        <is>
          <t>Stock</t>
        </is>
      </c>
      <c r="B21" t="inlineStr">
        <is>
          <t>Hens: 380 from the park-keeper and 3 woodwards according to custom.</t>
        </is>
      </c>
      <c r="C21" t="n">
        <v>0</v>
      </c>
      <c r="D21" t="n">
        <v>0</v>
      </c>
      <c r="E21" t="inlineStr">
        <is>
          <t>Poultry stock</t>
        </is>
      </c>
    </row>
    <row r="22">
      <c r="A22" t="inlineStr">
        <is>
          <t>Stock</t>
        </is>
      </c>
      <c r="B22" t="inlineStr">
        <is>
          <t>Total, 380. 200 in quittance of the reeve, beadle and hayward of Seale on account of the lands leased and labour services commuted.</t>
        </is>
      </c>
      <c r="C22" t="n">
        <v>0</v>
      </c>
      <c r="D22" t="n">
        <v>0</v>
      </c>
      <c r="E22" t="inlineStr">
        <is>
          <t>Poultry stock</t>
        </is>
      </c>
    </row>
    <row r="23">
      <c r="A23" t="inlineStr">
        <is>
          <t>Stock</t>
        </is>
      </c>
      <c r="B23" t="inlineStr">
        <is>
          <t>80 in default of William Parker because the office is in the lord's hands and was accustomed to be in free tenure.</t>
        </is>
      </c>
      <c r="C23" t="n">
        <v>0</v>
      </c>
      <c r="D23" t="n">
        <v>0</v>
      </c>
      <c r="E23" t="inlineStr">
        <is>
          <t>Poultry stock</t>
        </is>
      </c>
    </row>
    <row r="24">
      <c r="A24" t="inlineStr">
        <is>
          <t>Stock</t>
        </is>
      </c>
      <c r="B24" t="inlineStr">
        <is>
          <t>100 sold within.</t>
        </is>
      </c>
      <c r="C24" t="n">
        <v>0</v>
      </c>
      <c r="D24" t="n">
        <v>0</v>
      </c>
      <c r="E24" t="inlineStr">
        <is>
          <t>Poultry stock</t>
        </is>
      </c>
      <c r="I24" t="inlineStr">
        <is>
          <t>100</t>
        </is>
      </c>
    </row>
    <row r="25">
      <c r="A25" t="inlineStr">
        <is>
          <t>Stock</t>
        </is>
      </c>
      <c r="B25" t="inlineStr">
        <is>
          <t>Total as before.</t>
        </is>
      </c>
      <c r="C25" t="n">
        <v>0</v>
      </c>
      <c r="D25" t="n">
        <v>0</v>
      </c>
      <c r="E25" t="inlineStr">
        <is>
          <t>Poultry stock</t>
        </is>
      </c>
    </row>
    <row r="26">
      <c r="A26" t="inlineStr">
        <is>
          <t>Stock</t>
        </is>
      </c>
      <c r="B26" t="inlineStr">
        <is>
          <t>It balances.</t>
        </is>
      </c>
      <c r="C26" t="n">
        <v>0</v>
      </c>
      <c r="D26" t="n">
        <v>0</v>
      </c>
      <c r="E26" t="inlineStr">
        <is>
          <t>Poultry stock</t>
        </is>
      </c>
    </row>
    <row r="27">
      <c r="A27" t="inlineStr">
        <is>
          <t>Stock</t>
        </is>
      </c>
      <c r="B27" t="inlineStr">
        <is>
          <t>Eggs: 3,000 hens' eggs from the 3 woodwards according to custom.</t>
        </is>
      </c>
      <c r="C27" t="n">
        <v>0</v>
      </c>
      <c r="D27" t="n">
        <v>0</v>
      </c>
      <c r="E27" t="inlineStr">
        <is>
          <t>Poultry production</t>
        </is>
      </c>
    </row>
    <row r="28">
      <c r="A28" t="inlineStr">
        <is>
          <t>Stock</t>
        </is>
      </c>
      <c r="B28" t="inlineStr">
        <is>
          <t>Total, 3,000. 2,000 in default of the reeve and hayward of Seale.</t>
        </is>
      </c>
      <c r="C28" t="n">
        <v>0</v>
      </c>
      <c r="D28" t="n">
        <v>0</v>
      </c>
      <c r="E28" t="inlineStr">
        <is>
          <t>Poultry production</t>
        </is>
      </c>
    </row>
    <row r="29">
      <c r="A29" t="inlineStr">
        <is>
          <t>Stock</t>
        </is>
      </c>
      <c r="B29" t="inlineStr">
        <is>
          <t>1,000 sold within.</t>
        </is>
      </c>
      <c r="C29" t="n">
        <v>0</v>
      </c>
      <c r="D29" t="n">
        <v>0</v>
      </c>
      <c r="E29" t="inlineStr">
        <is>
          <t>Poultry production</t>
        </is>
      </c>
      <c r="I29" t="inlineStr">
        <is>
          <t>000</t>
        </is>
      </c>
    </row>
    <row r="30">
      <c r="A30" t="inlineStr">
        <is>
          <t>Stock</t>
        </is>
      </c>
      <c r="B30" t="inlineStr">
        <is>
          <t>Total as before.</t>
        </is>
      </c>
      <c r="C30" t="n">
        <v>0</v>
      </c>
      <c r="D30" t="n">
        <v>0</v>
      </c>
      <c r="E30" t="inlineStr">
        <is>
          <t>Poultry production</t>
        </is>
      </c>
    </row>
    <row r="31">
      <c r="A31" t="inlineStr">
        <is>
          <t>Stock</t>
        </is>
      </c>
      <c r="B31" t="inlineStr">
        <is>
          <t>It balances.</t>
        </is>
      </c>
      <c r="C31" t="n">
        <v>0</v>
      </c>
      <c r="D31" t="n">
        <v>0</v>
      </c>
      <c r="E31" t="inlineStr">
        <is>
          <t>Poultry production</t>
        </is>
      </c>
    </row>
    <row r="32">
      <c r="A32" t="inlineStr">
        <is>
          <t>Stock</t>
        </is>
      </c>
      <c r="B32" t="inlineStr">
        <is>
          <t>Bows: 1 bow with 1 bow-string from the rent of John Geffard this year.</t>
        </is>
      </c>
      <c r="C32" t="n">
        <v>0</v>
      </c>
      <c r="D32" t="n">
        <v>0</v>
      </c>
      <c r="E32" t="inlineStr">
        <is>
          <t>Poultry production</t>
        </is>
      </c>
    </row>
    <row r="33">
      <c r="A33" t="inlineStr">
        <is>
          <t>Stock</t>
        </is>
      </c>
      <c r="B33" t="inlineStr">
        <is>
          <t>Total, 1 bow with 1 bow-string. 1 bow with 1 bow-string remains in the hands of the said John..</t>
        </is>
      </c>
      <c r="C33" t="n">
        <v>0</v>
      </c>
      <c r="D33" t="n">
        <v>0</v>
      </c>
      <c r="E33" t="inlineStr">
        <is>
          <t>Poultry production</t>
        </is>
      </c>
    </row>
    <row r="34">
      <c r="A34" t="inlineStr">
        <is>
          <t>Stock</t>
        </is>
      </c>
      <c r="B34" t="inlineStr">
        <is>
          <t>Large arrows: 6 new barbed arrows with peacocks' feathers for hunting from the rent of the said John.</t>
        </is>
      </c>
      <c r="C34" t="n">
        <v>0</v>
      </c>
      <c r="D34" t="n">
        <v>0</v>
      </c>
      <c r="E34" t="inlineStr">
        <is>
          <t>Poultry production</t>
        </is>
      </c>
    </row>
    <row r="35">
      <c r="A35" t="inlineStr">
        <is>
          <t>Stock</t>
        </is>
      </c>
      <c r="B35" t="inlineStr">
        <is>
          <t>Total, 6 arrows. 6 barbed arrows remain in the hands of the said John..</t>
        </is>
      </c>
      <c r="C35" t="n">
        <v>0</v>
      </c>
      <c r="D35" t="n">
        <v>0</v>
      </c>
      <c r="E35" t="inlineStr">
        <is>
          <t>Poultry production</t>
        </is>
      </c>
      <c r="F35" t="inlineStr">
        <is>
          <t>6</t>
        </is>
      </c>
    </row>
    <row r="36">
      <c r="A36" t="inlineStr">
        <is>
          <t>Stock</t>
        </is>
      </c>
      <c r="B36" t="inlineStr">
        <is>
          <t>Fallow deer: 1 deer (dam') from the rent of the said John Giffard' for the year.</t>
        </is>
      </c>
      <c r="C36" t="n">
        <v>0</v>
      </c>
      <c r="D36" t="n">
        <v>0</v>
      </c>
      <c r="E36" t="inlineStr">
        <is>
          <t>Poultry production</t>
        </is>
      </c>
    </row>
    <row r="37">
      <c r="A37" t="inlineStr">
        <is>
          <t>Stock</t>
        </is>
      </c>
      <c r="B37" t="inlineStr">
        <is>
          <t>Total</t>
        </is>
      </c>
      <c r="C37" t="n">
        <v>0</v>
      </c>
      <c r="D37" t="n">
        <v>0</v>
      </c>
      <c r="E37" t="inlineStr">
        <is>
          <t>Poultry production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2026-02-04T20:29:34Z</dcterms:modified>
  <cp:lastModifiedBy>Kowalski, Kuba</cp:lastModifiedBy>
</cp:coreProperties>
</file>
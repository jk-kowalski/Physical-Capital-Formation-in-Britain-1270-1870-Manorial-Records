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WARGRAVE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0.54</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2.03</v>
      </c>
    </row>
    <row r="20">
      <c r="A20" s="15" t="inlineStr">
        <is>
          <t>Pleas &amp; perquisites total</t>
        </is>
      </c>
      <c r="B20" s="76" t="n">
        <v>0.92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'Receipts'!F34</f>
        <v/>
      </c>
      <c r="C25" s="10">
        <f>B23-B25</f>
        <v/>
      </c>
    </row>
    <row r="26">
      <c r="A26" s="83" t="inlineStr">
        <is>
          <t>Total recorded in the accounts incl. arrears</t>
        </is>
      </c>
      <c r="B26">
        <f>'Receipts'!F35</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10.17</v>
      </c>
    </row>
    <row r="35">
      <c r="A35" s="15" t="inlineStr">
        <is>
          <t>Sheepcote total</t>
        </is>
      </c>
    </row>
    <row r="36">
      <c r="A36" s="15" t="inlineStr">
        <is>
          <t>Cost of buildings total</t>
        </is>
      </c>
      <c r="B36" s="84" t="n">
        <v>5.56</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1.64</v>
      </c>
    </row>
    <row r="43">
      <c r="A43" s="85" t="inlineStr">
        <is>
          <t>Annual fees</t>
        </is>
      </c>
      <c r="B43" s="86" t="n"/>
      <c r="C43" s="87" t="n"/>
      <c r="D43" s="88" t="n"/>
    </row>
    <row r="44">
      <c r="A44" s="82" t="inlineStr">
        <is>
          <t>Total of all expenses per account</t>
        </is>
      </c>
      <c r="B44" s="84">
        <f>'Expenses'!F47</f>
        <v/>
      </c>
    </row>
    <row r="45">
      <c r="A45" s="82" t="inlineStr">
        <is>
          <t>Total of all expenses (calculated here)</t>
        </is>
      </c>
      <c r="B45" s="84">
        <f>'Expenses'!F48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49.69</v>
      </c>
    </row>
    <row r="51">
      <c r="A51" s="15" t="n"/>
    </row>
    <row r="52">
      <c r="A52" s="18" t="inlineStr">
        <is>
          <t>Allowances</t>
        </is>
      </c>
      <c r="B52" s="84" t="n"/>
    </row>
    <row r="53">
      <c r="A53" s="18" t="inlineStr">
        <is>
          <t>Cash deliveries</t>
        </is>
      </c>
      <c r="B53" s="84" t="n">
        <v>10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30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7</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231</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4</v>
      </c>
      <c r="C109" s="76">
        <f>'Stock'!L27</f>
        <v/>
      </c>
      <c r="D109" s="76">
        <f>C109-B109</f>
        <v/>
      </c>
      <c r="F109" s="84">
        <f>'Stock'!L27*'Stock'!O27</f>
        <v/>
      </c>
      <c r="G109" s="84">
        <f>D109*'Stock'!O27</f>
        <v/>
      </c>
    </row>
    <row r="110">
      <c r="A110" s="15" t="inlineStr">
        <is>
          <t>Piglets</t>
        </is>
      </c>
      <c r="B110" s="76" t="n">
        <v>9</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6</v>
      </c>
      <c r="C119" t="n">
        <v>0</v>
      </c>
      <c r="D119" t="n">
        <v>6</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WARGRAVE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7</v>
      </c>
      <c r="C3" s="128" t="n">
        <v>10</v>
      </c>
      <c r="D3" s="128" t="n">
        <v>0</v>
      </c>
      <c r="E3" s="128" t="n"/>
      <c r="F3" s="128" t="n">
        <v>7.5</v>
      </c>
      <c r="G3" s="128" t="n"/>
      <c r="H3" s="128" t="inlineStr">
        <is>
          <t>farmer there, answers for £7 10 shilling of arrears from his last account of the John Lylye, preceding year.</t>
        </is>
      </c>
      <c r="I3" s="128" t="n"/>
    </row>
    <row r="4">
      <c r="A4" s="137" t="inlineStr">
        <is>
          <t>Arrears</t>
        </is>
      </c>
      <c r="B4" s="128" t="n">
        <v>7</v>
      </c>
      <c r="C4" s="128" t="n">
        <v>10</v>
      </c>
      <c r="D4" s="128" t="n">
        <v>0</v>
      </c>
      <c r="E4" s="128" t="n"/>
      <c r="F4" s="128" t="n">
        <v>7.5</v>
      </c>
      <c r="G4" s="128" t="n"/>
      <c r="H4" s="128" t="inlineStr">
        <is>
          <t>Total, £7 10 shilling.</t>
        </is>
      </c>
      <c r="I4" s="128" t="n"/>
    </row>
    <row r="5">
      <c r="A5" s="138" t="inlineStr">
        <is>
          <t>Arrears total</t>
        </is>
      </c>
      <c r="B5" s="139" t="n"/>
      <c r="C5" s="139" t="n"/>
      <c r="D5" s="139" t="n"/>
      <c r="E5" s="139" t="n"/>
      <c r="F5" s="139" t="n">
        <v>7.5</v>
      </c>
      <c r="G5" s="139" t="n">
        <v>0</v>
      </c>
      <c r="H5" s="139" t="inlineStr">
        <is>
          <t>Total</t>
        </is>
      </c>
      <c r="I5" s="139" t="n"/>
    </row>
    <row r="6">
      <c r="A6" s="137" t="n"/>
      <c r="B6" s="128" t="n"/>
      <c r="C6" s="128" t="n"/>
      <c r="D6" s="128" t="n"/>
      <c r="E6" s="128" t="n"/>
      <c r="F6" s="128" t="n"/>
      <c r="G6" s="128" t="n"/>
      <c r="H6" s="128" t="n"/>
      <c r="I6" s="128" t="n"/>
    </row>
    <row r="7">
      <c r="A7" s="136" t="inlineStr">
        <is>
          <t>Sale of stock</t>
        </is>
      </c>
      <c r="B7" s="128" t="n">
        <v>0</v>
      </c>
      <c r="C7" s="128" t="n">
        <v>1</v>
      </c>
      <c r="D7" s="128" t="n">
        <v>0</v>
      </c>
      <c r="E7" s="128" t="n"/>
      <c r="F7" s="128" t="n">
        <v>0.05</v>
      </c>
      <c r="G7" s="128" t="n"/>
      <c r="H7" s="128" t="inlineStr">
        <is>
          <t>And for 1 shilling from 1 mare from strays sold.</t>
        </is>
      </c>
      <c r="I7" s="128" t="n"/>
    </row>
    <row r="8">
      <c r="A8" s="137" t="inlineStr">
        <is>
          <t>Sale of stock</t>
        </is>
      </c>
      <c r="B8" s="128" t="n">
        <v>0</v>
      </c>
      <c r="C8" s="128" t="n">
        <v>0</v>
      </c>
      <c r="D8" s="128" t="n">
        <v>6</v>
      </c>
      <c r="E8" s="128" t="n"/>
      <c r="F8" s="128" t="n">
        <v>0.03</v>
      </c>
      <c r="G8" s="128" t="n"/>
      <c r="H8" s="128" t="inlineStr">
        <is>
          <t>6pence from 1 colt sold as made clear elsewhere.</t>
        </is>
      </c>
      <c r="I8" s="128" t="n"/>
    </row>
    <row r="9">
      <c r="A9" s="137" t="inlineStr">
        <is>
          <t>Sale of stock</t>
        </is>
      </c>
      <c r="B9" s="128" t="n">
        <v>0</v>
      </c>
      <c r="C9" s="128" t="n">
        <v>1</v>
      </c>
      <c r="D9" s="128" t="n">
        <v>6</v>
      </c>
      <c r="E9" s="128" t="n"/>
      <c r="F9" s="128" t="n">
        <v>0.08</v>
      </c>
      <c r="G9" s="128" t="n"/>
      <c r="H9" s="128" t="inlineStr">
        <is>
          <t>Total, 1 shilling 6pence.</t>
        </is>
      </c>
      <c r="I9" s="128" t="n"/>
    </row>
    <row r="10">
      <c r="A10" s="138" t="inlineStr">
        <is>
          <t>Sale of stock total</t>
        </is>
      </c>
      <c r="B10" s="139" t="n"/>
      <c r="C10" s="139" t="n"/>
      <c r="D10" s="139" t="n"/>
      <c r="E10" s="139" t="n"/>
      <c r="F10" s="139" t="n">
        <v>0.08</v>
      </c>
      <c r="G10" s="139" t="n">
        <v>0</v>
      </c>
      <c r="H10" s="139" t="inlineStr">
        <is>
          <t>Total</t>
        </is>
      </c>
      <c r="I10" s="139" t="n"/>
    </row>
    <row r="11">
      <c r="A11" s="137" t="n"/>
      <c r="B11" s="128" t="n"/>
      <c r="C11" s="128" t="n"/>
      <c r="D11" s="128" t="n"/>
      <c r="E11" s="128" t="n"/>
      <c r="F11" s="128" t="n"/>
      <c r="G11" s="128" t="n"/>
      <c r="H11" s="128" t="n"/>
      <c r="I11" s="128" t="n"/>
    </row>
    <row r="12">
      <c r="A12" s="136" t="inlineStr">
        <is>
          <t>Issues of the manor</t>
        </is>
      </c>
      <c r="B12" s="128" t="n">
        <v>0</v>
      </c>
      <c r="C12" s="128" t="n">
        <v>7</v>
      </c>
      <c r="D12" s="128" t="n">
        <v>4</v>
      </c>
      <c r="E12" s="128" t="n"/>
      <c r="F12" s="128" t="n">
        <v>0.37</v>
      </c>
      <c r="G12" s="128" t="n"/>
      <c r="H12" s="128" t="inlineStr">
        <is>
          <t>And for 7 shilling from the woolskins sold of 21 wethers in murrain as made clear elsewhere, at 4pence a skin.</t>
        </is>
      </c>
      <c r="I12" s="128" t="n"/>
    </row>
    <row r="13">
      <c r="A13" s="137" t="inlineStr">
        <is>
          <t>Issues of the manor</t>
        </is>
      </c>
      <c r="B13" s="128" t="n">
        <v>0</v>
      </c>
      <c r="C13" s="128" t="n">
        <v>0</v>
      </c>
      <c r="D13" s="128" t="n">
        <v>9</v>
      </c>
      <c r="E13" s="128" t="n"/>
      <c r="F13" s="128" t="n">
        <v>0.04</v>
      </c>
      <c r="G13" s="128" t="n"/>
      <c r="H13" s="128" t="inlineStr">
        <is>
          <t>9pence from the bare skins sold of 9 wethers in murrain as made clear elsewhere, at 1pence a skin.</t>
        </is>
      </c>
      <c r="I13" s="128" t="n"/>
    </row>
    <row r="14">
      <c r="A14" s="137" t="inlineStr">
        <is>
          <t>Issues of the manor</t>
        </is>
      </c>
      <c r="B14" s="128" t="n">
        <v>0</v>
      </c>
      <c r="C14" s="128" t="n">
        <v>2</v>
      </c>
      <c r="D14" s="128" t="n">
        <v>8</v>
      </c>
      <c r="E14" s="128" t="n"/>
      <c r="F14" s="128" t="n">
        <v>0.13</v>
      </c>
      <c r="G14" s="128" t="n"/>
      <c r="H14" s="128" t="inlineStr">
        <is>
          <t>2 shilling 8pence from 16 rabbits sold to the lord's household, at 2pence each.</t>
        </is>
      </c>
      <c r="I14" s="128" t="n"/>
    </row>
    <row r="15">
      <c r="A15" s="137" t="inlineStr">
        <is>
          <t>Issues of the manor</t>
        </is>
      </c>
      <c r="B15" s="128" t="n">
        <v>0</v>
      </c>
      <c r="C15" s="128" t="n">
        <v>10</v>
      </c>
      <c r="D15" s="128" t="n">
        <v>5</v>
      </c>
      <c r="E15" s="128" t="n"/>
      <c r="F15" s="128" t="n">
        <v>0.52</v>
      </c>
      <c r="G15" s="128" t="n"/>
      <c r="H15" s="128" t="inlineStr">
        <is>
          <t>Total, 10 shilling 5pence.</t>
        </is>
      </c>
      <c r="I15" s="128" t="n"/>
    </row>
    <row r="16">
      <c r="A16" s="138" t="inlineStr">
        <is>
          <t>Issues of the manor total</t>
        </is>
      </c>
      <c r="B16" s="139" t="n"/>
      <c r="C16" s="139" t="n"/>
      <c r="D16" s="139" t="n"/>
      <c r="E16" s="139" t="n"/>
      <c r="F16" s="139" t="n">
        <v>0.54</v>
      </c>
      <c r="G16" s="139" t="n">
        <v>0.02</v>
      </c>
      <c r="H16" s="139" t="inlineStr">
        <is>
          <t>Total</t>
        </is>
      </c>
      <c r="I16" s="139" t="n"/>
    </row>
    <row r="17">
      <c r="A17" s="137" t="n"/>
      <c r="B17" s="128" t="n"/>
      <c r="C17" s="128" t="n"/>
      <c r="D17" s="128" t="n"/>
      <c r="E17" s="128" t="n"/>
      <c r="F17" s="128" t="n"/>
      <c r="G17" s="128" t="n"/>
      <c r="H17" s="128" t="n"/>
      <c r="I17" s="128" t="n"/>
    </row>
    <row r="18">
      <c r="A18" s="136" t="inlineStr">
        <is>
          <t>Entry and marriage fines</t>
        </is>
      </c>
      <c r="B18" s="128" t="n">
        <v>1</v>
      </c>
      <c r="C18" s="128" t="n">
        <v>0</v>
      </c>
      <c r="D18" s="128" t="n">
        <v>0</v>
      </c>
      <c r="E18" s="128" t="n"/>
      <c r="F18" s="128" t="n">
        <v>1</v>
      </c>
      <c r="G18" s="128" t="n"/>
      <c r="H18" s="128" t="inlineStr">
        <is>
          <t>And for £1 from John Glasyere to have all the purprestures which John atte Bere recently held and for which Thomas, son and heir of the aforesaid John atte Bere, refused to fine in full court, on condition that after death noone will give an animal heriot.</t>
        </is>
      </c>
      <c r="I18" s="128" t="n"/>
    </row>
    <row r="19">
      <c r="A19" s="137" t="inlineStr">
        <is>
          <t>Entry and marriage fines</t>
        </is>
      </c>
      <c r="B19" s="128" t="n">
        <v>0</v>
      </c>
      <c r="C19" s="128" t="n">
        <v>5</v>
      </c>
      <c r="D19" s="128" t="n">
        <v>0</v>
      </c>
      <c r="E19" s="128" t="n"/>
      <c r="F19" s="128" t="n">
        <v>0.25</v>
      </c>
      <c r="G19" s="128" t="n"/>
      <c r="H19" s="128" t="inlineStr">
        <is>
          <t>5 shilling from William Noreys to have 1 toft2 and .5 virgate of purpresture in the tithing of Beerewe and 1 garden called Larges by surrender of John Hampton'.</t>
        </is>
      </c>
      <c r="I19" s="128" t="n"/>
    </row>
    <row r="20">
      <c r="A20" s="137" t="inlineStr">
        <is>
          <t>Entry and marriage fines</t>
        </is>
      </c>
      <c r="B20" s="128" t="n">
        <v>0</v>
      </c>
      <c r="C20" s="128" t="n">
        <v>5</v>
      </c>
      <c r="D20" s="128" t="n">
        <v>0</v>
      </c>
      <c r="E20" s="128" t="n"/>
      <c r="F20" s="128" t="n">
        <v>0.25</v>
      </c>
      <c r="G20" s="128" t="n"/>
      <c r="H20" s="128"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I20" s="128" t="n"/>
    </row>
    <row r="21">
      <c r="A21" s="137" t="inlineStr">
        <is>
          <t>Entry and marriage fines</t>
        </is>
      </c>
      <c r="B21" s="128" t="n">
        <v>0</v>
      </c>
      <c r="C21" s="128" t="n">
        <v>4</v>
      </c>
      <c r="D21" s="128" t="n">
        <v>0</v>
      </c>
      <c r="E21" s="128" t="n"/>
      <c r="F21" s="128" t="n">
        <v>0.2</v>
      </c>
      <c r="G21" s="128" t="n"/>
      <c r="H21" s="128" t="inlineStr">
        <is>
          <t>4 shilling from John, son of Richard atte Bere, to have 2 cottages with 2 curtilages in Wargrave by surrender of the aforesaid Richard his father and Juliana his wife, and she is examined in full court.</t>
        </is>
      </c>
      <c r="I21" s="128" t="n"/>
    </row>
    <row r="22">
      <c r="A22" s="137" t="inlineStr">
        <is>
          <t>Entry and marriage fines</t>
        </is>
      </c>
      <c r="B22" s="128" t="n">
        <v>0</v>
      </c>
      <c r="C22" s="128" t="n">
        <v>6</v>
      </c>
      <c r="D22" s="128" t="n">
        <v>8</v>
      </c>
      <c r="E22" s="128" t="n"/>
      <c r="F22" s="128" t="n">
        <v>0.33</v>
      </c>
      <c r="G22" s="128" t="n"/>
      <c r="H22" s="128" t="inlineStr">
        <is>
          <t>6 shilling 8pence from John Tony to have 2 cottages with 2 curtilages in the tithing of Wargrave by surrender of John Burdon' and Margery his wife, and she is examined about this in full court.</t>
        </is>
      </c>
      <c r="I22" s="128" t="n"/>
    </row>
    <row r="23">
      <c r="A23" s="137" t="inlineStr">
        <is>
          <t>Entry and marriage fines</t>
        </is>
      </c>
      <c r="B23" s="128" t="n">
        <v>2</v>
      </c>
      <c r="C23" s="128" t="n">
        <v>0</v>
      </c>
      <c r="D23" s="128" t="n">
        <v>8</v>
      </c>
      <c r="E23" s="128" t="n"/>
      <c r="F23" s="128" t="n">
        <v>2.03</v>
      </c>
      <c r="G23" s="128" t="n"/>
      <c r="H23" s="128" t="inlineStr">
        <is>
          <t>Total, £2 8pence.</t>
        </is>
      </c>
      <c r="I23" s="128" t="n"/>
    </row>
    <row r="24">
      <c r="A24" s="138" t="inlineStr">
        <is>
          <t>Entry and marriage fines total</t>
        </is>
      </c>
      <c r="B24" s="139" t="n"/>
      <c r="C24" s="139" t="n"/>
      <c r="D24" s="139" t="n"/>
      <c r="E24" s="139" t="n"/>
      <c r="F24" s="139" t="n">
        <v>2.03</v>
      </c>
      <c r="G24" s="139" t="n">
        <v>0</v>
      </c>
      <c r="H24" s="139" t="inlineStr">
        <is>
          <t>Total</t>
        </is>
      </c>
      <c r="I24" s="139" t="n"/>
    </row>
    <row r="25">
      <c r="A25" s="137" t="n"/>
      <c r="B25" s="128" t="n"/>
      <c r="C25" s="128" t="n"/>
      <c r="D25" s="128" t="n"/>
      <c r="E25" s="128" t="n"/>
      <c r="F25" s="128" t="n"/>
      <c r="G25" s="128" t="n"/>
      <c r="H25" s="128" t="n"/>
      <c r="I25" s="128" t="n"/>
    </row>
    <row r="26">
      <c r="A26" s="136" t="inlineStr">
        <is>
          <t>Perquisites of court</t>
        </is>
      </c>
      <c r="B26" s="128" t="n">
        <v>0</v>
      </c>
      <c r="C26" s="128" t="n">
        <v>2</v>
      </c>
      <c r="D26" s="128" t="n">
        <v>1</v>
      </c>
      <c r="E26" s="128" t="n"/>
      <c r="F26" s="128" t="n">
        <v>0.1</v>
      </c>
      <c r="G26" s="128" t="n"/>
      <c r="H26" s="128" t="inlineStr">
        <is>
          <t>And for 2 shilling 1pence from the perquisites of the tourn of Martinmas (11 November).</t>
        </is>
      </c>
      <c r="I26" s="128" t="n"/>
    </row>
    <row r="27">
      <c r="A27" s="137" t="inlineStr">
        <is>
          <t>Perquisites of court</t>
        </is>
      </c>
      <c r="B27" s="128" t="n">
        <v>0</v>
      </c>
      <c r="C27" s="128" t="n">
        <v>7</v>
      </c>
      <c r="D27" s="128" t="n">
        <v>0</v>
      </c>
      <c r="E27" s="128" t="n"/>
      <c r="F27" s="128" t="n">
        <v>0.35</v>
      </c>
      <c r="G27" s="128" t="n"/>
      <c r="H27" s="128" t="inlineStr">
        <is>
          <t>7 shilling from the perquisites of the courts held between the 2 tourns.</t>
        </is>
      </c>
      <c r="I27" s="128" t="n"/>
    </row>
    <row r="28">
      <c r="A28" s="137" t="inlineStr">
        <is>
          <t>Perquisites of court</t>
        </is>
      </c>
      <c r="B28" s="128" t="n">
        <v>0</v>
      </c>
      <c r="C28" s="128" t="n">
        <v>4</v>
      </c>
      <c r="D28" s="128" t="n">
        <v>8</v>
      </c>
      <c r="E28" s="128" t="n"/>
      <c r="F28" s="128" t="n">
        <v>0.23</v>
      </c>
      <c r="G28" s="128" t="n"/>
      <c r="H28" s="128" t="inlineStr">
        <is>
          <t>4 shilling 8pence from the perquisites of the tourn of Hockday (1 April).</t>
        </is>
      </c>
      <c r="I28" s="128" t="n"/>
    </row>
    <row r="29">
      <c r="A29" s="137" t="inlineStr">
        <is>
          <t>Perquisites of court</t>
        </is>
      </c>
      <c r="B29" s="128" t="n">
        <v>0</v>
      </c>
      <c r="C29" s="128" t="n">
        <v>4</v>
      </c>
      <c r="D29" s="128" t="n">
        <v>10</v>
      </c>
      <c r="E29" s="128" t="n"/>
      <c r="F29" s="128" t="n">
        <v>0.24</v>
      </c>
      <c r="G29" s="128" t="n"/>
      <c r="H29" s="128" t="inlineStr">
        <is>
          <t>4 shilling 10pence from the perquisites of the courts held after the said tourn of Hockday.</t>
        </is>
      </c>
      <c r="I29" s="128" t="n"/>
    </row>
    <row r="30">
      <c r="A30" s="137" t="inlineStr">
        <is>
          <t>Perquisites of court</t>
        </is>
      </c>
      <c r="B30" s="128" t="n">
        <v>0</v>
      </c>
      <c r="C30" s="128" t="n">
        <v>18</v>
      </c>
      <c r="D30" s="128" t="n">
        <v>7</v>
      </c>
      <c r="E30" s="128" t="n"/>
      <c r="F30" s="128" t="n">
        <v>0.93</v>
      </c>
      <c r="G30" s="128" t="n"/>
      <c r="H30" s="128" t="inlineStr">
        <is>
          <t>Total, 18 shilling 7pence.</t>
        </is>
      </c>
      <c r="I30" s="128" t="n"/>
    </row>
    <row r="31">
      <c r="A31" s="138" t="inlineStr">
        <is>
          <t>Perquisites of court total</t>
        </is>
      </c>
      <c r="B31" s="139" t="n"/>
      <c r="C31" s="139" t="n"/>
      <c r="D31" s="139" t="n"/>
      <c r="E31" s="139" t="n"/>
      <c r="F31" s="139" t="n">
        <v>0.92</v>
      </c>
      <c r="G31" s="139" t="n">
        <v>-0.01</v>
      </c>
      <c r="H31" s="139" t="inlineStr">
        <is>
          <t>Total</t>
        </is>
      </c>
      <c r="I31" s="139" t="n"/>
    </row>
    <row r="32">
      <c r="A32" s="137" t="n"/>
      <c r="B32" s="128" t="n"/>
      <c r="C32" s="128" t="n"/>
      <c r="D32" s="128" t="n"/>
      <c r="E32" s="128" t="n"/>
      <c r="F32" s="128" t="n"/>
      <c r="G32" s="128" t="n"/>
      <c r="H32" s="128" t="n"/>
      <c r="I32" s="128" t="n"/>
    </row>
    <row r="33">
      <c r="A33" s="137" t="inlineStr">
        <is>
          <t>Total of all receipts</t>
        </is>
      </c>
      <c r="B33" s="128" t="n">
        <v>74</v>
      </c>
      <c r="C33" s="128" t="n">
        <v>10</v>
      </c>
      <c r="D33" s="128" t="n">
        <v>7</v>
      </c>
      <c r="E33" s="128" t="n"/>
      <c r="F33" s="128" t="n">
        <v>74.53</v>
      </c>
      <c r="G33" s="128" t="n"/>
      <c r="H33" s="128" t="inlineStr">
        <is>
          <t>Total of all receipts, £74 10 shilling 7pence.</t>
        </is>
      </c>
      <c r="I33" s="128" t="n"/>
    </row>
    <row r="34">
      <c r="A34" s="38" t="inlineStr">
        <is>
          <t>Total of all receipts recorded in accounts (calculated here)</t>
        </is>
      </c>
      <c r="F34">
        <f>SUMIF(A1:A33,"* total",F1:F33)-SUMIF(A1:A33,"Arrears total",F1:F33)</f>
        <v/>
      </c>
    </row>
    <row r="35">
      <c r="A35" s="38" t="inlineStr">
        <is>
          <t>Total of all receipts (calculated here) incl arrears</t>
        </is>
      </c>
      <c r="F35">
        <f>F34+SUMIF(A1:A33,"Arrears total",F1:F33)</f>
        <v/>
      </c>
      <c r="G35">
        <f>F33-F35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WARGRAVE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Purchase of stock</t>
        </is>
      </c>
      <c r="B4" s="128" t="n">
        <v>10</v>
      </c>
      <c r="C4" s="128" t="n">
        <v>1</v>
      </c>
      <c r="D4" s="128" t="n">
        <v>2</v>
      </c>
      <c r="E4" s="128" t="n"/>
      <c r="F4" s="128" t="n">
        <v>10.06</v>
      </c>
      <c r="G4" s="128" t="n"/>
      <c r="H4" s="128" t="inlineStr">
        <is>
          <t>In 97 wethers bought before shearing as made clear elsewhere £10 1 shilling 2pence, at 2 shilling 44..</t>
        </is>
      </c>
    </row>
    <row r="5">
      <c r="A5" s="137" t="inlineStr">
        <is>
          <t>Purchase of stock</t>
        </is>
      </c>
      <c r="B5" s="128" t="n">
        <v>0</v>
      </c>
      <c r="C5" s="128" t="n">
        <v>2</v>
      </c>
      <c r="D5" s="128" t="n">
        <v>2</v>
      </c>
      <c r="E5" s="128" t="n"/>
      <c r="F5" s="128" t="n">
        <v>0.11</v>
      </c>
      <c r="G5" s="128" t="n"/>
      <c r="H5" s="128" t="inlineStr">
        <is>
          <t>each for 20, 2 shilling 2pence each for 40, and 1 shilling 10pence each for 37..</t>
        </is>
      </c>
    </row>
    <row r="6">
      <c r="A6" s="137" t="inlineStr">
        <is>
          <t>Purchase of stock</t>
        </is>
      </c>
      <c r="B6" s="128" t="n">
        <v>10</v>
      </c>
      <c r="C6" s="128" t="n">
        <v>1</v>
      </c>
      <c r="D6" s="128" t="n">
        <v>2</v>
      </c>
      <c r="E6" s="128" t="n"/>
      <c r="F6" s="128" t="n">
        <v>10.06</v>
      </c>
      <c r="G6" s="128" t="n"/>
      <c r="H6" s="128" t="inlineStr">
        <is>
          <t>Total, £10 1 shilling 2pence.</t>
        </is>
      </c>
    </row>
    <row r="7">
      <c r="A7" s="138" t="inlineStr">
        <is>
          <t>Purchase of stock total</t>
        </is>
      </c>
      <c r="B7" s="139" t="n"/>
      <c r="C7" s="139" t="n"/>
      <c r="D7" s="139" t="n"/>
      <c r="E7" s="139" t="n"/>
      <c r="F7" s="139" t="n">
        <v>10.17</v>
      </c>
      <c r="G7" s="139" t="n">
        <v>0.11</v>
      </c>
      <c r="H7" s="139" t="inlineStr">
        <is>
          <t>Total</t>
        </is>
      </c>
    </row>
    <row r="8">
      <c r="A8" s="137" t="n"/>
      <c r="B8" s="128" t="n"/>
      <c r="C8" s="128" t="n"/>
      <c r="D8" s="128" t="n"/>
      <c r="E8" s="128" t="n"/>
      <c r="F8" s="128" t="n"/>
      <c r="G8" s="128" t="n"/>
      <c r="H8" s="128" t="n"/>
    </row>
    <row r="9">
      <c r="A9" s="136" t="inlineStr">
        <is>
          <t>Cost of buildings</t>
        </is>
      </c>
      <c r="B9" s="128" t="n">
        <v>0</v>
      </c>
      <c r="C9" s="128" t="n">
        <v>8</v>
      </c>
      <c r="D9" s="128" t="n">
        <v>0</v>
      </c>
      <c r="E9" s="128" t="n"/>
      <c r="F9" s="128" t="n">
        <v>0.4</v>
      </c>
      <c r="G9" s="128" t="n"/>
      <c r="H9" s="128" t="inlineStr">
        <is>
          <t>In 2,000 tiles bought 8 shilling, at 4 shilling a 1,000..</t>
        </is>
      </c>
    </row>
    <row r="10">
      <c r="A10" s="137" t="inlineStr">
        <is>
          <t>Cost of buildings</t>
        </is>
      </c>
      <c r="B10" s="128" t="n">
        <v>0</v>
      </c>
      <c r="C10" s="128" t="n">
        <v>12</v>
      </c>
      <c r="D10" s="128" t="n">
        <v>0</v>
      </c>
      <c r="E10" s="128" t="n"/>
      <c r="F10" s="128" t="n">
        <v>0.6</v>
      </c>
      <c r="G10" s="128" t="n"/>
      <c r="H10" s="128" t="inlineStr">
        <is>
          <t>300 hollow tiles (holewerk') bought 12 shilling, at 4 shilling a 100..</t>
        </is>
      </c>
    </row>
    <row r="11">
      <c r="A11" s="137" t="inlineStr">
        <is>
          <t>Cost of buildings</t>
        </is>
      </c>
      <c r="B11" s="128" t="n">
        <v>0</v>
      </c>
      <c r="C11" s="128" t="n">
        <v>4</v>
      </c>
      <c r="D11" s="128" t="n">
        <v>4</v>
      </c>
      <c r="E11" s="128" t="n"/>
      <c r="F11" s="128" t="n">
        <v>0.22</v>
      </c>
      <c r="G11" s="128" t="n"/>
      <c r="H11" s="128" t="inlineStr">
        <is>
          <t>3 quarters of limestone bought 4 shilling, at 1 shilling 4pence a qr.</t>
        </is>
      </c>
    </row>
    <row r="12">
      <c r="A12" s="137" t="inlineStr">
        <is>
          <t>Cost of buildings</t>
        </is>
      </c>
      <c r="B12" s="128" t="n">
        <v>0</v>
      </c>
      <c r="C12" s="128" t="n">
        <v>3</v>
      </c>
      <c r="D12" s="128" t="n">
        <v>4</v>
      </c>
      <c r="E12" s="128" t="n"/>
      <c r="F12" s="128" t="n">
        <v>0.17</v>
      </c>
      <c r="G12" s="128" t="n"/>
      <c r="H12" s="128" t="inlineStr">
        <is>
          <t>carrying the said limestone 3 shilling 4pence.</t>
        </is>
      </c>
    </row>
    <row r="13">
      <c r="A13" s="137" t="inlineStr">
        <is>
          <t>Cost of buildings</t>
        </is>
      </c>
      <c r="B13" s="128" t="n">
        <v>0</v>
      </c>
      <c r="C13" s="128" t="n">
        <v>9</v>
      </c>
      <c r="D13" s="128" t="n">
        <v>2</v>
      </c>
      <c r="E13" s="128" t="n"/>
      <c r="F13" s="128" t="n">
        <v>0.46</v>
      </c>
      <c r="G13" s="128" t="n"/>
      <c r="H13" s="12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row>
    <row r="14">
      <c r="A14" s="137" t="inlineStr">
        <is>
          <t>Cost of buildings</t>
        </is>
      </c>
      <c r="B14" s="128" t="n">
        <v>0</v>
      </c>
      <c r="C14" s="128" t="n">
        <v>2</v>
      </c>
      <c r="D14" s="128" t="n">
        <v>0</v>
      </c>
      <c r="E14" s="128" t="n"/>
      <c r="F14" s="128" t="n">
        <v>0.1</v>
      </c>
      <c r="G14" s="128" t="n"/>
      <c r="H14" s="128" t="inlineStr">
        <is>
          <t>carrying timber from the lord's wood to the same at various times 2 shilling.</t>
        </is>
      </c>
    </row>
    <row r="15">
      <c r="A15" s="137" t="inlineStr">
        <is>
          <t>Cost of buildings</t>
        </is>
      </c>
      <c r="B15" s="128" t="n">
        <v>1</v>
      </c>
      <c r="C15" s="128" t="n">
        <v>0</v>
      </c>
      <c r="D15" s="128" t="n">
        <v>5</v>
      </c>
      <c r="E15" s="128" t="n"/>
      <c r="F15" s="128" t="n">
        <v>1.02</v>
      </c>
      <c r="G15" s="128" t="n"/>
      <c r="H15" s="128" t="inlineStr">
        <is>
          <t>hiring 1 tiler to tile and mend the defects of the squires' chamber and bailiff's chamber for 49 days £1 5pence, taking 5pence a day.</t>
        </is>
      </c>
    </row>
    <row r="16">
      <c r="A16" s="137" t="inlineStr">
        <is>
          <t>Cost of buildings</t>
        </is>
      </c>
      <c r="B16" s="128" t="n">
        <v>0</v>
      </c>
      <c r="C16" s="128" t="n">
        <v>8</v>
      </c>
      <c r="D16" s="128" t="n">
        <v>8</v>
      </c>
      <c r="E16" s="128" t="n"/>
      <c r="F16" s="128" t="n">
        <v>0.43</v>
      </c>
      <c r="G16" s="128" t="n"/>
      <c r="H16" s="128" t="inlineStr">
        <is>
          <t>hiring his mate for the same for 26 days 8 shilling 8pence, taking 4pence a day.</t>
        </is>
      </c>
    </row>
    <row r="17">
      <c r="A17" s="137" t="inlineStr">
        <is>
          <t>Cost of buildings</t>
        </is>
      </c>
      <c r="B17" s="128" t="n">
        <v>0</v>
      </c>
      <c r="C17" s="128" t="n">
        <v>3</v>
      </c>
      <c r="D17" s="128" t="n">
        <v>0</v>
      </c>
      <c r="E17" s="128" t="n"/>
      <c r="F17" s="128" t="n">
        <v>0.15</v>
      </c>
      <c r="G17" s="128" t="n"/>
      <c r="H17" s="128" t="inlineStr">
        <is>
          <t>payment for making 1,000 laths from the lord's timber 3 shilling.</t>
        </is>
      </c>
    </row>
    <row r="18">
      <c r="A18" s="137" t="inlineStr">
        <is>
          <t>Cost of buildings</t>
        </is>
      </c>
      <c r="B18" s="128" t="n">
        <v>0</v>
      </c>
      <c r="C18" s="128" t="n">
        <v>4</v>
      </c>
      <c r="D18" s="128" t="n">
        <v>8</v>
      </c>
      <c r="E18" s="128" t="n"/>
      <c r="F18" s="128" t="n">
        <v>0.23</v>
      </c>
      <c r="G18" s="128" t="n"/>
      <c r="H18" s="128" t="inlineStr">
        <is>
          <t>4,000 lath-nails bought 4 shilling 8pence.</t>
        </is>
      </c>
    </row>
    <row r="19">
      <c r="A19" s="137" t="inlineStr">
        <is>
          <t>Cost of buildings</t>
        </is>
      </c>
      <c r="B19" s="128" t="n">
        <v>0</v>
      </c>
      <c r="C19" s="128" t="n">
        <v>1</v>
      </c>
      <c r="D19" s="128" t="n">
        <v>6</v>
      </c>
      <c r="E19" s="128" t="n"/>
      <c r="F19" s="128" t="n">
        <v>0.08</v>
      </c>
      <c r="G19" s="128" t="n"/>
      <c r="H19" s="128" t="inlineStr">
        <is>
          <t>300 board-nails bought 1 shilling 6pence.</t>
        </is>
      </c>
    </row>
    <row r="20">
      <c r="A20" s="137" t="inlineStr">
        <is>
          <t>Cost of buildings</t>
        </is>
      </c>
      <c r="B20" s="128" t="n">
        <v>0</v>
      </c>
      <c r="C20" s="128" t="n">
        <v>2</v>
      </c>
      <c r="D20" s="128" t="n">
        <v>1</v>
      </c>
      <c r="E20" s="128" t="n"/>
      <c r="F20" s="128" t="n">
        <v>0.1</v>
      </c>
      <c r="G20" s="128" t="n"/>
      <c r="H20" s="128" t="inlineStr">
        <is>
          <t>hiring 1 carpenter to mend the mangers and fodder-racks in the lord's and squires' stables for 5 days 2 shilling 1pence, taking 5pence a day.</t>
        </is>
      </c>
    </row>
    <row r="21">
      <c r="A21" s="137" t="inlineStr">
        <is>
          <t>Cost of buildings</t>
        </is>
      </c>
      <c r="B21" s="128" t="n">
        <v>0</v>
      </c>
      <c r="C21" s="128" t="n">
        <v>2</v>
      </c>
      <c r="D21" s="128" t="n">
        <v>8</v>
      </c>
      <c r="E21" s="128" t="n"/>
      <c r="F21" s="128" t="n">
        <v>0.13</v>
      </c>
      <c r="G21" s="128" t="n"/>
      <c r="H21" s="128" t="inlineStr">
        <is>
          <t>hiring 1 man for 8 days to daub and mend the defects of the end of the squires' stable, the kitchen and the chamber beside the water under the lord's chamber 2 shilling 8pence, taking 4pence a day.</t>
        </is>
      </c>
    </row>
    <row r="22">
      <c r="A22" s="137" t="inlineStr">
        <is>
          <t>Cost of buildings</t>
        </is>
      </c>
      <c r="B22" s="128" t="n">
        <v>0</v>
      </c>
      <c r="C22" s="128" t="n">
        <v>10</v>
      </c>
      <c r="D22" s="128" t="n">
        <v>0</v>
      </c>
      <c r="E22" s="128" t="n"/>
      <c r="F22" s="128" t="n">
        <v>0.5</v>
      </c>
      <c r="G22" s="128" t="n"/>
      <c r="H22" s="128" t="inlineStr">
        <is>
          <t>payment for the hay bought for the horse of Geoffrey Pencrych', the lord's warrener, for the year 10 shilling.</t>
        </is>
      </c>
    </row>
    <row r="23">
      <c r="A23" s="137" t="inlineStr">
        <is>
          <t>Cost of buildings</t>
        </is>
      </c>
      <c r="B23" s="128" t="n">
        <v>0</v>
      </c>
      <c r="C23" s="128" t="n">
        <v>8</v>
      </c>
      <c r="D23" s="128" t="n">
        <v>0</v>
      </c>
      <c r="E23" s="128" t="n"/>
      <c r="F23" s="128" t="n">
        <v>0.4</v>
      </c>
      <c r="G23" s="128" t="n"/>
      <c r="H23" s="128" t="inlineStr">
        <is>
          <t>8 cart-loads of straw bought for thatching the sheepcote 8 shilling.</t>
        </is>
      </c>
    </row>
    <row r="24">
      <c r="A24" s="137" t="inlineStr">
        <is>
          <t>Cost of buildings</t>
        </is>
      </c>
      <c r="B24" s="128" t="n">
        <v>0</v>
      </c>
      <c r="C24" s="128" t="n">
        <v>1</v>
      </c>
      <c r="D24" s="128" t="n">
        <v>4</v>
      </c>
      <c r="E24" s="128" t="n"/>
      <c r="F24" s="128" t="n">
        <v>0.07000000000000001</v>
      </c>
      <c r="G24" s="128" t="n"/>
      <c r="H24" s="128" t="inlineStr">
        <is>
          <t>carrying the said straw to the sheepcote 1 shilling 4pence.</t>
        </is>
      </c>
    </row>
    <row r="25">
      <c r="A25" s="137" t="inlineStr">
        <is>
          <t>Cost of buildings</t>
        </is>
      </c>
      <c r="B25" s="128" t="n">
        <v>0</v>
      </c>
      <c r="C25" s="128" t="n">
        <v>10</v>
      </c>
      <c r="D25" s="128" t="n">
        <v>0</v>
      </c>
      <c r="E25" s="128" t="n"/>
      <c r="F25" s="128" t="n">
        <v>0.5</v>
      </c>
      <c r="G25" s="128" t="n"/>
      <c r="H25" s="128" t="inlineStr">
        <is>
          <t>hiring 1 thatcher (tect') with his mate to thatch the said sheepcote by piece-work 10 shilling.</t>
        </is>
      </c>
    </row>
    <row r="26">
      <c r="A26" s="137" t="inlineStr">
        <is>
          <t>Cost of buildings</t>
        </is>
      </c>
      <c r="B26" s="128" t="n">
        <v>5</v>
      </c>
      <c r="C26" s="128" t="n">
        <v>11</v>
      </c>
      <c r="D26" s="128" t="n">
        <v>2</v>
      </c>
      <c r="E26" s="128" t="n"/>
      <c r="F26" s="128" t="n">
        <v>5.56</v>
      </c>
      <c r="G26" s="128" t="n"/>
      <c r="H26" s="128" t="inlineStr">
        <is>
          <t>Total, £5 11 shilling 2pence.</t>
        </is>
      </c>
    </row>
    <row r="27">
      <c r="A27" s="138" t="inlineStr">
        <is>
          <t>Cost of buildings total</t>
        </is>
      </c>
      <c r="B27" s="139" t="n"/>
      <c r="C27" s="139" t="n"/>
      <c r="D27" s="139" t="n"/>
      <c r="E27" s="139" t="n"/>
      <c r="F27" s="139" t="n">
        <v>5.56</v>
      </c>
      <c r="G27" s="139" t="n">
        <v>0</v>
      </c>
      <c r="H27" s="139" t="inlineStr">
        <is>
          <t>Total</t>
        </is>
      </c>
    </row>
    <row r="28">
      <c r="A28" s="137" t="n"/>
      <c r="B28" s="128" t="n"/>
      <c r="C28" s="128" t="n"/>
      <c r="D28" s="128" t="n"/>
      <c r="E28" s="128" t="n"/>
      <c r="F28" s="128" t="n"/>
      <c r="G28" s="128" t="n"/>
      <c r="H28" s="128" t="n"/>
    </row>
    <row r="29">
      <c r="A29" s="136" t="inlineStr">
        <is>
          <t>Expenses of the steward</t>
        </is>
      </c>
      <c r="B29" s="128" t="n">
        <v>0</v>
      </c>
      <c r="C29" s="128" t="n">
        <v>16</v>
      </c>
      <c r="D29" s="128" t="n">
        <v>2.5</v>
      </c>
      <c r="E29" s="128" t="n"/>
      <c r="F29" s="128" t="n">
        <v>0.8100000000000001</v>
      </c>
      <c r="G29" s="128" t="n"/>
      <c r="H29" s="128" t="inlineStr">
        <is>
          <t>In expenses of Richard Wyot, steward, holding the tourns of Martinmas and Hockday, by 2 sealed bills in cash, 16 shilling 2.5pence.</t>
        </is>
      </c>
    </row>
    <row r="30">
      <c r="A30" s="137" t="inlineStr">
        <is>
          <t>Expenses of the steward</t>
        </is>
      </c>
      <c r="B30" s="128" t="n">
        <v>0</v>
      </c>
      <c r="C30" s="128" t="n">
        <v>6</v>
      </c>
      <c r="D30" s="128" t="n">
        <v>9</v>
      </c>
      <c r="E30" s="128" t="n"/>
      <c r="F30" s="128" t="n">
        <v>0.34</v>
      </c>
      <c r="G30" s="128" t="n"/>
      <c r="H30" s="128" t="inlineStr">
        <is>
          <t>5.5 bushels of wheat bought to bake bread for the said 2 tourns 6 shilling 9pence, at 1 shilling a bushels for 3 bushels, and 1 shilling 6pence a bushels for 2.5 bushels.</t>
        </is>
      </c>
    </row>
    <row r="31">
      <c r="A31" s="137" t="inlineStr">
        <is>
          <t>Expenses of the steward</t>
        </is>
      </c>
      <c r="B31" s="128" t="n">
        <v>0</v>
      </c>
      <c r="C31" s="128" t="n">
        <v>9</v>
      </c>
      <c r="D31" s="128" t="n">
        <v>10</v>
      </c>
      <c r="E31" s="128" t="n"/>
      <c r="F31" s="128" t="n">
        <v>0.49</v>
      </c>
      <c r="G31" s="128" t="n"/>
      <c r="H31" s="128" t="inlineStr">
        <is>
          <t>3 quarters 7 bushels of oats bought for the same 9 shilling 10pence, at 2 shilling a qr for 2 quarters 2.5 bushels, and 3 shilling 4pence a qr for 1 qr 4.5 bushels.</t>
        </is>
      </c>
    </row>
    <row r="32">
      <c r="A32" s="137" t="inlineStr">
        <is>
          <t>Expenses of the steward</t>
        </is>
      </c>
      <c r="B32" s="128" t="n">
        <v>1</v>
      </c>
      <c r="C32" s="128" t="n">
        <v>12</v>
      </c>
      <c r="D32" s="128" t="n">
        <v>0</v>
      </c>
      <c r="E32" s="128" t="n"/>
      <c r="F32" s="128" t="n">
        <v>1.6</v>
      </c>
      <c r="G32" s="128" t="n"/>
      <c r="H32" s="128" t="inlineStr">
        <is>
          <t>Total, £1 12 shilling 9.5.d.</t>
        </is>
      </c>
    </row>
    <row r="33">
      <c r="A33" s="138" t="inlineStr">
        <is>
          <t>Expenses of the steward total</t>
        </is>
      </c>
      <c r="B33" s="139" t="n"/>
      <c r="C33" s="139" t="n"/>
      <c r="D33" s="139" t="n"/>
      <c r="E33" s="139" t="n"/>
      <c r="F33" s="139" t="n">
        <v>1.64</v>
      </c>
      <c r="G33" s="139" t="n">
        <v>0.04</v>
      </c>
      <c r="H33" s="139" t="inlineStr">
        <is>
          <t>Total</t>
        </is>
      </c>
    </row>
    <row r="34">
      <c r="A34" s="137" t="n"/>
      <c r="B34" s="128" t="n"/>
      <c r="C34" s="128" t="n"/>
      <c r="D34" s="128" t="n"/>
      <c r="E34" s="128" t="n"/>
      <c r="F34" s="128" t="n"/>
      <c r="G34" s="128" t="n"/>
      <c r="H34" s="128" t="n"/>
    </row>
    <row r="35">
      <c r="A35" s="137" t="inlineStr">
        <is>
          <t>Total of all expenses</t>
        </is>
      </c>
      <c r="B35" s="128" t="n">
        <v>24</v>
      </c>
      <c r="C35" s="128" t="n">
        <v>16</v>
      </c>
      <c r="D35" s="128" t="n">
        <v>9.5</v>
      </c>
      <c r="E35" s="128" t="n"/>
      <c r="F35" s="128" t="n">
        <v>24.84</v>
      </c>
      <c r="G35" s="128" t="n"/>
      <c r="H35" s="128" t="inlineStr">
        <is>
          <t>Total of all expenses, £24 16 shilling 9.5pence.</t>
        </is>
      </c>
    </row>
    <row r="36">
      <c r="A36" s="137" t="inlineStr">
        <is>
          <t>Total of all expenses</t>
        </is>
      </c>
      <c r="B36" s="128" t="n"/>
      <c r="C36" s="128" t="n"/>
      <c r="D36" s="128" t="n"/>
      <c r="E36" s="128" t="n"/>
      <c r="F36" s="128" t="n">
        <v>0</v>
      </c>
      <c r="G36" s="128" t="n">
        <v>-24.84</v>
      </c>
      <c r="H36" s="128" t="inlineStr">
        <is>
          <t>Total</t>
        </is>
      </c>
    </row>
    <row r="37">
      <c r="A37" s="137" t="n"/>
      <c r="B37" s="128" t="n"/>
      <c r="C37" s="128" t="n"/>
      <c r="D37" s="128" t="n"/>
      <c r="E37" s="128" t="n"/>
      <c r="F37" s="128" t="n"/>
      <c r="G37" s="128" t="n"/>
      <c r="H37" s="128" t="n"/>
    </row>
    <row r="38">
      <c r="A38" s="136" t="inlineStr">
        <is>
          <t>And he owes</t>
        </is>
      </c>
      <c r="B38" s="128" t="n">
        <v>49</v>
      </c>
      <c r="C38" s="128" t="n">
        <v>13</v>
      </c>
      <c r="D38" s="128" t="n">
        <v>9.5</v>
      </c>
      <c r="E38" s="128" t="n"/>
      <c r="F38" s="128" t="n">
        <v>49.69</v>
      </c>
      <c r="G38" s="128" t="n"/>
      <c r="H38" s="128" t="inlineStr">
        <is>
          <t>And he owes, £49 13 shilling 9.5pence.</t>
        </is>
      </c>
    </row>
    <row r="39">
      <c r="A39" s="138" t="inlineStr">
        <is>
          <t>And he owes total</t>
        </is>
      </c>
      <c r="B39" s="139" t="n"/>
      <c r="C39" s="139" t="n"/>
      <c r="D39" s="139" t="n"/>
      <c r="E39" s="139" t="n"/>
      <c r="F39" s="139" t="n">
        <v>49.69</v>
      </c>
      <c r="G39" s="139" t="n">
        <v>0</v>
      </c>
      <c r="H39" s="139" t="inlineStr">
        <is>
          <t>Total</t>
        </is>
      </c>
    </row>
    <row r="40">
      <c r="A40" s="137" t="n"/>
      <c r="B40" s="128" t="n"/>
      <c r="C40" s="128" t="n"/>
      <c r="D40" s="128" t="n"/>
      <c r="E40" s="128" t="n"/>
      <c r="F40" s="128" t="n"/>
      <c r="G40" s="128" t="n"/>
      <c r="H40" s="128" t="n"/>
    </row>
    <row r="41">
      <c r="A41" s="136" t="inlineStr">
        <is>
          <t>Cash deliveries</t>
        </is>
      </c>
      <c r="B41" s="128" t="n">
        <v>10</v>
      </c>
      <c r="C41" s="128" t="n">
        <v>0</v>
      </c>
      <c r="D41" s="128" t="n">
        <v>0</v>
      </c>
      <c r="E41" s="128" t="n"/>
      <c r="F41" s="128" t="n">
        <v>10</v>
      </c>
      <c r="G41" s="128" t="n"/>
      <c r="H41" s="128" t="inlineStr">
        <is>
          <t>Delivered to John Arnold', receiver of Wolvesey, by 1 tally, £10..</t>
        </is>
      </c>
    </row>
    <row r="42">
      <c r="A42" s="137" t="inlineStr">
        <is>
          <t>Cash deliveries</t>
        </is>
      </c>
      <c r="B42" s="128" t="n">
        <v>10</v>
      </c>
      <c r="C42" s="128" t="n">
        <v>0</v>
      </c>
      <c r="D42" s="128" t="n">
        <v>0</v>
      </c>
      <c r="E42" s="128" t="n"/>
      <c r="F42" s="128" t="n">
        <v>10</v>
      </c>
      <c r="G42" s="128" t="n"/>
      <c r="H42" s="128" t="inlineStr">
        <is>
          <t>Total, £10..</t>
        </is>
      </c>
    </row>
    <row r="43">
      <c r="A43" s="138" t="inlineStr">
        <is>
          <t>Cash deliveries total</t>
        </is>
      </c>
      <c r="B43" s="139" t="n"/>
      <c r="C43" s="139" t="n"/>
      <c r="D43" s="139" t="n"/>
      <c r="E43" s="139" t="n"/>
      <c r="F43" s="139" t="n">
        <v>10</v>
      </c>
      <c r="G43" s="139" t="n">
        <v>0</v>
      </c>
      <c r="H43" s="139" t="inlineStr">
        <is>
          <t>Total</t>
        </is>
      </c>
    </row>
    <row r="44">
      <c r="A44" s="137" t="n"/>
      <c r="B44" s="128" t="n"/>
      <c r="C44" s="128" t="n"/>
      <c r="D44" s="128" t="n"/>
      <c r="E44" s="128" t="n"/>
      <c r="F44" s="128" t="n"/>
      <c r="G44" s="128" t="n"/>
      <c r="H44" s="128" t="n"/>
    </row>
    <row r="45">
      <c r="A45" s="136" t="inlineStr">
        <is>
          <t>Total of all allowances and cash deliveries</t>
        </is>
      </c>
      <c r="B45" s="128" t="n">
        <v>47</v>
      </c>
      <c r="C45" s="128" t="n">
        <v>3</v>
      </c>
      <c r="D45" s="128" t="n">
        <v>9.5</v>
      </c>
      <c r="E45" s="128" t="n"/>
      <c r="F45" s="128" t="n">
        <v>47.19</v>
      </c>
      <c r="G45" s="128" t="n"/>
      <c r="H45" s="128" t="inlineStr">
        <is>
          <t>Total of all allowances and cash deliveries, £47 3 shilling 9.5pence.</t>
        </is>
      </c>
    </row>
    <row r="47">
      <c r="A47" s="38" t="inlineStr">
        <is>
          <t>Total of all expenses per account</t>
        </is>
      </c>
      <c r="B47" t="n">
        <v>24</v>
      </c>
      <c r="C47" t="n">
        <v>16</v>
      </c>
      <c r="D47" t="n">
        <v>9.5</v>
      </c>
      <c r="F47">
        <f>F35</f>
        <v/>
      </c>
    </row>
    <row r="48">
      <c r="A48" s="38" t="inlineStr">
        <is>
          <t>Total of all expenses (calculated here)</t>
        </is>
      </c>
      <c r="F48">
        <f>SUMIF(A1:A34,"* total",F1:F34)</f>
        <v/>
      </c>
    </row>
    <row r="49">
      <c r="A49" s="38" t="inlineStr">
        <is>
          <t>Total fixed investment</t>
        </is>
      </c>
    </row>
    <row r="50">
      <c r="A5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WARGRAVE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18</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30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7</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231</v>
      </c>
      <c r="C19" t="n">
        <v>97</v>
      </c>
      <c r="H19" t="n">
        <v>0</v>
      </c>
      <c r="I19" t="n">
        <v>23</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2</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4</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9</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6</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21</v>
      </c>
      <c r="I53" t="n">
        <v>23</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12</v>
      </c>
      <c r="C59" t="n">
        <v>0</v>
      </c>
      <c r="H59" t="n">
        <v>0</v>
      </c>
      <c r="I59" t="n">
        <v>9</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farmer there, answers for £7 10 shilling of arrears from his last account of the john lylye, preceding year.</t>
        </is>
      </c>
      <c r="C3" t="n">
        <v>7.5</v>
      </c>
      <c r="D3" t="n">
        <v>7</v>
      </c>
      <c r="E3" t="n">
        <v>10</v>
      </c>
      <c r="F3" t="n">
        <v>0</v>
      </c>
      <c r="H3" t="n">
        <v>0</v>
      </c>
      <c r="I3" t="n">
        <v>0</v>
      </c>
      <c r="J3" t="n">
        <v>0</v>
      </c>
      <c r="K3" t="n">
        <v>0</v>
      </c>
      <c r="L3" t="n">
        <v>0</v>
      </c>
      <c r="M3" t="n">
        <v>0</v>
      </c>
      <c r="N3" t="n">
        <v>0</v>
      </c>
    </row>
    <row r="4">
      <c r="A4" t="inlineStr">
        <is>
          <t>arrears</t>
        </is>
      </c>
      <c r="B4" t="inlineStr">
        <is>
          <t>total, £7 10 shilling.</t>
        </is>
      </c>
      <c r="C4" t="n">
        <v>7.5</v>
      </c>
      <c r="D4" t="n">
        <v>7</v>
      </c>
      <c r="E4" t="n">
        <v>10</v>
      </c>
      <c r="F4" t="n">
        <v>0</v>
      </c>
      <c r="H4" t="n">
        <v>0</v>
      </c>
      <c r="I4" t="n">
        <v>0</v>
      </c>
      <c r="J4" t="n">
        <v>0</v>
      </c>
      <c r="K4" t="n">
        <v>0</v>
      </c>
      <c r="L4" t="n">
        <v>0</v>
      </c>
      <c r="M4" t="n">
        <v>0</v>
      </c>
      <c r="N4" t="n">
        <v>0</v>
      </c>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c r="H5" t="n">
        <v>0</v>
      </c>
      <c r="I5" t="n">
        <v>0</v>
      </c>
      <c r="J5" t="n">
        <v>0</v>
      </c>
      <c r="K5" t="n">
        <v>0</v>
      </c>
      <c r="L5" t="n">
        <v>0</v>
      </c>
      <c r="M5" t="n">
        <v>0</v>
      </c>
      <c r="N5" t="n">
        <v>0</v>
      </c>
    </row>
    <row r="6">
      <c r="A6" t="inlineStr">
        <is>
          <t>farm</t>
        </is>
      </c>
      <c r="B6" t="inlineStr">
        <is>
          <t>total, £53 6 shilling 8pence.</t>
        </is>
      </c>
      <c r="C6" t="n">
        <v>53.33</v>
      </c>
      <c r="D6" t="n">
        <v>53</v>
      </c>
      <c r="E6" t="n">
        <v>6</v>
      </c>
      <c r="F6" t="n">
        <v>8</v>
      </c>
      <c r="H6" t="n">
        <v>0</v>
      </c>
      <c r="I6" t="n">
        <v>0</v>
      </c>
      <c r="J6" t="n">
        <v>0</v>
      </c>
      <c r="K6" t="n">
        <v>0</v>
      </c>
      <c r="L6" t="n">
        <v>0</v>
      </c>
      <c r="M6" t="n">
        <v>0</v>
      </c>
      <c r="N6" t="n">
        <v>0</v>
      </c>
    </row>
    <row r="7">
      <c r="A7" t="inlineStr">
        <is>
          <t>sale of stock</t>
        </is>
      </c>
      <c r="B7" t="inlineStr">
        <is>
          <t>and for 1 shilling from 1 mare from strays sold.</t>
        </is>
      </c>
      <c r="C7" t="n">
        <v>0.05</v>
      </c>
      <c r="D7" t="n">
        <v>0</v>
      </c>
      <c r="E7" t="n">
        <v>1</v>
      </c>
      <c r="F7" t="n">
        <v>0</v>
      </c>
      <c r="H7" t="n">
        <v>0</v>
      </c>
      <c r="I7" t="n">
        <v>0</v>
      </c>
      <c r="J7" t="n">
        <v>0</v>
      </c>
      <c r="K7" t="n">
        <v>0</v>
      </c>
      <c r="L7" t="n">
        <v>0</v>
      </c>
      <c r="M7" t="n">
        <v>0</v>
      </c>
      <c r="N7" t="n">
        <v>0</v>
      </c>
    </row>
    <row r="8">
      <c r="A8" t="inlineStr">
        <is>
          <t>sale of stock</t>
        </is>
      </c>
      <c r="B8" t="inlineStr">
        <is>
          <t>6pence from 1 colt sold as made clear elsewhere.</t>
        </is>
      </c>
      <c r="C8" t="n">
        <v>0.03</v>
      </c>
      <c r="D8" t="n">
        <v>0</v>
      </c>
      <c r="E8" t="n">
        <v>0</v>
      </c>
      <c r="F8" t="n">
        <v>6</v>
      </c>
      <c r="H8" t="n">
        <v>0</v>
      </c>
      <c r="I8" t="n">
        <v>0</v>
      </c>
      <c r="J8" t="n">
        <v>0</v>
      </c>
      <c r="K8" t="n">
        <v>0</v>
      </c>
      <c r="L8" t="n">
        <v>0</v>
      </c>
      <c r="M8" t="n">
        <v>0</v>
      </c>
      <c r="N8" t="n">
        <v>0</v>
      </c>
    </row>
    <row r="9">
      <c r="A9" t="inlineStr">
        <is>
          <t>sale of stock</t>
        </is>
      </c>
      <c r="B9" t="inlineStr">
        <is>
          <t>total, 1 shilling 6pence.</t>
        </is>
      </c>
      <c r="C9" t="n">
        <v>0.08</v>
      </c>
      <c r="D9" t="n">
        <v>0</v>
      </c>
      <c r="E9" t="n">
        <v>1</v>
      </c>
      <c r="F9" t="n">
        <v>6</v>
      </c>
      <c r="H9" t="n">
        <v>0</v>
      </c>
      <c r="I9" t="n">
        <v>0</v>
      </c>
      <c r="J9" t="n">
        <v>0</v>
      </c>
      <c r="K9" t="n">
        <v>0</v>
      </c>
      <c r="L9" t="n">
        <v>0</v>
      </c>
      <c r="M9" t="n">
        <v>0</v>
      </c>
      <c r="N9" t="n">
        <v>0</v>
      </c>
    </row>
    <row r="10">
      <c r="A10" t="inlineStr">
        <is>
          <t>issues of the manor</t>
        </is>
      </c>
      <c r="B10" t="inlineStr">
        <is>
          <t>and for 7 shilling from the woolskins sold of 21 wethers in murrain as made clear elsewhere, at 4pence a skin.</t>
        </is>
      </c>
      <c r="C10" t="n">
        <v>0.37</v>
      </c>
      <c r="D10" t="n">
        <v>0</v>
      </c>
      <c r="E10" t="n">
        <v>7</v>
      </c>
      <c r="F10" t="n">
        <v>4</v>
      </c>
      <c r="H10" t="n">
        <v>0</v>
      </c>
      <c r="I10" t="n">
        <v>0</v>
      </c>
      <c r="J10" t="n">
        <v>0</v>
      </c>
      <c r="K10" t="n">
        <v>0</v>
      </c>
      <c r="L10" t="n">
        <v>0</v>
      </c>
      <c r="M10" t="n">
        <v>0</v>
      </c>
      <c r="N10" t="n">
        <v>0</v>
      </c>
    </row>
    <row r="11">
      <c r="A11" t="inlineStr">
        <is>
          <t>issues of the manor</t>
        </is>
      </c>
      <c r="B11" t="inlineStr">
        <is>
          <t>9pence from the bare skins sold of 9 wethers in murrain as made clear elsewhere, at 1pence a skin.</t>
        </is>
      </c>
      <c r="C11" t="n">
        <v>0.04</v>
      </c>
      <c r="D11" t="n">
        <v>0</v>
      </c>
      <c r="E11" t="n">
        <v>0</v>
      </c>
      <c r="F11" t="n">
        <v>9</v>
      </c>
      <c r="H11" t="n">
        <v>0</v>
      </c>
      <c r="I11" t="n">
        <v>0</v>
      </c>
      <c r="J11" t="n">
        <v>0</v>
      </c>
      <c r="K11" t="n">
        <v>0</v>
      </c>
      <c r="L11" t="n">
        <v>0</v>
      </c>
      <c r="M11" t="n">
        <v>0</v>
      </c>
      <c r="N11" t="n">
        <v>0</v>
      </c>
    </row>
    <row r="12">
      <c r="A12" t="inlineStr">
        <is>
          <t>issues of the manor</t>
        </is>
      </c>
      <c r="B12" t="inlineStr">
        <is>
          <t>2 shilling 8pence from 16 rabbits sold to the lord's household, at 2pence each.</t>
        </is>
      </c>
      <c r="C12" t="n">
        <v>0.13</v>
      </c>
      <c r="D12" t="n">
        <v>0</v>
      </c>
      <c r="E12" t="n">
        <v>2</v>
      </c>
      <c r="F12" t="n">
        <v>8</v>
      </c>
      <c r="H12" t="n">
        <v>0</v>
      </c>
      <c r="I12" t="n">
        <v>0</v>
      </c>
      <c r="J12" t="n">
        <v>0</v>
      </c>
      <c r="K12" t="n">
        <v>0</v>
      </c>
      <c r="L12" t="n">
        <v>0</v>
      </c>
      <c r="M12" t="n">
        <v>0</v>
      </c>
      <c r="N12" t="n">
        <v>0</v>
      </c>
    </row>
    <row r="13">
      <c r="A13" t="inlineStr">
        <is>
          <t>issues of the manor</t>
        </is>
      </c>
      <c r="B13" t="inlineStr">
        <is>
          <t>total, 10 shilling 5pence.</t>
        </is>
      </c>
      <c r="C13" t="n">
        <v>0.52</v>
      </c>
      <c r="D13" t="n">
        <v>0</v>
      </c>
      <c r="E13" t="n">
        <v>10</v>
      </c>
      <c r="F13" t="n">
        <v>5</v>
      </c>
      <c r="H13" t="n">
        <v>0</v>
      </c>
      <c r="I13" t="n">
        <v>0</v>
      </c>
      <c r="J13" t="n">
        <v>0</v>
      </c>
      <c r="K13" t="n">
        <v>0</v>
      </c>
      <c r="L13" t="n">
        <v>0</v>
      </c>
      <c r="M13" t="n">
        <v>0</v>
      </c>
      <c r="N13" t="n">
        <v>0</v>
      </c>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c r="H14" t="n">
        <v>0</v>
      </c>
      <c r="I14" t="n">
        <v>0</v>
      </c>
      <c r="J14" t="n">
        <v>0</v>
      </c>
      <c r="K14" t="n">
        <v>0</v>
      </c>
      <c r="L14" t="n">
        <v>0</v>
      </c>
      <c r="M14" t="n">
        <v>0</v>
      </c>
      <c r="N14" t="n">
        <v>0</v>
      </c>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c r="H15" t="n">
        <v>0</v>
      </c>
      <c r="I15" t="n">
        <v>0</v>
      </c>
      <c r="J15" t="n">
        <v>0</v>
      </c>
      <c r="K15" t="n">
        <v>0</v>
      </c>
      <c r="L15" t="n">
        <v>0</v>
      </c>
      <c r="M15" t="n">
        <v>0</v>
      </c>
      <c r="N15" t="n">
        <v>0</v>
      </c>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c r="H16" t="n">
        <v>0</v>
      </c>
      <c r="I16" t="n">
        <v>0</v>
      </c>
      <c r="J16" t="n">
        <v>0</v>
      </c>
      <c r="K16" t="n">
        <v>0</v>
      </c>
      <c r="L16" t="n">
        <v>0</v>
      </c>
      <c r="M16" t="n">
        <v>0</v>
      </c>
      <c r="N16" t="n">
        <v>0</v>
      </c>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c r="H17" t="n">
        <v>0</v>
      </c>
      <c r="I17" t="n">
        <v>0</v>
      </c>
      <c r="J17" t="n">
        <v>0</v>
      </c>
      <c r="K17" t="n">
        <v>0</v>
      </c>
      <c r="L17" t="n">
        <v>0</v>
      </c>
      <c r="M17" t="n">
        <v>0</v>
      </c>
      <c r="N17" t="n">
        <v>0</v>
      </c>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c r="H18" t="n">
        <v>0</v>
      </c>
      <c r="I18" t="n">
        <v>0</v>
      </c>
      <c r="J18" t="n">
        <v>0</v>
      </c>
      <c r="K18" t="n">
        <v>0</v>
      </c>
      <c r="L18" t="n">
        <v>0</v>
      </c>
      <c r="M18" t="n">
        <v>0</v>
      </c>
      <c r="N18" t="n">
        <v>0</v>
      </c>
    </row>
    <row r="19">
      <c r="A19" t="inlineStr">
        <is>
          <t>entry and marriage fines</t>
        </is>
      </c>
      <c r="B19" t="inlineStr">
        <is>
          <t>total, £2 8pence.</t>
        </is>
      </c>
      <c r="C19" t="n">
        <v>2.03</v>
      </c>
      <c r="D19" t="n">
        <v>2</v>
      </c>
      <c r="E19" t="n">
        <v>0</v>
      </c>
      <c r="F19" t="n">
        <v>8</v>
      </c>
      <c r="H19" t="n">
        <v>0</v>
      </c>
      <c r="I19" t="n">
        <v>0</v>
      </c>
      <c r="J19" t="n">
        <v>0</v>
      </c>
      <c r="K19" t="n">
        <v>0</v>
      </c>
      <c r="L19" t="n">
        <v>0</v>
      </c>
      <c r="M19" t="n">
        <v>0</v>
      </c>
      <c r="N19" t="n">
        <v>0</v>
      </c>
    </row>
    <row r="20">
      <c r="A20" t="inlineStr">
        <is>
          <t>heriots in cash</t>
        </is>
      </c>
      <c r="B20" t="inlineStr">
        <is>
          <t>and for 2 shilling from the heriot of richard atte bere.</t>
        </is>
      </c>
      <c r="C20" t="n">
        <v>0.1</v>
      </c>
      <c r="D20" t="n">
        <v>0</v>
      </c>
      <c r="E20" t="n">
        <v>2</v>
      </c>
      <c r="F20" t="n">
        <v>0</v>
      </c>
      <c r="H20" t="n">
        <v>0</v>
      </c>
      <c r="I20" t="n">
        <v>0</v>
      </c>
      <c r="J20" t="n">
        <v>0</v>
      </c>
      <c r="K20" t="n">
        <v>0</v>
      </c>
      <c r="L20" t="n">
        <v>0</v>
      </c>
      <c r="M20" t="n">
        <v>0</v>
      </c>
      <c r="N20" t="n">
        <v>0</v>
      </c>
    </row>
    <row r="21">
      <c r="A21" t="inlineStr">
        <is>
          <t>heriots in cash</t>
        </is>
      </c>
      <c r="B21" t="inlineStr">
        <is>
          <t>9pence from the heriot of john burdon, and margery his wife.</t>
        </is>
      </c>
      <c r="C21" t="n">
        <v>0.04</v>
      </c>
      <c r="D21" t="n">
        <v>0</v>
      </c>
      <c r="E21" t="n">
        <v>0</v>
      </c>
      <c r="F21" t="n">
        <v>9</v>
      </c>
      <c r="H21" t="n">
        <v>0</v>
      </c>
      <c r="I21" t="n">
        <v>0</v>
      </c>
      <c r="J21" t="n">
        <v>0</v>
      </c>
      <c r="K21" t="n">
        <v>0</v>
      </c>
      <c r="L21" t="n">
        <v>0</v>
      </c>
      <c r="M21" t="n">
        <v>0</v>
      </c>
      <c r="N21" t="n">
        <v>0</v>
      </c>
    </row>
    <row r="22">
      <c r="A22" t="inlineStr">
        <is>
          <t>heriots in cash</t>
        </is>
      </c>
      <c r="B22" t="inlineStr">
        <is>
          <t>total, 2 shilling 9pence.</t>
        </is>
      </c>
      <c r="C22" t="n">
        <v>0.14</v>
      </c>
      <c r="D22" t="n">
        <v>0</v>
      </c>
      <c r="E22" t="n">
        <v>2</v>
      </c>
      <c r="F22" t="n">
        <v>9</v>
      </c>
      <c r="H22" t="n">
        <v>0</v>
      </c>
      <c r="I22" t="n">
        <v>0</v>
      </c>
      <c r="J22" t="n">
        <v>0</v>
      </c>
      <c r="K22" t="n">
        <v>0</v>
      </c>
      <c r="L22" t="n">
        <v>0</v>
      </c>
      <c r="M22" t="n">
        <v>0</v>
      </c>
      <c r="N22" t="n">
        <v>0</v>
      </c>
    </row>
    <row r="23">
      <c r="A23" t="inlineStr">
        <is>
          <t>perquisites of court</t>
        </is>
      </c>
      <c r="B23" t="inlineStr">
        <is>
          <t>and for 2 shilling 1pence from the perquisites of the tourn of martinmas (11 november).</t>
        </is>
      </c>
      <c r="C23" t="n">
        <v>0.1</v>
      </c>
      <c r="D23" t="n">
        <v>0</v>
      </c>
      <c r="E23" t="n">
        <v>2</v>
      </c>
      <c r="F23" t="n">
        <v>1</v>
      </c>
      <c r="H23" t="n">
        <v>0</v>
      </c>
      <c r="I23" t="n">
        <v>0</v>
      </c>
      <c r="J23" t="n">
        <v>0</v>
      </c>
      <c r="K23" t="n">
        <v>0</v>
      </c>
      <c r="L23" t="n">
        <v>0</v>
      </c>
      <c r="M23" t="n">
        <v>0</v>
      </c>
      <c r="N23" t="n">
        <v>0</v>
      </c>
    </row>
    <row r="24">
      <c r="A24" t="inlineStr">
        <is>
          <t>perquisites of court</t>
        </is>
      </c>
      <c r="B24" t="inlineStr">
        <is>
          <t>7 shilling from the perquisites of the courts held between the 2 tourns.</t>
        </is>
      </c>
      <c r="C24" t="n">
        <v>0.35</v>
      </c>
      <c r="D24" t="n">
        <v>0</v>
      </c>
      <c r="E24" t="n">
        <v>7</v>
      </c>
      <c r="F24" t="n">
        <v>0</v>
      </c>
      <c r="H24" t="n">
        <v>0</v>
      </c>
      <c r="I24" t="n">
        <v>0</v>
      </c>
      <c r="J24" t="n">
        <v>0</v>
      </c>
      <c r="K24" t="n">
        <v>0</v>
      </c>
      <c r="L24" t="n">
        <v>0</v>
      </c>
      <c r="M24" t="n">
        <v>0</v>
      </c>
      <c r="N24" t="n">
        <v>0</v>
      </c>
    </row>
    <row r="25">
      <c r="A25" t="inlineStr">
        <is>
          <t>perquisites of court</t>
        </is>
      </c>
      <c r="B25" t="inlineStr">
        <is>
          <t>4 shilling 8pence from the perquisites of the tourn of hockday (1 april).</t>
        </is>
      </c>
      <c r="C25" t="n">
        <v>0.23</v>
      </c>
      <c r="D25" t="n">
        <v>0</v>
      </c>
      <c r="E25" t="n">
        <v>4</v>
      </c>
      <c r="F25" t="n">
        <v>8</v>
      </c>
      <c r="H25" t="n">
        <v>0</v>
      </c>
      <c r="I25" t="n">
        <v>0</v>
      </c>
      <c r="J25" t="n">
        <v>0</v>
      </c>
      <c r="K25" t="n">
        <v>0</v>
      </c>
      <c r="L25" t="n">
        <v>0</v>
      </c>
      <c r="M25" t="n">
        <v>0</v>
      </c>
      <c r="N25" t="n">
        <v>0</v>
      </c>
    </row>
    <row r="26">
      <c r="A26" t="inlineStr">
        <is>
          <t>perquisites of court</t>
        </is>
      </c>
      <c r="B26" t="inlineStr">
        <is>
          <t>4 shilling 10pence from the perquisites of the courts held after the said tourn of hockday.</t>
        </is>
      </c>
      <c r="C26" t="n">
        <v>0.24</v>
      </c>
      <c r="D26" t="n">
        <v>0</v>
      </c>
      <c r="E26" t="n">
        <v>4</v>
      </c>
      <c r="F26" t="n">
        <v>10</v>
      </c>
      <c r="H26" t="n">
        <v>0</v>
      </c>
      <c r="I26" t="n">
        <v>0</v>
      </c>
      <c r="J26" t="n">
        <v>0</v>
      </c>
      <c r="K26" t="n">
        <v>0</v>
      </c>
      <c r="L26" t="n">
        <v>0</v>
      </c>
      <c r="M26" t="n">
        <v>0</v>
      </c>
      <c r="N26" t="n">
        <v>0</v>
      </c>
    </row>
    <row r="27">
      <c r="A27" t="inlineStr">
        <is>
          <t>perquisites of court</t>
        </is>
      </c>
      <c r="B27" t="inlineStr">
        <is>
          <t>total, 18 shilling 7pence.</t>
        </is>
      </c>
      <c r="C27" t="n">
        <v>0.93</v>
      </c>
      <c r="D27" t="n">
        <v>0</v>
      </c>
      <c r="E27" t="n">
        <v>18</v>
      </c>
      <c r="F27" t="n">
        <v>7</v>
      </c>
      <c r="H27" t="n">
        <v>0</v>
      </c>
      <c r="I27" t="n">
        <v>0</v>
      </c>
      <c r="J27" t="n">
        <v>0</v>
      </c>
      <c r="K27" t="n">
        <v>0</v>
      </c>
      <c r="L27" t="n">
        <v>0</v>
      </c>
      <c r="M27" t="n">
        <v>0</v>
      </c>
      <c r="N27" t="n">
        <v>0</v>
      </c>
    </row>
    <row r="28">
      <c r="A28" t="inlineStr">
        <is>
          <t>foreign receipts</t>
        </is>
      </c>
      <c r="B28" t="inlineStr">
        <is>
          <t>and for £10 from the fee of laurence morgays and margaret his wife, allowed the  previous year and not paid to him.</t>
        </is>
      </c>
      <c r="C28" t="n">
        <v>10</v>
      </c>
      <c r="D28" t="n">
        <v>10</v>
      </c>
      <c r="E28" t="n">
        <v>0</v>
      </c>
      <c r="F28" t="n">
        <v>0</v>
      </c>
      <c r="H28" t="n">
        <v>0</v>
      </c>
      <c r="I28" t="n">
        <v>0</v>
      </c>
      <c r="J28" t="n">
        <v>0</v>
      </c>
      <c r="K28" t="n">
        <v>0</v>
      </c>
      <c r="L28" t="n">
        <v>0</v>
      </c>
      <c r="M28" t="n">
        <v>0</v>
      </c>
      <c r="N28" t="n">
        <v>0</v>
      </c>
    </row>
    <row r="29">
      <c r="A29" t="inlineStr">
        <is>
          <t>foreign receipts</t>
        </is>
      </c>
      <c r="B29" t="inlineStr">
        <is>
          <t>total, £10..</t>
        </is>
      </c>
      <c r="C29" t="n">
        <v>10</v>
      </c>
      <c r="D29" t="n">
        <v>10</v>
      </c>
      <c r="E29" t="n">
        <v>0</v>
      </c>
      <c r="F29" t="n">
        <v>0</v>
      </c>
      <c r="H29" t="n">
        <v>0</v>
      </c>
      <c r="I29" t="n">
        <v>0</v>
      </c>
      <c r="J29" t="n">
        <v>0</v>
      </c>
      <c r="K29" t="n">
        <v>0</v>
      </c>
      <c r="L29" t="n">
        <v>0</v>
      </c>
      <c r="M29" t="n">
        <v>0</v>
      </c>
      <c r="N29" t="n">
        <v>0</v>
      </c>
    </row>
    <row r="30">
      <c r="A30" t="inlineStr">
        <is>
          <t>total of all receipts</t>
        </is>
      </c>
      <c r="B30" t="inlineStr">
        <is>
          <t>total of all receipts, £74 10 shilling 7pence.</t>
        </is>
      </c>
      <c r="C30" t="n">
        <v>74.53</v>
      </c>
      <c r="D30" t="n">
        <v>74</v>
      </c>
      <c r="E30" t="n">
        <v>10</v>
      </c>
      <c r="F30" t="n">
        <v>7</v>
      </c>
      <c r="H30" t="n">
        <v>0</v>
      </c>
      <c r="I30" t="n">
        <v>0</v>
      </c>
      <c r="J30" t="n">
        <v>0</v>
      </c>
      <c r="K30" t="n">
        <v>0</v>
      </c>
      <c r="L30" t="n">
        <v>0</v>
      </c>
      <c r="M30" t="n">
        <v>0</v>
      </c>
      <c r="N30" t="n">
        <v>0</v>
      </c>
    </row>
    <row r="31">
      <c r="A31" t="inlineStr">
        <is>
          <t>purchase of stock</t>
        </is>
      </c>
      <c r="B31" t="inlineStr">
        <is>
          <t>in 97 wethers bought before shearing as made clear elsewhere £10 1 shilling 2pence, at 2 shilling 44..</t>
        </is>
      </c>
      <c r="C31" t="n">
        <v>10.06</v>
      </c>
      <c r="D31" t="n">
        <v>10</v>
      </c>
      <c r="E31" t="n">
        <v>1</v>
      </c>
      <c r="F31" t="n">
        <v>2</v>
      </c>
      <c r="H31" t="n">
        <v>0</v>
      </c>
      <c r="I31" t="n">
        <v>0</v>
      </c>
      <c r="J31" t="n">
        <v>0</v>
      </c>
      <c r="K31" t="n">
        <v>0</v>
      </c>
      <c r="L31" t="n">
        <v>0</v>
      </c>
      <c r="M31" t="n">
        <v>0</v>
      </c>
      <c r="N31" t="n">
        <v>0</v>
      </c>
    </row>
    <row r="32">
      <c r="A32" t="inlineStr">
        <is>
          <t>purchase of stock</t>
        </is>
      </c>
      <c r="B32" t="inlineStr">
        <is>
          <t>each for 20, 2 shilling 2pence each for 40, and 1 shilling 10pence each for 37..</t>
        </is>
      </c>
      <c r="C32" t="n">
        <v>0.11</v>
      </c>
      <c r="D32" t="n">
        <v>0</v>
      </c>
      <c r="E32" t="n">
        <v>2</v>
      </c>
      <c r="F32" t="n">
        <v>2</v>
      </c>
      <c r="H32" t="n">
        <v>0</v>
      </c>
      <c r="I32" t="n">
        <v>0</v>
      </c>
      <c r="J32" t="n">
        <v>0</v>
      </c>
      <c r="K32" t="n">
        <v>0</v>
      </c>
      <c r="L32" t="n">
        <v>0</v>
      </c>
      <c r="M32" t="n">
        <v>0</v>
      </c>
      <c r="N32" t="n">
        <v>0</v>
      </c>
    </row>
    <row r="33">
      <c r="A33" t="inlineStr">
        <is>
          <t>purchase of stock</t>
        </is>
      </c>
      <c r="B33" t="inlineStr">
        <is>
          <t>total, £10 1 shilling 2pence.</t>
        </is>
      </c>
      <c r="C33" t="n">
        <v>10.06</v>
      </c>
      <c r="D33" t="n">
        <v>10</v>
      </c>
      <c r="E33" t="n">
        <v>1</v>
      </c>
      <c r="F33" t="n">
        <v>2</v>
      </c>
      <c r="H33" t="n">
        <v>0</v>
      </c>
      <c r="I33" t="n">
        <v>0</v>
      </c>
      <c r="J33" t="n">
        <v>0</v>
      </c>
      <c r="K33" t="n">
        <v>0</v>
      </c>
      <c r="L33" t="n">
        <v>0</v>
      </c>
      <c r="M33" t="n">
        <v>0</v>
      </c>
      <c r="N33" t="n">
        <v>0</v>
      </c>
    </row>
    <row r="34">
      <c r="A34" t="inlineStr">
        <is>
          <t>cost of buildings</t>
        </is>
      </c>
      <c r="B34" t="inlineStr">
        <is>
          <t>in 2,000 tiles bought 8 shilling, at 4 shilling a 1,000..</t>
        </is>
      </c>
      <c r="C34" t="n">
        <v>0.4</v>
      </c>
      <c r="D34" t="n">
        <v>0</v>
      </c>
      <c r="E34" t="n">
        <v>8</v>
      </c>
      <c r="F34" t="n">
        <v>0</v>
      </c>
      <c r="H34" t="n">
        <v>0</v>
      </c>
      <c r="I34" t="n">
        <v>0</v>
      </c>
      <c r="J34" t="n">
        <v>0</v>
      </c>
      <c r="K34" t="n">
        <v>0</v>
      </c>
      <c r="L34" t="n">
        <v>0</v>
      </c>
      <c r="M34" t="n">
        <v>0</v>
      </c>
      <c r="N34" t="n">
        <v>0</v>
      </c>
    </row>
    <row r="35">
      <c r="A35" t="inlineStr">
        <is>
          <t>cost of buildings</t>
        </is>
      </c>
      <c r="B35" t="inlineStr">
        <is>
          <t>300 hollow tiles (holewerk') bought 12 shilling, at 4 shilling a 100..</t>
        </is>
      </c>
      <c r="C35" t="n">
        <v>0.6</v>
      </c>
      <c r="D35" t="n">
        <v>0</v>
      </c>
      <c r="E35" t="n">
        <v>12</v>
      </c>
      <c r="F35" t="n">
        <v>0</v>
      </c>
      <c r="H35" t="n">
        <v>0</v>
      </c>
      <c r="I35" t="n">
        <v>0</v>
      </c>
      <c r="J35" t="n">
        <v>0</v>
      </c>
      <c r="K35" t="n">
        <v>0</v>
      </c>
      <c r="L35" t="n">
        <v>0</v>
      </c>
      <c r="M35" t="n">
        <v>0</v>
      </c>
      <c r="N35" t="n">
        <v>0</v>
      </c>
    </row>
    <row r="36">
      <c r="A36" t="inlineStr">
        <is>
          <t>cost of buildings</t>
        </is>
      </c>
      <c r="B36" t="inlineStr">
        <is>
          <t>3 quarters of limestone bought 4 shilling, at 1 shilling 4pence a quarters.</t>
        </is>
      </c>
      <c r="C36" t="n">
        <v>0.22</v>
      </c>
      <c r="D36" t="n">
        <v>0</v>
      </c>
      <c r="E36" t="n">
        <v>4</v>
      </c>
      <c r="F36" t="n">
        <v>4</v>
      </c>
      <c r="H36" t="n">
        <v>3</v>
      </c>
      <c r="I36" t="n">
        <v>0</v>
      </c>
      <c r="J36" t="n">
        <v>3</v>
      </c>
      <c r="K36" t="n">
        <v>3</v>
      </c>
      <c r="L36" t="n">
        <v>0</v>
      </c>
      <c r="M36" t="n">
        <v>3</v>
      </c>
      <c r="N36" t="n">
        <v>0</v>
      </c>
      <c r="S36" t="n">
        <v>1</v>
      </c>
      <c r="T36" t="n">
        <v>4</v>
      </c>
    </row>
    <row r="37">
      <c r="A37" t="inlineStr">
        <is>
          <t>cost of buildings</t>
        </is>
      </c>
      <c r="B37" t="inlineStr">
        <is>
          <t>carrying the said limestone 3 shilling 4pence.</t>
        </is>
      </c>
      <c r="C37" t="n">
        <v>0.17</v>
      </c>
      <c r="D37" t="n">
        <v>0</v>
      </c>
      <c r="E37" t="n">
        <v>3</v>
      </c>
      <c r="F37" t="n">
        <v>4</v>
      </c>
      <c r="H37" t="n">
        <v>0</v>
      </c>
      <c r="I37" t="n">
        <v>0</v>
      </c>
      <c r="J37" t="n">
        <v>0</v>
      </c>
      <c r="K37" t="n">
        <v>0</v>
      </c>
      <c r="L37" t="n">
        <v>0</v>
      </c>
      <c r="M37" t="n">
        <v>0</v>
      </c>
      <c r="N37" t="n">
        <v>0</v>
      </c>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c r="H38" t="n">
        <v>0</v>
      </c>
      <c r="I38" t="n">
        <v>0</v>
      </c>
      <c r="J38" t="n">
        <v>0</v>
      </c>
      <c r="K38" t="n">
        <v>0</v>
      </c>
      <c r="L38" t="n">
        <v>0</v>
      </c>
      <c r="M38" t="n">
        <v>0</v>
      </c>
      <c r="N38" t="n">
        <v>0</v>
      </c>
    </row>
    <row r="39">
      <c r="A39" t="inlineStr">
        <is>
          <t>cost of buildings</t>
        </is>
      </c>
      <c r="B39" t="inlineStr">
        <is>
          <t>carrying timber from the lord's wood to the same at various times 2 shilling.</t>
        </is>
      </c>
      <c r="C39" t="n">
        <v>0.1</v>
      </c>
      <c r="D39" t="n">
        <v>0</v>
      </c>
      <c r="E39" t="n">
        <v>2</v>
      </c>
      <c r="F39" t="n">
        <v>0</v>
      </c>
      <c r="H39" t="n">
        <v>0</v>
      </c>
      <c r="I39" t="n">
        <v>0</v>
      </c>
      <c r="J39" t="n">
        <v>0</v>
      </c>
      <c r="K39" t="n">
        <v>0</v>
      </c>
      <c r="L39" t="n">
        <v>0</v>
      </c>
      <c r="M39" t="n">
        <v>0</v>
      </c>
      <c r="N39" t="n">
        <v>0</v>
      </c>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c r="H40" t="n">
        <v>0</v>
      </c>
      <c r="I40" t="n">
        <v>0</v>
      </c>
      <c r="J40" t="n">
        <v>0</v>
      </c>
      <c r="K40" t="n">
        <v>0</v>
      </c>
      <c r="L40" t="n">
        <v>0</v>
      </c>
      <c r="M40" t="n">
        <v>0</v>
      </c>
      <c r="N40" t="n">
        <v>0</v>
      </c>
    </row>
    <row r="41">
      <c r="A41" t="inlineStr">
        <is>
          <t>cost of buildings</t>
        </is>
      </c>
      <c r="B41" t="inlineStr">
        <is>
          <t>hiring his mate for the same for 26 days 8 shilling 8pence, taking 4pence a day.</t>
        </is>
      </c>
      <c r="C41" t="n">
        <v>0.43</v>
      </c>
      <c r="D41" t="n">
        <v>0</v>
      </c>
      <c r="E41" t="n">
        <v>8</v>
      </c>
      <c r="F41" t="n">
        <v>8</v>
      </c>
      <c r="H41" t="n">
        <v>0</v>
      </c>
      <c r="I41" t="n">
        <v>0</v>
      </c>
      <c r="J41" t="n">
        <v>0</v>
      </c>
      <c r="K41" t="n">
        <v>0</v>
      </c>
      <c r="L41" t="n">
        <v>0</v>
      </c>
      <c r="M41" t="n">
        <v>0</v>
      </c>
      <c r="N41" t="n">
        <v>0</v>
      </c>
    </row>
    <row r="42">
      <c r="A42" t="inlineStr">
        <is>
          <t>cost of buildings</t>
        </is>
      </c>
      <c r="B42" t="inlineStr">
        <is>
          <t>payment for making 1,000 laths from the lord's timber 3 shilling.</t>
        </is>
      </c>
      <c r="C42" t="n">
        <v>0.15</v>
      </c>
      <c r="D42" t="n">
        <v>0</v>
      </c>
      <c r="E42" t="n">
        <v>3</v>
      </c>
      <c r="F42" t="n">
        <v>0</v>
      </c>
      <c r="H42" t="n">
        <v>0</v>
      </c>
      <c r="I42" t="n">
        <v>0</v>
      </c>
      <c r="J42" t="n">
        <v>0</v>
      </c>
      <c r="K42" t="n">
        <v>0</v>
      </c>
      <c r="L42" t="n">
        <v>0</v>
      </c>
      <c r="M42" t="n">
        <v>0</v>
      </c>
      <c r="N42" t="n">
        <v>0</v>
      </c>
    </row>
    <row r="43">
      <c r="A43" t="inlineStr">
        <is>
          <t>cost of buildings</t>
        </is>
      </c>
      <c r="B43" t="inlineStr">
        <is>
          <t>4,000 lath-nails bought 4 shilling 8pence.</t>
        </is>
      </c>
      <c r="C43" t="n">
        <v>0.23</v>
      </c>
      <c r="D43" t="n">
        <v>0</v>
      </c>
      <c r="E43" t="n">
        <v>4</v>
      </c>
      <c r="F43" t="n">
        <v>8</v>
      </c>
      <c r="H43" t="n">
        <v>0</v>
      </c>
      <c r="I43" t="n">
        <v>0</v>
      </c>
      <c r="J43" t="n">
        <v>0</v>
      </c>
      <c r="K43" t="n">
        <v>0</v>
      </c>
      <c r="L43" t="n">
        <v>0</v>
      </c>
      <c r="M43" t="n">
        <v>0</v>
      </c>
      <c r="N43" t="n">
        <v>0</v>
      </c>
    </row>
    <row r="44">
      <c r="A44" t="inlineStr">
        <is>
          <t>cost of buildings</t>
        </is>
      </c>
      <c r="B44" t="inlineStr">
        <is>
          <t>300 board-nails bought 1 shilling 6pence.</t>
        </is>
      </c>
      <c r="C44" t="n">
        <v>0.08</v>
      </c>
      <c r="D44" t="n">
        <v>0</v>
      </c>
      <c r="E44" t="n">
        <v>1</v>
      </c>
      <c r="F44" t="n">
        <v>6</v>
      </c>
      <c r="H44" t="n">
        <v>0</v>
      </c>
      <c r="I44" t="n">
        <v>0</v>
      </c>
      <c r="J44" t="n">
        <v>0</v>
      </c>
      <c r="K44" t="n">
        <v>0</v>
      </c>
      <c r="L44" t="n">
        <v>0</v>
      </c>
      <c r="M44" t="n">
        <v>0</v>
      </c>
      <c r="N44" t="n">
        <v>0</v>
      </c>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c r="H45" t="n">
        <v>0</v>
      </c>
      <c r="I45" t="n">
        <v>0</v>
      </c>
      <c r="J45" t="n">
        <v>0</v>
      </c>
      <c r="K45" t="n">
        <v>0</v>
      </c>
      <c r="L45" t="n">
        <v>0</v>
      </c>
      <c r="M45" t="n">
        <v>0</v>
      </c>
      <c r="N45" t="n">
        <v>0</v>
      </c>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c r="H46" t="n">
        <v>0</v>
      </c>
      <c r="I46" t="n">
        <v>0</v>
      </c>
      <c r="J46" t="n">
        <v>0</v>
      </c>
      <c r="K46" t="n">
        <v>0</v>
      </c>
      <c r="L46" t="n">
        <v>0</v>
      </c>
      <c r="M46" t="n">
        <v>0</v>
      </c>
      <c r="N46" t="n">
        <v>0</v>
      </c>
    </row>
    <row r="47">
      <c r="A47" t="inlineStr">
        <is>
          <t>cost of buildings</t>
        </is>
      </c>
      <c r="B47" t="inlineStr">
        <is>
          <t>payment for the hay bought for the horse of geoffrey pencrych', the lord's warrener, for the year 10 shilling.</t>
        </is>
      </c>
      <c r="C47" t="n">
        <v>0.5</v>
      </c>
      <c r="D47" t="n">
        <v>0</v>
      </c>
      <c r="E47" t="n">
        <v>10</v>
      </c>
      <c r="F47" t="n">
        <v>0</v>
      </c>
      <c r="H47" t="n">
        <v>0</v>
      </c>
      <c r="I47" t="n">
        <v>0</v>
      </c>
      <c r="J47" t="n">
        <v>0</v>
      </c>
      <c r="K47" t="n">
        <v>0</v>
      </c>
      <c r="L47" t="n">
        <v>0</v>
      </c>
      <c r="M47" t="n">
        <v>0</v>
      </c>
      <c r="N47" t="n">
        <v>0</v>
      </c>
    </row>
    <row r="48">
      <c r="A48" t="inlineStr">
        <is>
          <t>cost of buildings</t>
        </is>
      </c>
      <c r="B48" t="inlineStr">
        <is>
          <t>8 cart-loads of straw bought for thatching the sheepcote 8 shilling.</t>
        </is>
      </c>
      <c r="C48" t="n">
        <v>0.4</v>
      </c>
      <c r="D48" t="n">
        <v>0</v>
      </c>
      <c r="E48" t="n">
        <v>8</v>
      </c>
      <c r="F48" t="n">
        <v>0</v>
      </c>
      <c r="H48" t="n">
        <v>0</v>
      </c>
      <c r="I48" t="n">
        <v>0</v>
      </c>
      <c r="J48" t="n">
        <v>0</v>
      </c>
      <c r="K48" t="n">
        <v>0</v>
      </c>
      <c r="L48" t="n">
        <v>0</v>
      </c>
      <c r="M48" t="n">
        <v>0</v>
      </c>
      <c r="N48" t="n">
        <v>0</v>
      </c>
    </row>
    <row r="49">
      <c r="A49" t="inlineStr">
        <is>
          <t>cost of buildings</t>
        </is>
      </c>
      <c r="B49" t="inlineStr">
        <is>
          <t>carrying the said straw to the sheepcote 1 shilling 4pence.</t>
        </is>
      </c>
      <c r="C49" t="n">
        <v>0.07000000000000001</v>
      </c>
      <c r="D49" t="n">
        <v>0</v>
      </c>
      <c r="E49" t="n">
        <v>1</v>
      </c>
      <c r="F49" t="n">
        <v>4</v>
      </c>
      <c r="H49" t="n">
        <v>0</v>
      </c>
      <c r="I49" t="n">
        <v>0</v>
      </c>
      <c r="J49" t="n">
        <v>0</v>
      </c>
      <c r="K49" t="n">
        <v>0</v>
      </c>
      <c r="L49" t="n">
        <v>0</v>
      </c>
      <c r="M49" t="n">
        <v>0</v>
      </c>
      <c r="N49" t="n">
        <v>0</v>
      </c>
    </row>
    <row r="50">
      <c r="A50" t="inlineStr">
        <is>
          <t>cost of buildings</t>
        </is>
      </c>
      <c r="B50" t="inlineStr">
        <is>
          <t>hiring 1 thatcher (tect') with his mate to thatch the said sheepcote by piece-work 10 shilling.</t>
        </is>
      </c>
      <c r="C50" t="n">
        <v>0.5</v>
      </c>
      <c r="D50" t="n">
        <v>0</v>
      </c>
      <c r="E50" t="n">
        <v>10</v>
      </c>
      <c r="F50" t="n">
        <v>0</v>
      </c>
      <c r="H50" t="n">
        <v>0</v>
      </c>
      <c r="I50" t="n">
        <v>0</v>
      </c>
      <c r="J50" t="n">
        <v>0</v>
      </c>
      <c r="K50" t="n">
        <v>0</v>
      </c>
      <c r="L50" t="n">
        <v>0</v>
      </c>
      <c r="M50" t="n">
        <v>0</v>
      </c>
      <c r="N50" t="n">
        <v>0</v>
      </c>
    </row>
    <row r="51">
      <c r="A51" t="inlineStr">
        <is>
          <t>cost of buildings</t>
        </is>
      </c>
      <c r="B51" t="inlineStr">
        <is>
          <t>total, £5 11 shilling 2pence.</t>
        </is>
      </c>
      <c r="C51" t="n">
        <v>5.56</v>
      </c>
      <c r="D51" t="n">
        <v>5</v>
      </c>
      <c r="E51" t="n">
        <v>11</v>
      </c>
      <c r="F51" t="n">
        <v>2</v>
      </c>
      <c r="H51" t="n">
        <v>0</v>
      </c>
      <c r="I51" t="n">
        <v>0</v>
      </c>
      <c r="J51" t="n">
        <v>0</v>
      </c>
      <c r="K51" t="n">
        <v>0</v>
      </c>
      <c r="L51" t="n">
        <v>0</v>
      </c>
      <c r="M51" t="n">
        <v>0</v>
      </c>
      <c r="N51" t="n">
        <v>0</v>
      </c>
    </row>
    <row r="52">
      <c r="A52" t="inlineStr">
        <is>
          <t>cost of the fold</t>
        </is>
      </c>
      <c r="B52" t="inlineStr">
        <is>
          <t>4 gallons of tar bought 2 shilling 8pence.</t>
        </is>
      </c>
      <c r="C52" t="n">
        <v>0.13</v>
      </c>
      <c r="D52" t="n">
        <v>0</v>
      </c>
      <c r="E52" t="n">
        <v>2</v>
      </c>
      <c r="F52" t="n">
        <v>8</v>
      </c>
      <c r="H52" t="n">
        <v>0</v>
      </c>
      <c r="I52" t="n">
        <v>0</v>
      </c>
      <c r="J52" t="n">
        <v>0</v>
      </c>
      <c r="K52" t="n">
        <v>0</v>
      </c>
      <c r="L52" t="n">
        <v>0</v>
      </c>
      <c r="M52" t="n">
        <v>0</v>
      </c>
      <c r="N52" t="n">
        <v>0</v>
      </c>
    </row>
    <row r="53">
      <c r="A53" t="inlineStr">
        <is>
          <t>cost of the fold</t>
        </is>
      </c>
      <c r="B53" t="inlineStr">
        <is>
          <t>grease bought 3 shilling 4pence.</t>
        </is>
      </c>
      <c r="C53" t="n">
        <v>0.17</v>
      </c>
      <c r="D53" t="n">
        <v>0</v>
      </c>
      <c r="E53" t="n">
        <v>3</v>
      </c>
      <c r="F53" t="n">
        <v>4</v>
      </c>
      <c r="H53" t="n">
        <v>0</v>
      </c>
      <c r="I53" t="n">
        <v>0</v>
      </c>
      <c r="J53" t="n">
        <v>0</v>
      </c>
      <c r="K53" t="n">
        <v>0</v>
      </c>
      <c r="L53" t="n">
        <v>0</v>
      </c>
      <c r="M53" t="n">
        <v>0</v>
      </c>
      <c r="N53" t="n">
        <v>0</v>
      </c>
    </row>
    <row r="54">
      <c r="A54" t="inlineStr">
        <is>
          <t>cost of the fold</t>
        </is>
      </c>
      <c r="B54" t="inlineStr">
        <is>
          <t>red ochre bought 6pence.</t>
        </is>
      </c>
      <c r="C54" t="n">
        <v>0.03</v>
      </c>
      <c r="D54" t="n">
        <v>0</v>
      </c>
      <c r="E54" t="n">
        <v>0</v>
      </c>
      <c r="F54" t="n">
        <v>6</v>
      </c>
      <c r="H54" t="n">
        <v>0</v>
      </c>
      <c r="I54" t="n">
        <v>0</v>
      </c>
      <c r="J54" t="n">
        <v>0</v>
      </c>
      <c r="K54" t="n">
        <v>0</v>
      </c>
      <c r="L54" t="n">
        <v>0</v>
      </c>
      <c r="M54" t="n">
        <v>0</v>
      </c>
      <c r="N54" t="n">
        <v>0</v>
      </c>
    </row>
    <row r="55">
      <c r="A55" t="inlineStr">
        <is>
          <t>cost of the fold</t>
        </is>
      </c>
      <c r="B55" t="inlineStr">
        <is>
          <t>24 hurdles bought 6 shilling, at 3pence a hurdle.</t>
        </is>
      </c>
      <c r="C55" t="n">
        <v>0.31</v>
      </c>
      <c r="D55" t="n">
        <v>0</v>
      </c>
      <c r="E55" t="n">
        <v>6</v>
      </c>
      <c r="F55" t="n">
        <v>3</v>
      </c>
      <c r="H55" t="n">
        <v>0</v>
      </c>
      <c r="I55" t="n">
        <v>0</v>
      </c>
      <c r="J55" t="n">
        <v>0</v>
      </c>
      <c r="K55" t="n">
        <v>0</v>
      </c>
      <c r="L55" t="n">
        <v>0</v>
      </c>
      <c r="M55" t="n">
        <v>0</v>
      </c>
      <c r="N55" t="n">
        <v>0</v>
      </c>
    </row>
    <row r="56">
      <c r="A56" t="inlineStr">
        <is>
          <t>cost of the fold</t>
        </is>
      </c>
      <c r="B56" t="inlineStr">
        <is>
          <t>washing and shearing 305 wethers this year 5 shilling.</t>
        </is>
      </c>
      <c r="C56" t="n">
        <v>0.25</v>
      </c>
      <c r="D56" t="n">
        <v>0</v>
      </c>
      <c r="E56" t="n">
        <v>5</v>
      </c>
      <c r="F56" t="n">
        <v>0</v>
      </c>
      <c r="H56" t="n">
        <v>0</v>
      </c>
      <c r="I56" t="n">
        <v>0</v>
      </c>
      <c r="J56" t="n">
        <v>0</v>
      </c>
      <c r="K56" t="n">
        <v>0</v>
      </c>
      <c r="L56" t="n">
        <v>0</v>
      </c>
      <c r="M56" t="n">
        <v>0</v>
      </c>
      <c r="N56" t="n">
        <v>0</v>
      </c>
    </row>
    <row r="57">
      <c r="A57" t="inlineStr">
        <is>
          <t>cost of the fold</t>
        </is>
      </c>
      <c r="B57" t="inlineStr">
        <is>
          <t>total, 17 shilling 6pence.</t>
        </is>
      </c>
      <c r="C57" t="n">
        <v>0.88</v>
      </c>
      <c r="D57" t="n">
        <v>0</v>
      </c>
      <c r="E57" t="n">
        <v>17</v>
      </c>
      <c r="F57" t="n">
        <v>6</v>
      </c>
      <c r="H57" t="n">
        <v>0</v>
      </c>
      <c r="I57" t="n">
        <v>0</v>
      </c>
      <c r="J57" t="n">
        <v>0</v>
      </c>
      <c r="K57" t="n">
        <v>0</v>
      </c>
      <c r="L57" t="n">
        <v>0</v>
      </c>
      <c r="M57" t="n">
        <v>0</v>
      </c>
      <c r="N57" t="n">
        <v>0</v>
      </c>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c r="H58" t="n">
        <v>0</v>
      </c>
      <c r="I58" t="n">
        <v>0</v>
      </c>
      <c r="J58" t="n">
        <v>0</v>
      </c>
      <c r="K58" t="n">
        <v>0</v>
      </c>
      <c r="L58" t="n">
        <v>0</v>
      </c>
      <c r="M58" t="n">
        <v>0</v>
      </c>
      <c r="N58" t="n">
        <v>0</v>
      </c>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c r="G59" t="inlineStr">
        <is>
          <t>wheat</t>
        </is>
      </c>
      <c r="H59" t="n">
        <v>0</v>
      </c>
      <c r="I59" t="n">
        <v>5.5</v>
      </c>
      <c r="J59" t="n">
        <v>0.6899999999999999</v>
      </c>
      <c r="K59" t="n">
        <v>0.6899999999999999</v>
      </c>
      <c r="L59" t="n">
        <v>0</v>
      </c>
      <c r="M59" t="n">
        <v>0</v>
      </c>
      <c r="N59" t="n">
        <v>5.5</v>
      </c>
      <c r="O59" t="n">
        <v>0</v>
      </c>
      <c r="P59" t="n">
        <v>3</v>
      </c>
      <c r="Q59" t="n">
        <v>0</v>
      </c>
      <c r="R59" t="n">
        <v>2.5</v>
      </c>
      <c r="AA59" t="n">
        <v>1</v>
      </c>
      <c r="AB59" t="n">
        <v>0</v>
      </c>
      <c r="AC59" t="n">
        <v>1</v>
      </c>
      <c r="AD59" t="n">
        <v>6</v>
      </c>
    </row>
    <row r="60">
      <c r="A60" t="inlineStr">
        <is>
          <t>expenses of the steward</t>
        </is>
      </c>
      <c r="B60" t="inlineStr">
        <is>
          <t>3 quarters 7 bushels of oats bought for the same 9 shilling 10pence, at 2 shilling a quarters for 2 quarters 2.5 bushels, and 3 shilling 4pence a quarters for 1 quarters 4.5 bushels.</t>
        </is>
      </c>
      <c r="C60" t="n">
        <v>0.49</v>
      </c>
      <c r="D60" t="n">
        <v>0</v>
      </c>
      <c r="E60" t="n">
        <v>9</v>
      </c>
      <c r="F60" t="n">
        <v>10</v>
      </c>
      <c r="G60" t="inlineStr">
        <is>
          <t>oats</t>
        </is>
      </c>
      <c r="H60" t="n">
        <v>3</v>
      </c>
      <c r="I60" t="n">
        <v>7</v>
      </c>
      <c r="J60" t="n">
        <v>3.88</v>
      </c>
      <c r="K60" t="n">
        <v>3.88</v>
      </c>
      <c r="L60" t="n">
        <v>0</v>
      </c>
      <c r="M60" t="n">
        <v>3</v>
      </c>
      <c r="N60" t="n">
        <v>7</v>
      </c>
      <c r="O60" t="n">
        <v>2</v>
      </c>
      <c r="P60" t="n">
        <v>2.5</v>
      </c>
      <c r="Q60" t="n">
        <v>1</v>
      </c>
      <c r="R60" t="n">
        <v>4.5</v>
      </c>
      <c r="S60" t="n">
        <v>2</v>
      </c>
      <c r="T60" t="n">
        <v>0</v>
      </c>
      <c r="U60" t="n">
        <v>3</v>
      </c>
      <c r="V60" t="n">
        <v>4</v>
      </c>
    </row>
    <row r="61">
      <c r="A61" t="inlineStr">
        <is>
          <t>expenses of the steward</t>
        </is>
      </c>
      <c r="B61" t="inlineStr">
        <is>
          <t>total, £1 12 shilling 9.5.d.</t>
        </is>
      </c>
      <c r="C61" t="n">
        <v>1.6</v>
      </c>
      <c r="D61" t="n">
        <v>1</v>
      </c>
      <c r="E61" t="n">
        <v>12</v>
      </c>
      <c r="F61" t="n">
        <v>0</v>
      </c>
      <c r="H61" t="n">
        <v>0</v>
      </c>
      <c r="I61" t="n">
        <v>0</v>
      </c>
      <c r="J61" t="n">
        <v>0</v>
      </c>
      <c r="K61" t="n">
        <v>0</v>
      </c>
      <c r="L61" t="n">
        <v>0</v>
      </c>
      <c r="M61" t="n">
        <v>0</v>
      </c>
      <c r="N61" t="n">
        <v>0</v>
      </c>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c r="H62" t="n">
        <v>0</v>
      </c>
      <c r="I62" t="n">
        <v>0</v>
      </c>
      <c r="J62" t="n">
        <v>0</v>
      </c>
      <c r="K62" t="n">
        <v>0</v>
      </c>
      <c r="L62" t="n">
        <v>0</v>
      </c>
      <c r="M62" t="n">
        <v>0</v>
      </c>
      <c r="N62" t="n">
        <v>0</v>
      </c>
    </row>
    <row r="63">
      <c r="A63" t="inlineStr">
        <is>
          <t>wages and stipends</t>
        </is>
      </c>
      <c r="B63" t="inlineStr">
        <is>
          <t>wages of 1 warrener for the year £3 10pence, taking 2pence a day.</t>
        </is>
      </c>
      <c r="C63" t="n">
        <v>3.04</v>
      </c>
      <c r="D63" t="n">
        <v>3</v>
      </c>
      <c r="E63" t="n">
        <v>0</v>
      </c>
      <c r="F63" t="n">
        <v>10</v>
      </c>
      <c r="H63" t="n">
        <v>0</v>
      </c>
      <c r="I63" t="n">
        <v>0</v>
      </c>
      <c r="J63" t="n">
        <v>0</v>
      </c>
      <c r="K63" t="n">
        <v>0</v>
      </c>
      <c r="L63" t="n">
        <v>0</v>
      </c>
      <c r="M63" t="n">
        <v>0</v>
      </c>
      <c r="N63" t="n">
        <v>0</v>
      </c>
    </row>
    <row r="64">
      <c r="A64" t="inlineStr">
        <is>
          <t>wages and stipends</t>
        </is>
      </c>
      <c r="B64" t="inlineStr">
        <is>
          <t>stipend of 1 warrener for the year 6 shilling 8pence.</t>
        </is>
      </c>
      <c r="C64" t="n">
        <v>0.33</v>
      </c>
      <c r="D64" t="n">
        <v>0</v>
      </c>
      <c r="E64" t="n">
        <v>6</v>
      </c>
      <c r="F64" t="n">
        <v>8</v>
      </c>
      <c r="H64" t="n">
        <v>0</v>
      </c>
      <c r="I64" t="n">
        <v>0</v>
      </c>
      <c r="J64" t="n">
        <v>0</v>
      </c>
      <c r="K64" t="n">
        <v>0</v>
      </c>
      <c r="L64" t="n">
        <v>0</v>
      </c>
      <c r="M64" t="n">
        <v>0</v>
      </c>
      <c r="N64" t="n">
        <v>0</v>
      </c>
    </row>
    <row r="65">
      <c r="A65" t="inlineStr">
        <is>
          <t>wages and stipends</t>
        </is>
      </c>
      <c r="B65" t="inlineStr">
        <is>
          <t>total, £6 14 shilling 2pence.</t>
        </is>
      </c>
      <c r="C65" t="n">
        <v>6.71</v>
      </c>
      <c r="D65" t="n">
        <v>6</v>
      </c>
      <c r="E65" t="n">
        <v>14</v>
      </c>
      <c r="F65" t="n">
        <v>2</v>
      </c>
      <c r="H65" t="n">
        <v>0</v>
      </c>
      <c r="I65" t="n">
        <v>0</v>
      </c>
      <c r="J65" t="n">
        <v>0</v>
      </c>
      <c r="K65" t="n">
        <v>0</v>
      </c>
      <c r="L65" t="n">
        <v>0</v>
      </c>
      <c r="M65" t="n">
        <v>0</v>
      </c>
      <c r="N65" t="n">
        <v>0</v>
      </c>
    </row>
    <row r="66">
      <c r="A66" t="inlineStr">
        <is>
          <t>total of all expenses</t>
        </is>
      </c>
      <c r="B66" t="inlineStr">
        <is>
          <t>total of all expenses, £24 16 shilling 9.5pence.</t>
        </is>
      </c>
      <c r="C66" t="n">
        <v>24.84</v>
      </c>
      <c r="D66" t="n">
        <v>24</v>
      </c>
      <c r="E66" t="n">
        <v>16</v>
      </c>
      <c r="F66" t="n">
        <v>9.5</v>
      </c>
      <c r="H66" t="n">
        <v>0</v>
      </c>
      <c r="I66" t="n">
        <v>0</v>
      </c>
      <c r="J66" t="n">
        <v>0</v>
      </c>
      <c r="K66" t="n">
        <v>0</v>
      </c>
      <c r="L66" t="n">
        <v>0</v>
      </c>
      <c r="M66" t="n">
        <v>0</v>
      </c>
      <c r="N66" t="n">
        <v>0</v>
      </c>
    </row>
    <row r="67">
      <c r="A67" t="inlineStr">
        <is>
          <t>and he owes</t>
        </is>
      </c>
      <c r="B67" t="inlineStr">
        <is>
          <t>and he owes, £49 13 shilling 9.5pence.</t>
        </is>
      </c>
      <c r="C67" t="n">
        <v>49.69</v>
      </c>
      <c r="D67" t="n">
        <v>49</v>
      </c>
      <c r="E67" t="n">
        <v>13</v>
      </c>
      <c r="F67" t="n">
        <v>9.5</v>
      </c>
      <c r="H67" t="n">
        <v>0</v>
      </c>
      <c r="I67" t="n">
        <v>0</v>
      </c>
      <c r="J67" t="n">
        <v>0</v>
      </c>
      <c r="K67" t="n">
        <v>0</v>
      </c>
      <c r="L67" t="n">
        <v>0</v>
      </c>
      <c r="M67" t="n">
        <v>0</v>
      </c>
      <c r="N67" t="n">
        <v>0</v>
      </c>
    </row>
    <row r="68">
      <c r="A68" t="inlineStr">
        <is>
          <t>allowances without writ</t>
        </is>
      </c>
      <c r="B68" t="inlineStr">
        <is>
          <t>in allowance to the farmer for 7 shilling 11.5pence for various disallowances made against him.</t>
        </is>
      </c>
      <c r="C68" t="n">
        <v>0.4</v>
      </c>
      <c r="D68" t="n">
        <v>0</v>
      </c>
      <c r="E68" t="n">
        <v>7</v>
      </c>
      <c r="F68" t="n">
        <v>11.5</v>
      </c>
      <c r="H68" t="n">
        <v>0</v>
      </c>
      <c r="I68" t="n">
        <v>0</v>
      </c>
      <c r="J68" t="n">
        <v>0</v>
      </c>
      <c r="K68" t="n">
        <v>0</v>
      </c>
      <c r="L68" t="n">
        <v>0</v>
      </c>
      <c r="M68" t="n">
        <v>0</v>
      </c>
      <c r="N68" t="n">
        <v>0</v>
      </c>
    </row>
    <row r="69">
      <c r="A69" t="inlineStr">
        <is>
          <t>allowances without writ</t>
        </is>
      </c>
      <c r="B69" t="inlineStr">
        <is>
          <t>in the present account above.</t>
        </is>
      </c>
      <c r="C69" t="n">
        <v>0</v>
      </c>
      <c r="D69" t="n">
        <v>0</v>
      </c>
      <c r="E69" t="n">
        <v>0</v>
      </c>
      <c r="F69" t="n">
        <v>0</v>
      </c>
      <c r="H69" t="n">
        <v>0</v>
      </c>
      <c r="I69" t="n">
        <v>0</v>
      </c>
      <c r="J69" t="n">
        <v>0</v>
      </c>
      <c r="K69" t="n">
        <v>0</v>
      </c>
      <c r="L69" t="n">
        <v>0</v>
      </c>
      <c r="M69" t="n">
        <v>0</v>
      </c>
      <c r="N69" t="n">
        <v>0</v>
      </c>
    </row>
    <row r="70">
      <c r="A70" t="inlineStr">
        <is>
          <t>allowances without writ</t>
        </is>
      </c>
      <c r="B70" t="inlineStr">
        <is>
          <t>total, 7 shilling 11.5pence.</t>
        </is>
      </c>
      <c r="C70" t="n">
        <v>0.4</v>
      </c>
      <c r="D70" t="n">
        <v>0</v>
      </c>
      <c r="E70" t="n">
        <v>7</v>
      </c>
      <c r="F70" t="n">
        <v>11.5</v>
      </c>
      <c r="H70" t="n">
        <v>0</v>
      </c>
      <c r="I70" t="n">
        <v>0</v>
      </c>
      <c r="J70" t="n">
        <v>0</v>
      </c>
      <c r="K70" t="n">
        <v>0</v>
      </c>
      <c r="L70" t="n">
        <v>0</v>
      </c>
      <c r="M70" t="n">
        <v>0</v>
      </c>
      <c r="N70" t="n">
        <v>0</v>
      </c>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c r="H71" t="n">
        <v>0</v>
      </c>
      <c r="I71" t="n">
        <v>0</v>
      </c>
      <c r="J71" t="n">
        <v>0</v>
      </c>
      <c r="K71" t="n">
        <v>0</v>
      </c>
      <c r="L71" t="n">
        <v>0</v>
      </c>
      <c r="M71" t="n">
        <v>0</v>
      </c>
      <c r="N71" t="n">
        <v>0</v>
      </c>
    </row>
    <row r="72">
      <c r="A72" t="inlineStr">
        <is>
          <t>allowances by writ</t>
        </is>
      </c>
      <c r="B72" t="inlineStr">
        <is>
          <t>total, £36 15 shilling 10pence.</t>
        </is>
      </c>
      <c r="C72" t="n">
        <v>36.79</v>
      </c>
      <c r="D72" t="n">
        <v>36</v>
      </c>
      <c r="E72" t="n">
        <v>15</v>
      </c>
      <c r="F72" t="n">
        <v>10</v>
      </c>
      <c r="H72" t="n">
        <v>0</v>
      </c>
      <c r="I72" t="n">
        <v>0</v>
      </c>
      <c r="J72" t="n">
        <v>0</v>
      </c>
      <c r="K72" t="n">
        <v>0</v>
      </c>
      <c r="L72" t="n">
        <v>0</v>
      </c>
      <c r="M72" t="n">
        <v>0</v>
      </c>
      <c r="N72" t="n">
        <v>0</v>
      </c>
    </row>
    <row r="73">
      <c r="A73" t="inlineStr">
        <is>
          <t>cash deliveries</t>
        </is>
      </c>
      <c r="B73" t="inlineStr">
        <is>
          <t>delivered to john arnold', receiver of wolvesey, by 1 tally, £10..</t>
        </is>
      </c>
      <c r="C73" t="n">
        <v>10</v>
      </c>
      <c r="D73" t="n">
        <v>10</v>
      </c>
      <c r="E73" t="n">
        <v>0</v>
      </c>
      <c r="F73" t="n">
        <v>0</v>
      </c>
      <c r="H73" t="n">
        <v>0</v>
      </c>
      <c r="I73" t="n">
        <v>0</v>
      </c>
      <c r="J73" t="n">
        <v>0</v>
      </c>
      <c r="K73" t="n">
        <v>0</v>
      </c>
      <c r="L73" t="n">
        <v>0</v>
      </c>
      <c r="M73" t="n">
        <v>0</v>
      </c>
      <c r="N73" t="n">
        <v>0</v>
      </c>
    </row>
    <row r="74">
      <c r="A74" t="inlineStr">
        <is>
          <t>cash deliveries</t>
        </is>
      </c>
      <c r="B74" t="inlineStr">
        <is>
          <t>total, £10..</t>
        </is>
      </c>
      <c r="C74" t="n">
        <v>10</v>
      </c>
      <c r="D74" t="n">
        <v>10</v>
      </c>
      <c r="E74" t="n">
        <v>0</v>
      </c>
      <c r="F74" t="n">
        <v>0</v>
      </c>
      <c r="H74" t="n">
        <v>0</v>
      </c>
      <c r="I74" t="n">
        <v>0</v>
      </c>
      <c r="J74" t="n">
        <v>0</v>
      </c>
      <c r="K74" t="n">
        <v>0</v>
      </c>
      <c r="L74" t="n">
        <v>0</v>
      </c>
      <c r="M74" t="n">
        <v>0</v>
      </c>
      <c r="N74" t="n">
        <v>0</v>
      </c>
    </row>
    <row r="75">
      <c r="A75" t="inlineStr">
        <is>
          <t>total of all allowances and cash deliveries</t>
        </is>
      </c>
      <c r="B75" t="inlineStr">
        <is>
          <t>total of all allowances and cash deliveries, £47 3 shilling 9.5pence.</t>
        </is>
      </c>
      <c r="C75" t="n">
        <v>47.19</v>
      </c>
      <c r="D75" t="n">
        <v>47</v>
      </c>
      <c r="E75" t="n">
        <v>3</v>
      </c>
      <c r="F75" t="n">
        <v>9.5</v>
      </c>
      <c r="H75" t="n">
        <v>0</v>
      </c>
      <c r="I75" t="n">
        <v>0</v>
      </c>
      <c r="J75" t="n">
        <v>0</v>
      </c>
      <c r="K75" t="n">
        <v>0</v>
      </c>
      <c r="L75" t="n">
        <v>0</v>
      </c>
      <c r="M75" t="n">
        <v>0</v>
      </c>
      <c r="N75" t="n">
        <v>0</v>
      </c>
    </row>
    <row r="76">
      <c r="A76" t="inlineStr">
        <is>
          <t>and he owes clear</t>
        </is>
      </c>
      <c r="B76" t="inlineStr">
        <is>
          <t>and he owes clear, £2 10 shilling.</t>
        </is>
      </c>
      <c r="C76" t="n">
        <v>2.5</v>
      </c>
      <c r="D76" t="n">
        <v>2</v>
      </c>
      <c r="E76" t="n">
        <v>10</v>
      </c>
      <c r="F76" t="n">
        <v>0</v>
      </c>
      <c r="H76" t="n">
        <v>0</v>
      </c>
      <c r="I76" t="n">
        <v>0</v>
      </c>
      <c r="J76" t="n">
        <v>0</v>
      </c>
      <c r="K76" t="n">
        <v>0</v>
      </c>
      <c r="L76" t="n">
        <v>0</v>
      </c>
      <c r="M76" t="n">
        <v>0</v>
      </c>
      <c r="N76" t="n">
        <v>0</v>
      </c>
    </row>
    <row r="77">
      <c r="A77" t="inlineStr">
        <is>
          <t>wheat</t>
        </is>
      </c>
      <c r="B77" t="inlineStr">
        <is>
          <t>john lylye, farmer there, answers for 4 quarters 3.5 bushels of wheat remaining, sown over 12 acres of land by the perch lying within the ditch.</t>
        </is>
      </c>
      <c r="C77" t="n">
        <v>0</v>
      </c>
      <c r="D77" t="n">
        <v>0</v>
      </c>
      <c r="E77" t="n">
        <v>0</v>
      </c>
      <c r="F77" t="n">
        <v>0</v>
      </c>
      <c r="G77" t="inlineStr">
        <is>
          <t>wheat</t>
        </is>
      </c>
      <c r="H77" t="n">
        <v>4</v>
      </c>
      <c r="I77" t="n">
        <v>3.5</v>
      </c>
      <c r="J77" t="n">
        <v>4.44</v>
      </c>
      <c r="K77" t="n">
        <v>4.44</v>
      </c>
      <c r="L77" t="n">
        <v>0</v>
      </c>
      <c r="M77" t="n">
        <v>4</v>
      </c>
      <c r="N77" t="n">
        <v>3.5</v>
      </c>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c r="H78" t="n">
        <v>0</v>
      </c>
      <c r="I78" t="n">
        <v>5</v>
      </c>
      <c r="J78" t="n">
        <v>0.62</v>
      </c>
      <c r="K78" t="n">
        <v>0.38</v>
      </c>
      <c r="L78" t="n">
        <v>0.25</v>
      </c>
      <c r="M78" t="n">
        <v>0</v>
      </c>
      <c r="N78" t="n">
        <v>3</v>
      </c>
      <c r="O78" t="n">
        <v>0</v>
      </c>
      <c r="P78" t="n">
        <v>5</v>
      </c>
    </row>
    <row r="79">
      <c r="A79" t="inlineStr">
        <is>
          <t>mancorn</t>
        </is>
      </c>
      <c r="B79" t="inlineStr">
        <is>
          <t>and for 12 quarters 2 bushels of mancorn remaining, sown over 33 acres of land by the perch lying within the ditch.</t>
        </is>
      </c>
      <c r="C79" t="n">
        <v>0</v>
      </c>
      <c r="D79" t="n">
        <v>0</v>
      </c>
      <c r="E79" t="n">
        <v>0</v>
      </c>
      <c r="F79" t="n">
        <v>0</v>
      </c>
      <c r="G79" t="inlineStr">
        <is>
          <t>mancorn</t>
        </is>
      </c>
      <c r="H79" t="n">
        <v>12</v>
      </c>
      <c r="I79" t="n">
        <v>2</v>
      </c>
      <c r="J79" t="n">
        <v>12.25</v>
      </c>
      <c r="K79" t="n">
        <v>12.25</v>
      </c>
      <c r="L79" t="n">
        <v>0</v>
      </c>
      <c r="M79" t="n">
        <v>12</v>
      </c>
      <c r="N79" t="n">
        <v>2</v>
      </c>
    </row>
    <row r="80">
      <c r="A80" t="inlineStr">
        <is>
          <t>mancorn</t>
        </is>
      </c>
      <c r="B80" t="inlineStr">
        <is>
          <t>that is, 3 bushels an acre, less 1 bushels in all, in the hands of the said farmer, to be restored and handed back as before.</t>
        </is>
      </c>
      <c r="C80" t="n">
        <v>0</v>
      </c>
      <c r="D80" t="n">
        <v>0</v>
      </c>
      <c r="E80" t="n">
        <v>0</v>
      </c>
      <c r="F80" t="n">
        <v>0</v>
      </c>
      <c r="H80" t="n">
        <v>0</v>
      </c>
      <c r="I80" t="n">
        <v>1</v>
      </c>
      <c r="J80" t="n">
        <v>0.12</v>
      </c>
      <c r="K80" t="n">
        <v>0.38</v>
      </c>
      <c r="L80" t="n">
        <v>-0.25</v>
      </c>
      <c r="M80" t="n">
        <v>0</v>
      </c>
      <c r="N80" t="n">
        <v>3</v>
      </c>
      <c r="O80" t="n">
        <v>0</v>
      </c>
      <c r="P80" t="n">
        <v>1</v>
      </c>
    </row>
    <row r="81">
      <c r="A81" t="inlineStr">
        <is>
          <t>barley</t>
        </is>
      </c>
      <c r="B81" t="inlineStr">
        <is>
          <t>and for 33 quarters of barley remaining, sown over 66 acres of land by the perch lying within and outside the ditch.</t>
        </is>
      </c>
      <c r="C81" t="n">
        <v>0</v>
      </c>
      <c r="D81" t="n">
        <v>0</v>
      </c>
      <c r="E81" t="n">
        <v>0</v>
      </c>
      <c r="F81" t="n">
        <v>0</v>
      </c>
      <c r="G81" t="inlineStr">
        <is>
          <t>barley</t>
        </is>
      </c>
      <c r="H81" t="n">
        <v>33</v>
      </c>
      <c r="I81" t="n">
        <v>0</v>
      </c>
      <c r="J81" t="n">
        <v>33</v>
      </c>
      <c r="K81" t="n">
        <v>33</v>
      </c>
      <c r="L81" t="n">
        <v>0</v>
      </c>
      <c r="M81" t="n">
        <v>33</v>
      </c>
      <c r="N81" t="n">
        <v>0</v>
      </c>
    </row>
    <row r="82">
      <c r="A82" t="inlineStr">
        <is>
          <t>barley</t>
        </is>
      </c>
      <c r="B82" t="inlineStr">
        <is>
          <t>that is, 4 bushels an acre, in the hands of the said farmer, to be restored and handed back as before.</t>
        </is>
      </c>
      <c r="C82" t="n">
        <v>0</v>
      </c>
      <c r="D82" t="n">
        <v>0</v>
      </c>
      <c r="E82" t="n">
        <v>0</v>
      </c>
      <c r="F82" t="n">
        <v>0</v>
      </c>
      <c r="H82" t="n">
        <v>0</v>
      </c>
      <c r="I82" t="n">
        <v>4</v>
      </c>
      <c r="J82" t="n">
        <v>0.5</v>
      </c>
      <c r="K82" t="n">
        <v>0.5</v>
      </c>
      <c r="L82" t="n">
        <v>0</v>
      </c>
      <c r="M82" t="n">
        <v>0</v>
      </c>
      <c r="N82" t="n">
        <v>4</v>
      </c>
    </row>
    <row r="83">
      <c r="A83" t="inlineStr">
        <is>
          <t>dredge</t>
        </is>
      </c>
      <c r="B83" t="inlineStr">
        <is>
          <t>and for 12 quarters of dredge remaining, sown over 24 acres of land by the perch lying outside the ditch.</t>
        </is>
      </c>
      <c r="C83" t="n">
        <v>0</v>
      </c>
      <c r="D83" t="n">
        <v>0</v>
      </c>
      <c r="E83" t="n">
        <v>0</v>
      </c>
      <c r="F83" t="n">
        <v>0</v>
      </c>
      <c r="G83" t="inlineStr">
        <is>
          <t>dredge</t>
        </is>
      </c>
      <c r="H83" t="n">
        <v>12</v>
      </c>
      <c r="I83" t="n">
        <v>0</v>
      </c>
      <c r="J83" t="n">
        <v>12</v>
      </c>
      <c r="K83" t="n">
        <v>12</v>
      </c>
      <c r="L83" t="n">
        <v>0</v>
      </c>
      <c r="M83" t="n">
        <v>12</v>
      </c>
      <c r="N83" t="n">
        <v>0</v>
      </c>
    </row>
    <row r="84">
      <c r="A84" t="inlineStr">
        <is>
          <t>dredge</t>
        </is>
      </c>
      <c r="B84" t="inlineStr">
        <is>
          <t>that is, 4 bushels an acre, in the hands of the said farmer, to be restored and handed back as before.</t>
        </is>
      </c>
      <c r="C84" t="n">
        <v>0</v>
      </c>
      <c r="D84" t="n">
        <v>0</v>
      </c>
      <c r="E84" t="n">
        <v>0</v>
      </c>
      <c r="F84" t="n">
        <v>0</v>
      </c>
      <c r="H84" t="n">
        <v>0</v>
      </c>
      <c r="I84" t="n">
        <v>4</v>
      </c>
      <c r="J84" t="n">
        <v>0.5</v>
      </c>
      <c r="K84" t="n">
        <v>0.5</v>
      </c>
      <c r="L84" t="n">
        <v>0</v>
      </c>
      <c r="M84" t="n">
        <v>0</v>
      </c>
      <c r="N84" t="n">
        <v>4</v>
      </c>
    </row>
    <row r="85">
      <c r="A85" t="inlineStr">
        <is>
          <t>peas</t>
        </is>
      </c>
      <c r="B85" t="inlineStr">
        <is>
          <t>and for 1 quarters 2 bushels of peas remaining, sown over 3.5 acres of land by the perch lying outside the ditch.</t>
        </is>
      </c>
      <c r="C85" t="n">
        <v>0</v>
      </c>
      <c r="D85" t="n">
        <v>0</v>
      </c>
      <c r="E85" t="n">
        <v>0</v>
      </c>
      <c r="F85" t="n">
        <v>0</v>
      </c>
      <c r="G85" t="inlineStr">
        <is>
          <t>peas</t>
        </is>
      </c>
      <c r="H85" t="n">
        <v>1</v>
      </c>
      <c r="I85" t="n">
        <v>2</v>
      </c>
      <c r="J85" t="n">
        <v>1.25</v>
      </c>
      <c r="K85" t="n">
        <v>1.25</v>
      </c>
      <c r="L85" t="n">
        <v>0</v>
      </c>
      <c r="M85" t="n">
        <v>1</v>
      </c>
      <c r="N85" t="n">
        <v>2</v>
      </c>
    </row>
    <row r="86">
      <c r="A86" t="inlineStr">
        <is>
          <t>peas</t>
        </is>
      </c>
      <c r="B86" t="inlineStr">
        <is>
          <t>that is, 3 bushels an acre, less .5 bushels in all, in the hands of the said farmer, to be restored and handed back as before.</t>
        </is>
      </c>
      <c r="C86" t="n">
        <v>0</v>
      </c>
      <c r="D86" t="n">
        <v>0</v>
      </c>
      <c r="E86" t="n">
        <v>0</v>
      </c>
      <c r="F86" t="n">
        <v>0</v>
      </c>
      <c r="H86" t="n">
        <v>0</v>
      </c>
      <c r="I86" t="n">
        <v>5</v>
      </c>
      <c r="J86" t="n">
        <v>0.62</v>
      </c>
      <c r="K86" t="n">
        <v>0.38</v>
      </c>
      <c r="L86" t="n">
        <v>0.25</v>
      </c>
      <c r="M86" t="n">
        <v>0</v>
      </c>
      <c r="N86" t="n">
        <v>3</v>
      </c>
      <c r="O86" t="n">
        <v>0</v>
      </c>
      <c r="P86" t="n">
        <v>5</v>
      </c>
    </row>
    <row r="87">
      <c r="A87" t="inlineStr">
        <is>
          <t>peas</t>
        </is>
      </c>
      <c r="B87" t="inlineStr">
        <is>
          <t>and for 10 quarters of oats remaining, sown over 20 acres of land by the perch lying outside the ditch.</t>
        </is>
      </c>
      <c r="C87" t="n">
        <v>0</v>
      </c>
      <c r="D87" t="n">
        <v>0</v>
      </c>
      <c r="E87" t="n">
        <v>0</v>
      </c>
      <c r="F87" t="n">
        <v>0</v>
      </c>
      <c r="G87" t="inlineStr">
        <is>
          <t>oats</t>
        </is>
      </c>
      <c r="H87" t="n">
        <v>10</v>
      </c>
      <c r="I87" t="n">
        <v>0</v>
      </c>
      <c r="J87" t="n">
        <v>10</v>
      </c>
      <c r="K87" t="n">
        <v>10</v>
      </c>
      <c r="L87" t="n">
        <v>0</v>
      </c>
      <c r="M87" t="n">
        <v>10</v>
      </c>
      <c r="N87" t="n">
        <v>0</v>
      </c>
    </row>
    <row r="88">
      <c r="A88" t="inlineStr">
        <is>
          <t>peas</t>
        </is>
      </c>
      <c r="B88" t="inlineStr">
        <is>
          <t>that is, 4 bushels an acre, in the hands of the said farmer, to be restored and handed back as before.</t>
        </is>
      </c>
      <c r="C88" t="n">
        <v>0</v>
      </c>
      <c r="D88" t="n">
        <v>0</v>
      </c>
      <c r="E88" t="n">
        <v>0</v>
      </c>
      <c r="F88" t="n">
        <v>0</v>
      </c>
      <c r="H88" t="n">
        <v>0</v>
      </c>
      <c r="I88" t="n">
        <v>4</v>
      </c>
      <c r="J88" t="n">
        <v>0.5</v>
      </c>
      <c r="K88" t="n">
        <v>0.5</v>
      </c>
      <c r="L88" t="n">
        <v>0</v>
      </c>
      <c r="M88" t="n">
        <v>0</v>
      </c>
      <c r="N88" t="n">
        <v>4</v>
      </c>
    </row>
    <row r="89">
      <c r="A89" t="inlineStr">
        <is>
          <t>acreage</t>
        </is>
      </c>
      <c r="B89" t="inlineStr">
        <is>
          <t>total acreage sown, 158.5 acres.</t>
        </is>
      </c>
      <c r="C89" t="n">
        <v>0</v>
      </c>
      <c r="D89" t="n">
        <v>0</v>
      </c>
      <c r="E89" t="n">
        <v>0</v>
      </c>
      <c r="F89" t="n">
        <v>0</v>
      </c>
      <c r="H89" t="n">
        <v>0</v>
      </c>
      <c r="I89" t="n">
        <v>0</v>
      </c>
      <c r="J89" t="n">
        <v>0</v>
      </c>
      <c r="K89" t="n">
        <v>0</v>
      </c>
      <c r="L89" t="n">
        <v>0</v>
      </c>
      <c r="M89" t="n">
        <v>0</v>
      </c>
      <c r="N89" t="n">
        <v>0</v>
      </c>
    </row>
    <row r="90">
      <c r="A90" t="inlineStr">
        <is>
          <t>stock</t>
        </is>
      </c>
      <c r="B90" t="inlineStr">
        <is>
          <t>horses: 4 remain.</t>
        </is>
      </c>
      <c r="C90" t="n">
        <v>0</v>
      </c>
      <c r="D90" t="n">
        <v>0</v>
      </c>
      <c r="E90" t="n">
        <v>0</v>
      </c>
      <c r="F90" t="n">
        <v>0</v>
      </c>
      <c r="H90" t="n">
        <v>0</v>
      </c>
      <c r="I90" t="n">
        <v>0</v>
      </c>
      <c r="J90" t="n">
        <v>0</v>
      </c>
      <c r="K90" t="n">
        <v>0</v>
      </c>
      <c r="L90" t="n">
        <v>0</v>
      </c>
      <c r="M90" t="n">
        <v>0</v>
      </c>
      <c r="N90" t="n">
        <v>0</v>
      </c>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c r="H91" t="n">
        <v>0</v>
      </c>
      <c r="I91" t="n">
        <v>0</v>
      </c>
      <c r="J91" t="n">
        <v>0</v>
      </c>
      <c r="K91" t="n">
        <v>0</v>
      </c>
      <c r="L91" t="n">
        <v>0</v>
      </c>
      <c r="M91" t="n">
        <v>0</v>
      </c>
      <c r="N91" t="n">
        <v>0</v>
      </c>
    </row>
    <row r="92">
      <c r="A92" t="inlineStr">
        <is>
          <t>stock</t>
        </is>
      </c>
      <c r="B92" t="inlineStr">
        <is>
          <t>mares: 1 from strays.</t>
        </is>
      </c>
      <c r="C92" t="n">
        <v>0</v>
      </c>
      <c r="D92" t="n">
        <v>0</v>
      </c>
      <c r="E92" t="n">
        <v>0</v>
      </c>
      <c r="F92" t="n">
        <v>0</v>
      </c>
      <c r="H92" t="n">
        <v>0</v>
      </c>
      <c r="I92" t="n">
        <v>0</v>
      </c>
      <c r="J92" t="n">
        <v>0</v>
      </c>
      <c r="K92" t="n">
        <v>0</v>
      </c>
      <c r="L92" t="n">
        <v>0</v>
      </c>
      <c r="M92" t="n">
        <v>0</v>
      </c>
      <c r="N92" t="n">
        <v>0</v>
      </c>
    </row>
    <row r="93">
      <c r="A93" t="inlineStr">
        <is>
          <t>stock</t>
        </is>
      </c>
      <c r="B93" t="inlineStr">
        <is>
          <t>sold within.</t>
        </is>
      </c>
      <c r="C93" t="n">
        <v>0</v>
      </c>
      <c r="D93" t="n">
        <v>0</v>
      </c>
      <c r="E93" t="n">
        <v>0</v>
      </c>
      <c r="F93" t="n">
        <v>0</v>
      </c>
      <c r="H93" t="n">
        <v>0</v>
      </c>
      <c r="I93" t="n">
        <v>0</v>
      </c>
      <c r="J93" t="n">
        <v>0</v>
      </c>
      <c r="K93" t="n">
        <v>0</v>
      </c>
      <c r="L93" t="n">
        <v>0</v>
      </c>
      <c r="M93" t="n">
        <v>0</v>
      </c>
      <c r="N93" t="n">
        <v>0</v>
      </c>
    </row>
    <row r="94">
      <c r="A94" t="inlineStr">
        <is>
          <t>stock</t>
        </is>
      </c>
      <c r="B94" t="inlineStr">
        <is>
          <t>none remain.</t>
        </is>
      </c>
      <c r="C94" t="n">
        <v>0</v>
      </c>
      <c r="D94" t="n">
        <v>0</v>
      </c>
      <c r="E94" t="n">
        <v>0</v>
      </c>
      <c r="F94" t="n">
        <v>0</v>
      </c>
      <c r="H94" t="n">
        <v>0</v>
      </c>
      <c r="I94" t="n">
        <v>0</v>
      </c>
      <c r="J94" t="n">
        <v>0</v>
      </c>
      <c r="K94" t="n">
        <v>0</v>
      </c>
      <c r="L94" t="n">
        <v>0</v>
      </c>
      <c r="M94" t="n">
        <v>0</v>
      </c>
      <c r="N94" t="n">
        <v>0</v>
      </c>
    </row>
    <row r="95">
      <c r="A95" t="inlineStr">
        <is>
          <t>stock</t>
        </is>
      </c>
      <c r="B95" t="inlineStr">
        <is>
          <t>colts: 1 from strays.</t>
        </is>
      </c>
      <c r="C95" t="n">
        <v>0</v>
      </c>
      <c r="D95" t="n">
        <v>0</v>
      </c>
      <c r="E95" t="n">
        <v>0</v>
      </c>
      <c r="F95" t="n">
        <v>0</v>
      </c>
      <c r="H95" t="n">
        <v>0</v>
      </c>
      <c r="I95" t="n">
        <v>0</v>
      </c>
      <c r="J95" t="n">
        <v>0</v>
      </c>
      <c r="K95" t="n">
        <v>0</v>
      </c>
      <c r="L95" t="n">
        <v>0</v>
      </c>
      <c r="M95" t="n">
        <v>0</v>
      </c>
      <c r="N95" t="n">
        <v>0</v>
      </c>
    </row>
    <row r="96">
      <c r="A96" t="inlineStr">
        <is>
          <t>stock</t>
        </is>
      </c>
      <c r="B96" t="inlineStr">
        <is>
          <t>sold within.</t>
        </is>
      </c>
      <c r="C96" t="n">
        <v>0</v>
      </c>
      <c r="D96" t="n">
        <v>0</v>
      </c>
      <c r="E96" t="n">
        <v>0</v>
      </c>
      <c r="F96" t="n">
        <v>0</v>
      </c>
      <c r="H96" t="n">
        <v>0</v>
      </c>
      <c r="I96" t="n">
        <v>0</v>
      </c>
      <c r="J96" t="n">
        <v>0</v>
      </c>
      <c r="K96" t="n">
        <v>0</v>
      </c>
      <c r="L96" t="n">
        <v>0</v>
      </c>
      <c r="M96" t="n">
        <v>0</v>
      </c>
      <c r="N96" t="n">
        <v>0</v>
      </c>
    </row>
    <row r="97">
      <c r="A97" t="inlineStr">
        <is>
          <t>stock</t>
        </is>
      </c>
      <c r="B97" t="inlineStr">
        <is>
          <t>none remain.</t>
        </is>
      </c>
      <c r="C97" t="n">
        <v>0</v>
      </c>
      <c r="D97" t="n">
        <v>0</v>
      </c>
      <c r="E97" t="n">
        <v>0</v>
      </c>
      <c r="F97" t="n">
        <v>0</v>
      </c>
      <c r="H97" t="n">
        <v>0</v>
      </c>
      <c r="I97" t="n">
        <v>0</v>
      </c>
      <c r="J97" t="n">
        <v>0</v>
      </c>
      <c r="K97" t="n">
        <v>0</v>
      </c>
      <c r="L97" t="n">
        <v>0</v>
      </c>
      <c r="M97" t="n">
        <v>0</v>
      </c>
      <c r="N97" t="n">
        <v>0</v>
      </c>
    </row>
    <row r="98">
      <c r="A98" t="inlineStr">
        <is>
          <t>stock</t>
        </is>
      </c>
      <c r="B98" t="inlineStr">
        <is>
          <t>oxen: 18 remain.</t>
        </is>
      </c>
      <c r="C98" t="n">
        <v>0</v>
      </c>
      <c r="D98" t="n">
        <v>0</v>
      </c>
      <c r="E98" t="n">
        <v>0</v>
      </c>
      <c r="F98" t="n">
        <v>0</v>
      </c>
      <c r="H98" t="n">
        <v>0</v>
      </c>
      <c r="I98" t="n">
        <v>0</v>
      </c>
      <c r="J98" t="n">
        <v>0</v>
      </c>
      <c r="K98" t="n">
        <v>0</v>
      </c>
      <c r="L98" t="n">
        <v>0</v>
      </c>
      <c r="M98" t="n">
        <v>0</v>
      </c>
      <c r="N98" t="n">
        <v>0</v>
      </c>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c r="H99" t="n">
        <v>0</v>
      </c>
      <c r="I99" t="n">
        <v>0</v>
      </c>
      <c r="J99" t="n">
        <v>0</v>
      </c>
      <c r="K99" t="n">
        <v>0</v>
      </c>
      <c r="L99" t="n">
        <v>0</v>
      </c>
      <c r="M99" t="n">
        <v>0</v>
      </c>
      <c r="N99" t="n">
        <v>0</v>
      </c>
    </row>
    <row r="100">
      <c r="A100" t="inlineStr">
        <is>
          <t>stock</t>
        </is>
      </c>
      <c r="B100" t="inlineStr">
        <is>
          <t>bulls: 1 remains, worth 13 shilling 4pence, in the hands of the said fanner, to be handed back and restored as before.</t>
        </is>
      </c>
      <c r="C100" t="n">
        <v>0.67</v>
      </c>
      <c r="D100" t="n">
        <v>0</v>
      </c>
      <c r="E100" t="n">
        <v>13</v>
      </c>
      <c r="F100" t="n">
        <v>4</v>
      </c>
      <c r="H100" t="n">
        <v>0</v>
      </c>
      <c r="I100" t="n">
        <v>0</v>
      </c>
      <c r="J100" t="n">
        <v>0</v>
      </c>
      <c r="K100" t="n">
        <v>0</v>
      </c>
      <c r="L100" t="n">
        <v>0</v>
      </c>
      <c r="M100" t="n">
        <v>0</v>
      </c>
      <c r="N100" t="n">
        <v>0</v>
      </c>
    </row>
    <row r="101">
      <c r="A101" t="inlineStr">
        <is>
          <t>stock</t>
        </is>
      </c>
      <c r="B101" t="inlineStr">
        <is>
          <t>cows: 30 remain.</t>
        </is>
      </c>
      <c r="C101" t="n">
        <v>0</v>
      </c>
      <c r="D101" t="n">
        <v>0</v>
      </c>
      <c r="E101" t="n">
        <v>0</v>
      </c>
      <c r="F101" t="n">
        <v>0</v>
      </c>
      <c r="H101" t="n">
        <v>0</v>
      </c>
      <c r="I101" t="n">
        <v>0</v>
      </c>
      <c r="J101" t="n">
        <v>0</v>
      </c>
      <c r="K101" t="n">
        <v>0</v>
      </c>
      <c r="L101" t="n">
        <v>0</v>
      </c>
      <c r="M101" t="n">
        <v>0</v>
      </c>
      <c r="N101" t="n">
        <v>0</v>
      </c>
    </row>
    <row r="102">
      <c r="A102" t="inlineStr">
        <is>
          <t>stock</t>
        </is>
      </c>
      <c r="B102" t="inlineStr">
        <is>
          <t>total, 30. 30 remain, worth 8 shilling each, in the hands of the said farmer, to be restored and handed back as before.</t>
        </is>
      </c>
      <c r="C102" t="n">
        <v>0.4</v>
      </c>
      <c r="D102" t="n">
        <v>0</v>
      </c>
      <c r="E102" t="n">
        <v>8</v>
      </c>
      <c r="F102" t="n">
        <v>0</v>
      </c>
      <c r="H102" t="n">
        <v>0</v>
      </c>
      <c r="I102" t="n">
        <v>0</v>
      </c>
      <c r="J102" t="n">
        <v>0</v>
      </c>
      <c r="K102" t="n">
        <v>0</v>
      </c>
      <c r="L102" t="n">
        <v>0</v>
      </c>
      <c r="M102" t="n">
        <v>0</v>
      </c>
      <c r="N102" t="n">
        <v>0</v>
      </c>
    </row>
    <row r="103">
      <c r="A103" t="inlineStr">
        <is>
          <t>stock</t>
        </is>
      </c>
      <c r="B103" t="inlineStr">
        <is>
          <t>yearlings: 7 remain, worth 3 shilling 4pence each, in the hands of the said fanner, to be restored and handed back as before.</t>
        </is>
      </c>
      <c r="C103" t="n">
        <v>0.17</v>
      </c>
      <c r="D103" t="n">
        <v>0</v>
      </c>
      <c r="E103" t="n">
        <v>3</v>
      </c>
      <c r="F103" t="n">
        <v>4</v>
      </c>
      <c r="H103" t="n">
        <v>0</v>
      </c>
      <c r="I103" t="n">
        <v>0</v>
      </c>
      <c r="J103" t="n">
        <v>0</v>
      </c>
      <c r="K103" t="n">
        <v>0</v>
      </c>
      <c r="L103" t="n">
        <v>0</v>
      </c>
      <c r="M103" t="n">
        <v>0</v>
      </c>
      <c r="N103" t="n">
        <v>0</v>
      </c>
    </row>
    <row r="104">
      <c r="A104" t="inlineStr">
        <is>
          <t>stock</t>
        </is>
      </c>
      <c r="B104" t="inlineStr">
        <is>
          <t>wethers: 231 remain.</t>
        </is>
      </c>
      <c r="C104" t="n">
        <v>0</v>
      </c>
      <c r="D104" t="n">
        <v>0</v>
      </c>
      <c r="E104" t="n">
        <v>0</v>
      </c>
      <c r="F104" t="n">
        <v>0</v>
      </c>
      <c r="H104" t="n">
        <v>0</v>
      </c>
      <c r="I104" t="n">
        <v>0</v>
      </c>
      <c r="J104" t="n">
        <v>0</v>
      </c>
      <c r="K104" t="n">
        <v>0</v>
      </c>
      <c r="L104" t="n">
        <v>0</v>
      </c>
      <c r="M104" t="n">
        <v>0</v>
      </c>
      <c r="N104" t="n">
        <v>0</v>
      </c>
    </row>
    <row r="105">
      <c r="A105" t="inlineStr">
        <is>
          <t>stock</t>
        </is>
      </c>
      <c r="B105" t="inlineStr">
        <is>
          <t>97 bought before shearing.</t>
        </is>
      </c>
      <c r="C105" t="n">
        <v>0</v>
      </c>
      <c r="D105" t="n">
        <v>0</v>
      </c>
      <c r="E105" t="n">
        <v>0</v>
      </c>
      <c r="F105" t="n">
        <v>0</v>
      </c>
      <c r="H105" t="n">
        <v>0</v>
      </c>
      <c r="I105" t="n">
        <v>0</v>
      </c>
      <c r="J105" t="n">
        <v>0</v>
      </c>
      <c r="K105" t="n">
        <v>0</v>
      </c>
      <c r="L105" t="n">
        <v>0</v>
      </c>
      <c r="M105" t="n">
        <v>0</v>
      </c>
      <c r="N105" t="n">
        <v>0</v>
      </c>
    </row>
    <row r="106">
      <c r="A106" t="inlineStr">
        <is>
          <t>stock</t>
        </is>
      </c>
      <c r="B106" t="inlineStr">
        <is>
          <t>total, 328. 23 in murrain before shearing and 9 after shearing.</t>
        </is>
      </c>
      <c r="C106" t="n">
        <v>0</v>
      </c>
      <c r="D106" t="n">
        <v>0</v>
      </c>
      <c r="E106" t="n">
        <v>0</v>
      </c>
      <c r="F106" t="n">
        <v>0</v>
      </c>
      <c r="H106" t="n">
        <v>0</v>
      </c>
      <c r="I106" t="n">
        <v>0</v>
      </c>
      <c r="J106" t="n">
        <v>0</v>
      </c>
      <c r="K106" t="n">
        <v>0</v>
      </c>
      <c r="L106" t="n">
        <v>0</v>
      </c>
      <c r="M106" t="n">
        <v>0</v>
      </c>
      <c r="N106" t="n">
        <v>0</v>
      </c>
    </row>
    <row r="107">
      <c r="A107" t="inlineStr">
        <is>
          <t>stock</t>
        </is>
      </c>
      <c r="B107" t="inlineStr">
        <is>
          <t>total, 32. 296 remain.</t>
        </is>
      </c>
      <c r="C107" t="n">
        <v>0</v>
      </c>
      <c r="D107" t="n">
        <v>0</v>
      </c>
      <c r="E107" t="n">
        <v>0</v>
      </c>
      <c r="F107" t="n">
        <v>0</v>
      </c>
      <c r="H107" t="n">
        <v>0</v>
      </c>
      <c r="I107" t="n">
        <v>0</v>
      </c>
      <c r="J107" t="n">
        <v>0</v>
      </c>
      <c r="K107" t="n">
        <v>0</v>
      </c>
      <c r="L107" t="n">
        <v>0</v>
      </c>
      <c r="M107" t="n">
        <v>0</v>
      </c>
      <c r="N107" t="n">
        <v>0</v>
      </c>
    </row>
    <row r="108">
      <c r="A108" t="inlineStr">
        <is>
          <t>stock</t>
        </is>
      </c>
      <c r="B108" t="inlineStr">
        <is>
          <t>sows: 2 remain.</t>
        </is>
      </c>
      <c r="C108" t="n">
        <v>0</v>
      </c>
      <c r="D108" t="n">
        <v>0</v>
      </c>
      <c r="E108" t="n">
        <v>0</v>
      </c>
      <c r="F108" t="n">
        <v>0</v>
      </c>
      <c r="H108" t="n">
        <v>0</v>
      </c>
      <c r="I108" t="n">
        <v>0</v>
      </c>
      <c r="J108" t="n">
        <v>0</v>
      </c>
      <c r="K108" t="n">
        <v>0</v>
      </c>
      <c r="L108" t="n">
        <v>0</v>
      </c>
      <c r="M108" t="n">
        <v>0</v>
      </c>
      <c r="N108" t="n">
        <v>0</v>
      </c>
    </row>
    <row r="109">
      <c r="A109" t="inlineStr">
        <is>
          <t>stock</t>
        </is>
      </c>
      <c r="B109" t="inlineStr">
        <is>
          <t>total, 2. 2 remain, worth 3 shilling 4pence each, in the hands of the said farmer, to be restored as before.</t>
        </is>
      </c>
      <c r="C109" t="n">
        <v>0.17</v>
      </c>
      <c r="D109" t="n">
        <v>0</v>
      </c>
      <c r="E109" t="n">
        <v>3</v>
      </c>
      <c r="F109" t="n">
        <v>4</v>
      </c>
      <c r="H109" t="n">
        <v>0</v>
      </c>
      <c r="I109" t="n">
        <v>0</v>
      </c>
      <c r="J109" t="n">
        <v>0</v>
      </c>
      <c r="K109" t="n">
        <v>0</v>
      </c>
      <c r="L109" t="n">
        <v>0</v>
      </c>
      <c r="M109" t="n">
        <v>0</v>
      </c>
      <c r="N109" t="n">
        <v>0</v>
      </c>
    </row>
    <row r="110">
      <c r="A110" t="inlineStr">
        <is>
          <t>stock</t>
        </is>
      </c>
      <c r="B110" t="inlineStr">
        <is>
          <t>hoggets: 4 remain.</t>
        </is>
      </c>
      <c r="C110" t="n">
        <v>0</v>
      </c>
      <c r="D110" t="n">
        <v>0</v>
      </c>
      <c r="E110" t="n">
        <v>0</v>
      </c>
      <c r="F110" t="n">
        <v>0</v>
      </c>
      <c r="H110" t="n">
        <v>0</v>
      </c>
      <c r="I110" t="n">
        <v>0</v>
      </c>
      <c r="J110" t="n">
        <v>0</v>
      </c>
      <c r="K110" t="n">
        <v>0</v>
      </c>
      <c r="L110" t="n">
        <v>0</v>
      </c>
      <c r="M110" t="n">
        <v>0</v>
      </c>
      <c r="N110" t="n">
        <v>0</v>
      </c>
    </row>
    <row r="111">
      <c r="A111" t="inlineStr">
        <is>
          <t>stock</t>
        </is>
      </c>
      <c r="B111" t="inlineStr">
        <is>
          <t>total, 4. 4 remain, worth 1 shilling 4pence each, in the hands of the said farmer, to be restored as before.</t>
        </is>
      </c>
      <c r="C111" t="n">
        <v>0.07000000000000001</v>
      </c>
      <c r="D111" t="n">
        <v>0</v>
      </c>
      <c r="E111" t="n">
        <v>1</v>
      </c>
      <c r="F111" t="n">
        <v>4</v>
      </c>
      <c r="H111" t="n">
        <v>0</v>
      </c>
      <c r="I111" t="n">
        <v>0</v>
      </c>
      <c r="J111" t="n">
        <v>0</v>
      </c>
      <c r="K111" t="n">
        <v>0</v>
      </c>
      <c r="L111" t="n">
        <v>0</v>
      </c>
      <c r="M111" t="n">
        <v>0</v>
      </c>
      <c r="N111" t="n">
        <v>0</v>
      </c>
    </row>
    <row r="112">
      <c r="A112" t="inlineStr">
        <is>
          <t>stock</t>
        </is>
      </c>
      <c r="B112" t="inlineStr">
        <is>
          <t>piglets: 9 remain.</t>
        </is>
      </c>
      <c r="C112" t="n">
        <v>0</v>
      </c>
      <c r="D112" t="n">
        <v>0</v>
      </c>
      <c r="E112" t="n">
        <v>0</v>
      </c>
      <c r="F112" t="n">
        <v>0</v>
      </c>
      <c r="H112" t="n">
        <v>0</v>
      </c>
      <c r="I112" t="n">
        <v>0</v>
      </c>
      <c r="J112" t="n">
        <v>0</v>
      </c>
      <c r="K112" t="n">
        <v>0</v>
      </c>
      <c r="L112" t="n">
        <v>0</v>
      </c>
      <c r="M112" t="n">
        <v>0</v>
      </c>
      <c r="N112" t="n">
        <v>0</v>
      </c>
    </row>
    <row r="113">
      <c r="A113" t="inlineStr">
        <is>
          <t>stock</t>
        </is>
      </c>
      <c r="B113" t="inlineStr">
        <is>
          <t>total, 9. 9 remain, worth 6pence each, in the hands of the said farmer, to be restored as before.</t>
        </is>
      </c>
      <c r="C113" t="n">
        <v>0.03</v>
      </c>
      <c r="D113" t="n">
        <v>0</v>
      </c>
      <c r="E113" t="n">
        <v>0</v>
      </c>
      <c r="F113" t="n">
        <v>6</v>
      </c>
      <c r="H113" t="n">
        <v>0</v>
      </c>
      <c r="I113" t="n">
        <v>0</v>
      </c>
      <c r="J113" t="n">
        <v>0</v>
      </c>
      <c r="K113" t="n">
        <v>0</v>
      </c>
      <c r="L113" t="n">
        <v>0</v>
      </c>
      <c r="M113" t="n">
        <v>0</v>
      </c>
      <c r="N113" t="n">
        <v>0</v>
      </c>
    </row>
    <row r="114">
      <c r="A114" t="inlineStr">
        <is>
          <t>stock</t>
        </is>
      </c>
      <c r="B114" t="inlineStr">
        <is>
          <t>coarse wool: 7 sacks, 41 cloves, 6 lb remain.</t>
        </is>
      </c>
      <c r="C114" t="n">
        <v>0</v>
      </c>
      <c r="D114" t="n">
        <v>0</v>
      </c>
      <c r="E114" t="n">
        <v>0</v>
      </c>
      <c r="F114" t="n">
        <v>0</v>
      </c>
      <c r="H114" t="n">
        <v>0</v>
      </c>
      <c r="I114" t="n">
        <v>0</v>
      </c>
      <c r="J114" t="n">
        <v>0</v>
      </c>
      <c r="K114" t="n">
        <v>0</v>
      </c>
      <c r="L114" t="n">
        <v>0</v>
      </c>
      <c r="M114" t="n">
        <v>0</v>
      </c>
      <c r="N114" t="n">
        <v>0</v>
      </c>
    </row>
    <row r="115">
      <c r="A115" t="inlineStr">
        <is>
          <t>stock</t>
        </is>
      </c>
      <c r="B115" t="inlineStr">
        <is>
          <t>1 sack, 10 cloves, 1 lb from the increase in the weight of the same.</t>
        </is>
      </c>
      <c r="C115" t="n">
        <v>0</v>
      </c>
      <c r="D115" t="n">
        <v>0</v>
      </c>
      <c r="E115" t="n">
        <v>0</v>
      </c>
      <c r="F115" t="n">
        <v>0</v>
      </c>
      <c r="H115" t="n">
        <v>0</v>
      </c>
      <c r="I115" t="n">
        <v>0</v>
      </c>
      <c r="J115" t="n">
        <v>0</v>
      </c>
      <c r="K115" t="n">
        <v>0</v>
      </c>
      <c r="L115" t="n">
        <v>0</v>
      </c>
      <c r="M115" t="n">
        <v>0</v>
      </c>
      <c r="N115" t="n">
        <v>0</v>
      </c>
    </row>
    <row r="116">
      <c r="A116" t="inlineStr">
        <is>
          <t>stock</t>
        </is>
      </c>
      <c r="B116" t="inlineStr">
        <is>
          <t>528 fleeces from the reeve of ivinghoe, weighing 1 sack 37 cloves.</t>
        </is>
      </c>
      <c r="C116" t="n">
        <v>0</v>
      </c>
      <c r="D116" t="n">
        <v>0</v>
      </c>
      <c r="E116" t="n">
        <v>0</v>
      </c>
      <c r="F116" t="n">
        <v>0</v>
      </c>
      <c r="H116" t="n">
        <v>0</v>
      </c>
      <c r="I116" t="n">
        <v>0</v>
      </c>
      <c r="J116" t="n">
        <v>0</v>
      </c>
      <c r="K116" t="n">
        <v>0</v>
      </c>
      <c r="L116" t="n">
        <v>0</v>
      </c>
      <c r="M116" t="n">
        <v>0</v>
      </c>
      <c r="N116" t="n">
        <v>0</v>
      </c>
    </row>
    <row r="117">
      <c r="A117" t="inlineStr">
        <is>
          <t>stock</t>
        </is>
      </c>
      <c r="B117" t="inlineStr">
        <is>
          <t>230 fleeces from the farmer of culham, weighing 38 cloves.</t>
        </is>
      </c>
      <c r="C117" t="n">
        <v>0</v>
      </c>
      <c r="D117" t="n">
        <v>0</v>
      </c>
      <c r="E117" t="n">
        <v>0</v>
      </c>
      <c r="F117" t="n">
        <v>0</v>
      </c>
      <c r="H117" t="n">
        <v>0</v>
      </c>
      <c r="I117" t="n">
        <v>0</v>
      </c>
      <c r="J117" t="n">
        <v>0</v>
      </c>
      <c r="K117" t="n">
        <v>0</v>
      </c>
      <c r="L117" t="n">
        <v>0</v>
      </c>
      <c r="M117" t="n">
        <v>0</v>
      </c>
      <c r="N117" t="n">
        <v>0</v>
      </c>
    </row>
    <row r="118">
      <c r="A118" t="inlineStr">
        <is>
          <t>stock</t>
        </is>
      </c>
      <c r="B118" t="inlineStr">
        <is>
          <t>258 fleeces from the farmer of waltham st lawrence, weighing 36 cloves.</t>
        </is>
      </c>
      <c r="C118" t="n">
        <v>0</v>
      </c>
      <c r="D118" t="n">
        <v>0</v>
      </c>
      <c r="E118" t="n">
        <v>0</v>
      </c>
      <c r="F118" t="n">
        <v>0</v>
      </c>
      <c r="H118" t="n">
        <v>0</v>
      </c>
      <c r="I118" t="n">
        <v>0</v>
      </c>
      <c r="J118" t="n">
        <v>0</v>
      </c>
      <c r="K118" t="n">
        <v>0</v>
      </c>
      <c r="L118" t="n">
        <v>0</v>
      </c>
      <c r="M118" t="n">
        <v>0</v>
      </c>
      <c r="N118" t="n">
        <v>0</v>
      </c>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c r="H119" t="n">
        <v>0</v>
      </c>
      <c r="I119" t="n">
        <v>0</v>
      </c>
      <c r="J119" t="n">
        <v>0</v>
      </c>
      <c r="K119" t="n">
        <v>0</v>
      </c>
      <c r="L119" t="n">
        <v>0</v>
      </c>
      <c r="M119" t="n">
        <v>0</v>
      </c>
      <c r="N119" t="n">
        <v>0</v>
      </c>
    </row>
    <row r="120">
      <c r="A120" t="inlineStr">
        <is>
          <t>stock</t>
        </is>
      </c>
      <c r="B120" t="inlineStr">
        <is>
          <t>total, 13 sacks 9 cloves. 21 in tithe.</t>
        </is>
      </c>
      <c r="C120" t="n">
        <v>0</v>
      </c>
      <c r="D120" t="n">
        <v>0</v>
      </c>
      <c r="E120" t="n">
        <v>0</v>
      </c>
      <c r="F120" t="n">
        <v>0</v>
      </c>
      <c r="H120" t="n">
        <v>0</v>
      </c>
      <c r="I120" t="n">
        <v>0</v>
      </c>
      <c r="J120" t="n">
        <v>0</v>
      </c>
      <c r="K120" t="n">
        <v>0</v>
      </c>
      <c r="L120" t="n">
        <v>0</v>
      </c>
      <c r="M120" t="n">
        <v>0</v>
      </c>
      <c r="N120" t="n">
        <v>0</v>
      </c>
    </row>
    <row r="121">
      <c r="A121" t="inlineStr">
        <is>
          <t>stock</t>
        </is>
      </c>
      <c r="B121" t="inlineStr">
        <is>
          <t>1 in agreement with the shepherd.</t>
        </is>
      </c>
      <c r="C121" t="n">
        <v>0</v>
      </c>
      <c r="D121" t="n">
        <v>0</v>
      </c>
      <c r="E121" t="n">
        <v>0</v>
      </c>
      <c r="F121" t="n">
        <v>0</v>
      </c>
      <c r="H121" t="n">
        <v>0</v>
      </c>
      <c r="I121" t="n">
        <v>0</v>
      </c>
      <c r="J121" t="n">
        <v>0</v>
      </c>
      <c r="K121" t="n">
        <v>0</v>
      </c>
      <c r="L121" t="n">
        <v>0</v>
      </c>
      <c r="M121" t="n">
        <v>0</v>
      </c>
      <c r="N121" t="n">
        <v>0</v>
      </c>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c r="H122" t="n">
        <v>0</v>
      </c>
      <c r="I122" t="n">
        <v>0</v>
      </c>
      <c r="J122" t="n">
        <v>0</v>
      </c>
      <c r="K122" t="n">
        <v>0</v>
      </c>
      <c r="L122" t="n">
        <v>0</v>
      </c>
      <c r="M122" t="n">
        <v>0</v>
      </c>
      <c r="N122" t="n">
        <v>0</v>
      </c>
    </row>
    <row r="123">
      <c r="A123" t="inlineStr">
        <is>
          <t>stock</t>
        </is>
      </c>
      <c r="B123" t="inlineStr">
        <is>
          <t>total, 9 sacks. 4 sacks 9 cloves remain from this year's issue in the lord's wool-shed under the seal of the bailiff.</t>
        </is>
      </c>
      <c r="C123" t="n">
        <v>0</v>
      </c>
      <c r="D123" t="n">
        <v>0</v>
      </c>
      <c r="E123" t="n">
        <v>0</v>
      </c>
      <c r="F123" t="n">
        <v>0</v>
      </c>
      <c r="H123" t="n">
        <v>0</v>
      </c>
      <c r="I123" t="n">
        <v>0</v>
      </c>
      <c r="J123" t="n">
        <v>0</v>
      </c>
      <c r="K123" t="n">
        <v>0</v>
      </c>
      <c r="L123" t="n">
        <v>0</v>
      </c>
      <c r="M123" t="n">
        <v>0</v>
      </c>
      <c r="N123" t="n">
        <v>0</v>
      </c>
    </row>
    <row r="124">
      <c r="A124" t="inlineStr">
        <is>
          <t>stock</t>
        </is>
      </c>
      <c r="B124" t="inlineStr">
        <is>
          <t>woolskins: 23 from wethers in murrain before shearing as made clear above.</t>
        </is>
      </c>
      <c r="C124" t="n">
        <v>0</v>
      </c>
      <c r="D124" t="n">
        <v>0</v>
      </c>
      <c r="E124" t="n">
        <v>0</v>
      </c>
      <c r="F124" t="n">
        <v>0</v>
      </c>
      <c r="H124" t="n">
        <v>0</v>
      </c>
      <c r="I124" t="n">
        <v>0</v>
      </c>
      <c r="J124" t="n">
        <v>0</v>
      </c>
      <c r="K124" t="n">
        <v>0</v>
      </c>
      <c r="L124" t="n">
        <v>0</v>
      </c>
      <c r="M124" t="n">
        <v>0</v>
      </c>
      <c r="N124" t="n">
        <v>0</v>
      </c>
    </row>
    <row r="125">
      <c r="A125" t="inlineStr">
        <is>
          <t>stock</t>
        </is>
      </c>
      <c r="B125" t="inlineStr">
        <is>
          <t>total, 23. 2 in tithe.</t>
        </is>
      </c>
      <c r="C125" t="n">
        <v>0</v>
      </c>
      <c r="D125" t="n">
        <v>0</v>
      </c>
      <c r="E125" t="n">
        <v>0</v>
      </c>
      <c r="F125" t="n">
        <v>0</v>
      </c>
      <c r="H125" t="n">
        <v>0</v>
      </c>
      <c r="I125" t="n">
        <v>0</v>
      </c>
      <c r="J125" t="n">
        <v>0</v>
      </c>
      <c r="K125" t="n">
        <v>0</v>
      </c>
      <c r="L125" t="n">
        <v>0</v>
      </c>
      <c r="M125" t="n">
        <v>0</v>
      </c>
      <c r="N125" t="n">
        <v>0</v>
      </c>
    </row>
    <row r="126">
      <c r="A126" t="inlineStr">
        <is>
          <t>stock</t>
        </is>
      </c>
      <c r="B126" t="inlineStr">
        <is>
          <t>21 sold within.</t>
        </is>
      </c>
      <c r="C126" t="n">
        <v>0</v>
      </c>
      <c r="D126" t="n">
        <v>0</v>
      </c>
      <c r="E126" t="n">
        <v>0</v>
      </c>
      <c r="F126" t="n">
        <v>0</v>
      </c>
      <c r="H126" t="n">
        <v>0</v>
      </c>
      <c r="I126" t="n">
        <v>0</v>
      </c>
      <c r="J126" t="n">
        <v>0</v>
      </c>
      <c r="K126" t="n">
        <v>0</v>
      </c>
      <c r="L126" t="n">
        <v>0</v>
      </c>
      <c r="M126" t="n">
        <v>0</v>
      </c>
      <c r="N126" t="n">
        <v>0</v>
      </c>
    </row>
    <row r="127">
      <c r="A127" t="inlineStr">
        <is>
          <t>stock</t>
        </is>
      </c>
      <c r="B127" t="inlineStr">
        <is>
          <t>total as before.</t>
        </is>
      </c>
      <c r="C127" t="n">
        <v>0</v>
      </c>
      <c r="D127" t="n">
        <v>0</v>
      </c>
      <c r="E127" t="n">
        <v>0</v>
      </c>
      <c r="F127" t="n">
        <v>0</v>
      </c>
      <c r="H127" t="n">
        <v>0</v>
      </c>
      <c r="I127" t="n">
        <v>0</v>
      </c>
      <c r="J127" t="n">
        <v>0</v>
      </c>
      <c r="K127" t="n">
        <v>0</v>
      </c>
      <c r="L127" t="n">
        <v>0</v>
      </c>
      <c r="M127" t="n">
        <v>0</v>
      </c>
      <c r="N127" t="n">
        <v>0</v>
      </c>
    </row>
    <row r="128">
      <c r="A128" t="inlineStr">
        <is>
          <t>stock</t>
        </is>
      </c>
      <c r="B128" t="inlineStr">
        <is>
          <t>none remain.</t>
        </is>
      </c>
      <c r="C128" t="n">
        <v>0</v>
      </c>
      <c r="D128" t="n">
        <v>0</v>
      </c>
      <c r="E128" t="n">
        <v>0</v>
      </c>
      <c r="F128" t="n">
        <v>0</v>
      </c>
      <c r="H128" t="n">
        <v>0</v>
      </c>
      <c r="I128" t="n">
        <v>0</v>
      </c>
      <c r="J128" t="n">
        <v>0</v>
      </c>
      <c r="K128" t="n">
        <v>0</v>
      </c>
      <c r="L128" t="n">
        <v>0</v>
      </c>
      <c r="M128" t="n">
        <v>0</v>
      </c>
      <c r="N128" t="n">
        <v>0</v>
      </c>
    </row>
    <row r="129">
      <c r="A129" t="inlineStr">
        <is>
          <t>stock</t>
        </is>
      </c>
      <c r="B129" t="inlineStr">
        <is>
          <t>bare skins: 9 from wethers in murrain after shearing as made clear above.</t>
        </is>
      </c>
      <c r="C129" t="n">
        <v>0</v>
      </c>
      <c r="D129" t="n">
        <v>0</v>
      </c>
      <c r="E129" t="n">
        <v>0</v>
      </c>
      <c r="F129" t="n">
        <v>0</v>
      </c>
      <c r="H129" t="n">
        <v>0</v>
      </c>
      <c r="I129" t="n">
        <v>0</v>
      </c>
      <c r="J129" t="n">
        <v>0</v>
      </c>
      <c r="K129" t="n">
        <v>0</v>
      </c>
      <c r="L129" t="n">
        <v>0</v>
      </c>
      <c r="M129" t="n">
        <v>0</v>
      </c>
      <c r="N129" t="n">
        <v>0</v>
      </c>
    </row>
    <row r="130">
      <c r="A130" t="inlineStr">
        <is>
          <t>stock</t>
        </is>
      </c>
      <c r="B130" t="inlineStr">
        <is>
          <t>total, 9. sold within.</t>
        </is>
      </c>
      <c r="C130" t="n">
        <v>0</v>
      </c>
      <c r="D130" t="n">
        <v>0</v>
      </c>
      <c r="E130" t="n">
        <v>0</v>
      </c>
      <c r="F130" t="n">
        <v>0</v>
      </c>
      <c r="H130" t="n">
        <v>0</v>
      </c>
      <c r="I130" t="n">
        <v>0</v>
      </c>
      <c r="J130" t="n">
        <v>0</v>
      </c>
      <c r="K130" t="n">
        <v>0</v>
      </c>
      <c r="L130" t="n">
        <v>0</v>
      </c>
      <c r="M130" t="n">
        <v>0</v>
      </c>
      <c r="N130" t="n">
        <v>0</v>
      </c>
    </row>
    <row r="131">
      <c r="A131" t="inlineStr">
        <is>
          <t>stock</t>
        </is>
      </c>
      <c r="B131" t="inlineStr">
        <is>
          <t>none remain.</t>
        </is>
      </c>
      <c r="C131" t="n">
        <v>0</v>
      </c>
      <c r="D131" t="n">
        <v>0</v>
      </c>
      <c r="E131" t="n">
        <v>0</v>
      </c>
      <c r="F131" t="n">
        <v>0</v>
      </c>
      <c r="H131" t="n">
        <v>0</v>
      </c>
      <c r="I131" t="n">
        <v>0</v>
      </c>
      <c r="J131" t="n">
        <v>0</v>
      </c>
      <c r="K131" t="n">
        <v>0</v>
      </c>
      <c r="L131" t="n">
        <v>0</v>
      </c>
      <c r="M131" t="n">
        <v>0</v>
      </c>
      <c r="N131" t="n">
        <v>0</v>
      </c>
    </row>
    <row r="132">
      <c r="A132" t="inlineStr">
        <is>
          <t>stock</t>
        </is>
      </c>
      <c r="B132" t="inlineStr">
        <is>
          <t>capons: 12 remain.</t>
        </is>
      </c>
      <c r="C132" t="n">
        <v>0</v>
      </c>
      <c r="D132" t="n">
        <v>0</v>
      </c>
      <c r="E132" t="n">
        <v>0</v>
      </c>
      <c r="F132" t="n">
        <v>0</v>
      </c>
      <c r="H132" t="n">
        <v>0</v>
      </c>
      <c r="I132" t="n">
        <v>0</v>
      </c>
      <c r="J132" t="n">
        <v>0</v>
      </c>
      <c r="K132" t="n">
        <v>0</v>
      </c>
      <c r="L132" t="n">
        <v>0</v>
      </c>
      <c r="M132" t="n">
        <v>0</v>
      </c>
      <c r="N132" t="n">
        <v>0</v>
      </c>
    </row>
    <row r="133">
      <c r="A133" t="inlineStr">
        <is>
          <t>stock</t>
        </is>
      </c>
      <c r="B133" t="inlineStr">
        <is>
          <t>total, 12. 12 remain, in the hands of the said farmer, to be restored as before.</t>
        </is>
      </c>
      <c r="C133" t="n">
        <v>0</v>
      </c>
      <c r="D133" t="n">
        <v>0</v>
      </c>
      <c r="E133" t="n">
        <v>0</v>
      </c>
      <c r="F133" t="n">
        <v>0</v>
      </c>
      <c r="H133" t="n">
        <v>0</v>
      </c>
      <c r="I133" t="n">
        <v>0</v>
      </c>
      <c r="J133" t="n">
        <v>0</v>
      </c>
      <c r="K133" t="n">
        <v>0</v>
      </c>
      <c r="L133" t="n">
        <v>0</v>
      </c>
      <c r="M133" t="n">
        <v>0</v>
      </c>
      <c r="N133" t="n">
        <v>0</v>
      </c>
    </row>
    <row r="134">
      <c r="A134" t="inlineStr">
        <is>
          <t>stock</t>
        </is>
      </c>
      <c r="B134" t="inlineStr">
        <is>
          <t>cocks and hens: 1 cock and 5 hens remain.</t>
        </is>
      </c>
      <c r="C134" t="n">
        <v>0</v>
      </c>
      <c r="D134" t="n">
        <v>0</v>
      </c>
      <c r="E134" t="n">
        <v>0</v>
      </c>
      <c r="F134" t="n">
        <v>0</v>
      </c>
      <c r="H134" t="n">
        <v>0</v>
      </c>
      <c r="I134" t="n">
        <v>0</v>
      </c>
      <c r="J134" t="n">
        <v>0</v>
      </c>
      <c r="K134" t="n">
        <v>0</v>
      </c>
      <c r="L134" t="n">
        <v>0</v>
      </c>
      <c r="M134" t="n">
        <v>0</v>
      </c>
      <c r="N134" t="n">
        <v>0</v>
      </c>
    </row>
    <row r="135">
      <c r="A135" t="inlineStr">
        <is>
          <t>stock</t>
        </is>
      </c>
      <c r="B135" t="inlineStr">
        <is>
          <t>total, 6. 1 cock and 5 hens remain, in the hands of the said farmer, to be restored as before..</t>
        </is>
      </c>
      <c r="C135" t="n">
        <v>0</v>
      </c>
      <c r="D135" t="n">
        <v>0</v>
      </c>
      <c r="E135" t="n">
        <v>0</v>
      </c>
      <c r="F135" t="n">
        <v>0</v>
      </c>
      <c r="H135" t="n">
        <v>0</v>
      </c>
      <c r="I135" t="n">
        <v>0</v>
      </c>
      <c r="J135" t="n">
        <v>0</v>
      </c>
      <c r="K135" t="n">
        <v>0</v>
      </c>
      <c r="L135" t="n">
        <v>0</v>
      </c>
      <c r="M135" t="n">
        <v>0</v>
      </c>
      <c r="N13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Peas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cart-horses remain, of which 3 are worth 16 shilling each and 1 is worth 3 shilling 4pence, in the hands of the said farmer, to be restored at the end of his farm or the value of the same at the lord's will.</t>
        </is>
      </c>
      <c r="C4" t="n">
        <v>0</v>
      </c>
      <c r="D4" t="n">
        <v>0</v>
      </c>
    </row>
    <row r="5">
      <c r="A5" t="inlineStr">
        <is>
          <t>Stock</t>
        </is>
      </c>
      <c r="B5" t="inlineStr">
        <is>
          <t>Mares: 1 from strays.</t>
        </is>
      </c>
      <c r="C5" t="n">
        <v>0</v>
      </c>
      <c r="D5" t="n">
        <v>0</v>
      </c>
      <c r="E5" t="inlineStr">
        <is>
          <t>Mares</t>
        </is>
      </c>
    </row>
    <row r="6">
      <c r="A6" t="inlineStr">
        <is>
          <t>Stock</t>
        </is>
      </c>
      <c r="B6" t="inlineStr">
        <is>
          <t>sold within.</t>
        </is>
      </c>
      <c r="C6" t="n">
        <v>0</v>
      </c>
      <c r="D6" t="n">
        <v>0</v>
      </c>
      <c r="E6" t="inlineStr">
        <is>
          <t>Mares</t>
        </is>
      </c>
    </row>
    <row r="7">
      <c r="A7" t="inlineStr">
        <is>
          <t>Stock</t>
        </is>
      </c>
      <c r="B7" t="inlineStr">
        <is>
          <t>none remain.</t>
        </is>
      </c>
      <c r="C7" t="n">
        <v>0</v>
      </c>
      <c r="D7" t="n">
        <v>0</v>
      </c>
      <c r="E7" t="inlineStr">
        <is>
          <t>Mares</t>
        </is>
      </c>
    </row>
    <row r="8">
      <c r="A8" t="inlineStr">
        <is>
          <t>Stock</t>
        </is>
      </c>
      <c r="B8" t="inlineStr">
        <is>
          <t>Colts: 1 from strays.</t>
        </is>
      </c>
      <c r="C8" t="n">
        <v>0</v>
      </c>
      <c r="D8" t="n">
        <v>0</v>
      </c>
      <c r="E8" t="inlineStr">
        <is>
          <t>Mares</t>
        </is>
      </c>
    </row>
    <row r="9">
      <c r="A9" t="inlineStr">
        <is>
          <t>Stock</t>
        </is>
      </c>
      <c r="B9" t="inlineStr">
        <is>
          <t>sold within.</t>
        </is>
      </c>
      <c r="C9" t="n">
        <v>0</v>
      </c>
      <c r="D9" t="n">
        <v>0</v>
      </c>
      <c r="E9" t="inlineStr">
        <is>
          <t>Mares</t>
        </is>
      </c>
    </row>
    <row r="10">
      <c r="A10" t="inlineStr">
        <is>
          <t>Stock</t>
        </is>
      </c>
      <c r="B10" t="inlineStr">
        <is>
          <t>none remain.</t>
        </is>
      </c>
      <c r="C10" t="n">
        <v>0</v>
      </c>
      <c r="D10" t="n">
        <v>0</v>
      </c>
      <c r="E10" t="inlineStr">
        <is>
          <t>Mares</t>
        </is>
      </c>
    </row>
    <row r="11">
      <c r="A11" t="inlineStr">
        <is>
          <t>Stock</t>
        </is>
      </c>
      <c r="B11" t="inlineStr">
        <is>
          <t>Oxen: 18 remain.</t>
        </is>
      </c>
      <c r="C11" t="n">
        <v>0</v>
      </c>
      <c r="D11" t="n">
        <v>0</v>
      </c>
      <c r="E11" t="inlineStr">
        <is>
          <t>Oxen</t>
        </is>
      </c>
      <c r="F11" t="inlineStr">
        <is>
          <t>18</t>
        </is>
      </c>
    </row>
    <row r="12">
      <c r="A12" t="inlineStr">
        <is>
          <t>Stock</t>
        </is>
      </c>
      <c r="B12" t="inlineStr">
        <is>
          <t>Total, 18. 18 remain, worth 13 shilling 4pence each, in the hands of the said farmer, to be restored at the end of his farm or the value of the same at the lord's will.</t>
        </is>
      </c>
      <c r="C12" t="n">
        <v>0</v>
      </c>
      <c r="D12" t="n">
        <v>0</v>
      </c>
      <c r="E12" t="inlineStr">
        <is>
          <t>Oxen</t>
        </is>
      </c>
    </row>
    <row r="13">
      <c r="A13" t="inlineStr">
        <is>
          <t>Stock</t>
        </is>
      </c>
      <c r="B13" t="inlineStr">
        <is>
          <t>Bulls: 1 remains, worth 13 shilling 4pence, in the hands of the said fanner, to be handed back and restored as before.</t>
        </is>
      </c>
      <c r="C13" t="n">
        <v>0</v>
      </c>
      <c r="D13" t="n">
        <v>0</v>
      </c>
      <c r="E13" t="inlineStr">
        <is>
          <t>Bulls</t>
        </is>
      </c>
    </row>
    <row r="14">
      <c r="A14" t="inlineStr">
        <is>
          <t>Stock</t>
        </is>
      </c>
      <c r="B14" t="inlineStr">
        <is>
          <t>Cows: 30 remain.</t>
        </is>
      </c>
      <c r="C14" t="n">
        <v>0</v>
      </c>
      <c r="D14" t="n">
        <v>0</v>
      </c>
      <c r="E14" t="inlineStr">
        <is>
          <t>Cows</t>
        </is>
      </c>
      <c r="F14" t="inlineStr">
        <is>
          <t>30</t>
        </is>
      </c>
    </row>
    <row r="15">
      <c r="A15" t="inlineStr">
        <is>
          <t>Stock</t>
        </is>
      </c>
      <c r="B15" t="inlineStr">
        <is>
          <t>Total, 30. 30 remain, worth 8 shilling each, in the hands of the said farmer, to be restored and handed back as before.</t>
        </is>
      </c>
      <c r="C15" t="n">
        <v>0</v>
      </c>
      <c r="D15" t="n">
        <v>0</v>
      </c>
      <c r="E15" t="inlineStr">
        <is>
          <t>Cows</t>
        </is>
      </c>
    </row>
    <row r="16">
      <c r="A16" t="inlineStr">
        <is>
          <t>Stock</t>
        </is>
      </c>
      <c r="B16" t="inlineStr">
        <is>
          <t>Yearlings: 7 remain, worth 3 shilling 4pence each, in the hands of the said fanner, to be restored and handed back as before.</t>
        </is>
      </c>
      <c r="C16" t="n">
        <v>0</v>
      </c>
      <c r="D16" t="n">
        <v>0</v>
      </c>
      <c r="E16" t="inlineStr">
        <is>
          <t>Yearlings</t>
        </is>
      </c>
      <c r="F16" t="inlineStr">
        <is>
          <t>7</t>
        </is>
      </c>
    </row>
    <row r="17">
      <c r="A17" t="inlineStr">
        <is>
          <t>Stock</t>
        </is>
      </c>
      <c r="B17" t="inlineStr">
        <is>
          <t>Wethers: 231 remain.</t>
        </is>
      </c>
      <c r="C17" t="n">
        <v>0</v>
      </c>
      <c r="D17" t="n">
        <v>0</v>
      </c>
      <c r="E17" t="inlineStr">
        <is>
          <t>Wethers</t>
        </is>
      </c>
      <c r="F17" t="inlineStr">
        <is>
          <t>231</t>
        </is>
      </c>
    </row>
    <row r="18">
      <c r="A18" t="inlineStr">
        <is>
          <t>Stock</t>
        </is>
      </c>
      <c r="B18" t="inlineStr">
        <is>
          <t>97 bought before shearing.</t>
        </is>
      </c>
      <c r="C18" t="n">
        <v>0</v>
      </c>
      <c r="D18" t="n">
        <v>0</v>
      </c>
      <c r="E18" t="inlineStr">
        <is>
          <t>Wethers</t>
        </is>
      </c>
      <c r="G18" t="inlineStr">
        <is>
          <t>97</t>
        </is>
      </c>
    </row>
    <row r="19">
      <c r="A19" t="inlineStr">
        <is>
          <t>Stock</t>
        </is>
      </c>
      <c r="B19" t="inlineStr">
        <is>
          <t>Total, 328. 23 in murrain before shearing and 9 after shearing.</t>
        </is>
      </c>
      <c r="C19" t="n">
        <v>0</v>
      </c>
      <c r="D19" t="n">
        <v>0</v>
      </c>
      <c r="E19" t="inlineStr">
        <is>
          <t>Wethers</t>
        </is>
      </c>
      <c r="H19" t="inlineStr">
        <is>
          <t>23</t>
        </is>
      </c>
    </row>
    <row r="20">
      <c r="A20" t="inlineStr">
        <is>
          <t>Stock</t>
        </is>
      </c>
      <c r="B20" t="inlineStr">
        <is>
          <t>Total, 32. 296 remain.</t>
        </is>
      </c>
      <c r="C20" t="n">
        <v>0</v>
      </c>
      <c r="D20" t="n">
        <v>0</v>
      </c>
      <c r="E20" t="inlineStr">
        <is>
          <t>Wethers</t>
        </is>
      </c>
    </row>
    <row r="21">
      <c r="A21" t="inlineStr">
        <is>
          <t>Stock</t>
        </is>
      </c>
      <c r="B21" t="inlineStr">
        <is>
          <t>Sows: 2 remain.</t>
        </is>
      </c>
      <c r="C21" t="n">
        <v>0</v>
      </c>
      <c r="D21" t="n">
        <v>0</v>
      </c>
      <c r="E21" t="inlineStr">
        <is>
          <t>Sows</t>
        </is>
      </c>
      <c r="F21" t="inlineStr">
        <is>
          <t>2</t>
        </is>
      </c>
    </row>
    <row r="22">
      <c r="A22" t="inlineStr">
        <is>
          <t>Stock</t>
        </is>
      </c>
      <c r="B22" t="inlineStr">
        <is>
          <t>Total, 2. 2 remain, worth 3 shilling 4pence each, in the hands of the said farmer, to be restored as before.</t>
        </is>
      </c>
      <c r="C22" t="n">
        <v>0</v>
      </c>
      <c r="D22" t="n">
        <v>0</v>
      </c>
      <c r="E22" t="inlineStr">
        <is>
          <t>Sows</t>
        </is>
      </c>
    </row>
    <row r="23">
      <c r="A23" t="inlineStr">
        <is>
          <t>Stock</t>
        </is>
      </c>
      <c r="B23" t="inlineStr">
        <is>
          <t>Hoggets: 4 remain.</t>
        </is>
      </c>
      <c r="C23" t="n">
        <v>0</v>
      </c>
      <c r="D23" t="n">
        <v>0</v>
      </c>
      <c r="E23" t="inlineStr">
        <is>
          <t>Hoggets</t>
        </is>
      </c>
      <c r="F23" t="inlineStr">
        <is>
          <t>4</t>
        </is>
      </c>
    </row>
    <row r="24">
      <c r="A24" t="inlineStr">
        <is>
          <t>Stock</t>
        </is>
      </c>
      <c r="B24" t="inlineStr">
        <is>
          <t>Total, 4. 4 remain, worth 1 shilling 4pence each, in the hands of the said farmer, to be restored as before.</t>
        </is>
      </c>
      <c r="C24" t="n">
        <v>0</v>
      </c>
      <c r="D24" t="n">
        <v>0</v>
      </c>
      <c r="E24" t="inlineStr">
        <is>
          <t>Hoggets</t>
        </is>
      </c>
    </row>
    <row r="25">
      <c r="A25" t="inlineStr">
        <is>
          <t>Stock</t>
        </is>
      </c>
      <c r="B25" t="inlineStr">
        <is>
          <t>Piglets: 9 remain.</t>
        </is>
      </c>
      <c r="C25" t="n">
        <v>0</v>
      </c>
      <c r="D25" t="n">
        <v>0</v>
      </c>
      <c r="E25" t="inlineStr">
        <is>
          <t>Piglets</t>
        </is>
      </c>
      <c r="F25" t="inlineStr">
        <is>
          <t>9</t>
        </is>
      </c>
    </row>
    <row r="26">
      <c r="A26" t="inlineStr">
        <is>
          <t>Stock</t>
        </is>
      </c>
      <c r="B26" t="inlineStr">
        <is>
          <t>Total, 9. 9 remain, worth 6pence each, in the hands of the said farmer, to be restored as before.</t>
        </is>
      </c>
      <c r="C26" t="n">
        <v>0</v>
      </c>
      <c r="D26" t="n">
        <v>0</v>
      </c>
      <c r="E26" t="inlineStr">
        <is>
          <t>Piglets</t>
        </is>
      </c>
    </row>
    <row r="27">
      <c r="A27" t="inlineStr">
        <is>
          <t>Stock</t>
        </is>
      </c>
      <c r="B27" t="inlineStr">
        <is>
          <t>Coarse wool: 7 sacks, 41 cloves, 6 lb remain.</t>
        </is>
      </c>
      <c r="C27" t="n">
        <v>0</v>
      </c>
      <c r="D27" t="n">
        <v>0</v>
      </c>
      <c r="E27" t="inlineStr">
        <is>
          <t>Coarse wool</t>
        </is>
      </c>
      <c r="F27" t="inlineStr">
        <is>
          <t>6</t>
        </is>
      </c>
    </row>
    <row r="28">
      <c r="A28" t="inlineStr">
        <is>
          <t>Stock</t>
        </is>
      </c>
      <c r="B28" t="inlineStr">
        <is>
          <t>1 sack, 10 cloves, 1 lb from the increase in the weight of the same.</t>
        </is>
      </c>
      <c r="C28" t="n">
        <v>0</v>
      </c>
      <c r="D28" t="n">
        <v>0</v>
      </c>
      <c r="E28" t="inlineStr">
        <is>
          <t>Coarse wool</t>
        </is>
      </c>
    </row>
    <row r="29">
      <c r="A29" t="inlineStr">
        <is>
          <t>Stock</t>
        </is>
      </c>
      <c r="B29" t="inlineStr">
        <is>
          <t>528 fleeces from the reeve of Ivinghoe, weighing 1 sack 37 cloves.</t>
        </is>
      </c>
      <c r="C29" t="n">
        <v>0</v>
      </c>
      <c r="D29" t="n">
        <v>0</v>
      </c>
      <c r="E29" t="inlineStr">
        <is>
          <t>Coarse wool</t>
        </is>
      </c>
    </row>
    <row r="30">
      <c r="A30" t="inlineStr">
        <is>
          <t>Stock</t>
        </is>
      </c>
      <c r="B30" t="inlineStr">
        <is>
          <t>230 fleeces from the farmer of Culham, weighing 38 cloves.</t>
        </is>
      </c>
      <c r="C30" t="n">
        <v>0</v>
      </c>
      <c r="D30" t="n">
        <v>0</v>
      </c>
      <c r="E30" t="inlineStr">
        <is>
          <t>Coarse wool</t>
        </is>
      </c>
    </row>
    <row r="31">
      <c r="A31" t="inlineStr">
        <is>
          <t>Stock</t>
        </is>
      </c>
      <c r="B31" t="inlineStr">
        <is>
          <t>258 fleeces from the farmer of Waltham St Lawrence, weighing 36 cloves.</t>
        </is>
      </c>
      <c r="C31" t="n">
        <v>0</v>
      </c>
      <c r="D31" t="n">
        <v>0</v>
      </c>
      <c r="E31" t="inlineStr">
        <is>
          <t>Coarse wool</t>
        </is>
      </c>
    </row>
    <row r="32">
      <c r="A32" t="inlineStr">
        <is>
          <t>Stock</t>
        </is>
      </c>
      <c r="B32" t="inlineStr">
        <is>
          <t>305 fleeces from wethers this year, weighing 1 sack 2 cloves, besides those in tithe and agreements, answering for an average of 1.25 lb a fleece, plus 3 cloves 3 lb in all.</t>
        </is>
      </c>
      <c r="C32" t="n">
        <v>0</v>
      </c>
      <c r="D32" t="n">
        <v>0</v>
      </c>
      <c r="E32" t="inlineStr">
        <is>
          <t>Coarse wool</t>
        </is>
      </c>
    </row>
    <row r="33">
      <c r="A33" t="inlineStr">
        <is>
          <t>Stock</t>
        </is>
      </c>
      <c r="B33" t="inlineStr">
        <is>
          <t>Total, 13 sacks 9 cloves. 21 in tithe.</t>
        </is>
      </c>
      <c r="C33" t="n">
        <v>0</v>
      </c>
      <c r="D33" t="n">
        <v>0</v>
      </c>
      <c r="E33" t="inlineStr">
        <is>
          <t>Coarse wool</t>
        </is>
      </c>
    </row>
    <row r="34">
      <c r="A34" t="inlineStr">
        <is>
          <t>Stock</t>
        </is>
      </c>
      <c r="B34" t="inlineStr">
        <is>
          <t>1 in agreement with the shepherd.</t>
        </is>
      </c>
      <c r="C34" t="n">
        <v>0</v>
      </c>
      <c r="D34" t="n">
        <v>0</v>
      </c>
      <c r="E34" t="inlineStr">
        <is>
          <t>Coarse wool</t>
        </is>
      </c>
    </row>
    <row r="35">
      <c r="A35" t="inlineStr">
        <is>
          <t>Stock</t>
        </is>
      </c>
      <c r="B35" t="inlineStr">
        <is>
          <t>9 sacks delivered to Henry London', attorney of Richard Whityngdon', citizen and merchant of London, by the lord's letter of warranty and by an indenture made between the same Henry and the bailiff, of which 44 cloves are refuse wool.</t>
        </is>
      </c>
      <c r="C35" t="n">
        <v>0</v>
      </c>
      <c r="D35" t="n">
        <v>0</v>
      </c>
      <c r="E35" t="inlineStr">
        <is>
          <t>Coarse wool</t>
        </is>
      </c>
    </row>
    <row r="36">
      <c r="A36" t="inlineStr">
        <is>
          <t>Stock</t>
        </is>
      </c>
      <c r="B36" t="inlineStr">
        <is>
          <t>Total, 9 sacks. 4 sacks 9 cloves remain from this year's issue in the lord's wool-shed under the seal of the bailiff.</t>
        </is>
      </c>
      <c r="C36" t="n">
        <v>0</v>
      </c>
      <c r="D36" t="n">
        <v>0</v>
      </c>
      <c r="E36" t="inlineStr">
        <is>
          <t>Coarse wool</t>
        </is>
      </c>
    </row>
    <row r="37">
      <c r="A37" t="inlineStr">
        <is>
          <t>Stock</t>
        </is>
      </c>
      <c r="B37" t="inlineStr">
        <is>
          <t>Woolskins: 23 from wethers in murrain before shearing as made clear above.</t>
        </is>
      </c>
      <c r="C37" t="n">
        <v>0</v>
      </c>
      <c r="D37" t="n">
        <v>0</v>
      </c>
      <c r="E37" t="inlineStr">
        <is>
          <t>Woolskins</t>
        </is>
      </c>
      <c r="H37" t="inlineStr">
        <is>
          <t>23</t>
        </is>
      </c>
    </row>
    <row r="38">
      <c r="A38" t="inlineStr">
        <is>
          <t>Stock</t>
        </is>
      </c>
      <c r="B38" t="inlineStr">
        <is>
          <t>Total, 23. 2 in tithe.</t>
        </is>
      </c>
      <c r="C38" t="n">
        <v>0</v>
      </c>
      <c r="D38" t="n">
        <v>0</v>
      </c>
      <c r="E38" t="inlineStr">
        <is>
          <t>Woolskins</t>
        </is>
      </c>
    </row>
    <row r="39">
      <c r="A39" t="inlineStr">
        <is>
          <t>Stock</t>
        </is>
      </c>
      <c r="B39" t="inlineStr">
        <is>
          <t>21 sold within.</t>
        </is>
      </c>
      <c r="C39" t="n">
        <v>0</v>
      </c>
      <c r="D39" t="n">
        <v>0</v>
      </c>
      <c r="E39" t="inlineStr">
        <is>
          <t>Woolskins</t>
        </is>
      </c>
      <c r="I39" t="inlineStr">
        <is>
          <t>21</t>
        </is>
      </c>
    </row>
    <row r="40">
      <c r="A40" t="inlineStr">
        <is>
          <t>Stock</t>
        </is>
      </c>
      <c r="B40" t="inlineStr">
        <is>
          <t>Total as before.</t>
        </is>
      </c>
      <c r="C40" t="n">
        <v>0</v>
      </c>
      <c r="D40" t="n">
        <v>0</v>
      </c>
      <c r="E40" t="inlineStr">
        <is>
          <t>Woolskins</t>
        </is>
      </c>
    </row>
    <row r="41">
      <c r="A41" t="inlineStr">
        <is>
          <t>Stock</t>
        </is>
      </c>
      <c r="B41" t="inlineStr">
        <is>
          <t>None remain.</t>
        </is>
      </c>
      <c r="C41" t="n">
        <v>0</v>
      </c>
      <c r="D41" t="n">
        <v>0</v>
      </c>
      <c r="E41" t="inlineStr">
        <is>
          <t>Woolskins</t>
        </is>
      </c>
    </row>
    <row r="42">
      <c r="A42" t="inlineStr">
        <is>
          <t>Stock</t>
        </is>
      </c>
      <c r="B42" t="inlineStr">
        <is>
          <t>Bare skins: 9 from wethers in murrain after shearing as made clear above.</t>
        </is>
      </c>
      <c r="C42" t="n">
        <v>0</v>
      </c>
      <c r="D42" t="n">
        <v>0</v>
      </c>
      <c r="E42" t="inlineStr">
        <is>
          <t>Bareskins</t>
        </is>
      </c>
      <c r="H42" t="inlineStr">
        <is>
          <t>9</t>
        </is>
      </c>
    </row>
    <row r="43">
      <c r="A43" t="inlineStr">
        <is>
          <t>Stock</t>
        </is>
      </c>
      <c r="B43" t="inlineStr">
        <is>
          <t>Total, 9. Sold within.</t>
        </is>
      </c>
      <c r="C43" t="n">
        <v>0</v>
      </c>
      <c r="D43" t="n">
        <v>0</v>
      </c>
      <c r="E43" t="inlineStr">
        <is>
          <t>Bareskins</t>
        </is>
      </c>
    </row>
    <row r="44">
      <c r="A44" t="inlineStr">
        <is>
          <t>Stock</t>
        </is>
      </c>
      <c r="B44" t="inlineStr">
        <is>
          <t>none remain.</t>
        </is>
      </c>
      <c r="C44" t="n">
        <v>0</v>
      </c>
      <c r="D44" t="n">
        <v>0</v>
      </c>
      <c r="E44" t="inlineStr">
        <is>
          <t>Bareskins</t>
        </is>
      </c>
    </row>
    <row r="45">
      <c r="A45" t="inlineStr">
        <is>
          <t>Stock</t>
        </is>
      </c>
      <c r="B45" t="inlineStr">
        <is>
          <t>Capons: 12 remain.</t>
        </is>
      </c>
      <c r="C45" t="n">
        <v>0</v>
      </c>
      <c r="D45" t="n">
        <v>0</v>
      </c>
      <c r="E45" t="inlineStr">
        <is>
          <t>Bareskins</t>
        </is>
      </c>
      <c r="F45" t="inlineStr">
        <is>
          <t>12</t>
        </is>
      </c>
    </row>
    <row r="46">
      <c r="A46" t="inlineStr">
        <is>
          <t>Stock</t>
        </is>
      </c>
      <c r="B46" t="inlineStr">
        <is>
          <t>Total, 12. 12 remain, in the hands of the said farmer, to be restored as before.</t>
        </is>
      </c>
      <c r="C46" t="n">
        <v>0</v>
      </c>
      <c r="D46" t="n">
        <v>0</v>
      </c>
      <c r="E46" t="inlineStr">
        <is>
          <t>Bareskins</t>
        </is>
      </c>
    </row>
    <row r="47">
      <c r="A47" t="inlineStr">
        <is>
          <t>Stock</t>
        </is>
      </c>
      <c r="B47" t="inlineStr">
        <is>
          <t>Cocks and hens: 1 cock and 5 hens remain.</t>
        </is>
      </c>
      <c r="C47" t="n">
        <v>0</v>
      </c>
      <c r="D47" t="n">
        <v>0</v>
      </c>
      <c r="E47" t="inlineStr">
        <is>
          <t>Poultry stock</t>
        </is>
      </c>
      <c r="F47" t="inlineStr">
        <is>
          <t>1</t>
        </is>
      </c>
    </row>
    <row r="48">
      <c r="A48" t="inlineStr">
        <is>
          <t>Stock</t>
        </is>
      </c>
      <c r="B48" t="inlineStr">
        <is>
          <t>Total, 6. 1 cock and 5 hens remain, in the hands of the said farmer, to be restored as before..</t>
        </is>
      </c>
      <c r="C48" t="n">
        <v>0</v>
      </c>
      <c r="D48" t="n">
        <v>0</v>
      </c>
      <c r="E48" t="inlineStr">
        <is>
          <t>Poultry stock</t>
        </is>
      </c>
    </row>
    <row r="49">
      <c r="A49" t="inlineStr">
        <is>
          <t>Stock</t>
        </is>
      </c>
      <c r="B49" t="inlineStr">
        <is>
          <t>Total</t>
        </is>
      </c>
      <c r="C49" t="n">
        <v>0</v>
      </c>
      <c r="D49" t="n">
        <v>0</v>
      </c>
      <c r="E49"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1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john lylye, farmer there, answers for 4 quarters 3.5 bushels of wheat remaining, sown over 12 acres of land by the perch lying within the ditch.</t>
        </is>
      </c>
      <c r="C3" t="n">
        <v>0</v>
      </c>
      <c r="D3" t="n">
        <v>0</v>
      </c>
      <c r="E3" t="n">
        <v>4</v>
      </c>
      <c r="F3" t="n">
        <v>3.5</v>
      </c>
      <c r="G3" t="n">
        <v>4.44</v>
      </c>
      <c r="H3" t="n">
        <v>0</v>
      </c>
      <c r="I3" t="n">
        <v>0</v>
      </c>
      <c r="J3" t="n">
        <v>0</v>
      </c>
      <c r="K3" t="n">
        <v>0</v>
      </c>
      <c r="L3" t="n">
        <v>0</v>
      </c>
      <c r="M3" t="n">
        <v>0</v>
      </c>
      <c r="N3" t="n">
        <v>0</v>
      </c>
      <c r="O3" t="n">
        <v>0</v>
      </c>
      <c r="P3" t="n">
        <v>0</v>
      </c>
      <c r="Q3" t="n">
        <v>0</v>
      </c>
      <c r="R3" t="n">
        <v>0</v>
      </c>
      <c r="S3" t="n">
        <v>0</v>
      </c>
      <c r="T3" t="n">
        <v>0</v>
      </c>
      <c r="U3" t="n">
        <v>0</v>
      </c>
      <c r="V3" t="n">
        <v>0</v>
      </c>
      <c r="W3" t="n">
        <v>0</v>
      </c>
      <c r="X3" t="n">
        <v>4</v>
      </c>
      <c r="Y3" t="n">
        <v>3.5</v>
      </c>
      <c r="Z3" t="n">
        <v>4.44</v>
      </c>
      <c r="AA3" t="n">
        <v>4.44</v>
      </c>
      <c r="AB3" t="n">
        <v>0</v>
      </c>
      <c r="AC3" t="n">
        <v>4</v>
      </c>
      <c r="AD3" t="n">
        <v>3.5</v>
      </c>
      <c r="AI3" t="n">
        <v>0</v>
      </c>
    </row>
    <row r="4">
      <c r="A4" t="inlineStr">
        <is>
          <t>wheat</t>
        </is>
      </c>
      <c r="B4" t="inlineStr">
        <is>
          <t>that is, 3 bushels an acre, less .5 bushels in all, in the hands of the said john lylye, farmer there, to be restored and handed back at the end of 12 years, this year being the fifth.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5</v>
      </c>
      <c r="Z4" t="n">
        <v>0.62</v>
      </c>
      <c r="AA4" t="n">
        <v>0.38</v>
      </c>
      <c r="AB4" t="n">
        <v>0.25</v>
      </c>
      <c r="AC4" t="n">
        <v>0</v>
      </c>
      <c r="AD4" t="n">
        <v>3</v>
      </c>
      <c r="AE4" t="n">
        <v>0</v>
      </c>
      <c r="AF4" t="n">
        <v>5</v>
      </c>
      <c r="AI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I5" t="n">
        <v>0</v>
      </c>
    </row>
    <row r="6">
      <c r="A6" t="inlineStr">
        <is>
          <t>mancorn</t>
        </is>
      </c>
      <c r="B6" t="inlineStr">
        <is>
          <t>and for 12 quarters 2 bushels of mancorn remaining, sown over 33 acres of land by the perch lying within the ditch.</t>
        </is>
      </c>
      <c r="C6" t="n">
        <v>0</v>
      </c>
      <c r="D6" t="n">
        <v>0</v>
      </c>
      <c r="E6" t="n">
        <v>12</v>
      </c>
      <c r="F6" t="n">
        <v>2</v>
      </c>
      <c r="G6" t="n">
        <v>12.25</v>
      </c>
      <c r="H6" t="n">
        <v>0</v>
      </c>
      <c r="I6" t="n">
        <v>0</v>
      </c>
      <c r="J6" t="n">
        <v>0</v>
      </c>
      <c r="K6" t="n">
        <v>0</v>
      </c>
      <c r="L6" t="n">
        <v>0</v>
      </c>
      <c r="M6" t="n">
        <v>0</v>
      </c>
      <c r="N6" t="n">
        <v>0</v>
      </c>
      <c r="O6" t="n">
        <v>0</v>
      </c>
      <c r="P6" t="n">
        <v>0</v>
      </c>
      <c r="Q6" t="n">
        <v>0</v>
      </c>
      <c r="R6" t="n">
        <v>0</v>
      </c>
      <c r="S6" t="n">
        <v>0</v>
      </c>
      <c r="T6" t="n">
        <v>0</v>
      </c>
      <c r="U6" t="n">
        <v>0</v>
      </c>
      <c r="V6" t="n">
        <v>0</v>
      </c>
      <c r="W6" t="n">
        <v>0</v>
      </c>
      <c r="X6" t="n">
        <v>12</v>
      </c>
      <c r="Y6" t="n">
        <v>2</v>
      </c>
      <c r="Z6" t="n">
        <v>12.25</v>
      </c>
      <c r="AA6" t="n">
        <v>12.25</v>
      </c>
      <c r="AB6" t="n">
        <v>0</v>
      </c>
      <c r="AC6" t="n">
        <v>12</v>
      </c>
      <c r="AD6" t="n">
        <v>2</v>
      </c>
      <c r="AI6" t="n">
        <v>0</v>
      </c>
    </row>
    <row r="7">
      <c r="A7" t="inlineStr">
        <is>
          <t>mancorn</t>
        </is>
      </c>
      <c r="B7" t="inlineStr">
        <is>
          <t>that is, 3 bushels an acre, less 1 bushels in all, in the hands of the said farmer,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0.38</v>
      </c>
      <c r="AB7" t="n">
        <v>-0.25</v>
      </c>
      <c r="AC7" t="n">
        <v>0</v>
      </c>
      <c r="AD7" t="n">
        <v>3</v>
      </c>
      <c r="AE7" t="n">
        <v>0</v>
      </c>
      <c r="AF7" t="n">
        <v>1</v>
      </c>
      <c r="AI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I8" t="n">
        <v>0</v>
      </c>
    </row>
    <row r="9">
      <c r="A9" t="inlineStr">
        <is>
          <t>barley</t>
        </is>
      </c>
      <c r="B9" t="inlineStr">
        <is>
          <t>and for 33 quarters of barley remaining, sown over 66 acres of land by the perch lying within and outside the ditch.</t>
        </is>
      </c>
      <c r="C9" t="n">
        <v>0</v>
      </c>
      <c r="D9" t="n">
        <v>0</v>
      </c>
      <c r="E9" t="n">
        <v>33</v>
      </c>
      <c r="F9" t="n">
        <v>0</v>
      </c>
      <c r="G9" t="n">
        <v>33</v>
      </c>
      <c r="H9" t="n">
        <v>0</v>
      </c>
      <c r="I9" t="n">
        <v>0</v>
      </c>
      <c r="J9" t="n">
        <v>0</v>
      </c>
      <c r="K9" t="n">
        <v>0</v>
      </c>
      <c r="L9" t="n">
        <v>0</v>
      </c>
      <c r="M9" t="n">
        <v>0</v>
      </c>
      <c r="N9" t="n">
        <v>0</v>
      </c>
      <c r="O9" t="n">
        <v>0</v>
      </c>
      <c r="P9" t="n">
        <v>0</v>
      </c>
      <c r="Q9" t="n">
        <v>0</v>
      </c>
      <c r="R9" t="n">
        <v>0</v>
      </c>
      <c r="S9" t="n">
        <v>0</v>
      </c>
      <c r="T9" t="n">
        <v>0</v>
      </c>
      <c r="U9" t="n">
        <v>0</v>
      </c>
      <c r="V9" t="n">
        <v>0</v>
      </c>
      <c r="W9" t="n">
        <v>0</v>
      </c>
      <c r="X9" t="n">
        <v>33</v>
      </c>
      <c r="Y9" t="n">
        <v>0</v>
      </c>
      <c r="Z9" t="n">
        <v>33</v>
      </c>
      <c r="AA9" t="n">
        <v>33</v>
      </c>
      <c r="AB9" t="n">
        <v>0</v>
      </c>
      <c r="AC9" t="n">
        <v>33</v>
      </c>
      <c r="AD9" t="n">
        <v>0</v>
      </c>
      <c r="AI9" t="n">
        <v>0</v>
      </c>
    </row>
    <row r="10">
      <c r="A10" t="inlineStr">
        <is>
          <t>barley</t>
        </is>
      </c>
      <c r="B10" t="inlineStr">
        <is>
          <t>that is, 4 bushels an acre, in the hands of the said farmer, to be restored and handed back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I10" t="n">
        <v>0</v>
      </c>
    </row>
    <row r="11">
      <c r="A11" t="inlineStr">
        <is>
          <t>barley</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I11" t="n">
        <v>0</v>
      </c>
    </row>
    <row r="12">
      <c r="A12" t="inlineStr">
        <is>
          <t>dredge</t>
        </is>
      </c>
      <c r="B12" t="inlineStr">
        <is>
          <t>and for 12 quarters of dredge remaining, sown over 24 acres of land by the perch lying outside the ditch.</t>
        </is>
      </c>
      <c r="C12" t="n">
        <v>0</v>
      </c>
      <c r="D12" t="n">
        <v>0</v>
      </c>
      <c r="E12" t="n">
        <v>12</v>
      </c>
      <c r="F12" t="n">
        <v>0</v>
      </c>
      <c r="G12" t="n">
        <v>12</v>
      </c>
      <c r="H12" t="n">
        <v>0</v>
      </c>
      <c r="I12" t="n">
        <v>0</v>
      </c>
      <c r="J12" t="n">
        <v>0</v>
      </c>
      <c r="K12" t="n">
        <v>0</v>
      </c>
      <c r="L12" t="n">
        <v>0</v>
      </c>
      <c r="M12" t="n">
        <v>0</v>
      </c>
      <c r="N12" t="n">
        <v>0</v>
      </c>
      <c r="O12" t="n">
        <v>0</v>
      </c>
      <c r="P12" t="n">
        <v>0</v>
      </c>
      <c r="Q12" t="n">
        <v>0</v>
      </c>
      <c r="R12" t="n">
        <v>0</v>
      </c>
      <c r="S12" t="n">
        <v>0</v>
      </c>
      <c r="T12" t="n">
        <v>0</v>
      </c>
      <c r="U12" t="n">
        <v>0</v>
      </c>
      <c r="V12" t="n">
        <v>0</v>
      </c>
      <c r="W12" t="n">
        <v>0</v>
      </c>
      <c r="X12" t="n">
        <v>12</v>
      </c>
      <c r="Y12" t="n">
        <v>0</v>
      </c>
      <c r="Z12" t="n">
        <v>12</v>
      </c>
      <c r="AA12" t="n">
        <v>12</v>
      </c>
      <c r="AB12" t="n">
        <v>0</v>
      </c>
      <c r="AC12" t="n">
        <v>12</v>
      </c>
      <c r="AD12" t="n">
        <v>0</v>
      </c>
      <c r="AI12" t="n">
        <v>0</v>
      </c>
    </row>
    <row r="13">
      <c r="A13" t="inlineStr">
        <is>
          <t>dredge</t>
        </is>
      </c>
      <c r="B13" t="inlineStr">
        <is>
          <t>that is, 4 bushels an acre, in the hands of the said farmer, to be restored and handed back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v>
      </c>
      <c r="Z13" t="n">
        <v>0.5</v>
      </c>
      <c r="AA13" t="n">
        <v>0.5</v>
      </c>
      <c r="AB13" t="n">
        <v>0</v>
      </c>
      <c r="AC13" t="n">
        <v>0</v>
      </c>
      <c r="AD13" t="n">
        <v>4</v>
      </c>
      <c r="AI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peas</t>
        </is>
      </c>
      <c r="B15" t="inlineStr">
        <is>
          <t>and for 1 qr 2 bushels of peas remaining, sown over 3.5 acres of land by the perch lying outside the ditch.</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I15" t="n">
        <v>0</v>
      </c>
    </row>
    <row r="16">
      <c r="A16" t="inlineStr">
        <is>
          <t>peas</t>
        </is>
      </c>
      <c r="B16" t="inlineStr">
        <is>
          <t>that is, 3 bushels an acre, less .5 bushels in all, in the hands of the said farmer,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5</v>
      </c>
      <c r="Z16" t="n">
        <v>0.62</v>
      </c>
      <c r="AA16" t="n">
        <v>0.38</v>
      </c>
      <c r="AB16" t="n">
        <v>0.25</v>
      </c>
      <c r="AC16" t="n">
        <v>0</v>
      </c>
      <c r="AD16" t="n">
        <v>3</v>
      </c>
      <c r="AE16" t="n">
        <v>0</v>
      </c>
      <c r="AF16" t="n">
        <v>5</v>
      </c>
      <c r="AI16" t="n">
        <v>0</v>
      </c>
    </row>
    <row r="17">
      <c r="A17" t="inlineStr">
        <is>
          <t>peas</t>
        </is>
      </c>
      <c r="B17" t="inlineStr">
        <is>
          <t>and for 10 quarters of oats remaining, sown over 20 acres of land by the perch lying outside the ditch.</t>
        </is>
      </c>
      <c r="C17" t="n">
        <v>0</v>
      </c>
      <c r="D17" t="n">
        <v>0</v>
      </c>
      <c r="E17" t="n">
        <v>10</v>
      </c>
      <c r="F17" t="n">
        <v>0</v>
      </c>
      <c r="G17" t="n">
        <v>10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I17" t="n">
        <v>0</v>
      </c>
    </row>
    <row r="18">
      <c r="A18" t="inlineStr">
        <is>
          <t>peas</t>
        </is>
      </c>
      <c r="B18" t="inlineStr">
        <is>
          <t>that is, 4 bushels an acre, in the hands of the said farmer, to be restored and handed back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4</v>
      </c>
      <c r="Z18" t="n">
        <v>0.5</v>
      </c>
      <c r="AA18" t="n">
        <v>0.5</v>
      </c>
      <c r="AB18" t="n">
        <v>0</v>
      </c>
      <c r="AC18" t="n">
        <v>0</v>
      </c>
      <c r="AD18" t="n">
        <v>4</v>
      </c>
      <c r="AI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dredge</t>
        </is>
      </c>
      <c r="B6" t="n">
        <v>0</v>
      </c>
      <c r="C6" t="n">
        <v>0</v>
      </c>
      <c r="D6" t="n">
        <v>0</v>
      </c>
      <c r="E6" t="n">
        <v>0</v>
      </c>
      <c r="F6" t="n">
        <v>0</v>
      </c>
      <c r="G6" t="n">
        <v>0</v>
      </c>
      <c r="H6" t="n">
        <v>0</v>
      </c>
      <c r="I6" t="n">
        <v>0</v>
      </c>
      <c r="J6" t="n">
        <v>0</v>
      </c>
      <c r="K6" t="n">
        <v>0</v>
      </c>
      <c r="L6" t="n">
        <v>0</v>
      </c>
      <c r="M6" t="n">
        <v>0</v>
      </c>
    </row>
    <row r="7">
      <c r="A7" t="inlineStr">
        <is>
          <t>peas</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2026-02-04T20:29:39Z</dcterms:modified>
  <cp:lastModifiedBy>Kowalski, Kuba</cp:lastModifiedBy>
</cp:coreProperties>
</file>
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comments/comment3.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Poundisford Overview - Completed" sheetId="1" state="visible" r:id="rId1"/>
    <sheet xmlns:r="http://schemas.openxmlformats.org/officeDocument/2006/relationships" name="Prices" sheetId="2" state="visible" r:id="rId2"/>
    <sheet xmlns:r="http://schemas.openxmlformats.org/officeDocument/2006/relationships" name="Labour Rents" sheetId="3" state="visible" r:id="rId3"/>
    <sheet xmlns:r="http://schemas.openxmlformats.org/officeDocument/2006/relationships" name="Overview" sheetId="4" state="visible" r:id="rId4"/>
    <sheet xmlns:r="http://schemas.openxmlformats.org/officeDocument/2006/relationships" name="Receipts" sheetId="5" state="visible" r:id="rId5"/>
    <sheet xmlns:r="http://schemas.openxmlformats.org/officeDocument/2006/relationships" name="Expenses" sheetId="6" state="visible" r:id="rId6"/>
    <sheet xmlns:r="http://schemas.openxmlformats.org/officeDocument/2006/relationships" name="Issues of the Grange" sheetId="7" state="visible" r:id="rId7"/>
    <sheet xmlns:r="http://schemas.openxmlformats.org/officeDocument/2006/relationships" name="Issues of the Mills" sheetId="8" state="visible" r:id="rId8"/>
    <sheet xmlns:r="http://schemas.openxmlformats.org/officeDocument/2006/relationships" name="Stock" sheetId="9" state="visible" r:id="rId9"/>
    <sheet xmlns:r="http://schemas.openxmlformats.org/officeDocument/2006/relationships" name="raw data" sheetId="10" state="visible" r:id="rId10"/>
    <sheet xmlns:r="http://schemas.openxmlformats.org/officeDocument/2006/relationships" name="Issues of the Grange raw" sheetId="11" state="visible" r:id="rId11"/>
    <sheet xmlns:r="http://schemas.openxmlformats.org/officeDocument/2006/relationships" name="Sale of Corn Prices" sheetId="12" state="visible" r:id="rId12"/>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30">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
      <name val="Calibri (Body)"/>
      <color rgb="FFFF0000"/>
      <sz val="11"/>
    </font>
    <font>
      <name val="Calibri"/>
      <family val="2"/>
      <b val="1"/>
      <color rgb="FF000000"/>
      <sz val="11"/>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theme="2"/>
        <bgColor indexed="64"/>
      </patternFill>
    </fill>
  </fills>
  <borders count="17">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140">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2" fontId="9" fillId="0" borderId="0" applyAlignment="1" pivotButton="0" quotePrefix="0" xfId="0">
      <alignment horizontal="center"/>
    </xf>
    <xf numFmtId="2" fontId="11" fillId="0" borderId="0" applyAlignment="1" pivotButton="0" quotePrefix="0" xfId="0">
      <alignment horizontal="center" vertical="top"/>
    </xf>
    <xf numFmtId="2" fontId="28" fillId="0" borderId="0" pivotButton="0" quotePrefix="0" xfId="0"/>
    <xf numFmtId="0" fontId="7" fillId="0" borderId="0" applyAlignment="1" pivotButton="0" quotePrefix="0" xfId="0">
      <alignment horizontal="center" vertical="top" wrapText="1"/>
    </xf>
    <xf numFmtId="2" fontId="7" fillId="0" borderId="0" applyAlignment="1" pivotButton="0" quotePrefix="0" xfId="0">
      <alignment horizontal="center" vertical="top" wrapText="1"/>
    </xf>
    <xf numFmtId="0" fontId="0" fillId="11" borderId="0" pivotButton="0" quotePrefix="0" xfId="0"/>
    <xf numFmtId="0" fontId="20" fillId="0" borderId="0" applyAlignment="1" pivotButton="0" quotePrefix="0" xfId="0">
      <alignment horizontal="right" wrapText="1"/>
    </xf>
    <xf numFmtId="0" fontId="20" fillId="0" borderId="0" applyAlignment="1" pivotButton="0" quotePrefix="0" xfId="0">
      <alignment wrapText="1"/>
    </xf>
    <xf numFmtId="0" fontId="29" fillId="0" borderId="3" applyAlignment="1" pivotButton="0" quotePrefix="0" xfId="0">
      <alignment wrapText="1"/>
    </xf>
    <xf numFmtId="2" fontId="20" fillId="0" borderId="0" applyAlignment="1" pivotButton="0" quotePrefix="0" xfId="0">
      <alignment horizontal="right" wrapText="1"/>
    </xf>
    <xf numFmtId="0" fontId="0" fillId="0" borderId="3" pivotButton="0" quotePrefix="0" xfId="0"/>
    <xf numFmtId="2" fontId="9" fillId="0" borderId="0" applyAlignment="1" pivotButton="0" quotePrefix="0" xfId="0">
      <alignment horizontal="right" wrapText="1"/>
    </xf>
    <xf numFmtId="2" fontId="0" fillId="6"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C8" authorId="0" shapeId="0">
      <text>
        <t xml:space="preserve">Victoria Gierok:
from Issue of the grange </t>
      </text>
    </comment>
  </commentList>
</comments>
</file>

<file path=xl/comments/comment3.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9.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POUNDISFORD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c r="D4" s="13" t="n"/>
      <c r="E4" s="13" t="n"/>
    </row>
    <row r="5">
      <c r="A5" s="15" t="inlineStr">
        <is>
          <t>Rents of assize total</t>
        </is>
      </c>
      <c r="B5" s="76" t="n">
        <v>38.66</v>
      </c>
    </row>
    <row r="6">
      <c r="A6" s="15" t="inlineStr">
        <is>
          <t>Quittances total</t>
        </is>
      </c>
      <c r="B6" s="76" t="n">
        <v>1.393541666666667</v>
      </c>
    </row>
    <row r="7">
      <c r="A7" s="15" t="inlineStr">
        <is>
          <t>Defaults of rent total</t>
        </is>
      </c>
      <c r="B7" s="76" t="n">
        <v>2.36</v>
      </c>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row>
    <row r="13">
      <c r="A13" s="76" t="inlineStr">
        <is>
          <t>Farms total</t>
        </is>
      </c>
      <c r="B13" s="76" t="n"/>
    </row>
    <row r="14">
      <c r="A14" s="15" t="inlineStr">
        <is>
          <t>Annual recognizances total</t>
        </is>
      </c>
      <c r="B14" s="76" t="n"/>
    </row>
    <row r="15">
      <c r="A15" s="15" t="inlineStr">
        <is>
          <t>Issues of the Manor total</t>
        </is>
      </c>
      <c r="B15" s="76" t="n">
        <v>31.68</v>
      </c>
    </row>
    <row r="16">
      <c r="A16" s="76" t="inlineStr">
        <is>
          <t>Issues of the tenements in the lord's hands total</t>
        </is>
      </c>
      <c r="B16" s="76" t="n"/>
    </row>
    <row r="17">
      <c r="A17" s="76" t="inlineStr">
        <is>
          <t>Sale of labour services total</t>
        </is>
      </c>
      <c r="B17" s="76" t="n"/>
    </row>
    <row r="18">
      <c r="A18" s="15" t="inlineStr">
        <is>
          <t>Sale of corn total</t>
        </is>
      </c>
      <c r="B18" s="76" t="n">
        <v>29.28</v>
      </c>
    </row>
    <row r="19">
      <c r="A19" s="15" t="inlineStr">
        <is>
          <t>Entry and marriage fines total</t>
        </is>
      </c>
      <c r="B19" s="76" t="n">
        <v>16.89</v>
      </c>
    </row>
    <row r="20">
      <c r="A20" s="15" t="inlineStr">
        <is>
          <t>Pleas &amp; perquisites total</t>
        </is>
      </c>
      <c r="B20" s="76" t="n"/>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SUM(B5:B22)</f>
        <v/>
      </c>
      <c r="C23" s="80" t="n"/>
    </row>
    <row r="24">
      <c r="A24" s="82" t="inlineStr">
        <is>
          <t>Total of all receipts (calculated here) incl arrears</t>
        </is>
      </c>
      <c r="B24">
        <f>SUM(B4:B22)</f>
        <v/>
      </c>
      <c r="D24" s="13" t="n"/>
      <c r="E24" s="13" t="n"/>
    </row>
    <row r="25">
      <c r="A25" s="83" t="inlineStr">
        <is>
          <t>Total recorded in the accounts excl. arrears</t>
        </is>
      </c>
      <c r="B25" s="76" t="n"/>
      <c r="C25" s="10">
        <f>B23-B25</f>
        <v/>
      </c>
    </row>
    <row r="26">
      <c r="A26" s="83" t="inlineStr">
        <is>
          <t>Total recorded in the accounts incl. arrears</t>
        </is>
      </c>
      <c r="B26">
        <f>B25+B4</f>
        <v/>
      </c>
      <c r="D26" s="13" t="n"/>
      <c r="E26" s="13" t="n"/>
    </row>
    <row r="27">
      <c r="A27" s="15" t="n"/>
    </row>
    <row r="28">
      <c r="A28" s="15" t="n"/>
    </row>
    <row r="29">
      <c r="A29" s="16" t="inlineStr">
        <is>
          <t>EXPENSES</t>
        </is>
      </c>
    </row>
    <row r="30">
      <c r="A30" s="15" t="inlineStr">
        <is>
          <t>Cost of ploughs total</t>
        </is>
      </c>
      <c r="B30" t="n">
        <v>3.67</v>
      </c>
    </row>
    <row r="31">
      <c r="A31" s="15" t="inlineStr">
        <is>
          <t>Purchase of corn total</t>
        </is>
      </c>
      <c r="B31" t="n">
        <v>9.449999999999999</v>
      </c>
    </row>
    <row r="32">
      <c r="A32" s="15" t="inlineStr">
        <is>
          <t>Cost of carts and wagons total</t>
        </is>
      </c>
    </row>
    <row r="33">
      <c r="A33" s="15" t="inlineStr">
        <is>
          <t>Cost of dairy total</t>
        </is>
      </c>
    </row>
    <row r="34">
      <c r="A34" s="15" t="inlineStr">
        <is>
          <t>Purchase of stock total</t>
        </is>
      </c>
      <c r="B34" t="n">
        <v>2.15</v>
      </c>
    </row>
    <row r="35">
      <c r="A35" s="15" t="inlineStr">
        <is>
          <t>Sheepcote total</t>
        </is>
      </c>
    </row>
    <row r="36">
      <c r="A36" s="15" t="inlineStr">
        <is>
          <t>Cost of buildings total</t>
        </is>
      </c>
      <c r="B36" s="84" t="n"/>
    </row>
    <row r="37">
      <c r="A37" s="15" t="inlineStr">
        <is>
          <t>Threshing total</t>
        </is>
      </c>
      <c r="B37" t="n">
        <v>0.22</v>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row>
    <row r="43">
      <c r="A43" s="85" t="inlineStr">
        <is>
          <t>Annual fees</t>
        </is>
      </c>
      <c r="B43" s="86" t="n"/>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v>17.15</v>
      </c>
    </row>
    <row r="51">
      <c r="A51" s="15" t="n"/>
    </row>
    <row r="52">
      <c r="A52" s="18" t="inlineStr">
        <is>
          <t>Allowances</t>
        </is>
      </c>
      <c r="B52" s="84" t="n"/>
    </row>
    <row r="53">
      <c r="A53" s="18" t="inlineStr">
        <is>
          <t>Cash deliveries</t>
        </is>
      </c>
      <c r="B53" s="84" t="n">
        <v>99.69</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83.0625</v>
      </c>
      <c r="F62" s="13" t="n"/>
    </row>
    <row r="63">
      <c r="A63" s="76" t="inlineStr">
        <is>
          <t>Rye</t>
        </is>
      </c>
      <c r="F63" s="13" t="n"/>
    </row>
    <row r="64">
      <c r="A64" s="76" t="inlineStr">
        <is>
          <t>Dredge</t>
        </is>
      </c>
      <c r="F64" s="13" t="n"/>
    </row>
    <row r="65">
      <c r="A65" s="76" t="inlineStr">
        <is>
          <t>Curall</t>
        </is>
      </c>
      <c r="F65" s="13" t="n"/>
    </row>
    <row r="66">
      <c r="A66" s="76" t="inlineStr">
        <is>
          <t>Barley</t>
        </is>
      </c>
      <c r="F66" s="13" t="n"/>
    </row>
    <row r="67">
      <c r="A67" s="76" t="inlineStr">
        <is>
          <t>Oats</t>
        </is>
      </c>
      <c r="B67" t="n">
        <v>202.75</v>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t="n"/>
      <c r="C71" s="94" t="n"/>
      <c r="D71" s="93" t="n"/>
      <c r="E71" s="93" t="n"/>
    </row>
    <row r="72">
      <c r="A72" s="17" t="inlineStr">
        <is>
          <t>Total value of net production</t>
        </is>
      </c>
      <c r="B72" s="93" t="n"/>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1</v>
      </c>
      <c r="C87" s="76" t="n">
        <v>1</v>
      </c>
      <c r="D87" s="76" t="n">
        <v>0</v>
      </c>
      <c r="F87" s="84">
        <f>'Stock'!K5*'Stock'!O5</f>
        <v/>
      </c>
      <c r="G87" s="84">
        <f>D87*'Stock'!O5</f>
        <v/>
      </c>
    </row>
    <row r="88">
      <c r="A88" s="22" t="inlineStr">
        <is>
          <t>Mares</t>
        </is>
      </c>
      <c r="B88" s="76" t="n"/>
      <c r="C88" s="76" t="n"/>
      <c r="D88" s="76">
        <f>C88-B88</f>
        <v/>
      </c>
      <c r="F88" s="84">
        <f>'Stock'!K6*'Stock'!O6</f>
        <v/>
      </c>
      <c r="G88" s="84">
        <f>D88*'Stock'!O6</f>
        <v/>
      </c>
    </row>
    <row r="89">
      <c r="A89" s="15" t="inlineStr">
        <is>
          <t>Plough horses</t>
        </is>
      </c>
      <c r="B89" s="76" t="n"/>
      <c r="C89" s="76" t="n"/>
      <c r="D89" s="76">
        <f>C89-B89</f>
        <v/>
      </c>
      <c r="F89" s="84">
        <f>'Stock'!K7*'Stock'!O7</f>
        <v/>
      </c>
      <c r="G89" s="84">
        <f>D89*'Stock'!O7</f>
        <v/>
      </c>
    </row>
    <row r="90">
      <c r="A90" s="15" t="inlineStr">
        <is>
          <t>Colts (2 years)</t>
        </is>
      </c>
      <c r="B90" s="76" t="n"/>
      <c r="C90" s="76" t="n"/>
      <c r="D90" s="76">
        <f>C90-B90</f>
        <v/>
      </c>
      <c r="F90" s="84">
        <f>'Stock'!K9*'Stock'!O9</f>
        <v/>
      </c>
      <c r="G90" s="84">
        <f>D90*'Stock'!O9</f>
        <v/>
      </c>
    </row>
    <row r="91">
      <c r="A91" s="15" t="inlineStr">
        <is>
          <t>Colts (2 years)</t>
        </is>
      </c>
      <c r="B91" s="76" t="n"/>
      <c r="C91" s="76" t="n"/>
      <c r="D91" s="76">
        <f>C91-B91</f>
        <v/>
      </c>
      <c r="F91" s="84">
        <f>'Stock'!K9*'Stock'!O9</f>
        <v/>
      </c>
      <c r="G91" s="84">
        <f>D91*'Stock'!O9</f>
        <v/>
      </c>
    </row>
    <row r="92">
      <c r="A92" s="15" t="inlineStr">
        <is>
          <t>Colts (1 year)</t>
        </is>
      </c>
      <c r="B92" s="76" t="n"/>
      <c r="C92" s="76" t="n"/>
      <c r="D92" s="76">
        <f>C92-B92</f>
        <v/>
      </c>
      <c r="F92" s="84">
        <f>'Stock'!K10*'Stock'!O10</f>
        <v/>
      </c>
      <c r="G92" s="84">
        <f>D92*'Stock'!O10</f>
        <v/>
      </c>
    </row>
    <row r="93">
      <c r="A93" s="15" t="inlineStr">
        <is>
          <t>Foals</t>
        </is>
      </c>
      <c r="B93" s="76" t="n"/>
      <c r="C93" s="76" t="n"/>
      <c r="D93" s="76">
        <f>C93-B93</f>
        <v/>
      </c>
      <c r="F93" s="84">
        <f>'Stock'!K11*'Stock'!O11</f>
        <v/>
      </c>
      <c r="G93" s="84">
        <f>D93*'Stock'!O11</f>
        <v/>
      </c>
    </row>
    <row r="94">
      <c r="A94" s="15" t="inlineStr">
        <is>
          <t>Oxen</t>
        </is>
      </c>
      <c r="B94" s="76" t="n">
        <v>44</v>
      </c>
      <c r="C94" s="76" t="n">
        <v>41</v>
      </c>
      <c r="D94" s="76" t="n">
        <v>-3</v>
      </c>
      <c r="F94" s="84" t="n">
        <v>25.01</v>
      </c>
      <c r="G94" s="84" t="n">
        <v>-1.83</v>
      </c>
    </row>
    <row r="95">
      <c r="A95" s="15" t="inlineStr">
        <is>
          <t>Bulls</t>
        </is>
      </c>
      <c r="B95" s="76" t="n">
        <v>3</v>
      </c>
      <c r="C95" s="76" t="n">
        <v>3</v>
      </c>
      <c r="D95" s="76" t="n">
        <v>0</v>
      </c>
      <c r="F95" s="84">
        <f>'Stock'!K13*'Stock'!O13</f>
        <v/>
      </c>
      <c r="G95" s="84">
        <f>D95*'Stock'!O13</f>
        <v/>
      </c>
    </row>
    <row r="96">
      <c r="A96" s="15" t="inlineStr">
        <is>
          <t>Cows</t>
        </is>
      </c>
      <c r="B96" s="76" t="n">
        <v>47</v>
      </c>
      <c r="C96" s="76" t="n">
        <v>43</v>
      </c>
      <c r="D96" s="76" t="n">
        <v>-4</v>
      </c>
      <c r="F96" s="84" t="n">
        <v>12.9</v>
      </c>
      <c r="G96" s="84" t="n">
        <v>-1.2</v>
      </c>
    </row>
    <row r="97">
      <c r="A97" s="15" t="inlineStr">
        <is>
          <t>Steers</t>
        </is>
      </c>
      <c r="B97" s="76" t="n">
        <v>10</v>
      </c>
      <c r="C97" s="76" t="n">
        <v>0</v>
      </c>
      <c r="D97" s="76" t="n">
        <v>-10</v>
      </c>
      <c r="F97" s="84" t="n">
        <v>0</v>
      </c>
      <c r="G97" s="84" t="n">
        <v>-2</v>
      </c>
    </row>
    <row r="98">
      <c r="A98" s="15" t="inlineStr">
        <is>
          <t>Bullocks</t>
        </is>
      </c>
      <c r="B98" s="76" t="n">
        <v>16</v>
      </c>
      <c r="C98" s="76" t="n">
        <v>16</v>
      </c>
      <c r="D98" s="76" t="n">
        <v>0</v>
      </c>
      <c r="F98" s="84">
        <f>'Stock'!K16*'Stock'!O16</f>
        <v/>
      </c>
      <c r="G98" s="84">
        <f>D98*'Stock'!O16</f>
        <v/>
      </c>
    </row>
    <row r="99">
      <c r="A99" s="15" t="inlineStr">
        <is>
          <t>Yearlings</t>
        </is>
      </c>
      <c r="B99" s="76" t="n">
        <v>8</v>
      </c>
      <c r="C99" s="76" t="n">
        <v>7</v>
      </c>
      <c r="D99" s="76" t="n">
        <v>-1</v>
      </c>
      <c r="F99" s="84">
        <f>'Stock'!K17*'Stock'!O17</f>
        <v/>
      </c>
      <c r="G99" s="84">
        <f>D99*'Stock'!O17</f>
        <v/>
      </c>
    </row>
    <row r="100">
      <c r="A100" s="15" t="inlineStr">
        <is>
          <t>Calves</t>
        </is>
      </c>
      <c r="B100" s="76" t="n">
        <v>35</v>
      </c>
      <c r="C100" s="76" t="n">
        <v>10</v>
      </c>
      <c r="D100" s="76" t="n">
        <v>-25</v>
      </c>
      <c r="F100" s="84" t="n">
        <v>0.5</v>
      </c>
      <c r="G100" s="84" t="n">
        <v>-1.25</v>
      </c>
    </row>
    <row r="101">
      <c r="A101" s="15" t="inlineStr">
        <is>
          <t>Wethers</t>
        </is>
      </c>
      <c r="B101" s="76" t="n"/>
      <c r="C101" s="76" t="n">
        <v>0</v>
      </c>
      <c r="D101" s="76">
        <f>C101-B101</f>
        <v/>
      </c>
      <c r="F101" s="84">
        <f>'Stock'!K19*'Stock'!O19</f>
        <v/>
      </c>
      <c r="G101" s="84">
        <f>D101*'Stock'!O19</f>
        <v/>
      </c>
    </row>
    <row r="102">
      <c r="A102" s="15" t="inlineStr">
        <is>
          <t>Rams</t>
        </is>
      </c>
      <c r="B102" s="76" t="n"/>
      <c r="C102" s="76" t="n"/>
      <c r="D102" s="76">
        <f>C102-B102</f>
        <v/>
      </c>
      <c r="F102" s="84">
        <f>'Stock'!K20*'Stock'!O20</f>
        <v/>
      </c>
      <c r="G102" s="84">
        <f>D102*'Stock'!O20</f>
        <v/>
      </c>
    </row>
    <row r="103">
      <c r="A103" s="15" t="inlineStr">
        <is>
          <t>Ewes</t>
        </is>
      </c>
      <c r="B103" s="76" t="n"/>
      <c r="C103" s="76" t="n"/>
      <c r="D103" s="76">
        <f>C103-B103</f>
        <v/>
      </c>
      <c r="F103" s="84">
        <f>'Stock'!K21*'Stock'!O21</f>
        <v/>
      </c>
      <c r="G103" s="84">
        <f>D103*'Stock'!O21</f>
        <v/>
      </c>
    </row>
    <row r="104">
      <c r="A104" s="15" t="inlineStr">
        <is>
          <t>Hoggs</t>
        </is>
      </c>
      <c r="B104" s="76" t="n"/>
      <c r="C104" s="76" t="n"/>
      <c r="D104" s="76">
        <f>C104-B104</f>
        <v/>
      </c>
      <c r="F104" s="84">
        <f>'Stock'!K22*'Stock'!O22</f>
        <v/>
      </c>
      <c r="G104" s="84">
        <f>D104*'Stock'!O22</f>
        <v/>
      </c>
    </row>
    <row r="105">
      <c r="A105" s="15" t="inlineStr">
        <is>
          <t>Lambs</t>
        </is>
      </c>
      <c r="B105" s="76" t="n"/>
      <c r="C105" s="76" t="n"/>
      <c r="D105" s="76">
        <f>C105-B105</f>
        <v/>
      </c>
      <c r="F105" s="84">
        <f>'Stock'!K23*'Stock'!O23</f>
        <v/>
      </c>
      <c r="G105" s="84">
        <f>D105*'Stock'!O23</f>
        <v/>
      </c>
    </row>
    <row r="106">
      <c r="A106" s="15" t="inlineStr">
        <is>
          <t>Boars</t>
        </is>
      </c>
      <c r="B106" s="76" t="n"/>
      <c r="C106" s="76" t="n"/>
      <c r="D106" s="76">
        <f>C106-B106</f>
        <v/>
      </c>
      <c r="F106" s="84">
        <f>'Stock'!K24*'Stock'!O24</f>
        <v/>
      </c>
      <c r="G106" s="84">
        <f>D106*'Stock'!O24</f>
        <v/>
      </c>
    </row>
    <row r="107">
      <c r="A107" s="15" t="inlineStr">
        <is>
          <t>Sows</t>
        </is>
      </c>
      <c r="B107" s="76" t="n"/>
      <c r="C107" s="76" t="n"/>
      <c r="D107" s="76">
        <f>C107-B107</f>
        <v/>
      </c>
      <c r="F107" s="84">
        <f>'Stock'!K25*'Stock'!O25</f>
        <v/>
      </c>
      <c r="G107" s="84">
        <f>D107*'Stock'!O25</f>
        <v/>
      </c>
    </row>
    <row r="108">
      <c r="A108" s="15" t="inlineStr">
        <is>
          <t>Pigs</t>
        </is>
      </c>
      <c r="B108" s="76" t="n">
        <v>82</v>
      </c>
      <c r="C108" s="76" t="n">
        <v>53</v>
      </c>
      <c r="D108" s="76" t="n">
        <v>-29</v>
      </c>
      <c r="F108" s="84" t="n">
        <v>8.794927536231883</v>
      </c>
      <c r="G108" s="84" t="n">
        <v>-4.812318840579709</v>
      </c>
    </row>
    <row r="109">
      <c r="A109" s="15" t="inlineStr">
        <is>
          <t>Hoggets</t>
        </is>
      </c>
      <c r="B109" s="76" t="n">
        <v>46</v>
      </c>
      <c r="C109" s="76" t="n">
        <v>0</v>
      </c>
      <c r="D109" s="76" t="n">
        <v>-46</v>
      </c>
      <c r="F109" s="84">
        <f>'Stock'!K27*'Stock'!O27</f>
        <v/>
      </c>
      <c r="G109" s="84">
        <f>D109*'Stock'!O27</f>
        <v/>
      </c>
    </row>
    <row r="110">
      <c r="A110" s="15" t="inlineStr">
        <is>
          <t>Piglets</t>
        </is>
      </c>
      <c r="B110" s="76" t="n"/>
      <c r="C110" s="76" t="n">
        <v>48</v>
      </c>
      <c r="D110" s="76">
        <f>C110-B110</f>
        <v/>
      </c>
      <c r="F110" s="84">
        <f>'Stock'!K28*'Stock'!O28</f>
        <v/>
      </c>
      <c r="G110" s="84">
        <f>D110*'Stock'!O28</f>
        <v/>
      </c>
    </row>
    <row r="111">
      <c r="A111" s="15" t="inlineStr">
        <is>
          <t>Swans</t>
        </is>
      </c>
      <c r="B111" s="76" t="n"/>
      <c r="C111" s="76" t="n"/>
      <c r="D111" s="76">
        <f>C111-B111</f>
        <v/>
      </c>
      <c r="F111" s="84">
        <f>'Stock'!K29*'Stock'!O29</f>
        <v/>
      </c>
      <c r="G111" s="84">
        <f>D111*'Stock'!O29</f>
        <v/>
      </c>
    </row>
    <row r="112">
      <c r="A112" s="15" t="inlineStr">
        <is>
          <t>Peacocks</t>
        </is>
      </c>
      <c r="B112" s="76" t="n"/>
      <c r="C112" s="76" t="n"/>
      <c r="D112" s="76">
        <f>C112-B112</f>
        <v/>
      </c>
      <c r="F112" s="84">
        <f>'Stock'!K30*'Stock'!O30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c r="F119">
        <f>C119*'Stock'!O35</f>
        <v/>
      </c>
    </row>
    <row r="120">
      <c r="A120" s="15" t="inlineStr">
        <is>
          <t>Lamb's wool</t>
        </is>
      </c>
      <c r="F120">
        <f>C120*'Stock'!O36</f>
        <v/>
      </c>
    </row>
    <row r="121">
      <c r="A121" s="15" t="inlineStr">
        <is>
          <t>Wool locks</t>
        </is>
      </c>
      <c r="F121">
        <f>C121*'Stock'!O37</f>
        <v/>
      </c>
    </row>
    <row r="122">
      <c r="A122" s="15" t="inlineStr">
        <is>
          <t>Wool sold at shearing</t>
        </is>
      </c>
      <c r="F122">
        <f>C122*'Stock'!O38</f>
        <v/>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t="n">
        <v>0</v>
      </c>
      <c r="C151" s="76" t="n">
        <v>0</v>
      </c>
      <c r="D151" s="76" t="n">
        <v>0</v>
      </c>
      <c r="F151" s="76">
        <f>C151*'Stock'!O69</f>
        <v/>
      </c>
      <c r="G151" s="96" t="n"/>
    </row>
    <row r="152">
      <c r="A152" s="15" t="inlineStr">
        <is>
          <t>Geese</t>
        </is>
      </c>
      <c r="B152" s="76" t="n">
        <v>0</v>
      </c>
      <c r="C152" s="76" t="n">
        <v>0</v>
      </c>
      <c r="D152" s="76" t="n">
        <v>0</v>
      </c>
      <c r="F152" s="76">
        <f>C152*'Stock'!O70</f>
        <v/>
      </c>
    </row>
    <row r="153">
      <c r="A153" s="15" t="inlineStr">
        <is>
          <t>Capons (from chickens)</t>
        </is>
      </c>
      <c r="B153" s="76" t="n">
        <v>0</v>
      </c>
      <c r="C153" s="76" t="n">
        <v>0</v>
      </c>
      <c r="D153" s="76" t="n">
        <v>0</v>
      </c>
      <c r="F153" s="76">
        <f>C153*'Stock'!O71</f>
        <v/>
      </c>
    </row>
    <row r="154">
      <c r="A154" s="15" t="inlineStr">
        <is>
          <t>Cocks &amp; hens</t>
        </is>
      </c>
      <c r="B154" s="76" t="n">
        <v>0</v>
      </c>
      <c r="C154" s="76" t="n">
        <v>0</v>
      </c>
      <c r="D154" s="76" t="n">
        <v>0</v>
      </c>
      <c r="F154" s="76" t="n">
        <v>0</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F159">
        <f>C159*'Stock'!O77</f>
        <v/>
      </c>
      <c r="G159" s="116" t="n"/>
    </row>
    <row r="160">
      <c r="A160" s="15" t="inlineStr">
        <is>
          <t>Cocks &amp; hens from churchscot of customary tenants</t>
        </is>
      </c>
      <c r="B160" t="n">
        <v>0</v>
      </c>
      <c r="C160" t="n">
        <v>0</v>
      </c>
      <c r="D160" t="n">
        <v>0</v>
      </c>
      <c r="F160" t="n">
        <v>0</v>
      </c>
    </row>
    <row r="161">
      <c r="A161" s="15" t="inlineStr">
        <is>
          <t>Sum of above</t>
        </is>
      </c>
    </row>
    <row r="162">
      <c r="A162" s="17" t="inlineStr">
        <is>
          <t>Total value of stock</t>
        </is>
      </c>
      <c r="B162" s="93" t="n"/>
      <c r="C162" s="94" t="n"/>
      <c r="D162" s="93" t="n"/>
      <c r="E162" s="93" t="n"/>
      <c r="F162" s="93" t="n"/>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F166" t="n">
        <v>0</v>
      </c>
      <c r="G166" s="116" t="n"/>
    </row>
    <row r="167">
      <c r="A167" s="15" t="inlineStr">
        <is>
          <t>Winter Cheese</t>
        </is>
      </c>
      <c r="B167" t="n">
        <v>0</v>
      </c>
      <c r="C167" t="n">
        <v>0</v>
      </c>
      <c r="D167" t="n">
        <v>0</v>
      </c>
      <c r="F167">
        <f>C167*'Stock'!O90</f>
        <v/>
      </c>
    </row>
    <row r="168">
      <c r="A168" s="15" t="inlineStr">
        <is>
          <t>Summer Cheese</t>
        </is>
      </c>
      <c r="B168" t="n">
        <v>0</v>
      </c>
      <c r="C168" t="n">
        <v>0</v>
      </c>
      <c r="D168" t="n">
        <v>0</v>
      </c>
      <c r="F168">
        <f>C168*'Stock'!O91</f>
        <v/>
      </c>
    </row>
    <row r="169">
      <c r="A169" s="17" t="inlineStr">
        <is>
          <t>Total value of production (sum of the above)</t>
        </is>
      </c>
      <c r="B169" s="93" t="n"/>
      <c r="C169" s="94" t="n"/>
      <c r="D169" s="93" t="n"/>
      <c r="E169" s="93" t="n"/>
      <c r="F169" s="93" t="n"/>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F169+F162+F156+F147+F123+F115+D71</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E8"/>
  <sheetViews>
    <sheetView topLeftCell="A1" workbookViewId="0">
      <selection activeCell="A1" sqref="A1"/>
    </sheetView>
  </sheetViews>
  <sheetFormatPr baseColWidth="8" defaultColWidth="12.6328125" defaultRowHeight="14.5"/>
  <sheetData>
    <row r="1" ht="15.5" customHeight="1">
      <c r="A1" s="12" t="inlineStr">
        <is>
          <t>Meat &amp; Dairy Prices</t>
        </is>
      </c>
    </row>
    <row r="2">
      <c r="C2" t="n">
        <v>1301</v>
      </c>
      <c r="D2" t="n">
        <v>1302</v>
      </c>
      <c r="E2" s="28" t="inlineStr">
        <is>
          <t>Average</t>
        </is>
      </c>
    </row>
    <row r="3" ht="15.5" customHeight="1">
      <c r="A3" t="inlineStr">
        <is>
          <t>Beef</t>
        </is>
      </c>
      <c r="B3" t="inlineStr">
        <is>
          <t>£ per lb</t>
        </is>
      </c>
      <c r="C3" s="62" t="n">
        <v>0.003335185413087333</v>
      </c>
      <c r="D3" s="62" t="n">
        <v>0.003260853786849182</v>
      </c>
      <c r="E3" s="63">
        <f>AVERAGE(C3:D3)</f>
        <v/>
      </c>
    </row>
    <row r="4">
      <c r="A4" t="inlineStr">
        <is>
          <t>Mutton</t>
        </is>
      </c>
      <c r="B4" t="inlineStr">
        <is>
          <t>£ per lb</t>
        </is>
      </c>
      <c r="C4" s="63" t="n">
        <v>0.003659397726835158</v>
      </c>
      <c r="D4" s="63" t="n">
        <v>0.003712551295250783</v>
      </c>
      <c r="E4" s="63">
        <f>AVERAGE(C4:D4)</f>
        <v/>
      </c>
    </row>
    <row r="5">
      <c r="A5" t="inlineStr">
        <is>
          <t>Pork</t>
        </is>
      </c>
      <c r="B5" t="inlineStr">
        <is>
          <t>£ per lb</t>
        </is>
      </c>
      <c r="C5" s="63" t="n">
        <v>0.003843132608634785</v>
      </c>
      <c r="D5" s="63" t="n">
        <v>0.003757480310106574</v>
      </c>
      <c r="E5" s="63">
        <f>AVERAGE(C5:D5)</f>
        <v/>
      </c>
    </row>
    <row r="6">
      <c r="A6" t="inlineStr">
        <is>
          <t>Cheese</t>
        </is>
      </c>
      <c r="B6" t="inlineStr">
        <is>
          <t>£ per lb</t>
        </is>
      </c>
      <c r="C6" s="64" t="n">
        <v>0.005576875401355813</v>
      </c>
      <c r="D6" s="63" t="n">
        <v>0.005665489823647453</v>
      </c>
      <c r="E6" s="63">
        <f>AVERAGE(C6:D6)</f>
        <v/>
      </c>
    </row>
    <row r="7">
      <c r="A7" t="inlineStr">
        <is>
          <t>Butter</t>
        </is>
      </c>
      <c r="B7" t="inlineStr">
        <is>
          <t>£ per lb</t>
        </is>
      </c>
      <c r="C7" s="63" t="n">
        <v>0.00366262210285494</v>
      </c>
      <c r="D7" s="63" t="n">
        <v>0.003593507742292381</v>
      </c>
      <c r="E7" s="63">
        <f>AVERAGE(C7:D7)</f>
        <v/>
      </c>
    </row>
    <row r="8">
      <c r="A8" t="inlineStr">
        <is>
          <t>Milk</t>
        </is>
      </c>
      <c r="B8" t="inlineStr">
        <is>
          <t>£ per gallon</t>
        </is>
      </c>
      <c r="C8" s="65" t="n">
        <v>0.005576875401355813</v>
      </c>
      <c r="D8" s="63" t="n">
        <v>0.005665489823647453</v>
      </c>
      <c r="E8" s="63">
        <f>AVERAGE(C8:D8)</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ColWidth="8.81640625" defaultRowHeight="14.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83"/>
  <sheetViews>
    <sheetView topLeftCell="A1" workbookViewId="0">
      <selection activeCell="A1" sqref="A1"/>
    </sheetView>
  </sheetViews>
  <sheetFormatPr baseColWidth="8" defaultRowHeight="15"/>
  <cols>
    <col width="80" customWidth="1" min="1" max="1"/>
  </cols>
  <sheetData>
    <row r="1">
      <c r="A1" s="8" t="inlineStr">
        <is>
          <t>POUNDISFORD</t>
        </is>
      </c>
      <c r="B1" s="77" t="inlineStr">
        <is>
          <t>Total in £</t>
        </is>
      </c>
      <c r="C1" s="78" t="inlineStr">
        <is>
          <t>Error</t>
        </is>
      </c>
      <c r="D1" s="12" t="inlineStr">
        <is>
          <t>Note</t>
        </is>
      </c>
    </row>
    <row r="2">
      <c r="A2" s="8" t="inlineStr">
        <is>
          <t>CASH ACCOUNT</t>
        </is>
      </c>
    </row>
    <row r="3">
      <c r="A3" s="16" t="inlineStr">
        <is>
          <t>RECEIPTS</t>
        </is>
      </c>
    </row>
    <row r="4">
      <c r="A4" s="15" t="inlineStr">
        <is>
          <t>Arrears total</t>
        </is>
      </c>
    </row>
    <row r="5">
      <c r="A5" s="15" t="inlineStr">
        <is>
          <t>Rents of assize total</t>
        </is>
      </c>
    </row>
    <row r="6">
      <c r="A6" s="15" t="inlineStr">
        <is>
          <t>Quittances total</t>
        </is>
      </c>
    </row>
    <row r="7">
      <c r="A7" s="15" t="inlineStr">
        <is>
          <t>Defaults of rent total</t>
        </is>
      </c>
    </row>
    <row r="8">
      <c r="A8" s="9" t="inlineStr">
        <is>
          <t>Defaults of rent through the pestilence total</t>
        </is>
      </c>
    </row>
    <row r="9">
      <c r="A9" s="9" t="inlineStr">
        <is>
          <t>Cotlands defaults total</t>
        </is>
      </c>
    </row>
    <row r="10">
      <c r="A10" s="9" t="inlineStr">
        <is>
          <t>Cotlands total</t>
        </is>
      </c>
    </row>
    <row r="11">
      <c r="A11" s="9" t="inlineStr">
        <is>
          <t>Total of quittances and defaults of rent total</t>
        </is>
      </c>
    </row>
    <row r="12">
      <c r="A12" s="9" t="inlineStr">
        <is>
          <t>Total of rents remaining clear total</t>
        </is>
      </c>
    </row>
    <row r="13">
      <c r="A13" s="9" t="inlineStr">
        <is>
          <t>Farms total</t>
        </is>
      </c>
    </row>
    <row r="14">
      <c r="A14" s="15" t="inlineStr">
        <is>
          <t>Annual recognizances total</t>
        </is>
      </c>
    </row>
    <row r="15">
      <c r="A15" s="15" t="inlineStr">
        <is>
          <t>Issues of the Manor total</t>
        </is>
      </c>
    </row>
    <row r="16">
      <c r="A16" s="9" t="inlineStr">
        <is>
          <t>Issues of the tenements in the lord's hands total</t>
        </is>
      </c>
    </row>
    <row r="17">
      <c r="A17" s="9" t="inlineStr">
        <is>
          <t>Sale of labour services total</t>
        </is>
      </c>
    </row>
    <row r="18">
      <c r="A18" s="15" t="inlineStr">
        <is>
          <t>Sale of corn total</t>
        </is>
      </c>
    </row>
    <row r="19">
      <c r="A19" s="15" t="inlineStr">
        <is>
          <t>Entry and marriage fines total</t>
        </is>
      </c>
    </row>
    <row r="20">
      <c r="A20" s="15" t="inlineStr">
        <is>
          <t>Pleas &amp; perquisites total</t>
        </is>
      </c>
    </row>
    <row r="21">
      <c r="A21" s="9" t="inlineStr">
        <is>
          <t>Forfeited chattels total</t>
        </is>
      </c>
    </row>
    <row r="22">
      <c r="A22" s="9" t="inlineStr">
        <is>
          <t>Farm of the demesne land total</t>
        </is>
      </c>
    </row>
    <row r="23">
      <c r="A23" s="81" t="inlineStr">
        <is>
          <t>Total of all receipts (calculated here)</t>
        </is>
      </c>
    </row>
    <row r="24">
      <c r="A24" s="82" t="inlineStr">
        <is>
          <t>Total of all receipts (calculated here) incl arrears</t>
        </is>
      </c>
    </row>
    <row r="25">
      <c r="A25" s="83" t="inlineStr">
        <is>
          <t>Total recorded in the accounts excl. arrears</t>
        </is>
      </c>
    </row>
    <row r="26">
      <c r="A26" s="83" t="inlineStr">
        <is>
          <t>Total recorded in the accounts incl. arrears</t>
        </is>
      </c>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row>
    <row r="42">
      <c r="A42" s="15" t="inlineStr">
        <is>
          <t>Steward's expenses total</t>
        </is>
      </c>
    </row>
    <row r="43">
      <c r="A43" s="85" t="inlineStr">
        <is>
          <t>Annual fees</t>
        </is>
      </c>
    </row>
    <row r="44">
      <c r="A44" s="82" t="inlineStr">
        <is>
          <t>Total of all expenses per account</t>
        </is>
      </c>
    </row>
    <row r="45">
      <c r="A45" s="82" t="inlineStr">
        <is>
          <t>Total of all expenses (calculated here)</t>
        </is>
      </c>
    </row>
    <row r="46">
      <c r="A46" s="82" t="inlineStr">
        <is>
          <t>Total fixed investment</t>
        </is>
      </c>
    </row>
    <row r="47">
      <c r="A47" s="82" t="inlineStr">
        <is>
          <t>Total Demesne fixed investment</t>
        </is>
      </c>
    </row>
    <row r="48">
      <c r="A48" s="12" t="n"/>
    </row>
    <row r="49">
      <c r="A49" s="18" t="inlineStr">
        <is>
          <t>Owed by the reeve</t>
        </is>
      </c>
    </row>
    <row r="50">
      <c r="A50" s="18" t="inlineStr">
        <is>
          <t>From accounts</t>
        </is>
      </c>
    </row>
    <row r="51">
      <c r="A51" s="15" t="n"/>
    </row>
    <row r="52">
      <c r="A52" s="18" t="inlineStr">
        <is>
          <t>Allowances</t>
        </is>
      </c>
    </row>
    <row r="53">
      <c r="A53" s="18" t="inlineStr">
        <is>
          <t>Cash deliveries</t>
        </is>
      </c>
    </row>
    <row r="54">
      <c r="A54" s="19" t="inlineStr">
        <is>
          <t>Sum of the above</t>
        </is>
      </c>
    </row>
    <row r="55">
      <c r="A55" s="20" t="inlineStr">
        <is>
          <t>Total of all allowances and cash deliveries in accounts</t>
        </is>
      </c>
    </row>
    <row r="56">
      <c r="A56" s="15" t="n"/>
    </row>
    <row r="57">
      <c r="A57" s="18" t="inlineStr">
        <is>
          <t>Net amount owed</t>
        </is>
      </c>
    </row>
    <row r="58">
      <c r="A58" s="18" t="inlineStr">
        <is>
          <t>Net amount owed in accounts</t>
        </is>
      </c>
    </row>
    <row r="59">
      <c r="A59" s="15" t="n"/>
    </row>
    <row r="60">
      <c r="A60" s="16" t="inlineStr">
        <is>
          <t xml:space="preserve">GRANGE ACCOUNT </t>
        </is>
      </c>
    </row>
    <row r="61">
      <c r="A61" s="8" t="inlineStr">
        <is>
          <t>Grange</t>
        </is>
      </c>
    </row>
    <row r="62">
      <c r="A62" s="9" t="inlineStr">
        <is>
          <t>Wheat</t>
        </is>
      </c>
    </row>
    <row r="63">
      <c r="A63" s="9" t="inlineStr">
        <is>
          <t>Rye</t>
        </is>
      </c>
    </row>
    <row r="64">
      <c r="A64" s="9" t="inlineStr">
        <is>
          <t>Dredge</t>
        </is>
      </c>
    </row>
    <row r="65">
      <c r="A65" s="9" t="inlineStr">
        <is>
          <t>Curall</t>
        </is>
      </c>
    </row>
    <row r="66">
      <c r="A66" s="9" t="inlineStr">
        <is>
          <t>Barley</t>
        </is>
      </c>
    </row>
    <row r="67">
      <c r="A67" s="9" t="inlineStr">
        <is>
          <t>Oats</t>
        </is>
      </c>
    </row>
    <row r="68">
      <c r="A68" s="9" t="inlineStr">
        <is>
          <t>Beans</t>
        </is>
      </c>
    </row>
    <row r="69">
      <c r="A69" s="9" t="inlineStr">
        <is>
          <t>Peas</t>
        </is>
      </c>
    </row>
    <row r="70">
      <c r="A70" s="9" t="inlineStr">
        <is>
          <t>Vetches</t>
        </is>
      </c>
    </row>
    <row r="71">
      <c r="A71" s="17" t="inlineStr">
        <is>
          <t>Total value of gross production (sum of the above)</t>
        </is>
      </c>
    </row>
    <row r="72">
      <c r="A72" s="17" t="inlineStr">
        <is>
          <t>Total value of net production</t>
        </is>
      </c>
    </row>
    <row r="73">
      <c r="A73" s="17" t="inlineStr">
        <is>
          <t>Value of sales</t>
        </is>
      </c>
    </row>
    <row r="74">
      <c r="A74" s="15" t="n"/>
    </row>
    <row r="75">
      <c r="A75" s="16" t="inlineStr">
        <is>
          <t>MILL ACCOUNT</t>
        </is>
      </c>
    </row>
    <row r="76">
      <c r="A76" s="8" t="inlineStr">
        <is>
          <t>Issues of the mill</t>
        </is>
      </c>
    </row>
    <row r="77">
      <c r="A77" s="15" t="inlineStr">
        <is>
          <t>Wheat</t>
        </is>
      </c>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row>
    <row r="83">
      <c r="A83" s="17" t="inlineStr">
        <is>
          <t>Value of sales</t>
        </is>
      </c>
    </row>
    <row r="84">
      <c r="A84" s="15" t="n"/>
    </row>
    <row r="85">
      <c r="A85" s="92" t="inlineStr">
        <is>
          <t>STOCK ACCOUNT</t>
        </is>
      </c>
    </row>
    <row r="86">
      <c r="A86" s="21" t="inlineStr">
        <is>
          <t>Livestock</t>
        </is>
      </c>
    </row>
    <row r="87" ht="17" customHeight="1">
      <c r="A87" s="22" t="inlineStr">
        <is>
          <t>Cart-horses</t>
        </is>
      </c>
    </row>
    <row r="88" ht="17" customHeight="1">
      <c r="A88" s="22" t="inlineStr">
        <is>
          <t>Mares</t>
        </is>
      </c>
    </row>
    <row r="89">
      <c r="A89" s="15" t="inlineStr">
        <is>
          <t>Plough horses</t>
        </is>
      </c>
    </row>
    <row r="90">
      <c r="A90" s="15" t="inlineStr">
        <is>
          <t>Colts (2 years)</t>
        </is>
      </c>
    </row>
    <row r="91">
      <c r="A91" s="15" t="inlineStr">
        <is>
          <t>Colts (2 years)</t>
        </is>
      </c>
    </row>
    <row r="92">
      <c r="A92" s="15" t="inlineStr">
        <is>
          <t>Colts (1 year)</t>
        </is>
      </c>
    </row>
    <row r="93">
      <c r="A93" s="15" t="inlineStr">
        <is>
          <t>Foals</t>
        </is>
      </c>
    </row>
    <row r="94">
      <c r="A94" s="15" t="inlineStr">
        <is>
          <t>Oxen</t>
        </is>
      </c>
    </row>
    <row r="95">
      <c r="A95" s="15" t="inlineStr">
        <is>
          <t>Bulls</t>
        </is>
      </c>
    </row>
    <row r="96">
      <c r="A96" s="15" t="inlineStr">
        <is>
          <t>Cows</t>
        </is>
      </c>
    </row>
    <row r="97">
      <c r="A97" s="15" t="inlineStr">
        <is>
          <t>Steers</t>
        </is>
      </c>
    </row>
    <row r="98">
      <c r="A98" s="15" t="inlineStr">
        <is>
          <t>Bullocks</t>
        </is>
      </c>
    </row>
    <row r="99">
      <c r="A99" s="15" t="inlineStr">
        <is>
          <t>Yearlings</t>
        </is>
      </c>
    </row>
    <row r="100">
      <c r="A100" s="15" t="inlineStr">
        <is>
          <t>Calves</t>
        </is>
      </c>
    </row>
    <row r="101">
      <c r="A101" s="15" t="inlineStr">
        <is>
          <t>Wethers</t>
        </is>
      </c>
    </row>
    <row r="102">
      <c r="A102" s="15" t="inlineStr">
        <is>
          <t>Rams</t>
        </is>
      </c>
    </row>
    <row r="103">
      <c r="A103" s="15" t="inlineStr">
        <is>
          <t>Ewes</t>
        </is>
      </c>
    </row>
    <row r="104">
      <c r="A104" s="15" t="inlineStr">
        <is>
          <t>Hoggs</t>
        </is>
      </c>
    </row>
    <row r="105">
      <c r="A105" s="15" t="inlineStr">
        <is>
          <t>Lambs</t>
        </is>
      </c>
    </row>
    <row r="106">
      <c r="A106" s="15" t="inlineStr">
        <is>
          <t>Boars</t>
        </is>
      </c>
    </row>
    <row r="107">
      <c r="A107" s="15" t="inlineStr">
        <is>
          <t>Sows</t>
        </is>
      </c>
    </row>
    <row r="108">
      <c r="A108" s="15" t="inlineStr">
        <is>
          <t>Pigs</t>
        </is>
      </c>
    </row>
    <row r="109">
      <c r="A109" s="15" t="inlineStr">
        <is>
          <t>Hoggets</t>
        </is>
      </c>
    </row>
    <row r="110">
      <c r="A110" s="15" t="inlineStr">
        <is>
          <t>Piglets</t>
        </is>
      </c>
    </row>
    <row r="111">
      <c r="A111" s="15" t="inlineStr">
        <is>
          <t>Swans</t>
        </is>
      </c>
    </row>
    <row r="112">
      <c r="A112" s="15" t="inlineStr">
        <is>
          <t>Peacocks</t>
        </is>
      </c>
    </row>
    <row r="113">
      <c r="A113" s="17" t="inlineStr">
        <is>
          <t>Total value of stock (sum of the above)</t>
        </is>
      </c>
    </row>
    <row r="114">
      <c r="A114" s="17" t="inlineStr">
        <is>
          <t>Total value of production</t>
        </is>
      </c>
    </row>
    <row r="115">
      <c r="A115" s="17" t="inlineStr">
        <is>
          <t>Value of sales</t>
        </is>
      </c>
    </row>
    <row r="116">
      <c r="A116" s="15" t="n"/>
    </row>
    <row r="117">
      <c r="A117" s="16" t="inlineStr">
        <is>
          <t>Wool</t>
        </is>
      </c>
    </row>
    <row r="118" ht="17" customHeight="1">
      <c r="A118" s="22" t="inlineStr">
        <is>
          <t>Fleeces</t>
        </is>
      </c>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row>
    <row r="124">
      <c r="A124" s="119" t="inlineStr">
        <is>
          <t>Value of sales</t>
        </is>
      </c>
    </row>
    <row r="125">
      <c r="A125" s="8" t="n"/>
    </row>
    <row r="126">
      <c r="A126" s="16" t="inlineStr">
        <is>
          <t>Hides</t>
        </is>
      </c>
    </row>
    <row r="127">
      <c r="A127" s="15" t="inlineStr">
        <is>
          <t>Ox hides</t>
        </is>
      </c>
    </row>
    <row r="128">
      <c r="A128" s="15" t="inlineStr">
        <is>
          <t>Cow hides</t>
        </is>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row>
    <row r="148">
      <c r="A148" s="17" t="inlineStr">
        <is>
          <t>Value of sales</t>
        </is>
      </c>
    </row>
    <row r="149">
      <c r="A149" s="15" t="n"/>
    </row>
    <row r="150">
      <c r="A150" s="16" t="inlineStr">
        <is>
          <t>Poultry stock</t>
        </is>
      </c>
    </row>
    <row r="151" ht="17" customHeight="1">
      <c r="A151" s="22" t="inlineStr">
        <is>
          <t>Hens</t>
        </is>
      </c>
    </row>
    <row r="152">
      <c r="A152" s="15" t="inlineStr">
        <is>
          <t>Geese</t>
        </is>
      </c>
    </row>
    <row r="153">
      <c r="A153" s="15" t="inlineStr">
        <is>
          <t>Capons (from chickens)</t>
        </is>
      </c>
    </row>
    <row r="154">
      <c r="A154" s="15" t="inlineStr">
        <is>
          <t>Cocks &amp; hens</t>
        </is>
      </c>
    </row>
    <row r="155">
      <c r="A155" s="119" t="inlineStr">
        <is>
          <t>Total value of production (sum of the above)</t>
        </is>
      </c>
    </row>
    <row r="156">
      <c r="A156" s="119" t="inlineStr">
        <is>
          <t>Value of sales</t>
        </is>
      </c>
    </row>
    <row r="157">
      <c r="A157" s="15" t="n"/>
    </row>
    <row r="158">
      <c r="A158" s="16" t="inlineStr">
        <is>
          <t>Poultry production</t>
        </is>
      </c>
    </row>
    <row r="159">
      <c r="A159" s="15" t="inlineStr">
        <is>
          <t>Eggs</t>
        </is>
      </c>
    </row>
    <row r="160">
      <c r="A160" s="15" t="inlineStr">
        <is>
          <t>Cocks &amp; hens from churchscot of customary tenants</t>
        </is>
      </c>
    </row>
    <row r="161">
      <c r="A161" s="15" t="inlineStr">
        <is>
          <t>Sum of above</t>
        </is>
      </c>
    </row>
    <row r="162">
      <c r="A162" s="17" t="inlineStr">
        <is>
          <t>Total value of stock</t>
        </is>
      </c>
    </row>
    <row r="163">
      <c r="A163" s="17" t="inlineStr">
        <is>
          <t>Value of sales</t>
        </is>
      </c>
    </row>
    <row r="164">
      <c r="A164" s="15" t="n"/>
    </row>
    <row r="165">
      <c r="A165" s="16" t="inlineStr">
        <is>
          <t>Dairy Production</t>
        </is>
      </c>
    </row>
    <row r="166">
      <c r="A166" s="15" t="inlineStr">
        <is>
          <t>Butter</t>
        </is>
      </c>
    </row>
    <row r="167">
      <c r="A167" s="15" t="inlineStr">
        <is>
          <t>Winter Cheese</t>
        </is>
      </c>
    </row>
    <row r="168">
      <c r="A168" s="15" t="inlineStr">
        <is>
          <t>Summer Cheese</t>
        </is>
      </c>
    </row>
    <row r="169">
      <c r="A169" s="17" t="inlineStr">
        <is>
          <t>Total value of production (sum of the above)</t>
        </is>
      </c>
    </row>
    <row r="170">
      <c r="A170" s="17" t="inlineStr">
        <is>
          <t>Value of sales</t>
        </is>
      </c>
    </row>
    <row r="171">
      <c r="A171" s="15" t="n"/>
    </row>
    <row r="172">
      <c r="A172" s="15" t="n"/>
    </row>
    <row r="173" ht="17" customHeight="1"/>
    <row r="174" ht="17" customHeight="1">
      <c r="A174" s="103" t="n"/>
    </row>
    <row r="175">
      <c r="A175" s="97" t="inlineStr">
        <is>
          <t>Total Production Value of all Output (Grange, Dairy, Livestock Sales, Wools, Skins - NO Mill)</t>
        </is>
      </c>
    </row>
    <row r="176">
      <c r="A176" s="98" t="inlineStr">
        <is>
          <t>Total Sales Value of all Output as defined above</t>
        </is>
      </c>
    </row>
    <row r="177">
      <c r="A177" s="98" t="inlineStr">
        <is>
          <t>Total Sales of Corn + Issues of the Manor as recorded in account</t>
        </is>
      </c>
    </row>
    <row r="178">
      <c r="A178" s="98" t="inlineStr">
        <is>
          <t>Production Value + Cash Receipts (excl. Arrears, Issues, Corn and Mill)</t>
        </is>
      </c>
    </row>
    <row r="179">
      <c r="A179" s="99" t="n"/>
    </row>
    <row r="180">
      <c r="A180" s="100" t="inlineStr">
        <is>
          <t>% of capital expenses in terms of total production</t>
        </is>
      </c>
    </row>
    <row r="181">
      <c r="A181" s="98" t="inlineStr">
        <is>
          <t>% of capital expenses in terms of total production + cash receipts</t>
        </is>
      </c>
    </row>
    <row r="182">
      <c r="A182" s="99" t="n"/>
    </row>
    <row r="183" ht="17" customHeight="1">
      <c r="A183" s="101" t="inlineStr">
        <is>
          <t>% of capital expenses as calculated previously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39"/>
  <sheetViews>
    <sheetView topLeftCell="A1" workbookViewId="0">
      <selection activeCell="A1" sqref="A1"/>
    </sheetView>
  </sheetViews>
  <sheetFormatPr baseColWidth="8" defaultRowHeight="15"/>
  <cols>
    <col width="22.33203125" customWidth="1" min="1" max="1"/>
    <col width="8.83203125" customWidth="1" min="6" max="6"/>
    <col width="8.83203125" customWidth="1" min="7" max="7"/>
  </cols>
  <sheetData>
    <row r="1" ht="16" customHeight="1">
      <c r="A1" s="2" t="inlineStr">
        <is>
          <t>POUNDSIFORD RECEIPTS</t>
        </is>
      </c>
    </row>
    <row r="2" ht="16" customHeight="1">
      <c r="A2" s="11" t="inlineStr">
        <is>
          <t>Heading</t>
        </is>
      </c>
      <c r="B2" s="3" t="inlineStr">
        <is>
          <t>£</t>
        </is>
      </c>
      <c r="C2" s="4" t="inlineStr">
        <is>
          <t xml:space="preserve">s </t>
        </is>
      </c>
      <c r="D2" s="4" t="inlineStr">
        <is>
          <t>d</t>
        </is>
      </c>
      <c r="E2" s="4" t="n"/>
      <c r="F2" s="127" t="inlineStr">
        <is>
          <t>Total in £</t>
        </is>
      </c>
      <c r="G2" s="128" t="inlineStr">
        <is>
          <t>Error</t>
        </is>
      </c>
      <c r="H2" s="7" t="inlineStr">
        <is>
          <t>Notes</t>
        </is>
      </c>
    </row>
    <row r="3">
      <c r="A3" t="inlineStr">
        <is>
          <t>Rents</t>
        </is>
      </c>
      <c r="B3" t="n">
        <v>38</v>
      </c>
      <c r="C3" t="n">
        <v>13</v>
      </c>
      <c r="D3" t="n">
        <v>3.25</v>
      </c>
      <c r="F3" s="72" t="n">
        <v>38.66</v>
      </c>
      <c r="H3" t="inlineStr">
        <is>
          <t>The same renders account for £38 13 shilling 3.25pence for rents of assize at Christmas, Easter (22 April), the Nativity of the blessed John the Baptist (24 June), and Michaelmas (29 September), in equal portions.</t>
        </is>
      </c>
    </row>
    <row r="4">
      <c r="A4" t="inlineStr">
        <is>
          <t>Rents</t>
        </is>
      </c>
      <c r="B4" t="n">
        <v>38</v>
      </c>
      <c r="C4" t="n">
        <v>13</v>
      </c>
      <c r="D4" t="n">
        <v>3.25</v>
      </c>
      <c r="F4" s="72" t="n">
        <v>38.66</v>
      </c>
      <c r="H4" t="inlineStr">
        <is>
          <t>Total, £38 13 shilling 3.25pence</t>
        </is>
      </c>
    </row>
    <row r="5">
      <c r="A5" t="inlineStr">
        <is>
          <t>Rents</t>
        </is>
      </c>
      <c r="F5" s="72" t="n">
        <v>38.66</v>
      </c>
      <c r="G5" s="129" t="n">
        <v>0</v>
      </c>
      <c r="H5" t="inlineStr">
        <is>
          <t>Total</t>
        </is>
      </c>
    </row>
    <row r="6"/>
    <row r="7">
      <c r="A7" t="inlineStr">
        <is>
          <t>Quittances</t>
        </is>
      </c>
      <c r="B7" t="n">
        <v>0</v>
      </c>
      <c r="C7" t="n">
        <v>14</v>
      </c>
      <c r="D7" t="n">
        <v>0</v>
      </c>
      <c r="F7" s="72" t="n">
        <v>0.7</v>
      </c>
      <c r="H7" t="inlineStr">
        <is>
          <t>In quittance of one ploughman at Corfe for the year and six workers working 2 days a week for three terms of the year and everyday at harvest-time except Saturday 14 shilling, or 2 shilling each.</t>
        </is>
      </c>
    </row>
    <row r="8">
      <c r="A8" t="inlineStr">
        <is>
          <t>Quittances</t>
        </is>
      </c>
      <c r="B8" t="n">
        <v>0</v>
      </c>
      <c r="C8" t="n">
        <v>2</v>
      </c>
      <c r="D8" t="n">
        <v>0</v>
      </c>
      <c r="F8" s="72" t="n">
        <v>0.1</v>
      </c>
      <c r="H8" t="inlineStr">
        <is>
          <t>1 ploughman and 1 worker working for' year as above 2 shilling.</t>
        </is>
      </c>
    </row>
    <row r="9">
      <c r="A9" t="inlineStr">
        <is>
          <t>Quittances</t>
        </is>
      </c>
      <c r="B9" t="n">
        <v>0</v>
      </c>
      <c r="C9" t="n">
        <v>1</v>
      </c>
      <c r="D9" t="n">
        <v>0</v>
      </c>
      <c r="F9" s="72" t="n">
        <v>0.05</v>
      </c>
      <c r="H9" t="inlineStr">
        <is>
          <t>1 worker working 1 day a week for 3 terms of the year and two days a week at harvest-time 1 shilling.</t>
        </is>
      </c>
    </row>
    <row r="10">
      <c r="A10" t="inlineStr">
        <is>
          <t>Quittances</t>
        </is>
      </c>
      <c r="B10" t="n">
        <v>0</v>
      </c>
      <c r="C10" t="n">
        <v>8</v>
      </c>
      <c r="D10" t="n">
        <v>9</v>
      </c>
      <c r="F10" s="72" t="n">
        <v>0.44</v>
      </c>
      <c r="H10" t="inlineStr">
        <is>
          <t>2 ploughmen, 1 beadle and 4 workers at Poundisford working 2 days a week for 3 terms of the year and everyday at harvest-time except Saturday 8 shilling 9pence, or 1 shilling 3pence each.</t>
        </is>
      </c>
    </row>
    <row r="11">
      <c r="A11" t="inlineStr">
        <is>
          <t>Quittances</t>
        </is>
      </c>
      <c r="B11" t="n">
        <v>0</v>
      </c>
      <c r="C11" t="n">
        <v>1</v>
      </c>
      <c r="D11" t="n">
        <v>10.5</v>
      </c>
      <c r="F11" s="72" t="n">
        <v>0.09</v>
      </c>
      <c r="H11" t="inlineStr">
        <is>
          <t>3 cottars working 1 day a week for 3 terms of the year and 3 days a week at harvest-time 1 shilling 10.5pence, or 7.5pence each.</t>
        </is>
      </c>
    </row>
    <row r="12">
      <c r="A12" t="inlineStr">
        <is>
          <t>Quittances</t>
        </is>
      </c>
      <c r="B12" t="n">
        <v>0</v>
      </c>
      <c r="C12" t="n">
        <v>0</v>
      </c>
      <c r="D12" t="n">
        <v>3.25</v>
      </c>
      <c r="F12" s="72">
        <f>B12+C12/20+D12/240</f>
        <v/>
      </c>
      <c r="H12" t="inlineStr">
        <is>
          <t xml:space="preserve">1 cottar working 1 day a week for 3 terms of the year and two days a week at harvest-time 3.25pence </t>
        </is>
      </c>
    </row>
    <row r="13">
      <c r="A13" t="inlineStr">
        <is>
          <t>Quittances</t>
        </is>
      </c>
      <c r="B13" t="n">
        <v>1</v>
      </c>
      <c r="C13" t="n">
        <v>7</v>
      </c>
      <c r="D13" t="n">
        <v>11.25</v>
      </c>
      <c r="F13" s="72" t="n">
        <v>1.4</v>
      </c>
      <c r="H13" t="inlineStr">
        <is>
          <t>Total, £1 7 shilling 11.25pence</t>
        </is>
      </c>
    </row>
    <row r="14">
      <c r="A14" t="inlineStr">
        <is>
          <t>Quittances</t>
        </is>
      </c>
      <c r="F14" s="72">
        <f>SUM(F7:F12)</f>
        <v/>
      </c>
      <c r="G14" s="129">
        <f>F14-F13</f>
        <v/>
      </c>
      <c r="H14" t="inlineStr">
        <is>
          <t>Total</t>
        </is>
      </c>
    </row>
    <row r="15"/>
    <row r="16">
      <c r="A16" t="inlineStr">
        <is>
          <t>Defaults of rent</t>
        </is>
      </c>
      <c r="B16" t="n">
        <v>0</v>
      </c>
      <c r="C16" t="n">
        <v>15</v>
      </c>
      <c r="D16" t="n">
        <v>9.5</v>
      </c>
      <c r="F16" s="72" t="n">
        <v>0.79</v>
      </c>
      <c r="H16" t="inlineStr">
        <is>
          <t>In default of the land drawn into the park, that is, 104 acres and one perch, which the Prior of Taunton, Adam Sydewyn', Richard Cadel, Aelnerius, Richard le Wastur, Ingolf, Walter Tottyng, German Molendinarius, Hugh de Clyve, William Faber, William Cnap, Richard Gore, Richard Suvenoke, William Cuttyng, Cngermins de Fuleford, Osbert de Amnyngeford, Roger Cherd', Robert Dun, Richard Brice, Roger Spyryng, William Frensh', Philip Spyryng, Roger Cherd, Stephen de Canesgrove, Robert Faber, Christina, widow of Roger de Annyngeford, and Adam de Annyngeford held, 15 shilling 9.5pence.</t>
        </is>
      </c>
    </row>
    <row r="17">
      <c r="A17" t="inlineStr">
        <is>
          <t>Defaults of rent</t>
        </is>
      </c>
      <c r="B17" t="n">
        <v>0</v>
      </c>
      <c r="C17" t="n">
        <v>2</v>
      </c>
      <c r="D17" t="n">
        <v>6</v>
      </c>
      <c r="F17" s="72" t="n">
        <v>0.12</v>
      </c>
      <c r="H17" t="inlineStr">
        <is>
          <t>2 cottages (cotell') similarly drawn into the park 2 shilling 6pence.</t>
        </is>
      </c>
    </row>
    <row r="18">
      <c r="A18" t="inlineStr">
        <is>
          <t>Defaults of rent</t>
        </is>
      </c>
      <c r="B18" t="n">
        <v>0</v>
      </c>
      <c r="C18" t="n">
        <v>1</v>
      </c>
      <c r="D18" t="n">
        <v>3.5</v>
      </c>
      <c r="F18" s="72" t="n">
        <v>0.06</v>
      </c>
      <c r="H18" t="inlineStr">
        <is>
          <t xml:space="preserve">the land of Adam de Dudeleston', that is, 9 acres, similarly drawn into demesne 1 shilling </t>
        </is>
      </c>
    </row>
    <row r="19">
      <c r="A19" t="inlineStr">
        <is>
          <t>Defaults of rent</t>
        </is>
      </c>
      <c r="B19" t="n">
        <v>0</v>
      </c>
      <c r="C19" t="n">
        <v>19</v>
      </c>
      <c r="D19" t="n">
        <v>3.5</v>
      </c>
      <c r="F19" s="72">
        <f>B19+C19/20+D19/240</f>
        <v/>
      </c>
      <c r="H19" t="inlineStr">
        <is>
          <t>Total of defaults of rent, 19 shilling 3.5pence</t>
        </is>
      </c>
    </row>
    <row r="20"/>
    <row r="21">
      <c r="A21" t="inlineStr">
        <is>
          <t>Defaults of rent</t>
        </is>
      </c>
      <c r="B21" t="n">
        <v>2</v>
      </c>
      <c r="C21" t="n">
        <v>7</v>
      </c>
      <c r="D21" t="n">
        <v>2.75</v>
      </c>
      <c r="F21" s="72" t="n">
        <v>2.36</v>
      </c>
      <c r="H21" t="inlineStr">
        <is>
          <t>Total of quittances and defaults of rent, £2 7 shilling 2.75pence</t>
        </is>
      </c>
    </row>
    <row r="22"/>
    <row r="23">
      <c r="A23" t="inlineStr">
        <is>
          <t>Total of rents remaining</t>
        </is>
      </c>
      <c r="B23" t="n">
        <v>36</v>
      </c>
      <c r="C23" t="n">
        <v>6</v>
      </c>
      <c r="D23" t="n">
        <v>0.5</v>
      </c>
      <c r="F23" s="72" t="n">
        <v>36.3</v>
      </c>
      <c r="H23" t="inlineStr">
        <is>
          <t>Total of rents remaining, £36 6 shilling 0.5pence</t>
        </is>
      </c>
    </row>
    <row r="24">
      <c r="A24" t="inlineStr">
        <is>
          <t>Total of rents remaining</t>
        </is>
      </c>
      <c r="F24" s="72">
        <f>F5-F21</f>
        <v/>
      </c>
      <c r="G24" s="129">
        <f>F24-F23</f>
        <v/>
      </c>
      <c r="H24" t="inlineStr">
        <is>
          <t>Total</t>
        </is>
      </c>
    </row>
    <row r="25"/>
    <row r="26">
      <c r="A26" t="inlineStr">
        <is>
          <t>Issues of the manor</t>
        </is>
      </c>
      <c r="B26" t="n">
        <v>1</v>
      </c>
      <c r="C26" t="n">
        <v>16</v>
      </c>
      <c r="D26" t="n">
        <v>9.5</v>
      </c>
      <c r="F26" s="72" t="n">
        <v>1.84</v>
      </c>
      <c r="H26" t="inlineStr">
        <is>
          <t>The same renders account for £1 16 shilling 9.5pence from pannage of pigs this year.</t>
        </is>
      </c>
    </row>
    <row r="27">
      <c r="A27" t="inlineStr">
        <is>
          <t>Issues of the manor</t>
        </is>
      </c>
      <c r="B27" t="n">
        <v>1</v>
      </c>
      <c r="C27" t="n">
        <v>3</v>
      </c>
      <c r="D27" t="n">
        <v>10</v>
      </c>
      <c r="F27" s="72" t="n">
        <v>1.19</v>
      </c>
      <c r="H27" t="inlineStr">
        <is>
          <t>£1 3 shilling 10pence from hundredpenny.</t>
        </is>
      </c>
    </row>
    <row r="28">
      <c r="A28" t="inlineStr">
        <is>
          <t>Issues of the manor</t>
        </is>
      </c>
      <c r="B28" t="n">
        <v>0</v>
      </c>
      <c r="C28" t="n">
        <v>12</v>
      </c>
      <c r="D28" t="n">
        <v>0</v>
      </c>
      <c r="F28" s="72" t="n">
        <v>0.6</v>
      </c>
      <c r="H28" t="inlineStr">
        <is>
          <t>12 shilling from the pasturage of Holemere and Rededon' sold in winter and summer.</t>
        </is>
      </c>
    </row>
    <row r="29">
      <c r="A29" t="inlineStr">
        <is>
          <t>Issues of the manor</t>
        </is>
      </c>
      <c r="B29" t="n">
        <v>0</v>
      </c>
      <c r="C29" t="n">
        <v>0</v>
      </c>
      <c r="D29" t="n">
        <v>0</v>
      </c>
      <c r="F29" s="72" t="n">
        <v>0</v>
      </c>
      <c r="H29" t="inlineStr">
        <is>
          <t>nothing from the pasturage of Dyhfulrlong, Esterdon' and Westeredon' this year because they were sown with wheat.</t>
        </is>
      </c>
    </row>
    <row r="30">
      <c r="A30" t="inlineStr">
        <is>
          <t>Issues of the manor</t>
        </is>
      </c>
      <c r="B30" t="n">
        <v>0</v>
      </c>
      <c r="C30" t="n">
        <v>3</v>
      </c>
      <c r="D30" t="n">
        <v>0</v>
      </c>
      <c r="F30" s="72" t="n">
        <v>0.15</v>
      </c>
      <c r="H30" t="inlineStr">
        <is>
          <t>3 shilling from the pasturage of Corfmor sold in winter.</t>
        </is>
      </c>
    </row>
    <row r="31">
      <c r="A31" t="inlineStr">
        <is>
          <t>Issues of the manor</t>
        </is>
      </c>
      <c r="B31" t="n">
        <v>0</v>
      </c>
      <c r="C31" t="n">
        <v>0</v>
      </c>
      <c r="D31" t="n">
        <v>0</v>
      </c>
      <c r="F31" s="72" t="n">
        <v>0</v>
      </c>
      <c r="H31" t="inlineStr">
        <is>
          <t>nothing from the pasturage of Lakemed this year because it was pastured with the lord's livestock.</t>
        </is>
      </c>
    </row>
    <row r="32">
      <c r="A32" t="inlineStr">
        <is>
          <t>Issues of the manor</t>
        </is>
      </c>
      <c r="B32" t="n">
        <v>0</v>
      </c>
      <c r="C32" t="n">
        <v>1</v>
      </c>
      <c r="D32" t="n">
        <v>6</v>
      </c>
      <c r="F32" s="72" t="n">
        <v>0.08</v>
      </c>
      <c r="H32" t="inlineStr">
        <is>
          <t>1 shilling 6pence from the pasturage of Fenalre and Fenhurst sold in winter.</t>
        </is>
      </c>
    </row>
    <row r="33">
      <c r="A33" t="inlineStr">
        <is>
          <t>Issues of the manor</t>
        </is>
      </c>
      <c r="B33" t="n">
        <v>3</v>
      </c>
      <c r="C33" t="n">
        <v>1</v>
      </c>
      <c r="D33" t="n">
        <v>0</v>
      </c>
      <c r="F33" s="72" t="n">
        <v>3.05</v>
      </c>
      <c r="H33" t="inlineStr">
        <is>
          <t>£3 1 shilling from 5 oxen sold, at 12 shilling 3pence each for 4, and 12 shilling for one.</t>
        </is>
      </c>
    </row>
    <row r="34">
      <c r="A34" t="inlineStr">
        <is>
          <t>Issues of the manor</t>
        </is>
      </c>
      <c r="B34" t="n">
        <v>3</v>
      </c>
      <c r="C34" t="n">
        <v>18</v>
      </c>
      <c r="D34" t="n">
        <v>0</v>
      </c>
      <c r="F34" s="72" t="n">
        <v>3.9</v>
      </c>
      <c r="H34" t="inlineStr">
        <is>
          <t>£3 18 shilling from 13 cows sold before breeding, at 6 shilling each.</t>
        </is>
      </c>
    </row>
    <row r="35">
      <c r="A35" t="inlineStr">
        <is>
          <t>Issues of the manor</t>
        </is>
      </c>
      <c r="B35" t="n">
        <v>0</v>
      </c>
      <c r="C35" t="n">
        <v>2</v>
      </c>
      <c r="D35" t="n">
        <v>6</v>
      </c>
      <c r="F35" s="72" t="n">
        <v>0.12</v>
      </c>
      <c r="H35" t="inlineStr">
        <is>
          <t>2 shilling 6pence from the moiety of 1 cow from the heriot of Henry Abel sold.</t>
        </is>
      </c>
    </row>
    <row r="36">
      <c r="A36" t="inlineStr">
        <is>
          <t>Issues of the manor</t>
        </is>
      </c>
      <c r="B36" t="n">
        <v>0</v>
      </c>
      <c r="C36" t="n">
        <v>4</v>
      </c>
      <c r="D36" t="n">
        <v>0</v>
      </c>
      <c r="F36" s="72" t="n">
        <v>0.2</v>
      </c>
      <c r="H36" t="inlineStr">
        <is>
          <t>4 shilling from 1 steer sold.</t>
        </is>
      </c>
    </row>
    <row r="37">
      <c r="A37" t="inlineStr">
        <is>
          <t>Issues of the manor</t>
        </is>
      </c>
      <c r="B37" t="n">
        <v>1</v>
      </c>
      <c r="C37" t="n">
        <v>2</v>
      </c>
      <c r="D37" t="n">
        <v>0</v>
      </c>
      <c r="F37" s="72" t="n">
        <v>1.1</v>
      </c>
      <c r="H37" t="inlineStr">
        <is>
          <t>£1 2 shilling from 22 suckling calves sold, at 1 shilling each.</t>
        </is>
      </c>
    </row>
    <row r="38">
      <c r="A38" t="inlineStr">
        <is>
          <t>Issues of the manor</t>
        </is>
      </c>
      <c r="B38" t="n">
        <v>11</v>
      </c>
      <c r="C38" t="n">
        <v>9</v>
      </c>
      <c r="D38" t="n">
        <v>0</v>
      </c>
      <c r="F38" s="72" t="n">
        <v>11.45</v>
      </c>
      <c r="H38" t="inlineStr">
        <is>
          <t>£11 9 shilling from 69 pigs sold, at 2 shilling each for 15, 2 shilling 6pence each for 10, 3 shilling 6pence each for 4, and 4 shilling each for 40.</t>
        </is>
      </c>
    </row>
    <row r="39">
      <c r="A39" t="inlineStr">
        <is>
          <t>Issues of the manor</t>
        </is>
      </c>
      <c r="B39" t="n">
        <v>0</v>
      </c>
      <c r="C39" t="n">
        <v>4</v>
      </c>
      <c r="D39" t="n">
        <v>9</v>
      </c>
      <c r="F39" s="72" t="n">
        <v>0.24</v>
      </c>
      <c r="H39" t="inlineStr">
        <is>
          <t>4 shilling 9pence from the hides sold of two oxen dead from murrain soon after Christmas.</t>
        </is>
      </c>
    </row>
    <row r="40">
      <c r="A40" t="inlineStr">
        <is>
          <t>Issues of the manor</t>
        </is>
      </c>
      <c r="B40" t="n">
        <v>0</v>
      </c>
      <c r="C40" t="n">
        <v>3</v>
      </c>
      <c r="D40" t="n">
        <v>6</v>
      </c>
      <c r="F40" s="72" t="n">
        <v>0.17</v>
      </c>
      <c r="H40" t="inlineStr">
        <is>
          <t>3 shilling 6pence from the hide and flesh sold of 1 cow dead from murrain before breeding.</t>
        </is>
      </c>
    </row>
    <row r="41">
      <c r="A41" t="inlineStr">
        <is>
          <t>Issues of the manor</t>
        </is>
      </c>
      <c r="B41" t="n">
        <v>0</v>
      </c>
      <c r="C41" t="n">
        <v>1</v>
      </c>
      <c r="D41" t="n">
        <v>0</v>
      </c>
      <c r="F41" s="72" t="n">
        <v>0.05</v>
      </c>
      <c r="H41" t="inlineStr">
        <is>
          <t>1 shilling from the hide sold of 1 cow dead from murrain before breeding.</t>
        </is>
      </c>
    </row>
    <row r="42">
      <c r="A42" t="inlineStr">
        <is>
          <t>Issues of the manor</t>
        </is>
      </c>
      <c r="B42" t="n">
        <v>0</v>
      </c>
      <c r="C42" t="n">
        <v>1</v>
      </c>
      <c r="D42" t="n">
        <v>5</v>
      </c>
      <c r="F42" s="72" t="n">
        <v>0.07000000000000001</v>
      </c>
      <c r="H42" t="inlineStr">
        <is>
          <t>1 shilling 5pence from the hide sold of 1 cow dead from murrain after breeding.</t>
        </is>
      </c>
    </row>
    <row r="43">
      <c r="A43" t="inlineStr">
        <is>
          <t>Issues of the manor</t>
        </is>
      </c>
      <c r="B43" t="n">
        <v>0</v>
      </c>
      <c r="C43" t="n">
        <v>1</v>
      </c>
      <c r="D43" t="n">
        <v>11</v>
      </c>
      <c r="F43" s="72" t="n">
        <v>0.1</v>
      </c>
      <c r="H43" t="inlineStr">
        <is>
          <t>1 shilling 11pence from the hides sold of 2 steers dead from murrain.</t>
        </is>
      </c>
    </row>
    <row r="44">
      <c r="A44" t="inlineStr">
        <is>
          <t>Issues of the manor</t>
        </is>
      </c>
      <c r="B44" t="n">
        <v>0</v>
      </c>
      <c r="C44" t="n">
        <v>1</v>
      </c>
      <c r="D44" t="n">
        <v>1</v>
      </c>
      <c r="F44" s="72" t="n">
        <v>0.05</v>
      </c>
      <c r="H44" t="inlineStr">
        <is>
          <t>1 shilling 1pence from the hide sold of 1 ox dead from murrain.</t>
        </is>
      </c>
    </row>
    <row r="45">
      <c r="A45" t="inlineStr">
        <is>
          <t>Issues of the manor</t>
        </is>
      </c>
      <c r="B45" t="n">
        <v>0</v>
      </c>
      <c r="C45" t="n">
        <v>0</v>
      </c>
      <c r="D45" t="n">
        <v>0</v>
      </c>
      <c r="F45" s="72" t="n">
        <v>0</v>
      </c>
      <c r="H45" t="inlineStr">
        <is>
          <t>nothing from bark and loppings this year.</t>
        </is>
      </c>
    </row>
    <row r="46">
      <c r="A46" t="inlineStr">
        <is>
          <t>Issues of the manor</t>
        </is>
      </c>
      <c r="B46" t="n">
        <v>0</v>
      </c>
      <c r="C46" t="n">
        <v>1</v>
      </c>
      <c r="D46" t="n">
        <v>2</v>
      </c>
      <c r="F46" s="72" t="n">
        <v>0.06</v>
      </c>
      <c r="H46" t="inlineStr">
        <is>
          <t>1 shilling 2pence from the residue of Peter's pence at Corfe.</t>
        </is>
      </c>
    </row>
    <row r="47">
      <c r="A47" t="inlineStr">
        <is>
          <t>Issues of the manor</t>
        </is>
      </c>
      <c r="B47" t="n">
        <v>6</v>
      </c>
      <c r="C47" t="n">
        <v>4</v>
      </c>
      <c r="D47" t="n">
        <v>5.5</v>
      </c>
      <c r="F47" s="72" t="n">
        <v>6.22</v>
      </c>
      <c r="H47" t="inlineStr">
        <is>
          <t>£6 4 shilling 5.5pence from portions of labour services sold this year.</t>
        </is>
      </c>
    </row>
    <row r="48">
      <c r="A48" t="inlineStr">
        <is>
          <t>Issues of the manor</t>
        </is>
      </c>
      <c r="B48" t="n">
        <v>0</v>
      </c>
      <c r="C48" t="n">
        <v>1</v>
      </c>
      <c r="D48" t="n">
        <v>9</v>
      </c>
      <c r="F48" s="72" t="n">
        <v>0.09</v>
      </c>
      <c r="H48" t="inlineStr">
        <is>
          <t>1 shilling 9pence from 3.5 lb of wax from recognizances sold, at 6pence a lb.</t>
        </is>
      </c>
    </row>
    <row r="49">
      <c r="A49" t="inlineStr">
        <is>
          <t>Issues of the manor</t>
        </is>
      </c>
      <c r="B49" t="n">
        <v>0</v>
      </c>
      <c r="C49" t="n">
        <v>0</v>
      </c>
      <c r="D49" t="n">
        <v>0</v>
      </c>
      <c r="F49" s="72" t="n">
        <v>0</v>
      </c>
      <c r="H49" t="inlineStr">
        <is>
          <t>nothing from cheese and butter this year because the dairy is at Nailsbourne.</t>
        </is>
      </c>
    </row>
    <row r="50">
      <c r="A50" t="inlineStr">
        <is>
          <t>Issues of the manor</t>
        </is>
      </c>
      <c r="B50" t="n">
        <v>0</v>
      </c>
      <c r="C50" t="n">
        <v>12</v>
      </c>
      <c r="D50" t="n">
        <v>6</v>
      </c>
      <c r="F50" s="72" t="n">
        <v>0.62</v>
      </c>
      <c r="H50" t="inlineStr">
        <is>
          <t>12 shilling 6pence from woodway.</t>
        </is>
      </c>
    </row>
    <row r="51">
      <c r="A51" t="inlineStr">
        <is>
          <t>Issues of the manor</t>
        </is>
      </c>
      <c r="B51" t="n">
        <v>0</v>
      </c>
      <c r="C51" t="n">
        <v>0</v>
      </c>
      <c r="D51" t="n">
        <v>6</v>
      </c>
      <c r="F51" s="72" t="n">
        <v>0.03</v>
      </c>
      <c r="H51" t="inlineStr">
        <is>
          <t>6pence from the heriot of Edith la Webbe because she did not have 1 beast.</t>
        </is>
      </c>
    </row>
    <row r="52">
      <c r="A52" t="inlineStr">
        <is>
          <t>Issues of the manor</t>
        </is>
      </c>
      <c r="B52" t="n">
        <v>0</v>
      </c>
      <c r="C52" t="n">
        <v>6</v>
      </c>
      <c r="D52" t="n">
        <v>0</v>
      </c>
      <c r="F52">
        <f>B52+C52/20+D52/240</f>
        <v/>
      </c>
      <c r="H52" t="inlineStr">
        <is>
          <t xml:space="preserve">6 shilling from the moiety of 1 ox solpence </t>
        </is>
      </c>
    </row>
    <row r="53">
      <c r="A53" t="inlineStr">
        <is>
          <t>Issues of the manor</t>
        </is>
      </c>
      <c r="B53" t="n">
        <v>31</v>
      </c>
      <c r="C53" t="n">
        <v>13</v>
      </c>
      <c r="D53" t="n">
        <v>8</v>
      </c>
      <c r="F53" s="72" t="n">
        <v>31.68</v>
      </c>
      <c r="H53" t="inlineStr">
        <is>
          <t>Total, £31 13 shilling 8pence</t>
        </is>
      </c>
    </row>
    <row r="54">
      <c r="A54" t="inlineStr">
        <is>
          <t>Issues of the manor</t>
        </is>
      </c>
      <c r="F54" s="72">
        <f>SUM(F26:F52)</f>
        <v/>
      </c>
      <c r="G54" s="129">
        <f>F54-F53</f>
        <v/>
      </c>
      <c r="H54" t="inlineStr">
        <is>
          <t>Total</t>
        </is>
      </c>
    </row>
    <row r="55"/>
    <row r="56">
      <c r="A56" t="inlineStr">
        <is>
          <t>Sale of corn</t>
        </is>
      </c>
      <c r="B56" t="n">
        <v>15</v>
      </c>
      <c r="C56" t="n">
        <v>16</v>
      </c>
      <c r="D56" t="n">
        <v>3.5</v>
      </c>
      <c r="F56" s="72" t="n">
        <v>15.81</v>
      </c>
      <c r="H56" t="inlineStr">
        <is>
          <t>The same renders account for £15 16 shilling 3.5pence from 46.5 quarters of wheat sold, at 6 shilling 8pence a qr for 8 quarters 6 bushels, and 6 shilling 10pence a qr for 37 quarters 6 bushels sold to customary tenants.</t>
        </is>
      </c>
    </row>
    <row r="57">
      <c r="A57" t="inlineStr">
        <is>
          <t>Sale of corn</t>
        </is>
      </c>
      <c r="B57" t="n">
        <v>13</v>
      </c>
      <c r="C57" t="n">
        <v>9</v>
      </c>
      <c r="D57" t="n">
        <v>6</v>
      </c>
      <c r="F57" s="72" t="n">
        <v>13.47</v>
      </c>
      <c r="H57" t="inlineStr">
        <is>
          <t>£13 9 shilling 6pence from 154 quarters of oats sold to customary tenants, at 1 shilling 9pence a qr.</t>
        </is>
      </c>
    </row>
    <row r="58">
      <c r="A58" t="inlineStr">
        <is>
          <t>Sale of corn</t>
        </is>
      </c>
      <c r="B58" t="n">
        <v>29</v>
      </c>
      <c r="C58" t="n">
        <v>5</v>
      </c>
      <c r="D58" t="n">
        <v>9.5</v>
      </c>
      <c r="F58" s="72" t="n">
        <v>29.29</v>
      </c>
      <c r="H58" t="inlineStr">
        <is>
          <t>Total, £29 5 shilling 9.5pence</t>
        </is>
      </c>
    </row>
    <row r="59">
      <c r="A59" t="inlineStr">
        <is>
          <t>Sale of corn</t>
        </is>
      </c>
      <c r="F59" s="72" t="n">
        <v>29.28</v>
      </c>
      <c r="G59" s="129" t="n">
        <v>-0.00999999999999801</v>
      </c>
      <c r="H59" t="inlineStr">
        <is>
          <t>Total</t>
        </is>
      </c>
    </row>
    <row r="60"/>
    <row r="61">
      <c r="A61" t="inlineStr">
        <is>
          <t>Entry and marriage fines</t>
        </is>
      </c>
      <c r="B61" t="n">
        <v>1</v>
      </c>
      <c r="C61" t="n">
        <v>13</v>
      </c>
      <c r="D61" t="n">
        <v>4</v>
      </c>
      <c r="F61" s="72" t="n">
        <v>1.67</v>
      </c>
      <c r="H61" t="inlineStr">
        <is>
          <t>The same renders account for £1 13 shilling 4pence from John Goddey to have Gunilda attare Balke with her land.</t>
        </is>
      </c>
    </row>
    <row r="62">
      <c r="A62" t="inlineStr">
        <is>
          <t>Entry and marriage fines</t>
        </is>
      </c>
      <c r="B62" t="n">
        <v>0</v>
      </c>
      <c r="C62" t="n">
        <v>6</v>
      </c>
      <c r="D62" t="n">
        <v>8</v>
      </c>
      <c r="F62" s="72" t="n">
        <v>0.33</v>
      </c>
      <c r="H62" t="inlineStr">
        <is>
          <t>6 shilling 8pence from Gunilda, who was wife of Henry Abel, to retain 1 messuage and 5 acres of land which belonged to the aforesaid Henry her husband.</t>
        </is>
      </c>
    </row>
    <row r="63">
      <c r="A63" t="inlineStr">
        <is>
          <t>Entry and marriage fines</t>
        </is>
      </c>
      <c r="B63" t="n">
        <v>0</v>
      </c>
      <c r="C63" t="n">
        <v>6</v>
      </c>
      <c r="D63" t="n">
        <v>8</v>
      </c>
      <c r="F63" s="72" t="n">
        <v>0.33</v>
      </c>
      <c r="H63" t="inlineStr">
        <is>
          <t>6 shilling 8pence from John, son of Walter de Fuleford, to have 1 house which belonged to Henry de Fuleford in South Trendle.</t>
        </is>
      </c>
    </row>
    <row r="64">
      <c r="A64" t="inlineStr">
        <is>
          <t>Entry and marriage fines</t>
        </is>
      </c>
      <c r="B64" t="n">
        <v>1</v>
      </c>
      <c r="C64" t="n">
        <v>6</v>
      </c>
      <c r="D64" t="n">
        <v>8</v>
      </c>
      <c r="F64" s="72" t="n">
        <v>1.33</v>
      </c>
      <c r="H64" t="inlineStr">
        <is>
          <t>£1 6 shilling 8pence from Walter de Fuleford' to have 5 acres of land and 1 plot containing about 3 perches which belonged to the aforesaid Henry.</t>
        </is>
      </c>
    </row>
    <row r="65">
      <c r="A65" t="inlineStr">
        <is>
          <t>Entry and marriage fines</t>
        </is>
      </c>
      <c r="B65" t="n">
        <v>0</v>
      </c>
      <c r="C65" t="n">
        <v>6</v>
      </c>
      <c r="D65" t="n">
        <v>8</v>
      </c>
      <c r="F65" s="72" t="n">
        <v>0.33</v>
      </c>
      <c r="H65" t="inlineStr">
        <is>
          <t>6 shilling 8pence from Walter Bach' to have half acre of meadow which belonged to Henry de Fuleford'.</t>
        </is>
      </c>
    </row>
    <row r="66">
      <c r="A66" t="inlineStr">
        <is>
          <t>Entry and marriage fines</t>
        </is>
      </c>
      <c r="B66" t="n">
        <v>0</v>
      </c>
      <c r="C66" t="n">
        <v>1</v>
      </c>
      <c r="D66" t="n">
        <v>0</v>
      </c>
      <c r="F66" s="72" t="n">
        <v>0.05</v>
      </c>
      <c r="H66" t="inlineStr">
        <is>
          <t>1 shilling from Edmund Parcarius to have the moiety of 1 house which belonged to Adam le Whyttere in Poundisford.</t>
        </is>
      </c>
    </row>
    <row r="67">
      <c r="A67" t="inlineStr">
        <is>
          <t>Entry and marriage fines</t>
        </is>
      </c>
      <c r="B67" t="n">
        <v>0</v>
      </c>
      <c r="C67" t="n">
        <v>4</v>
      </c>
      <c r="D67" t="n">
        <v>0</v>
      </c>
      <c r="F67" s="72" t="n">
        <v>0.2</v>
      </c>
      <c r="H67" t="inlineStr">
        <is>
          <t>4 shilling from Matilda, who was wife of Stephen le Hopere, to retain 1 messuage and 7 acres of land which belonged to the aforesaid Stephen her husband.</t>
        </is>
      </c>
    </row>
    <row r="68">
      <c r="A68" t="inlineStr">
        <is>
          <t>Entry and marriage fines</t>
        </is>
      </c>
      <c r="B68" t="n">
        <v>6</v>
      </c>
      <c r="C68" t="n">
        <v>0</v>
      </c>
      <c r="D68" t="n">
        <v>0</v>
      </c>
      <c r="F68" s="72" t="n">
        <v>6</v>
      </c>
      <c r="H68" t="inlineStr">
        <is>
          <t>£6 from Roger Aylwyn' to have 1 messuage and' virgate by surrender of Alice his mother.</t>
        </is>
      </c>
    </row>
    <row r="69">
      <c r="A69" t="inlineStr">
        <is>
          <t>Entry and marriage fines</t>
        </is>
      </c>
      <c r="B69" t="n">
        <v>0</v>
      </c>
      <c r="C69" t="n">
        <v>2</v>
      </c>
      <c r="D69" t="n">
        <v>0</v>
      </c>
      <c r="F69" s="72" t="n">
        <v>0.1</v>
      </c>
      <c r="H69" t="inlineStr">
        <is>
          <t>2 shilling from Hugh Dun to have one house in South Trendle by surrender of Geoffrey Pope.</t>
        </is>
      </c>
    </row>
    <row r="70">
      <c r="A70" t="inlineStr">
        <is>
          <t>Entry and marriage fines</t>
        </is>
      </c>
      <c r="B70" t="n">
        <v>1</v>
      </c>
      <c r="C70" t="n">
        <v>10</v>
      </c>
      <c r="D70" t="n">
        <v>0</v>
      </c>
      <c r="F70" s="72" t="n">
        <v>1.5</v>
      </c>
      <c r="H70" t="inlineStr">
        <is>
          <t>£1 10 shilling from Stephen le Kyng to have 1 messuage and 1 ferling of land by surrender of Lucy his mother.</t>
        </is>
      </c>
    </row>
    <row r="71">
      <c r="A71" t="inlineStr">
        <is>
          <t>Entry and marriage fines</t>
        </is>
      </c>
      <c r="B71" t="n">
        <v>0</v>
      </c>
      <c r="C71" t="n">
        <v>3</v>
      </c>
      <c r="D71" t="n">
        <v>0</v>
      </c>
      <c r="F71" s="72" t="n">
        <v>0.15</v>
      </c>
      <c r="H71" t="inlineStr">
        <is>
          <t>3 shilling from Richard de Canesgrove to have Agnes, who was wife of William Roberd, with her land.</t>
        </is>
      </c>
    </row>
    <row r="72">
      <c r="A72" t="inlineStr">
        <is>
          <t>Entry and marriage fines</t>
        </is>
      </c>
      <c r="B72" t="n">
        <v>0</v>
      </c>
      <c r="C72" t="n">
        <v>4</v>
      </c>
      <c r="D72" t="n">
        <v>0</v>
      </c>
      <c r="F72" s="72" t="n">
        <v>0.2</v>
      </c>
      <c r="H72" t="inlineStr">
        <is>
          <t>4 shilling from John Sweyt to have 1 house in Canesgrove.</t>
        </is>
      </c>
    </row>
    <row r="73">
      <c r="A73" t="inlineStr">
        <is>
          <t>Entry and marriage fines</t>
        </is>
      </c>
      <c r="B73" t="n">
        <v>0</v>
      </c>
      <c r="C73" t="n">
        <v>5</v>
      </c>
      <c r="D73" t="n">
        <v>0</v>
      </c>
      <c r="F73" s="72" t="n">
        <v>0.25</v>
      </c>
      <c r="H73" t="inlineStr">
        <is>
          <t>5 shilling from Hugh de Annyngeford to have 1 house in Annyngeford by surrender of William de Annyngeford.</t>
        </is>
      </c>
    </row>
    <row r="74">
      <c r="A74" t="inlineStr">
        <is>
          <t>Entry and marriage fines</t>
        </is>
      </c>
      <c r="B74" t="n">
        <v>0</v>
      </c>
      <c r="C74" t="n">
        <v>6</v>
      </c>
      <c r="D74" t="n">
        <v>8</v>
      </c>
      <c r="F74" s="72" t="n">
        <v>0.33</v>
      </c>
      <c r="H74" t="inlineStr">
        <is>
          <t>6 shilling 8pence from Walter de Suvenok' for marrying Matilda his daughter outside.</t>
        </is>
      </c>
    </row>
    <row r="75">
      <c r="A75" t="inlineStr">
        <is>
          <t>Entry and marriage fines</t>
        </is>
      </c>
      <c r="B75" t="n">
        <v>0</v>
      </c>
      <c r="C75" t="n">
        <v>2</v>
      </c>
      <c r="D75" t="n">
        <v>0</v>
      </c>
      <c r="F75" s="72" t="n">
        <v>0.1</v>
      </c>
      <c r="H75" t="inlineStr">
        <is>
          <t>2 shilling from Christina de Suvenok for marrying Christina her daughter within.</t>
        </is>
      </c>
    </row>
    <row r="76">
      <c r="A76" t="inlineStr">
        <is>
          <t>Entry and marriage fines</t>
        </is>
      </c>
      <c r="B76" t="n">
        <v>0</v>
      </c>
      <c r="C76" t="n">
        <v>10</v>
      </c>
      <c r="D76" t="n">
        <v>0</v>
      </c>
      <c r="F76" s="72" t="n">
        <v>0.5</v>
      </c>
      <c r="H76" t="inlineStr">
        <is>
          <t>10 shilling from William Gulye to have the moiety of a certain house in South Trendle which came into the lord's hands for want of an heir.</t>
        </is>
      </c>
    </row>
    <row r="77">
      <c r="A77" t="inlineStr">
        <is>
          <t>Entry and marriage fines</t>
        </is>
      </c>
      <c r="B77" t="n">
        <v>0</v>
      </c>
      <c r="C77" t="n">
        <v>1</v>
      </c>
      <c r="D77" t="n">
        <v>0</v>
      </c>
      <c r="F77" s="72" t="n">
        <v>0.05</v>
      </c>
      <c r="H77" t="inlineStr">
        <is>
          <t>1 shilling from John Gor' to have 1 day-work (daena) of land by surrender of John Hata.</t>
        </is>
      </c>
    </row>
    <row r="78">
      <c r="A78" t="inlineStr">
        <is>
          <t>Entry and marriage fines</t>
        </is>
      </c>
      <c r="B78" t="n">
        <v>0</v>
      </c>
      <c r="C78" t="n">
        <v>5</v>
      </c>
      <c r="D78" t="n">
        <v>0</v>
      </c>
      <c r="F78" s="72" t="n">
        <v>0.25</v>
      </c>
      <c r="H78" t="inlineStr">
        <is>
          <t>5 shilling from Walter de Suvenok to have 5 acres of land by surrender of John le Archer.</t>
        </is>
      </c>
    </row>
    <row r="79">
      <c r="A79" t="inlineStr">
        <is>
          <t>Entry and marriage fines</t>
        </is>
      </c>
      <c r="B79" t="n">
        <v>0</v>
      </c>
      <c r="C79" t="n">
        <v>13</v>
      </c>
      <c r="D79" t="n">
        <v>4</v>
      </c>
      <c r="F79" s="72" t="n">
        <v>0.67</v>
      </c>
      <c r="H79" t="inlineStr">
        <is>
          <t>13 shilling 4pence from John Weu for marrying Agnes his daughter outside.</t>
        </is>
      </c>
    </row>
    <row r="80">
      <c r="A80" t="inlineStr">
        <is>
          <t>Entry and marriage fines</t>
        </is>
      </c>
      <c r="B80" t="n">
        <v>0</v>
      </c>
      <c r="C80" t="n">
        <v>2</v>
      </c>
      <c r="D80" t="n">
        <v>0</v>
      </c>
      <c r="F80" s="72" t="n">
        <v>0.1</v>
      </c>
      <c r="H80" t="inlineStr">
        <is>
          <t>2 shilling from Gunilda de Suetehegh' for marrying Edith her daughter within.</t>
        </is>
      </c>
    </row>
    <row r="81">
      <c r="A81" t="inlineStr">
        <is>
          <t>Entry and marriage fines</t>
        </is>
      </c>
      <c r="B81" t="n">
        <v>0</v>
      </c>
      <c r="C81" t="n">
        <v>2</v>
      </c>
      <c r="D81" t="n">
        <v>0</v>
      </c>
      <c r="F81" s="72" t="n">
        <v>0.1</v>
      </c>
      <c r="H81" t="inlineStr">
        <is>
          <t>2 shilling from Walter le White for marrying Christina his daughter within.</t>
        </is>
      </c>
    </row>
    <row r="82">
      <c r="A82" t="inlineStr">
        <is>
          <t>Entry and marriage fines</t>
        </is>
      </c>
      <c r="B82" t="n">
        <v>0</v>
      </c>
      <c r="C82" t="n">
        <v>2</v>
      </c>
      <c r="D82" t="n">
        <v>0</v>
      </c>
      <c r="F82" s="72" t="n">
        <v>0.1</v>
      </c>
      <c r="H82" t="inlineStr">
        <is>
          <t>2 shilling from Juliana, daughter of John le Suytht of Leigh, to have 1 day-work of land by surrender of William le Suyht.</t>
        </is>
      </c>
    </row>
    <row r="83">
      <c r="A83" t="inlineStr">
        <is>
          <t>Entry and marriage fines</t>
        </is>
      </c>
      <c r="B83" t="n">
        <v>0</v>
      </c>
      <c r="C83" t="n">
        <v>5</v>
      </c>
      <c r="D83" t="n">
        <v>0</v>
      </c>
      <c r="F83" s="72" t="n">
        <v>0.25</v>
      </c>
      <c r="H83" t="inlineStr">
        <is>
          <t>5 shilling from the communal fine on Hockday (hockedayeswyte) at Corfe.</t>
        </is>
      </c>
    </row>
    <row r="84">
      <c r="A84" t="inlineStr">
        <is>
          <t>Entry and marriage fines</t>
        </is>
      </c>
      <c r="B84" t="n">
        <v>2</v>
      </c>
      <c r="C84" t="n">
        <v>0</v>
      </c>
      <c r="D84" t="n">
        <v>0</v>
      </c>
      <c r="F84" s="72" t="n">
        <v>2</v>
      </c>
      <c r="H84" t="inlineStr">
        <is>
          <t xml:space="preserve">£2 from the same at Poundisforpence </t>
        </is>
      </c>
    </row>
    <row r="85">
      <c r="A85" t="inlineStr">
        <is>
          <t>Entry and marriage fines</t>
        </is>
      </c>
      <c r="B85" t="n">
        <v>16</v>
      </c>
      <c r="C85" t="n">
        <v>18</v>
      </c>
      <c r="D85" t="n">
        <v>0</v>
      </c>
      <c r="F85" s="72">
        <f>B85+C85/20+D85/240</f>
        <v/>
      </c>
      <c r="H85" t="inlineStr">
        <is>
          <t>Total, £16 18 shilling</t>
        </is>
      </c>
    </row>
    <row r="86">
      <c r="A86" t="inlineStr">
        <is>
          <t>Entry and marriage fines</t>
        </is>
      </c>
      <c r="F86" s="72" t="n">
        <v>16.89</v>
      </c>
      <c r="G86" s="129">
        <f>F86-F85</f>
        <v/>
      </c>
      <c r="H86" t="inlineStr">
        <is>
          <t>Total</t>
        </is>
      </c>
    </row>
    <row r="87"/>
    <row r="88">
      <c r="A88" t="inlineStr">
        <is>
          <t>Perquisites</t>
        </is>
      </c>
      <c r="B88" t="n">
        <v>0</v>
      </c>
      <c r="C88" t="n">
        <v>0</v>
      </c>
      <c r="D88" t="n">
        <v>6</v>
      </c>
      <c r="F88" s="72" t="n">
        <v>0.03</v>
      </c>
      <c r="H88" t="inlineStr">
        <is>
          <t>The same renders account for 6pence from John de Orchard for trespass of pasture.</t>
        </is>
      </c>
    </row>
    <row r="89">
      <c r="A89" t="inlineStr">
        <is>
          <t>Perquisites</t>
        </is>
      </c>
      <c r="B89" t="n">
        <v>0</v>
      </c>
      <c r="C89" t="n">
        <v>0</v>
      </c>
      <c r="D89" t="n">
        <v>6</v>
      </c>
      <c r="F89" s="72" t="n">
        <v>0.03</v>
      </c>
      <c r="H89" t="inlineStr">
        <is>
          <t>6pence from William Coffyn for the same.</t>
        </is>
      </c>
    </row>
    <row r="90">
      <c r="A90" t="inlineStr">
        <is>
          <t>Perquisites</t>
        </is>
      </c>
      <c r="B90" t="n">
        <v>0</v>
      </c>
      <c r="C90" t="n">
        <v>0</v>
      </c>
      <c r="D90" t="n">
        <v>8</v>
      </c>
      <c r="F90" s="72" t="n">
        <v>0.03</v>
      </c>
      <c r="H90" t="inlineStr">
        <is>
          <t>8pence from Margery de Orchard for the same.</t>
        </is>
      </c>
    </row>
    <row r="91">
      <c r="A91" t="inlineStr">
        <is>
          <t>Perquisites</t>
        </is>
      </c>
      <c r="B91" t="n">
        <v>0</v>
      </c>
      <c r="C91" t="n">
        <v>1</v>
      </c>
      <c r="D91" t="n">
        <v>0</v>
      </c>
      <c r="F91" s="72" t="n">
        <v>0.05</v>
      </c>
      <c r="H91" t="inlineStr">
        <is>
          <t>1 shilling from John de Treyburth' for the same.</t>
        </is>
      </c>
    </row>
    <row r="92">
      <c r="A92" t="inlineStr">
        <is>
          <t>Perquisites</t>
        </is>
      </c>
      <c r="B92" t="n">
        <v>0</v>
      </c>
      <c r="C92" t="n">
        <v>1</v>
      </c>
      <c r="D92" t="n">
        <v>0</v>
      </c>
      <c r="F92" s="72" t="n">
        <v>0.05</v>
      </c>
      <c r="H92" t="inlineStr">
        <is>
          <t>1 shilling from Richard Polruel for the same.</t>
        </is>
      </c>
    </row>
    <row r="93">
      <c r="A93" t="inlineStr">
        <is>
          <t>Perquisites</t>
        </is>
      </c>
      <c r="B93" t="n">
        <v>0</v>
      </c>
      <c r="C93" t="n">
        <v>0</v>
      </c>
      <c r="D93" t="n">
        <v>6</v>
      </c>
      <c r="F93" s="72" t="n">
        <v>0.03</v>
      </c>
      <c r="H93" t="inlineStr">
        <is>
          <t>6pence from John Godard for trespass of wood.</t>
        </is>
      </c>
    </row>
    <row r="94">
      <c r="A94" t="inlineStr">
        <is>
          <t>Perquisites</t>
        </is>
      </c>
      <c r="B94" t="n">
        <v>0</v>
      </c>
      <c r="C94" t="n">
        <v>0</v>
      </c>
      <c r="D94" t="n">
        <v>6</v>
      </c>
      <c r="F94" s="72" t="n">
        <v>0.03</v>
      </c>
      <c r="H94" t="inlineStr">
        <is>
          <t>6pence from John Amnuret because he did not produce in court the individual whom he had pledged.</t>
        </is>
      </c>
    </row>
    <row r="95">
      <c r="A95" t="inlineStr">
        <is>
          <t>Perquisites</t>
        </is>
      </c>
      <c r="B95" t="n">
        <v>0</v>
      </c>
      <c r="C95" t="n">
        <v>0</v>
      </c>
      <c r="D95" t="n">
        <v>3</v>
      </c>
      <c r="F95" s="72" t="n">
        <v>0.01</v>
      </c>
      <c r="H95" t="inlineStr">
        <is>
          <t>3pence from John de Swetehegh' for false complaint.</t>
        </is>
      </c>
    </row>
    <row r="96">
      <c r="A96" t="inlineStr">
        <is>
          <t>Perquisites</t>
        </is>
      </c>
      <c r="B96" t="n">
        <v>0</v>
      </c>
      <c r="C96" t="n">
        <v>1</v>
      </c>
      <c r="D96" t="n">
        <v>0</v>
      </c>
      <c r="F96" s="72" t="n">
        <v>0.05</v>
      </c>
      <c r="H96" t="inlineStr">
        <is>
          <t>1 shilling from Simon de Ralegh' for licence to come to an agreement.</t>
        </is>
      </c>
    </row>
    <row r="97">
      <c r="A97" t="inlineStr">
        <is>
          <t>Perquisites</t>
        </is>
      </c>
      <c r="B97" t="n">
        <v>0</v>
      </c>
      <c r="C97" t="n">
        <v>0</v>
      </c>
      <c r="D97" t="n">
        <v>3</v>
      </c>
      <c r="F97" s="72" t="n">
        <v>0.01</v>
      </c>
      <c r="H97" t="inlineStr">
        <is>
          <t>3pence from William de Hughelegh' because he did not come to an inquest.</t>
        </is>
      </c>
    </row>
    <row r="98">
      <c r="A98" t="inlineStr">
        <is>
          <t>Perquisites</t>
        </is>
      </c>
      <c r="B98" t="n">
        <v>0</v>
      </c>
      <c r="C98" t="n">
        <v>0</v>
      </c>
      <c r="D98" t="n">
        <v>6</v>
      </c>
      <c r="F98" s="72" t="n">
        <v>0.03</v>
      </c>
      <c r="H98" t="inlineStr">
        <is>
          <t>6pence from William Hardgrey for trespass of pasture.</t>
        </is>
      </c>
    </row>
    <row r="99">
      <c r="A99" t="inlineStr">
        <is>
          <t>Perquisites</t>
        </is>
      </c>
      <c r="B99" t="n">
        <v>0</v>
      </c>
      <c r="C99" t="n">
        <v>0</v>
      </c>
      <c r="D99" t="n">
        <v>3</v>
      </c>
      <c r="F99" s="72" t="n">
        <v>0.01</v>
      </c>
      <c r="H99" t="inlineStr">
        <is>
          <t>3pence from John de Chilkepath' for contempt.</t>
        </is>
      </c>
    </row>
    <row r="100">
      <c r="A100" t="inlineStr">
        <is>
          <t>Perquisites</t>
        </is>
      </c>
      <c r="B100" t="n">
        <v>0</v>
      </c>
      <c r="C100" t="n">
        <v>0</v>
      </c>
      <c r="D100" t="n">
        <v>6</v>
      </c>
      <c r="F100" s="72" t="n">
        <v>0.03</v>
      </c>
      <c r="H100" t="inlineStr">
        <is>
          <t>6pence from Henry le Sweyn for trespass of wood.</t>
        </is>
      </c>
    </row>
    <row r="101">
      <c r="A101" t="inlineStr">
        <is>
          <t>Perquisites</t>
        </is>
      </c>
      <c r="B101" t="n">
        <v>0</v>
      </c>
      <c r="C101" t="n">
        <v>0</v>
      </c>
      <c r="D101" t="n">
        <v>3</v>
      </c>
      <c r="F101" s="72" t="n">
        <v>0.01</v>
      </c>
      <c r="H101" t="inlineStr">
        <is>
          <t>3pence from Roger atte Wuderne for unjustly withholding a debt.</t>
        </is>
      </c>
    </row>
    <row r="102">
      <c r="A102" t="inlineStr">
        <is>
          <t>Perquisites</t>
        </is>
      </c>
      <c r="B102" t="n">
        <v>0</v>
      </c>
      <c r="C102" t="n">
        <v>0</v>
      </c>
      <c r="D102" t="n">
        <v>6</v>
      </c>
      <c r="F102" s="72" t="n">
        <v>0.03</v>
      </c>
      <c r="H102" t="inlineStr">
        <is>
          <t>6pence from Richard de Apsweye for trespass of wood.</t>
        </is>
      </c>
    </row>
    <row r="103">
      <c r="A103" t="inlineStr">
        <is>
          <t>Perquisites</t>
        </is>
      </c>
      <c r="B103" t="n">
        <v>0</v>
      </c>
      <c r="C103" t="n">
        <v>0</v>
      </c>
      <c r="D103" t="n">
        <v>6</v>
      </c>
      <c r="F103" s="72" t="n">
        <v>0.03</v>
      </c>
      <c r="H103" t="inlineStr">
        <is>
          <t>6pence from Christina atte Heggynge for the same.</t>
        </is>
      </c>
    </row>
    <row r="104">
      <c r="A104" t="inlineStr">
        <is>
          <t>Perquisites</t>
        </is>
      </c>
      <c r="B104" t="n">
        <v>0</v>
      </c>
      <c r="C104" t="n">
        <v>0</v>
      </c>
      <c r="D104" t="n">
        <v>6</v>
      </c>
      <c r="F104" s="72" t="n">
        <v>0.03</v>
      </c>
      <c r="H104" t="inlineStr">
        <is>
          <t>6pence from Richard Mouf for the same.</t>
        </is>
      </c>
    </row>
    <row r="105">
      <c r="A105" t="inlineStr">
        <is>
          <t>Perquisites</t>
        </is>
      </c>
      <c r="B105" t="n">
        <v>0</v>
      </c>
      <c r="C105" t="n">
        <v>2</v>
      </c>
      <c r="D105" t="n">
        <v>0</v>
      </c>
      <c r="F105" s="72" t="n">
        <v>0.1</v>
      </c>
      <c r="H105" t="inlineStr">
        <is>
          <t>2 shilling from Henry Sweyn and 3 of his neighbours for the same.</t>
        </is>
      </c>
    </row>
    <row r="106">
      <c r="A106" t="inlineStr">
        <is>
          <t>Perquisites</t>
        </is>
      </c>
      <c r="B106" t="n">
        <v>0</v>
      </c>
      <c r="C106" t="n">
        <v>1</v>
      </c>
      <c r="D106" t="n">
        <v>0</v>
      </c>
      <c r="F106" s="72" t="n">
        <v>0.05</v>
      </c>
      <c r="H106" t="inlineStr">
        <is>
          <t>1 shilling from Adam le Mounk for the same.</t>
        </is>
      </c>
    </row>
    <row r="107">
      <c r="A107" t="inlineStr">
        <is>
          <t>Perquisites</t>
        </is>
      </c>
      <c r="B107" t="n">
        <v>0</v>
      </c>
      <c r="C107" t="n">
        <v>0</v>
      </c>
      <c r="D107" t="n">
        <v>3</v>
      </c>
      <c r="F107" s="72" t="n">
        <v>0.01</v>
      </c>
      <c r="H107" t="inlineStr">
        <is>
          <t>3pence from John Goddey for contempt.</t>
        </is>
      </c>
    </row>
    <row r="108">
      <c r="A108" t="inlineStr">
        <is>
          <t>Perquisites</t>
        </is>
      </c>
      <c r="B108" t="n">
        <v>0</v>
      </c>
      <c r="C108" t="n">
        <v>0</v>
      </c>
      <c r="D108" t="n">
        <v>3</v>
      </c>
      <c r="F108" s="72" t="n">
        <v>0.01</v>
      </c>
      <c r="H108" t="inlineStr">
        <is>
          <t>3pence from John Puke for trespass of corn.</t>
        </is>
      </c>
    </row>
    <row r="109">
      <c r="A109" t="inlineStr">
        <is>
          <t>Perquisites</t>
        </is>
      </c>
      <c r="B109" t="n">
        <v>0</v>
      </c>
      <c r="C109" t="n">
        <v>1</v>
      </c>
      <c r="D109" t="n">
        <v>0</v>
      </c>
      <c r="F109" s="72" t="n">
        <v>0.05</v>
      </c>
      <c r="H109" t="inlineStr">
        <is>
          <t>1 shilling from the tithing of Leigh for an inadequate presentment.</t>
        </is>
      </c>
    </row>
    <row r="110">
      <c r="A110" t="inlineStr">
        <is>
          <t>Perquisites</t>
        </is>
      </c>
      <c r="B110" t="n">
        <v>0</v>
      </c>
      <c r="C110" t="n">
        <v>0</v>
      </c>
      <c r="D110" t="n">
        <v>3</v>
      </c>
      <c r="F110" s="72" t="n">
        <v>0.01</v>
      </c>
      <c r="H110" t="inlineStr">
        <is>
          <t>3pence from Roger Aylwyn' for unjustly withholding a debt.</t>
        </is>
      </c>
    </row>
    <row r="111">
      <c r="A111" t="inlineStr">
        <is>
          <t>Perquisites</t>
        </is>
      </c>
      <c r="B111" t="n">
        <v>0</v>
      </c>
      <c r="C111" t="n">
        <v>0</v>
      </c>
      <c r="D111" t="n">
        <v>6</v>
      </c>
      <c r="F111" s="72" t="n">
        <v>0.03</v>
      </c>
      <c r="H111" t="inlineStr">
        <is>
          <t>6pence from Richard, the lord's swineherd, for keeping the pigs badly.</t>
        </is>
      </c>
    </row>
    <row r="112">
      <c r="A112" t="inlineStr">
        <is>
          <t>Perquisites</t>
        </is>
      </c>
      <c r="B112" t="n">
        <v>0</v>
      </c>
      <c r="C112" t="n">
        <v>5</v>
      </c>
      <c r="D112" t="n">
        <v>0</v>
      </c>
      <c r="F112" s="72" t="n">
        <v>0.25</v>
      </c>
      <c r="H112" t="inlineStr">
        <is>
          <t>5 shilling from Nicholas Ay1m' and 9 of his neighbours for trespass of wood.</t>
        </is>
      </c>
    </row>
    <row r="113">
      <c r="A113" t="inlineStr">
        <is>
          <t>Perquisites</t>
        </is>
      </c>
      <c r="B113" t="n">
        <v>0</v>
      </c>
      <c r="C113" t="n">
        <v>1</v>
      </c>
      <c r="D113" t="n">
        <v>6</v>
      </c>
      <c r="F113" s="72" t="n">
        <v>0.08</v>
      </c>
      <c r="H113" t="inlineStr">
        <is>
          <t>1 shilling 6pence from Thomas Ay1m' for attachment of his goats in Pykeryge.</t>
        </is>
      </c>
    </row>
    <row r="114">
      <c r="A114" t="inlineStr">
        <is>
          <t>Perquisites</t>
        </is>
      </c>
      <c r="B114" t="n">
        <v>0</v>
      </c>
      <c r="C114" t="n">
        <v>1</v>
      </c>
      <c r="D114" t="n">
        <v>0</v>
      </c>
      <c r="F114" s="72" t="n">
        <v>0.05</v>
      </c>
      <c r="H114" t="inlineStr">
        <is>
          <t>1 shilling from Gilbert le Mounk for the same.</t>
        </is>
      </c>
    </row>
    <row r="115">
      <c r="A115" t="inlineStr">
        <is>
          <t>Perquisites</t>
        </is>
      </c>
      <c r="B115" t="n">
        <v>0</v>
      </c>
      <c r="C115" t="n">
        <v>1</v>
      </c>
      <c r="D115" t="n">
        <v>0</v>
      </c>
      <c r="F115" s="72" t="n">
        <v>0.05</v>
      </c>
      <c r="H115" t="inlineStr">
        <is>
          <t>1 shilling from William Fryn for the same.</t>
        </is>
      </c>
    </row>
    <row r="116">
      <c r="A116" t="inlineStr">
        <is>
          <t>Perquisites</t>
        </is>
      </c>
      <c r="B116" t="n">
        <v>0</v>
      </c>
      <c r="C116" t="n">
        <v>1</v>
      </c>
      <c r="D116" t="n">
        <v>0</v>
      </c>
      <c r="F116" s="72" t="n">
        <v>0.05</v>
      </c>
      <c r="H116" t="inlineStr">
        <is>
          <t>1 shilling from Walter de Fokgrove for the same.</t>
        </is>
      </c>
    </row>
    <row r="117">
      <c r="A117" t="inlineStr">
        <is>
          <t>Perquisites</t>
        </is>
      </c>
      <c r="B117" t="n">
        <v>0</v>
      </c>
      <c r="C117" t="n">
        <v>0</v>
      </c>
      <c r="D117" t="n">
        <v>3</v>
      </c>
      <c r="F117" s="72" t="n">
        <v>0.01</v>
      </c>
      <c r="H117" t="inlineStr">
        <is>
          <t>3pence from Bricell' de Blaked' for attachment of his goats in Abbecumb'.</t>
        </is>
      </c>
    </row>
    <row r="118">
      <c r="A118" t="inlineStr">
        <is>
          <t>Perquisites</t>
        </is>
      </c>
      <c r="B118" t="n">
        <v>0</v>
      </c>
      <c r="C118" t="n">
        <v>0</v>
      </c>
      <c r="D118" t="n">
        <v>3</v>
      </c>
      <c r="F118" s="72" t="n">
        <v>0.01</v>
      </c>
      <c r="H118" t="inlineStr">
        <is>
          <t>3pence from William Godard for licence to come to an agreement.</t>
        </is>
      </c>
    </row>
    <row r="119">
      <c r="A119" t="inlineStr">
        <is>
          <t>Perquisites</t>
        </is>
      </c>
      <c r="B119" t="n">
        <v>0</v>
      </c>
      <c r="C119" t="n">
        <v>1</v>
      </c>
      <c r="D119" t="n">
        <v>0</v>
      </c>
      <c r="F119" s="72" t="n">
        <v>0.05</v>
      </c>
      <c r="H119" t="inlineStr">
        <is>
          <t>1 shilling from the reeve of Poundisford because he often allowed the oxherds to be idle after dinner.</t>
        </is>
      </c>
    </row>
    <row r="120">
      <c r="A120" t="inlineStr">
        <is>
          <t>Perquisites</t>
        </is>
      </c>
      <c r="B120" t="n">
        <v>0</v>
      </c>
      <c r="C120" t="n">
        <v>0</v>
      </c>
      <c r="D120" t="n">
        <v>2</v>
      </c>
      <c r="F120" s="72" t="n">
        <v>0.01</v>
      </c>
      <c r="H120" t="inlineStr">
        <is>
          <t>2pence from Walter Bagh' and Walter Sprut for transgression against their neighbour.</t>
        </is>
      </c>
    </row>
    <row r="121">
      <c r="A121" t="inlineStr">
        <is>
          <t>Perquisites</t>
        </is>
      </c>
      <c r="B121" t="n">
        <v>0</v>
      </c>
      <c r="C121" t="n">
        <v>2</v>
      </c>
      <c r="D121" t="n">
        <v>0</v>
      </c>
      <c r="F121" s="72" t="n">
        <v>0.1</v>
      </c>
      <c r="H121" t="inlineStr">
        <is>
          <t>2 shilling from John Goddey for trespass of corn.</t>
        </is>
      </c>
    </row>
    <row r="122">
      <c r="A122" t="inlineStr">
        <is>
          <t>Perquisites</t>
        </is>
      </c>
      <c r="B122" t="n">
        <v>0</v>
      </c>
      <c r="C122" t="n">
        <v>0</v>
      </c>
      <c r="D122" t="n">
        <v>6</v>
      </c>
      <c r="F122" s="72" t="n">
        <v>0.03</v>
      </c>
      <c r="H122" t="inlineStr">
        <is>
          <t>6pence from Roger Gillyng for the same.</t>
        </is>
      </c>
    </row>
    <row r="123">
      <c r="A123" t="inlineStr">
        <is>
          <t>Perquisites</t>
        </is>
      </c>
      <c r="B123" t="n">
        <v>0</v>
      </c>
      <c r="C123" t="n">
        <v>0</v>
      </c>
      <c r="D123" t="n">
        <v>3</v>
      </c>
      <c r="F123" s="72" t="n">
        <v>0.01</v>
      </c>
      <c r="H123" t="inlineStr">
        <is>
          <t>3pence from Walter le Whyte because he did not come to carry hay.</t>
        </is>
      </c>
    </row>
    <row r="124">
      <c r="A124" t="inlineStr">
        <is>
          <t>Perquisites</t>
        </is>
      </c>
      <c r="B124" t="n">
        <v>0</v>
      </c>
      <c r="C124" t="n">
        <v>0</v>
      </c>
      <c r="D124" t="n">
        <v>6</v>
      </c>
      <c r="F124" s="72" t="n">
        <v>0.03</v>
      </c>
      <c r="H124" t="inlineStr">
        <is>
          <t>6pence from the reeve and beadle for their negligence.</t>
        </is>
      </c>
    </row>
    <row r="125">
      <c r="A125" t="inlineStr">
        <is>
          <t>Perquisites</t>
        </is>
      </c>
      <c r="B125" t="n">
        <v>0</v>
      </c>
      <c r="C125" t="n">
        <v>1</v>
      </c>
      <c r="D125" t="n">
        <v>0</v>
      </c>
      <c r="F125" s="72" t="n">
        <v>0.05</v>
      </c>
      <c r="H125" t="inlineStr">
        <is>
          <t>1 shilling from Walter de Fuleford and William Gulye for transgression against their neighbour.</t>
        </is>
      </c>
    </row>
    <row r="126">
      <c r="A126" t="inlineStr">
        <is>
          <t>Perquisites</t>
        </is>
      </c>
      <c r="B126" t="n">
        <v>0</v>
      </c>
      <c r="C126" t="n">
        <v>0</v>
      </c>
      <c r="D126" t="n">
        <v>6</v>
      </c>
      <c r="F126" s="72" t="n">
        <v>0.03</v>
      </c>
      <c r="H126" t="inlineStr">
        <is>
          <t>6pence from the lord's oxherds for their negligence.</t>
        </is>
      </c>
    </row>
    <row r="127">
      <c r="A127" t="inlineStr">
        <is>
          <t>Perquisites</t>
        </is>
      </c>
      <c r="B127" t="n">
        <v>0</v>
      </c>
      <c r="C127" t="n">
        <v>2</v>
      </c>
      <c r="D127" t="n">
        <v>0</v>
      </c>
      <c r="F127" s="72" t="n">
        <v>0.1</v>
      </c>
      <c r="H127" t="inlineStr">
        <is>
          <t>2 shilling from the tithing of Dudeleston' for a bad presentment.</t>
        </is>
      </c>
    </row>
    <row r="128">
      <c r="A128" t="inlineStr">
        <is>
          <t>Perquisites</t>
        </is>
      </c>
      <c r="B128" t="n">
        <v>0</v>
      </c>
      <c r="C128" t="n">
        <v>1</v>
      </c>
      <c r="D128" t="n">
        <v>0</v>
      </c>
      <c r="F128" s="72" t="n">
        <v>0.05</v>
      </c>
      <c r="H128" t="inlineStr">
        <is>
          <t>1 shilling from the same tithing for concealing landless men outside the tithing.</t>
        </is>
      </c>
    </row>
    <row r="129">
      <c r="A129" t="inlineStr">
        <is>
          <t>Perquisites</t>
        </is>
      </c>
      <c r="B129" t="n">
        <v>0</v>
      </c>
      <c r="C129" t="n">
        <v>1</v>
      </c>
      <c r="D129" t="n">
        <v>0</v>
      </c>
      <c r="F129" s="72" t="n">
        <v>0.05</v>
      </c>
      <c r="H129" t="inlineStr">
        <is>
          <t>1 shilling from the tithing of South Trendle for the same.</t>
        </is>
      </c>
    </row>
    <row r="130">
      <c r="A130" t="inlineStr">
        <is>
          <t>Perquisites</t>
        </is>
      </c>
      <c r="B130" t="n">
        <v>0</v>
      </c>
      <c r="C130" t="n">
        <v>1</v>
      </c>
      <c r="D130" t="n">
        <v>0</v>
      </c>
      <c r="F130" s="72" t="n">
        <v>0.05</v>
      </c>
      <c r="H130" t="inlineStr">
        <is>
          <t>1 shilling from the tithing of South Fulford for the same.</t>
        </is>
      </c>
    </row>
    <row r="131">
      <c r="A131" t="inlineStr">
        <is>
          <t>Perquisites</t>
        </is>
      </c>
      <c r="B131" t="n">
        <v>0</v>
      </c>
      <c r="C131" t="n">
        <v>0</v>
      </c>
      <c r="D131" t="n">
        <v>2</v>
      </c>
      <c r="F131" s="72" t="n">
        <v>0.01</v>
      </c>
      <c r="H131" t="inlineStr">
        <is>
          <t>2pence from Walter Hatherich, beadle of Corfe, because he performed his office less well in the presence of the steward.</t>
        </is>
      </c>
    </row>
    <row r="132">
      <c r="A132" t="inlineStr">
        <is>
          <t>Perquisites</t>
        </is>
      </c>
      <c r="B132" t="n">
        <v>0</v>
      </c>
      <c r="C132" t="n">
        <v>17</v>
      </c>
      <c r="D132" t="n">
        <v>0</v>
      </c>
      <c r="F132" s="72" t="n">
        <v>0.85</v>
      </c>
      <c r="H132" t="inlineStr">
        <is>
          <t>17 shilling from those who brewed ale this year for breaking the assize of ale.</t>
        </is>
      </c>
    </row>
    <row r="133">
      <c r="A133" t="inlineStr">
        <is>
          <t>Perquisites</t>
        </is>
      </c>
      <c r="B133" t="n">
        <v>2</v>
      </c>
      <c r="C133" t="n">
        <v>13</v>
      </c>
      <c r="D133" t="n">
        <v>4</v>
      </c>
      <c r="F133" s="72" t="n">
        <v>2.67</v>
      </c>
      <c r="H133" t="inlineStr">
        <is>
          <t>Total, £2 13 shilling 4pence</t>
        </is>
      </c>
    </row>
    <row r="134">
      <c r="A134" t="inlineStr">
        <is>
          <t>Perquisites</t>
        </is>
      </c>
      <c r="F134" s="72">
        <f>SUM(F88:F132)</f>
        <v/>
      </c>
      <c r="G134" s="129">
        <f>F134-F133</f>
        <v/>
      </c>
      <c r="H134" t="inlineStr">
        <is>
          <t>Total</t>
        </is>
      </c>
    </row>
    <row r="135"/>
    <row r="136">
      <c r="A136" t="inlineStr">
        <is>
          <t>Perquisites</t>
        </is>
      </c>
      <c r="B136" t="n">
        <v>19</v>
      </c>
      <c r="C136" t="n">
        <v>11</v>
      </c>
      <c r="D136" t="n">
        <v>4</v>
      </c>
      <c r="F136" s="72" t="n">
        <v>19.57</v>
      </c>
      <c r="H136" t="inlineStr">
        <is>
          <t>Total of both, £19 11 shilling 4pence</t>
        </is>
      </c>
    </row>
    <row r="137">
      <c r="A137" t="inlineStr">
        <is>
          <t>Perquisites</t>
        </is>
      </c>
      <c r="F137" s="72">
        <f>F134+F86</f>
        <v/>
      </c>
      <c r="G137" s="129">
        <f>F137-F136</f>
        <v/>
      </c>
      <c r="H137" t="inlineStr">
        <is>
          <t>Total</t>
        </is>
      </c>
    </row>
    <row r="138"/>
    <row r="139">
      <c r="A139" t="inlineStr">
        <is>
          <t>Total of all receipts</t>
        </is>
      </c>
      <c r="B139" t="n">
        <v>116</v>
      </c>
      <c r="C139" t="n">
        <v>16</v>
      </c>
      <c r="D139" t="n">
        <v>10</v>
      </c>
      <c r="F139" s="72" t="n">
        <v>116.84</v>
      </c>
      <c r="H139" t="inlineStr">
        <is>
          <t>Total of all receipts, £116 16 shilling 10pence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0"/>
  <sheetViews>
    <sheetView topLeftCell="A1" workbookViewId="0">
      <selection activeCell="A1" sqref="A1"/>
    </sheetView>
  </sheetViews>
  <sheetFormatPr baseColWidth="8" defaultRowHeight="15"/>
  <cols>
    <col width="30.83203125" customWidth="1" min="1" max="1"/>
    <col width="8.83203125" customWidth="1" min="6" max="6"/>
    <col width="8.83203125" customWidth="1" min="7" max="7"/>
  </cols>
  <sheetData>
    <row r="1" ht="16" customHeight="1">
      <c r="A1" s="2" t="inlineStr">
        <is>
          <t>POUNDSIFORD EXPENSES</t>
        </is>
      </c>
    </row>
    <row r="2" ht="16" customHeight="1">
      <c r="A2" s="11" t="inlineStr">
        <is>
          <t>Heading</t>
        </is>
      </c>
      <c r="B2" s="3" t="inlineStr">
        <is>
          <t>£</t>
        </is>
      </c>
      <c r="C2" s="4" t="inlineStr">
        <is>
          <t xml:space="preserve">s </t>
        </is>
      </c>
      <c r="D2" s="4" t="inlineStr">
        <is>
          <t>d</t>
        </is>
      </c>
      <c r="E2" s="4" t="n"/>
      <c r="F2" s="127" t="inlineStr">
        <is>
          <t>Total in £</t>
        </is>
      </c>
      <c r="G2" s="128" t="inlineStr">
        <is>
          <t>Error</t>
        </is>
      </c>
      <c r="H2" s="7" t="inlineStr">
        <is>
          <t>Notes</t>
        </is>
      </c>
    </row>
    <row r="3">
      <c r="A3" t="inlineStr">
        <is>
          <t>Cost of ploughs</t>
        </is>
      </c>
      <c r="B3" t="n">
        <v>0</v>
      </c>
      <c r="C3" t="n">
        <v>15</v>
      </c>
      <c r="D3" t="n">
        <v>11</v>
      </c>
      <c r="F3" s="72" t="n">
        <v>0.8</v>
      </c>
      <c r="H3" t="inlineStr">
        <is>
          <t>In iron and steel for making and repairing the ironwork of 4 ploughs for the year 15 shilling 11pence.</t>
        </is>
      </c>
    </row>
    <row r="4">
      <c r="A4" t="inlineStr">
        <is>
          <t>Cost of ploughs</t>
        </is>
      </c>
      <c r="B4" t="n">
        <v>0</v>
      </c>
      <c r="C4" t="n">
        <v>3</v>
      </c>
      <c r="D4" t="n">
        <v>10</v>
      </c>
      <c r="F4" s="72" t="n">
        <v>0.19</v>
      </c>
      <c r="H4" t="inlineStr">
        <is>
          <t>stipend of the smith making and repairing the said ironwork for the year 3 shilling 10pence.</t>
        </is>
      </c>
    </row>
    <row r="5">
      <c r="A5" t="inlineStr">
        <is>
          <t>Cost of ploughs</t>
        </is>
      </c>
      <c r="B5" t="n">
        <v>0</v>
      </c>
      <c r="C5" t="n">
        <v>2</v>
      </c>
      <c r="D5" t="n">
        <v>4</v>
      </c>
      <c r="F5" s="72" t="n">
        <v>0.12</v>
      </c>
      <c r="H5" t="inlineStr">
        <is>
          <t>4 ploughshares bought 2 shilling 4pence.</t>
        </is>
      </c>
    </row>
    <row r="6">
      <c r="A6" t="inlineStr">
        <is>
          <t>Cost of ploughs</t>
        </is>
      </c>
      <c r="B6" t="n">
        <v>0</v>
      </c>
      <c r="C6" t="n">
        <v>7</v>
      </c>
      <c r="D6" t="n">
        <v>0.5</v>
      </c>
      <c r="F6" s="72" t="n">
        <v>0.35</v>
      </c>
      <c r="H6" t="inlineStr">
        <is>
          <t>boon-works of 42 ploughmen ploughing 2 full days in winter and as many full days in Lent at Corfe and Poundisford 7 shilling, at 0.5pence a ploughman a day.</t>
        </is>
      </c>
    </row>
    <row r="7">
      <c r="A7" t="inlineStr">
        <is>
          <t>Cost of ploughs</t>
        </is>
      </c>
      <c r="B7" t="n">
        <v>0</v>
      </c>
      <c r="C7" t="n">
        <v>1</v>
      </c>
      <c r="D7" t="n">
        <v>6.5</v>
      </c>
      <c r="F7" s="72" t="n">
        <v>0.08</v>
      </c>
      <c r="H7" t="inlineStr">
        <is>
          <t>trimming and sawing timber for ploughs, yokes and wooden halters 1 shilling 6.5pence.</t>
        </is>
      </c>
    </row>
    <row r="8">
      <c r="A8" t="inlineStr">
        <is>
          <t>Cost of ploughs</t>
        </is>
      </c>
      <c r="B8" t="n">
        <v>0</v>
      </c>
      <c r="C8" t="n">
        <v>0</v>
      </c>
      <c r="D8" t="n">
        <v>6</v>
      </c>
      <c r="F8" s="72" t="n">
        <v>0.03</v>
      </c>
      <c r="H8" t="inlineStr">
        <is>
          <t>making 4 new ploughs 6pence.</t>
        </is>
      </c>
    </row>
    <row r="9">
      <c r="A9" t="inlineStr">
        <is>
          <t>Cost of ploughs</t>
        </is>
      </c>
      <c r="B9" t="n">
        <v>0</v>
      </c>
      <c r="C9" t="n">
        <v>1</v>
      </c>
      <c r="D9" t="n">
        <v>2</v>
      </c>
      <c r="F9" s="72" t="n">
        <v>0.06</v>
      </c>
      <c r="H9" t="inlineStr">
        <is>
          <t>repairing the old ploughs many times during the year 1 shilling 2pence.</t>
        </is>
      </c>
    </row>
    <row r="10">
      <c r="A10" t="inlineStr">
        <is>
          <t>Cost of ploughs</t>
        </is>
      </c>
      <c r="B10" t="n">
        <v>0</v>
      </c>
      <c r="C10" t="n">
        <v>0</v>
      </c>
      <c r="D10" t="n">
        <v>5</v>
      </c>
      <c r="F10" s="72" t="n">
        <v>0.02</v>
      </c>
      <c r="H10" t="inlineStr">
        <is>
          <t>making yokes and wooden halters 5pence.</t>
        </is>
      </c>
    </row>
    <row r="11">
      <c r="A11" t="inlineStr">
        <is>
          <t>Cost of ploughs</t>
        </is>
      </c>
      <c r="B11" t="n">
        <v>0</v>
      </c>
      <c r="C11" t="n">
        <v>1</v>
      </c>
      <c r="D11" t="n">
        <v>0</v>
      </c>
      <c r="F11" s="72" t="n">
        <v>0.05</v>
      </c>
      <c r="H11" t="inlineStr">
        <is>
          <t>food for two beadles and 4 ploughmen according to custom at Christmas and Easter 1 shilling.</t>
        </is>
      </c>
    </row>
    <row r="12">
      <c r="A12" t="inlineStr">
        <is>
          <t>Cost of ploughs</t>
        </is>
      </c>
      <c r="B12" t="n">
        <v>0</v>
      </c>
      <c r="C12" t="n">
        <v>0</v>
      </c>
      <c r="D12" t="n">
        <v>8</v>
      </c>
      <c r="F12" s="72" t="n">
        <v>0.03</v>
      </c>
      <c r="H12" t="inlineStr">
        <is>
          <t>food for 8 workers according to the same custom 8pence.</t>
        </is>
      </c>
    </row>
    <row r="13">
      <c r="A13" t="inlineStr">
        <is>
          <t>Cost of ploughs</t>
        </is>
      </c>
      <c r="B13" t="n">
        <v>0</v>
      </c>
      <c r="C13" t="n">
        <v>12</v>
      </c>
      <c r="D13" t="n">
        <v>6</v>
      </c>
      <c r="F13" s="72" t="n">
        <v>0.62</v>
      </c>
      <c r="H13" t="inlineStr">
        <is>
          <t>stipend of 4 oxherds and 1 swineherd for the year 12 shilling 6pence, or 2 shilling 6pence each.</t>
        </is>
      </c>
    </row>
    <row r="14">
      <c r="A14" t="inlineStr">
        <is>
          <t>Cost of ploughs</t>
        </is>
      </c>
      <c r="B14" t="n">
        <v>0</v>
      </c>
      <c r="C14" t="n">
        <v>6</v>
      </c>
      <c r="D14" t="n">
        <v>8</v>
      </c>
      <c r="F14" s="72" t="n">
        <v>0.33</v>
      </c>
      <c r="H14" t="inlineStr">
        <is>
          <t>stipend of 1 park-keeper and hayward for the year 6 shilling 8pence.</t>
        </is>
      </c>
    </row>
    <row r="15">
      <c r="A15" t="inlineStr">
        <is>
          <t>Cost of ploughs</t>
        </is>
      </c>
      <c r="B15" t="n">
        <v>0</v>
      </c>
      <c r="C15" t="n">
        <v>1</v>
      </c>
      <c r="D15" t="n">
        <v>3</v>
      </c>
      <c r="F15" s="72" t="n">
        <v>0.06</v>
      </c>
      <c r="H15" t="inlineStr">
        <is>
          <t>quittance of the ploughmen of Corfe for 10 Saturday ploughings 1 shilling 3pence, at 1.5pence a Saturday.</t>
        </is>
      </c>
    </row>
    <row r="16">
      <c r="A16" t="inlineStr">
        <is>
          <t>Cost of ploughs</t>
        </is>
      </c>
      <c r="B16" t="n">
        <v>0</v>
      </c>
      <c r="C16" t="n">
        <v>4</v>
      </c>
      <c r="D16" t="n">
        <v>1.5</v>
      </c>
      <c r="F16" s="72" t="n">
        <v>0.21</v>
      </c>
      <c r="H16" t="inlineStr">
        <is>
          <t>quittance of the ploughmen and beadle of Poundisford for 32 Saturday ploughings 4 shilling, at 1.5pence a Saturday.</t>
        </is>
      </c>
    </row>
    <row r="17">
      <c r="A17" t="inlineStr">
        <is>
          <t>Cost of ploughs</t>
        </is>
      </c>
      <c r="B17" t="n">
        <v>0</v>
      </c>
      <c r="C17" t="n">
        <v>2</v>
      </c>
      <c r="D17" t="n">
        <v>7.5</v>
      </c>
      <c r="F17" s="72" t="n">
        <v>0.13</v>
      </c>
      <c r="H17" t="inlineStr">
        <is>
          <t>21 quarters of charcoal made for making and repairing the ironwork of 4 ploughs for the year 2 shilling 7.5pence.</t>
        </is>
      </c>
    </row>
    <row r="18">
      <c r="A18" t="inlineStr">
        <is>
          <t>Cost of ploughs</t>
        </is>
      </c>
      <c r="B18" t="n">
        <v>0</v>
      </c>
      <c r="C18" t="n">
        <v>0</v>
      </c>
      <c r="D18" t="n">
        <v>5</v>
      </c>
      <c r="F18" s="72" t="n">
        <v>0.02</v>
      </c>
      <c r="H18" t="inlineStr">
        <is>
          <t>shoeing I plough-horse harrowing at two sowings 5pence.</t>
        </is>
      </c>
    </row>
    <row r="19">
      <c r="A19" t="inlineStr">
        <is>
          <t>Cost of ploughs</t>
        </is>
      </c>
      <c r="B19" t="n">
        <v>0</v>
      </c>
      <c r="C19" t="n">
        <v>6</v>
      </c>
      <c r="D19" t="n">
        <v>3.5</v>
      </c>
      <c r="F19" s="72" t="n">
        <v>0.31</v>
      </c>
      <c r="H19" t="inlineStr">
        <is>
          <t>37 quarters 6 bushels of wheat bought for forage from customary tenants 6 shilling 3.5pence, at 2pence a qr of forage.</t>
        </is>
      </c>
    </row>
    <row r="20">
      <c r="A20" t="inlineStr">
        <is>
          <t>Cost of ploughs</t>
        </is>
      </c>
      <c r="B20" t="n">
        <v>0</v>
      </c>
      <c r="C20" t="n">
        <v>5</v>
      </c>
      <c r="D20" t="n">
        <v>3.5</v>
      </c>
      <c r="F20" s="72" t="n">
        <v>0.26</v>
      </c>
      <c r="H20" t="inlineStr">
        <is>
          <t>64 quarters of oats bought for forage from the same customary tenants 5 shilling 3.5pence, at 1pence a qr of forage.</t>
        </is>
      </c>
    </row>
    <row r="21">
      <c r="A21" t="inlineStr">
        <is>
          <t>Cost of ploughs</t>
        </is>
      </c>
      <c r="B21" t="n">
        <v>3</v>
      </c>
      <c r="C21" t="n">
        <v>13</v>
      </c>
      <c r="D21" t="n">
        <v>5.5</v>
      </c>
      <c r="F21" s="72" t="n">
        <v>3.67</v>
      </c>
      <c r="H21" t="inlineStr">
        <is>
          <t>Total, £3 13 shilling 5.5pence</t>
        </is>
      </c>
    </row>
    <row r="22">
      <c r="A22" t="inlineStr">
        <is>
          <t>Cost of ploughs</t>
        </is>
      </c>
      <c r="F22" s="72" t="n">
        <v>3.67</v>
      </c>
      <c r="G22" s="129" t="n">
        <v>0</v>
      </c>
      <c r="H22" t="inlineStr">
        <is>
          <t>Total</t>
        </is>
      </c>
    </row>
    <row r="23"/>
    <row r="24">
      <c r="A24" t="inlineStr">
        <is>
          <t>Purchase of corn</t>
        </is>
      </c>
      <c r="B24" t="n">
        <v>3</v>
      </c>
      <c r="C24" t="n">
        <v>16</v>
      </c>
      <c r="D24" t="n">
        <v>7</v>
      </c>
      <c r="F24" s="72" t="n">
        <v>3.83</v>
      </c>
      <c r="H24" t="inlineStr">
        <is>
          <t>In 19 quarters 6.5 bushels of maslin bought £3 16 shilling 7pence, at 3 shilling 4pence a qr for 4 quarters, and 4 shilling a qr for 15 quarters 6.5 bushels.</t>
        </is>
      </c>
    </row>
    <row r="25">
      <c r="A25" t="inlineStr">
        <is>
          <t>Purchase of corn</t>
        </is>
      </c>
      <c r="B25" t="n">
        <v>5</v>
      </c>
      <c r="C25" t="n">
        <v>12</v>
      </c>
      <c r="D25" t="n">
        <v>6</v>
      </c>
      <c r="F25" s="72" t="n">
        <v>5.62</v>
      </c>
      <c r="H25" t="inlineStr">
        <is>
          <t>75 quarters of oats bought from customary tenants according to custom £5 12 shilling 6pence, at 1 shilling 6pence a qr.</t>
        </is>
      </c>
    </row>
    <row r="26">
      <c r="A26" t="inlineStr">
        <is>
          <t>Purchase of corn</t>
        </is>
      </c>
      <c r="B26" t="n">
        <v>9</v>
      </c>
      <c r="C26" t="n">
        <v>9</v>
      </c>
      <c r="D26" t="n">
        <v>1</v>
      </c>
      <c r="F26" s="72" t="n">
        <v>9.449999999999999</v>
      </c>
      <c r="H26" t="inlineStr">
        <is>
          <t>Total, £9 9 shilling 1pence</t>
        </is>
      </c>
    </row>
    <row r="27">
      <c r="A27" t="inlineStr">
        <is>
          <t>Purchase of corn</t>
        </is>
      </c>
      <c r="F27" s="72" t="n">
        <v>9.449999999999999</v>
      </c>
      <c r="G27" s="129" t="n">
        <v>0</v>
      </c>
      <c r="H27" t="inlineStr">
        <is>
          <t>Total</t>
        </is>
      </c>
    </row>
    <row r="28"/>
    <row r="29">
      <c r="A29" t="inlineStr">
        <is>
          <t>Purchase of stock</t>
        </is>
      </c>
      <c r="B29" t="n">
        <v>1</v>
      </c>
      <c r="C29" t="n">
        <v>6</v>
      </c>
      <c r="D29" t="n">
        <v>3</v>
      </c>
      <c r="F29" s="72" t="n">
        <v>1.31</v>
      </c>
      <c r="H29" t="inlineStr">
        <is>
          <t>In 3 cows bought before breeding £1 6 shilling 3pence, at 8 shilling 9pence each.</t>
        </is>
      </c>
    </row>
    <row r="30">
      <c r="A30" t="inlineStr">
        <is>
          <t>Purchase of stock</t>
        </is>
      </c>
      <c r="B30" t="n">
        <v>0</v>
      </c>
      <c r="C30" t="n">
        <v>16</v>
      </c>
      <c r="D30" t="n">
        <v>9</v>
      </c>
      <c r="F30" s="72" t="n">
        <v>0.84</v>
      </c>
      <c r="H30" t="inlineStr">
        <is>
          <t>two cows bought after breeding 16 shilling 9pence, at 8 shilling for one, and 8 shilling 9pence for the other.</t>
        </is>
      </c>
    </row>
    <row r="31">
      <c r="A31" t="inlineStr">
        <is>
          <t>Purchase of stock</t>
        </is>
      </c>
      <c r="B31" t="n">
        <v>2</v>
      </c>
      <c r="C31" t="n">
        <v>3</v>
      </c>
      <c r="D31" t="n">
        <v>0</v>
      </c>
      <c r="F31" s="72" t="n">
        <v>2.15</v>
      </c>
      <c r="H31" t="inlineStr">
        <is>
          <t>Total, £2 3 shilling</t>
        </is>
      </c>
    </row>
    <row r="32">
      <c r="A32" t="inlineStr">
        <is>
          <t>Purchase of stock</t>
        </is>
      </c>
      <c r="F32" s="72" t="n">
        <v>2.15</v>
      </c>
      <c r="G32" s="129" t="n">
        <v>0</v>
      </c>
      <c r="H32" t="inlineStr">
        <is>
          <t>Total</t>
        </is>
      </c>
    </row>
    <row r="33"/>
    <row r="34">
      <c r="A34" t="inlineStr">
        <is>
          <t>Repair of buildings with small expenses</t>
        </is>
      </c>
      <c r="B34" t="n">
        <v>0</v>
      </c>
      <c r="C34" t="n">
        <v>0</v>
      </c>
      <c r="D34" t="n">
        <v>10</v>
      </c>
      <c r="F34" s="72" t="n">
        <v>0.04</v>
      </c>
      <c r="H34" t="inlineStr">
        <is>
          <t>In re-roofing the larger barn in places 10pence.</t>
        </is>
      </c>
    </row>
    <row r="35">
      <c r="A35" t="inlineStr">
        <is>
          <t>Repair of buildings with small expenses</t>
        </is>
      </c>
      <c r="B35" t="n">
        <v>0</v>
      </c>
      <c r="C35" t="n">
        <v>0</v>
      </c>
      <c r="D35" t="n">
        <v>4</v>
      </c>
      <c r="F35" s="72" t="n">
        <v>0.02</v>
      </c>
      <c r="H35" t="inlineStr">
        <is>
          <t>1 lock bought for the door of the same barn 4pence.</t>
        </is>
      </c>
    </row>
    <row r="36">
      <c r="A36" t="inlineStr">
        <is>
          <t>Repair of buildings with small expenses</t>
        </is>
      </c>
      <c r="B36" t="n">
        <v>0</v>
      </c>
      <c r="C36" t="n">
        <v>0</v>
      </c>
      <c r="D36" t="n">
        <v>3</v>
      </c>
      <c r="F36" s="72" t="n">
        <v>0.01</v>
      </c>
      <c r="H36" t="inlineStr">
        <is>
          <t>one three-pronged dung-fork fitted with iron 3pence.</t>
        </is>
      </c>
    </row>
    <row r="37">
      <c r="A37" t="inlineStr">
        <is>
          <t>Repair of buildings with small expenses</t>
        </is>
      </c>
      <c r="B37" t="n">
        <v>0</v>
      </c>
      <c r="C37" t="n">
        <v>0</v>
      </c>
      <c r="D37" t="n">
        <v>10</v>
      </c>
      <c r="F37" s="72" t="n">
        <v>0.04</v>
      </c>
      <c r="H37" t="inlineStr">
        <is>
          <t>making well (sanand') 32 female piglets 10pence.</t>
        </is>
      </c>
    </row>
    <row r="38">
      <c r="A38" t="inlineStr">
        <is>
          <t>Repair of buildings with small expenses</t>
        </is>
      </c>
      <c r="B38" t="n">
        <v>0</v>
      </c>
      <c r="C38" t="n">
        <v>2</v>
      </c>
      <c r="D38" t="n">
        <v>10</v>
      </c>
      <c r="F38" s="72" t="n">
        <v>0.14</v>
      </c>
      <c r="H38" t="inlineStr">
        <is>
          <t>clearing dung from the curia to the fields 2 shilling 10pence.</t>
        </is>
      </c>
    </row>
    <row r="39">
      <c r="A39" t="inlineStr">
        <is>
          <t>Repair of buildings with small expenses</t>
        </is>
      </c>
      <c r="B39" t="n">
        <v>0</v>
      </c>
      <c r="C39" t="n">
        <v>0</v>
      </c>
      <c r="D39" t="n">
        <v>9</v>
      </c>
      <c r="F39" s="72" t="n">
        <v>0.04</v>
      </c>
      <c r="H39" t="inlineStr">
        <is>
          <t>digging 12 perches of ditches beside la Westered' 9pence, at 0.75pence a perch.</t>
        </is>
      </c>
    </row>
    <row r="40">
      <c r="A40" t="inlineStr">
        <is>
          <t>Repair of buildings with small expenses</t>
        </is>
      </c>
      <c r="B40" t="n">
        <v>0</v>
      </c>
      <c r="C40" t="n">
        <v>1</v>
      </c>
      <c r="D40" t="n">
        <v>8</v>
      </c>
      <c r="F40" s="72" t="n">
        <v>0.08</v>
      </c>
      <c r="H40" t="inlineStr">
        <is>
          <t>digging 20 perches of ditches there 1 shilling 8pence</t>
        </is>
      </c>
    </row>
    <row r="41">
      <c r="A41" t="inlineStr">
        <is>
          <t>Repair of buildings with small expenses</t>
        </is>
      </c>
      <c r="B41" t="n">
        <v>0</v>
      </c>
      <c r="C41" t="n">
        <v>7</v>
      </c>
      <c r="D41" t="n">
        <v>6</v>
      </c>
      <c r="F41" s="72">
        <f>B41+C41/20+D41/240</f>
        <v/>
      </c>
      <c r="H41" t="inlineStr">
        <is>
          <t>Total, 7 shilling 6pence</t>
        </is>
      </c>
    </row>
    <row r="42">
      <c r="A42" t="inlineStr">
        <is>
          <t>Repair of buildings with small expenses</t>
        </is>
      </c>
      <c r="F42" s="72" t="n">
        <v>0.37</v>
      </c>
      <c r="G42" s="129">
        <f>F42-F41</f>
        <v/>
      </c>
      <c r="H42" t="inlineStr">
        <is>
          <t>Total</t>
        </is>
      </c>
    </row>
    <row r="43"/>
    <row r="44">
      <c r="A44" t="inlineStr">
        <is>
          <t>Threshing of corn</t>
        </is>
      </c>
      <c r="B44" t="n">
        <v>0</v>
      </c>
      <c r="C44" t="n">
        <v>4</v>
      </c>
      <c r="D44" t="n">
        <v>4</v>
      </c>
      <c r="F44" s="72" t="n">
        <v>0.22</v>
      </c>
      <c r="H44" t="inlineStr">
        <is>
          <t>In threshing 20 quarters 6 bushels of wheat by piece-work 4 shilling 4pence, at 2.5pence a heaped quarter.</t>
        </is>
      </c>
    </row>
    <row r="45">
      <c r="A45" t="inlineStr">
        <is>
          <t>Threshing of corn</t>
        </is>
      </c>
      <c r="B45" t="n">
        <v>0</v>
      </c>
      <c r="C45" t="n">
        <v>4</v>
      </c>
      <c r="D45" t="n">
        <v>4</v>
      </c>
      <c r="F45" s="72" t="n">
        <v>0.22</v>
      </c>
      <c r="H45" t="inlineStr">
        <is>
          <t>Total, 4 shilling 4pence</t>
        </is>
      </c>
    </row>
    <row r="46">
      <c r="A46" t="inlineStr">
        <is>
          <t>Threshing of corn</t>
        </is>
      </c>
      <c r="F46" s="72" t="n">
        <v>0.22</v>
      </c>
      <c r="G46" s="129" t="n">
        <v>0</v>
      </c>
      <c r="H46" t="inlineStr">
        <is>
          <t>Total</t>
        </is>
      </c>
    </row>
    <row r="47"/>
    <row r="48">
      <c r="A48" t="inlineStr">
        <is>
          <t>Cost of the harvest</t>
        </is>
      </c>
      <c r="B48" t="n">
        <v>0</v>
      </c>
      <c r="C48" t="n">
        <v>0</v>
      </c>
      <c r="D48" t="n">
        <v>6</v>
      </c>
      <c r="F48" s="72" t="n">
        <v>0.03</v>
      </c>
      <c r="H48" t="inlineStr">
        <is>
          <t>In customary payment for the mowing of 17 acres of meadow at Corfe 6pence.</t>
        </is>
      </c>
    </row>
    <row r="49">
      <c r="A49" t="inlineStr">
        <is>
          <t>Cost of the harvest</t>
        </is>
      </c>
      <c r="B49" t="n">
        <v>0</v>
      </c>
      <c r="C49" t="n">
        <v>0</v>
      </c>
      <c r="D49" t="n">
        <v>5</v>
      </c>
      <c r="F49" s="72" t="n">
        <v>0.02</v>
      </c>
      <c r="H49" t="inlineStr">
        <is>
          <t>mowing 1 acre of meadow which belonged to the Prior of Taunton there 5pence.</t>
        </is>
      </c>
    </row>
    <row r="50">
      <c r="A50" t="inlineStr">
        <is>
          <t>Cost of the harvest</t>
        </is>
      </c>
      <c r="B50" t="n">
        <v>0</v>
      </c>
      <c r="C50" t="n">
        <v>0</v>
      </c>
      <c r="D50" t="n">
        <v>6</v>
      </c>
      <c r="F50" s="72" t="n">
        <v>0.03</v>
      </c>
      <c r="H50" t="inlineStr">
        <is>
          <t>customary payment for the mowing of 13 acres of meadow at Poundisford 6pence.</t>
        </is>
      </c>
    </row>
    <row r="51">
      <c r="A51" t="inlineStr">
        <is>
          <t>Cost of the harvest</t>
        </is>
      </c>
      <c r="B51" t="n">
        <v>0</v>
      </c>
      <c r="C51" t="n">
        <v>0</v>
      </c>
      <c r="D51" t="n">
        <v>5</v>
      </c>
      <c r="F51" s="72" t="n">
        <v>0.02</v>
      </c>
      <c r="H51" t="inlineStr">
        <is>
          <t>customary payment for the boon-reaping at Corfe 5pence.</t>
        </is>
      </c>
    </row>
    <row r="52">
      <c r="A52" t="inlineStr">
        <is>
          <t>Cost of the harvest</t>
        </is>
      </c>
      <c r="B52" t="n">
        <v>0</v>
      </c>
      <c r="C52" t="n">
        <v>0</v>
      </c>
      <c r="D52" t="n">
        <v>9</v>
      </c>
      <c r="F52" s="72" t="n">
        <v>0.04</v>
      </c>
      <c r="H52" t="inlineStr">
        <is>
          <t>customary payment for the boon-reaping at Poundisford 9pence.</t>
        </is>
      </c>
    </row>
    <row r="53">
      <c r="A53" t="inlineStr">
        <is>
          <t>Cost of the harvest</t>
        </is>
      </c>
      <c r="B53" t="n">
        <v>0</v>
      </c>
      <c r="C53" t="n">
        <v>0</v>
      </c>
      <c r="D53" t="n">
        <v>6</v>
      </c>
      <c r="F53" s="72">
        <f>B53+C53/20+D53/240</f>
        <v/>
      </c>
      <c r="H53" t="inlineStr">
        <is>
          <t>covering one haycock 6pence</t>
        </is>
      </c>
    </row>
    <row r="54">
      <c r="A54" t="inlineStr">
        <is>
          <t>Cost of the harvest</t>
        </is>
      </c>
      <c r="B54" t="n">
        <v>0</v>
      </c>
      <c r="C54" t="n">
        <v>3</v>
      </c>
      <c r="D54" t="n">
        <v>1</v>
      </c>
      <c r="F54" s="72">
        <f>B54+C54/20+D54/240</f>
        <v/>
      </c>
      <c r="H54" t="inlineStr">
        <is>
          <t xml:space="preserve"> Total, 3 shilling 1pence</t>
        </is>
      </c>
    </row>
    <row r="55">
      <c r="A55" t="inlineStr">
        <is>
          <t>Cost of the harvest</t>
        </is>
      </c>
      <c r="F55" s="72">
        <f>SUM(F48:F53)</f>
        <v/>
      </c>
      <c r="G55" s="129">
        <f>F55-F54</f>
        <v/>
      </c>
      <c r="H55" t="inlineStr">
        <is>
          <t>Total</t>
        </is>
      </c>
    </row>
    <row r="56"/>
    <row r="57">
      <c r="A57" t="inlineStr">
        <is>
          <t>Total of all expenses</t>
        </is>
      </c>
      <c r="B57" t="n">
        <v>17</v>
      </c>
      <c r="C57" t="n">
        <v>2</v>
      </c>
      <c r="D57" t="n">
        <v>11.25</v>
      </c>
      <c r="F57" s="72" t="n">
        <v>17.15</v>
      </c>
      <c r="H57" t="inlineStr">
        <is>
          <t>Total of all expenses, £17 2 shilling 11.25pence</t>
        </is>
      </c>
    </row>
    <row r="58">
      <c r="A58" t="inlineStr">
        <is>
          <t>Total of all expenses</t>
        </is>
      </c>
      <c r="F58" s="72" t="n">
        <v>17.15</v>
      </c>
      <c r="G58" s="129">
        <f>F58-F57</f>
        <v/>
      </c>
      <c r="H58" t="inlineStr">
        <is>
          <t>Total</t>
        </is>
      </c>
    </row>
    <row r="59"/>
    <row r="60">
      <c r="A60" t="inlineStr">
        <is>
          <t>Cash deliveries</t>
        </is>
      </c>
      <c r="B60" t="n">
        <v>99</v>
      </c>
      <c r="C60" t="n">
        <v>13</v>
      </c>
      <c r="D60" t="n">
        <v>10.25</v>
      </c>
      <c r="F60" s="72" t="n">
        <v>99.69</v>
      </c>
      <c r="H60" t="inlineStr">
        <is>
          <t>Delivered to Walter de Buddelye, reeve of Taunton, £99 13 shilling 10.25pence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12"/>
  <sheetViews>
    <sheetView topLeftCell="A1" workbookViewId="0">
      <selection activeCell="A1" sqref="A1"/>
    </sheetView>
  </sheetViews>
  <sheetFormatPr baseColWidth="8" defaultRowHeight="15"/>
  <cols>
    <col width="30" customWidth="1" min="1" max="1"/>
    <col width="12.1640625" customWidth="1" min="2" max="2"/>
    <col width="12.83203125" customWidth="1" min="3" max="3"/>
    <col width="14.33203125" customWidth="1" min="4" max="4"/>
    <col width="13.5" customWidth="1" min="5" max="5"/>
    <col width="15.83203125" customWidth="1" min="6" max="6"/>
    <col width="26.5" customWidth="1" min="7" max="7"/>
    <col width="18.33203125" customWidth="1" min="8" max="8"/>
    <col width="18.5" customWidth="1" min="9" max="9"/>
    <col width="18.83203125" customWidth="1" min="10" max="10"/>
    <col width="8.1640625" customWidth="1" min="14" max="14"/>
    <col width="18.83203125" customWidth="1" min="15" max="15"/>
  </cols>
  <sheetData>
    <row r="1" ht="32" customHeight="1">
      <c r="A1" s="37" t="inlineStr">
        <is>
          <t>Gross Output</t>
        </is>
      </c>
      <c r="B1" s="37" t="inlineStr">
        <is>
          <t>Total Quantity</t>
        </is>
      </c>
      <c r="C1" s="130" t="inlineStr">
        <is>
          <t>Account Total Quarters</t>
        </is>
      </c>
      <c r="D1" s="130" t="inlineStr">
        <is>
          <t>Bought in Total Quarters</t>
        </is>
      </c>
      <c r="E1" s="130" t="inlineStr">
        <is>
          <t>Received from churchscot</t>
        </is>
      </c>
      <c r="F1" s="37" t="inlineStr">
        <is>
          <t>Sold Total Quarters</t>
        </is>
      </c>
      <c r="G1" s="130" t="inlineStr">
        <is>
          <t>Difference Produced+Bought-Sold</t>
        </is>
      </c>
      <c r="H1" s="130" t="inlineStr">
        <is>
          <t>Weighted Average Price per Quarter</t>
        </is>
      </c>
      <c r="I1" s="131" t="inlineStr">
        <is>
          <t>Value of Total Production weighted</t>
        </is>
      </c>
    </row>
    <row r="2">
      <c r="A2" t="inlineStr">
        <is>
          <t>wheat</t>
        </is>
      </c>
      <c r="B2" t="n">
        <v>83.0625</v>
      </c>
      <c r="C2" t="n">
        <v>83.0625</v>
      </c>
      <c r="D2" t="n">
        <v>0</v>
      </c>
      <c r="F2" t="n">
        <v>46.5</v>
      </c>
      <c r="G2">
        <f>B2-F2</f>
        <v/>
      </c>
      <c r="H2" s="72" t="n">
        <v>0.3400985663082437</v>
      </c>
      <c r="I2" s="72">
        <f>H2*B2</f>
        <v/>
      </c>
    </row>
    <row r="3">
      <c r="A3" t="inlineStr">
        <is>
          <t>oats</t>
        </is>
      </c>
      <c r="B3" t="n">
        <v>202.75</v>
      </c>
      <c r="C3" t="n">
        <v>127.75</v>
      </c>
      <c r="D3" t="n">
        <v>75</v>
      </c>
      <c r="F3" t="n">
        <v>154</v>
      </c>
      <c r="G3">
        <f>B3-F3</f>
        <v/>
      </c>
      <c r="H3" s="72" t="n">
        <v>0.08750000000000001</v>
      </c>
      <c r="I3" s="72">
        <f>H3*B3</f>
        <v/>
      </c>
    </row>
    <row r="4"/>
    <row r="5">
      <c r="A5" s="132" t="inlineStr">
        <is>
          <t>Total Production</t>
        </is>
      </c>
    </row>
    <row r="6">
      <c r="A6" s="132" t="inlineStr">
        <is>
          <t>Sales of corn (as recorded in accounts)</t>
        </is>
      </c>
    </row>
    <row r="7"/>
    <row r="8" ht="32" customHeight="1">
      <c r="A8" s="38" t="inlineStr">
        <is>
          <t>Net output</t>
        </is>
      </c>
      <c r="B8" s="133" t="inlineStr">
        <is>
          <t>Gross output</t>
        </is>
      </c>
      <c r="C8" s="134" t="inlineStr">
        <is>
          <t>Seed quarters</t>
        </is>
      </c>
      <c r="D8" s="134" t="inlineStr">
        <is>
          <t>Seed bushels</t>
        </is>
      </c>
      <c r="E8" s="134" t="inlineStr">
        <is>
          <t>Seed total quarters</t>
        </is>
      </c>
      <c r="F8" s="38" t="inlineStr">
        <is>
          <t>tithe quarters</t>
        </is>
      </c>
      <c r="G8" s="134" t="inlineStr">
        <is>
          <t>tithe bushels</t>
        </is>
      </c>
      <c r="H8" s="134" t="inlineStr">
        <is>
          <t>tithe total</t>
        </is>
      </c>
      <c r="I8" s="134" t="inlineStr">
        <is>
          <t>manorial servants quarters</t>
        </is>
      </c>
      <c r="J8" s="134" t="inlineStr">
        <is>
          <t>manorial servants bushels</t>
        </is>
      </c>
      <c r="K8" s="135" t="inlineStr">
        <is>
          <t>manorial servants total quarters</t>
        </is>
      </c>
      <c r="L8" s="134" t="inlineStr">
        <is>
          <t>output net of tithe, seed, liveries</t>
        </is>
      </c>
      <c r="M8" s="134" t="inlineStr">
        <is>
          <t>in stock from last year</t>
        </is>
      </c>
      <c r="N8" s="136" t="inlineStr">
        <is>
          <t>Price in £</t>
        </is>
      </c>
      <c r="O8" s="136" t="inlineStr">
        <is>
          <t>Value of net output in £</t>
        </is>
      </c>
      <c r="P8" s="133" t="inlineStr">
        <is>
          <t>Value of sales (in "Sale of Corn") in £</t>
        </is>
      </c>
    </row>
    <row r="9">
      <c r="A9" t="inlineStr">
        <is>
          <t>wheat</t>
        </is>
      </c>
      <c r="B9">
        <f>B2</f>
        <v/>
      </c>
      <c r="C9" t="n">
        <v>26</v>
      </c>
      <c r="D9" t="n">
        <v>2</v>
      </c>
      <c r="E9">
        <f>C9+D9/8</f>
        <v/>
      </c>
      <c r="I9">
        <f>4+6</f>
        <v/>
      </c>
      <c r="J9" t="n">
        <v>2.5</v>
      </c>
      <c r="K9" s="137">
        <f>I9+J9/8</f>
        <v/>
      </c>
      <c r="L9">
        <f>B9-E9-H9-K9</f>
        <v/>
      </c>
      <c r="N9" s="72">
        <f>H2</f>
        <v/>
      </c>
      <c r="O9" s="72">
        <f>N9*L9</f>
        <v/>
      </c>
    </row>
    <row r="10">
      <c r="A10" t="inlineStr">
        <is>
          <t>oats</t>
        </is>
      </c>
      <c r="B10">
        <f>B3</f>
        <v/>
      </c>
      <c r="C10" t="n">
        <v>48</v>
      </c>
      <c r="D10" t="n">
        <v>6</v>
      </c>
      <c r="E10">
        <f>C10+D10/8</f>
        <v/>
      </c>
      <c r="K10" s="137">
        <f>I10+J10/8</f>
        <v/>
      </c>
      <c r="L10">
        <f>B10-E10-H10-K10</f>
        <v/>
      </c>
      <c r="N10" s="72">
        <f>H3</f>
        <v/>
      </c>
      <c r="O10" s="72">
        <f>N10*L10</f>
        <v/>
      </c>
    </row>
    <row r="11">
      <c r="K11" s="137" t="n"/>
    </row>
    <row r="12">
      <c r="A12" s="42" t="inlineStr">
        <is>
          <t>Total</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U130"/>
  <sheetViews>
    <sheetView topLeftCell="A1" workbookViewId="0">
      <selection activeCell="A1" sqref="A1"/>
    </sheetView>
  </sheetViews>
  <sheetFormatPr baseColWidth="8" defaultRowHeight="15"/>
  <cols>
    <col width="44.33203125" customWidth="1" min="1" max="1"/>
    <col width="19" customWidth="1" min="10" max="10"/>
    <col width="14.5" customWidth="1" min="11" max="11"/>
    <col width="14.1640625" customWidth="1" min="14" max="14"/>
    <col width="8.83203125" customWidth="1" min="15" max="15"/>
    <col width="16" customWidth="1" min="16" max="16"/>
    <col width="19.1640625" customWidth="1" min="17" max="17"/>
    <col width="19.1640625" customWidth="1" min="19" max="19"/>
    <col width="17.5" customWidth="1" min="20" max="20"/>
  </cols>
  <sheetData>
    <row r="1" ht="16" customHeight="1">
      <c r="A1" s="12" t="inlineStr">
        <is>
          <t>POUNDISFORD STOCK ACCOUNT</t>
        </is>
      </c>
      <c r="B1" s="37" t="n"/>
      <c r="C1" s="37" t="n"/>
      <c r="D1" s="37" t="n"/>
      <c r="E1" s="37" t="n"/>
      <c r="F1" s="37" t="n"/>
      <c r="G1" s="37" t="n"/>
      <c r="H1" s="37" t="n"/>
      <c r="I1" s="37" t="n"/>
    </row>
    <row r="2" ht="16" customHeight="1">
      <c r="A2" s="12" t="n"/>
    </row>
    <row r="3">
      <c r="A3" s="44" t="n"/>
      <c r="B3" s="44" t="n"/>
      <c r="C3" s="125" t="inlineStr">
        <is>
          <t>added</t>
        </is>
      </c>
      <c r="G3" s="126" t="inlineStr">
        <is>
          <t>subtracted</t>
        </is>
      </c>
      <c r="K3" s="44" t="n"/>
      <c r="L3" s="44" t="n"/>
      <c r="M3" s="44" t="n"/>
      <c r="N3" s="44" t="n"/>
      <c r="O3" s="73" t="n"/>
      <c r="P3" s="73" t="n"/>
      <c r="Q3" s="44" t="n"/>
      <c r="R3" s="44" t="n"/>
      <c r="S3" s="44" t="n"/>
      <c r="T3" s="44" t="n"/>
    </row>
    <row r="4" ht="34"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138"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ht="16" customHeight="1">
      <c r="A5" s="44" t="inlineStr">
        <is>
          <t>Cart-horses</t>
        </is>
      </c>
      <c r="B5" t="n">
        <v>1</v>
      </c>
      <c r="K5" t="n">
        <v>1</v>
      </c>
      <c r="L5">
        <f>B5+C5+D5+E5+F5-G5-H5-I5-J5</f>
        <v/>
      </c>
    </row>
    <row r="6" ht="16" customHeight="1">
      <c r="A6" s="44" t="inlineStr">
        <is>
          <t>Mares</t>
        </is>
      </c>
      <c r="L6">
        <f>B6+C6+D6+E6+F6-G6-H6-I6-J6</f>
        <v/>
      </c>
    </row>
    <row r="7">
      <c r="A7" t="inlineStr">
        <is>
          <t>Plough horses</t>
        </is>
      </c>
      <c r="L7">
        <f>B7+C7+D7+E7+F7-G7-H7-I7-J7</f>
        <v/>
      </c>
    </row>
    <row r="8">
      <c r="A8" t="inlineStr">
        <is>
          <t>Colts (unspecified years)</t>
        </is>
      </c>
      <c r="B8" t="n">
        <v>2</v>
      </c>
      <c r="K8" t="n">
        <v>2</v>
      </c>
      <c r="L8">
        <f>B8+C8+D8+E8+F8-G8-H8-I8-J8</f>
        <v/>
      </c>
    </row>
    <row r="9">
      <c r="A9" t="inlineStr">
        <is>
          <t>Colts (2 years)</t>
        </is>
      </c>
    </row>
    <row r="10">
      <c r="A10" t="inlineStr">
        <is>
          <t>Colts (1 year)</t>
        </is>
      </c>
    </row>
    <row r="11">
      <c r="A11" t="inlineStr">
        <is>
          <t>Foals</t>
        </is>
      </c>
    </row>
    <row r="12">
      <c r="A12" t="inlineStr">
        <is>
          <t>Oxen</t>
        </is>
      </c>
      <c r="B12" t="n">
        <v>44</v>
      </c>
      <c r="C12">
        <f>3+1</f>
        <v/>
      </c>
      <c r="H12" t="n">
        <v>5</v>
      </c>
      <c r="I12" t="n">
        <v>2</v>
      </c>
      <c r="K12" t="n">
        <v>41</v>
      </c>
      <c r="L12">
        <f>B12+C12+D12+E12+F12-G12-H12-I12-J12</f>
        <v/>
      </c>
      <c r="O12" s="72">
        <f>R12/H12</f>
        <v/>
      </c>
      <c r="R12" s="72">
        <f>Receipts!F33</f>
        <v/>
      </c>
    </row>
    <row r="13">
      <c r="A13" t="inlineStr">
        <is>
          <t>Bulls</t>
        </is>
      </c>
      <c r="B13" t="n">
        <v>3</v>
      </c>
      <c r="K13" t="n">
        <v>3</v>
      </c>
      <c r="L13">
        <f>B13+C13+D13+E13+F13-G13-H13-I13-J13</f>
        <v/>
      </c>
    </row>
    <row r="14">
      <c r="A14" t="inlineStr">
        <is>
          <t>Cows</t>
        </is>
      </c>
      <c r="B14" t="n">
        <v>47</v>
      </c>
      <c r="C14">
        <f>3+1+1+3+1+1+2</f>
        <v/>
      </c>
      <c r="H14" t="n">
        <v>13</v>
      </c>
      <c r="I14">
        <f>2+1</f>
        <v/>
      </c>
      <c r="K14" t="n">
        <v>43</v>
      </c>
      <c r="L14">
        <f>B14+C14+D14+E14+F14-G14-H14-I14-J14</f>
        <v/>
      </c>
      <c r="O14" s="72">
        <f>R14/H14</f>
        <v/>
      </c>
      <c r="R14" s="72">
        <f>Receipts!F34</f>
        <v/>
      </c>
    </row>
    <row r="15">
      <c r="A15" t="inlineStr">
        <is>
          <t>Steers</t>
        </is>
      </c>
      <c r="B15" t="n">
        <v>10</v>
      </c>
      <c r="H15" t="n">
        <v>1</v>
      </c>
      <c r="I15" t="n">
        <v>3</v>
      </c>
      <c r="J15">
        <f>3+3</f>
        <v/>
      </c>
      <c r="K15" t="n">
        <v>0</v>
      </c>
      <c r="L15">
        <f>B15+C15+D15+E15+F15-G15-H15-I15-J15</f>
        <v/>
      </c>
      <c r="O15" s="72">
        <f>R15/H15</f>
        <v/>
      </c>
      <c r="R15" s="72">
        <f>Receipts!F36</f>
        <v/>
      </c>
    </row>
    <row r="16">
      <c r="A16" t="inlineStr">
        <is>
          <t>Bullocks</t>
        </is>
      </c>
      <c r="B16" t="n">
        <v>16</v>
      </c>
      <c r="K16" t="n">
        <v>16</v>
      </c>
      <c r="L16">
        <f>B16+C16+D16+E16+F16-G16-H16-I16-J16</f>
        <v/>
      </c>
    </row>
    <row r="17">
      <c r="A17" t="inlineStr">
        <is>
          <t>Yearlings</t>
        </is>
      </c>
      <c r="B17" t="n">
        <v>8</v>
      </c>
      <c r="I17" t="n">
        <v>1</v>
      </c>
      <c r="K17" t="n">
        <v>7</v>
      </c>
      <c r="L17">
        <f>B17+C17+D17+E17+F17-G17-H17-I17-J17</f>
        <v/>
      </c>
    </row>
    <row r="18">
      <c r="A18" t="inlineStr">
        <is>
          <t>Calves</t>
        </is>
      </c>
      <c r="B18" t="n">
        <v>35</v>
      </c>
      <c r="H18" t="n">
        <v>22</v>
      </c>
      <c r="J18" t="n">
        <v>3</v>
      </c>
      <c r="K18" t="n">
        <v>10</v>
      </c>
      <c r="L18">
        <f>B18+C18+D18+E18+F18-G18-H18-I18-J18</f>
        <v/>
      </c>
      <c r="O18" s="72">
        <f>R18/H18</f>
        <v/>
      </c>
      <c r="R18" s="72">
        <f>Receipts!F37</f>
        <v/>
      </c>
    </row>
    <row r="19">
      <c r="A19" t="inlineStr">
        <is>
          <t>Wethers</t>
        </is>
      </c>
      <c r="C19" t="n">
        <v>1</v>
      </c>
      <c r="J19" t="n">
        <v>1</v>
      </c>
      <c r="K19" t="n">
        <v>0</v>
      </c>
      <c r="L19">
        <f>B19+C19+D19+E19+F19-G19-H19-I19-J19</f>
        <v/>
      </c>
    </row>
    <row r="20">
      <c r="A20" t="inlineStr">
        <is>
          <t>Rams</t>
        </is>
      </c>
    </row>
    <row r="21">
      <c r="A21" t="inlineStr">
        <is>
          <t>Ewes</t>
        </is>
      </c>
    </row>
    <row r="22">
      <c r="A22" t="inlineStr">
        <is>
          <t>Hoggs</t>
        </is>
      </c>
    </row>
    <row r="23">
      <c r="A23" t="inlineStr">
        <is>
          <t>Lambs</t>
        </is>
      </c>
    </row>
    <row r="24">
      <c r="A24" t="inlineStr">
        <is>
          <t>Boars</t>
        </is>
      </c>
    </row>
    <row r="25">
      <c r="A25" t="inlineStr">
        <is>
          <t>Sows</t>
        </is>
      </c>
    </row>
    <row r="26">
      <c r="A26" t="inlineStr">
        <is>
          <t>Pigs</t>
        </is>
      </c>
      <c r="B26" t="n">
        <v>82</v>
      </c>
      <c r="C26" t="n">
        <v>40</v>
      </c>
      <c r="H26" t="n">
        <v>69</v>
      </c>
      <c r="K26" t="n">
        <v>53</v>
      </c>
      <c r="L26">
        <f>B26+C26+D26+E26+F26-G26-H26-I26-J26</f>
        <v/>
      </c>
      <c r="O26" s="72">
        <f>R26/H26</f>
        <v/>
      </c>
      <c r="R26" s="72">
        <f>Receipts!F38</f>
        <v/>
      </c>
    </row>
    <row r="27">
      <c r="A27" t="inlineStr">
        <is>
          <t>Hoggets</t>
        </is>
      </c>
      <c r="B27" t="n">
        <v>46</v>
      </c>
      <c r="I27" t="n">
        <v>6</v>
      </c>
      <c r="J27" t="n">
        <v>40</v>
      </c>
      <c r="K27" t="n">
        <v>0</v>
      </c>
      <c r="L27">
        <f>B27+C27+D27+E27+F27-G27-H27-I27-J27</f>
        <v/>
      </c>
    </row>
    <row r="28">
      <c r="A28" t="inlineStr">
        <is>
          <t>Piglets</t>
        </is>
      </c>
      <c r="C28">
        <f>18+22+18</f>
        <v/>
      </c>
      <c r="I28">
        <f>5</f>
        <v/>
      </c>
      <c r="J28" t="n">
        <v>5</v>
      </c>
      <c r="K28" t="n">
        <v>48</v>
      </c>
      <c r="L28">
        <f>B28+C28+D28+E28+F28-G28-H28-I28-J28</f>
        <v/>
      </c>
    </row>
    <row r="29">
      <c r="A29" t="inlineStr">
        <is>
          <t>Swans</t>
        </is>
      </c>
    </row>
    <row r="30">
      <c r="A30" t="inlineStr">
        <is>
          <t>Peacocks</t>
        </is>
      </c>
    </row>
    <row r="31" ht="16" customHeight="1">
      <c r="A31" s="67" t="inlineStr">
        <is>
          <t>Total Value</t>
        </is>
      </c>
      <c r="O31" s="139" t="n"/>
      <c r="R31" s="39">
        <f>SUM(R6:R30)</f>
        <v/>
      </c>
    </row>
    <row r="32"/>
    <row r="33"/>
    <row r="34" ht="17" customHeight="1">
      <c r="A34" s="66" t="inlineStr">
        <is>
          <t>Wool</t>
        </is>
      </c>
    </row>
    <row r="35">
      <c r="A35" t="inlineStr">
        <is>
          <t>Coarse wool</t>
        </is>
      </c>
    </row>
    <row r="36">
      <c r="A36" t="inlineStr">
        <is>
          <t>Lamb's wool</t>
        </is>
      </c>
    </row>
    <row r="37">
      <c r="A37" t="inlineStr">
        <is>
          <t>Wool locks</t>
        </is>
      </c>
    </row>
    <row r="38">
      <c r="A38" t="inlineStr">
        <is>
          <t>Wool sold at shearing</t>
        </is>
      </c>
    </row>
    <row r="39" ht="16" customHeight="1">
      <c r="A39" s="67" t="inlineStr">
        <is>
          <t>Total wool</t>
        </is>
      </c>
      <c r="O39" s="139" t="n"/>
    </row>
    <row r="40"/>
    <row r="41"/>
    <row r="42" ht="17" customHeight="1">
      <c r="A42" s="66" t="inlineStr">
        <is>
          <t>Hides</t>
        </is>
      </c>
    </row>
    <row r="43">
      <c r="A43" t="inlineStr">
        <is>
          <t>Ox hides</t>
        </is>
      </c>
      <c r="C43" t="n">
        <v>2</v>
      </c>
      <c r="H43" t="n">
        <v>2</v>
      </c>
      <c r="O43" s="72">
        <f>R43/H43</f>
        <v/>
      </c>
      <c r="R43" s="72">
        <f>Receipts!F39</f>
        <v/>
      </c>
    </row>
    <row r="44">
      <c r="A44" t="inlineStr">
        <is>
          <t>cow</t>
        </is>
      </c>
      <c r="C44" t="n">
        <v>3</v>
      </c>
      <c r="H44" t="n">
        <v>3</v>
      </c>
      <c r="O44" s="72">
        <f>R44/H44</f>
        <v/>
      </c>
      <c r="R44" s="72">
        <f>Receipts!F40+Receipts!F41+Receipts!F42</f>
        <v/>
      </c>
    </row>
    <row r="45">
      <c r="A45" t="inlineStr">
        <is>
          <t>Mare</t>
        </is>
      </c>
    </row>
    <row r="46">
      <c r="A46" t="inlineStr">
        <is>
          <t>Steer</t>
        </is>
      </c>
      <c r="C46" t="n">
        <v>3</v>
      </c>
      <c r="H46" t="n">
        <v>3</v>
      </c>
      <c r="O46" s="72">
        <f>R46/H46</f>
        <v/>
      </c>
      <c r="R46" s="72">
        <f>Receipts!F43</f>
        <v/>
      </c>
    </row>
    <row r="47">
      <c r="A47" t="inlineStr">
        <is>
          <t>yearling</t>
        </is>
      </c>
      <c r="C47" t="n">
        <v>1</v>
      </c>
      <c r="H47" t="n">
        <v>1</v>
      </c>
      <c r="O47" s="72">
        <f>R47/H47</f>
        <v/>
      </c>
      <c r="R47" s="72">
        <f>Receipts!F44</f>
        <v/>
      </c>
    </row>
    <row r="48">
      <c r="A48" t="inlineStr">
        <is>
          <t>calves</t>
        </is>
      </c>
    </row>
    <row r="49">
      <c r="A49" s="68" t="inlineStr">
        <is>
          <t>pigs</t>
        </is>
      </c>
    </row>
    <row r="50">
      <c r="A50" t="inlineStr">
        <is>
          <t>Woolskins</t>
        </is>
      </c>
    </row>
    <row r="51">
      <c r="A51" s="28" t="inlineStr">
        <is>
          <t>wethers</t>
        </is>
      </c>
    </row>
    <row r="52">
      <c r="A52" s="28" t="inlineStr">
        <is>
          <t>rams</t>
        </is>
      </c>
    </row>
    <row r="53">
      <c r="A53" s="28" t="inlineStr">
        <is>
          <t>ewes</t>
        </is>
      </c>
    </row>
    <row r="54">
      <c r="A54" s="28" t="inlineStr">
        <is>
          <t>hoggs</t>
        </is>
      </c>
    </row>
    <row r="55">
      <c r="A55" s="69" t="inlineStr">
        <is>
          <t>Woolskins</t>
        </is>
      </c>
    </row>
    <row r="56">
      <c r="A56" s="43" t="inlineStr">
        <is>
          <t>Bareskins</t>
        </is>
      </c>
    </row>
    <row r="57">
      <c r="A57" s="28" t="inlineStr">
        <is>
          <t>wethers</t>
        </is>
      </c>
    </row>
    <row r="58">
      <c r="A58" s="28" t="inlineStr">
        <is>
          <t>rams</t>
        </is>
      </c>
    </row>
    <row r="59">
      <c r="A59" s="28" t="inlineStr">
        <is>
          <t>ewes</t>
        </is>
      </c>
    </row>
    <row r="60">
      <c r="A60" s="28" t="inlineStr">
        <is>
          <t>hoggs</t>
        </is>
      </c>
    </row>
    <row r="61">
      <c r="A61" s="69" t="inlineStr">
        <is>
          <t>Bareskins (total)</t>
        </is>
      </c>
    </row>
    <row r="62">
      <c r="A62" t="inlineStr">
        <is>
          <t xml:space="preserve">Lambskins </t>
        </is>
      </c>
    </row>
    <row r="63">
      <c r="A63" t="inlineStr">
        <is>
          <t>Rotted skins</t>
        </is>
      </c>
    </row>
    <row r="64">
      <c r="A64" t="inlineStr">
        <is>
          <t>Shorn skins</t>
        </is>
      </c>
    </row>
    <row r="65">
      <c r="A65" s="39" t="inlineStr">
        <is>
          <t xml:space="preserve">Total </t>
        </is>
      </c>
      <c r="O65" s="139" t="n"/>
      <c r="R65" s="139">
        <f>SUM(R43:R64)</f>
        <v/>
      </c>
    </row>
    <row r="66"/>
    <row r="67"/>
    <row r="68" ht="17" customHeight="1">
      <c r="A68" s="66" t="inlineStr">
        <is>
          <t>Poultry stock</t>
        </is>
      </c>
    </row>
    <row r="69" ht="16" customHeight="1">
      <c r="A69" s="44" t="inlineStr">
        <is>
          <t>Hens</t>
        </is>
      </c>
    </row>
    <row r="70">
      <c r="A70" t="inlineStr">
        <is>
          <t>Geese</t>
        </is>
      </c>
    </row>
    <row r="71">
      <c r="A71" t="inlineStr">
        <is>
          <t>Capons (from chickens)</t>
        </is>
      </c>
    </row>
    <row r="72">
      <c r="A72" t="inlineStr">
        <is>
          <t>Cocks &amp; hens</t>
        </is>
      </c>
    </row>
    <row r="73">
      <c r="A73" s="70" t="inlineStr">
        <is>
          <t>Total poultry stock</t>
        </is>
      </c>
    </row>
    <row r="74">
      <c r="A74" s="71" t="inlineStr">
        <is>
          <t>Total poultry excluding churchscot</t>
        </is>
      </c>
    </row>
    <row r="75"/>
    <row r="76" ht="16" customHeight="1">
      <c r="A76" s="12" t="inlineStr">
        <is>
          <t>Poultry production</t>
        </is>
      </c>
    </row>
    <row r="77">
      <c r="A77" t="inlineStr">
        <is>
          <t>Eggs</t>
        </is>
      </c>
    </row>
    <row r="78">
      <c r="A78" t="inlineStr">
        <is>
          <t>Cocks &amp; hens from churchscot of customary tenants</t>
        </is>
      </c>
    </row>
    <row r="79">
      <c r="A79" t="inlineStr">
        <is>
          <t>Sum of above</t>
        </is>
      </c>
    </row>
    <row r="80">
      <c r="A80" s="70" t="inlineStr">
        <is>
          <t>Total</t>
        </is>
      </c>
    </row>
    <row r="81"/>
    <row r="82"/>
    <row r="83" ht="16" customHeight="1">
      <c r="A83" s="12" t="inlineStr">
        <is>
          <t>Meat</t>
        </is>
      </c>
    </row>
    <row r="84">
      <c r="A84" t="inlineStr">
        <is>
          <t>Beef</t>
        </is>
      </c>
    </row>
    <row r="85">
      <c r="A85" t="inlineStr">
        <is>
          <t>Mutton</t>
        </is>
      </c>
    </row>
    <row r="86">
      <c r="A86" t="inlineStr">
        <is>
          <t>Pork</t>
        </is>
      </c>
    </row>
    <row r="87" ht="16" customHeight="1">
      <c r="A87" s="57" t="inlineStr">
        <is>
          <t xml:space="preserve">Total </t>
        </is>
      </c>
    </row>
    <row r="88"/>
    <row r="89" ht="16" customHeight="1">
      <c r="A89" s="12" t="inlineStr">
        <is>
          <t>Cheese</t>
        </is>
      </c>
    </row>
    <row r="90">
      <c r="A90" t="inlineStr">
        <is>
          <t>Winter cheese</t>
        </is>
      </c>
    </row>
    <row r="91">
      <c r="A91" t="inlineStr">
        <is>
          <t>Summer cheese</t>
        </is>
      </c>
    </row>
    <row r="92" ht="16" customHeight="1">
      <c r="A92" s="57" t="inlineStr">
        <is>
          <t>Total</t>
        </is>
      </c>
    </row>
    <row r="93"/>
    <row r="94" ht="16" customHeight="1">
      <c r="A94" s="12" t="inlineStr">
        <is>
          <t>Butter</t>
        </is>
      </c>
    </row>
    <row r="95">
      <c r="A95" t="inlineStr">
        <is>
          <t>Butter</t>
        </is>
      </c>
    </row>
    <row r="96" ht="16" customHeight="1">
      <c r="A96" s="57" t="inlineStr">
        <is>
          <t>Total</t>
        </is>
      </c>
    </row>
    <row r="97" ht="16" customHeight="1">
      <c r="A97" s="13" t="n"/>
    </row>
    <row r="98" ht="16" customHeight="1">
      <c r="A98" s="57" t="inlineStr">
        <is>
          <t>Total Dairy Sales</t>
        </is>
      </c>
    </row>
    <row r="99"/>
    <row r="100"/>
    <row r="101" ht="16" customHeight="1">
      <c r="A101" s="12" t="inlineStr">
        <is>
          <t>Cider</t>
        </is>
      </c>
    </row>
    <row r="102"/>
    <row r="103"/>
    <row r="104" ht="16" customHeight="1">
      <c r="A104" s="13" t="inlineStr">
        <is>
          <t>Additional Information (not necessarily useful)</t>
        </is>
      </c>
    </row>
    <row r="105" ht="16" customHeight="1">
      <c r="A105" s="12" t="inlineStr">
        <is>
          <t>Utensils</t>
        </is>
      </c>
    </row>
    <row r="106">
      <c r="A106" t="inlineStr">
        <is>
          <t>ploughs</t>
        </is>
      </c>
    </row>
    <row r="107">
      <c r="A107" t="inlineStr">
        <is>
          <t>carts</t>
        </is>
      </c>
    </row>
    <row r="108">
      <c r="A108" t="inlineStr">
        <is>
          <t>cart-ropes</t>
        </is>
      </c>
    </row>
    <row r="109">
      <c r="A109" t="inlineStr">
        <is>
          <t>corn baskets</t>
        </is>
      </c>
    </row>
    <row r="110">
      <c r="A110" t="inlineStr">
        <is>
          <t>seed-sacks</t>
        </is>
      </c>
    </row>
    <row r="111">
      <c r="A111" t="inlineStr">
        <is>
          <t>seed basket</t>
        </is>
      </c>
    </row>
    <row r="112">
      <c r="A112" t="inlineStr">
        <is>
          <t>locks for the doors</t>
        </is>
      </c>
    </row>
    <row r="113">
      <c r="A113" t="inlineStr">
        <is>
          <t>lead vessel</t>
        </is>
      </c>
    </row>
    <row r="114">
      <c r="A114" t="inlineStr">
        <is>
          <t>brass pots</t>
        </is>
      </c>
    </row>
    <row r="115">
      <c r="A115" t="inlineStr">
        <is>
          <t>pans</t>
        </is>
      </c>
    </row>
    <row r="116">
      <c r="A116" t="inlineStr">
        <is>
          <t>tripods</t>
        </is>
      </c>
    </row>
    <row r="117">
      <c r="A117" t="inlineStr">
        <is>
          <t>mortar</t>
        </is>
      </c>
    </row>
    <row r="118">
      <c r="A118" t="inlineStr">
        <is>
          <t>axe</t>
        </is>
      </c>
    </row>
    <row r="119">
      <c r="A119" t="inlineStr">
        <is>
          <t>casks</t>
        </is>
      </c>
    </row>
    <row r="120">
      <c r="A120" t="inlineStr">
        <is>
          <t>tubs</t>
        </is>
      </c>
    </row>
    <row r="121">
      <c r="A121" t="inlineStr">
        <is>
          <t>troughs</t>
        </is>
      </c>
    </row>
    <row r="122">
      <c r="A122" t="inlineStr">
        <is>
          <t>bucket</t>
        </is>
      </c>
    </row>
    <row r="123">
      <c r="A123" t="inlineStr">
        <is>
          <t>cheese basket</t>
        </is>
      </c>
    </row>
    <row r="124">
      <c r="A124" t="inlineStr">
        <is>
          <t>tables</t>
        </is>
      </c>
    </row>
    <row r="125">
      <c r="A125" t="inlineStr">
        <is>
          <t>table with trestles</t>
        </is>
      </c>
    </row>
    <row r="126">
      <c r="A126" t="inlineStr">
        <is>
          <t>benches</t>
        </is>
      </c>
    </row>
    <row r="127">
      <c r="A127" t="inlineStr">
        <is>
          <t>ewer with a basin</t>
        </is>
      </c>
    </row>
    <row r="128">
      <c r="A128" t="inlineStr">
        <is>
          <t>ladders</t>
        </is>
      </c>
    </row>
    <row r="129">
      <c r="A129" t="inlineStr">
        <is>
          <t>cloth</t>
        </is>
      </c>
    </row>
    <row r="130">
      <c r="A130"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AH274"/>
  <sheetViews>
    <sheetView topLeftCell="A1" workbookViewId="0">
      <selection activeCell="A1" sqref="A1"/>
    </sheetView>
  </sheetViews>
  <sheetFormatPr baseColWidth="8" defaultRowHeight="15"/>
  <cols>
    <col width="30.83203125" customWidth="1" min="1" max="1"/>
  </cols>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shilling a quarter 1</t>
        </is>
      </c>
      <c r="T1" s="1" t="inlineStr">
        <is>
          <t>pence a quarter 1</t>
        </is>
      </c>
      <c r="U1" s="1" t="inlineStr">
        <is>
          <t>shilling a quarter 2</t>
        </is>
      </c>
      <c r="V1" s="1" t="inlineStr">
        <is>
          <t>pence a quarter 2</t>
        </is>
      </c>
      <c r="W1" s="1" t="inlineStr">
        <is>
          <t>shilling a quarter 3</t>
        </is>
      </c>
      <c r="X1" s="1" t="inlineStr">
        <is>
          <t>pence a quarter 3</t>
        </is>
      </c>
      <c r="Y1" s="1" t="inlineStr">
        <is>
          <t>shilling a quarter 4</t>
        </is>
      </c>
      <c r="Z1" s="1" t="inlineStr">
        <is>
          <t>pence a quarter 4</t>
        </is>
      </c>
      <c r="AA1" s="1" t="inlineStr">
        <is>
          <t>shilling a bushel 1</t>
        </is>
      </c>
      <c r="AB1" s="1" t="inlineStr">
        <is>
          <t>pence a bushel 1</t>
        </is>
      </c>
      <c r="AC1" s="1" t="inlineStr">
        <is>
          <t>shilling a bushel 2</t>
        </is>
      </c>
      <c r="AD1" s="1" t="inlineStr">
        <is>
          <t>pence a bushel 2</t>
        </is>
      </c>
      <c r="AE1" s="1" t="inlineStr">
        <is>
          <t>shilling a bushel 3</t>
        </is>
      </c>
      <c r="AF1" s="1" t="inlineStr">
        <is>
          <t>pence a bushel 3</t>
        </is>
      </c>
      <c r="AG1" s="1" t="inlineStr">
        <is>
          <t>shilling a bushel 4</t>
        </is>
      </c>
      <c r="AH1" s="1" t="inlineStr">
        <is>
          <t>pence a bushel 4</t>
        </is>
      </c>
    </row>
    <row r="2">
      <c r="A2" t="inlineStr">
        <is>
          <t>Rents</t>
        </is>
      </c>
      <c r="B2" t="inlineStr">
        <is>
          <t>The same renders account for £38 13 shilling 3.25pence for rents of assize at Christmas, Easter (22 April), the Nativity of the blessed John the Baptist (24 June), and Michaelmas (29 September), in equal portions.</t>
        </is>
      </c>
      <c r="C2" t="n">
        <v>38.66</v>
      </c>
      <c r="D2" t="n">
        <v>38</v>
      </c>
      <c r="E2" t="n">
        <v>13</v>
      </c>
      <c r="F2" t="n">
        <v>3.25</v>
      </c>
      <c r="H2" t="n">
        <v>0</v>
      </c>
      <c r="I2" t="n">
        <v>0</v>
      </c>
      <c r="J2" t="n">
        <v>0</v>
      </c>
      <c r="K2" t="n">
        <v>0</v>
      </c>
      <c r="L2" t="n">
        <v>0</v>
      </c>
      <c r="M2" t="n">
        <v>0</v>
      </c>
      <c r="N2" t="n">
        <v>0</v>
      </c>
    </row>
    <row r="3">
      <c r="A3" t="inlineStr">
        <is>
          <t>Rents</t>
        </is>
      </c>
      <c r="B3" t="inlineStr">
        <is>
          <t>Total, £38 13 shilling 3.25pence</t>
        </is>
      </c>
      <c r="C3" t="n">
        <v>38.66</v>
      </c>
      <c r="D3" t="n">
        <v>38</v>
      </c>
      <c r="E3" t="n">
        <v>13</v>
      </c>
      <c r="F3" t="n">
        <v>3.25</v>
      </c>
      <c r="H3" t="n">
        <v>0</v>
      </c>
      <c r="I3" t="n">
        <v>0</v>
      </c>
      <c r="J3" t="n">
        <v>0</v>
      </c>
      <c r="K3" t="n">
        <v>0</v>
      </c>
      <c r="L3" t="n">
        <v>0</v>
      </c>
      <c r="M3" t="n">
        <v>0</v>
      </c>
      <c r="N3" t="n">
        <v>0</v>
      </c>
    </row>
    <row r="4">
      <c r="A4" t="inlineStr">
        <is>
          <t>Quittances</t>
        </is>
      </c>
      <c r="B4" t="inlineStr">
        <is>
          <t>In quittance of one ploughman at Corfe for the year and six workers working 2 days a week for three terms of the year and everyday at harvest-time except Saturday 14 shilling, or 2 shilling each.</t>
        </is>
      </c>
      <c r="C4" t="n">
        <v>0.7</v>
      </c>
      <c r="D4" t="n">
        <v>0</v>
      </c>
      <c r="E4" t="n">
        <v>14</v>
      </c>
      <c r="F4" t="n">
        <v>0</v>
      </c>
      <c r="H4" t="n">
        <v>0</v>
      </c>
      <c r="I4" t="n">
        <v>0</v>
      </c>
      <c r="J4" t="n">
        <v>0</v>
      </c>
      <c r="K4" t="n">
        <v>0</v>
      </c>
      <c r="L4" t="n">
        <v>0</v>
      </c>
      <c r="M4" t="n">
        <v>0</v>
      </c>
      <c r="N4" t="n">
        <v>0</v>
      </c>
    </row>
    <row r="5">
      <c r="A5" t="inlineStr">
        <is>
          <t>Quittances</t>
        </is>
      </c>
      <c r="B5" t="inlineStr">
        <is>
          <t>1 ploughman and 1 worker working for' year as above 2 shilling.</t>
        </is>
      </c>
      <c r="C5" t="n">
        <v>0.1</v>
      </c>
      <c r="D5" t="n">
        <v>0</v>
      </c>
      <c r="E5" t="n">
        <v>2</v>
      </c>
      <c r="F5" t="n">
        <v>0</v>
      </c>
      <c r="H5" t="n">
        <v>0</v>
      </c>
      <c r="I5" t="n">
        <v>0</v>
      </c>
      <c r="J5" t="n">
        <v>0</v>
      </c>
      <c r="K5" t="n">
        <v>0</v>
      </c>
      <c r="L5" t="n">
        <v>0</v>
      </c>
      <c r="M5" t="n">
        <v>0</v>
      </c>
      <c r="N5" t="n">
        <v>0</v>
      </c>
    </row>
    <row r="6">
      <c r="A6" t="inlineStr">
        <is>
          <t>Quittances</t>
        </is>
      </c>
      <c r="B6" t="inlineStr">
        <is>
          <t>1 worker working 1 day a week for 3 terms of the year and two days a week at harvest-time 1 shilling.</t>
        </is>
      </c>
      <c r="C6" t="n">
        <v>0.05</v>
      </c>
      <c r="D6" t="n">
        <v>0</v>
      </c>
      <c r="E6" t="n">
        <v>1</v>
      </c>
      <c r="F6" t="n">
        <v>0</v>
      </c>
      <c r="H6" t="n">
        <v>0</v>
      </c>
      <c r="I6" t="n">
        <v>0</v>
      </c>
      <c r="J6" t="n">
        <v>0</v>
      </c>
      <c r="K6" t="n">
        <v>0</v>
      </c>
      <c r="L6" t="n">
        <v>0</v>
      </c>
      <c r="M6" t="n">
        <v>0</v>
      </c>
      <c r="N6" t="n">
        <v>0</v>
      </c>
    </row>
    <row r="7">
      <c r="A7" t="inlineStr">
        <is>
          <t>Quittances</t>
        </is>
      </c>
      <c r="B7" t="inlineStr">
        <is>
          <t>2 ploughmen, 1 beadle and 4 workers at Poundisford working 2 days a week for 3 terms of the year and everyday at harvest-time except Saturday 8 shilling 9pence, or 1 shilling 3pence each.</t>
        </is>
      </c>
      <c r="C7" t="n">
        <v>0.44</v>
      </c>
      <c r="D7" t="n">
        <v>0</v>
      </c>
      <c r="E7" t="n">
        <v>8</v>
      </c>
      <c r="F7" t="n">
        <v>9</v>
      </c>
      <c r="H7" t="n">
        <v>0</v>
      </c>
      <c r="I7" t="n">
        <v>0</v>
      </c>
      <c r="J7" t="n">
        <v>0</v>
      </c>
      <c r="K7" t="n">
        <v>0</v>
      </c>
      <c r="L7" t="n">
        <v>0</v>
      </c>
      <c r="M7" t="n">
        <v>0</v>
      </c>
      <c r="N7" t="n">
        <v>0</v>
      </c>
    </row>
    <row r="8">
      <c r="A8" t="inlineStr">
        <is>
          <t>Quittances</t>
        </is>
      </c>
      <c r="B8" t="inlineStr">
        <is>
          <t>3 cottars working 1 day a week for 3 terms of the year and 3 days a week at harvest-time 1 shilling 10.5pence, or 7.5pence each.</t>
        </is>
      </c>
      <c r="C8" t="n">
        <v>0.09</v>
      </c>
      <c r="D8" t="n">
        <v>0</v>
      </c>
      <c r="E8" t="n">
        <v>1</v>
      </c>
      <c r="F8" t="n">
        <v>10.5</v>
      </c>
      <c r="H8" t="n">
        <v>0</v>
      </c>
      <c r="I8" t="n">
        <v>0</v>
      </c>
      <c r="J8" t="n">
        <v>0</v>
      </c>
      <c r="K8" t="n">
        <v>0</v>
      </c>
      <c r="L8" t="n">
        <v>0</v>
      </c>
      <c r="M8" t="n">
        <v>0</v>
      </c>
      <c r="N8" t="n">
        <v>0</v>
      </c>
    </row>
    <row r="9">
      <c r="A9" t="inlineStr">
        <is>
          <t>Quittances</t>
        </is>
      </c>
      <c r="B9" t="inlineStr">
        <is>
          <t>1 cottar working 1 day a week for 3 terms of the year and two days a week at harvest-time 3.25pence Total, £1 7 shilling 11.25pence</t>
        </is>
      </c>
      <c r="C9" t="n">
        <v>1.4</v>
      </c>
      <c r="D9" t="n">
        <v>1</v>
      </c>
      <c r="E9" t="n">
        <v>7</v>
      </c>
      <c r="F9" t="n">
        <v>11.25</v>
      </c>
      <c r="H9" t="n">
        <v>0</v>
      </c>
      <c r="I9" t="n">
        <v>0</v>
      </c>
      <c r="J9" t="n">
        <v>0</v>
      </c>
      <c r="K9" t="n">
        <v>0</v>
      </c>
      <c r="L9" t="n">
        <v>0</v>
      </c>
      <c r="M9" t="n">
        <v>0</v>
      </c>
      <c r="N9" t="n">
        <v>0</v>
      </c>
    </row>
    <row r="10">
      <c r="A10" t="inlineStr">
        <is>
          <t>Defaults of rent</t>
        </is>
      </c>
      <c r="B10" t="inlineStr">
        <is>
          <t>In default of the land drawn into the park, that is, 104 acres and one perch, which the Prior of Taunton, Adam Sydewyn', Richard Cadel, Aelnerius, Richard le Wastur, Ingolf, Walter Tottyng, German Molendinarius, Hugh de Clyve, William Faber, William Cnap, Richard Gore, Richard Suvenoke, William Cuttyng, Cngermins de Fuleford, Osbert de Amnyngeford, Roger Cherd', Robert Dun, Richard Brice, Roger Spyryng, William Frensh', Philip Spyryng, Roger Cherd, Stephen de Canesgrove, Robert Faber, Christina, widow of Roger de Annyngeford, and Adam de Annyngeford held, 15 shilling 9.5pence.</t>
        </is>
      </c>
      <c r="C10" t="n">
        <v>0.79</v>
      </c>
      <c r="D10" t="n">
        <v>0</v>
      </c>
      <c r="E10" t="n">
        <v>15</v>
      </c>
      <c r="F10" t="n">
        <v>9.5</v>
      </c>
      <c r="H10" t="n">
        <v>0</v>
      </c>
      <c r="I10" t="n">
        <v>0</v>
      </c>
      <c r="J10" t="n">
        <v>0</v>
      </c>
      <c r="K10" t="n">
        <v>0</v>
      </c>
      <c r="L10" t="n">
        <v>0</v>
      </c>
      <c r="M10" t="n">
        <v>0</v>
      </c>
      <c r="N10" t="n">
        <v>0</v>
      </c>
    </row>
    <row r="11">
      <c r="A11" t="inlineStr">
        <is>
          <t>Defaults of rent</t>
        </is>
      </c>
      <c r="B11" t="inlineStr">
        <is>
          <t>2 cottages (cotell') similarly drawn into the park 2 shilling 6pence.</t>
        </is>
      </c>
      <c r="C11" t="n">
        <v>0.12</v>
      </c>
      <c r="D11" t="n">
        <v>0</v>
      </c>
      <c r="E11" t="n">
        <v>2</v>
      </c>
      <c r="F11" t="n">
        <v>6</v>
      </c>
      <c r="H11" t="n">
        <v>0</v>
      </c>
      <c r="I11" t="n">
        <v>0</v>
      </c>
      <c r="J11" t="n">
        <v>0</v>
      </c>
      <c r="K11" t="n">
        <v>0</v>
      </c>
      <c r="L11" t="n">
        <v>0</v>
      </c>
      <c r="M11" t="n">
        <v>0</v>
      </c>
      <c r="N11" t="n">
        <v>0</v>
      </c>
    </row>
    <row r="12">
      <c r="A12" t="inlineStr">
        <is>
          <t>Defaults of rent</t>
        </is>
      </c>
      <c r="B12" t="inlineStr">
        <is>
          <t>the land of Adam de Dudeleston', that is, 9 acres, similarly drawn into demesne 1 shilling Total of defaults of rent, 19 shilling 3.5pence</t>
        </is>
      </c>
      <c r="C12" t="n">
        <v>0.06</v>
      </c>
      <c r="D12" t="n">
        <v>0</v>
      </c>
      <c r="E12" t="n">
        <v>1</v>
      </c>
      <c r="F12" t="n">
        <v>3.5</v>
      </c>
      <c r="H12" t="n">
        <v>0</v>
      </c>
      <c r="I12" t="n">
        <v>0</v>
      </c>
      <c r="J12" t="n">
        <v>0</v>
      </c>
      <c r="K12" t="n">
        <v>0</v>
      </c>
      <c r="L12" t="n">
        <v>0</v>
      </c>
      <c r="M12" t="n">
        <v>0</v>
      </c>
      <c r="N12" t="n">
        <v>0</v>
      </c>
    </row>
    <row r="13">
      <c r="A13" t="inlineStr">
        <is>
          <t>Defaults of rent</t>
        </is>
      </c>
      <c r="B13" t="inlineStr">
        <is>
          <t>Total of quittances and defaults of rent, £2 7 shilling 2.75pence</t>
        </is>
      </c>
      <c r="C13" t="n">
        <v>2.36</v>
      </c>
      <c r="D13" t="n">
        <v>2</v>
      </c>
      <c r="E13" t="n">
        <v>7</v>
      </c>
      <c r="F13" t="n">
        <v>2.75</v>
      </c>
      <c r="H13" t="n">
        <v>0</v>
      </c>
      <c r="I13" t="n">
        <v>0</v>
      </c>
      <c r="J13" t="n">
        <v>0</v>
      </c>
      <c r="K13" t="n">
        <v>0</v>
      </c>
      <c r="L13" t="n">
        <v>0</v>
      </c>
      <c r="M13" t="n">
        <v>0</v>
      </c>
      <c r="N13" t="n">
        <v>0</v>
      </c>
    </row>
    <row r="14">
      <c r="A14" t="inlineStr">
        <is>
          <t>Defaults of rent</t>
        </is>
      </c>
      <c r="B14" t="inlineStr">
        <is>
          <t>Total of rents remaining, £36 6 shilling 0.5pence</t>
        </is>
      </c>
      <c r="C14" t="n">
        <v>36.3</v>
      </c>
      <c r="D14" t="n">
        <v>36</v>
      </c>
      <c r="E14" t="n">
        <v>6</v>
      </c>
      <c r="F14" t="n">
        <v>0.5</v>
      </c>
      <c r="H14" t="n">
        <v>0</v>
      </c>
      <c r="I14" t="n">
        <v>0</v>
      </c>
      <c r="J14" t="n">
        <v>0</v>
      </c>
      <c r="K14" t="n">
        <v>0</v>
      </c>
      <c r="L14" t="n">
        <v>0</v>
      </c>
      <c r="M14" t="n">
        <v>0</v>
      </c>
      <c r="N14" t="n">
        <v>0</v>
      </c>
    </row>
    <row r="15">
      <c r="A15" t="inlineStr">
        <is>
          <t>Issues of the manor</t>
        </is>
      </c>
      <c r="B15" t="inlineStr">
        <is>
          <t>The same renders account for £1 16 shilling 9.5pence from pannage of pigs this year.</t>
        </is>
      </c>
      <c r="C15" t="n">
        <v>1.84</v>
      </c>
      <c r="D15" t="n">
        <v>1</v>
      </c>
      <c r="E15" t="n">
        <v>16</v>
      </c>
      <c r="F15" t="n">
        <v>9.5</v>
      </c>
      <c r="H15" t="n">
        <v>0</v>
      </c>
      <c r="I15" t="n">
        <v>0</v>
      </c>
      <c r="J15" t="n">
        <v>0</v>
      </c>
      <c r="K15" t="n">
        <v>0</v>
      </c>
      <c r="L15" t="n">
        <v>0</v>
      </c>
      <c r="M15" t="n">
        <v>0</v>
      </c>
      <c r="N15" t="n">
        <v>0</v>
      </c>
    </row>
    <row r="16">
      <c r="A16" t="inlineStr">
        <is>
          <t>Issues of the manor</t>
        </is>
      </c>
      <c r="B16" t="inlineStr">
        <is>
          <t>£1 3 shilling 10pence from hundredpenny.</t>
        </is>
      </c>
      <c r="C16" t="n">
        <v>1.19</v>
      </c>
      <c r="D16" t="n">
        <v>1</v>
      </c>
      <c r="E16" t="n">
        <v>3</v>
      </c>
      <c r="F16" t="n">
        <v>10</v>
      </c>
      <c r="H16" t="n">
        <v>0</v>
      </c>
      <c r="I16" t="n">
        <v>0</v>
      </c>
      <c r="J16" t="n">
        <v>0</v>
      </c>
      <c r="K16" t="n">
        <v>0</v>
      </c>
      <c r="L16" t="n">
        <v>0</v>
      </c>
      <c r="M16" t="n">
        <v>0</v>
      </c>
      <c r="N16" t="n">
        <v>0</v>
      </c>
    </row>
    <row r="17">
      <c r="A17" t="inlineStr">
        <is>
          <t>Issues of the manor</t>
        </is>
      </c>
      <c r="B17" t="inlineStr">
        <is>
          <t>12 shilling from the pasturage of Holemere and Rededon' sold in winter and summer.</t>
        </is>
      </c>
      <c r="C17" t="n">
        <v>0.6</v>
      </c>
      <c r="D17" t="n">
        <v>0</v>
      </c>
      <c r="E17" t="n">
        <v>12</v>
      </c>
      <c r="F17" t="n">
        <v>0</v>
      </c>
      <c r="H17" t="n">
        <v>0</v>
      </c>
      <c r="I17" t="n">
        <v>0</v>
      </c>
      <c r="J17" t="n">
        <v>0</v>
      </c>
      <c r="K17" t="n">
        <v>0</v>
      </c>
      <c r="L17" t="n">
        <v>0</v>
      </c>
      <c r="M17" t="n">
        <v>0</v>
      </c>
      <c r="N17" t="n">
        <v>0</v>
      </c>
    </row>
    <row r="18">
      <c r="A18" t="inlineStr">
        <is>
          <t>Issues of the manor</t>
        </is>
      </c>
      <c r="B18" t="inlineStr">
        <is>
          <t>nothing from the pasturage of Dyhfulrlong, Esterdon' and Westeredon' this year because they were sown with wheat.</t>
        </is>
      </c>
      <c r="C18" t="n">
        <v>0</v>
      </c>
      <c r="D18" t="n">
        <v>0</v>
      </c>
      <c r="E18" t="n">
        <v>0</v>
      </c>
      <c r="F18" t="n">
        <v>0</v>
      </c>
      <c r="G18" t="inlineStr">
        <is>
          <t>wheat</t>
        </is>
      </c>
      <c r="H18" t="n">
        <v>0</v>
      </c>
      <c r="I18" t="n">
        <v>0</v>
      </c>
      <c r="J18" t="n">
        <v>0</v>
      </c>
      <c r="K18" t="n">
        <v>0</v>
      </c>
      <c r="L18" t="n">
        <v>0</v>
      </c>
      <c r="M18" t="n">
        <v>0</v>
      </c>
      <c r="N18" t="n">
        <v>0</v>
      </c>
    </row>
    <row r="19">
      <c r="A19" t="inlineStr">
        <is>
          <t>Issues of the manor</t>
        </is>
      </c>
      <c r="B19" t="inlineStr">
        <is>
          <t>3 shilling from the pasturage of Corfmor sold in winter.</t>
        </is>
      </c>
      <c r="C19" t="n">
        <v>0.15</v>
      </c>
      <c r="D19" t="n">
        <v>0</v>
      </c>
      <c r="E19" t="n">
        <v>3</v>
      </c>
      <c r="F19" t="n">
        <v>0</v>
      </c>
      <c r="H19" t="n">
        <v>0</v>
      </c>
      <c r="I19" t="n">
        <v>0</v>
      </c>
      <c r="J19" t="n">
        <v>0</v>
      </c>
      <c r="K19" t="n">
        <v>0</v>
      </c>
      <c r="L19" t="n">
        <v>0</v>
      </c>
      <c r="M19" t="n">
        <v>0</v>
      </c>
      <c r="N19" t="n">
        <v>0</v>
      </c>
    </row>
    <row r="20">
      <c r="A20" t="inlineStr">
        <is>
          <t>Issues of the manor</t>
        </is>
      </c>
      <c r="B20" t="inlineStr">
        <is>
          <t>nothing from the pasturage of Lakemed this year because it was pastured with the lord's livestock.</t>
        </is>
      </c>
      <c r="C20" t="n">
        <v>0</v>
      </c>
      <c r="D20" t="n">
        <v>0</v>
      </c>
      <c r="E20" t="n">
        <v>0</v>
      </c>
      <c r="F20" t="n">
        <v>0</v>
      </c>
      <c r="H20" t="n">
        <v>0</v>
      </c>
      <c r="I20" t="n">
        <v>0</v>
      </c>
      <c r="J20" t="n">
        <v>0</v>
      </c>
      <c r="K20" t="n">
        <v>0</v>
      </c>
      <c r="L20" t="n">
        <v>0</v>
      </c>
      <c r="M20" t="n">
        <v>0</v>
      </c>
      <c r="N20" t="n">
        <v>0</v>
      </c>
    </row>
    <row r="21">
      <c r="A21" t="inlineStr">
        <is>
          <t>Issues of the manor</t>
        </is>
      </c>
      <c r="B21" t="inlineStr">
        <is>
          <t>1 shilling 6pence from the pasturage of Fenalre and Fenhurst sold in winter.</t>
        </is>
      </c>
      <c r="C21" t="n">
        <v>0.08</v>
      </c>
      <c r="D21" t="n">
        <v>0</v>
      </c>
      <c r="E21" t="n">
        <v>1</v>
      </c>
      <c r="F21" t="n">
        <v>6</v>
      </c>
      <c r="H21" t="n">
        <v>0</v>
      </c>
      <c r="I21" t="n">
        <v>0</v>
      </c>
      <c r="J21" t="n">
        <v>0</v>
      </c>
      <c r="K21" t="n">
        <v>0</v>
      </c>
      <c r="L21" t="n">
        <v>0</v>
      </c>
      <c r="M21" t="n">
        <v>0</v>
      </c>
      <c r="N21" t="n">
        <v>0</v>
      </c>
    </row>
    <row r="22">
      <c r="A22" t="inlineStr">
        <is>
          <t>Issues of the manor</t>
        </is>
      </c>
      <c r="B22" t="inlineStr">
        <is>
          <t>£3 1 shilling from 5 oxen sold, at 12 shilling 3pence each for 4, and 12 shilling for one.</t>
        </is>
      </c>
      <c r="C22" t="n">
        <v>3.05</v>
      </c>
      <c r="D22" t="n">
        <v>3</v>
      </c>
      <c r="E22" t="n">
        <v>1</v>
      </c>
      <c r="F22" t="n">
        <v>0</v>
      </c>
      <c r="H22" t="n">
        <v>0</v>
      </c>
      <c r="I22" t="n">
        <v>0</v>
      </c>
      <c r="J22" t="n">
        <v>0</v>
      </c>
      <c r="K22" t="n">
        <v>0</v>
      </c>
      <c r="L22" t="n">
        <v>0</v>
      </c>
      <c r="M22" t="n">
        <v>0</v>
      </c>
      <c r="N22" t="n">
        <v>0</v>
      </c>
    </row>
    <row r="23">
      <c r="A23" t="inlineStr">
        <is>
          <t>Issues of the manor</t>
        </is>
      </c>
      <c r="B23" t="inlineStr">
        <is>
          <t>£3 18 shilling from 13 cows sold before breeding, at 6 shilling each.</t>
        </is>
      </c>
      <c r="C23" t="n">
        <v>3.9</v>
      </c>
      <c r="D23" t="n">
        <v>3</v>
      </c>
      <c r="E23" t="n">
        <v>18</v>
      </c>
      <c r="F23" t="n">
        <v>0</v>
      </c>
      <c r="H23" t="n">
        <v>0</v>
      </c>
      <c r="I23" t="n">
        <v>0</v>
      </c>
      <c r="J23" t="n">
        <v>0</v>
      </c>
      <c r="K23" t="n">
        <v>0</v>
      </c>
      <c r="L23" t="n">
        <v>0</v>
      </c>
      <c r="M23" t="n">
        <v>0</v>
      </c>
      <c r="N23" t="n">
        <v>0</v>
      </c>
    </row>
    <row r="24">
      <c r="A24" t="inlineStr">
        <is>
          <t>Issues of the manor</t>
        </is>
      </c>
      <c r="B24" t="inlineStr">
        <is>
          <t>2 shilling 6pence from the moiety of 1 cow from the heriot of Henry Abel sold.</t>
        </is>
      </c>
      <c r="C24" t="n">
        <v>0.12</v>
      </c>
      <c r="D24" t="n">
        <v>0</v>
      </c>
      <c r="E24" t="n">
        <v>2</v>
      </c>
      <c r="F24" t="n">
        <v>6</v>
      </c>
      <c r="H24" t="n">
        <v>0</v>
      </c>
      <c r="I24" t="n">
        <v>0</v>
      </c>
      <c r="J24" t="n">
        <v>0</v>
      </c>
      <c r="K24" t="n">
        <v>0</v>
      </c>
      <c r="L24" t="n">
        <v>0</v>
      </c>
      <c r="M24" t="n">
        <v>0</v>
      </c>
      <c r="N24" t="n">
        <v>0</v>
      </c>
    </row>
    <row r="25">
      <c r="A25" t="inlineStr">
        <is>
          <t>Issues of the manor</t>
        </is>
      </c>
      <c r="B25" t="inlineStr">
        <is>
          <t>4 shilling from 1 steer sold.</t>
        </is>
      </c>
      <c r="C25" t="n">
        <v>0.2</v>
      </c>
      <c r="D25" t="n">
        <v>0</v>
      </c>
      <c r="E25" t="n">
        <v>4</v>
      </c>
      <c r="F25" t="n">
        <v>0</v>
      </c>
      <c r="H25" t="n">
        <v>0</v>
      </c>
      <c r="I25" t="n">
        <v>0</v>
      </c>
      <c r="J25" t="n">
        <v>0</v>
      </c>
      <c r="K25" t="n">
        <v>0</v>
      </c>
      <c r="L25" t="n">
        <v>0</v>
      </c>
      <c r="M25" t="n">
        <v>0</v>
      </c>
      <c r="N25" t="n">
        <v>0</v>
      </c>
    </row>
    <row r="26">
      <c r="A26" t="inlineStr">
        <is>
          <t>Issues of the manor</t>
        </is>
      </c>
      <c r="B26" t="inlineStr">
        <is>
          <t>£1 2 shilling from 22 suckling calves sold, at 1 shilling each.</t>
        </is>
      </c>
      <c r="C26" t="n">
        <v>1.1</v>
      </c>
      <c r="D26" t="n">
        <v>1</v>
      </c>
      <c r="E26" t="n">
        <v>2</v>
      </c>
      <c r="F26" t="n">
        <v>0</v>
      </c>
      <c r="H26" t="n">
        <v>0</v>
      </c>
      <c r="I26" t="n">
        <v>0</v>
      </c>
      <c r="J26" t="n">
        <v>0</v>
      </c>
      <c r="K26" t="n">
        <v>0</v>
      </c>
      <c r="L26" t="n">
        <v>0</v>
      </c>
      <c r="M26" t="n">
        <v>0</v>
      </c>
      <c r="N26" t="n">
        <v>0</v>
      </c>
    </row>
    <row r="27">
      <c r="A27" t="inlineStr">
        <is>
          <t>Issues of the manor</t>
        </is>
      </c>
      <c r="B27" t="inlineStr">
        <is>
          <t>£11 9 shilling from 69 pigs sold, at 2 shilling each for 15, 2 shilling 6pence each for 10, 3 shilling 6pence each for 4, and 4 shilling each for 40.</t>
        </is>
      </c>
      <c r="C27" t="n">
        <v>11.45</v>
      </c>
      <c r="D27" t="n">
        <v>11</v>
      </c>
      <c r="E27" t="n">
        <v>9</v>
      </c>
      <c r="F27" t="n">
        <v>0</v>
      </c>
      <c r="H27" t="n">
        <v>0</v>
      </c>
      <c r="I27" t="n">
        <v>0</v>
      </c>
      <c r="J27" t="n">
        <v>0</v>
      </c>
      <c r="K27" t="n">
        <v>0</v>
      </c>
      <c r="L27" t="n">
        <v>0</v>
      </c>
      <c r="M27" t="n">
        <v>0</v>
      </c>
      <c r="N27" t="n">
        <v>0</v>
      </c>
    </row>
    <row r="28">
      <c r="A28" t="inlineStr">
        <is>
          <t>Issues of the manor</t>
        </is>
      </c>
      <c r="B28" t="inlineStr">
        <is>
          <t>4 shilling 9pence from the hides sold of two oxen dead from murrain soon after Christmas.</t>
        </is>
      </c>
      <c r="C28" t="n">
        <v>0.24</v>
      </c>
      <c r="D28" t="n">
        <v>0</v>
      </c>
      <c r="E28" t="n">
        <v>4</v>
      </c>
      <c r="F28" t="n">
        <v>9</v>
      </c>
      <c r="H28" t="n">
        <v>0</v>
      </c>
      <c r="I28" t="n">
        <v>0</v>
      </c>
      <c r="J28" t="n">
        <v>0</v>
      </c>
      <c r="K28" t="n">
        <v>0</v>
      </c>
      <c r="L28" t="n">
        <v>0</v>
      </c>
      <c r="M28" t="n">
        <v>0</v>
      </c>
      <c r="N28" t="n">
        <v>0</v>
      </c>
    </row>
    <row r="29">
      <c r="A29" t="inlineStr">
        <is>
          <t>Issues of the manor</t>
        </is>
      </c>
      <c r="B29" t="inlineStr">
        <is>
          <t>3 shilling 6pence from the hide and flesh sold of 1 cow dead from murrain before breeding.</t>
        </is>
      </c>
      <c r="C29" t="n">
        <v>0.17</v>
      </c>
      <c r="D29" t="n">
        <v>0</v>
      </c>
      <c r="E29" t="n">
        <v>3</v>
      </c>
      <c r="F29" t="n">
        <v>6</v>
      </c>
      <c r="H29" t="n">
        <v>0</v>
      </c>
      <c r="I29" t="n">
        <v>0</v>
      </c>
      <c r="J29" t="n">
        <v>0</v>
      </c>
      <c r="K29" t="n">
        <v>0</v>
      </c>
      <c r="L29" t="n">
        <v>0</v>
      </c>
      <c r="M29" t="n">
        <v>0</v>
      </c>
      <c r="N29" t="n">
        <v>0</v>
      </c>
    </row>
    <row r="30">
      <c r="A30" t="inlineStr">
        <is>
          <t>Issues of the manor</t>
        </is>
      </c>
      <c r="B30" t="inlineStr">
        <is>
          <t>1 shilling from the hide sold of 1 cow dead from murrain before breeding.</t>
        </is>
      </c>
      <c r="C30" t="n">
        <v>0.05</v>
      </c>
      <c r="D30" t="n">
        <v>0</v>
      </c>
      <c r="E30" t="n">
        <v>1</v>
      </c>
      <c r="F30" t="n">
        <v>0</v>
      </c>
      <c r="H30" t="n">
        <v>0</v>
      </c>
      <c r="I30" t="n">
        <v>0</v>
      </c>
      <c r="J30" t="n">
        <v>0</v>
      </c>
      <c r="K30" t="n">
        <v>0</v>
      </c>
      <c r="L30" t="n">
        <v>0</v>
      </c>
      <c r="M30" t="n">
        <v>0</v>
      </c>
      <c r="N30" t="n">
        <v>0</v>
      </c>
    </row>
    <row r="31">
      <c r="A31" t="inlineStr">
        <is>
          <t>Issues of the manor</t>
        </is>
      </c>
      <c r="B31" t="inlineStr">
        <is>
          <t>1 shilling 5pence from the hide sold of 1 cow dead from murrain after breeding.</t>
        </is>
      </c>
      <c r="C31" t="n">
        <v>0.07000000000000001</v>
      </c>
      <c r="D31" t="n">
        <v>0</v>
      </c>
      <c r="E31" t="n">
        <v>1</v>
      </c>
      <c r="F31" t="n">
        <v>5</v>
      </c>
      <c r="H31" t="n">
        <v>0</v>
      </c>
      <c r="I31" t="n">
        <v>0</v>
      </c>
      <c r="J31" t="n">
        <v>0</v>
      </c>
      <c r="K31" t="n">
        <v>0</v>
      </c>
      <c r="L31" t="n">
        <v>0</v>
      </c>
      <c r="M31" t="n">
        <v>0</v>
      </c>
      <c r="N31" t="n">
        <v>0</v>
      </c>
    </row>
    <row r="32">
      <c r="A32" t="inlineStr">
        <is>
          <t>Issues of the manor</t>
        </is>
      </c>
      <c r="B32" t="inlineStr">
        <is>
          <t>1 shilling 11pence from the hides sold of 2 steers dead from murrain.</t>
        </is>
      </c>
      <c r="C32" t="n">
        <v>0.1</v>
      </c>
      <c r="D32" t="n">
        <v>0</v>
      </c>
      <c r="E32" t="n">
        <v>1</v>
      </c>
      <c r="F32" t="n">
        <v>11</v>
      </c>
      <c r="H32" t="n">
        <v>0</v>
      </c>
      <c r="I32" t="n">
        <v>0</v>
      </c>
      <c r="J32" t="n">
        <v>0</v>
      </c>
      <c r="K32" t="n">
        <v>0</v>
      </c>
      <c r="L32" t="n">
        <v>0</v>
      </c>
      <c r="M32" t="n">
        <v>0</v>
      </c>
      <c r="N32" t="n">
        <v>0</v>
      </c>
    </row>
    <row r="33">
      <c r="A33" t="inlineStr">
        <is>
          <t>Issues of the manor</t>
        </is>
      </c>
      <c r="B33" t="inlineStr">
        <is>
          <t>1 shilling 1pence from the hide sold of 1 ox dead from murrain.</t>
        </is>
      </c>
      <c r="C33" t="n">
        <v>0.05</v>
      </c>
      <c r="D33" t="n">
        <v>0</v>
      </c>
      <c r="E33" t="n">
        <v>1</v>
      </c>
      <c r="F33" t="n">
        <v>1</v>
      </c>
      <c r="H33" t="n">
        <v>0</v>
      </c>
      <c r="I33" t="n">
        <v>0</v>
      </c>
      <c r="J33" t="n">
        <v>0</v>
      </c>
      <c r="K33" t="n">
        <v>0</v>
      </c>
      <c r="L33" t="n">
        <v>0</v>
      </c>
      <c r="M33" t="n">
        <v>0</v>
      </c>
      <c r="N33" t="n">
        <v>0</v>
      </c>
    </row>
    <row r="34">
      <c r="A34" t="inlineStr">
        <is>
          <t>Issues of the manor</t>
        </is>
      </c>
      <c r="B34" t="inlineStr">
        <is>
          <t>nothing from bark and loppings this year.</t>
        </is>
      </c>
      <c r="C34" t="n">
        <v>0</v>
      </c>
      <c r="D34" t="n">
        <v>0</v>
      </c>
      <c r="E34" t="n">
        <v>0</v>
      </c>
      <c r="F34" t="n">
        <v>0</v>
      </c>
      <c r="H34" t="n">
        <v>0</v>
      </c>
      <c r="I34" t="n">
        <v>0</v>
      </c>
      <c r="J34" t="n">
        <v>0</v>
      </c>
      <c r="K34" t="n">
        <v>0</v>
      </c>
      <c r="L34" t="n">
        <v>0</v>
      </c>
      <c r="M34" t="n">
        <v>0</v>
      </c>
      <c r="N34" t="n">
        <v>0</v>
      </c>
    </row>
    <row r="35">
      <c r="A35" t="inlineStr">
        <is>
          <t>Issues of the manor</t>
        </is>
      </c>
      <c r="B35" t="inlineStr">
        <is>
          <t>1 shilling 2pence from the residue of Peter's pence at Corfe.</t>
        </is>
      </c>
      <c r="C35" t="n">
        <v>0.06</v>
      </c>
      <c r="D35" t="n">
        <v>0</v>
      </c>
      <c r="E35" t="n">
        <v>1</v>
      </c>
      <c r="F35" t="n">
        <v>2</v>
      </c>
      <c r="H35" t="n">
        <v>0</v>
      </c>
      <c r="I35" t="n">
        <v>0</v>
      </c>
      <c r="J35" t="n">
        <v>0</v>
      </c>
      <c r="K35" t="n">
        <v>0</v>
      </c>
      <c r="L35" t="n">
        <v>0</v>
      </c>
      <c r="M35" t="n">
        <v>0</v>
      </c>
      <c r="N35" t="n">
        <v>0</v>
      </c>
    </row>
    <row r="36">
      <c r="A36" t="inlineStr">
        <is>
          <t>Issues of the manor</t>
        </is>
      </c>
      <c r="B36" t="inlineStr">
        <is>
          <t>£6 4 shilling 5.5pence from portions of labour services sold this year.</t>
        </is>
      </c>
      <c r="C36" t="n">
        <v>6.22</v>
      </c>
      <c r="D36" t="n">
        <v>6</v>
      </c>
      <c r="E36" t="n">
        <v>4</v>
      </c>
      <c r="F36" t="n">
        <v>5.5</v>
      </c>
      <c r="H36" t="n">
        <v>0</v>
      </c>
      <c r="I36" t="n">
        <v>0</v>
      </c>
      <c r="J36" t="n">
        <v>0</v>
      </c>
      <c r="K36" t="n">
        <v>0</v>
      </c>
      <c r="L36" t="n">
        <v>0</v>
      </c>
      <c r="M36" t="n">
        <v>0</v>
      </c>
      <c r="N36" t="n">
        <v>0</v>
      </c>
    </row>
    <row r="37">
      <c r="A37" t="inlineStr">
        <is>
          <t>Issues of the manor</t>
        </is>
      </c>
      <c r="B37" t="inlineStr">
        <is>
          <t>1 shilling 9pence from 3.5 lb of wax from recognizances sold, at 6pence a lb.</t>
        </is>
      </c>
      <c r="C37" t="n">
        <v>0.09</v>
      </c>
      <c r="D37" t="n">
        <v>0</v>
      </c>
      <c r="E37" t="n">
        <v>1</v>
      </c>
      <c r="F37" t="n">
        <v>9</v>
      </c>
      <c r="H37" t="n">
        <v>0</v>
      </c>
      <c r="I37" t="n">
        <v>0</v>
      </c>
      <c r="J37" t="n">
        <v>0</v>
      </c>
      <c r="K37" t="n">
        <v>0</v>
      </c>
      <c r="L37" t="n">
        <v>0</v>
      </c>
      <c r="M37" t="n">
        <v>0</v>
      </c>
      <c r="N37" t="n">
        <v>0</v>
      </c>
    </row>
    <row r="38">
      <c r="A38" t="inlineStr">
        <is>
          <t>Issues of the manor</t>
        </is>
      </c>
      <c r="B38" t="inlineStr">
        <is>
          <t>nothing from cheese and butter this year because the dairy is at Nailsbourne.</t>
        </is>
      </c>
      <c r="C38" t="n">
        <v>0</v>
      </c>
      <c r="D38" t="n">
        <v>0</v>
      </c>
      <c r="E38" t="n">
        <v>0</v>
      </c>
      <c r="F38" t="n">
        <v>0</v>
      </c>
      <c r="H38" t="n">
        <v>0</v>
      </c>
      <c r="I38" t="n">
        <v>0</v>
      </c>
      <c r="J38" t="n">
        <v>0</v>
      </c>
      <c r="K38" t="n">
        <v>0</v>
      </c>
      <c r="L38" t="n">
        <v>0</v>
      </c>
      <c r="M38" t="n">
        <v>0</v>
      </c>
      <c r="N38" t="n">
        <v>0</v>
      </c>
    </row>
    <row r="39">
      <c r="A39" t="inlineStr">
        <is>
          <t>Issues of the manor</t>
        </is>
      </c>
      <c r="B39" t="inlineStr">
        <is>
          <t>12 shilling 6pence from woodway.</t>
        </is>
      </c>
      <c r="C39" t="n">
        <v>0.62</v>
      </c>
      <c r="D39" t="n">
        <v>0</v>
      </c>
      <c r="E39" t="n">
        <v>12</v>
      </c>
      <c r="F39" t="n">
        <v>6</v>
      </c>
      <c r="H39" t="n">
        <v>0</v>
      </c>
      <c r="I39" t="n">
        <v>0</v>
      </c>
      <c r="J39" t="n">
        <v>0</v>
      </c>
      <c r="K39" t="n">
        <v>0</v>
      </c>
      <c r="L39" t="n">
        <v>0</v>
      </c>
      <c r="M39" t="n">
        <v>0</v>
      </c>
      <c r="N39" t="n">
        <v>0</v>
      </c>
    </row>
    <row r="40">
      <c r="A40" t="inlineStr">
        <is>
          <t>Issues of the manor</t>
        </is>
      </c>
      <c r="B40" t="inlineStr">
        <is>
          <t>6pence from the heriot of Edith la Webbe because she did not have 1 beast.</t>
        </is>
      </c>
      <c r="C40" t="n">
        <v>0.03</v>
      </c>
      <c r="D40" t="n">
        <v>0</v>
      </c>
      <c r="E40" t="n">
        <v>0</v>
      </c>
      <c r="F40" t="n">
        <v>6</v>
      </c>
      <c r="H40" t="n">
        <v>0</v>
      </c>
      <c r="I40" t="n">
        <v>0</v>
      </c>
      <c r="J40" t="n">
        <v>0</v>
      </c>
      <c r="K40" t="n">
        <v>0</v>
      </c>
      <c r="L40" t="n">
        <v>0</v>
      </c>
      <c r="M40" t="n">
        <v>0</v>
      </c>
      <c r="N40" t="n">
        <v>0</v>
      </c>
    </row>
    <row r="41">
      <c r="A41" t="inlineStr">
        <is>
          <t>Issues of the manor</t>
        </is>
      </c>
      <c r="B41" t="inlineStr">
        <is>
          <t>6 shilling from the moiety of 1 ox solpence Total, £31 13 shilling 8pence</t>
        </is>
      </c>
      <c r="C41" t="n">
        <v>31.68</v>
      </c>
      <c r="D41" t="n">
        <v>31</v>
      </c>
      <c r="E41" t="n">
        <v>13</v>
      </c>
      <c r="F41" t="n">
        <v>8</v>
      </c>
      <c r="H41" t="n">
        <v>0</v>
      </c>
      <c r="I41" t="n">
        <v>0</v>
      </c>
      <c r="J41" t="n">
        <v>0</v>
      </c>
      <c r="K41" t="n">
        <v>0</v>
      </c>
      <c r="L41" t="n">
        <v>0</v>
      </c>
      <c r="M41" t="n">
        <v>0</v>
      </c>
      <c r="N41" t="n">
        <v>0</v>
      </c>
    </row>
    <row r="42">
      <c r="A42" t="inlineStr">
        <is>
          <t>Sale of corn</t>
        </is>
      </c>
      <c r="B42" t="inlineStr">
        <is>
          <t>The same renders account for £15 16 shilling 3.5pence from 46.5 quarters of wheat sold, at 6 shilling 8pence a quarters for 8 quarters 6 bushels, and 6 shilling 10pence a quarters for 37 quarters 6 bushels sold to customary tenants.</t>
        </is>
      </c>
      <c r="C42" t="n">
        <v>15.81</v>
      </c>
      <c r="D42" t="n">
        <v>15</v>
      </c>
      <c r="E42" t="n">
        <v>16</v>
      </c>
      <c r="F42" t="n">
        <v>3.5</v>
      </c>
      <c r="G42" t="inlineStr">
        <is>
          <t>wheat</t>
        </is>
      </c>
      <c r="H42" t="n">
        <v>45</v>
      </c>
      <c r="I42" t="n">
        <v>12</v>
      </c>
      <c r="J42" t="n">
        <v>46.5</v>
      </c>
      <c r="K42" t="n">
        <v>46.5</v>
      </c>
      <c r="L42" t="n">
        <v>0</v>
      </c>
      <c r="M42" t="n">
        <v>46.5</v>
      </c>
      <c r="N42" t="n">
        <v>0</v>
      </c>
      <c r="O42" t="n">
        <v>8</v>
      </c>
      <c r="P42" t="n">
        <v>6</v>
      </c>
      <c r="Q42" t="n">
        <v>37</v>
      </c>
      <c r="R42" t="n">
        <v>6</v>
      </c>
      <c r="S42" t="n">
        <v>6</v>
      </c>
      <c r="T42" t="n">
        <v>8</v>
      </c>
      <c r="U42" t="n">
        <v>6</v>
      </c>
      <c r="V42" t="n">
        <v>10</v>
      </c>
    </row>
    <row r="43">
      <c r="A43" t="inlineStr">
        <is>
          <t>Sale of corn</t>
        </is>
      </c>
      <c r="B43" t="inlineStr">
        <is>
          <t>£13 9 shilling 6pence from 154 quarters of oats sold to customary tenants, at 1 shilling 9pence a quarters.</t>
        </is>
      </c>
      <c r="C43" t="n">
        <v>13.47</v>
      </c>
      <c r="D43" t="n">
        <v>13</v>
      </c>
      <c r="E43" t="n">
        <v>9</v>
      </c>
      <c r="F43" t="n">
        <v>6</v>
      </c>
      <c r="G43" t="inlineStr">
        <is>
          <t>oats</t>
        </is>
      </c>
      <c r="H43" t="n">
        <v>154</v>
      </c>
      <c r="I43" t="n">
        <v>0</v>
      </c>
      <c r="J43" t="n">
        <v>154</v>
      </c>
      <c r="K43" t="n">
        <v>154</v>
      </c>
      <c r="L43" t="n">
        <v>0</v>
      </c>
      <c r="M43" t="n">
        <v>154</v>
      </c>
      <c r="N43" t="n">
        <v>0</v>
      </c>
      <c r="S43" t="n">
        <v>1</v>
      </c>
      <c r="T43" t="n">
        <v>9</v>
      </c>
    </row>
    <row r="44">
      <c r="A44" t="inlineStr">
        <is>
          <t>Sale of corn</t>
        </is>
      </c>
      <c r="B44" t="inlineStr">
        <is>
          <t>Total, £29 5 shilling 9.5pence</t>
        </is>
      </c>
      <c r="C44" t="n">
        <v>29.29</v>
      </c>
      <c r="D44" t="n">
        <v>29</v>
      </c>
      <c r="E44" t="n">
        <v>5</v>
      </c>
      <c r="F44" t="n">
        <v>9.5</v>
      </c>
      <c r="H44" t="n">
        <v>0</v>
      </c>
      <c r="I44" t="n">
        <v>0</v>
      </c>
      <c r="J44" t="n">
        <v>0</v>
      </c>
      <c r="K44" t="n">
        <v>0</v>
      </c>
      <c r="L44" t="n">
        <v>0</v>
      </c>
      <c r="M44" t="n">
        <v>0</v>
      </c>
      <c r="N44" t="n">
        <v>0</v>
      </c>
    </row>
    <row r="45">
      <c r="A45" t="inlineStr">
        <is>
          <t>Entry and marriage fines</t>
        </is>
      </c>
      <c r="B45" t="inlineStr">
        <is>
          <t>The same renders account for £1 13 shilling 4pence from John Goddey to have Gunilda attare Balke with her land.</t>
        </is>
      </c>
      <c r="C45" t="n">
        <v>1.67</v>
      </c>
      <c r="D45" t="n">
        <v>1</v>
      </c>
      <c r="E45" t="n">
        <v>13</v>
      </c>
      <c r="F45" t="n">
        <v>4</v>
      </c>
      <c r="H45" t="n">
        <v>0</v>
      </c>
      <c r="I45" t="n">
        <v>0</v>
      </c>
      <c r="J45" t="n">
        <v>0</v>
      </c>
      <c r="K45" t="n">
        <v>0</v>
      </c>
      <c r="L45" t="n">
        <v>0</v>
      </c>
      <c r="M45" t="n">
        <v>0</v>
      </c>
      <c r="N45" t="n">
        <v>0</v>
      </c>
    </row>
    <row r="46">
      <c r="A46" t="inlineStr">
        <is>
          <t>Entry and marriage fines</t>
        </is>
      </c>
      <c r="B46" t="inlineStr">
        <is>
          <t>6 shilling 8pence from Gunilda, who was wife of Henry Abel, to retain 1 messuage and 5 acres of land which belonged to the aforesaid Henry her husband.</t>
        </is>
      </c>
      <c r="C46" t="n">
        <v>0.33</v>
      </c>
      <c r="D46" t="n">
        <v>0</v>
      </c>
      <c r="E46" t="n">
        <v>6</v>
      </c>
      <c r="F46" t="n">
        <v>8</v>
      </c>
      <c r="H46" t="n">
        <v>0</v>
      </c>
      <c r="I46" t="n">
        <v>0</v>
      </c>
      <c r="J46" t="n">
        <v>0</v>
      </c>
      <c r="K46" t="n">
        <v>0</v>
      </c>
      <c r="L46" t="n">
        <v>0</v>
      </c>
      <c r="M46" t="n">
        <v>0</v>
      </c>
      <c r="N46" t="n">
        <v>0</v>
      </c>
    </row>
    <row r="47">
      <c r="A47" t="inlineStr">
        <is>
          <t>Entry and marriage fines</t>
        </is>
      </c>
      <c r="B47" t="inlineStr">
        <is>
          <t>6 shilling 8pence from John, son of Walter de Fuleford, to have 1 house which belonged to Henry de Fuleford in South Trendle.</t>
        </is>
      </c>
      <c r="C47" t="n">
        <v>0.33</v>
      </c>
      <c r="D47" t="n">
        <v>0</v>
      </c>
      <c r="E47" t="n">
        <v>6</v>
      </c>
      <c r="F47" t="n">
        <v>8</v>
      </c>
      <c r="H47" t="n">
        <v>0</v>
      </c>
      <c r="I47" t="n">
        <v>0</v>
      </c>
      <c r="J47" t="n">
        <v>0</v>
      </c>
      <c r="K47" t="n">
        <v>0</v>
      </c>
      <c r="L47" t="n">
        <v>0</v>
      </c>
      <c r="M47" t="n">
        <v>0</v>
      </c>
      <c r="N47" t="n">
        <v>0</v>
      </c>
    </row>
    <row r="48">
      <c r="A48" t="inlineStr">
        <is>
          <t>Entry and marriage fines</t>
        </is>
      </c>
      <c r="B48" t="inlineStr">
        <is>
          <t>£1 6 shilling 8pence from Walter de Fuleford' to have 5 acres of land and 1 plot containing about 3 perches which belonged to the aforesaid Henry.</t>
        </is>
      </c>
      <c r="C48" t="n">
        <v>1.33</v>
      </c>
      <c r="D48" t="n">
        <v>1</v>
      </c>
      <c r="E48" t="n">
        <v>6</v>
      </c>
      <c r="F48" t="n">
        <v>8</v>
      </c>
      <c r="H48" t="n">
        <v>0</v>
      </c>
      <c r="I48" t="n">
        <v>0</v>
      </c>
      <c r="J48" t="n">
        <v>0</v>
      </c>
      <c r="K48" t="n">
        <v>0</v>
      </c>
      <c r="L48" t="n">
        <v>0</v>
      </c>
      <c r="M48" t="n">
        <v>0</v>
      </c>
      <c r="N48" t="n">
        <v>0</v>
      </c>
    </row>
    <row r="49">
      <c r="A49" t="inlineStr">
        <is>
          <t>Entry and marriage fines</t>
        </is>
      </c>
      <c r="B49" t="inlineStr">
        <is>
          <t>6 shilling 8pence from Walter Bach' to have half acre of meadow which belonged to Henry de Fuleford'.</t>
        </is>
      </c>
      <c r="C49" t="n">
        <v>0.33</v>
      </c>
      <c r="D49" t="n">
        <v>0</v>
      </c>
      <c r="E49" t="n">
        <v>6</v>
      </c>
      <c r="F49" t="n">
        <v>8</v>
      </c>
      <c r="H49" t="n">
        <v>0</v>
      </c>
      <c r="I49" t="n">
        <v>0</v>
      </c>
      <c r="J49" t="n">
        <v>0</v>
      </c>
      <c r="K49" t="n">
        <v>0</v>
      </c>
      <c r="L49" t="n">
        <v>0</v>
      </c>
      <c r="M49" t="n">
        <v>0</v>
      </c>
      <c r="N49" t="n">
        <v>0</v>
      </c>
    </row>
    <row r="50">
      <c r="A50" t="inlineStr">
        <is>
          <t>Entry and marriage fines</t>
        </is>
      </c>
      <c r="B50" t="inlineStr">
        <is>
          <t>1 shilling from Edmund Parcarius to have the moiety of 1 house which belonged to Adam le Whyttere in Poundisford.</t>
        </is>
      </c>
      <c r="C50" t="n">
        <v>0.05</v>
      </c>
      <c r="D50" t="n">
        <v>0</v>
      </c>
      <c r="E50" t="n">
        <v>1</v>
      </c>
      <c r="F50" t="n">
        <v>0</v>
      </c>
      <c r="H50" t="n">
        <v>0</v>
      </c>
      <c r="I50" t="n">
        <v>0</v>
      </c>
      <c r="J50" t="n">
        <v>0</v>
      </c>
      <c r="K50" t="n">
        <v>0</v>
      </c>
      <c r="L50" t="n">
        <v>0</v>
      </c>
      <c r="M50" t="n">
        <v>0</v>
      </c>
      <c r="N50" t="n">
        <v>0</v>
      </c>
    </row>
    <row r="51">
      <c r="A51" t="inlineStr">
        <is>
          <t>Entry and marriage fines</t>
        </is>
      </c>
      <c r="B51" t="inlineStr">
        <is>
          <t>4 shilling from Matilda, who was wife of Stephen le Hopere, to retain 1 messuage and 7 acres of land which belonged to the aforesaid Stephen her husband.</t>
        </is>
      </c>
      <c r="C51" t="n">
        <v>0.2</v>
      </c>
      <c r="D51" t="n">
        <v>0</v>
      </c>
      <c r="E51" t="n">
        <v>4</v>
      </c>
      <c r="F51" t="n">
        <v>0</v>
      </c>
      <c r="H51" t="n">
        <v>0</v>
      </c>
      <c r="I51" t="n">
        <v>0</v>
      </c>
      <c r="J51" t="n">
        <v>0</v>
      </c>
      <c r="K51" t="n">
        <v>0</v>
      </c>
      <c r="L51" t="n">
        <v>0</v>
      </c>
      <c r="M51" t="n">
        <v>0</v>
      </c>
      <c r="N51" t="n">
        <v>0</v>
      </c>
    </row>
    <row r="52">
      <c r="A52" t="inlineStr">
        <is>
          <t>Entry and marriage fines</t>
        </is>
      </c>
      <c r="B52" t="inlineStr">
        <is>
          <t>£6 from Roger Aylwyn' to have 1 messuage and' virgate by surrender of Alice his mother.</t>
        </is>
      </c>
      <c r="C52" t="n">
        <v>6</v>
      </c>
      <c r="D52" t="n">
        <v>6</v>
      </c>
      <c r="E52" t="n">
        <v>0</v>
      </c>
      <c r="F52" t="n">
        <v>0</v>
      </c>
      <c r="H52" t="n">
        <v>0</v>
      </c>
      <c r="I52" t="n">
        <v>0</v>
      </c>
      <c r="J52" t="n">
        <v>0</v>
      </c>
      <c r="K52" t="n">
        <v>0</v>
      </c>
      <c r="L52" t="n">
        <v>0</v>
      </c>
      <c r="M52" t="n">
        <v>0</v>
      </c>
      <c r="N52" t="n">
        <v>0</v>
      </c>
    </row>
    <row r="53">
      <c r="A53" t="inlineStr">
        <is>
          <t>Entry and marriage fines</t>
        </is>
      </c>
      <c r="B53" t="inlineStr">
        <is>
          <t>2 shilling from Hugh Dun to have one house in South Trendle by surrender of Geoffrey Pope.</t>
        </is>
      </c>
      <c r="C53" t="n">
        <v>0.1</v>
      </c>
      <c r="D53" t="n">
        <v>0</v>
      </c>
      <c r="E53" t="n">
        <v>2</v>
      </c>
      <c r="F53" t="n">
        <v>0</v>
      </c>
      <c r="H53" t="n">
        <v>0</v>
      </c>
      <c r="I53" t="n">
        <v>0</v>
      </c>
      <c r="J53" t="n">
        <v>0</v>
      </c>
      <c r="K53" t="n">
        <v>0</v>
      </c>
      <c r="L53" t="n">
        <v>0</v>
      </c>
      <c r="M53" t="n">
        <v>0</v>
      </c>
      <c r="N53" t="n">
        <v>0</v>
      </c>
    </row>
    <row r="54">
      <c r="A54" t="inlineStr">
        <is>
          <t>Entry and marriage fines</t>
        </is>
      </c>
      <c r="B54" t="inlineStr">
        <is>
          <t>£1 10 shilling from Stephen le Kyng to have 1 messuage and 1 ferling of land by surrender of Lucy his mother.</t>
        </is>
      </c>
      <c r="C54" t="n">
        <v>1.5</v>
      </c>
      <c r="D54" t="n">
        <v>1</v>
      </c>
      <c r="E54" t="n">
        <v>10</v>
      </c>
      <c r="F54" t="n">
        <v>0</v>
      </c>
      <c r="H54" t="n">
        <v>0</v>
      </c>
      <c r="I54" t="n">
        <v>0</v>
      </c>
      <c r="J54" t="n">
        <v>0</v>
      </c>
      <c r="K54" t="n">
        <v>0</v>
      </c>
      <c r="L54" t="n">
        <v>0</v>
      </c>
      <c r="M54" t="n">
        <v>0</v>
      </c>
      <c r="N54" t="n">
        <v>0</v>
      </c>
    </row>
    <row r="55">
      <c r="A55" t="inlineStr">
        <is>
          <t>Entry and marriage fines</t>
        </is>
      </c>
      <c r="B55" t="inlineStr">
        <is>
          <t>3 shilling from Richard de Canesgrove to have Agnes, who was wife of William Roberd, with her land.</t>
        </is>
      </c>
      <c r="C55" t="n">
        <v>0.15</v>
      </c>
      <c r="D55" t="n">
        <v>0</v>
      </c>
      <c r="E55" t="n">
        <v>3</v>
      </c>
      <c r="F55" t="n">
        <v>0</v>
      </c>
      <c r="H55" t="n">
        <v>0</v>
      </c>
      <c r="I55" t="n">
        <v>0</v>
      </c>
      <c r="J55" t="n">
        <v>0</v>
      </c>
      <c r="K55" t="n">
        <v>0</v>
      </c>
      <c r="L55" t="n">
        <v>0</v>
      </c>
      <c r="M55" t="n">
        <v>0</v>
      </c>
      <c r="N55" t="n">
        <v>0</v>
      </c>
    </row>
    <row r="56">
      <c r="A56" t="inlineStr">
        <is>
          <t>Entry and marriage fines</t>
        </is>
      </c>
      <c r="B56" t="inlineStr">
        <is>
          <t>4 shilling from John Sweyt to have 1 house in Canesgrove.</t>
        </is>
      </c>
      <c r="C56" t="n">
        <v>0.2</v>
      </c>
      <c r="D56" t="n">
        <v>0</v>
      </c>
      <c r="E56" t="n">
        <v>4</v>
      </c>
      <c r="F56" t="n">
        <v>0</v>
      </c>
      <c r="H56" t="n">
        <v>0</v>
      </c>
      <c r="I56" t="n">
        <v>0</v>
      </c>
      <c r="J56" t="n">
        <v>0</v>
      </c>
      <c r="K56" t="n">
        <v>0</v>
      </c>
      <c r="L56" t="n">
        <v>0</v>
      </c>
      <c r="M56" t="n">
        <v>0</v>
      </c>
      <c r="N56" t="n">
        <v>0</v>
      </c>
    </row>
    <row r="57">
      <c r="A57" t="inlineStr">
        <is>
          <t>Entry and marriage fines</t>
        </is>
      </c>
      <c r="B57" t="inlineStr">
        <is>
          <t>5 shilling from Hugh de Annyngeford to have 1 house in Annyngeford by surrender of William de Annyngeford.</t>
        </is>
      </c>
      <c r="C57" t="n">
        <v>0.25</v>
      </c>
      <c r="D57" t="n">
        <v>0</v>
      </c>
      <c r="E57" t="n">
        <v>5</v>
      </c>
      <c r="F57" t="n">
        <v>0</v>
      </c>
      <c r="H57" t="n">
        <v>0</v>
      </c>
      <c r="I57" t="n">
        <v>0</v>
      </c>
      <c r="J57" t="n">
        <v>0</v>
      </c>
      <c r="K57" t="n">
        <v>0</v>
      </c>
      <c r="L57" t="n">
        <v>0</v>
      </c>
      <c r="M57" t="n">
        <v>0</v>
      </c>
      <c r="N57" t="n">
        <v>0</v>
      </c>
    </row>
    <row r="58">
      <c r="A58" t="inlineStr">
        <is>
          <t>Entry and marriage fines</t>
        </is>
      </c>
      <c r="B58" t="inlineStr">
        <is>
          <t>6 shilling 8pence from Walter de Suvenok' for marrying Matilda his daughter outside.</t>
        </is>
      </c>
      <c r="C58" t="n">
        <v>0.33</v>
      </c>
      <c r="D58" t="n">
        <v>0</v>
      </c>
      <c r="E58" t="n">
        <v>6</v>
      </c>
      <c r="F58" t="n">
        <v>8</v>
      </c>
      <c r="H58" t="n">
        <v>0</v>
      </c>
      <c r="I58" t="n">
        <v>0</v>
      </c>
      <c r="J58" t="n">
        <v>0</v>
      </c>
      <c r="K58" t="n">
        <v>0</v>
      </c>
      <c r="L58" t="n">
        <v>0</v>
      </c>
      <c r="M58" t="n">
        <v>0</v>
      </c>
      <c r="N58" t="n">
        <v>0</v>
      </c>
    </row>
    <row r="59">
      <c r="A59" t="inlineStr">
        <is>
          <t>Entry and marriage fines</t>
        </is>
      </c>
      <c r="B59" t="inlineStr">
        <is>
          <t>2 shilling from Christina de Suvenok for marrying Christina her daughter within.</t>
        </is>
      </c>
      <c r="C59" t="n">
        <v>0.1</v>
      </c>
      <c r="D59" t="n">
        <v>0</v>
      </c>
      <c r="E59" t="n">
        <v>2</v>
      </c>
      <c r="F59" t="n">
        <v>0</v>
      </c>
      <c r="H59" t="n">
        <v>0</v>
      </c>
      <c r="I59" t="n">
        <v>0</v>
      </c>
      <c r="J59" t="n">
        <v>0</v>
      </c>
      <c r="K59" t="n">
        <v>0</v>
      </c>
      <c r="L59" t="n">
        <v>0</v>
      </c>
      <c r="M59" t="n">
        <v>0</v>
      </c>
      <c r="N59" t="n">
        <v>0</v>
      </c>
    </row>
    <row r="60">
      <c r="A60" t="inlineStr">
        <is>
          <t>Entry and marriage fines</t>
        </is>
      </c>
      <c r="B60" t="inlineStr">
        <is>
          <t>10 shilling from William Gulye to have the moiety of a certain house in South Trendle which came into the lord's hands for want of an heir.</t>
        </is>
      </c>
      <c r="C60" t="n">
        <v>0.5</v>
      </c>
      <c r="D60" t="n">
        <v>0</v>
      </c>
      <c r="E60" t="n">
        <v>10</v>
      </c>
      <c r="F60" t="n">
        <v>0</v>
      </c>
      <c r="H60" t="n">
        <v>0</v>
      </c>
      <c r="I60" t="n">
        <v>0</v>
      </c>
      <c r="J60" t="n">
        <v>0</v>
      </c>
      <c r="K60" t="n">
        <v>0</v>
      </c>
      <c r="L60" t="n">
        <v>0</v>
      </c>
      <c r="M60" t="n">
        <v>0</v>
      </c>
      <c r="N60" t="n">
        <v>0</v>
      </c>
    </row>
    <row r="61">
      <c r="A61" t="inlineStr">
        <is>
          <t>Entry and marriage fines</t>
        </is>
      </c>
      <c r="B61" t="inlineStr">
        <is>
          <t>1 shilling from John Gor' to have 1 day-work (daena) of land by surrender of John Hata.</t>
        </is>
      </c>
      <c r="C61" t="n">
        <v>0.05</v>
      </c>
      <c r="D61" t="n">
        <v>0</v>
      </c>
      <c r="E61" t="n">
        <v>1</v>
      </c>
      <c r="F61" t="n">
        <v>0</v>
      </c>
      <c r="H61" t="n">
        <v>0</v>
      </c>
      <c r="I61" t="n">
        <v>0</v>
      </c>
      <c r="J61" t="n">
        <v>0</v>
      </c>
      <c r="K61" t="n">
        <v>0</v>
      </c>
      <c r="L61" t="n">
        <v>0</v>
      </c>
      <c r="M61" t="n">
        <v>0</v>
      </c>
      <c r="N61" t="n">
        <v>0</v>
      </c>
    </row>
    <row r="62">
      <c r="A62" t="inlineStr">
        <is>
          <t>Entry and marriage fines</t>
        </is>
      </c>
      <c r="B62" t="inlineStr">
        <is>
          <t>5 shilling from Walter de Suvenok to have 5 acres of land by surrender of John le Archer.</t>
        </is>
      </c>
      <c r="C62" t="n">
        <v>0.25</v>
      </c>
      <c r="D62" t="n">
        <v>0</v>
      </c>
      <c r="E62" t="n">
        <v>5</v>
      </c>
      <c r="F62" t="n">
        <v>0</v>
      </c>
      <c r="H62" t="n">
        <v>0</v>
      </c>
      <c r="I62" t="n">
        <v>0</v>
      </c>
      <c r="J62" t="n">
        <v>0</v>
      </c>
      <c r="K62" t="n">
        <v>0</v>
      </c>
      <c r="L62" t="n">
        <v>0</v>
      </c>
      <c r="M62" t="n">
        <v>0</v>
      </c>
      <c r="N62" t="n">
        <v>0</v>
      </c>
    </row>
    <row r="63">
      <c r="A63" t="inlineStr">
        <is>
          <t>Entry and marriage fines</t>
        </is>
      </c>
      <c r="B63" t="inlineStr">
        <is>
          <t>13 shilling 4pence from John Weu for marrying Agnes his daughter outside.</t>
        </is>
      </c>
      <c r="C63" t="n">
        <v>0.67</v>
      </c>
      <c r="D63" t="n">
        <v>0</v>
      </c>
      <c r="E63" t="n">
        <v>13</v>
      </c>
      <c r="F63" t="n">
        <v>4</v>
      </c>
      <c r="H63" t="n">
        <v>0</v>
      </c>
      <c r="I63" t="n">
        <v>0</v>
      </c>
      <c r="J63" t="n">
        <v>0</v>
      </c>
      <c r="K63" t="n">
        <v>0</v>
      </c>
      <c r="L63" t="n">
        <v>0</v>
      </c>
      <c r="M63" t="n">
        <v>0</v>
      </c>
      <c r="N63" t="n">
        <v>0</v>
      </c>
    </row>
    <row r="64">
      <c r="A64" t="inlineStr">
        <is>
          <t>Entry and marriage fines</t>
        </is>
      </c>
      <c r="B64" t="inlineStr">
        <is>
          <t>2 shilling from Gunilda de Suetehegh' for marrying Edith her daughter within.</t>
        </is>
      </c>
      <c r="C64" t="n">
        <v>0.1</v>
      </c>
      <c r="D64" t="n">
        <v>0</v>
      </c>
      <c r="E64" t="n">
        <v>2</v>
      </c>
      <c r="F64" t="n">
        <v>0</v>
      </c>
      <c r="H64" t="n">
        <v>0</v>
      </c>
      <c r="I64" t="n">
        <v>0</v>
      </c>
      <c r="J64" t="n">
        <v>0</v>
      </c>
      <c r="K64" t="n">
        <v>0</v>
      </c>
      <c r="L64" t="n">
        <v>0</v>
      </c>
      <c r="M64" t="n">
        <v>0</v>
      </c>
      <c r="N64" t="n">
        <v>0</v>
      </c>
    </row>
    <row r="65">
      <c r="A65" t="inlineStr">
        <is>
          <t>Entry and marriage fines</t>
        </is>
      </c>
      <c r="B65" t="inlineStr">
        <is>
          <t>2 shilling from Walter le White for marrying Christina his daughter within.</t>
        </is>
      </c>
      <c r="C65" t="n">
        <v>0.1</v>
      </c>
      <c r="D65" t="n">
        <v>0</v>
      </c>
      <c r="E65" t="n">
        <v>2</v>
      </c>
      <c r="F65" t="n">
        <v>0</v>
      </c>
      <c r="H65" t="n">
        <v>0</v>
      </c>
      <c r="I65" t="n">
        <v>0</v>
      </c>
      <c r="J65" t="n">
        <v>0</v>
      </c>
      <c r="K65" t="n">
        <v>0</v>
      </c>
      <c r="L65" t="n">
        <v>0</v>
      </c>
      <c r="M65" t="n">
        <v>0</v>
      </c>
      <c r="N65" t="n">
        <v>0</v>
      </c>
    </row>
    <row r="66">
      <c r="A66" t="inlineStr">
        <is>
          <t>Entry and marriage fines</t>
        </is>
      </c>
      <c r="B66" t="inlineStr">
        <is>
          <t>2 shilling from Juliana, daughter of John le Suytht of Leigh, to have 1 day-work of land by surrender of William le Suyht.</t>
        </is>
      </c>
      <c r="C66" t="n">
        <v>0.1</v>
      </c>
      <c r="D66" t="n">
        <v>0</v>
      </c>
      <c r="E66" t="n">
        <v>2</v>
      </c>
      <c r="F66" t="n">
        <v>0</v>
      </c>
      <c r="H66" t="n">
        <v>0</v>
      </c>
      <c r="I66" t="n">
        <v>0</v>
      </c>
      <c r="J66" t="n">
        <v>0</v>
      </c>
      <c r="K66" t="n">
        <v>0</v>
      </c>
      <c r="L66" t="n">
        <v>0</v>
      </c>
      <c r="M66" t="n">
        <v>0</v>
      </c>
      <c r="N66" t="n">
        <v>0</v>
      </c>
    </row>
    <row r="67">
      <c r="A67" t="inlineStr">
        <is>
          <t>Entry and marriage fines</t>
        </is>
      </c>
      <c r="B67" t="inlineStr">
        <is>
          <t>5 shilling from the communal fine on Hockday (hockedayeswyte) at Corfe.</t>
        </is>
      </c>
      <c r="C67" t="n">
        <v>0.25</v>
      </c>
      <c r="D67" t="n">
        <v>0</v>
      </c>
      <c r="E67" t="n">
        <v>5</v>
      </c>
      <c r="F67" t="n">
        <v>0</v>
      </c>
      <c r="H67" t="n">
        <v>0</v>
      </c>
      <c r="I67" t="n">
        <v>0</v>
      </c>
      <c r="J67" t="n">
        <v>0</v>
      </c>
      <c r="K67" t="n">
        <v>0</v>
      </c>
      <c r="L67" t="n">
        <v>0</v>
      </c>
      <c r="M67" t="n">
        <v>0</v>
      </c>
      <c r="N67" t="n">
        <v>0</v>
      </c>
    </row>
    <row r="68">
      <c r="A68" t="inlineStr">
        <is>
          <t>Entry and marriage fines</t>
        </is>
      </c>
      <c r="B68" t="inlineStr">
        <is>
          <t>£2 from the same at Poundisforpence Total, £16 18 shilling</t>
        </is>
      </c>
      <c r="C68" t="n">
        <v>2</v>
      </c>
      <c r="D68" t="n">
        <v>2</v>
      </c>
      <c r="E68" t="n">
        <v>0</v>
      </c>
      <c r="F68" t="n">
        <v>0</v>
      </c>
      <c r="H68" t="n">
        <v>0</v>
      </c>
      <c r="I68" t="n">
        <v>0</v>
      </c>
      <c r="J68" t="n">
        <v>0</v>
      </c>
      <c r="K68" t="n">
        <v>0</v>
      </c>
      <c r="L68" t="n">
        <v>0</v>
      </c>
      <c r="M68" t="n">
        <v>0</v>
      </c>
      <c r="N68" t="n">
        <v>0</v>
      </c>
    </row>
    <row r="69">
      <c r="A69" t="inlineStr">
        <is>
          <t>Perquisites</t>
        </is>
      </c>
      <c r="B69" t="inlineStr">
        <is>
          <t>The same renders account for 6pence from John de Orchard for trespass of pasture.</t>
        </is>
      </c>
      <c r="C69" t="n">
        <v>0.03</v>
      </c>
      <c r="D69" t="n">
        <v>0</v>
      </c>
      <c r="E69" t="n">
        <v>0</v>
      </c>
      <c r="F69" t="n">
        <v>6</v>
      </c>
      <c r="H69" t="n">
        <v>0</v>
      </c>
      <c r="I69" t="n">
        <v>0</v>
      </c>
      <c r="J69" t="n">
        <v>0</v>
      </c>
      <c r="K69" t="n">
        <v>0</v>
      </c>
      <c r="L69" t="n">
        <v>0</v>
      </c>
      <c r="M69" t="n">
        <v>0</v>
      </c>
      <c r="N69" t="n">
        <v>0</v>
      </c>
    </row>
    <row r="70">
      <c r="A70" t="inlineStr">
        <is>
          <t>Perquisites</t>
        </is>
      </c>
      <c r="B70" t="inlineStr">
        <is>
          <t>6pence from William Coffyn for the same.</t>
        </is>
      </c>
      <c r="C70" t="n">
        <v>0.03</v>
      </c>
      <c r="D70" t="n">
        <v>0</v>
      </c>
      <c r="E70" t="n">
        <v>0</v>
      </c>
      <c r="F70" t="n">
        <v>6</v>
      </c>
      <c r="H70" t="n">
        <v>0</v>
      </c>
      <c r="I70" t="n">
        <v>0</v>
      </c>
      <c r="J70" t="n">
        <v>0</v>
      </c>
      <c r="K70" t="n">
        <v>0</v>
      </c>
      <c r="L70" t="n">
        <v>0</v>
      </c>
      <c r="M70" t="n">
        <v>0</v>
      </c>
      <c r="N70" t="n">
        <v>0</v>
      </c>
    </row>
    <row r="71">
      <c r="A71" t="inlineStr">
        <is>
          <t>Perquisites</t>
        </is>
      </c>
      <c r="B71" t="inlineStr">
        <is>
          <t>8pence from Margery de Orchard for the same.</t>
        </is>
      </c>
      <c r="C71" t="n">
        <v>0.03</v>
      </c>
      <c r="D71" t="n">
        <v>0</v>
      </c>
      <c r="E71" t="n">
        <v>0</v>
      </c>
      <c r="F71" t="n">
        <v>8</v>
      </c>
      <c r="H71" t="n">
        <v>0</v>
      </c>
      <c r="I71" t="n">
        <v>0</v>
      </c>
      <c r="J71" t="n">
        <v>0</v>
      </c>
      <c r="K71" t="n">
        <v>0</v>
      </c>
      <c r="L71" t="n">
        <v>0</v>
      </c>
      <c r="M71" t="n">
        <v>0</v>
      </c>
      <c r="N71" t="n">
        <v>0</v>
      </c>
    </row>
    <row r="72">
      <c r="A72" t="inlineStr">
        <is>
          <t>Perquisites</t>
        </is>
      </c>
      <c r="B72" t="inlineStr">
        <is>
          <t>1 shilling from John de Treyburth' for the same.</t>
        </is>
      </c>
      <c r="C72" t="n">
        <v>0.05</v>
      </c>
      <c r="D72" t="n">
        <v>0</v>
      </c>
      <c r="E72" t="n">
        <v>1</v>
      </c>
      <c r="F72" t="n">
        <v>0</v>
      </c>
      <c r="H72" t="n">
        <v>0</v>
      </c>
      <c r="I72" t="n">
        <v>0</v>
      </c>
      <c r="J72" t="n">
        <v>0</v>
      </c>
      <c r="K72" t="n">
        <v>0</v>
      </c>
      <c r="L72" t="n">
        <v>0</v>
      </c>
      <c r="M72" t="n">
        <v>0</v>
      </c>
      <c r="N72" t="n">
        <v>0</v>
      </c>
    </row>
    <row r="73">
      <c r="A73" t="inlineStr">
        <is>
          <t>Perquisites</t>
        </is>
      </c>
      <c r="B73" t="inlineStr">
        <is>
          <t>1 shilling from Richard Polruel for the same.</t>
        </is>
      </c>
      <c r="C73" t="n">
        <v>0.05</v>
      </c>
      <c r="D73" t="n">
        <v>0</v>
      </c>
      <c r="E73" t="n">
        <v>1</v>
      </c>
      <c r="F73" t="n">
        <v>0</v>
      </c>
      <c r="H73" t="n">
        <v>0</v>
      </c>
      <c r="I73" t="n">
        <v>0</v>
      </c>
      <c r="J73" t="n">
        <v>0</v>
      </c>
      <c r="K73" t="n">
        <v>0</v>
      </c>
      <c r="L73" t="n">
        <v>0</v>
      </c>
      <c r="M73" t="n">
        <v>0</v>
      </c>
      <c r="N73" t="n">
        <v>0</v>
      </c>
    </row>
    <row r="74">
      <c r="A74" t="inlineStr">
        <is>
          <t>Perquisites</t>
        </is>
      </c>
      <c r="B74" t="inlineStr">
        <is>
          <t>6pence from John Godard for trespass of wood.</t>
        </is>
      </c>
      <c r="C74" t="n">
        <v>0.03</v>
      </c>
      <c r="D74" t="n">
        <v>0</v>
      </c>
      <c r="E74" t="n">
        <v>0</v>
      </c>
      <c r="F74" t="n">
        <v>6</v>
      </c>
      <c r="H74" t="n">
        <v>0</v>
      </c>
      <c r="I74" t="n">
        <v>0</v>
      </c>
      <c r="J74" t="n">
        <v>0</v>
      </c>
      <c r="K74" t="n">
        <v>0</v>
      </c>
      <c r="L74" t="n">
        <v>0</v>
      </c>
      <c r="M74" t="n">
        <v>0</v>
      </c>
      <c r="N74" t="n">
        <v>0</v>
      </c>
    </row>
    <row r="75">
      <c r="A75" t="inlineStr">
        <is>
          <t>Perquisites</t>
        </is>
      </c>
      <c r="B75" t="inlineStr">
        <is>
          <t>6pence from John Amnuret because he did not produce in court the individual whom he had pledged.</t>
        </is>
      </c>
      <c r="C75" t="n">
        <v>0.03</v>
      </c>
      <c r="D75" t="n">
        <v>0</v>
      </c>
      <c r="E75" t="n">
        <v>0</v>
      </c>
      <c r="F75" t="n">
        <v>6</v>
      </c>
      <c r="H75" t="n">
        <v>0</v>
      </c>
      <c r="I75" t="n">
        <v>0</v>
      </c>
      <c r="J75" t="n">
        <v>0</v>
      </c>
      <c r="K75" t="n">
        <v>0</v>
      </c>
      <c r="L75" t="n">
        <v>0</v>
      </c>
      <c r="M75" t="n">
        <v>0</v>
      </c>
      <c r="N75" t="n">
        <v>0</v>
      </c>
    </row>
    <row r="76">
      <c r="A76" t="inlineStr">
        <is>
          <t>Perquisites</t>
        </is>
      </c>
      <c r="B76" t="inlineStr">
        <is>
          <t>3pence from John de Swetehegh' for false complaint.</t>
        </is>
      </c>
      <c r="C76" t="n">
        <v>0.01</v>
      </c>
      <c r="D76" t="n">
        <v>0</v>
      </c>
      <c r="E76" t="n">
        <v>0</v>
      </c>
      <c r="F76" t="n">
        <v>3</v>
      </c>
      <c r="H76" t="n">
        <v>0</v>
      </c>
      <c r="I76" t="n">
        <v>0</v>
      </c>
      <c r="J76" t="n">
        <v>0</v>
      </c>
      <c r="K76" t="n">
        <v>0</v>
      </c>
      <c r="L76" t="n">
        <v>0</v>
      </c>
      <c r="M76" t="n">
        <v>0</v>
      </c>
      <c r="N76" t="n">
        <v>0</v>
      </c>
    </row>
    <row r="77">
      <c r="A77" t="inlineStr">
        <is>
          <t>Perquisites</t>
        </is>
      </c>
      <c r="B77" t="inlineStr">
        <is>
          <t>1 shilling from Simon de Ralegh' for licence to come to an agreement.</t>
        </is>
      </c>
      <c r="C77" t="n">
        <v>0.05</v>
      </c>
      <c r="D77" t="n">
        <v>0</v>
      </c>
      <c r="E77" t="n">
        <v>1</v>
      </c>
      <c r="F77" t="n">
        <v>0</v>
      </c>
      <c r="H77" t="n">
        <v>0</v>
      </c>
      <c r="I77" t="n">
        <v>0</v>
      </c>
      <c r="J77" t="n">
        <v>0</v>
      </c>
      <c r="K77" t="n">
        <v>0</v>
      </c>
      <c r="L77" t="n">
        <v>0</v>
      </c>
      <c r="M77" t="n">
        <v>0</v>
      </c>
      <c r="N77" t="n">
        <v>0</v>
      </c>
    </row>
    <row r="78">
      <c r="A78" t="inlineStr">
        <is>
          <t>Perquisites</t>
        </is>
      </c>
      <c r="B78" t="inlineStr">
        <is>
          <t>3pence from William de Hughelegh' because he did not come to an inquest.</t>
        </is>
      </c>
      <c r="C78" t="n">
        <v>0.01</v>
      </c>
      <c r="D78" t="n">
        <v>0</v>
      </c>
      <c r="E78" t="n">
        <v>0</v>
      </c>
      <c r="F78" t="n">
        <v>3</v>
      </c>
      <c r="H78" t="n">
        <v>0</v>
      </c>
      <c r="I78" t="n">
        <v>0</v>
      </c>
      <c r="J78" t="n">
        <v>0</v>
      </c>
      <c r="K78" t="n">
        <v>0</v>
      </c>
      <c r="L78" t="n">
        <v>0</v>
      </c>
      <c r="M78" t="n">
        <v>0</v>
      </c>
      <c r="N78" t="n">
        <v>0</v>
      </c>
    </row>
    <row r="79">
      <c r="A79" t="inlineStr">
        <is>
          <t>Perquisites</t>
        </is>
      </c>
      <c r="B79" t="inlineStr">
        <is>
          <t>6pence from William Hardgrey for trespass of pasture.</t>
        </is>
      </c>
      <c r="C79" t="n">
        <v>0.03</v>
      </c>
      <c r="D79" t="n">
        <v>0</v>
      </c>
      <c r="E79" t="n">
        <v>0</v>
      </c>
      <c r="F79" t="n">
        <v>6</v>
      </c>
      <c r="H79" t="n">
        <v>0</v>
      </c>
      <c r="I79" t="n">
        <v>0</v>
      </c>
      <c r="J79" t="n">
        <v>0</v>
      </c>
      <c r="K79" t="n">
        <v>0</v>
      </c>
      <c r="L79" t="n">
        <v>0</v>
      </c>
      <c r="M79" t="n">
        <v>0</v>
      </c>
      <c r="N79" t="n">
        <v>0</v>
      </c>
    </row>
    <row r="80">
      <c r="A80" t="inlineStr">
        <is>
          <t>Perquisites</t>
        </is>
      </c>
      <c r="B80" t="inlineStr">
        <is>
          <t>3pence from John de Chilkepath' for contempt.</t>
        </is>
      </c>
      <c r="C80" t="n">
        <v>0.01</v>
      </c>
      <c r="D80" t="n">
        <v>0</v>
      </c>
      <c r="E80" t="n">
        <v>0</v>
      </c>
      <c r="F80" t="n">
        <v>3</v>
      </c>
      <c r="H80" t="n">
        <v>0</v>
      </c>
      <c r="I80" t="n">
        <v>0</v>
      </c>
      <c r="J80" t="n">
        <v>0</v>
      </c>
      <c r="K80" t="n">
        <v>0</v>
      </c>
      <c r="L80" t="n">
        <v>0</v>
      </c>
      <c r="M80" t="n">
        <v>0</v>
      </c>
      <c r="N80" t="n">
        <v>0</v>
      </c>
    </row>
    <row r="81">
      <c r="A81" t="inlineStr">
        <is>
          <t>Perquisites</t>
        </is>
      </c>
      <c r="B81" t="inlineStr">
        <is>
          <t>6pence from Henry le Sweyn for trespass of wood.</t>
        </is>
      </c>
      <c r="C81" t="n">
        <v>0.03</v>
      </c>
      <c r="D81" t="n">
        <v>0</v>
      </c>
      <c r="E81" t="n">
        <v>0</v>
      </c>
      <c r="F81" t="n">
        <v>6</v>
      </c>
      <c r="H81" t="n">
        <v>0</v>
      </c>
      <c r="I81" t="n">
        <v>0</v>
      </c>
      <c r="J81" t="n">
        <v>0</v>
      </c>
      <c r="K81" t="n">
        <v>0</v>
      </c>
      <c r="L81" t="n">
        <v>0</v>
      </c>
      <c r="M81" t="n">
        <v>0</v>
      </c>
      <c r="N81" t="n">
        <v>0</v>
      </c>
    </row>
    <row r="82">
      <c r="A82" t="inlineStr">
        <is>
          <t>Perquisites</t>
        </is>
      </c>
      <c r="B82" t="inlineStr">
        <is>
          <t>3pence from Roger atte Wuderne for unjustly withholding a debt.</t>
        </is>
      </c>
      <c r="C82" t="n">
        <v>0.01</v>
      </c>
      <c r="D82" t="n">
        <v>0</v>
      </c>
      <c r="E82" t="n">
        <v>0</v>
      </c>
      <c r="F82" t="n">
        <v>3</v>
      </c>
      <c r="H82" t="n">
        <v>0</v>
      </c>
      <c r="I82" t="n">
        <v>0</v>
      </c>
      <c r="J82" t="n">
        <v>0</v>
      </c>
      <c r="K82" t="n">
        <v>0</v>
      </c>
      <c r="L82" t="n">
        <v>0</v>
      </c>
      <c r="M82" t="n">
        <v>0</v>
      </c>
      <c r="N82" t="n">
        <v>0</v>
      </c>
    </row>
    <row r="83">
      <c r="A83" t="inlineStr">
        <is>
          <t>Perquisites</t>
        </is>
      </c>
      <c r="B83" t="inlineStr">
        <is>
          <t>6pence from Richard de Apsweye for trespass of wood.</t>
        </is>
      </c>
      <c r="C83" t="n">
        <v>0.03</v>
      </c>
      <c r="D83" t="n">
        <v>0</v>
      </c>
      <c r="E83" t="n">
        <v>0</v>
      </c>
      <c r="F83" t="n">
        <v>6</v>
      </c>
      <c r="H83" t="n">
        <v>0</v>
      </c>
      <c r="I83" t="n">
        <v>0</v>
      </c>
      <c r="J83" t="n">
        <v>0</v>
      </c>
      <c r="K83" t="n">
        <v>0</v>
      </c>
      <c r="L83" t="n">
        <v>0</v>
      </c>
      <c r="M83" t="n">
        <v>0</v>
      </c>
      <c r="N83" t="n">
        <v>0</v>
      </c>
    </row>
    <row r="84">
      <c r="A84" t="inlineStr">
        <is>
          <t>Perquisites</t>
        </is>
      </c>
      <c r="B84" t="inlineStr">
        <is>
          <t>6pence from Christina atte Heggynge for the same.</t>
        </is>
      </c>
      <c r="C84" t="n">
        <v>0.03</v>
      </c>
      <c r="D84" t="n">
        <v>0</v>
      </c>
      <c r="E84" t="n">
        <v>0</v>
      </c>
      <c r="F84" t="n">
        <v>6</v>
      </c>
      <c r="H84" t="n">
        <v>0</v>
      </c>
      <c r="I84" t="n">
        <v>0</v>
      </c>
      <c r="J84" t="n">
        <v>0</v>
      </c>
      <c r="K84" t="n">
        <v>0</v>
      </c>
      <c r="L84" t="n">
        <v>0</v>
      </c>
      <c r="M84" t="n">
        <v>0</v>
      </c>
      <c r="N84" t="n">
        <v>0</v>
      </c>
    </row>
    <row r="85">
      <c r="A85" t="inlineStr">
        <is>
          <t>Perquisites</t>
        </is>
      </c>
      <c r="B85" t="inlineStr">
        <is>
          <t>6pence from Richard Mouf for the same.</t>
        </is>
      </c>
      <c r="C85" t="n">
        <v>0.03</v>
      </c>
      <c r="D85" t="n">
        <v>0</v>
      </c>
      <c r="E85" t="n">
        <v>0</v>
      </c>
      <c r="F85" t="n">
        <v>6</v>
      </c>
      <c r="H85" t="n">
        <v>0</v>
      </c>
      <c r="I85" t="n">
        <v>0</v>
      </c>
      <c r="J85" t="n">
        <v>0</v>
      </c>
      <c r="K85" t="n">
        <v>0</v>
      </c>
      <c r="L85" t="n">
        <v>0</v>
      </c>
      <c r="M85" t="n">
        <v>0</v>
      </c>
      <c r="N85" t="n">
        <v>0</v>
      </c>
    </row>
    <row r="86">
      <c r="A86" t="inlineStr">
        <is>
          <t>Perquisites</t>
        </is>
      </c>
      <c r="B86" t="inlineStr">
        <is>
          <t>2 shilling from Henry Sweyn and 3 of his neighbours for the same.</t>
        </is>
      </c>
      <c r="C86" t="n">
        <v>0.1</v>
      </c>
      <c r="D86" t="n">
        <v>0</v>
      </c>
      <c r="E86" t="n">
        <v>2</v>
      </c>
      <c r="F86" t="n">
        <v>0</v>
      </c>
      <c r="H86" t="n">
        <v>0</v>
      </c>
      <c r="I86" t="n">
        <v>0</v>
      </c>
      <c r="J86" t="n">
        <v>0</v>
      </c>
      <c r="K86" t="n">
        <v>0</v>
      </c>
      <c r="L86" t="n">
        <v>0</v>
      </c>
      <c r="M86" t="n">
        <v>0</v>
      </c>
      <c r="N86" t="n">
        <v>0</v>
      </c>
    </row>
    <row r="87">
      <c r="A87" t="inlineStr">
        <is>
          <t>Perquisites</t>
        </is>
      </c>
      <c r="B87" t="inlineStr">
        <is>
          <t>1 shilling from Adam le Mounk for the same.</t>
        </is>
      </c>
      <c r="C87" t="n">
        <v>0.05</v>
      </c>
      <c r="D87" t="n">
        <v>0</v>
      </c>
      <c r="E87" t="n">
        <v>1</v>
      </c>
      <c r="F87" t="n">
        <v>0</v>
      </c>
      <c r="H87" t="n">
        <v>0</v>
      </c>
      <c r="I87" t="n">
        <v>0</v>
      </c>
      <c r="J87" t="n">
        <v>0</v>
      </c>
      <c r="K87" t="n">
        <v>0</v>
      </c>
      <c r="L87" t="n">
        <v>0</v>
      </c>
      <c r="M87" t="n">
        <v>0</v>
      </c>
      <c r="N87" t="n">
        <v>0</v>
      </c>
    </row>
    <row r="88">
      <c r="A88" t="inlineStr">
        <is>
          <t>Perquisites</t>
        </is>
      </c>
      <c r="B88" t="inlineStr">
        <is>
          <t>3pence from John Goddey for contempt.</t>
        </is>
      </c>
      <c r="C88" t="n">
        <v>0.01</v>
      </c>
      <c r="D88" t="n">
        <v>0</v>
      </c>
      <c r="E88" t="n">
        <v>0</v>
      </c>
      <c r="F88" t="n">
        <v>3</v>
      </c>
      <c r="H88" t="n">
        <v>0</v>
      </c>
      <c r="I88" t="n">
        <v>0</v>
      </c>
      <c r="J88" t="n">
        <v>0</v>
      </c>
      <c r="K88" t="n">
        <v>0</v>
      </c>
      <c r="L88" t="n">
        <v>0</v>
      </c>
      <c r="M88" t="n">
        <v>0</v>
      </c>
      <c r="N88" t="n">
        <v>0</v>
      </c>
    </row>
    <row r="89">
      <c r="A89" t="inlineStr">
        <is>
          <t>Perquisites</t>
        </is>
      </c>
      <c r="B89" t="inlineStr">
        <is>
          <t>3pence from John Puke for trespass of corn.</t>
        </is>
      </c>
      <c r="C89" t="n">
        <v>0.01</v>
      </c>
      <c r="D89" t="n">
        <v>0</v>
      </c>
      <c r="E89" t="n">
        <v>0</v>
      </c>
      <c r="F89" t="n">
        <v>3</v>
      </c>
      <c r="H89" t="n">
        <v>0</v>
      </c>
      <c r="I89" t="n">
        <v>0</v>
      </c>
      <c r="J89" t="n">
        <v>0</v>
      </c>
      <c r="K89" t="n">
        <v>0</v>
      </c>
      <c r="L89" t="n">
        <v>0</v>
      </c>
      <c r="M89" t="n">
        <v>0</v>
      </c>
      <c r="N89" t="n">
        <v>0</v>
      </c>
    </row>
    <row r="90">
      <c r="A90" t="inlineStr">
        <is>
          <t>Perquisites</t>
        </is>
      </c>
      <c r="B90" t="inlineStr">
        <is>
          <t>1 shilling from the tithing of Leigh for an inadequate presentment.</t>
        </is>
      </c>
      <c r="C90" t="n">
        <v>0.05</v>
      </c>
      <c r="D90" t="n">
        <v>0</v>
      </c>
      <c r="E90" t="n">
        <v>1</v>
      </c>
      <c r="F90" t="n">
        <v>0</v>
      </c>
      <c r="H90" t="n">
        <v>0</v>
      </c>
      <c r="I90" t="n">
        <v>0</v>
      </c>
      <c r="J90" t="n">
        <v>0</v>
      </c>
      <c r="K90" t="n">
        <v>0</v>
      </c>
      <c r="L90" t="n">
        <v>0</v>
      </c>
      <c r="M90" t="n">
        <v>0</v>
      </c>
      <c r="N90" t="n">
        <v>0</v>
      </c>
    </row>
    <row r="91">
      <c r="A91" t="inlineStr">
        <is>
          <t>Perquisites</t>
        </is>
      </c>
      <c r="B91" t="inlineStr">
        <is>
          <t>3pence from Roger Aylwyn' for unjustly withholding a debt.</t>
        </is>
      </c>
      <c r="C91" t="n">
        <v>0.01</v>
      </c>
      <c r="D91" t="n">
        <v>0</v>
      </c>
      <c r="E91" t="n">
        <v>0</v>
      </c>
      <c r="F91" t="n">
        <v>3</v>
      </c>
      <c r="H91" t="n">
        <v>0</v>
      </c>
      <c r="I91" t="n">
        <v>0</v>
      </c>
      <c r="J91" t="n">
        <v>0</v>
      </c>
      <c r="K91" t="n">
        <v>0</v>
      </c>
      <c r="L91" t="n">
        <v>0</v>
      </c>
      <c r="M91" t="n">
        <v>0</v>
      </c>
      <c r="N91" t="n">
        <v>0</v>
      </c>
    </row>
    <row r="92">
      <c r="A92" t="inlineStr">
        <is>
          <t>Perquisites</t>
        </is>
      </c>
      <c r="B92" t="inlineStr">
        <is>
          <t>6pence from Richard, the lord's swineherd, for keeping the pigs badly.</t>
        </is>
      </c>
      <c r="C92" t="n">
        <v>0.03</v>
      </c>
      <c r="D92" t="n">
        <v>0</v>
      </c>
      <c r="E92" t="n">
        <v>0</v>
      </c>
      <c r="F92" t="n">
        <v>6</v>
      </c>
      <c r="H92" t="n">
        <v>0</v>
      </c>
      <c r="I92" t="n">
        <v>0</v>
      </c>
      <c r="J92" t="n">
        <v>0</v>
      </c>
      <c r="K92" t="n">
        <v>0</v>
      </c>
      <c r="L92" t="n">
        <v>0</v>
      </c>
      <c r="M92" t="n">
        <v>0</v>
      </c>
      <c r="N92" t="n">
        <v>0</v>
      </c>
    </row>
    <row r="93">
      <c r="A93" t="inlineStr">
        <is>
          <t>Perquisites</t>
        </is>
      </c>
      <c r="B93" t="inlineStr">
        <is>
          <t>5 shilling from Nicholas Ay1m' and 9 of his neighbours for trespass of wood.</t>
        </is>
      </c>
      <c r="C93" t="n">
        <v>0.25</v>
      </c>
      <c r="D93" t="n">
        <v>0</v>
      </c>
      <c r="E93" t="n">
        <v>5</v>
      </c>
      <c r="F93" t="n">
        <v>0</v>
      </c>
      <c r="H93" t="n">
        <v>0</v>
      </c>
      <c r="I93" t="n">
        <v>0</v>
      </c>
      <c r="J93" t="n">
        <v>0</v>
      </c>
      <c r="K93" t="n">
        <v>0</v>
      </c>
      <c r="L93" t="n">
        <v>0</v>
      </c>
      <c r="M93" t="n">
        <v>0</v>
      </c>
      <c r="N93" t="n">
        <v>0</v>
      </c>
    </row>
    <row r="94">
      <c r="A94" t="inlineStr">
        <is>
          <t>Perquisites</t>
        </is>
      </c>
      <c r="B94" t="inlineStr">
        <is>
          <t>1 shilling 6pence from Thomas Ay1m' for attachment of his goats in Pykeryge.</t>
        </is>
      </c>
      <c r="C94" t="n">
        <v>0.08</v>
      </c>
      <c r="D94" t="n">
        <v>0</v>
      </c>
      <c r="E94" t="n">
        <v>1</v>
      </c>
      <c r="F94" t="n">
        <v>6</v>
      </c>
      <c r="G94" t="inlineStr">
        <is>
          <t>oats</t>
        </is>
      </c>
      <c r="H94" t="n">
        <v>0</v>
      </c>
      <c r="I94" t="n">
        <v>0</v>
      </c>
      <c r="J94" t="n">
        <v>0</v>
      </c>
      <c r="K94" t="n">
        <v>0</v>
      </c>
      <c r="L94" t="n">
        <v>0</v>
      </c>
      <c r="M94" t="n">
        <v>0</v>
      </c>
      <c r="N94" t="n">
        <v>0</v>
      </c>
    </row>
    <row r="95">
      <c r="A95" t="inlineStr">
        <is>
          <t>Perquisites</t>
        </is>
      </c>
      <c r="B95" t="inlineStr">
        <is>
          <t>1 shilling from Gilbert le Mounk for the same.</t>
        </is>
      </c>
      <c r="C95" t="n">
        <v>0.05</v>
      </c>
      <c r="D95" t="n">
        <v>0</v>
      </c>
      <c r="E95" t="n">
        <v>1</v>
      </c>
      <c r="F95" t="n">
        <v>0</v>
      </c>
      <c r="H95" t="n">
        <v>0</v>
      </c>
      <c r="I95" t="n">
        <v>0</v>
      </c>
      <c r="J95" t="n">
        <v>0</v>
      </c>
      <c r="K95" t="n">
        <v>0</v>
      </c>
      <c r="L95" t="n">
        <v>0</v>
      </c>
      <c r="M95" t="n">
        <v>0</v>
      </c>
      <c r="N95" t="n">
        <v>0</v>
      </c>
    </row>
    <row r="96">
      <c r="A96" t="inlineStr">
        <is>
          <t>Perquisites</t>
        </is>
      </c>
      <c r="B96" t="inlineStr">
        <is>
          <t>1 shilling from William Fryn for the same.</t>
        </is>
      </c>
      <c r="C96" t="n">
        <v>0.05</v>
      </c>
      <c r="D96" t="n">
        <v>0</v>
      </c>
      <c r="E96" t="n">
        <v>1</v>
      </c>
      <c r="F96" t="n">
        <v>0</v>
      </c>
      <c r="H96" t="n">
        <v>0</v>
      </c>
      <c r="I96" t="n">
        <v>0</v>
      </c>
      <c r="J96" t="n">
        <v>0</v>
      </c>
      <c r="K96" t="n">
        <v>0</v>
      </c>
      <c r="L96" t="n">
        <v>0</v>
      </c>
      <c r="M96" t="n">
        <v>0</v>
      </c>
      <c r="N96" t="n">
        <v>0</v>
      </c>
    </row>
    <row r="97">
      <c r="A97" t="inlineStr">
        <is>
          <t>Perquisites</t>
        </is>
      </c>
      <c r="B97" t="inlineStr">
        <is>
          <t>1 shilling from Walter de Fokgrove for the same.</t>
        </is>
      </c>
      <c r="C97" t="n">
        <v>0.05</v>
      </c>
      <c r="D97" t="n">
        <v>0</v>
      </c>
      <c r="E97" t="n">
        <v>1</v>
      </c>
      <c r="F97" t="n">
        <v>0</v>
      </c>
      <c r="H97" t="n">
        <v>0</v>
      </c>
      <c r="I97" t="n">
        <v>0</v>
      </c>
      <c r="J97" t="n">
        <v>0</v>
      </c>
      <c r="K97" t="n">
        <v>0</v>
      </c>
      <c r="L97" t="n">
        <v>0</v>
      </c>
      <c r="M97" t="n">
        <v>0</v>
      </c>
      <c r="N97" t="n">
        <v>0</v>
      </c>
    </row>
    <row r="98">
      <c r="A98" t="inlineStr">
        <is>
          <t>Perquisites</t>
        </is>
      </c>
      <c r="B98" t="inlineStr">
        <is>
          <t>3pence from Bricell' de Blaked' for attachment of his goats in Abbecumb'.</t>
        </is>
      </c>
      <c r="C98" t="n">
        <v>0.01</v>
      </c>
      <c r="D98" t="n">
        <v>0</v>
      </c>
      <c r="E98" t="n">
        <v>0</v>
      </c>
      <c r="F98" t="n">
        <v>3</v>
      </c>
      <c r="G98" t="inlineStr">
        <is>
          <t>oats</t>
        </is>
      </c>
      <c r="H98" t="n">
        <v>0</v>
      </c>
      <c r="I98" t="n">
        <v>0</v>
      </c>
      <c r="J98" t="n">
        <v>0</v>
      </c>
      <c r="K98" t="n">
        <v>0</v>
      </c>
      <c r="L98" t="n">
        <v>0</v>
      </c>
      <c r="M98" t="n">
        <v>0</v>
      </c>
      <c r="N98" t="n">
        <v>0</v>
      </c>
    </row>
    <row r="99">
      <c r="A99" t="inlineStr">
        <is>
          <t>Perquisites</t>
        </is>
      </c>
      <c r="B99" t="inlineStr">
        <is>
          <t>3pence from William Godard for licence to come to an agreement.</t>
        </is>
      </c>
      <c r="C99" t="n">
        <v>0.01</v>
      </c>
      <c r="D99" t="n">
        <v>0</v>
      </c>
      <c r="E99" t="n">
        <v>0</v>
      </c>
      <c r="F99" t="n">
        <v>3</v>
      </c>
      <c r="H99" t="n">
        <v>0</v>
      </c>
      <c r="I99" t="n">
        <v>0</v>
      </c>
      <c r="J99" t="n">
        <v>0</v>
      </c>
      <c r="K99" t="n">
        <v>0</v>
      </c>
      <c r="L99" t="n">
        <v>0</v>
      </c>
      <c r="M99" t="n">
        <v>0</v>
      </c>
      <c r="N99" t="n">
        <v>0</v>
      </c>
    </row>
    <row r="100">
      <c r="A100" t="inlineStr">
        <is>
          <t>Perquisites</t>
        </is>
      </c>
      <c r="B100" t="inlineStr">
        <is>
          <t>1 shilling from the reeve of Poundisford because he often allowed the oxherds to be idle after dinner.</t>
        </is>
      </c>
      <c r="C100" t="n">
        <v>0.05</v>
      </c>
      <c r="D100" t="n">
        <v>0</v>
      </c>
      <c r="E100" t="n">
        <v>1</v>
      </c>
      <c r="F100" t="n">
        <v>0</v>
      </c>
      <c r="H100" t="n">
        <v>0</v>
      </c>
      <c r="I100" t="n">
        <v>0</v>
      </c>
      <c r="J100" t="n">
        <v>0</v>
      </c>
      <c r="K100" t="n">
        <v>0</v>
      </c>
      <c r="L100" t="n">
        <v>0</v>
      </c>
      <c r="M100" t="n">
        <v>0</v>
      </c>
      <c r="N100" t="n">
        <v>0</v>
      </c>
    </row>
    <row r="101">
      <c r="A101" t="inlineStr">
        <is>
          <t>Perquisites</t>
        </is>
      </c>
      <c r="B101" t="inlineStr">
        <is>
          <t>2pence from Walter Bagh' and Walter Sprut for transgression against their neighbour.</t>
        </is>
      </c>
      <c r="C101" t="n">
        <v>0.01</v>
      </c>
      <c r="D101" t="n">
        <v>0</v>
      </c>
      <c r="E101" t="n">
        <v>0</v>
      </c>
      <c r="F101" t="n">
        <v>2</v>
      </c>
      <c r="H101" t="n">
        <v>0</v>
      </c>
      <c r="I101" t="n">
        <v>0</v>
      </c>
      <c r="J101" t="n">
        <v>0</v>
      </c>
      <c r="K101" t="n">
        <v>0</v>
      </c>
      <c r="L101" t="n">
        <v>0</v>
      </c>
      <c r="M101" t="n">
        <v>0</v>
      </c>
      <c r="N101" t="n">
        <v>0</v>
      </c>
    </row>
    <row r="102">
      <c r="A102" t="inlineStr">
        <is>
          <t>Perquisites</t>
        </is>
      </c>
      <c r="B102" t="inlineStr">
        <is>
          <t>2 shilling from John Goddey for trespass of corn.</t>
        </is>
      </c>
      <c r="C102" t="n">
        <v>0.1</v>
      </c>
      <c r="D102" t="n">
        <v>0</v>
      </c>
      <c r="E102" t="n">
        <v>2</v>
      </c>
      <c r="F102" t="n">
        <v>0</v>
      </c>
      <c r="H102" t="n">
        <v>0</v>
      </c>
      <c r="I102" t="n">
        <v>0</v>
      </c>
      <c r="J102" t="n">
        <v>0</v>
      </c>
      <c r="K102" t="n">
        <v>0</v>
      </c>
      <c r="L102" t="n">
        <v>0</v>
      </c>
      <c r="M102" t="n">
        <v>0</v>
      </c>
      <c r="N102" t="n">
        <v>0</v>
      </c>
    </row>
    <row r="103">
      <c r="A103" t="inlineStr">
        <is>
          <t>Perquisites</t>
        </is>
      </c>
      <c r="B103" t="inlineStr">
        <is>
          <t>6pence from Roger Gillyng for the same.</t>
        </is>
      </c>
      <c r="C103" t="n">
        <v>0.03</v>
      </c>
      <c r="D103" t="n">
        <v>0</v>
      </c>
      <c r="E103" t="n">
        <v>0</v>
      </c>
      <c r="F103" t="n">
        <v>6</v>
      </c>
      <c r="H103" t="n">
        <v>0</v>
      </c>
      <c r="I103" t="n">
        <v>0</v>
      </c>
      <c r="J103" t="n">
        <v>0</v>
      </c>
      <c r="K103" t="n">
        <v>0</v>
      </c>
      <c r="L103" t="n">
        <v>0</v>
      </c>
      <c r="M103" t="n">
        <v>0</v>
      </c>
      <c r="N103" t="n">
        <v>0</v>
      </c>
    </row>
    <row r="104">
      <c r="A104" t="inlineStr">
        <is>
          <t>Perquisites</t>
        </is>
      </c>
      <c r="B104" t="inlineStr">
        <is>
          <t>3pence from Walter le Whyte because he did not come to carry hay.</t>
        </is>
      </c>
      <c r="C104" t="n">
        <v>0.01</v>
      </c>
      <c r="D104" t="n">
        <v>0</v>
      </c>
      <c r="E104" t="n">
        <v>0</v>
      </c>
      <c r="F104" t="n">
        <v>3</v>
      </c>
      <c r="H104" t="n">
        <v>0</v>
      </c>
      <c r="I104" t="n">
        <v>0</v>
      </c>
      <c r="J104" t="n">
        <v>0</v>
      </c>
      <c r="K104" t="n">
        <v>0</v>
      </c>
      <c r="L104" t="n">
        <v>0</v>
      </c>
      <c r="M104" t="n">
        <v>0</v>
      </c>
      <c r="N104" t="n">
        <v>0</v>
      </c>
    </row>
    <row r="105">
      <c r="A105" t="inlineStr">
        <is>
          <t>Perquisites</t>
        </is>
      </c>
      <c r="B105" t="inlineStr">
        <is>
          <t>6pence from the reeve and beadle for their negligence.</t>
        </is>
      </c>
      <c r="C105" t="n">
        <v>0.03</v>
      </c>
      <c r="D105" t="n">
        <v>0</v>
      </c>
      <c r="E105" t="n">
        <v>0</v>
      </c>
      <c r="F105" t="n">
        <v>6</v>
      </c>
      <c r="H105" t="n">
        <v>0</v>
      </c>
      <c r="I105" t="n">
        <v>0</v>
      </c>
      <c r="J105" t="n">
        <v>0</v>
      </c>
      <c r="K105" t="n">
        <v>0</v>
      </c>
      <c r="L105" t="n">
        <v>0</v>
      </c>
      <c r="M105" t="n">
        <v>0</v>
      </c>
      <c r="N105" t="n">
        <v>0</v>
      </c>
    </row>
    <row r="106">
      <c r="A106" t="inlineStr">
        <is>
          <t>Perquisites</t>
        </is>
      </c>
      <c r="B106" t="inlineStr">
        <is>
          <t>1 shilling from Walter de Fuleford and William Gulye for transgression against their neighbour.</t>
        </is>
      </c>
      <c r="C106" t="n">
        <v>0.05</v>
      </c>
      <c r="D106" t="n">
        <v>0</v>
      </c>
      <c r="E106" t="n">
        <v>1</v>
      </c>
      <c r="F106" t="n">
        <v>0</v>
      </c>
      <c r="H106" t="n">
        <v>0</v>
      </c>
      <c r="I106" t="n">
        <v>0</v>
      </c>
      <c r="J106" t="n">
        <v>0</v>
      </c>
      <c r="K106" t="n">
        <v>0</v>
      </c>
      <c r="L106" t="n">
        <v>0</v>
      </c>
      <c r="M106" t="n">
        <v>0</v>
      </c>
      <c r="N106" t="n">
        <v>0</v>
      </c>
    </row>
    <row r="107">
      <c r="A107" t="inlineStr">
        <is>
          <t>Perquisites</t>
        </is>
      </c>
      <c r="B107" t="inlineStr">
        <is>
          <t>6pence from the lord's oxherds for their negligence.</t>
        </is>
      </c>
      <c r="C107" t="n">
        <v>0.03</v>
      </c>
      <c r="D107" t="n">
        <v>0</v>
      </c>
      <c r="E107" t="n">
        <v>0</v>
      </c>
      <c r="F107" t="n">
        <v>6</v>
      </c>
      <c r="H107" t="n">
        <v>0</v>
      </c>
      <c r="I107" t="n">
        <v>0</v>
      </c>
      <c r="J107" t="n">
        <v>0</v>
      </c>
      <c r="K107" t="n">
        <v>0</v>
      </c>
      <c r="L107" t="n">
        <v>0</v>
      </c>
      <c r="M107" t="n">
        <v>0</v>
      </c>
      <c r="N107" t="n">
        <v>0</v>
      </c>
    </row>
    <row r="108">
      <c r="A108" t="inlineStr">
        <is>
          <t>Perquisites</t>
        </is>
      </c>
      <c r="B108" t="inlineStr">
        <is>
          <t>2 shilling from the tithing of Dudeleston' for a bad presentment.</t>
        </is>
      </c>
      <c r="C108" t="n">
        <v>0.1</v>
      </c>
      <c r="D108" t="n">
        <v>0</v>
      </c>
      <c r="E108" t="n">
        <v>2</v>
      </c>
      <c r="F108" t="n">
        <v>0</v>
      </c>
      <c r="H108" t="n">
        <v>0</v>
      </c>
      <c r="I108" t="n">
        <v>0</v>
      </c>
      <c r="J108" t="n">
        <v>0</v>
      </c>
      <c r="K108" t="n">
        <v>0</v>
      </c>
      <c r="L108" t="n">
        <v>0</v>
      </c>
      <c r="M108" t="n">
        <v>0</v>
      </c>
      <c r="N108" t="n">
        <v>0</v>
      </c>
    </row>
    <row r="109">
      <c r="A109" t="inlineStr">
        <is>
          <t>Perquisites</t>
        </is>
      </c>
      <c r="B109" t="inlineStr">
        <is>
          <t>1 shilling from the same tithing for concealing landless men outside the tithing.</t>
        </is>
      </c>
      <c r="C109" t="n">
        <v>0.05</v>
      </c>
      <c r="D109" t="n">
        <v>0</v>
      </c>
      <c r="E109" t="n">
        <v>1</v>
      </c>
      <c r="F109" t="n">
        <v>0</v>
      </c>
      <c r="H109" t="n">
        <v>0</v>
      </c>
      <c r="I109" t="n">
        <v>0</v>
      </c>
      <c r="J109" t="n">
        <v>0</v>
      </c>
      <c r="K109" t="n">
        <v>0</v>
      </c>
      <c r="L109" t="n">
        <v>0</v>
      </c>
      <c r="M109" t="n">
        <v>0</v>
      </c>
      <c r="N109" t="n">
        <v>0</v>
      </c>
    </row>
    <row r="110">
      <c r="A110" t="inlineStr">
        <is>
          <t>Perquisites</t>
        </is>
      </c>
      <c r="B110" t="inlineStr">
        <is>
          <t>1 shilling from the tithing of South Trendle for the same.</t>
        </is>
      </c>
      <c r="C110" t="n">
        <v>0.05</v>
      </c>
      <c r="D110" t="n">
        <v>0</v>
      </c>
      <c r="E110" t="n">
        <v>1</v>
      </c>
      <c r="F110" t="n">
        <v>0</v>
      </c>
      <c r="H110" t="n">
        <v>0</v>
      </c>
      <c r="I110" t="n">
        <v>0</v>
      </c>
      <c r="J110" t="n">
        <v>0</v>
      </c>
      <c r="K110" t="n">
        <v>0</v>
      </c>
      <c r="L110" t="n">
        <v>0</v>
      </c>
      <c r="M110" t="n">
        <v>0</v>
      </c>
      <c r="N110" t="n">
        <v>0</v>
      </c>
    </row>
    <row r="111">
      <c r="A111" t="inlineStr">
        <is>
          <t>Perquisites</t>
        </is>
      </c>
      <c r="B111" t="inlineStr">
        <is>
          <t>1 shilling from the tithing of South Fulford for the same.</t>
        </is>
      </c>
      <c r="C111" t="n">
        <v>0.05</v>
      </c>
      <c r="D111" t="n">
        <v>0</v>
      </c>
      <c r="E111" t="n">
        <v>1</v>
      </c>
      <c r="F111" t="n">
        <v>0</v>
      </c>
      <c r="H111" t="n">
        <v>0</v>
      </c>
      <c r="I111" t="n">
        <v>0</v>
      </c>
      <c r="J111" t="n">
        <v>0</v>
      </c>
      <c r="K111" t="n">
        <v>0</v>
      </c>
      <c r="L111" t="n">
        <v>0</v>
      </c>
      <c r="M111" t="n">
        <v>0</v>
      </c>
      <c r="N111" t="n">
        <v>0</v>
      </c>
    </row>
    <row r="112">
      <c r="A112" t="inlineStr">
        <is>
          <t>Perquisites</t>
        </is>
      </c>
      <c r="B112" t="inlineStr">
        <is>
          <t>2pence from Walter Hatherich, beadle of Corfe, because he performed his office less well in the presence of the steward.</t>
        </is>
      </c>
      <c r="C112" t="n">
        <v>0.01</v>
      </c>
      <c r="D112" t="n">
        <v>0</v>
      </c>
      <c r="E112" t="n">
        <v>0</v>
      </c>
      <c r="F112" t="n">
        <v>2</v>
      </c>
      <c r="H112" t="n">
        <v>0</v>
      </c>
      <c r="I112" t="n">
        <v>0</v>
      </c>
      <c r="J112" t="n">
        <v>0</v>
      </c>
      <c r="K112" t="n">
        <v>0</v>
      </c>
      <c r="L112" t="n">
        <v>0</v>
      </c>
      <c r="M112" t="n">
        <v>0</v>
      </c>
      <c r="N112" t="n">
        <v>0</v>
      </c>
    </row>
    <row r="113">
      <c r="A113" t="inlineStr">
        <is>
          <t>Perquisites</t>
        </is>
      </c>
      <c r="B113" t="inlineStr">
        <is>
          <t>17 shilling from those who brewed ale this year for breaking the assize of ale.</t>
        </is>
      </c>
      <c r="C113" t="n">
        <v>0.85</v>
      </c>
      <c r="D113" t="n">
        <v>0</v>
      </c>
      <c r="E113" t="n">
        <v>17</v>
      </c>
      <c r="F113" t="n">
        <v>0</v>
      </c>
      <c r="H113" t="n">
        <v>0</v>
      </c>
      <c r="I113" t="n">
        <v>0</v>
      </c>
      <c r="J113" t="n">
        <v>0</v>
      </c>
      <c r="K113" t="n">
        <v>0</v>
      </c>
      <c r="L113" t="n">
        <v>0</v>
      </c>
      <c r="M113" t="n">
        <v>0</v>
      </c>
      <c r="N113" t="n">
        <v>0</v>
      </c>
    </row>
    <row r="114">
      <c r="A114" t="inlineStr">
        <is>
          <t>Perquisites</t>
        </is>
      </c>
      <c r="B114" t="inlineStr">
        <is>
          <t>Total, £2 13 shilling 4pence</t>
        </is>
      </c>
      <c r="C114" t="n">
        <v>2.67</v>
      </c>
      <c r="D114" t="n">
        <v>2</v>
      </c>
      <c r="E114" t="n">
        <v>13</v>
      </c>
      <c r="F114" t="n">
        <v>4</v>
      </c>
      <c r="H114" t="n">
        <v>0</v>
      </c>
      <c r="I114" t="n">
        <v>0</v>
      </c>
      <c r="J114" t="n">
        <v>0</v>
      </c>
      <c r="K114" t="n">
        <v>0</v>
      </c>
      <c r="L114" t="n">
        <v>0</v>
      </c>
      <c r="M114" t="n">
        <v>0</v>
      </c>
      <c r="N114" t="n">
        <v>0</v>
      </c>
    </row>
    <row r="115">
      <c r="A115" t="inlineStr">
        <is>
          <t>Perquisites</t>
        </is>
      </c>
      <c r="B115" t="inlineStr">
        <is>
          <t>Total of both, £19 11 shilling 4pence</t>
        </is>
      </c>
      <c r="C115" t="n">
        <v>19.57</v>
      </c>
      <c r="D115" t="n">
        <v>19</v>
      </c>
      <c r="E115" t="n">
        <v>11</v>
      </c>
      <c r="F115" t="n">
        <v>4</v>
      </c>
      <c r="H115" t="n">
        <v>0</v>
      </c>
      <c r="I115" t="n">
        <v>0</v>
      </c>
      <c r="J115" t="n">
        <v>0</v>
      </c>
      <c r="K115" t="n">
        <v>0</v>
      </c>
      <c r="L115" t="n">
        <v>0</v>
      </c>
      <c r="M115" t="n">
        <v>0</v>
      </c>
      <c r="N115" t="n">
        <v>0</v>
      </c>
    </row>
    <row r="116">
      <c r="A116" t="inlineStr">
        <is>
          <t>Total of all receipts</t>
        </is>
      </c>
      <c r="B116" t="inlineStr">
        <is>
          <t>Total of all receipts, £116 16 shilling 10pence</t>
        </is>
      </c>
      <c r="C116" t="n">
        <v>116.84</v>
      </c>
      <c r="D116" t="n">
        <v>116</v>
      </c>
      <c r="E116" t="n">
        <v>16</v>
      </c>
      <c r="F116" t="n">
        <v>10</v>
      </c>
      <c r="H116" t="n">
        <v>0</v>
      </c>
      <c r="I116" t="n">
        <v>0</v>
      </c>
      <c r="J116" t="n">
        <v>0</v>
      </c>
      <c r="K116" t="n">
        <v>0</v>
      </c>
      <c r="L116" t="n">
        <v>0</v>
      </c>
      <c r="M116" t="n">
        <v>0</v>
      </c>
      <c r="N116" t="n">
        <v>0</v>
      </c>
    </row>
    <row r="117">
      <c r="A117" t="inlineStr">
        <is>
          <t>Cost of ploughs</t>
        </is>
      </c>
      <c r="B117" t="inlineStr">
        <is>
          <t>In iron and steel for making and repairing the ironwork of 4 ploughs for the year 15 shilling 11pence.</t>
        </is>
      </c>
      <c r="C117" t="n">
        <v>0.8</v>
      </c>
      <c r="D117" t="n">
        <v>0</v>
      </c>
      <c r="E117" t="n">
        <v>15</v>
      </c>
      <c r="F117" t="n">
        <v>11</v>
      </c>
      <c r="H117" t="n">
        <v>0</v>
      </c>
      <c r="I117" t="n">
        <v>0</v>
      </c>
      <c r="J117" t="n">
        <v>0</v>
      </c>
      <c r="K117" t="n">
        <v>0</v>
      </c>
      <c r="L117" t="n">
        <v>0</v>
      </c>
      <c r="M117" t="n">
        <v>0</v>
      </c>
      <c r="N117" t="n">
        <v>0</v>
      </c>
    </row>
    <row r="118">
      <c r="A118" t="inlineStr">
        <is>
          <t>Cost of ploughs</t>
        </is>
      </c>
      <c r="B118" t="inlineStr">
        <is>
          <t>stipend of the smith making and repairing the said ironwork for the year 3 shilling 10pence.</t>
        </is>
      </c>
      <c r="C118" t="n">
        <v>0.19</v>
      </c>
      <c r="D118" t="n">
        <v>0</v>
      </c>
      <c r="E118" t="n">
        <v>3</v>
      </c>
      <c r="F118" t="n">
        <v>10</v>
      </c>
      <c r="H118" t="n">
        <v>0</v>
      </c>
      <c r="I118" t="n">
        <v>0</v>
      </c>
      <c r="J118" t="n">
        <v>0</v>
      </c>
      <c r="K118" t="n">
        <v>0</v>
      </c>
      <c r="L118" t="n">
        <v>0</v>
      </c>
      <c r="M118" t="n">
        <v>0</v>
      </c>
      <c r="N118" t="n">
        <v>0</v>
      </c>
    </row>
    <row r="119">
      <c r="A119" t="inlineStr">
        <is>
          <t>Cost of ploughs</t>
        </is>
      </c>
      <c r="B119" t="inlineStr">
        <is>
          <t>4 ploughshares bought 2 shilling 4pence.</t>
        </is>
      </c>
      <c r="C119" t="n">
        <v>0.12</v>
      </c>
      <c r="D119" t="n">
        <v>0</v>
      </c>
      <c r="E119" t="n">
        <v>2</v>
      </c>
      <c r="F119" t="n">
        <v>4</v>
      </c>
      <c r="H119" t="n">
        <v>0</v>
      </c>
      <c r="I119" t="n">
        <v>0</v>
      </c>
      <c r="J119" t="n">
        <v>0</v>
      </c>
      <c r="K119" t="n">
        <v>0</v>
      </c>
      <c r="L119" t="n">
        <v>0</v>
      </c>
      <c r="M119" t="n">
        <v>0</v>
      </c>
      <c r="N119" t="n">
        <v>0</v>
      </c>
    </row>
    <row r="120">
      <c r="A120" t="inlineStr">
        <is>
          <t>Cost of ploughs</t>
        </is>
      </c>
      <c r="B120" t="inlineStr">
        <is>
          <t>boon-works of 42 ploughmen ploughing 2 full days in winter and as many full days in Lent at Corfe and Poundisford 7 shilling, at 0.5pence a ploughman a day.</t>
        </is>
      </c>
      <c r="C120" t="n">
        <v>0.35</v>
      </c>
      <c r="D120" t="n">
        <v>0</v>
      </c>
      <c r="E120" t="n">
        <v>7</v>
      </c>
      <c r="F120" t="n">
        <v>0.5</v>
      </c>
      <c r="H120" t="n">
        <v>0</v>
      </c>
      <c r="I120" t="n">
        <v>0</v>
      </c>
      <c r="J120" t="n">
        <v>0</v>
      </c>
      <c r="K120" t="n">
        <v>0</v>
      </c>
      <c r="L120" t="n">
        <v>0</v>
      </c>
      <c r="M120" t="n">
        <v>0</v>
      </c>
      <c r="N120" t="n">
        <v>0</v>
      </c>
    </row>
    <row r="121">
      <c r="A121" t="inlineStr">
        <is>
          <t>Cost of ploughs</t>
        </is>
      </c>
      <c r="B121" t="inlineStr">
        <is>
          <t>.</t>
        </is>
      </c>
      <c r="C121" t="n">
        <v>0</v>
      </c>
      <c r="D121" t="n">
        <v>0</v>
      </c>
      <c r="E121" t="n">
        <v>0</v>
      </c>
      <c r="F121" t="n">
        <v>0</v>
      </c>
      <c r="H121" t="n">
        <v>0</v>
      </c>
      <c r="I121" t="n">
        <v>0</v>
      </c>
      <c r="J121" t="n">
        <v>0</v>
      </c>
      <c r="K121" t="n">
        <v>0</v>
      </c>
      <c r="L121" t="n">
        <v>0</v>
      </c>
      <c r="M121" t="n">
        <v>0</v>
      </c>
      <c r="N121" t="n">
        <v>0</v>
      </c>
    </row>
    <row r="122">
      <c r="A122" t="inlineStr">
        <is>
          <t>Cost of ploughs</t>
        </is>
      </c>
      <c r="B122" t="inlineStr">
        <is>
          <t>trimming and sawing timber for ploughs, yokes and wooden halters 1 shilling 6.5pence.</t>
        </is>
      </c>
      <c r="C122" t="n">
        <v>0.08</v>
      </c>
      <c r="D122" t="n">
        <v>0</v>
      </c>
      <c r="E122" t="n">
        <v>1</v>
      </c>
      <c r="F122" t="n">
        <v>6.5</v>
      </c>
      <c r="H122" t="n">
        <v>0</v>
      </c>
      <c r="I122" t="n">
        <v>0</v>
      </c>
      <c r="J122" t="n">
        <v>0</v>
      </c>
      <c r="K122" t="n">
        <v>0</v>
      </c>
      <c r="L122" t="n">
        <v>0</v>
      </c>
      <c r="M122" t="n">
        <v>0</v>
      </c>
      <c r="N122" t="n">
        <v>0</v>
      </c>
    </row>
    <row r="123">
      <c r="A123" t="inlineStr">
        <is>
          <t>Cost of ploughs</t>
        </is>
      </c>
      <c r="B123" t="inlineStr">
        <is>
          <t>making 4 new ploughs 6pence.</t>
        </is>
      </c>
      <c r="C123" t="n">
        <v>0.03</v>
      </c>
      <c r="D123" t="n">
        <v>0</v>
      </c>
      <c r="E123" t="n">
        <v>0</v>
      </c>
      <c r="F123" t="n">
        <v>6</v>
      </c>
      <c r="H123" t="n">
        <v>0</v>
      </c>
      <c r="I123" t="n">
        <v>0</v>
      </c>
      <c r="J123" t="n">
        <v>0</v>
      </c>
      <c r="K123" t="n">
        <v>0</v>
      </c>
      <c r="L123" t="n">
        <v>0</v>
      </c>
      <c r="M123" t="n">
        <v>0</v>
      </c>
      <c r="N123" t="n">
        <v>0</v>
      </c>
    </row>
    <row r="124">
      <c r="A124" t="inlineStr">
        <is>
          <t>Cost of ploughs</t>
        </is>
      </c>
      <c r="B124" t="inlineStr">
        <is>
          <t>repairing the old ploughs many times during the year 1 shilling 2pence.</t>
        </is>
      </c>
      <c r="C124" t="n">
        <v>0.06</v>
      </c>
      <c r="D124" t="n">
        <v>0</v>
      </c>
      <c r="E124" t="n">
        <v>1</v>
      </c>
      <c r="F124" t="n">
        <v>2</v>
      </c>
      <c r="H124" t="n">
        <v>0</v>
      </c>
      <c r="I124" t="n">
        <v>0</v>
      </c>
      <c r="J124" t="n">
        <v>0</v>
      </c>
      <c r="K124" t="n">
        <v>0</v>
      </c>
      <c r="L124" t="n">
        <v>0</v>
      </c>
      <c r="M124" t="n">
        <v>0</v>
      </c>
      <c r="N124" t="n">
        <v>0</v>
      </c>
    </row>
    <row r="125">
      <c r="A125" t="inlineStr">
        <is>
          <t>Cost of ploughs</t>
        </is>
      </c>
      <c r="B125" t="inlineStr">
        <is>
          <t>making yokes and wooden halters 5pence.</t>
        </is>
      </c>
      <c r="C125" t="n">
        <v>0.02</v>
      </c>
      <c r="D125" t="n">
        <v>0</v>
      </c>
      <c r="E125" t="n">
        <v>0</v>
      </c>
      <c r="F125" t="n">
        <v>5</v>
      </c>
      <c r="H125" t="n">
        <v>0</v>
      </c>
      <c r="I125" t="n">
        <v>0</v>
      </c>
      <c r="J125" t="n">
        <v>0</v>
      </c>
      <c r="K125" t="n">
        <v>0</v>
      </c>
      <c r="L125" t="n">
        <v>0</v>
      </c>
      <c r="M125" t="n">
        <v>0</v>
      </c>
      <c r="N125" t="n">
        <v>0</v>
      </c>
    </row>
    <row r="126">
      <c r="A126" t="inlineStr">
        <is>
          <t>Cost of ploughs</t>
        </is>
      </c>
      <c r="B126" t="inlineStr">
        <is>
          <t>food for two beadles and 4 ploughmen according to custom at Christmas and Easter 1 shilling.</t>
        </is>
      </c>
      <c r="C126" t="n">
        <v>0.05</v>
      </c>
      <c r="D126" t="n">
        <v>0</v>
      </c>
      <c r="E126" t="n">
        <v>1</v>
      </c>
      <c r="F126" t="n">
        <v>0</v>
      </c>
      <c r="H126" t="n">
        <v>0</v>
      </c>
      <c r="I126" t="n">
        <v>0</v>
      </c>
      <c r="J126" t="n">
        <v>0</v>
      </c>
      <c r="K126" t="n">
        <v>0</v>
      </c>
      <c r="L126" t="n">
        <v>0</v>
      </c>
      <c r="M126" t="n">
        <v>0</v>
      </c>
      <c r="N126" t="n">
        <v>0</v>
      </c>
    </row>
    <row r="127">
      <c r="A127" t="inlineStr">
        <is>
          <t>Cost of ploughs</t>
        </is>
      </c>
      <c r="B127" t="inlineStr">
        <is>
          <t>food for 8 workers according to the same custom 8pence.</t>
        </is>
      </c>
      <c r="C127" t="n">
        <v>0.03</v>
      </c>
      <c r="D127" t="n">
        <v>0</v>
      </c>
      <c r="E127" t="n">
        <v>0</v>
      </c>
      <c r="F127" t="n">
        <v>8</v>
      </c>
      <c r="H127" t="n">
        <v>0</v>
      </c>
      <c r="I127" t="n">
        <v>0</v>
      </c>
      <c r="J127" t="n">
        <v>0</v>
      </c>
      <c r="K127" t="n">
        <v>0</v>
      </c>
      <c r="L127" t="n">
        <v>0</v>
      </c>
      <c r="M127" t="n">
        <v>0</v>
      </c>
      <c r="N127" t="n">
        <v>0</v>
      </c>
    </row>
    <row r="128">
      <c r="A128" t="inlineStr">
        <is>
          <t>Cost of ploughs</t>
        </is>
      </c>
      <c r="B128" t="inlineStr">
        <is>
          <t>stipend of 4 oxherds and 1 swineherd for the year 12 shilling 6pence, or 2 shilling 6pence each.</t>
        </is>
      </c>
      <c r="C128" t="n">
        <v>0.62</v>
      </c>
      <c r="D128" t="n">
        <v>0</v>
      </c>
      <c r="E128" t="n">
        <v>12</v>
      </c>
      <c r="F128" t="n">
        <v>6</v>
      </c>
      <c r="H128" t="n">
        <v>0</v>
      </c>
      <c r="I128" t="n">
        <v>0</v>
      </c>
      <c r="J128" t="n">
        <v>0</v>
      </c>
      <c r="K128" t="n">
        <v>0</v>
      </c>
      <c r="L128" t="n">
        <v>0</v>
      </c>
      <c r="M128" t="n">
        <v>0</v>
      </c>
      <c r="N128" t="n">
        <v>0</v>
      </c>
    </row>
    <row r="129">
      <c r="A129" t="inlineStr">
        <is>
          <t>Cost of ploughs</t>
        </is>
      </c>
      <c r="B129" t="inlineStr">
        <is>
          <t>.</t>
        </is>
      </c>
      <c r="C129" t="n">
        <v>0</v>
      </c>
      <c r="D129" t="n">
        <v>0</v>
      </c>
      <c r="E129" t="n">
        <v>0</v>
      </c>
      <c r="F129" t="n">
        <v>0</v>
      </c>
      <c r="H129" t="n">
        <v>0</v>
      </c>
      <c r="I129" t="n">
        <v>0</v>
      </c>
      <c r="J129" t="n">
        <v>0</v>
      </c>
      <c r="K129" t="n">
        <v>0</v>
      </c>
      <c r="L129" t="n">
        <v>0</v>
      </c>
      <c r="M129" t="n">
        <v>0</v>
      </c>
      <c r="N129" t="n">
        <v>0</v>
      </c>
    </row>
    <row r="130">
      <c r="A130" t="inlineStr">
        <is>
          <t>Cost of ploughs</t>
        </is>
      </c>
      <c r="B130" t="inlineStr">
        <is>
          <t>stipend of 1 park-keeper and hayward for the year 6 shilling 8pence.</t>
        </is>
      </c>
      <c r="C130" t="n">
        <v>0.33</v>
      </c>
      <c r="D130" t="n">
        <v>0</v>
      </c>
      <c r="E130" t="n">
        <v>6</v>
      </c>
      <c r="F130" t="n">
        <v>8</v>
      </c>
      <c r="H130" t="n">
        <v>0</v>
      </c>
      <c r="I130" t="n">
        <v>0</v>
      </c>
      <c r="J130" t="n">
        <v>0</v>
      </c>
      <c r="K130" t="n">
        <v>0</v>
      </c>
      <c r="L130" t="n">
        <v>0</v>
      </c>
      <c r="M130" t="n">
        <v>0</v>
      </c>
      <c r="N130" t="n">
        <v>0</v>
      </c>
    </row>
    <row r="131">
      <c r="A131" t="inlineStr">
        <is>
          <t>Cost of ploughs</t>
        </is>
      </c>
      <c r="B131" t="inlineStr">
        <is>
          <t>quittance of the ploughmen of Corfe for 10 Saturday ploughings 1 shilling 3pence, at 1.5pence a Saturday.</t>
        </is>
      </c>
      <c r="C131" t="n">
        <v>0.06</v>
      </c>
      <c r="D131" t="n">
        <v>0</v>
      </c>
      <c r="E131" t="n">
        <v>1</v>
      </c>
      <c r="F131" t="n">
        <v>3</v>
      </c>
      <c r="H131" t="n">
        <v>0</v>
      </c>
      <c r="I131" t="n">
        <v>0</v>
      </c>
      <c r="J131" t="n">
        <v>0</v>
      </c>
      <c r="K131" t="n">
        <v>0</v>
      </c>
      <c r="L131" t="n">
        <v>0</v>
      </c>
      <c r="M131" t="n">
        <v>0</v>
      </c>
      <c r="N131" t="n">
        <v>0</v>
      </c>
    </row>
    <row r="132">
      <c r="A132" t="inlineStr">
        <is>
          <t>Cost of ploughs</t>
        </is>
      </c>
      <c r="B132" t="inlineStr">
        <is>
          <t>.</t>
        </is>
      </c>
      <c r="C132" t="n">
        <v>0</v>
      </c>
      <c r="D132" t="n">
        <v>0</v>
      </c>
      <c r="E132" t="n">
        <v>0</v>
      </c>
      <c r="F132" t="n">
        <v>0</v>
      </c>
      <c r="H132" t="n">
        <v>0</v>
      </c>
      <c r="I132" t="n">
        <v>0</v>
      </c>
      <c r="J132" t="n">
        <v>0</v>
      </c>
      <c r="K132" t="n">
        <v>0</v>
      </c>
      <c r="L132" t="n">
        <v>0</v>
      </c>
      <c r="M132" t="n">
        <v>0</v>
      </c>
      <c r="N132" t="n">
        <v>0</v>
      </c>
    </row>
    <row r="133">
      <c r="A133" t="inlineStr">
        <is>
          <t>Cost of ploughs</t>
        </is>
      </c>
      <c r="B133" t="inlineStr">
        <is>
          <t>quittance of the ploughmen and beadle of Poundisford for 32 Saturday ploughings 4 shilling, at 1.5pence a Saturday.</t>
        </is>
      </c>
      <c r="C133" t="n">
        <v>0.21</v>
      </c>
      <c r="D133" t="n">
        <v>0</v>
      </c>
      <c r="E133" t="n">
        <v>4</v>
      </c>
      <c r="F133" t="n">
        <v>1.5</v>
      </c>
      <c r="H133" t="n">
        <v>0</v>
      </c>
      <c r="I133" t="n">
        <v>0</v>
      </c>
      <c r="J133" t="n">
        <v>0</v>
      </c>
      <c r="K133" t="n">
        <v>0</v>
      </c>
      <c r="L133" t="n">
        <v>0</v>
      </c>
      <c r="M133" t="n">
        <v>0</v>
      </c>
      <c r="N133" t="n">
        <v>0</v>
      </c>
    </row>
    <row r="134">
      <c r="A134" t="inlineStr">
        <is>
          <t>Cost of ploughs</t>
        </is>
      </c>
      <c r="B134" t="inlineStr">
        <is>
          <t>.</t>
        </is>
      </c>
      <c r="C134" t="n">
        <v>0</v>
      </c>
      <c r="D134" t="n">
        <v>0</v>
      </c>
      <c r="E134" t="n">
        <v>0</v>
      </c>
      <c r="F134" t="n">
        <v>0</v>
      </c>
      <c r="H134" t="n">
        <v>0</v>
      </c>
      <c r="I134" t="n">
        <v>0</v>
      </c>
      <c r="J134" t="n">
        <v>0</v>
      </c>
      <c r="K134" t="n">
        <v>0</v>
      </c>
      <c r="L134" t="n">
        <v>0</v>
      </c>
      <c r="M134" t="n">
        <v>0</v>
      </c>
      <c r="N134" t="n">
        <v>0</v>
      </c>
    </row>
    <row r="135">
      <c r="A135" t="inlineStr">
        <is>
          <t>Cost of ploughs</t>
        </is>
      </c>
      <c r="B135" t="inlineStr">
        <is>
          <t>21 quarters of charcoal made for making and repairing the ironwork of 4 ploughs for the year 2 shilling 7.5pence.</t>
        </is>
      </c>
      <c r="C135" t="n">
        <v>0.13</v>
      </c>
      <c r="D135" t="n">
        <v>0</v>
      </c>
      <c r="E135" t="n">
        <v>2</v>
      </c>
      <c r="F135" t="n">
        <v>7.5</v>
      </c>
      <c r="H135" t="n">
        <v>21</v>
      </c>
      <c r="I135" t="n">
        <v>0</v>
      </c>
      <c r="J135" t="n">
        <v>21</v>
      </c>
      <c r="K135" t="n">
        <v>21</v>
      </c>
      <c r="L135" t="n">
        <v>0</v>
      </c>
      <c r="M135" t="n">
        <v>21</v>
      </c>
      <c r="N135" t="n">
        <v>0</v>
      </c>
    </row>
    <row r="136">
      <c r="A136" t="inlineStr">
        <is>
          <t>Cost of ploughs</t>
        </is>
      </c>
      <c r="B136" t="inlineStr">
        <is>
          <t>shoeing I plough-horse harrowing at two sowings 5pence.</t>
        </is>
      </c>
      <c r="C136" t="n">
        <v>0.02</v>
      </c>
      <c r="D136" t="n">
        <v>0</v>
      </c>
      <c r="E136" t="n">
        <v>0</v>
      </c>
      <c r="F136" t="n">
        <v>5</v>
      </c>
      <c r="H136" t="n">
        <v>0</v>
      </c>
      <c r="I136" t="n">
        <v>0</v>
      </c>
      <c r="J136" t="n">
        <v>0</v>
      </c>
      <c r="K136" t="n">
        <v>0</v>
      </c>
      <c r="L136" t="n">
        <v>0</v>
      </c>
      <c r="M136" t="n">
        <v>0</v>
      </c>
      <c r="N136" t="n">
        <v>0</v>
      </c>
    </row>
    <row r="137">
      <c r="A137" t="inlineStr">
        <is>
          <t>Cost of ploughs</t>
        </is>
      </c>
      <c r="B137" t="inlineStr">
        <is>
          <t>37 quarters 6 bushels of wheat bought for forage from customary tenants 6 shilling 3.5pence, at 2pence a quarters of forage.</t>
        </is>
      </c>
      <c r="C137" t="n">
        <v>0.31</v>
      </c>
      <c r="D137" t="n">
        <v>0</v>
      </c>
      <c r="E137" t="n">
        <v>6</v>
      </c>
      <c r="F137" t="n">
        <v>3.5</v>
      </c>
      <c r="G137" t="inlineStr">
        <is>
          <t>wheat</t>
        </is>
      </c>
      <c r="H137" t="n">
        <v>37</v>
      </c>
      <c r="I137" t="n">
        <v>6</v>
      </c>
      <c r="J137" t="n">
        <v>37.75</v>
      </c>
      <c r="K137" t="n">
        <v>37.75</v>
      </c>
      <c r="L137" t="n">
        <v>0</v>
      </c>
      <c r="M137" t="n">
        <v>37</v>
      </c>
      <c r="N137" t="n">
        <v>6</v>
      </c>
    </row>
    <row r="138">
      <c r="A138" t="inlineStr">
        <is>
          <t>Cost of ploughs</t>
        </is>
      </c>
      <c r="B138" t="inlineStr">
        <is>
          <t>.</t>
        </is>
      </c>
      <c r="C138" t="n">
        <v>0</v>
      </c>
      <c r="D138" t="n">
        <v>0</v>
      </c>
      <c r="E138" t="n">
        <v>0</v>
      </c>
      <c r="F138" t="n">
        <v>0</v>
      </c>
      <c r="H138" t="n">
        <v>0</v>
      </c>
      <c r="I138" t="n">
        <v>0</v>
      </c>
      <c r="J138" t="n">
        <v>0</v>
      </c>
      <c r="K138" t="n">
        <v>0</v>
      </c>
      <c r="L138" t="n">
        <v>0</v>
      </c>
      <c r="M138" t="n">
        <v>0</v>
      </c>
      <c r="N138" t="n">
        <v>0</v>
      </c>
    </row>
    <row r="139">
      <c r="A139" t="inlineStr">
        <is>
          <t>Cost of ploughs</t>
        </is>
      </c>
      <c r="B139" t="inlineStr">
        <is>
          <t>64 quarters of oats bought for forage from the same customary tenants 5 shilling 3.5pence, at 1pence a quarters of forage.</t>
        </is>
      </c>
      <c r="C139" t="n">
        <v>0.26</v>
      </c>
      <c r="D139" t="n">
        <v>0</v>
      </c>
      <c r="E139" t="n">
        <v>5</v>
      </c>
      <c r="F139" t="n">
        <v>3.5</v>
      </c>
      <c r="G139" t="inlineStr">
        <is>
          <t>oats</t>
        </is>
      </c>
      <c r="H139" t="n">
        <v>64</v>
      </c>
      <c r="I139" t="n">
        <v>0</v>
      </c>
      <c r="J139" t="n">
        <v>64</v>
      </c>
      <c r="K139" t="n">
        <v>64</v>
      </c>
      <c r="L139" t="n">
        <v>0</v>
      </c>
      <c r="M139" t="n">
        <v>64</v>
      </c>
      <c r="N139" t="n">
        <v>0</v>
      </c>
    </row>
    <row r="140">
      <c r="A140" t="inlineStr">
        <is>
          <t>Cost of ploughs</t>
        </is>
      </c>
      <c r="B140" t="inlineStr">
        <is>
          <t>Total, £3 13 shilling 5.5pence</t>
        </is>
      </c>
      <c r="C140" t="n">
        <v>3.67</v>
      </c>
      <c r="D140" t="n">
        <v>3</v>
      </c>
      <c r="E140" t="n">
        <v>13</v>
      </c>
      <c r="F140" t="n">
        <v>5.5</v>
      </c>
      <c r="H140" t="n">
        <v>0</v>
      </c>
      <c r="I140" t="n">
        <v>0</v>
      </c>
      <c r="J140" t="n">
        <v>0</v>
      </c>
      <c r="K140" t="n">
        <v>0</v>
      </c>
      <c r="L140" t="n">
        <v>0</v>
      </c>
      <c r="M140" t="n">
        <v>0</v>
      </c>
      <c r="N140" t="n">
        <v>0</v>
      </c>
    </row>
    <row r="141">
      <c r="A141" t="inlineStr">
        <is>
          <t>Purchase of corn</t>
        </is>
      </c>
      <c r="B141" t="inlineStr">
        <is>
          <t>In 19 quarters 6.5 bushels of maslin bought £3 16 shilling 7pence, at 3 shilling 4pence a quarters for 4 quarters, and 4 shilling a quarters for 15 quarters 6.5 bushels.</t>
        </is>
      </c>
      <c r="C141" t="n">
        <v>3.83</v>
      </c>
      <c r="D141" t="n">
        <v>3</v>
      </c>
      <c r="E141" t="n">
        <v>16</v>
      </c>
      <c r="F141" t="n">
        <v>7</v>
      </c>
      <c r="G141" t="inlineStr">
        <is>
          <t>maslin</t>
        </is>
      </c>
      <c r="H141" t="n">
        <v>19</v>
      </c>
      <c r="I141" t="n">
        <v>6.5</v>
      </c>
      <c r="J141" t="n">
        <v>19.8125</v>
      </c>
      <c r="K141" t="n">
        <v>19.8125</v>
      </c>
      <c r="L141" t="n">
        <v>0</v>
      </c>
      <c r="M141" t="n">
        <v>19</v>
      </c>
      <c r="N141" t="n">
        <v>6.5</v>
      </c>
      <c r="O141" t="n">
        <v>4</v>
      </c>
      <c r="P141" t="n">
        <v>0</v>
      </c>
      <c r="Q141" t="n">
        <v>15</v>
      </c>
      <c r="R141" t="n">
        <v>6.5</v>
      </c>
      <c r="S141" t="n">
        <v>3</v>
      </c>
      <c r="T141" t="n">
        <v>4</v>
      </c>
      <c r="U141" t="n">
        <v>4</v>
      </c>
      <c r="V141" t="n">
        <v>0</v>
      </c>
    </row>
    <row r="142">
      <c r="A142" t="inlineStr">
        <is>
          <t>Purchase of corn</t>
        </is>
      </c>
      <c r="B142" t="inlineStr">
        <is>
          <t>75 quarters of oats bought from customary tenants according to custom £5 12 shilling 6pence, at 1 shilling 6pence a quarters.</t>
        </is>
      </c>
      <c r="C142" t="n">
        <v>5.62</v>
      </c>
      <c r="D142" t="n">
        <v>5</v>
      </c>
      <c r="E142" t="n">
        <v>12</v>
      </c>
      <c r="F142" t="n">
        <v>6</v>
      </c>
      <c r="G142" t="inlineStr">
        <is>
          <t>oats</t>
        </is>
      </c>
      <c r="H142" t="n">
        <v>75</v>
      </c>
      <c r="I142" t="n">
        <v>0</v>
      </c>
      <c r="J142" t="n">
        <v>75</v>
      </c>
      <c r="K142" t="n">
        <v>75</v>
      </c>
      <c r="L142" t="n">
        <v>0</v>
      </c>
      <c r="M142" t="n">
        <v>75</v>
      </c>
      <c r="N142" t="n">
        <v>0</v>
      </c>
      <c r="S142" t="n">
        <v>1</v>
      </c>
      <c r="T142" t="n">
        <v>6</v>
      </c>
    </row>
    <row r="143">
      <c r="A143" t="inlineStr">
        <is>
          <t>Purchase of corn</t>
        </is>
      </c>
      <c r="B143" t="inlineStr">
        <is>
          <t>Total, £9 9 shilling 1pence</t>
        </is>
      </c>
      <c r="C143" t="n">
        <v>9.449999999999999</v>
      </c>
      <c r="D143" t="n">
        <v>9</v>
      </c>
      <c r="E143" t="n">
        <v>9</v>
      </c>
      <c r="F143" t="n">
        <v>1</v>
      </c>
      <c r="H143" t="n">
        <v>0</v>
      </c>
      <c r="I143" t="n">
        <v>0</v>
      </c>
      <c r="J143" t="n">
        <v>0</v>
      </c>
      <c r="K143" t="n">
        <v>0</v>
      </c>
      <c r="L143" t="n">
        <v>0</v>
      </c>
      <c r="M143" t="n">
        <v>0</v>
      </c>
      <c r="N143" t="n">
        <v>0</v>
      </c>
    </row>
    <row r="144">
      <c r="A144" t="inlineStr">
        <is>
          <t>Cost of wagons</t>
        </is>
      </c>
      <c r="B144" t="inlineStr">
        <is>
          <t>In 1 pair of wheels 4 shilling 11pence.</t>
        </is>
      </c>
      <c r="C144" t="n">
        <v>0.25</v>
      </c>
      <c r="D144" t="n">
        <v>0</v>
      </c>
      <c r="E144" t="n">
        <v>4</v>
      </c>
      <c r="F144" t="n">
        <v>11</v>
      </c>
      <c r="H144" t="n">
        <v>0</v>
      </c>
      <c r="I144" t="n">
        <v>0</v>
      </c>
      <c r="J144" t="n">
        <v>0</v>
      </c>
      <c r="K144" t="n">
        <v>0</v>
      </c>
      <c r="L144" t="n">
        <v>0</v>
      </c>
      <c r="M144" t="n">
        <v>0</v>
      </c>
      <c r="N144" t="n">
        <v>0</v>
      </c>
    </row>
    <row r="145">
      <c r="A145" t="inlineStr">
        <is>
          <t>Cost of wagons</t>
        </is>
      </c>
      <c r="B145" t="inlineStr">
        <is>
          <t>fitting 1 new binding (ligatura) to the same wheels 8 shilling 0.25pence.</t>
        </is>
      </c>
      <c r="C145" t="n">
        <v>0.4</v>
      </c>
      <c r="D145" t="n">
        <v>0</v>
      </c>
      <c r="E145" t="n">
        <v>8</v>
      </c>
      <c r="F145" t="n">
        <v>0.25</v>
      </c>
      <c r="H145" t="n">
        <v>0</v>
      </c>
      <c r="I145" t="n">
        <v>0</v>
      </c>
      <c r="J145" t="n">
        <v>0</v>
      </c>
      <c r="K145" t="n">
        <v>0</v>
      </c>
      <c r="L145" t="n">
        <v>0</v>
      </c>
      <c r="M145" t="n">
        <v>0</v>
      </c>
      <c r="N145" t="n">
        <v>0</v>
      </c>
    </row>
    <row r="146">
      <c r="A146" t="inlineStr">
        <is>
          <t>Cost of wagons</t>
        </is>
      </c>
      <c r="B146" t="inlineStr">
        <is>
          <t>stipend of the smith fitting the aforesaid wheels with the aforesaid binding 6pence.</t>
        </is>
      </c>
      <c r="C146" t="n">
        <v>0.03</v>
      </c>
      <c r="D146" t="n">
        <v>0</v>
      </c>
      <c r="E146" t="n">
        <v>0</v>
      </c>
      <c r="F146" t="n">
        <v>6</v>
      </c>
      <c r="H146" t="n">
        <v>0</v>
      </c>
      <c r="I146" t="n">
        <v>0</v>
      </c>
      <c r="J146" t="n">
        <v>0</v>
      </c>
      <c r="K146" t="n">
        <v>0</v>
      </c>
      <c r="L146" t="n">
        <v>0</v>
      </c>
      <c r="M146" t="n">
        <v>0</v>
      </c>
      <c r="N146" t="n">
        <v>0</v>
      </c>
    </row>
    <row r="147">
      <c r="A147" t="inlineStr">
        <is>
          <t>Cost of wagons</t>
        </is>
      </c>
      <c r="B147" t="inlineStr">
        <is>
          <t>60 large nails for mending the old wagons 10pence.</t>
        </is>
      </c>
      <c r="C147" t="n">
        <v>0.04</v>
      </c>
      <c r="D147" t="n">
        <v>0</v>
      </c>
      <c r="E147" t="n">
        <v>0</v>
      </c>
      <c r="F147" t="n">
        <v>10</v>
      </c>
      <c r="H147" t="n">
        <v>0</v>
      </c>
      <c r="I147" t="n">
        <v>0</v>
      </c>
      <c r="J147" t="n">
        <v>0</v>
      </c>
      <c r="K147" t="n">
        <v>0</v>
      </c>
      <c r="L147" t="n">
        <v>0</v>
      </c>
      <c r="M147" t="n">
        <v>0</v>
      </c>
      <c r="N147" t="n">
        <v>0</v>
      </c>
    </row>
    <row r="148">
      <c r="A148" t="inlineStr">
        <is>
          <t>Cost of wagons</t>
        </is>
      </c>
      <c r="B148" t="inlineStr">
        <is>
          <t>fitting the wagons and dung-carts (corm') with axles 4pence.</t>
        </is>
      </c>
      <c r="C148" t="n">
        <v>0.02</v>
      </c>
      <c r="D148" t="n">
        <v>0</v>
      </c>
      <c r="E148" t="n">
        <v>0</v>
      </c>
      <c r="F148" t="n">
        <v>4</v>
      </c>
      <c r="H148" t="n">
        <v>0</v>
      </c>
      <c r="I148" t="n">
        <v>0</v>
      </c>
      <c r="J148" t="n">
        <v>0</v>
      </c>
      <c r="K148" t="n">
        <v>0</v>
      </c>
      <c r="L148" t="n">
        <v>0</v>
      </c>
      <c r="M148" t="n">
        <v>0</v>
      </c>
      <c r="N148" t="n">
        <v>0</v>
      </c>
    </row>
    <row r="149">
      <c r="A149" t="inlineStr">
        <is>
          <t>Cost of wagons</t>
        </is>
      </c>
      <c r="B149" t="inlineStr">
        <is>
          <t>20 clouts with nails bought 2 shilling 8pence.</t>
        </is>
      </c>
      <c r="C149" t="n">
        <v>0.13</v>
      </c>
      <c r="D149" t="n">
        <v>0</v>
      </c>
      <c r="E149" t="n">
        <v>2</v>
      </c>
      <c r="F149" t="n">
        <v>8</v>
      </c>
      <c r="H149" t="n">
        <v>0</v>
      </c>
      <c r="I149" t="n">
        <v>0</v>
      </c>
      <c r="J149" t="n">
        <v>0</v>
      </c>
      <c r="K149" t="n">
        <v>0</v>
      </c>
      <c r="L149" t="n">
        <v>0</v>
      </c>
      <c r="M149" t="n">
        <v>0</v>
      </c>
      <c r="N149" t="n">
        <v>0</v>
      </c>
    </row>
    <row r="150">
      <c r="A150" t="inlineStr">
        <is>
          <t>Cost of wagons</t>
        </is>
      </c>
      <c r="B150" t="inlineStr">
        <is>
          <t>grease for the wagons and dung-carts 4pence.</t>
        </is>
      </c>
      <c r="C150" t="n">
        <v>0.02</v>
      </c>
      <c r="D150" t="n">
        <v>0</v>
      </c>
      <c r="E150" t="n">
        <v>0</v>
      </c>
      <c r="F150" t="n">
        <v>4</v>
      </c>
      <c r="H150" t="n">
        <v>0</v>
      </c>
      <c r="I150" t="n">
        <v>0</v>
      </c>
      <c r="J150" t="n">
        <v>0</v>
      </c>
      <c r="K150" t="n">
        <v>0</v>
      </c>
      <c r="L150" t="n">
        <v>0</v>
      </c>
      <c r="M150" t="n">
        <v>0</v>
      </c>
      <c r="N150" t="n">
        <v>0</v>
      </c>
    </row>
    <row r="151">
      <c r="A151" t="inlineStr">
        <is>
          <t>Cost of wagons</t>
        </is>
      </c>
      <c r="B151" t="inlineStr">
        <is>
          <t>trimming and sawing timber for wagons and axles 6pence.</t>
        </is>
      </c>
      <c r="C151" t="n">
        <v>0.03</v>
      </c>
      <c r="D151" t="n">
        <v>0</v>
      </c>
      <c r="E151" t="n">
        <v>0</v>
      </c>
      <c r="F151" t="n">
        <v>6</v>
      </c>
      <c r="H151" t="n">
        <v>0</v>
      </c>
      <c r="I151" t="n">
        <v>0</v>
      </c>
      <c r="J151" t="n">
        <v>0</v>
      </c>
      <c r="K151" t="n">
        <v>0</v>
      </c>
      <c r="L151" t="n">
        <v>0</v>
      </c>
      <c r="M151" t="n">
        <v>0</v>
      </c>
      <c r="N151" t="n">
        <v>0</v>
      </c>
    </row>
    <row r="152">
      <c r="A152" t="inlineStr">
        <is>
          <t>Cost of wagons</t>
        </is>
      </c>
      <c r="B152" t="inlineStr">
        <is>
          <t>making one new pair of cart-shafts and repairing wagons in preparation for harvest-time 6pence.</t>
        </is>
      </c>
      <c r="C152" t="n">
        <v>0.03</v>
      </c>
      <c r="D152" t="n">
        <v>0</v>
      </c>
      <c r="E152" t="n">
        <v>0</v>
      </c>
      <c r="F152" t="n">
        <v>6</v>
      </c>
      <c r="H152" t="n">
        <v>0</v>
      </c>
      <c r="I152" t="n">
        <v>0</v>
      </c>
      <c r="J152" t="n">
        <v>0</v>
      </c>
      <c r="K152" t="n">
        <v>0</v>
      </c>
      <c r="L152" t="n">
        <v>0</v>
      </c>
      <c r="M152" t="n">
        <v>0</v>
      </c>
      <c r="N152" t="n">
        <v>0</v>
      </c>
    </row>
    <row r="153">
      <c r="A153" t="inlineStr">
        <is>
          <t>Cost of wagons</t>
        </is>
      </c>
      <c r="B153" t="inlineStr">
        <is>
          <t>1 hemp rope bought 1 shilling Total, 19 shilling 7.25pence</t>
        </is>
      </c>
      <c r="C153" t="n">
        <v>0.08</v>
      </c>
      <c r="D153" t="n">
        <v>0</v>
      </c>
      <c r="E153" t="n">
        <v>1</v>
      </c>
      <c r="F153" t="n">
        <v>7.25</v>
      </c>
      <c r="H153" t="n">
        <v>0</v>
      </c>
      <c r="I153" t="n">
        <v>0</v>
      </c>
      <c r="J153" t="n">
        <v>0</v>
      </c>
      <c r="K153" t="n">
        <v>0</v>
      </c>
      <c r="L153" t="n">
        <v>0</v>
      </c>
      <c r="M153" t="n">
        <v>0</v>
      </c>
      <c r="N153" t="n">
        <v>0</v>
      </c>
    </row>
    <row r="154">
      <c r="A154" t="inlineStr">
        <is>
          <t>Purchase of stock</t>
        </is>
      </c>
      <c r="B154" t="inlineStr">
        <is>
          <t>In 3 cows bought before breeding £1 6 shilling 3pence, at 8 shilling 9pence each.</t>
        </is>
      </c>
      <c r="C154" t="n">
        <v>1.31</v>
      </c>
      <c r="D154" t="n">
        <v>1</v>
      </c>
      <c r="E154" t="n">
        <v>6</v>
      </c>
      <c r="F154" t="n">
        <v>3</v>
      </c>
      <c r="H154" t="n">
        <v>0</v>
      </c>
      <c r="I154" t="n">
        <v>0</v>
      </c>
      <c r="J154" t="n">
        <v>0</v>
      </c>
      <c r="K154" t="n">
        <v>0</v>
      </c>
      <c r="L154" t="n">
        <v>0</v>
      </c>
      <c r="M154" t="n">
        <v>0</v>
      </c>
      <c r="N154" t="n">
        <v>0</v>
      </c>
    </row>
    <row r="155">
      <c r="A155" t="inlineStr">
        <is>
          <t>Purchase of stock</t>
        </is>
      </c>
      <c r="B155" t="inlineStr">
        <is>
          <t>.</t>
        </is>
      </c>
      <c r="C155" t="n">
        <v>0</v>
      </c>
      <c r="D155" t="n">
        <v>0</v>
      </c>
      <c r="E155" t="n">
        <v>0</v>
      </c>
      <c r="F155" t="n">
        <v>0</v>
      </c>
      <c r="H155" t="n">
        <v>0</v>
      </c>
      <c r="I155" t="n">
        <v>0</v>
      </c>
      <c r="J155" t="n">
        <v>0</v>
      </c>
      <c r="K155" t="n">
        <v>0</v>
      </c>
      <c r="L155" t="n">
        <v>0</v>
      </c>
      <c r="M155" t="n">
        <v>0</v>
      </c>
      <c r="N155" t="n">
        <v>0</v>
      </c>
    </row>
    <row r="156">
      <c r="A156" t="inlineStr">
        <is>
          <t>Purchase of stock</t>
        </is>
      </c>
      <c r="B156" t="inlineStr">
        <is>
          <t>two cows bought after</t>
        </is>
      </c>
      <c r="C156" t="n">
        <v>0</v>
      </c>
      <c r="D156" t="n">
        <v>0</v>
      </c>
      <c r="E156" t="n">
        <v>0</v>
      </c>
      <c r="F156" t="n">
        <v>0</v>
      </c>
      <c r="H156" t="n">
        <v>0</v>
      </c>
      <c r="I156" t="n">
        <v>0</v>
      </c>
      <c r="J156" t="n">
        <v>0</v>
      </c>
      <c r="K156" t="n">
        <v>0</v>
      </c>
      <c r="L156" t="n">
        <v>0</v>
      </c>
      <c r="M156" t="n">
        <v>0</v>
      </c>
      <c r="N156" t="n">
        <v>0</v>
      </c>
    </row>
    <row r="157">
      <c r="A157" t="inlineStr">
        <is>
          <t>Purchase of stock</t>
        </is>
      </c>
      <c r="B157" t="inlineStr">
        <is>
          <t>breeding 16 shilling 9pence, at 8 shilling for one, and 8 shilling 9pence for the other.</t>
        </is>
      </c>
      <c r="C157" t="n">
        <v>0.84</v>
      </c>
      <c r="D157" t="n">
        <v>0</v>
      </c>
      <c r="E157" t="n">
        <v>16</v>
      </c>
      <c r="F157" t="n">
        <v>9</v>
      </c>
      <c r="H157" t="n">
        <v>0</v>
      </c>
      <c r="I157" t="n">
        <v>0</v>
      </c>
      <c r="J157" t="n">
        <v>0</v>
      </c>
      <c r="K157" t="n">
        <v>0</v>
      </c>
      <c r="L157" t="n">
        <v>0</v>
      </c>
      <c r="M157" t="n">
        <v>0</v>
      </c>
      <c r="N157" t="n">
        <v>0</v>
      </c>
    </row>
    <row r="158">
      <c r="A158" t="inlineStr">
        <is>
          <t>Purchase of stock</t>
        </is>
      </c>
      <c r="B158" t="inlineStr">
        <is>
          <t>Total, £2 3 shilling</t>
        </is>
      </c>
      <c r="C158" t="n">
        <v>2.15</v>
      </c>
      <c r="D158" t="n">
        <v>2</v>
      </c>
      <c r="E158" t="n">
        <v>3</v>
      </c>
      <c r="F158" t="n">
        <v>0</v>
      </c>
      <c r="H158" t="n">
        <v>0</v>
      </c>
      <c r="I158" t="n">
        <v>0</v>
      </c>
      <c r="J158" t="n">
        <v>0</v>
      </c>
      <c r="K158" t="n">
        <v>0</v>
      </c>
      <c r="L158" t="n">
        <v>0</v>
      </c>
      <c r="M158" t="n">
        <v>0</v>
      </c>
      <c r="N158" t="n">
        <v>0</v>
      </c>
    </row>
    <row r="159">
      <c r="A159" t="inlineStr">
        <is>
          <t>Repair of buildings with small expenses</t>
        </is>
      </c>
      <c r="B159" t="inlineStr">
        <is>
          <t>In re-roofing the larger barn in places 10pence.</t>
        </is>
      </c>
      <c r="C159" t="n">
        <v>0.04</v>
      </c>
      <c r="D159" t="n">
        <v>0</v>
      </c>
      <c r="E159" t="n">
        <v>0</v>
      </c>
      <c r="F159" t="n">
        <v>10</v>
      </c>
      <c r="H159" t="n">
        <v>0</v>
      </c>
      <c r="I159" t="n">
        <v>0</v>
      </c>
      <c r="J159" t="n">
        <v>0</v>
      </c>
      <c r="K159" t="n">
        <v>0</v>
      </c>
      <c r="L159" t="n">
        <v>0</v>
      </c>
      <c r="M159" t="n">
        <v>0</v>
      </c>
      <c r="N159" t="n">
        <v>0</v>
      </c>
    </row>
    <row r="160">
      <c r="A160" t="inlineStr">
        <is>
          <t>Repair of buildings with small expenses</t>
        </is>
      </c>
      <c r="B160" t="inlineStr">
        <is>
          <t>1 lock bought for the door of the same barn 4pence.</t>
        </is>
      </c>
      <c r="C160" t="n">
        <v>0.02</v>
      </c>
      <c r="D160" t="n">
        <v>0</v>
      </c>
      <c r="E160" t="n">
        <v>0</v>
      </c>
      <c r="F160" t="n">
        <v>4</v>
      </c>
      <c r="H160" t="n">
        <v>0</v>
      </c>
      <c r="I160" t="n">
        <v>0</v>
      </c>
      <c r="J160" t="n">
        <v>0</v>
      </c>
      <c r="K160" t="n">
        <v>0</v>
      </c>
      <c r="L160" t="n">
        <v>0</v>
      </c>
      <c r="M160" t="n">
        <v>0</v>
      </c>
      <c r="N160" t="n">
        <v>0</v>
      </c>
    </row>
    <row r="161">
      <c r="A161" t="inlineStr">
        <is>
          <t>Repair of buildings with small expenses</t>
        </is>
      </c>
      <c r="B161" t="inlineStr">
        <is>
          <t>one three-pronged dung-fork fitted with iron 3pence.</t>
        </is>
      </c>
      <c r="C161" t="n">
        <v>0.01</v>
      </c>
      <c r="D161" t="n">
        <v>0</v>
      </c>
      <c r="E161" t="n">
        <v>0</v>
      </c>
      <c r="F161" t="n">
        <v>3</v>
      </c>
      <c r="H161" t="n">
        <v>0</v>
      </c>
      <c r="I161" t="n">
        <v>0</v>
      </c>
      <c r="J161" t="n">
        <v>0</v>
      </c>
      <c r="K161" t="n">
        <v>0</v>
      </c>
      <c r="L161" t="n">
        <v>0</v>
      </c>
      <c r="M161" t="n">
        <v>0</v>
      </c>
      <c r="N161" t="n">
        <v>0</v>
      </c>
    </row>
    <row r="162">
      <c r="A162" t="inlineStr">
        <is>
          <t>Repair of buildings with small expenses</t>
        </is>
      </c>
      <c r="B162" t="inlineStr">
        <is>
          <t>making well (sanand') 32 female piglets 10pence.</t>
        </is>
      </c>
      <c r="C162" t="n">
        <v>0.04</v>
      </c>
      <c r="D162" t="n">
        <v>0</v>
      </c>
      <c r="E162" t="n">
        <v>0</v>
      </c>
      <c r="F162" t="n">
        <v>10</v>
      </c>
      <c r="H162" t="n">
        <v>0</v>
      </c>
      <c r="I162" t="n">
        <v>0</v>
      </c>
      <c r="J162" t="n">
        <v>0</v>
      </c>
      <c r="K162" t="n">
        <v>0</v>
      </c>
      <c r="L162" t="n">
        <v>0</v>
      </c>
      <c r="M162" t="n">
        <v>0</v>
      </c>
      <c r="N162" t="n">
        <v>0</v>
      </c>
    </row>
    <row r="163">
      <c r="A163" t="inlineStr">
        <is>
          <t>Repair of buildings with small expenses</t>
        </is>
      </c>
      <c r="B163" t="inlineStr">
        <is>
          <t>clearing dung from the curia to the fields 2 shilling 10pence.</t>
        </is>
      </c>
      <c r="C163" t="n">
        <v>0.14</v>
      </c>
      <c r="D163" t="n">
        <v>0</v>
      </c>
      <c r="E163" t="n">
        <v>2</v>
      </c>
      <c r="F163" t="n">
        <v>10</v>
      </c>
      <c r="H163" t="n">
        <v>0</v>
      </c>
      <c r="I163" t="n">
        <v>0</v>
      </c>
      <c r="J163" t="n">
        <v>0</v>
      </c>
      <c r="K163" t="n">
        <v>0</v>
      </c>
      <c r="L163" t="n">
        <v>0</v>
      </c>
      <c r="M163" t="n">
        <v>0</v>
      </c>
      <c r="N163" t="n">
        <v>0</v>
      </c>
    </row>
    <row r="164">
      <c r="A164" t="inlineStr">
        <is>
          <t>Repair of buildings with small expenses</t>
        </is>
      </c>
      <c r="B164" t="inlineStr">
        <is>
          <t>digging 12 perches of ditches beside la Westered' 9pence, at 0.75pence a perch.</t>
        </is>
      </c>
      <c r="C164" t="n">
        <v>0.04</v>
      </c>
      <c r="D164" t="n">
        <v>0</v>
      </c>
      <c r="E164" t="n">
        <v>0</v>
      </c>
      <c r="F164" t="n">
        <v>9</v>
      </c>
      <c r="H164" t="n">
        <v>0</v>
      </c>
      <c r="I164" t="n">
        <v>0</v>
      </c>
      <c r="J164" t="n">
        <v>0</v>
      </c>
      <c r="K164" t="n">
        <v>0</v>
      </c>
      <c r="L164" t="n">
        <v>0</v>
      </c>
      <c r="M164" t="n">
        <v>0</v>
      </c>
      <c r="N164" t="n">
        <v>0</v>
      </c>
    </row>
    <row r="165">
      <c r="A165" t="inlineStr">
        <is>
          <t>Repair of buildings with small expenses</t>
        </is>
      </c>
      <c r="B165" t="inlineStr">
        <is>
          <t>.</t>
        </is>
      </c>
      <c r="C165" t="n">
        <v>0</v>
      </c>
      <c r="D165" t="n">
        <v>0</v>
      </c>
      <c r="E165" t="n">
        <v>0</v>
      </c>
      <c r="F165" t="n">
        <v>0</v>
      </c>
      <c r="H165" t="n">
        <v>0</v>
      </c>
      <c r="I165" t="n">
        <v>0</v>
      </c>
      <c r="J165" t="n">
        <v>0</v>
      </c>
      <c r="K165" t="n">
        <v>0</v>
      </c>
      <c r="L165" t="n">
        <v>0</v>
      </c>
      <c r="M165" t="n">
        <v>0</v>
      </c>
      <c r="N165" t="n">
        <v>0</v>
      </c>
    </row>
    <row r="166">
      <c r="A166" t="inlineStr">
        <is>
          <t>Repair of buildings with small expenses</t>
        </is>
      </c>
      <c r="B166" t="inlineStr">
        <is>
          <t>digging 20 perches of ditches there 1 shilling 8pence Total, 7 shilling 6pence</t>
        </is>
      </c>
      <c r="C166" t="n">
        <v>0.08</v>
      </c>
      <c r="D166" t="n">
        <v>0</v>
      </c>
      <c r="E166" t="n">
        <v>1</v>
      </c>
      <c r="F166" t="n">
        <v>8</v>
      </c>
      <c r="H166" t="n">
        <v>0</v>
      </c>
      <c r="I166" t="n">
        <v>0</v>
      </c>
      <c r="J166" t="n">
        <v>0</v>
      </c>
      <c r="K166" t="n">
        <v>0</v>
      </c>
      <c r="L166" t="n">
        <v>0</v>
      </c>
      <c r="M166" t="n">
        <v>0</v>
      </c>
      <c r="N166" t="n">
        <v>0</v>
      </c>
    </row>
    <row r="167">
      <c r="A167" t="inlineStr">
        <is>
          <t>Threshing of corn</t>
        </is>
      </c>
      <c r="B167" t="inlineStr">
        <is>
          <t>In threshing 20 quarters 6 bushels of wheat by piece-work 4 shilling 4pence, at 2.5pence a heaped quarter.</t>
        </is>
      </c>
      <c r="C167" t="n">
        <v>0.22</v>
      </c>
      <c r="D167" t="n">
        <v>0</v>
      </c>
      <c r="E167" t="n">
        <v>4</v>
      </c>
      <c r="F167" t="n">
        <v>4</v>
      </c>
      <c r="G167" t="inlineStr">
        <is>
          <t>wheat</t>
        </is>
      </c>
      <c r="H167" t="n">
        <v>20</v>
      </c>
      <c r="I167" t="n">
        <v>6</v>
      </c>
      <c r="J167" t="n">
        <v>20.75</v>
      </c>
      <c r="K167" t="n">
        <v>20.75</v>
      </c>
      <c r="L167" t="n">
        <v>0</v>
      </c>
      <c r="M167" t="n">
        <v>20</v>
      </c>
      <c r="N167" t="n">
        <v>6</v>
      </c>
    </row>
    <row r="168">
      <c r="A168" t="inlineStr">
        <is>
          <t>Threshing of corn</t>
        </is>
      </c>
      <c r="B168" t="inlineStr">
        <is>
          <t>Total, 4 shilling 4pence</t>
        </is>
      </c>
      <c r="C168" t="n">
        <v>0.22</v>
      </c>
      <c r="D168" t="n">
        <v>0</v>
      </c>
      <c r="E168" t="n">
        <v>4</v>
      </c>
      <c r="F168" t="n">
        <v>4</v>
      </c>
      <c r="H168" t="n">
        <v>0</v>
      </c>
      <c r="I168" t="n">
        <v>0</v>
      </c>
      <c r="J168" t="n">
        <v>0</v>
      </c>
      <c r="K168" t="n">
        <v>0</v>
      </c>
      <c r="L168" t="n">
        <v>0</v>
      </c>
      <c r="M168" t="n">
        <v>0</v>
      </c>
      <c r="N168" t="n">
        <v>0</v>
      </c>
    </row>
    <row r="169">
      <c r="A169" t="inlineStr">
        <is>
          <t>Cost of mills</t>
        </is>
      </c>
      <c r="B169" t="inlineStr">
        <is>
          <t>In repairing the collar of the spindle of the mill of Pitminster with iron bought for the same 6.5pence.</t>
        </is>
      </c>
      <c r="C169" t="n">
        <v>0.03</v>
      </c>
      <c r="D169" t="n">
        <v>0</v>
      </c>
      <c r="E169" t="n">
        <v>0</v>
      </c>
      <c r="F169" t="n">
        <v>6.5</v>
      </c>
      <c r="H169" t="n">
        <v>0</v>
      </c>
      <c r="I169" t="n">
        <v>0</v>
      </c>
      <c r="J169" t="n">
        <v>0</v>
      </c>
      <c r="K169" t="n">
        <v>0</v>
      </c>
      <c r="L169" t="n">
        <v>0</v>
      </c>
      <c r="M169" t="n">
        <v>0</v>
      </c>
      <c r="N169" t="n">
        <v>0</v>
      </c>
    </row>
    <row r="170">
      <c r="A170" t="inlineStr">
        <is>
          <t>Cost of mills</t>
        </is>
      </c>
      <c r="B170" t="inlineStr">
        <is>
          <t>1 iron hoop for putting in the hole of the millstone lying in the same mill 4.5pence.</t>
        </is>
      </c>
      <c r="C170" t="n">
        <v>0.02</v>
      </c>
      <c r="D170" t="n">
        <v>0</v>
      </c>
      <c r="E170" t="n">
        <v>0</v>
      </c>
      <c r="F170" t="n">
        <v>4.5</v>
      </c>
      <c r="H170" t="n">
        <v>0</v>
      </c>
      <c r="I170" t="n">
        <v>0</v>
      </c>
      <c r="J170" t="n">
        <v>0</v>
      </c>
      <c r="K170" t="n">
        <v>0</v>
      </c>
      <c r="L170" t="n">
        <v>0</v>
      </c>
      <c r="M170" t="n">
        <v>0</v>
      </c>
      <c r="N170" t="n">
        <v>0</v>
      </c>
    </row>
    <row r="171">
      <c r="A171" t="inlineStr">
        <is>
          <t>Cost of mills</t>
        </is>
      </c>
      <c r="B171" t="inlineStr">
        <is>
          <t>2 baskets bought in which to measure corn at both mills 4pence.</t>
        </is>
      </c>
      <c r="C171" t="n">
        <v>0.02</v>
      </c>
      <c r="D171" t="n">
        <v>0</v>
      </c>
      <c r="E171" t="n">
        <v>0</v>
      </c>
      <c r="F171" t="n">
        <v>4</v>
      </c>
      <c r="H171" t="n">
        <v>0</v>
      </c>
      <c r="I171" t="n">
        <v>0</v>
      </c>
      <c r="J171" t="n">
        <v>0</v>
      </c>
      <c r="K171" t="n">
        <v>0</v>
      </c>
      <c r="L171" t="n">
        <v>0</v>
      </c>
      <c r="M171" t="n">
        <v>0</v>
      </c>
      <c r="N171" t="n">
        <v>0</v>
      </c>
    </row>
    <row r="172">
      <c r="A172" t="inlineStr">
        <is>
          <t>Cost of mills</t>
        </is>
      </c>
      <c r="B172" t="inlineStr">
        <is>
          <t>toll of one rester of ale (uno tolsester) at the mill of Trull 1pence.</t>
        </is>
      </c>
      <c r="C172" t="n">
        <v>0</v>
      </c>
      <c r="D172" t="n">
        <v>0</v>
      </c>
      <c r="E172" t="n">
        <v>0</v>
      </c>
      <c r="F172" t="n">
        <v>1</v>
      </c>
      <c r="H172" t="n">
        <v>0</v>
      </c>
      <c r="I172" t="n">
        <v>0</v>
      </c>
      <c r="J172" t="n">
        <v>0</v>
      </c>
      <c r="K172" t="n">
        <v>0</v>
      </c>
      <c r="L172" t="n">
        <v>0</v>
      </c>
      <c r="M172" t="n">
        <v>0</v>
      </c>
      <c r="N172" t="n">
        <v>0</v>
      </c>
    </row>
    <row r="173">
      <c r="A173" t="inlineStr">
        <is>
          <t>Cost of mills</t>
        </is>
      </c>
      <c r="B173" t="inlineStr">
        <is>
          <t>iron and steel for renewing the bills of both mills with the stipend of the smith 1 shilling 1pence.</t>
        </is>
      </c>
      <c r="C173" t="n">
        <v>0.05</v>
      </c>
      <c r="D173" t="n">
        <v>0</v>
      </c>
      <c r="E173" t="n">
        <v>1</v>
      </c>
      <c r="F173" t="n">
        <v>1</v>
      </c>
      <c r="H173" t="n">
        <v>0</v>
      </c>
      <c r="I173" t="n">
        <v>0</v>
      </c>
      <c r="J173" t="n">
        <v>0</v>
      </c>
      <c r="K173" t="n">
        <v>0</v>
      </c>
      <c r="L173" t="n">
        <v>0</v>
      </c>
      <c r="M173" t="n">
        <v>0</v>
      </c>
      <c r="N173" t="n">
        <v>0</v>
      </c>
    </row>
    <row r="174">
      <c r="A174" t="inlineStr">
        <is>
          <t>Cost of mills</t>
        </is>
      </c>
      <c r="B174" t="inlineStr">
        <is>
          <t>sharpening the same bills for the year 6pence Total, 2 shilling 11pence</t>
        </is>
      </c>
      <c r="C174" t="n">
        <v>0.12</v>
      </c>
      <c r="D174" t="n">
        <v>0</v>
      </c>
      <c r="E174" t="n">
        <v>2</v>
      </c>
      <c r="F174" t="n">
        <v>6</v>
      </c>
      <c r="H174" t="n">
        <v>0</v>
      </c>
      <c r="I174" t="n">
        <v>0</v>
      </c>
      <c r="J174" t="n">
        <v>0</v>
      </c>
      <c r="K174" t="n">
        <v>0</v>
      </c>
      <c r="L174" t="n">
        <v>0</v>
      </c>
      <c r="M174" t="n">
        <v>0</v>
      </c>
      <c r="N174" t="n">
        <v>0</v>
      </c>
    </row>
    <row r="175">
      <c r="A175" t="inlineStr">
        <is>
          <t>Cost of the harvest</t>
        </is>
      </c>
      <c r="B175" t="inlineStr">
        <is>
          <t>In customary payment for the mowing of 17 acres of meadow at Corfe 6pence.</t>
        </is>
      </c>
      <c r="C175" t="n">
        <v>0.03</v>
      </c>
      <c r="D175" t="n">
        <v>0</v>
      </c>
      <c r="E175" t="n">
        <v>0</v>
      </c>
      <c r="F175" t="n">
        <v>6</v>
      </c>
      <c r="H175" t="n">
        <v>0</v>
      </c>
      <c r="I175" t="n">
        <v>0</v>
      </c>
      <c r="J175" t="n">
        <v>0</v>
      </c>
      <c r="K175" t="n">
        <v>0</v>
      </c>
      <c r="L175" t="n">
        <v>0</v>
      </c>
      <c r="M175" t="n">
        <v>0</v>
      </c>
      <c r="N175" t="n">
        <v>0</v>
      </c>
    </row>
    <row r="176">
      <c r="A176" t="inlineStr">
        <is>
          <t>Cost of the harvest</t>
        </is>
      </c>
      <c r="B176" t="inlineStr">
        <is>
          <t>mowing 1 acre of meadow which belonged to the Prior of Taunton there 5pence.</t>
        </is>
      </c>
      <c r="C176" t="n">
        <v>0.02</v>
      </c>
      <c r="D176" t="n">
        <v>0</v>
      </c>
      <c r="E176" t="n">
        <v>0</v>
      </c>
      <c r="F176" t="n">
        <v>5</v>
      </c>
      <c r="H176" t="n">
        <v>0</v>
      </c>
      <c r="I176" t="n">
        <v>0</v>
      </c>
      <c r="J176" t="n">
        <v>0</v>
      </c>
      <c r="K176" t="n">
        <v>0</v>
      </c>
      <c r="L176" t="n">
        <v>0</v>
      </c>
      <c r="M176" t="n">
        <v>0</v>
      </c>
      <c r="N176" t="n">
        <v>0</v>
      </c>
    </row>
    <row r="177">
      <c r="A177" t="inlineStr">
        <is>
          <t>Cost of the harvest</t>
        </is>
      </c>
      <c r="B177" t="inlineStr">
        <is>
          <t>customary payment for the mowing of 13 acres of meadow at Poundisford 6pence.</t>
        </is>
      </c>
      <c r="C177" t="n">
        <v>0.03</v>
      </c>
      <c r="D177" t="n">
        <v>0</v>
      </c>
      <c r="E177" t="n">
        <v>0</v>
      </c>
      <c r="F177" t="n">
        <v>6</v>
      </c>
      <c r="H177" t="n">
        <v>0</v>
      </c>
      <c r="I177" t="n">
        <v>0</v>
      </c>
      <c r="J177" t="n">
        <v>0</v>
      </c>
      <c r="K177" t="n">
        <v>0</v>
      </c>
      <c r="L177" t="n">
        <v>0</v>
      </c>
      <c r="M177" t="n">
        <v>0</v>
      </c>
      <c r="N177" t="n">
        <v>0</v>
      </c>
    </row>
    <row r="178">
      <c r="A178" t="inlineStr">
        <is>
          <t>Cost of the harvest</t>
        </is>
      </c>
      <c r="B178" t="inlineStr">
        <is>
          <t>customary payment for the boon-reaping at Corfe 5pence.</t>
        </is>
      </c>
      <c r="C178" t="n">
        <v>0.02</v>
      </c>
      <c r="D178" t="n">
        <v>0</v>
      </c>
      <c r="E178" t="n">
        <v>0</v>
      </c>
      <c r="F178" t="n">
        <v>5</v>
      </c>
      <c r="H178" t="n">
        <v>0</v>
      </c>
      <c r="I178" t="n">
        <v>0</v>
      </c>
      <c r="J178" t="n">
        <v>0</v>
      </c>
      <c r="K178" t="n">
        <v>0</v>
      </c>
      <c r="L178" t="n">
        <v>0</v>
      </c>
      <c r="M178" t="n">
        <v>0</v>
      </c>
      <c r="N178" t="n">
        <v>0</v>
      </c>
    </row>
    <row r="179">
      <c r="A179" t="inlineStr">
        <is>
          <t>Cost of the harvest</t>
        </is>
      </c>
      <c r="B179" t="inlineStr">
        <is>
          <t>customary payment for the boon-reaping at Poundisford 9pence.</t>
        </is>
      </c>
      <c r="C179" t="n">
        <v>0.04</v>
      </c>
      <c r="D179" t="n">
        <v>0</v>
      </c>
      <c r="E179" t="n">
        <v>0</v>
      </c>
      <c r="F179" t="n">
        <v>9</v>
      </c>
      <c r="H179" t="n">
        <v>0</v>
      </c>
      <c r="I179" t="n">
        <v>0</v>
      </c>
      <c r="J179" t="n">
        <v>0</v>
      </c>
      <c r="K179" t="n">
        <v>0</v>
      </c>
      <c r="L179" t="n">
        <v>0</v>
      </c>
      <c r="M179" t="n">
        <v>0</v>
      </c>
      <c r="N179" t="n">
        <v>0</v>
      </c>
    </row>
    <row r="180">
      <c r="A180" t="inlineStr">
        <is>
          <t>Cost of the harvest</t>
        </is>
      </c>
      <c r="B180" t="inlineStr">
        <is>
          <t>covering one haycock 6pence Total, 3 shilling 1pence</t>
        </is>
      </c>
      <c r="C180" t="n">
        <v>0.17</v>
      </c>
      <c r="D180" t="n">
        <v>0</v>
      </c>
      <c r="E180" t="n">
        <v>3</v>
      </c>
      <c r="F180" t="n">
        <v>6</v>
      </c>
      <c r="H180" t="n">
        <v>0</v>
      </c>
      <c r="I180" t="n">
        <v>0</v>
      </c>
      <c r="J180" t="n">
        <v>0</v>
      </c>
      <c r="K180" t="n">
        <v>0</v>
      </c>
      <c r="L180" t="n">
        <v>0</v>
      </c>
      <c r="M180" t="n">
        <v>0</v>
      </c>
      <c r="N180" t="n">
        <v>0</v>
      </c>
    </row>
    <row r="181">
      <c r="A181" t="inlineStr">
        <is>
          <t>Total of all expenses</t>
        </is>
      </c>
      <c r="B181" t="inlineStr">
        <is>
          <t>Total of all expenses, £17 2 shilling 11.25pence</t>
        </is>
      </c>
      <c r="C181" t="n">
        <v>17.15</v>
      </c>
      <c r="D181" t="n">
        <v>17</v>
      </c>
      <c r="E181" t="n">
        <v>2</v>
      </c>
      <c r="F181" t="n">
        <v>11.25</v>
      </c>
      <c r="H181" t="n">
        <v>0</v>
      </c>
      <c r="I181" t="n">
        <v>0</v>
      </c>
      <c r="J181" t="n">
        <v>0</v>
      </c>
      <c r="K181" t="n">
        <v>0</v>
      </c>
      <c r="L181" t="n">
        <v>0</v>
      </c>
      <c r="M181" t="n">
        <v>0</v>
      </c>
      <c r="N181" t="n">
        <v>0</v>
      </c>
    </row>
    <row r="182">
      <c r="A182" t="inlineStr">
        <is>
          <t>Cash deliveries</t>
        </is>
      </c>
      <c r="B182" t="inlineStr">
        <is>
          <t>Delivered to Walter de Buddelye, reeve of Taunton, £99 13 shilling 10.25pence</t>
        </is>
      </c>
      <c r="C182" t="n">
        <v>99.69</v>
      </c>
      <c r="D182" t="n">
        <v>99</v>
      </c>
      <c r="E182" t="n">
        <v>13</v>
      </c>
      <c r="F182" t="n">
        <v>10.25</v>
      </c>
      <c r="H182" t="n">
        <v>0</v>
      </c>
      <c r="I182" t="n">
        <v>0</v>
      </c>
      <c r="J182" t="n">
        <v>0</v>
      </c>
      <c r="K182" t="n">
        <v>0</v>
      </c>
      <c r="L182" t="n">
        <v>0</v>
      </c>
      <c r="M182" t="n">
        <v>0</v>
      </c>
      <c r="N182" t="n">
        <v>0</v>
      </c>
    </row>
    <row r="183">
      <c r="A183" t="inlineStr">
        <is>
          <t>Wheat</t>
        </is>
      </c>
      <c r="B183" t="inlineStr">
        <is>
          <t>{yield: two-and-a-half-fold less 5.5 bushels}</t>
        </is>
      </c>
      <c r="C183" t="n">
        <v>0</v>
      </c>
      <c r="D183" t="n">
        <v>0</v>
      </c>
      <c r="E183" t="n">
        <v>0</v>
      </c>
      <c r="F183" t="n">
        <v>0</v>
      </c>
      <c r="H183" t="n">
        <v>0</v>
      </c>
      <c r="I183" t="n">
        <v>5.5</v>
      </c>
      <c r="J183" t="n">
        <v>0.6875</v>
      </c>
      <c r="K183" t="n">
        <v>0.6875</v>
      </c>
      <c r="L183" t="n">
        <v>0</v>
      </c>
      <c r="M183" t="n">
        <v>0</v>
      </c>
      <c r="N183" t="n">
        <v>5.5</v>
      </c>
    </row>
    <row r="184">
      <c r="A184" t="inlineStr">
        <is>
          <t>Wheat</t>
        </is>
      </c>
      <c r="B184" t="inlineStr">
        <is>
          <t>The same renders account for 83 quarters 0.5 bushels from the whole issue of wheat by struck</t>
        </is>
      </c>
      <c r="C184" t="n">
        <v>0</v>
      </c>
      <c r="D184" t="n">
        <v>0</v>
      </c>
      <c r="E184" t="n">
        <v>0</v>
      </c>
      <c r="F184" t="n">
        <v>0</v>
      </c>
      <c r="G184" t="inlineStr">
        <is>
          <t>wheat</t>
        </is>
      </c>
      <c r="H184" t="n">
        <v>83</v>
      </c>
      <c r="I184" t="n">
        <v>0.5</v>
      </c>
      <c r="J184" t="n">
        <v>83.0625</v>
      </c>
      <c r="K184" t="n">
        <v>83.0625</v>
      </c>
      <c r="L184" t="n">
        <v>0</v>
      </c>
      <c r="M184" t="n">
        <v>83</v>
      </c>
      <c r="N184" t="n">
        <v>0.5</v>
      </c>
    </row>
    <row r="185">
      <c r="A185" t="inlineStr">
        <is>
          <t>Wheat</t>
        </is>
      </c>
      <c r="B185" t="inlineStr">
        <is>
          <t>measure.</t>
        </is>
      </c>
      <c r="C185" t="n">
        <v>0</v>
      </c>
      <c r="D185" t="n">
        <v>0</v>
      </c>
      <c r="E185" t="n">
        <v>0</v>
      </c>
      <c r="F185" t="n">
        <v>0</v>
      </c>
      <c r="H185" t="n">
        <v>0</v>
      </c>
      <c r="I185" t="n">
        <v>0</v>
      </c>
      <c r="J185" t="n">
        <v>0</v>
      </c>
      <c r="K185" t="n">
        <v>0</v>
      </c>
      <c r="L185" t="n">
        <v>0</v>
      </c>
      <c r="M185" t="n">
        <v>0</v>
      </c>
      <c r="N185" t="n">
        <v>0</v>
      </c>
    </row>
    <row r="186">
      <c r="A186" t="inlineStr">
        <is>
          <t>Wheat</t>
        </is>
      </c>
      <c r="B186" t="inlineStr">
        <is>
          <t>Sown over 111.5 acres at Poundisford and Corfe, 26 quarters 2 bushels.</t>
        </is>
      </c>
      <c r="C186" t="n">
        <v>0</v>
      </c>
      <c r="D186" t="n">
        <v>0</v>
      </c>
      <c r="E186" t="n">
        <v>0</v>
      </c>
      <c r="F186" t="n">
        <v>0</v>
      </c>
      <c r="H186" t="n">
        <v>26</v>
      </c>
      <c r="I186" t="n">
        <v>2</v>
      </c>
      <c r="J186" t="n">
        <v>26.25</v>
      </c>
      <c r="K186" t="n">
        <v>26.25</v>
      </c>
      <c r="L186" t="n">
        <v>0</v>
      </c>
      <c r="M186" t="n">
        <v>26</v>
      </c>
      <c r="N186" t="n">
        <v>2</v>
      </c>
    </row>
    <row r="187">
      <c r="A187" t="inlineStr">
        <is>
          <t>Wheat</t>
        </is>
      </c>
      <c r="B187" t="inlineStr">
        <is>
          <t>that is, 2 bushels an acre, less 1 quarters 5 bushels in all.</t>
        </is>
      </c>
      <c r="C187" t="n">
        <v>0</v>
      </c>
      <c r="D187" t="n">
        <v>0</v>
      </c>
      <c r="E187" t="n">
        <v>0</v>
      </c>
      <c r="F187" t="n">
        <v>0</v>
      </c>
      <c r="H187" t="n">
        <v>1</v>
      </c>
      <c r="I187" t="n">
        <v>5</v>
      </c>
      <c r="J187" t="n">
        <v>1.625</v>
      </c>
      <c r="K187" t="n">
        <v>0.25</v>
      </c>
      <c r="L187" t="n">
        <v>1.375</v>
      </c>
      <c r="M187" t="n">
        <v>0</v>
      </c>
      <c r="N187" t="n">
        <v>2</v>
      </c>
      <c r="O187" t="n">
        <v>1</v>
      </c>
      <c r="P187" t="n">
        <v>5</v>
      </c>
    </row>
    <row r="188">
      <c r="A188" t="inlineStr">
        <is>
          <t>Wheat</t>
        </is>
      </c>
      <c r="B188" t="inlineStr">
        <is>
          <t>Also sown at Poundisford by the villeins according to custom, 26.5 acres.1 Delivered to the park-keeper for the year, 4 quarters 2.5 bushels, taking a quarter every 12 weeks.</t>
        </is>
      </c>
      <c r="C188" t="n">
        <v>0</v>
      </c>
      <c r="D188" t="n">
        <v>0</v>
      </c>
      <c r="E188" t="n">
        <v>0</v>
      </c>
      <c r="F188" t="n">
        <v>0</v>
      </c>
      <c r="H188" t="n">
        <v>4</v>
      </c>
      <c r="I188" t="n">
        <v>2.5</v>
      </c>
      <c r="J188" t="n">
        <v>4.3125</v>
      </c>
      <c r="K188" t="n">
        <v>4.3125</v>
      </c>
      <c r="L188" t="n">
        <v>0</v>
      </c>
      <c r="M188" t="n">
        <v>4</v>
      </c>
      <c r="N188" t="n">
        <v>2.5</v>
      </c>
    </row>
    <row r="189">
      <c r="A189" t="inlineStr">
        <is>
          <t>Wheat</t>
        </is>
      </c>
      <c r="B189" t="inlineStr">
        <is>
          <t>Mixed below for the liveries of the manorial servants, 6 quarters.</t>
        </is>
      </c>
      <c r="C189" t="n">
        <v>0</v>
      </c>
      <c r="D189" t="n">
        <v>0</v>
      </c>
      <c r="E189" t="n">
        <v>0</v>
      </c>
      <c r="F189" t="n">
        <v>0</v>
      </c>
      <c r="H189" t="n">
        <v>6</v>
      </c>
      <c r="I189" t="n">
        <v>0</v>
      </c>
      <c r="J189" t="n">
        <v>6</v>
      </c>
      <c r="K189" t="n">
        <v>6</v>
      </c>
      <c r="L189" t="n">
        <v>0</v>
      </c>
      <c r="M189" t="n">
        <v>6</v>
      </c>
      <c r="N189" t="n">
        <v>0</v>
      </c>
    </row>
    <row r="190">
      <c r="A190" t="inlineStr">
        <is>
          <t>Wheat</t>
        </is>
      </c>
      <c r="B190" t="inlineStr">
        <is>
          <t>Sold, 46.5 quarters.</t>
        </is>
      </c>
      <c r="C190" t="n">
        <v>0</v>
      </c>
      <c r="D190" t="n">
        <v>0</v>
      </c>
      <c r="E190" t="n">
        <v>0</v>
      </c>
      <c r="F190" t="n">
        <v>0</v>
      </c>
      <c r="H190" t="n">
        <v>46.5</v>
      </c>
      <c r="I190" t="n">
        <v>0</v>
      </c>
      <c r="J190" t="n">
        <v>46.5</v>
      </c>
      <c r="K190" t="n">
        <v>46.5</v>
      </c>
      <c r="L190" t="n">
        <v>0</v>
      </c>
      <c r="M190" t="n">
        <v>46.5</v>
      </c>
      <c r="N190" t="n">
        <v>0</v>
      </c>
    </row>
    <row r="191">
      <c r="A191" t="inlineStr">
        <is>
          <t>Wheat</t>
        </is>
      </c>
      <c r="B191" t="inlineStr">
        <is>
          <t>Total, 83 quarters 0.5 bushels It balances.</t>
        </is>
      </c>
      <c r="C191" t="n">
        <v>0</v>
      </c>
      <c r="D191" t="n">
        <v>0</v>
      </c>
      <c r="E191" t="n">
        <v>0</v>
      </c>
      <c r="F191" t="n">
        <v>0</v>
      </c>
      <c r="H191" t="n">
        <v>83</v>
      </c>
      <c r="I191" t="n">
        <v>0.5</v>
      </c>
      <c r="J191" t="n">
        <v>83.0625</v>
      </c>
      <c r="K191" t="n">
        <v>83.0625</v>
      </c>
      <c r="L191" t="n">
        <v>0</v>
      </c>
      <c r="M191" t="n">
        <v>83</v>
      </c>
      <c r="N191" t="n">
        <v>0.5</v>
      </c>
    </row>
    <row r="192">
      <c r="A192" t="inlineStr">
        <is>
          <t>Oats</t>
        </is>
      </c>
      <c r="B192" t="inlineStr">
        <is>
          <t>{yield: two-fold plus 6 quarters 6 bushels}</t>
        </is>
      </c>
      <c r="C192" t="n">
        <v>0</v>
      </c>
      <c r="D192" t="n">
        <v>0</v>
      </c>
      <c r="E192" t="n">
        <v>0</v>
      </c>
      <c r="F192" t="n">
        <v>0</v>
      </c>
      <c r="H192" t="n">
        <v>6</v>
      </c>
      <c r="I192" t="n">
        <v>6</v>
      </c>
      <c r="J192" t="n">
        <v>6.75</v>
      </c>
      <c r="K192" t="n">
        <v>6.75</v>
      </c>
      <c r="L192" t="n">
        <v>0</v>
      </c>
      <c r="M192" t="n">
        <v>6</v>
      </c>
      <c r="N192" t="n">
        <v>6</v>
      </c>
    </row>
    <row r="193">
      <c r="A193" t="inlineStr">
        <is>
          <t>Oats</t>
        </is>
      </c>
      <c r="B193" t="inlineStr">
        <is>
          <t>The same renders account for 127 quarters 6 bushels from the whole issue of oats by struck measure.</t>
        </is>
      </c>
      <c r="C193" t="n">
        <v>0</v>
      </c>
      <c r="D193" t="n">
        <v>0</v>
      </c>
      <c r="E193" t="n">
        <v>0</v>
      </c>
      <c r="F193" t="n">
        <v>0</v>
      </c>
      <c r="G193" t="inlineStr">
        <is>
          <t>oats</t>
        </is>
      </c>
      <c r="H193" t="n">
        <v>127</v>
      </c>
      <c r="I193" t="n">
        <v>6</v>
      </c>
      <c r="J193" t="n">
        <v>127.75</v>
      </c>
      <c r="K193" t="n">
        <v>127.75</v>
      </c>
      <c r="L193" t="n">
        <v>0</v>
      </c>
      <c r="M193" t="n">
        <v>127</v>
      </c>
      <c r="N193" t="n">
        <v>6</v>
      </c>
    </row>
    <row r="194">
      <c r="A194" t="inlineStr">
        <is>
          <t>Oats</t>
        </is>
      </c>
      <c r="B194" t="inlineStr">
        <is>
          <t>75 quarters bought.</t>
        </is>
      </c>
      <c r="C194" t="n">
        <v>0</v>
      </c>
      <c r="D194" t="n">
        <v>0</v>
      </c>
      <c r="E194" t="n">
        <v>0</v>
      </c>
      <c r="F194" t="n">
        <v>0</v>
      </c>
      <c r="H194" t="n">
        <v>75</v>
      </c>
      <c r="I194" t="n">
        <v>0</v>
      </c>
      <c r="J194" t="n">
        <v>75</v>
      </c>
      <c r="K194" t="n">
        <v>75</v>
      </c>
      <c r="L194" t="n">
        <v>0</v>
      </c>
      <c r="M194" t="n">
        <v>75</v>
      </c>
      <c r="N194" t="n">
        <v>0</v>
      </c>
    </row>
    <row r="195">
      <c r="A195" t="inlineStr">
        <is>
          <t>Oats</t>
        </is>
      </c>
      <c r="B195" t="inlineStr">
        <is>
          <t>Total, 202 quarters 6 bushels</t>
        </is>
      </c>
      <c r="C195" t="n">
        <v>0</v>
      </c>
      <c r="D195" t="n">
        <v>0</v>
      </c>
      <c r="E195" t="n">
        <v>0</v>
      </c>
      <c r="F195" t="n">
        <v>0</v>
      </c>
      <c r="H195" t="n">
        <v>202</v>
      </c>
      <c r="I195" t="n">
        <v>6</v>
      </c>
      <c r="J195" t="n">
        <v>202.75</v>
      </c>
      <c r="K195" t="n">
        <v>202.75</v>
      </c>
      <c r="L195" t="n">
        <v>0</v>
      </c>
      <c r="M195" t="n">
        <v>202</v>
      </c>
      <c r="N195" t="n">
        <v>6</v>
      </c>
    </row>
    <row r="196">
      <c r="A196" t="inlineStr">
        <is>
          <t>Oats</t>
        </is>
      </c>
      <c r="B196" t="inlineStr">
        <is>
          <t>Sown over 119.5 acres at Poundisford and Corfe, 48 quarters 6 bushels.</t>
        </is>
      </c>
      <c r="C196" t="n">
        <v>0</v>
      </c>
      <c r="D196" t="n">
        <v>0</v>
      </c>
      <c r="E196" t="n">
        <v>0</v>
      </c>
      <c r="F196" t="n">
        <v>0</v>
      </c>
      <c r="H196" t="n">
        <v>48</v>
      </c>
      <c r="I196" t="n">
        <v>6</v>
      </c>
      <c r="J196" t="n">
        <v>48.75</v>
      </c>
      <c r="K196" t="n">
        <v>48.75</v>
      </c>
      <c r="L196" t="n">
        <v>0</v>
      </c>
      <c r="M196" t="n">
        <v>48</v>
      </c>
      <c r="N196" t="n">
        <v>6</v>
      </c>
    </row>
    <row r="197">
      <c r="A197" t="inlineStr">
        <is>
          <t>Oats</t>
        </is>
      </c>
      <c r="B197" t="inlineStr">
        <is>
          <t>that is, 4 bushels an acre, less 11 quarters in all.</t>
        </is>
      </c>
      <c r="C197" t="n">
        <v>0</v>
      </c>
      <c r="D197" t="n">
        <v>0</v>
      </c>
      <c r="E197" t="n">
        <v>0</v>
      </c>
      <c r="F197" t="n">
        <v>0</v>
      </c>
      <c r="H197" t="n">
        <v>11</v>
      </c>
      <c r="I197" t="n">
        <v>4</v>
      </c>
      <c r="J197" t="n">
        <v>11.5</v>
      </c>
      <c r="K197" t="n">
        <v>0.5</v>
      </c>
      <c r="L197" t="n">
        <v>11</v>
      </c>
      <c r="M197" t="n">
        <v>0</v>
      </c>
      <c r="N197" t="n">
        <v>4</v>
      </c>
      <c r="O197" t="n">
        <v>11</v>
      </c>
      <c r="P197" t="n">
        <v>0</v>
      </c>
    </row>
    <row r="198">
      <c r="A198" t="inlineStr">
        <is>
          <t>Oats</t>
        </is>
      </c>
      <c r="B198" t="inlineStr">
        <is>
          <t>Also sown at Poundisford by the villeins according to custom, 26.5 acres.</t>
        </is>
      </c>
      <c r="C198" t="n">
        <v>0</v>
      </c>
      <c r="D198" t="n">
        <v>0</v>
      </c>
      <c r="E198" t="n">
        <v>0</v>
      </c>
      <c r="F198" t="n">
        <v>0</v>
      </c>
      <c r="H198" t="n">
        <v>0</v>
      </c>
      <c r="I198" t="n">
        <v>0</v>
      </c>
      <c r="J198" t="n">
        <v>0</v>
      </c>
      <c r="K198" t="n">
        <v>0</v>
      </c>
      <c r="L198" t="n">
        <v>0</v>
      </c>
      <c r="M198" t="n">
        <v>0</v>
      </c>
      <c r="N198" t="n">
        <v>0</v>
      </c>
    </row>
    <row r="199">
      <c r="A199" t="inlineStr">
        <is>
          <t>Oats</t>
        </is>
      </c>
      <c r="B199" t="inlineStr">
        <is>
          <t>Sold, 154 quarters.</t>
        </is>
      </c>
      <c r="C199" t="n">
        <v>0</v>
      </c>
      <c r="D199" t="n">
        <v>0</v>
      </c>
      <c r="E199" t="n">
        <v>0</v>
      </c>
      <c r="F199" t="n">
        <v>0</v>
      </c>
      <c r="H199" t="n">
        <v>154</v>
      </c>
      <c r="I199" t="n">
        <v>0</v>
      </c>
      <c r="J199" t="n">
        <v>154</v>
      </c>
      <c r="K199" t="n">
        <v>154</v>
      </c>
      <c r="L199" t="n">
        <v>0</v>
      </c>
      <c r="M199" t="n">
        <v>154</v>
      </c>
      <c r="N199" t="n">
        <v>0</v>
      </c>
    </row>
    <row r="200">
      <c r="A200" t="inlineStr">
        <is>
          <t>Oats</t>
        </is>
      </c>
      <c r="B200" t="inlineStr">
        <is>
          <t>Total, 202 quarters 6 bushels It balances.</t>
        </is>
      </c>
      <c r="C200" t="n">
        <v>0</v>
      </c>
      <c r="D200" t="n">
        <v>0</v>
      </c>
      <c r="E200" t="n">
        <v>0</v>
      </c>
      <c r="F200" t="n">
        <v>0</v>
      </c>
      <c r="H200" t="n">
        <v>202</v>
      </c>
      <c r="I200" t="n">
        <v>6</v>
      </c>
      <c r="J200" t="n">
        <v>202.75</v>
      </c>
      <c r="K200" t="n">
        <v>202.75</v>
      </c>
      <c r="L200" t="n">
        <v>0</v>
      </c>
      <c r="M200" t="n">
        <v>202</v>
      </c>
      <c r="N200" t="n">
        <v>6</v>
      </c>
    </row>
    <row r="201">
      <c r="A201" t="inlineStr">
        <is>
          <t>Proof of liveries</t>
        </is>
      </c>
      <c r="B201" t="inlineStr">
        <is>
          <t>The same renders account for 6 quarters received above from wheat.</t>
        </is>
      </c>
      <c r="C201" t="n">
        <v>0</v>
      </c>
      <c r="D201" t="n">
        <v>0</v>
      </c>
      <c r="E201" t="n">
        <v>0</v>
      </c>
      <c r="F201" t="n">
        <v>0</v>
      </c>
      <c r="G201" t="inlineStr">
        <is>
          <t>wheat</t>
        </is>
      </c>
      <c r="H201" t="n">
        <v>6</v>
      </c>
      <c r="I201" t="n">
        <v>0</v>
      </c>
      <c r="J201" t="n">
        <v>6</v>
      </c>
      <c r="K201" t="n">
        <v>6</v>
      </c>
      <c r="L201" t="n">
        <v>0</v>
      </c>
      <c r="M201" t="n">
        <v>6</v>
      </c>
      <c r="N201" t="n">
        <v>0</v>
      </c>
    </row>
    <row r="202">
      <c r="A202" t="inlineStr">
        <is>
          <t>Proof of liveries</t>
        </is>
      </c>
      <c r="B202" t="inlineStr">
        <is>
          <t>19 quarters 6.5 bushels bought.</t>
        </is>
      </c>
      <c r="C202" t="n">
        <v>0</v>
      </c>
      <c r="D202" t="n">
        <v>0</v>
      </c>
      <c r="E202" t="n">
        <v>0</v>
      </c>
      <c r="F202" t="n">
        <v>0</v>
      </c>
      <c r="H202" t="n">
        <v>19</v>
      </c>
      <c r="I202" t="n">
        <v>6.5</v>
      </c>
      <c r="J202" t="n">
        <v>19.8125</v>
      </c>
      <c r="K202" t="n">
        <v>19.8125</v>
      </c>
      <c r="L202" t="n">
        <v>0</v>
      </c>
      <c r="M202" t="n">
        <v>19</v>
      </c>
      <c r="N202" t="n">
        <v>6.5</v>
      </c>
    </row>
    <row r="203">
      <c r="A203" t="inlineStr">
        <is>
          <t>Proof of liveries</t>
        </is>
      </c>
      <c r="B203" t="inlineStr">
        <is>
          <t>Total, 25 quarters 6.5 bushels Delivered to 4 oxherds and one swineherd for the year, 21 quarters 4.5 bushels, taking a quarter every 12 weeks.</t>
        </is>
      </c>
      <c r="C203" t="n">
        <v>0</v>
      </c>
      <c r="D203" t="n">
        <v>0</v>
      </c>
      <c r="E203" t="n">
        <v>0</v>
      </c>
      <c r="F203" t="n">
        <v>0</v>
      </c>
      <c r="H203" t="n">
        <v>21</v>
      </c>
      <c r="I203" t="n">
        <v>4.5</v>
      </c>
      <c r="J203" t="n">
        <v>21.5625</v>
      </c>
      <c r="K203" t="n">
        <v>25.8125</v>
      </c>
      <c r="L203" t="n">
        <v>-4.25</v>
      </c>
      <c r="M203" t="n">
        <v>25</v>
      </c>
      <c r="N203" t="n">
        <v>6.5</v>
      </c>
      <c r="O203" t="n">
        <v>21</v>
      </c>
      <c r="P203" t="n">
        <v>4.5</v>
      </c>
    </row>
    <row r="204">
      <c r="A204" t="inlineStr">
        <is>
          <t>Proof of liveries</t>
        </is>
      </c>
      <c r="B204" t="inlineStr">
        <is>
          <t>Delivered to one cowherd for 15 weeks, 1 quarters 2 bushels, taking a quarter every 12 weeks.</t>
        </is>
      </c>
      <c r="C204" t="n">
        <v>0</v>
      </c>
      <c r="D204" t="n">
        <v>0</v>
      </c>
      <c r="E204" t="n">
        <v>0</v>
      </c>
      <c r="F204" t="n">
        <v>0</v>
      </c>
      <c r="H204" t="n">
        <v>1</v>
      </c>
      <c r="I204" t="n">
        <v>2</v>
      </c>
      <c r="J204" t="n">
        <v>1.25</v>
      </c>
      <c r="K204" t="n">
        <v>1.25</v>
      </c>
      <c r="L204" t="n">
        <v>0</v>
      </c>
      <c r="M204" t="n">
        <v>1</v>
      </c>
      <c r="N204" t="n">
        <v>2</v>
      </c>
    </row>
    <row r="205">
      <c r="A205" t="inlineStr">
        <is>
          <t>Proof of liveries</t>
        </is>
      </c>
      <c r="B205" t="inlineStr">
        <is>
          <t>.</t>
        </is>
      </c>
      <c r="C205" t="n">
        <v>0</v>
      </c>
      <c r="D205" t="n">
        <v>0</v>
      </c>
      <c r="E205" t="n">
        <v>0</v>
      </c>
      <c r="F205" t="n">
        <v>0</v>
      </c>
      <c r="H205" t="n">
        <v>0</v>
      </c>
      <c r="I205" t="n">
        <v>0</v>
      </c>
      <c r="J205" t="n">
        <v>0</v>
      </c>
      <c r="K205" t="n">
        <v>0</v>
      </c>
      <c r="L205" t="n">
        <v>0</v>
      </c>
      <c r="M205" t="n">
        <v>0</v>
      </c>
      <c r="N205" t="n">
        <v>0</v>
      </c>
    </row>
    <row r="206">
      <c r="A206" t="inlineStr">
        <is>
          <t>Proof of liveries</t>
        </is>
      </c>
      <c r="B206" t="inlineStr">
        <is>
          <t>customary payment for the boon-reaping at Poundisford and Corfe, 3 quarters.</t>
        </is>
      </c>
      <c r="C206" t="n">
        <v>0</v>
      </c>
      <c r="D206" t="n">
        <v>0</v>
      </c>
      <c r="E206" t="n">
        <v>0</v>
      </c>
      <c r="F206" t="n">
        <v>0</v>
      </c>
      <c r="H206" t="n">
        <v>3</v>
      </c>
      <c r="I206" t="n">
        <v>0</v>
      </c>
      <c r="J206" t="n">
        <v>3</v>
      </c>
      <c r="K206" t="n">
        <v>3</v>
      </c>
      <c r="L206" t="n">
        <v>0</v>
      </c>
      <c r="M206" t="n">
        <v>3</v>
      </c>
      <c r="N206" t="n">
        <v>0</v>
      </c>
    </row>
    <row r="207">
      <c r="A207" t="inlineStr">
        <is>
          <t>Proof of liveries</t>
        </is>
      </c>
      <c r="B207" t="inlineStr">
        <is>
          <t>Total, 25 quarters 6.5 bushels It balances.</t>
        </is>
      </c>
      <c r="C207" t="n">
        <v>0</v>
      </c>
      <c r="D207" t="n">
        <v>0</v>
      </c>
      <c r="E207" t="n">
        <v>0</v>
      </c>
      <c r="F207" t="n">
        <v>0</v>
      </c>
      <c r="H207" t="n">
        <v>25</v>
      </c>
      <c r="I207" t="n">
        <v>6.5</v>
      </c>
      <c r="J207" t="n">
        <v>25.8125</v>
      </c>
      <c r="K207" t="n">
        <v>25.8125</v>
      </c>
      <c r="L207" t="n">
        <v>0</v>
      </c>
      <c r="M207" t="n">
        <v>25</v>
      </c>
      <c r="N207" t="n">
        <v>6.5</v>
      </c>
    </row>
    <row r="208">
      <c r="A208" t="inlineStr">
        <is>
          <t>Stock</t>
        </is>
      </c>
      <c r="B208" t="inlineStr">
        <is>
          <t>Plough-horses: 1 female remains from the previous year.</t>
        </is>
      </c>
      <c r="C208" t="n">
        <v>0</v>
      </c>
      <c r="D208" t="n">
        <v>0</v>
      </c>
      <c r="E208" t="n">
        <v>0</v>
      </c>
      <c r="F208" t="n">
        <v>0</v>
      </c>
      <c r="H208" t="n">
        <v>0</v>
      </c>
      <c r="I208" t="n">
        <v>0</v>
      </c>
      <c r="J208" t="n">
        <v>0</v>
      </c>
      <c r="K208" t="n">
        <v>0</v>
      </c>
      <c r="L208" t="n">
        <v>0</v>
      </c>
      <c r="M208" t="n">
        <v>0</v>
      </c>
      <c r="N208" t="n">
        <v>0</v>
      </c>
    </row>
    <row r="209">
      <c r="A209" t="inlineStr">
        <is>
          <t>Stock</t>
        </is>
      </c>
      <c r="B209" t="inlineStr">
        <is>
          <t>it remains.</t>
        </is>
      </c>
      <c r="C209" t="n">
        <v>0</v>
      </c>
      <c r="D209" t="n">
        <v>0</v>
      </c>
      <c r="E209" t="n">
        <v>0</v>
      </c>
      <c r="F209" t="n">
        <v>0</v>
      </c>
      <c r="H209" t="n">
        <v>0</v>
      </c>
      <c r="I209" t="n">
        <v>0</v>
      </c>
      <c r="J209" t="n">
        <v>0</v>
      </c>
      <c r="K209" t="n">
        <v>0</v>
      </c>
      <c r="L209" t="n">
        <v>0</v>
      </c>
      <c r="M209" t="n">
        <v>0</v>
      </c>
      <c r="N209" t="n">
        <v>0</v>
      </c>
    </row>
    <row r="210">
      <c r="A210" t="inlineStr">
        <is>
          <t>Stock</t>
        </is>
      </c>
      <c r="B210" t="inlineStr">
        <is>
          <t>Colts: 1 one-year-old female remains from the previous year's offspring.</t>
        </is>
      </c>
      <c r="C210" t="n">
        <v>0</v>
      </c>
      <c r="D210" t="n">
        <v>0</v>
      </c>
      <c r="E210" t="n">
        <v>0</v>
      </c>
      <c r="F210" t="n">
        <v>0</v>
      </c>
      <c r="H210" t="n">
        <v>0</v>
      </c>
      <c r="I210" t="n">
        <v>0</v>
      </c>
      <c r="J210" t="n">
        <v>0</v>
      </c>
      <c r="K210" t="n">
        <v>0</v>
      </c>
      <c r="L210" t="n">
        <v>0</v>
      </c>
      <c r="M210" t="n">
        <v>0</v>
      </c>
      <c r="N210" t="n">
        <v>0</v>
      </c>
    </row>
    <row r="211">
      <c r="A211" t="inlineStr">
        <is>
          <t>Stock</t>
        </is>
      </c>
      <c r="B211" t="inlineStr">
        <is>
          <t>it remains. 1 male from the offspring of the said plough-horse this year.</t>
        </is>
      </c>
      <c r="C211" t="n">
        <v>0</v>
      </c>
      <c r="D211" t="n">
        <v>0</v>
      </c>
      <c r="E211" t="n">
        <v>0</v>
      </c>
      <c r="F211" t="n">
        <v>0</v>
      </c>
      <c r="H211" t="n">
        <v>0</v>
      </c>
      <c r="I211" t="n">
        <v>0</v>
      </c>
      <c r="J211" t="n">
        <v>0</v>
      </c>
      <c r="K211" t="n">
        <v>0</v>
      </c>
      <c r="L211" t="n">
        <v>0</v>
      </c>
      <c r="M211" t="n">
        <v>0</v>
      </c>
      <c r="N211" t="n">
        <v>0</v>
      </c>
    </row>
    <row r="212">
      <c r="A212" t="inlineStr">
        <is>
          <t>Stock</t>
        </is>
      </c>
      <c r="B212" t="inlineStr">
        <is>
          <t>it remains.</t>
        </is>
      </c>
      <c r="C212" t="n">
        <v>0</v>
      </c>
      <c r="D212" t="n">
        <v>0</v>
      </c>
      <c r="E212" t="n">
        <v>0</v>
      </c>
      <c r="F212" t="n">
        <v>0</v>
      </c>
      <c r="H212" t="n">
        <v>0</v>
      </c>
      <c r="I212" t="n">
        <v>0</v>
      </c>
      <c r="J212" t="n">
        <v>0</v>
      </c>
      <c r="K212" t="n">
        <v>0</v>
      </c>
      <c r="L212" t="n">
        <v>0</v>
      </c>
      <c r="M212" t="n">
        <v>0</v>
      </c>
      <c r="N212" t="n">
        <v>0</v>
      </c>
    </row>
    <row r="213">
      <c r="A213" t="inlineStr">
        <is>
          <t>Stock</t>
        </is>
      </c>
      <c r="B213" t="inlineStr">
        <is>
          <t>Oxen: 44 remain from the previous year.</t>
        </is>
      </c>
      <c r="C213" t="n">
        <v>0</v>
      </c>
      <c r="D213" t="n">
        <v>0</v>
      </c>
      <c r="E213" t="n">
        <v>0</v>
      </c>
      <c r="F213" t="n">
        <v>0</v>
      </c>
      <c r="H213" t="n">
        <v>0</v>
      </c>
      <c r="I213" t="n">
        <v>0</v>
      </c>
      <c r="J213" t="n">
        <v>0</v>
      </c>
      <c r="K213" t="n">
        <v>0</v>
      </c>
      <c r="L213" t="n">
        <v>0</v>
      </c>
      <c r="M213" t="n">
        <v>0</v>
      </c>
      <c r="N213" t="n">
        <v>0</v>
      </c>
    </row>
    <row r="214">
      <c r="A214" t="inlineStr">
        <is>
          <t>Stock</t>
        </is>
      </c>
      <c r="B214" t="inlineStr">
        <is>
          <t>3 added from steers.</t>
        </is>
      </c>
      <c r="C214" t="n">
        <v>0</v>
      </c>
      <c r="D214" t="n">
        <v>0</v>
      </c>
      <c r="E214" t="n">
        <v>0</v>
      </c>
      <c r="F214" t="n">
        <v>0</v>
      </c>
      <c r="H214" t="n">
        <v>0</v>
      </c>
      <c r="I214" t="n">
        <v>0</v>
      </c>
      <c r="J214" t="n">
        <v>0</v>
      </c>
      <c r="K214" t="n">
        <v>0</v>
      </c>
      <c r="L214" t="n">
        <v>0</v>
      </c>
      <c r="M214" t="n">
        <v>0</v>
      </c>
      <c r="N214" t="n">
        <v>0</v>
      </c>
    </row>
    <row r="215">
      <c r="A215" t="inlineStr">
        <is>
          <t>Stock</t>
        </is>
      </c>
      <c r="B215" t="inlineStr">
        <is>
          <t>1 from the heriot of Alice, who was wife of Alwyn de Esttrete.</t>
        </is>
      </c>
      <c r="C215" t="n">
        <v>0</v>
      </c>
      <c r="D215" t="n">
        <v>0</v>
      </c>
      <c r="E215" t="n">
        <v>0</v>
      </c>
      <c r="F215" t="n">
        <v>0</v>
      </c>
      <c r="H215" t="n">
        <v>0</v>
      </c>
      <c r="I215" t="n">
        <v>0</v>
      </c>
      <c r="J215" t="n">
        <v>0</v>
      </c>
      <c r="K215" t="n">
        <v>0</v>
      </c>
      <c r="L215" t="n">
        <v>0</v>
      </c>
      <c r="M215" t="n">
        <v>0</v>
      </c>
      <c r="N215" t="n">
        <v>0</v>
      </c>
    </row>
    <row r="216">
      <c r="A216" t="inlineStr">
        <is>
          <t>Stock</t>
        </is>
      </c>
      <c r="B216" t="inlineStr">
        <is>
          <t>the moiety of 1 from the heriot of Lucy le Kyng.</t>
        </is>
      </c>
      <c r="C216" t="n">
        <v>0</v>
      </c>
      <c r="D216" t="n">
        <v>0</v>
      </c>
      <c r="E216" t="n">
        <v>0</v>
      </c>
      <c r="F216" t="n">
        <v>0</v>
      </c>
      <c r="H216" t="n">
        <v>0</v>
      </c>
      <c r="I216" t="n">
        <v>0</v>
      </c>
      <c r="J216" t="n">
        <v>0</v>
      </c>
      <c r="K216" t="n">
        <v>0</v>
      </c>
      <c r="L216" t="n">
        <v>0</v>
      </c>
      <c r="M216" t="n">
        <v>0</v>
      </c>
      <c r="N216" t="n">
        <v>0</v>
      </c>
    </row>
    <row r="217">
      <c r="A217" t="inlineStr">
        <is>
          <t>Stock</t>
        </is>
      </c>
      <c r="B217" t="inlineStr">
        <is>
          <t>Total, 48 and a moiety. 2 in murrain.</t>
        </is>
      </c>
      <c r="C217" t="n">
        <v>0</v>
      </c>
      <c r="D217" t="n">
        <v>0</v>
      </c>
      <c r="E217" t="n">
        <v>0</v>
      </c>
      <c r="F217" t="n">
        <v>0</v>
      </c>
      <c r="H217" t="n">
        <v>0</v>
      </c>
      <c r="I217" t="n">
        <v>0</v>
      </c>
      <c r="J217" t="n">
        <v>0</v>
      </c>
      <c r="K217" t="n">
        <v>0</v>
      </c>
      <c r="L217" t="n">
        <v>0</v>
      </c>
      <c r="M217" t="n">
        <v>0</v>
      </c>
      <c r="N217" t="n">
        <v>0</v>
      </c>
    </row>
    <row r="218">
      <c r="A218" t="inlineStr">
        <is>
          <t>Stock</t>
        </is>
      </c>
      <c r="B218" t="inlineStr">
        <is>
          <t>5 and a moiety sold.</t>
        </is>
      </c>
      <c r="C218" t="n">
        <v>0</v>
      </c>
      <c r="D218" t="n">
        <v>0</v>
      </c>
      <c r="E218" t="n">
        <v>0</v>
      </c>
      <c r="F218" t="n">
        <v>0</v>
      </c>
      <c r="H218" t="n">
        <v>0</v>
      </c>
      <c r="I218" t="n">
        <v>0</v>
      </c>
      <c r="J218" t="n">
        <v>0</v>
      </c>
      <c r="K218" t="n">
        <v>0</v>
      </c>
      <c r="L218" t="n">
        <v>0</v>
      </c>
      <c r="M218" t="n">
        <v>0</v>
      </c>
      <c r="N218" t="n">
        <v>0</v>
      </c>
    </row>
    <row r="219">
      <c r="A219" t="inlineStr">
        <is>
          <t>Stock</t>
        </is>
      </c>
      <c r="B219" t="inlineStr">
        <is>
          <t>41 remain.</t>
        </is>
      </c>
      <c r="C219" t="n">
        <v>0</v>
      </c>
      <c r="D219" t="n">
        <v>0</v>
      </c>
      <c r="E219" t="n">
        <v>0</v>
      </c>
      <c r="F219" t="n">
        <v>0</v>
      </c>
      <c r="H219" t="n">
        <v>0</v>
      </c>
      <c r="I219" t="n">
        <v>0</v>
      </c>
      <c r="J219" t="n">
        <v>0</v>
      </c>
      <c r="K219" t="n">
        <v>0</v>
      </c>
      <c r="L219" t="n">
        <v>0</v>
      </c>
      <c r="M219" t="n">
        <v>0</v>
      </c>
      <c r="N219" t="n">
        <v>0</v>
      </c>
    </row>
    <row r="220">
      <c r="A220" t="inlineStr">
        <is>
          <t>Stock</t>
        </is>
      </c>
      <c r="B220" t="inlineStr">
        <is>
          <t>Cows: 47 remain from the previous year.</t>
        </is>
      </c>
      <c r="C220" t="n">
        <v>0</v>
      </c>
      <c r="D220" t="n">
        <v>0</v>
      </c>
      <c r="E220" t="n">
        <v>0</v>
      </c>
      <c r="F220" t="n">
        <v>0</v>
      </c>
      <c r="H220" t="n">
        <v>0</v>
      </c>
      <c r="I220" t="n">
        <v>0</v>
      </c>
      <c r="J220" t="n">
        <v>0</v>
      </c>
      <c r="K220" t="n">
        <v>0</v>
      </c>
      <c r="L220" t="n">
        <v>0</v>
      </c>
      <c r="M220" t="n">
        <v>0</v>
      </c>
      <c r="N220" t="n">
        <v>0</v>
      </c>
    </row>
    <row r="221">
      <c r="A221" t="inlineStr">
        <is>
          <t>Stock</t>
        </is>
      </c>
      <c r="B221" t="inlineStr">
        <is>
          <t>3 added from steers.</t>
        </is>
      </c>
      <c r="C221" t="n">
        <v>0</v>
      </c>
      <c r="D221" t="n">
        <v>0</v>
      </c>
      <c r="E221" t="n">
        <v>0</v>
      </c>
      <c r="F221" t="n">
        <v>0</v>
      </c>
      <c r="H221" t="n">
        <v>0</v>
      </c>
      <c r="I221" t="n">
        <v>0</v>
      </c>
      <c r="J221" t="n">
        <v>0</v>
      </c>
      <c r="K221" t="n">
        <v>0</v>
      </c>
      <c r="L221" t="n">
        <v>0</v>
      </c>
      <c r="M221" t="n">
        <v>0</v>
      </c>
      <c r="N221" t="n">
        <v>0</v>
      </c>
    </row>
    <row r="222">
      <c r="A222" t="inlineStr">
        <is>
          <t>Stock</t>
        </is>
      </c>
      <c r="B222" t="inlineStr">
        <is>
          <t>1 from the reeve of Nailsboume before breeding.</t>
        </is>
      </c>
      <c r="C222" t="n">
        <v>0</v>
      </c>
      <c r="D222" t="n">
        <v>0</v>
      </c>
      <c r="E222" t="n">
        <v>0</v>
      </c>
      <c r="F222" t="n">
        <v>0</v>
      </c>
      <c r="H222" t="n">
        <v>0</v>
      </c>
      <c r="I222" t="n">
        <v>0</v>
      </c>
      <c r="J222" t="n">
        <v>0</v>
      </c>
      <c r="K222" t="n">
        <v>0</v>
      </c>
      <c r="L222" t="n">
        <v>0</v>
      </c>
      <c r="M222" t="n">
        <v>0</v>
      </c>
      <c r="N222" t="n">
        <v>0</v>
      </c>
    </row>
    <row r="223">
      <c r="A223" t="inlineStr">
        <is>
          <t>Stock</t>
        </is>
      </c>
      <c r="B223" t="inlineStr">
        <is>
          <t>1 from strays before breeding.</t>
        </is>
      </c>
      <c r="C223" t="n">
        <v>0</v>
      </c>
      <c r="D223" t="n">
        <v>0</v>
      </c>
      <c r="E223" t="n">
        <v>0</v>
      </c>
      <c r="F223" t="n">
        <v>0</v>
      </c>
      <c r="H223" t="n">
        <v>0</v>
      </c>
      <c r="I223" t="n">
        <v>0</v>
      </c>
      <c r="J223" t="n">
        <v>0</v>
      </c>
      <c r="K223" t="n">
        <v>0</v>
      </c>
      <c r="L223" t="n">
        <v>0</v>
      </c>
      <c r="M223" t="n">
        <v>0</v>
      </c>
      <c r="N223" t="n">
        <v>0</v>
      </c>
    </row>
    <row r="224">
      <c r="A224" t="inlineStr">
        <is>
          <t>Stock</t>
        </is>
      </c>
      <c r="B224" t="inlineStr">
        <is>
          <t>3 bought before breeding.</t>
        </is>
      </c>
      <c r="C224" t="n">
        <v>0</v>
      </c>
      <c r="D224" t="n">
        <v>0</v>
      </c>
      <c r="E224" t="n">
        <v>0</v>
      </c>
      <c r="F224" t="n">
        <v>0</v>
      </c>
      <c r="H224" t="n">
        <v>0</v>
      </c>
      <c r="I224" t="n">
        <v>0</v>
      </c>
      <c r="J224" t="n">
        <v>0</v>
      </c>
      <c r="K224" t="n">
        <v>0</v>
      </c>
      <c r="L224" t="n">
        <v>0</v>
      </c>
      <c r="M224" t="n">
        <v>0</v>
      </c>
      <c r="N224" t="n">
        <v>0</v>
      </c>
    </row>
    <row r="225">
      <c r="A225" t="inlineStr">
        <is>
          <t>Stock</t>
        </is>
      </c>
      <c r="B225" t="inlineStr">
        <is>
          <t>1 from the reeve of Staplegrove before breeding.</t>
        </is>
      </c>
      <c r="C225" t="n">
        <v>0</v>
      </c>
      <c r="D225" t="n">
        <v>0</v>
      </c>
      <c r="E225" t="n">
        <v>0</v>
      </c>
      <c r="F225" t="n">
        <v>0</v>
      </c>
      <c r="H225" t="n">
        <v>0</v>
      </c>
      <c r="I225" t="n">
        <v>0</v>
      </c>
      <c r="J225" t="n">
        <v>0</v>
      </c>
      <c r="K225" t="n">
        <v>0</v>
      </c>
      <c r="L225" t="n">
        <v>0</v>
      </c>
      <c r="M225" t="n">
        <v>0</v>
      </c>
      <c r="N225" t="n">
        <v>0</v>
      </c>
    </row>
    <row r="226">
      <c r="A226" t="inlineStr">
        <is>
          <t>Stock</t>
        </is>
      </c>
      <c r="B226" t="inlineStr">
        <is>
          <t>1 from the heriot of Stephen le Hopere after breeding.</t>
        </is>
      </c>
      <c r="C226" t="n">
        <v>0</v>
      </c>
      <c r="D226" t="n">
        <v>0</v>
      </c>
      <c r="E226" t="n">
        <v>0</v>
      </c>
      <c r="F226" t="n">
        <v>0</v>
      </c>
      <c r="H226" t="n">
        <v>0</v>
      </c>
      <c r="I226" t="n">
        <v>0</v>
      </c>
      <c r="J226" t="n">
        <v>0</v>
      </c>
      <c r="K226" t="n">
        <v>0</v>
      </c>
      <c r="L226" t="n">
        <v>0</v>
      </c>
      <c r="M226" t="n">
        <v>0</v>
      </c>
      <c r="N226" t="n">
        <v>0</v>
      </c>
    </row>
    <row r="227">
      <c r="A227" t="inlineStr">
        <is>
          <t>Stock</t>
        </is>
      </c>
      <c r="B227" t="inlineStr">
        <is>
          <t>2 bought after breeding.</t>
        </is>
      </c>
      <c r="C227" t="n">
        <v>0</v>
      </c>
      <c r="D227" t="n">
        <v>0</v>
      </c>
      <c r="E227" t="n">
        <v>0</v>
      </c>
      <c r="F227" t="n">
        <v>0</v>
      </c>
      <c r="H227" t="n">
        <v>0</v>
      </c>
      <c r="I227" t="n">
        <v>0</v>
      </c>
      <c r="J227" t="n">
        <v>0</v>
      </c>
      <c r="K227" t="n">
        <v>0</v>
      </c>
      <c r="L227" t="n">
        <v>0</v>
      </c>
      <c r="M227" t="n">
        <v>0</v>
      </c>
      <c r="N227" t="n">
        <v>0</v>
      </c>
    </row>
    <row r="228">
      <c r="A228" t="inlineStr">
        <is>
          <t>Stock</t>
        </is>
      </c>
      <c r="B228" t="inlineStr">
        <is>
          <t>the moiety of 1 from the heriot of Henry Abel.</t>
        </is>
      </c>
      <c r="C228" t="n">
        <v>0</v>
      </c>
      <c r="D228" t="n">
        <v>0</v>
      </c>
      <c r="E228" t="n">
        <v>0</v>
      </c>
      <c r="F228" t="n">
        <v>0</v>
      </c>
      <c r="H228" t="n">
        <v>0</v>
      </c>
      <c r="I228" t="n">
        <v>0</v>
      </c>
      <c r="J228" t="n">
        <v>0</v>
      </c>
      <c r="K228" t="n">
        <v>0</v>
      </c>
      <c r="L228" t="n">
        <v>0</v>
      </c>
      <c r="M228" t="n">
        <v>0</v>
      </c>
      <c r="N228" t="n">
        <v>0</v>
      </c>
    </row>
    <row r="229">
      <c r="A229" t="inlineStr">
        <is>
          <t>Stock</t>
        </is>
      </c>
      <c r="B229" t="inlineStr">
        <is>
          <t>Total, 59 and a moiety. 2 in murrain before breeding, 1 after breeding.</t>
        </is>
      </c>
      <c r="C229" t="n">
        <v>0</v>
      </c>
      <c r="D229" t="n">
        <v>0</v>
      </c>
      <c r="E229" t="n">
        <v>0</v>
      </c>
      <c r="F229" t="n">
        <v>0</v>
      </c>
      <c r="H229" t="n">
        <v>0</v>
      </c>
      <c r="I229" t="n">
        <v>0</v>
      </c>
      <c r="J229" t="n">
        <v>0</v>
      </c>
      <c r="K229" t="n">
        <v>0</v>
      </c>
      <c r="L229" t="n">
        <v>0</v>
      </c>
      <c r="M229" t="n">
        <v>0</v>
      </c>
      <c r="N229" t="n">
        <v>0</v>
      </c>
    </row>
    <row r="230">
      <c r="A230" t="inlineStr">
        <is>
          <t>Stock</t>
        </is>
      </c>
      <c r="B230" t="inlineStr">
        <is>
          <t>13 before breeding and a moiety solpence Total, 16 and a moiety. 43 remain.</t>
        </is>
      </c>
      <c r="C230" t="n">
        <v>0</v>
      </c>
      <c r="D230" t="n">
        <v>0</v>
      </c>
      <c r="E230" t="n">
        <v>0</v>
      </c>
      <c r="F230" t="n">
        <v>0</v>
      </c>
      <c r="H230" t="n">
        <v>0</v>
      </c>
      <c r="I230" t="n">
        <v>0</v>
      </c>
      <c r="J230" t="n">
        <v>0</v>
      </c>
      <c r="K230" t="n">
        <v>0</v>
      </c>
      <c r="L230" t="n">
        <v>0</v>
      </c>
      <c r="M230" t="n">
        <v>0</v>
      </c>
      <c r="N230" t="n">
        <v>0</v>
      </c>
    </row>
    <row r="231">
      <c r="A231" t="inlineStr">
        <is>
          <t>Stock</t>
        </is>
      </c>
      <c r="B231" t="inlineStr">
        <is>
          <t>Bulls: 3 remain from the previous year.</t>
        </is>
      </c>
      <c r="C231" t="n">
        <v>0</v>
      </c>
      <c r="D231" t="n">
        <v>0</v>
      </c>
      <c r="E231" t="n">
        <v>0</v>
      </c>
      <c r="F231" t="n">
        <v>0</v>
      </c>
      <c r="H231" t="n">
        <v>0</v>
      </c>
      <c r="I231" t="n">
        <v>0</v>
      </c>
      <c r="J231" t="n">
        <v>0</v>
      </c>
      <c r="K231" t="n">
        <v>0</v>
      </c>
      <c r="L231" t="n">
        <v>0</v>
      </c>
      <c r="M231" t="n">
        <v>0</v>
      </c>
      <c r="N231" t="n">
        <v>0</v>
      </c>
    </row>
    <row r="232">
      <c r="A232" t="inlineStr">
        <is>
          <t>Stock</t>
        </is>
      </c>
      <c r="B232" t="inlineStr">
        <is>
          <t>they remain.</t>
        </is>
      </c>
      <c r="C232" t="n">
        <v>0</v>
      </c>
      <c r="D232" t="n">
        <v>0</v>
      </c>
      <c r="E232" t="n">
        <v>0</v>
      </c>
      <c r="F232" t="n">
        <v>0</v>
      </c>
      <c r="H232" t="n">
        <v>0</v>
      </c>
      <c r="I232" t="n">
        <v>0</v>
      </c>
      <c r="J232" t="n">
        <v>0</v>
      </c>
      <c r="K232" t="n">
        <v>0</v>
      </c>
      <c r="L232" t="n">
        <v>0</v>
      </c>
      <c r="M232" t="n">
        <v>0</v>
      </c>
      <c r="N232" t="n">
        <v>0</v>
      </c>
    </row>
    <row r="233">
      <c r="A233" t="inlineStr">
        <is>
          <t>Stock</t>
        </is>
      </c>
      <c r="B233" t="inlineStr">
        <is>
          <t>Steers: 10 remain from the previous year's bullocks.</t>
        </is>
      </c>
      <c r="C233" t="n">
        <v>0</v>
      </c>
      <c r="D233" t="n">
        <v>0</v>
      </c>
      <c r="E233" t="n">
        <v>0</v>
      </c>
      <c r="F233" t="n">
        <v>0</v>
      </c>
      <c r="H233" t="n">
        <v>0</v>
      </c>
      <c r="I233" t="n">
        <v>0</v>
      </c>
      <c r="J233" t="n">
        <v>0</v>
      </c>
      <c r="K233" t="n">
        <v>0</v>
      </c>
      <c r="L233" t="n">
        <v>0</v>
      </c>
      <c r="M233" t="n">
        <v>0</v>
      </c>
      <c r="N233" t="n">
        <v>0</v>
      </c>
    </row>
    <row r="234">
      <c r="A234" t="inlineStr">
        <is>
          <t>Stock</t>
        </is>
      </c>
      <c r="B234" t="inlineStr">
        <is>
          <t>3 in murrain.</t>
        </is>
      </c>
      <c r="C234" t="n">
        <v>0</v>
      </c>
      <c r="D234" t="n">
        <v>0</v>
      </c>
      <c r="E234" t="n">
        <v>0</v>
      </c>
      <c r="F234" t="n">
        <v>0</v>
      </c>
      <c r="H234" t="n">
        <v>0</v>
      </c>
      <c r="I234" t="n">
        <v>0</v>
      </c>
      <c r="J234" t="n">
        <v>0</v>
      </c>
      <c r="K234" t="n">
        <v>0</v>
      </c>
      <c r="L234" t="n">
        <v>0</v>
      </c>
      <c r="M234" t="n">
        <v>0</v>
      </c>
      <c r="N234" t="n">
        <v>0</v>
      </c>
    </row>
    <row r="235">
      <c r="A235" t="inlineStr">
        <is>
          <t>Stock</t>
        </is>
      </c>
      <c r="B235" t="inlineStr">
        <is>
          <t>1 sold.</t>
        </is>
      </c>
      <c r="C235" t="n">
        <v>0</v>
      </c>
      <c r="D235" t="n">
        <v>0</v>
      </c>
      <c r="E235" t="n">
        <v>0</v>
      </c>
      <c r="F235" t="n">
        <v>0</v>
      </c>
      <c r="H235" t="n">
        <v>0</v>
      </c>
      <c r="I235" t="n">
        <v>0</v>
      </c>
      <c r="J235" t="n">
        <v>0</v>
      </c>
      <c r="K235" t="n">
        <v>0</v>
      </c>
      <c r="L235" t="n">
        <v>0</v>
      </c>
      <c r="M235" t="n">
        <v>0</v>
      </c>
      <c r="N235" t="n">
        <v>0</v>
      </c>
    </row>
    <row r="236">
      <c r="A236" t="inlineStr">
        <is>
          <t>Stock</t>
        </is>
      </c>
      <c r="B236" t="inlineStr">
        <is>
          <t>3 added to oxen, 3 to cows.</t>
        </is>
      </c>
      <c r="C236" t="n">
        <v>0</v>
      </c>
      <c r="D236" t="n">
        <v>0</v>
      </c>
      <c r="E236" t="n">
        <v>0</v>
      </c>
      <c r="F236" t="n">
        <v>0</v>
      </c>
      <c r="H236" t="n">
        <v>0</v>
      </c>
      <c r="I236" t="n">
        <v>0</v>
      </c>
      <c r="J236" t="n">
        <v>0</v>
      </c>
      <c r="K236" t="n">
        <v>0</v>
      </c>
      <c r="L236" t="n">
        <v>0</v>
      </c>
      <c r="M236" t="n">
        <v>0</v>
      </c>
      <c r="N236" t="n">
        <v>0</v>
      </c>
    </row>
    <row r="237">
      <c r="A237" t="inlineStr">
        <is>
          <t>Stock</t>
        </is>
      </c>
      <c r="B237" t="inlineStr">
        <is>
          <t>none remain.</t>
        </is>
      </c>
      <c r="C237" t="n">
        <v>0</v>
      </c>
      <c r="D237" t="n">
        <v>0</v>
      </c>
      <c r="E237" t="n">
        <v>0</v>
      </c>
      <c r="F237" t="n">
        <v>0</v>
      </c>
      <c r="H237" t="n">
        <v>0</v>
      </c>
      <c r="I237" t="n">
        <v>0</v>
      </c>
      <c r="J237" t="n">
        <v>0</v>
      </c>
      <c r="K237" t="n">
        <v>0</v>
      </c>
      <c r="L237" t="n">
        <v>0</v>
      </c>
      <c r="M237" t="n">
        <v>0</v>
      </c>
      <c r="N237" t="n">
        <v>0</v>
      </c>
    </row>
    <row r="238">
      <c r="A238" t="inlineStr">
        <is>
          <t>Stock</t>
        </is>
      </c>
      <c r="B238" t="inlineStr">
        <is>
          <t>Bullocks: 16 remain from the previous year's yearlings.</t>
        </is>
      </c>
      <c r="C238" t="n">
        <v>0</v>
      </c>
      <c r="D238" t="n">
        <v>0</v>
      </c>
      <c r="E238" t="n">
        <v>0</v>
      </c>
      <c r="F238" t="n">
        <v>0</v>
      </c>
      <c r="H238" t="n">
        <v>0</v>
      </c>
      <c r="I238" t="n">
        <v>0</v>
      </c>
      <c r="J238" t="n">
        <v>0</v>
      </c>
      <c r="K238" t="n">
        <v>0</v>
      </c>
      <c r="L238" t="n">
        <v>0</v>
      </c>
      <c r="M238" t="n">
        <v>0</v>
      </c>
      <c r="N238" t="n">
        <v>0</v>
      </c>
    </row>
    <row r="239">
      <c r="A239" t="inlineStr">
        <is>
          <t>Stock</t>
        </is>
      </c>
      <c r="B239" t="inlineStr">
        <is>
          <t>16 remain.</t>
        </is>
      </c>
      <c r="C239" t="n">
        <v>0</v>
      </c>
      <c r="D239" t="n">
        <v>0</v>
      </c>
      <c r="E239" t="n">
        <v>0</v>
      </c>
      <c r="F239" t="n">
        <v>0</v>
      </c>
      <c r="H239" t="n">
        <v>0</v>
      </c>
      <c r="I239" t="n">
        <v>0</v>
      </c>
      <c r="J239" t="n">
        <v>0</v>
      </c>
      <c r="K239" t="n">
        <v>0</v>
      </c>
      <c r="L239" t="n">
        <v>0</v>
      </c>
      <c r="M239" t="n">
        <v>0</v>
      </c>
      <c r="N239" t="n">
        <v>0</v>
      </c>
    </row>
    <row r="240">
      <c r="A240" t="inlineStr">
        <is>
          <t>Stock</t>
        </is>
      </c>
      <c r="B240" t="inlineStr">
        <is>
          <t>Yearlings: 8 remain from the previous year's calves.</t>
        </is>
      </c>
      <c r="C240" t="n">
        <v>0</v>
      </c>
      <c r="D240" t="n">
        <v>0</v>
      </c>
      <c r="E240" t="n">
        <v>0</v>
      </c>
      <c r="F240" t="n">
        <v>0</v>
      </c>
      <c r="H240" t="n">
        <v>0</v>
      </c>
      <c r="I240" t="n">
        <v>0</v>
      </c>
      <c r="J240" t="n">
        <v>0</v>
      </c>
      <c r="K240" t="n">
        <v>0</v>
      </c>
      <c r="L240" t="n">
        <v>0</v>
      </c>
      <c r="M240" t="n">
        <v>0</v>
      </c>
      <c r="N240" t="n">
        <v>0</v>
      </c>
    </row>
    <row r="241">
      <c r="A241" t="inlineStr">
        <is>
          <t>Stock</t>
        </is>
      </c>
      <c r="B241" t="inlineStr">
        <is>
          <t>1 in murrain.</t>
        </is>
      </c>
      <c r="C241" t="n">
        <v>0</v>
      </c>
      <c r="D241" t="n">
        <v>0</v>
      </c>
      <c r="E241" t="n">
        <v>0</v>
      </c>
      <c r="F241" t="n">
        <v>0</v>
      </c>
      <c r="H241" t="n">
        <v>0</v>
      </c>
      <c r="I241" t="n">
        <v>0</v>
      </c>
      <c r="J241" t="n">
        <v>0</v>
      </c>
      <c r="K241" t="n">
        <v>0</v>
      </c>
      <c r="L241" t="n">
        <v>0</v>
      </c>
      <c r="M241" t="n">
        <v>0</v>
      </c>
      <c r="N241" t="n">
        <v>0</v>
      </c>
    </row>
    <row r="242">
      <c r="A242" t="inlineStr">
        <is>
          <t>Stock</t>
        </is>
      </c>
      <c r="B242" t="inlineStr">
        <is>
          <t>7 remain.</t>
        </is>
      </c>
      <c r="C242" t="n">
        <v>0</v>
      </c>
      <c r="D242" t="n">
        <v>0</v>
      </c>
      <c r="E242" t="n">
        <v>0</v>
      </c>
      <c r="F242" t="n">
        <v>0</v>
      </c>
      <c r="H242" t="n">
        <v>0</v>
      </c>
      <c r="I242" t="n">
        <v>0</v>
      </c>
      <c r="J242" t="n">
        <v>0</v>
      </c>
      <c r="K242" t="n">
        <v>0</v>
      </c>
      <c r="L242" t="n">
        <v>0</v>
      </c>
      <c r="M242" t="n">
        <v>0</v>
      </c>
      <c r="N242" t="n">
        <v>0</v>
      </c>
    </row>
    <row r="243">
      <c r="A243" t="inlineStr">
        <is>
          <t>Stock</t>
        </is>
      </c>
      <c r="B243" t="inlineStr">
        <is>
          <t>Calves: 35 produced by the said cows this year, and not more because 6 were sterile. 3 in tithe.</t>
        </is>
      </c>
      <c r="C243" t="n">
        <v>0</v>
      </c>
      <c r="D243" t="n">
        <v>0</v>
      </c>
      <c r="E243" t="n">
        <v>0</v>
      </c>
      <c r="F243" t="n">
        <v>0</v>
      </c>
      <c r="H243" t="n">
        <v>0</v>
      </c>
      <c r="I243" t="n">
        <v>0</v>
      </c>
      <c r="J243" t="n">
        <v>0</v>
      </c>
      <c r="K243" t="n">
        <v>0</v>
      </c>
      <c r="L243" t="n">
        <v>0</v>
      </c>
      <c r="M243" t="n">
        <v>0</v>
      </c>
      <c r="N243" t="n">
        <v>0</v>
      </c>
    </row>
    <row r="244">
      <c r="A244" t="inlineStr">
        <is>
          <t>Stock</t>
        </is>
      </c>
      <c r="B244" t="inlineStr">
        <is>
          <t>22 solpence Total, 25. 10 remain.</t>
        </is>
      </c>
      <c r="C244" t="n">
        <v>0</v>
      </c>
      <c r="D244" t="n">
        <v>0</v>
      </c>
      <c r="E244" t="n">
        <v>0</v>
      </c>
      <c r="F244" t="n">
        <v>0</v>
      </c>
      <c r="H244" t="n">
        <v>0</v>
      </c>
      <c r="I244" t="n">
        <v>0</v>
      </c>
      <c r="J244" t="n">
        <v>0</v>
      </c>
      <c r="K244" t="n">
        <v>0</v>
      </c>
      <c r="L244" t="n">
        <v>0</v>
      </c>
      <c r="M244" t="n">
        <v>0</v>
      </c>
      <c r="N244" t="n">
        <v>0</v>
      </c>
    </row>
    <row r="245">
      <c r="A245" t="inlineStr">
        <is>
          <t>Stock</t>
        </is>
      </c>
      <c r="B245" t="inlineStr">
        <is>
          <t>Wethers: 1 from the heriot of Henry de Fuleford which is delivered to the reeve of Nailsbourne before shearing.</t>
        </is>
      </c>
      <c r="C245" t="n">
        <v>0</v>
      </c>
      <c r="D245" t="n">
        <v>0</v>
      </c>
      <c r="E245" t="n">
        <v>0</v>
      </c>
      <c r="F245" t="n">
        <v>0</v>
      </c>
      <c r="H245" t="n">
        <v>0</v>
      </c>
      <c r="I245" t="n">
        <v>0</v>
      </c>
      <c r="J245" t="n">
        <v>0</v>
      </c>
      <c r="K245" t="n">
        <v>0</v>
      </c>
      <c r="L245" t="n">
        <v>0</v>
      </c>
      <c r="M245" t="n">
        <v>0</v>
      </c>
      <c r="N245" t="n">
        <v>0</v>
      </c>
    </row>
    <row r="246">
      <c r="A246" t="inlineStr">
        <is>
          <t>Stock</t>
        </is>
      </c>
      <c r="B246" t="inlineStr">
        <is>
          <t>none remain.</t>
        </is>
      </c>
      <c r="C246" t="n">
        <v>0</v>
      </c>
      <c r="D246" t="n">
        <v>0</v>
      </c>
      <c r="E246" t="n">
        <v>0</v>
      </c>
      <c r="F246" t="n">
        <v>0</v>
      </c>
      <c r="H246" t="n">
        <v>0</v>
      </c>
      <c r="I246" t="n">
        <v>0</v>
      </c>
      <c r="J246" t="n">
        <v>0</v>
      </c>
      <c r="K246" t="n">
        <v>0</v>
      </c>
      <c r="L246" t="n">
        <v>0</v>
      </c>
      <c r="M246" t="n">
        <v>0</v>
      </c>
      <c r="N246" t="n">
        <v>0</v>
      </c>
    </row>
    <row r="247">
      <c r="A247" t="inlineStr">
        <is>
          <t>Stock</t>
        </is>
      </c>
      <c r="B247" t="inlineStr">
        <is>
          <t>Pigs: 82 remain from the previous year.</t>
        </is>
      </c>
      <c r="C247" t="n">
        <v>0</v>
      </c>
      <c r="D247" t="n">
        <v>0</v>
      </c>
      <c r="E247" t="n">
        <v>0</v>
      </c>
      <c r="F247" t="n">
        <v>0</v>
      </c>
      <c r="H247" t="n">
        <v>0</v>
      </c>
      <c r="I247" t="n">
        <v>0</v>
      </c>
      <c r="J247" t="n">
        <v>0</v>
      </c>
      <c r="K247" t="n">
        <v>0</v>
      </c>
      <c r="L247" t="n">
        <v>0</v>
      </c>
      <c r="M247" t="n">
        <v>0</v>
      </c>
      <c r="N247" t="n">
        <v>0</v>
      </c>
    </row>
    <row r="248">
      <c r="A248" t="inlineStr">
        <is>
          <t>Stock</t>
        </is>
      </c>
      <c r="B248" t="inlineStr">
        <is>
          <t>40 added from hoggets.</t>
        </is>
      </c>
      <c r="C248" t="n">
        <v>0</v>
      </c>
      <c r="D248" t="n">
        <v>0</v>
      </c>
      <c r="E248" t="n">
        <v>0</v>
      </c>
      <c r="F248" t="n">
        <v>0</v>
      </c>
      <c r="H248" t="n">
        <v>0</v>
      </c>
      <c r="I248" t="n">
        <v>0</v>
      </c>
      <c r="J248" t="n">
        <v>0</v>
      </c>
      <c r="K248" t="n">
        <v>0</v>
      </c>
      <c r="L248" t="n">
        <v>0</v>
      </c>
      <c r="M248" t="n">
        <v>0</v>
      </c>
      <c r="N248" t="n">
        <v>0</v>
      </c>
    </row>
    <row r="249">
      <c r="A249" t="inlineStr">
        <is>
          <t>Stock</t>
        </is>
      </c>
      <c r="B249" t="inlineStr">
        <is>
          <t>Total, 122. 69 sold.</t>
        </is>
      </c>
      <c r="C249" t="n">
        <v>0</v>
      </c>
      <c r="D249" t="n">
        <v>0</v>
      </c>
      <c r="E249" t="n">
        <v>0</v>
      </c>
      <c r="F249" t="n">
        <v>0</v>
      </c>
      <c r="H249" t="n">
        <v>0</v>
      </c>
      <c r="I249" t="n">
        <v>0</v>
      </c>
      <c r="J249" t="n">
        <v>0</v>
      </c>
      <c r="K249" t="n">
        <v>0</v>
      </c>
      <c r="L249" t="n">
        <v>0</v>
      </c>
      <c r="M249" t="n">
        <v>0</v>
      </c>
      <c r="N249" t="n">
        <v>0</v>
      </c>
    </row>
    <row r="250">
      <c r="A250" t="inlineStr">
        <is>
          <t>Stock</t>
        </is>
      </c>
      <c r="B250" t="inlineStr">
        <is>
          <t>53 remain, 3 of them old sows.</t>
        </is>
      </c>
      <c r="C250" t="n">
        <v>0</v>
      </c>
      <c r="D250" t="n">
        <v>0</v>
      </c>
      <c r="E250" t="n">
        <v>0</v>
      </c>
      <c r="F250" t="n">
        <v>0</v>
      </c>
      <c r="H250" t="n">
        <v>0</v>
      </c>
      <c r="I250" t="n">
        <v>0</v>
      </c>
      <c r="J250" t="n">
        <v>0</v>
      </c>
      <c r="K250" t="n">
        <v>0</v>
      </c>
      <c r="L250" t="n">
        <v>0</v>
      </c>
      <c r="M250" t="n">
        <v>0</v>
      </c>
      <c r="N250" t="n">
        <v>0</v>
      </c>
    </row>
    <row r="251">
      <c r="A251" t="inlineStr">
        <is>
          <t>Stock</t>
        </is>
      </c>
      <c r="B251" t="inlineStr">
        <is>
          <t>Hoggets: 46 remain from the previous year's piglets.</t>
        </is>
      </c>
      <c r="C251" t="n">
        <v>0</v>
      </c>
      <c r="D251" t="n">
        <v>0</v>
      </c>
      <c r="E251" t="n">
        <v>0</v>
      </c>
      <c r="F251" t="n">
        <v>0</v>
      </c>
      <c r="H251" t="n">
        <v>0</v>
      </c>
      <c r="I251" t="n">
        <v>0</v>
      </c>
      <c r="J251" t="n">
        <v>0</v>
      </c>
      <c r="K251" t="n">
        <v>0</v>
      </c>
      <c r="L251" t="n">
        <v>0</v>
      </c>
      <c r="M251" t="n">
        <v>0</v>
      </c>
      <c r="N251" t="n">
        <v>0</v>
      </c>
    </row>
    <row r="252">
      <c r="A252" t="inlineStr">
        <is>
          <t>Stock</t>
        </is>
      </c>
      <c r="B252" t="inlineStr">
        <is>
          <t>6 in murrain.</t>
        </is>
      </c>
      <c r="C252" t="n">
        <v>0</v>
      </c>
      <c r="D252" t="n">
        <v>0</v>
      </c>
      <c r="E252" t="n">
        <v>0</v>
      </c>
      <c r="F252" t="n">
        <v>0</v>
      </c>
      <c r="H252" t="n">
        <v>0</v>
      </c>
      <c r="I252" t="n">
        <v>0</v>
      </c>
      <c r="J252" t="n">
        <v>0</v>
      </c>
      <c r="K252" t="n">
        <v>0</v>
      </c>
      <c r="L252" t="n">
        <v>0</v>
      </c>
      <c r="M252" t="n">
        <v>0</v>
      </c>
      <c r="N252" t="n">
        <v>0</v>
      </c>
    </row>
    <row r="253">
      <c r="A253" t="inlineStr">
        <is>
          <t>Stock</t>
        </is>
      </c>
      <c r="B253" t="inlineStr">
        <is>
          <t>40 added to pigs.</t>
        </is>
      </c>
      <c r="C253" t="n">
        <v>0</v>
      </c>
      <c r="D253" t="n">
        <v>0</v>
      </c>
      <c r="E253" t="n">
        <v>0</v>
      </c>
      <c r="F253" t="n">
        <v>0</v>
      </c>
      <c r="H253" t="n">
        <v>0</v>
      </c>
      <c r="I253" t="n">
        <v>0</v>
      </c>
      <c r="J253" t="n">
        <v>0</v>
      </c>
      <c r="K253" t="n">
        <v>0</v>
      </c>
      <c r="L253" t="n">
        <v>0</v>
      </c>
      <c r="M253" t="n">
        <v>0</v>
      </c>
      <c r="N253" t="n">
        <v>0</v>
      </c>
    </row>
    <row r="254">
      <c r="A254" t="inlineStr">
        <is>
          <t>Stock</t>
        </is>
      </c>
      <c r="B254" t="inlineStr">
        <is>
          <t>none remain.</t>
        </is>
      </c>
      <c r="C254" t="n">
        <v>0</v>
      </c>
      <c r="D254" t="n">
        <v>0</v>
      </c>
      <c r="E254" t="n">
        <v>0</v>
      </c>
      <c r="F254" t="n">
        <v>0</v>
      </c>
      <c r="H254" t="n">
        <v>0</v>
      </c>
      <c r="I254" t="n">
        <v>0</v>
      </c>
      <c r="J254" t="n">
        <v>0</v>
      </c>
      <c r="K254" t="n">
        <v>0</v>
      </c>
      <c r="L254" t="n">
        <v>0</v>
      </c>
      <c r="M254" t="n">
        <v>0</v>
      </c>
      <c r="N254" t="n">
        <v>0</v>
      </c>
    </row>
    <row r="255">
      <c r="A255" t="inlineStr">
        <is>
          <t>Stock</t>
        </is>
      </c>
      <c r="B255" t="inlineStr">
        <is>
          <t>Piglets: 18 farrowed before Christmas.</t>
        </is>
      </c>
      <c r="C255" t="n">
        <v>0</v>
      </c>
      <c r="D255" t="n">
        <v>0</v>
      </c>
      <c r="E255" t="n">
        <v>0</v>
      </c>
      <c r="F255" t="n">
        <v>0</v>
      </c>
      <c r="H255" t="n">
        <v>0</v>
      </c>
      <c r="I255" t="n">
        <v>0</v>
      </c>
      <c r="J255" t="n">
        <v>0</v>
      </c>
      <c r="K255" t="n">
        <v>0</v>
      </c>
      <c r="L255" t="n">
        <v>0</v>
      </c>
      <c r="M255" t="n">
        <v>0</v>
      </c>
      <c r="N255" t="n">
        <v>0</v>
      </c>
    </row>
    <row r="256">
      <c r="A256" t="inlineStr">
        <is>
          <t>Stock</t>
        </is>
      </c>
      <c r="B256" t="inlineStr">
        <is>
          <t>22 farrowed in Lent.</t>
        </is>
      </c>
      <c r="C256" t="n">
        <v>0</v>
      </c>
      <c r="D256" t="n">
        <v>0</v>
      </c>
      <c r="E256" t="n">
        <v>0</v>
      </c>
      <c r="F256" t="n">
        <v>0</v>
      </c>
      <c r="H256" t="n">
        <v>0</v>
      </c>
      <c r="I256" t="n">
        <v>0</v>
      </c>
      <c r="J256" t="n">
        <v>0</v>
      </c>
      <c r="K256" t="n">
        <v>0</v>
      </c>
      <c r="L256" t="n">
        <v>0</v>
      </c>
      <c r="M256" t="n">
        <v>0</v>
      </c>
      <c r="N256" t="n">
        <v>0</v>
      </c>
    </row>
    <row r="257">
      <c r="A257" t="inlineStr">
        <is>
          <t>Stock</t>
        </is>
      </c>
      <c r="B257" t="inlineStr">
        <is>
          <t>18 farrowed in autumn.</t>
        </is>
      </c>
      <c r="C257" t="n">
        <v>0</v>
      </c>
      <c r="D257" t="n">
        <v>0</v>
      </c>
      <c r="E257" t="n">
        <v>0</v>
      </c>
      <c r="F257" t="n">
        <v>0</v>
      </c>
      <c r="H257" t="n">
        <v>0</v>
      </c>
      <c r="I257" t="n">
        <v>0</v>
      </c>
      <c r="J257" t="n">
        <v>0</v>
      </c>
      <c r="K257" t="n">
        <v>0</v>
      </c>
      <c r="L257" t="n">
        <v>0</v>
      </c>
      <c r="M257" t="n">
        <v>0</v>
      </c>
      <c r="N257" t="n">
        <v>0</v>
      </c>
    </row>
    <row r="258">
      <c r="A258" t="inlineStr">
        <is>
          <t>Stock</t>
        </is>
      </c>
      <c r="B258" t="inlineStr">
        <is>
          <t>Total, 58. 5 in murrain.</t>
        </is>
      </c>
      <c r="C258" t="n">
        <v>0</v>
      </c>
      <c r="D258" t="n">
        <v>0</v>
      </c>
      <c r="E258" t="n">
        <v>0</v>
      </c>
      <c r="F258" t="n">
        <v>0</v>
      </c>
      <c r="H258" t="n">
        <v>0</v>
      </c>
      <c r="I258" t="n">
        <v>0</v>
      </c>
      <c r="J258" t="n">
        <v>0</v>
      </c>
      <c r="K258" t="n">
        <v>0</v>
      </c>
      <c r="L258" t="n">
        <v>0</v>
      </c>
      <c r="M258" t="n">
        <v>0</v>
      </c>
      <c r="N258" t="n">
        <v>0</v>
      </c>
    </row>
    <row r="259">
      <c r="A259" t="inlineStr">
        <is>
          <t>Stock</t>
        </is>
      </c>
      <c r="B259" t="inlineStr">
        <is>
          <t>5 in tithe.</t>
        </is>
      </c>
      <c r="C259" t="n">
        <v>0</v>
      </c>
      <c r="D259" t="n">
        <v>0</v>
      </c>
      <c r="E259" t="n">
        <v>0</v>
      </c>
      <c r="F259" t="n">
        <v>0</v>
      </c>
      <c r="H259" t="n">
        <v>0</v>
      </c>
      <c r="I259" t="n">
        <v>0</v>
      </c>
      <c r="J259" t="n">
        <v>0</v>
      </c>
      <c r="K259" t="n">
        <v>0</v>
      </c>
      <c r="L259" t="n">
        <v>0</v>
      </c>
      <c r="M259" t="n">
        <v>0</v>
      </c>
      <c r="N259" t="n">
        <v>0</v>
      </c>
    </row>
    <row r="260">
      <c r="A260" t="inlineStr">
        <is>
          <t>Stock</t>
        </is>
      </c>
      <c r="B260" t="inlineStr">
        <is>
          <t>Total, 10. 48 remain.</t>
        </is>
      </c>
      <c r="C260" t="n">
        <v>0</v>
      </c>
      <c r="D260" t="n">
        <v>0</v>
      </c>
      <c r="E260" t="n">
        <v>0</v>
      </c>
      <c r="F260" t="n">
        <v>0</v>
      </c>
      <c r="H260" t="n">
        <v>0</v>
      </c>
      <c r="I260" t="n">
        <v>0</v>
      </c>
      <c r="J260" t="n">
        <v>0</v>
      </c>
      <c r="K260" t="n">
        <v>0</v>
      </c>
      <c r="L260" t="n">
        <v>0</v>
      </c>
      <c r="M260" t="n">
        <v>0</v>
      </c>
      <c r="N260" t="n">
        <v>0</v>
      </c>
    </row>
    <row r="261">
      <c r="A261" t="inlineStr">
        <is>
          <t>Stock</t>
        </is>
      </c>
      <c r="B261" t="inlineStr">
        <is>
          <t>Hides: 2 from oxen, 3 from cows, 3 from steers, and 1 from a yearling, dead from murrain.</t>
        </is>
      </c>
      <c r="C261" t="n">
        <v>0</v>
      </c>
      <c r="D261" t="n">
        <v>0</v>
      </c>
      <c r="E261" t="n">
        <v>0</v>
      </c>
      <c r="F261" t="n">
        <v>0</v>
      </c>
      <c r="H261" t="n">
        <v>0</v>
      </c>
      <c r="I261" t="n">
        <v>0</v>
      </c>
      <c r="J261" t="n">
        <v>0</v>
      </c>
      <c r="K261" t="n">
        <v>0</v>
      </c>
      <c r="L261" t="n">
        <v>0</v>
      </c>
      <c r="M261" t="n">
        <v>0</v>
      </c>
      <c r="N261" t="n">
        <v>0</v>
      </c>
    </row>
    <row r="262">
      <c r="A262" t="inlineStr">
        <is>
          <t>Stock</t>
        </is>
      </c>
      <c r="B262" t="inlineStr">
        <is>
          <t>Total, 9. 8 sold as made clear within.</t>
        </is>
      </c>
      <c r="C262" t="n">
        <v>0</v>
      </c>
      <c r="D262" t="n">
        <v>0</v>
      </c>
      <c r="E262" t="n">
        <v>0</v>
      </c>
      <c r="F262" t="n">
        <v>0</v>
      </c>
      <c r="H262" t="n">
        <v>0</v>
      </c>
      <c r="I262" t="n">
        <v>0</v>
      </c>
      <c r="J262" t="n">
        <v>0</v>
      </c>
      <c r="K262" t="n">
        <v>0</v>
      </c>
      <c r="L262" t="n">
        <v>0</v>
      </c>
      <c r="M262" t="n">
        <v>0</v>
      </c>
      <c r="N262" t="n">
        <v>0</v>
      </c>
    </row>
    <row r="263">
      <c r="A263" t="inlineStr">
        <is>
          <t>Stock</t>
        </is>
      </c>
      <c r="B263" t="inlineStr">
        <is>
          <t>1 from a yearling of no value in repair of 1 cart saddle.</t>
        </is>
      </c>
      <c r="C263" t="n">
        <v>0</v>
      </c>
      <c r="D263" t="n">
        <v>0</v>
      </c>
      <c r="E263" t="n">
        <v>0</v>
      </c>
      <c r="F263" t="n">
        <v>0</v>
      </c>
      <c r="H263" t="n">
        <v>0</v>
      </c>
      <c r="I263" t="n">
        <v>0</v>
      </c>
      <c r="J263" t="n">
        <v>0</v>
      </c>
      <c r="K263" t="n">
        <v>0</v>
      </c>
      <c r="L263" t="n">
        <v>0</v>
      </c>
      <c r="M263" t="n">
        <v>0</v>
      </c>
      <c r="N263" t="n">
        <v>0</v>
      </c>
    </row>
    <row r="264">
      <c r="A264" t="inlineStr">
        <is>
          <t>Stock</t>
        </is>
      </c>
      <c r="B264" t="inlineStr">
        <is>
          <t>none remain.</t>
        </is>
      </c>
      <c r="C264" t="n">
        <v>0</v>
      </c>
      <c r="D264" t="n">
        <v>0</v>
      </c>
      <c r="E264" t="n">
        <v>0</v>
      </c>
      <c r="F264" t="n">
        <v>0</v>
      </c>
      <c r="H264" t="n">
        <v>0</v>
      </c>
      <c r="I264" t="n">
        <v>0</v>
      </c>
      <c r="J264" t="n">
        <v>0</v>
      </c>
      <c r="K264" t="n">
        <v>0</v>
      </c>
      <c r="L264" t="n">
        <v>0</v>
      </c>
      <c r="M264" t="n">
        <v>0</v>
      </c>
      <c r="N264" t="n">
        <v>0</v>
      </c>
    </row>
    <row r="265">
      <c r="A265" t="inlineStr">
        <is>
          <t>Stock</t>
        </is>
      </c>
      <c r="B265" t="inlineStr">
        <is>
          <t>Recognizance wax: .5 lb from Robert Tudeman.</t>
        </is>
      </c>
      <c r="C265" t="n">
        <v>0</v>
      </c>
      <c r="D265" t="n">
        <v>0</v>
      </c>
      <c r="E265" t="n">
        <v>0</v>
      </c>
      <c r="F265" t="n">
        <v>0</v>
      </c>
      <c r="H265" t="n">
        <v>0</v>
      </c>
      <c r="I265" t="n">
        <v>0</v>
      </c>
      <c r="J265" t="n">
        <v>0</v>
      </c>
      <c r="K265" t="n">
        <v>0</v>
      </c>
      <c r="L265" t="n">
        <v>0</v>
      </c>
      <c r="M265" t="n">
        <v>0</v>
      </c>
      <c r="N265" t="n">
        <v>0</v>
      </c>
    </row>
    <row r="266">
      <c r="A266" t="inlineStr">
        <is>
          <t>Stock</t>
        </is>
      </c>
      <c r="B266" t="inlineStr">
        <is>
          <t>.5 lb from Richard, son of Walter de la Quarere.</t>
        </is>
      </c>
      <c r="C266" t="n">
        <v>0</v>
      </c>
      <c r="D266" t="n">
        <v>0</v>
      </c>
      <c r="E266" t="n">
        <v>0</v>
      </c>
      <c r="F266" t="n">
        <v>0</v>
      </c>
      <c r="H266" t="n">
        <v>0</v>
      </c>
      <c r="I266" t="n">
        <v>0</v>
      </c>
      <c r="J266" t="n">
        <v>0</v>
      </c>
      <c r="K266" t="n">
        <v>0</v>
      </c>
      <c r="L266" t="n">
        <v>0</v>
      </c>
      <c r="M266" t="n">
        <v>0</v>
      </c>
      <c r="N266" t="n">
        <v>0</v>
      </c>
    </row>
    <row r="267">
      <c r="A267" t="inlineStr">
        <is>
          <t>Stock</t>
        </is>
      </c>
      <c r="B267" t="inlineStr">
        <is>
          <t>1 lb from Richard Smorenoghel.</t>
        </is>
      </c>
      <c r="C267" t="n">
        <v>0</v>
      </c>
      <c r="D267" t="n">
        <v>0</v>
      </c>
      <c r="E267" t="n">
        <v>0</v>
      </c>
      <c r="F267" t="n">
        <v>0</v>
      </c>
      <c r="H267" t="n">
        <v>0</v>
      </c>
      <c r="I267" t="n">
        <v>0</v>
      </c>
      <c r="J267" t="n">
        <v>0</v>
      </c>
      <c r="K267" t="n">
        <v>0</v>
      </c>
      <c r="L267" t="n">
        <v>0</v>
      </c>
      <c r="M267" t="n">
        <v>0</v>
      </c>
      <c r="N267" t="n">
        <v>0</v>
      </c>
    </row>
    <row r="268">
      <c r="A268" t="inlineStr">
        <is>
          <t>Stock</t>
        </is>
      </c>
      <c r="B268" t="inlineStr">
        <is>
          <t>.5 lb from Walter son of Clarice.</t>
        </is>
      </c>
      <c r="C268" t="n">
        <v>0</v>
      </c>
      <c r="D268" t="n">
        <v>0</v>
      </c>
      <c r="E268" t="n">
        <v>0</v>
      </c>
      <c r="F268" t="n">
        <v>0</v>
      </c>
      <c r="H268" t="n">
        <v>0</v>
      </c>
      <c r="I268" t="n">
        <v>0</v>
      </c>
      <c r="J268" t="n">
        <v>0</v>
      </c>
      <c r="K268" t="n">
        <v>0</v>
      </c>
      <c r="L268" t="n">
        <v>0</v>
      </c>
      <c r="M268" t="n">
        <v>0</v>
      </c>
      <c r="N268" t="n">
        <v>0</v>
      </c>
    </row>
    <row r="269">
      <c r="A269" t="inlineStr">
        <is>
          <t>Stock</t>
        </is>
      </c>
      <c r="B269" t="inlineStr">
        <is>
          <t>½ lb from William Bacon.</t>
        </is>
      </c>
      <c r="C269" t="n">
        <v>0</v>
      </c>
      <c r="D269" t="n">
        <v>0</v>
      </c>
      <c r="E269" t="n">
        <v>0</v>
      </c>
      <c r="F269" t="n">
        <v>0</v>
      </c>
      <c r="H269" t="n">
        <v>0</v>
      </c>
      <c r="I269" t="n">
        <v>0</v>
      </c>
      <c r="J269" t="n">
        <v>0</v>
      </c>
      <c r="K269" t="n">
        <v>0</v>
      </c>
      <c r="L269" t="n">
        <v>0</v>
      </c>
      <c r="M269" t="n">
        <v>0</v>
      </c>
      <c r="N269" t="n">
        <v>0</v>
      </c>
    </row>
    <row r="270">
      <c r="A270" t="inlineStr">
        <is>
          <t>Stock</t>
        </is>
      </c>
      <c r="B270" t="inlineStr">
        <is>
          <t>.5 lb from Roger le Coliar'.</t>
        </is>
      </c>
      <c r="C270" t="n">
        <v>0</v>
      </c>
      <c r="D270" t="n">
        <v>0</v>
      </c>
      <c r="E270" t="n">
        <v>0</v>
      </c>
      <c r="F270" t="n">
        <v>0</v>
      </c>
      <c r="H270" t="n">
        <v>0</v>
      </c>
      <c r="I270" t="n">
        <v>0</v>
      </c>
      <c r="J270" t="n">
        <v>0</v>
      </c>
      <c r="K270" t="n">
        <v>0</v>
      </c>
      <c r="L270" t="n">
        <v>0</v>
      </c>
      <c r="M270" t="n">
        <v>0</v>
      </c>
      <c r="N270" t="n">
        <v>0</v>
      </c>
    </row>
    <row r="271">
      <c r="A271" t="inlineStr">
        <is>
          <t>Stock</t>
        </is>
      </c>
      <c r="B271" t="inlineStr">
        <is>
          <t>Total, 3 lb, which were sold as made clear within.</t>
        </is>
      </c>
      <c r="C271" t="n">
        <v>0</v>
      </c>
      <c r="D271" t="n">
        <v>0</v>
      </c>
      <c r="E271" t="n">
        <v>0</v>
      </c>
      <c r="F271" t="n">
        <v>0</v>
      </c>
      <c r="H271" t="n">
        <v>0</v>
      </c>
      <c r="I271" t="n">
        <v>0</v>
      </c>
      <c r="J271" t="n">
        <v>0</v>
      </c>
      <c r="K271" t="n">
        <v>0</v>
      </c>
      <c r="L271" t="n">
        <v>0</v>
      </c>
      <c r="M271" t="n">
        <v>0</v>
      </c>
      <c r="N271" t="n">
        <v>0</v>
      </c>
    </row>
    <row r="272">
      <c r="A272" t="inlineStr">
        <is>
          <t>Stock</t>
        </is>
      </c>
      <c r="B272" t="inlineStr">
        <is>
          <t>none remains.</t>
        </is>
      </c>
      <c r="C272" t="n">
        <v>0</v>
      </c>
      <c r="D272" t="n">
        <v>0</v>
      </c>
      <c r="E272" t="n">
        <v>0</v>
      </c>
      <c r="F272" t="n">
        <v>0</v>
      </c>
      <c r="H272" t="n">
        <v>0</v>
      </c>
      <c r="I272" t="n">
        <v>0</v>
      </c>
      <c r="J272" t="n">
        <v>0</v>
      </c>
      <c r="K272" t="n">
        <v>0</v>
      </c>
      <c r="L272" t="n">
        <v>0</v>
      </c>
      <c r="M272" t="n">
        <v>0</v>
      </c>
      <c r="N272" t="n">
        <v>0</v>
      </c>
    </row>
    <row r="273">
      <c r="A273" t="inlineStr">
        <is>
          <t>Stock</t>
        </is>
      </c>
      <c r="B273" t="inlineStr">
        <is>
          <t>Charcoal: 21 quarters made from the manor's own wood (de proprio bosco) this year which were used in making and repairing the ironwork of 4 ploughs for the year.</t>
        </is>
      </c>
      <c r="C273" t="n">
        <v>0</v>
      </c>
      <c r="D273" t="n">
        <v>0</v>
      </c>
      <c r="E273" t="n">
        <v>0</v>
      </c>
      <c r="F273" t="n">
        <v>0</v>
      </c>
      <c r="H273" t="n">
        <v>21</v>
      </c>
      <c r="I273" t="n">
        <v>0</v>
      </c>
      <c r="J273" t="n">
        <v>21</v>
      </c>
      <c r="K273" t="n">
        <v>21</v>
      </c>
      <c r="L273" t="n">
        <v>0</v>
      </c>
      <c r="M273" t="n">
        <v>21</v>
      </c>
      <c r="N273" t="n">
        <v>0</v>
      </c>
    </row>
    <row r="274">
      <c r="A274" t="inlineStr">
        <is>
          <t>Stock</t>
        </is>
      </c>
      <c r="B274" t="inlineStr">
        <is>
          <t>none remains.</t>
        </is>
      </c>
      <c r="C274" t="n">
        <v>0</v>
      </c>
      <c r="D274" t="n">
        <v>0</v>
      </c>
      <c r="E274" t="n">
        <v>0</v>
      </c>
      <c r="F274" t="n">
        <v>0</v>
      </c>
      <c r="H274" t="n">
        <v>0</v>
      </c>
      <c r="I274" t="n">
        <v>0</v>
      </c>
      <c r="J274" t="n">
        <v>0</v>
      </c>
      <c r="K274" t="n">
        <v>0</v>
      </c>
      <c r="L274" t="n">
        <v>0</v>
      </c>
      <c r="M274" t="n">
        <v>0</v>
      </c>
      <c r="N274"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H21"/>
  <sheetViews>
    <sheetView topLeftCell="A1"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row>
    <row r="2">
      <c r="A2" t="inlineStr">
        <is>
          <t>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row>
    <row r="3">
      <c r="A3" t="inlineStr">
        <is>
          <t>Wheat</t>
        </is>
      </c>
      <c r="B3" t="inlineStr">
        <is>
          <t>{yield: two-and-a-half-fold less 5.5 bushels}</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5.5</v>
      </c>
      <c r="Z3" t="n">
        <v>0.6875</v>
      </c>
      <c r="AA3" t="n">
        <v>0.6875</v>
      </c>
      <c r="AB3" t="n">
        <v>0</v>
      </c>
      <c r="AC3" t="n">
        <v>0</v>
      </c>
      <c r="AD3" t="n">
        <v>5.5</v>
      </c>
    </row>
    <row r="4">
      <c r="A4" t="inlineStr">
        <is>
          <t>Wheat</t>
        </is>
      </c>
      <c r="B4" t="inlineStr">
        <is>
          <t>The same renders account for 83 quarters 0.5 bushels from the whole issue of wheat by struck</t>
        </is>
      </c>
      <c r="C4" t="n">
        <v>0</v>
      </c>
      <c r="D4" t="n">
        <v>0</v>
      </c>
      <c r="E4" t="n">
        <v>0</v>
      </c>
      <c r="F4" t="n">
        <v>0</v>
      </c>
      <c r="G4" t="n">
        <v>0</v>
      </c>
      <c r="H4" t="n">
        <v>0</v>
      </c>
      <c r="I4" t="n">
        <v>0</v>
      </c>
      <c r="J4" t="n">
        <v>0</v>
      </c>
      <c r="K4" t="n">
        <v>0</v>
      </c>
      <c r="L4" t="n">
        <v>0</v>
      </c>
      <c r="M4" t="n">
        <v>0</v>
      </c>
      <c r="N4" t="n">
        <v>0</v>
      </c>
      <c r="O4" t="n">
        <v>0</v>
      </c>
      <c r="P4" t="n">
        <v>0</v>
      </c>
      <c r="Q4" t="n">
        <v>0</v>
      </c>
      <c r="R4" t="n">
        <v>0</v>
      </c>
      <c r="S4" t="n">
        <v>0</v>
      </c>
      <c r="T4" t="n">
        <v>83</v>
      </c>
      <c r="U4" t="n">
        <v>0.5</v>
      </c>
      <c r="V4" t="n">
        <v>83.0625</v>
      </c>
      <c r="W4" t="n">
        <v>0</v>
      </c>
      <c r="X4" t="n">
        <v>83</v>
      </c>
      <c r="Y4" t="n">
        <v>0.5</v>
      </c>
      <c r="Z4" t="n">
        <v>83.0625</v>
      </c>
      <c r="AA4" t="n">
        <v>83.0625</v>
      </c>
      <c r="AB4" t="n">
        <v>0</v>
      </c>
      <c r="AC4" t="n">
        <v>83</v>
      </c>
      <c r="AD4" t="n">
        <v>0.5</v>
      </c>
    </row>
    <row r="5">
      <c r="A5" t="inlineStr">
        <is>
          <t>Wheat</t>
        </is>
      </c>
      <c r="B5" t="inlineStr">
        <is>
          <t>measure.</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row>
    <row r="6">
      <c r="A6" t="inlineStr">
        <is>
          <t>Wheat</t>
        </is>
      </c>
      <c r="B6" t="inlineStr">
        <is>
          <t>Sown over 111.5 acres at Poundisford and Corfe, 26 quarters 2 bushels.</t>
        </is>
      </c>
      <c r="C6" t="n">
        <v>0</v>
      </c>
      <c r="D6" t="n">
        <v>0</v>
      </c>
      <c r="E6" t="n">
        <v>26</v>
      </c>
      <c r="F6" t="n">
        <v>2</v>
      </c>
      <c r="G6" t="n">
        <v>26.25</v>
      </c>
      <c r="H6" t="n">
        <v>0</v>
      </c>
      <c r="I6" t="n">
        <v>0</v>
      </c>
      <c r="J6" t="n">
        <v>0</v>
      </c>
      <c r="K6" t="n">
        <v>0</v>
      </c>
      <c r="L6" t="n">
        <v>0</v>
      </c>
      <c r="M6" t="n">
        <v>0</v>
      </c>
      <c r="N6" t="n">
        <v>0</v>
      </c>
      <c r="O6" t="n">
        <v>0</v>
      </c>
      <c r="P6" t="n">
        <v>0</v>
      </c>
      <c r="Q6" t="n">
        <v>0</v>
      </c>
      <c r="R6" t="n">
        <v>0</v>
      </c>
      <c r="S6" t="n">
        <v>0</v>
      </c>
      <c r="T6" t="n">
        <v>0</v>
      </c>
      <c r="U6" t="n">
        <v>0</v>
      </c>
      <c r="V6" t="n">
        <v>0</v>
      </c>
      <c r="W6" t="n">
        <v>0</v>
      </c>
      <c r="X6" t="n">
        <v>26</v>
      </c>
      <c r="Y6" t="n">
        <v>2</v>
      </c>
      <c r="Z6" t="n">
        <v>26.25</v>
      </c>
      <c r="AA6" t="n">
        <v>26.25</v>
      </c>
      <c r="AB6" t="n">
        <v>0</v>
      </c>
      <c r="AC6" t="n">
        <v>26</v>
      </c>
      <c r="AD6" t="n">
        <v>2</v>
      </c>
    </row>
    <row r="7">
      <c r="A7" t="inlineStr">
        <is>
          <t>Wheat</t>
        </is>
      </c>
      <c r="B7" t="inlineStr">
        <is>
          <t>that is, 2 bushels an acre, less 1 qr 5 bushels in all.</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row>
    <row r="8">
      <c r="A8" t="inlineStr">
        <is>
          <t>Wheat</t>
        </is>
      </c>
      <c r="B8" t="inlineStr">
        <is>
          <t>Also sown at Poundisford by the villeins according to custom, 26.5 acres.1 Delivered to the park-keeper for the year, 4 quarters 2.5 bushels, taking a quarter every 12 weeks.</t>
        </is>
      </c>
      <c r="C8" t="n">
        <v>0</v>
      </c>
      <c r="D8" t="n">
        <v>0</v>
      </c>
      <c r="E8" t="n">
        <v>4</v>
      </c>
      <c r="F8" t="n">
        <v>2.5</v>
      </c>
      <c r="G8" t="n">
        <v>4.3125</v>
      </c>
      <c r="H8" t="n">
        <v>0</v>
      </c>
      <c r="I8" t="n">
        <v>0</v>
      </c>
      <c r="J8" t="n">
        <v>0</v>
      </c>
      <c r="K8" t="n">
        <v>0</v>
      </c>
      <c r="L8" t="n">
        <v>0</v>
      </c>
      <c r="M8" t="n">
        <v>0</v>
      </c>
      <c r="N8" t="n">
        <v>0</v>
      </c>
      <c r="O8" t="n">
        <v>0</v>
      </c>
      <c r="P8" t="n">
        <v>0</v>
      </c>
      <c r="Q8" t="n">
        <v>0</v>
      </c>
      <c r="R8" t="n">
        <v>0</v>
      </c>
      <c r="S8" t="n">
        <v>0</v>
      </c>
      <c r="T8" t="n">
        <v>0</v>
      </c>
      <c r="U8" t="n">
        <v>0</v>
      </c>
      <c r="V8" t="n">
        <v>0</v>
      </c>
      <c r="W8" t="n">
        <v>0</v>
      </c>
      <c r="X8" t="n">
        <v>4</v>
      </c>
      <c r="Y8" t="n">
        <v>2.5</v>
      </c>
      <c r="Z8" t="n">
        <v>4.3125</v>
      </c>
      <c r="AA8" t="n">
        <v>4.3125</v>
      </c>
      <c r="AB8" t="n">
        <v>0</v>
      </c>
      <c r="AC8" t="n">
        <v>4</v>
      </c>
      <c r="AD8" t="n">
        <v>2.5</v>
      </c>
    </row>
    <row r="9">
      <c r="A9" t="inlineStr">
        <is>
          <t>Wheat</t>
        </is>
      </c>
      <c r="B9" t="inlineStr">
        <is>
          <t>Mixed below for the liveries of the manorial servants, 6 quarters.</t>
        </is>
      </c>
      <c r="C9" t="n">
        <v>0</v>
      </c>
      <c r="D9" t="n">
        <v>0</v>
      </c>
      <c r="E9" t="n">
        <v>0</v>
      </c>
      <c r="F9" t="n">
        <v>0</v>
      </c>
      <c r="G9" t="n">
        <v>0</v>
      </c>
      <c r="H9" t="n">
        <v>0</v>
      </c>
      <c r="I9" t="n">
        <v>0</v>
      </c>
      <c r="J9" t="n">
        <v>0</v>
      </c>
      <c r="K9" t="n">
        <v>0</v>
      </c>
      <c r="L9" t="n">
        <v>0</v>
      </c>
      <c r="M9" t="n">
        <v>0</v>
      </c>
      <c r="N9" t="n">
        <v>6</v>
      </c>
      <c r="O9" t="n">
        <v>0</v>
      </c>
      <c r="P9" t="n">
        <v>6</v>
      </c>
      <c r="Q9" t="n">
        <v>0</v>
      </c>
      <c r="R9" t="n">
        <v>0</v>
      </c>
      <c r="S9" t="n">
        <v>0</v>
      </c>
      <c r="T9" t="n">
        <v>0</v>
      </c>
      <c r="U9" t="n">
        <v>0</v>
      </c>
      <c r="V9" t="n">
        <v>0</v>
      </c>
      <c r="W9" t="n">
        <v>0</v>
      </c>
      <c r="X9" t="n">
        <v>6</v>
      </c>
      <c r="Y9" t="n">
        <v>0</v>
      </c>
      <c r="Z9" t="n">
        <v>6</v>
      </c>
      <c r="AA9" t="n">
        <v>6</v>
      </c>
      <c r="AB9" t="n">
        <v>0</v>
      </c>
      <c r="AC9" t="n">
        <v>6</v>
      </c>
      <c r="AD9" t="n">
        <v>0</v>
      </c>
    </row>
    <row r="10">
      <c r="A10" t="inlineStr">
        <is>
          <t>Wheat</t>
        </is>
      </c>
      <c r="B10" t="inlineStr">
        <is>
          <t>Sold, 46.5 quarters.</t>
        </is>
      </c>
      <c r="C10" t="n">
        <v>0</v>
      </c>
      <c r="D10" t="n">
        <v>0</v>
      </c>
      <c r="E10" t="n">
        <v>0</v>
      </c>
      <c r="F10" t="n">
        <v>0</v>
      </c>
      <c r="G10" t="n">
        <v>0</v>
      </c>
      <c r="H10" t="n">
        <v>0</v>
      </c>
      <c r="I10" t="n">
        <v>0</v>
      </c>
      <c r="J10" t="n">
        <v>0</v>
      </c>
      <c r="K10" t="n">
        <v>0</v>
      </c>
      <c r="L10" t="n">
        <v>0</v>
      </c>
      <c r="M10" t="n">
        <v>0</v>
      </c>
      <c r="N10" t="n">
        <v>0</v>
      </c>
      <c r="O10" t="n">
        <v>0</v>
      </c>
      <c r="P10" t="n">
        <v>0</v>
      </c>
      <c r="Q10" t="n">
        <v>46.5</v>
      </c>
      <c r="R10" t="n">
        <v>0</v>
      </c>
      <c r="S10" t="n">
        <v>46.5</v>
      </c>
      <c r="T10" t="n">
        <v>0</v>
      </c>
      <c r="U10" t="n">
        <v>0</v>
      </c>
      <c r="V10" t="n">
        <v>0</v>
      </c>
      <c r="W10" t="n">
        <v>0</v>
      </c>
      <c r="X10" t="n">
        <v>46.5</v>
      </c>
      <c r="Y10" t="n">
        <v>0</v>
      </c>
      <c r="Z10" t="n">
        <v>46.5</v>
      </c>
      <c r="AA10" t="n">
        <v>46.5</v>
      </c>
      <c r="AB10" t="n">
        <v>0</v>
      </c>
      <c r="AC10" t="n">
        <v>46.5</v>
      </c>
      <c r="AD10" t="n">
        <v>0</v>
      </c>
    </row>
    <row r="11">
      <c r="A11" t="inlineStr">
        <is>
          <t>Wheat</t>
        </is>
      </c>
      <c r="B11" t="inlineStr">
        <is>
          <t>Total, 83 quarters 0.5 bushels It balances.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83</v>
      </c>
      <c r="Y11" t="n">
        <v>0.5</v>
      </c>
      <c r="Z11" t="n">
        <v>83.0625</v>
      </c>
      <c r="AA11" t="n">
        <v>83.0625</v>
      </c>
      <c r="AB11" t="n">
        <v>0</v>
      </c>
      <c r="AC11" t="n">
        <v>83</v>
      </c>
      <c r="AD11" t="n">
        <v>0.5</v>
      </c>
    </row>
    <row r="12">
      <c r="A12" t="inlineStr">
        <is>
          <t>Wheat</t>
        </is>
      </c>
      <c r="B12" t="inlineStr">
        <is>
          <t>Total</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row>
    <row r="13">
      <c r="A13" t="inlineStr">
        <is>
          <t>Oats</t>
        </is>
      </c>
      <c r="B13" t="inlineStr">
        <is>
          <t>{yield: two-fold plus 6 quarters 6 bushels}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6</v>
      </c>
      <c r="Y13" t="n">
        <v>6</v>
      </c>
      <c r="Z13" t="n">
        <v>6.75</v>
      </c>
      <c r="AA13" t="n">
        <v>6.75</v>
      </c>
      <c r="AB13" t="n">
        <v>0</v>
      </c>
      <c r="AC13" t="n">
        <v>6</v>
      </c>
      <c r="AD13" t="n">
        <v>6</v>
      </c>
    </row>
    <row r="14">
      <c r="A14" t="inlineStr">
        <is>
          <t>Oats</t>
        </is>
      </c>
      <c r="B14" t="inlineStr">
        <is>
          <t>The same renders account for 127 quarters 6 bushels from the whole issue of oats by struck measure.</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127</v>
      </c>
      <c r="U14" t="n">
        <v>6</v>
      </c>
      <c r="V14" t="n">
        <v>127.75</v>
      </c>
      <c r="W14" t="n">
        <v>0</v>
      </c>
      <c r="X14" t="n">
        <v>127</v>
      </c>
      <c r="Y14" t="n">
        <v>6</v>
      </c>
      <c r="Z14" t="n">
        <v>127.75</v>
      </c>
      <c r="AA14" t="n">
        <v>127.75</v>
      </c>
      <c r="AB14" t="n">
        <v>0</v>
      </c>
      <c r="AC14" t="n">
        <v>127</v>
      </c>
      <c r="AD14" t="n">
        <v>6</v>
      </c>
    </row>
    <row r="15">
      <c r="A15" t="inlineStr">
        <is>
          <t>Oats</t>
        </is>
      </c>
      <c r="B15" t="inlineStr">
        <is>
          <t>75 quarters bought.</t>
        </is>
      </c>
      <c r="C15" t="n">
        <v>0</v>
      </c>
      <c r="D15" t="n">
        <v>0</v>
      </c>
      <c r="E15" t="n">
        <v>0</v>
      </c>
      <c r="F15" t="n">
        <v>0</v>
      </c>
      <c r="G15" t="n">
        <v>0</v>
      </c>
      <c r="H15" t="n">
        <v>75</v>
      </c>
      <c r="I15" t="n">
        <v>0</v>
      </c>
      <c r="J15" t="n">
        <v>75</v>
      </c>
      <c r="K15" t="n">
        <v>0</v>
      </c>
      <c r="L15" t="n">
        <v>0</v>
      </c>
      <c r="M15" t="n">
        <v>0</v>
      </c>
      <c r="N15" t="n">
        <v>0</v>
      </c>
      <c r="O15" t="n">
        <v>0</v>
      </c>
      <c r="P15" t="n">
        <v>0</v>
      </c>
      <c r="Q15" t="n">
        <v>0</v>
      </c>
      <c r="R15" t="n">
        <v>0</v>
      </c>
      <c r="S15" t="n">
        <v>0</v>
      </c>
      <c r="T15" t="n">
        <v>0</v>
      </c>
      <c r="U15" t="n">
        <v>0</v>
      </c>
      <c r="V15" t="n">
        <v>0</v>
      </c>
      <c r="W15" t="n">
        <v>0</v>
      </c>
      <c r="X15" t="n">
        <v>75</v>
      </c>
      <c r="Y15" t="n">
        <v>0</v>
      </c>
      <c r="Z15" t="n">
        <v>75</v>
      </c>
      <c r="AA15" t="n">
        <v>75</v>
      </c>
      <c r="AB15" t="n">
        <v>0</v>
      </c>
      <c r="AC15" t="n">
        <v>75</v>
      </c>
      <c r="AD15" t="n">
        <v>0</v>
      </c>
    </row>
    <row r="16">
      <c r="A16" t="inlineStr">
        <is>
          <t>Oats</t>
        </is>
      </c>
      <c r="B16" t="inlineStr">
        <is>
          <t>Total, 202 quarters 6 bushels</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202</v>
      </c>
      <c r="Y16" t="n">
        <v>6</v>
      </c>
      <c r="Z16" t="n">
        <v>202.75</v>
      </c>
      <c r="AA16" t="n">
        <v>202.75</v>
      </c>
      <c r="AB16" t="n">
        <v>0</v>
      </c>
      <c r="AC16" t="n">
        <v>202</v>
      </c>
      <c r="AD16" t="n">
        <v>6</v>
      </c>
    </row>
    <row r="17">
      <c r="A17" t="inlineStr">
        <is>
          <t>Oats</t>
        </is>
      </c>
      <c r="B17" t="inlineStr">
        <is>
          <t>Sown over 119.5 acres at Poundisford and Corfe, 48 quarters 6 bushels.</t>
        </is>
      </c>
      <c r="C17" t="n">
        <v>0</v>
      </c>
      <c r="D17" t="n">
        <v>0</v>
      </c>
      <c r="E17" t="n">
        <v>48</v>
      </c>
      <c r="F17" t="n">
        <v>6</v>
      </c>
      <c r="G17" t="n">
        <v>48.75</v>
      </c>
      <c r="H17" t="n">
        <v>0</v>
      </c>
      <c r="I17" t="n">
        <v>0</v>
      </c>
      <c r="J17" t="n">
        <v>0</v>
      </c>
      <c r="K17" t="n">
        <v>0</v>
      </c>
      <c r="L17" t="n">
        <v>0</v>
      </c>
      <c r="M17" t="n">
        <v>0</v>
      </c>
      <c r="N17" t="n">
        <v>0</v>
      </c>
      <c r="O17" t="n">
        <v>0</v>
      </c>
      <c r="P17" t="n">
        <v>0</v>
      </c>
      <c r="Q17" t="n">
        <v>0</v>
      </c>
      <c r="R17" t="n">
        <v>0</v>
      </c>
      <c r="S17" t="n">
        <v>0</v>
      </c>
      <c r="T17" t="n">
        <v>0</v>
      </c>
      <c r="U17" t="n">
        <v>0</v>
      </c>
      <c r="V17" t="n">
        <v>0</v>
      </c>
      <c r="W17" t="n">
        <v>0</v>
      </c>
      <c r="X17" t="n">
        <v>48</v>
      </c>
      <c r="Y17" t="n">
        <v>6</v>
      </c>
      <c r="Z17" t="n">
        <v>48.75</v>
      </c>
      <c r="AA17" t="n">
        <v>48.75</v>
      </c>
      <c r="AB17" t="n">
        <v>0</v>
      </c>
      <c r="AC17" t="n">
        <v>48</v>
      </c>
      <c r="AD17" t="n">
        <v>6</v>
      </c>
    </row>
    <row r="18">
      <c r="A18" t="inlineStr">
        <is>
          <t>Oats</t>
        </is>
      </c>
      <c r="B18" t="inlineStr">
        <is>
          <t>that is, 4 bushels an acre, less 11 quarters in all.</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11</v>
      </c>
      <c r="Y18" t="n">
        <v>4</v>
      </c>
      <c r="Z18" t="n">
        <v>11.5</v>
      </c>
      <c r="AA18" t="n">
        <v>0.5</v>
      </c>
      <c r="AB18" t="n">
        <v>11</v>
      </c>
      <c r="AC18" t="n">
        <v>0</v>
      </c>
      <c r="AD18" t="n">
        <v>4</v>
      </c>
      <c r="AE18" t="n">
        <v>11</v>
      </c>
      <c r="AF18" t="n">
        <v>0</v>
      </c>
    </row>
    <row r="19">
      <c r="A19" t="inlineStr">
        <is>
          <t>Oats</t>
        </is>
      </c>
      <c r="B19" t="inlineStr">
        <is>
          <t>Also sown at Poundisford by the villeins according to custom, 26.5 acres.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row>
    <row r="20">
      <c r="A20" t="inlineStr">
        <is>
          <t>Oats</t>
        </is>
      </c>
      <c r="B20" t="inlineStr">
        <is>
          <t>Sold, 154 quarters.</t>
        </is>
      </c>
      <c r="C20" t="n">
        <v>0</v>
      </c>
      <c r="D20" t="n">
        <v>0</v>
      </c>
      <c r="E20" t="n">
        <v>0</v>
      </c>
      <c r="F20" t="n">
        <v>0</v>
      </c>
      <c r="G20" t="n">
        <v>0</v>
      </c>
      <c r="H20" t="n">
        <v>0</v>
      </c>
      <c r="I20" t="n">
        <v>0</v>
      </c>
      <c r="J20" t="n">
        <v>0</v>
      </c>
      <c r="K20" t="n">
        <v>0</v>
      </c>
      <c r="L20" t="n">
        <v>0</v>
      </c>
      <c r="M20" t="n">
        <v>0</v>
      </c>
      <c r="N20" t="n">
        <v>0</v>
      </c>
      <c r="O20" t="n">
        <v>0</v>
      </c>
      <c r="P20" t="n">
        <v>0</v>
      </c>
      <c r="Q20" t="n">
        <v>154</v>
      </c>
      <c r="R20" t="n">
        <v>0</v>
      </c>
      <c r="S20" t="n">
        <v>154</v>
      </c>
      <c r="T20" t="n">
        <v>0</v>
      </c>
      <c r="U20" t="n">
        <v>0</v>
      </c>
      <c r="V20" t="n">
        <v>0</v>
      </c>
      <c r="W20" t="n">
        <v>0</v>
      </c>
      <c r="X20" t="n">
        <v>154</v>
      </c>
      <c r="Y20" t="n">
        <v>0</v>
      </c>
      <c r="Z20" t="n">
        <v>154</v>
      </c>
      <c r="AA20" t="n">
        <v>154</v>
      </c>
      <c r="AB20" t="n">
        <v>0</v>
      </c>
      <c r="AC20" t="n">
        <v>154</v>
      </c>
      <c r="AD20" t="n">
        <v>0</v>
      </c>
    </row>
    <row r="21">
      <c r="A21" t="inlineStr">
        <is>
          <t>Oats</t>
        </is>
      </c>
      <c r="B21" t="inlineStr">
        <is>
          <t>Total, 202 quarters 6 bushels It balances.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202</v>
      </c>
      <c r="Y21" t="n">
        <v>6</v>
      </c>
      <c r="Z21" t="n">
        <v>202.75</v>
      </c>
      <c r="AA21" t="n">
        <v>202.75</v>
      </c>
      <c r="AB21" t="n">
        <v>0</v>
      </c>
      <c r="AC21" t="n">
        <v>202</v>
      </c>
      <c r="AD21" t="n">
        <v>6</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H4"/>
  <sheetViews>
    <sheetView topLeftCell="A1"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shilling a quarter 4</t>
        </is>
      </c>
      <c r="Z1" s="1" t="inlineStr">
        <is>
          <t>pence a quarter 4</t>
        </is>
      </c>
      <c r="AA1" s="1" t="inlineStr">
        <is>
          <t>£ a quarter 1</t>
        </is>
      </c>
      <c r="AB1" s="1" t="inlineStr">
        <is>
          <t>£ a quarter 2</t>
        </is>
      </c>
      <c r="AC1" s="1" t="inlineStr">
        <is>
          <t>£ a quarter 3</t>
        </is>
      </c>
      <c r="AD1" s="1" t="inlineStr">
        <is>
          <t>£ a quarter 4</t>
        </is>
      </c>
      <c r="AE1" s="1" t="inlineStr">
        <is>
          <t>Quarters Sold</t>
        </is>
      </c>
      <c r="AF1" s="1" t="inlineStr">
        <is>
          <t>Weighted Average Price per Quarter</t>
        </is>
      </c>
      <c r="AG1" s="1" t="inlineStr">
        <is>
          <t>Non-Weighted Average Price per Quarter</t>
        </is>
      </c>
      <c r="AH1" s="1" t="inlineStr">
        <is>
          <t>Corn lowercase</t>
        </is>
      </c>
    </row>
    <row r="2">
      <c r="A2" t="inlineStr">
        <is>
          <t>Sale of corn</t>
        </is>
      </c>
      <c r="B2" t="inlineStr">
        <is>
          <t>The same renders account for £15 16 shilling 3.5pence from 46.5 quarters of wheat sold, at 6 shilling 8pence a quarters for 8 quarters 6 bushels, and 6 shilling 10pence a quarters for 37 quarters 6 bushels sold to customary tenants.</t>
        </is>
      </c>
      <c r="C2" t="n">
        <v>15.81</v>
      </c>
      <c r="D2" t="n">
        <v>15</v>
      </c>
      <c r="E2" t="n">
        <v>16</v>
      </c>
      <c r="F2" t="n">
        <v>3.5</v>
      </c>
      <c r="G2" t="inlineStr">
        <is>
          <t>wheat</t>
        </is>
      </c>
      <c r="H2" t="n">
        <v>45</v>
      </c>
      <c r="I2" t="n">
        <v>12</v>
      </c>
      <c r="J2" t="n">
        <v>46.5</v>
      </c>
      <c r="K2" t="n">
        <v>46.5</v>
      </c>
      <c r="L2" t="n">
        <v>0</v>
      </c>
      <c r="M2" t="n">
        <v>46.5</v>
      </c>
      <c r="N2" t="n">
        <v>0</v>
      </c>
      <c r="O2" t="n">
        <v>6</v>
      </c>
      <c r="P2" t="n">
        <v>8</v>
      </c>
      <c r="Q2" t="n">
        <v>8</v>
      </c>
      <c r="R2" t="n">
        <v>6</v>
      </c>
      <c r="S2" t="n">
        <v>6</v>
      </c>
      <c r="T2" t="n">
        <v>10</v>
      </c>
      <c r="U2" t="n">
        <v>37</v>
      </c>
      <c r="V2" t="n">
        <v>6</v>
      </c>
      <c r="AA2" t="n">
        <v>0.3333333333333333</v>
      </c>
      <c r="AB2" t="n">
        <v>0.3416666666666667</v>
      </c>
      <c r="AE2" t="n">
        <v>46.5</v>
      </c>
      <c r="AF2" t="n">
        <v>0.3400985663082437</v>
      </c>
      <c r="AG2" t="n">
        <v>0.3375</v>
      </c>
      <c r="AH2" t="inlineStr">
        <is>
          <t>wheat</t>
        </is>
      </c>
    </row>
    <row r="3">
      <c r="A3" t="inlineStr">
        <is>
          <t>Sale of corn</t>
        </is>
      </c>
      <c r="B3" t="inlineStr">
        <is>
          <t>£13 9 shilling 6pence from 154 quarters of oats sold to customary tenants, at 1 shilling 9pence a quarters.</t>
        </is>
      </c>
      <c r="C3" t="n">
        <v>13.47</v>
      </c>
      <c r="D3" t="n">
        <v>13</v>
      </c>
      <c r="E3" t="n">
        <v>9</v>
      </c>
      <c r="F3" t="n">
        <v>6</v>
      </c>
      <c r="G3" t="inlineStr">
        <is>
          <t>oats</t>
        </is>
      </c>
      <c r="H3" t="n">
        <v>154</v>
      </c>
      <c r="I3" t="n">
        <v>0</v>
      </c>
      <c r="J3" t="n">
        <v>154</v>
      </c>
      <c r="K3" t="n">
        <v>154</v>
      </c>
      <c r="L3" t="n">
        <v>0</v>
      </c>
      <c r="M3" t="n">
        <v>154</v>
      </c>
      <c r="N3" t="n">
        <v>0</v>
      </c>
      <c r="O3" t="n">
        <v>1</v>
      </c>
      <c r="P3" t="n">
        <v>9</v>
      </c>
      <c r="AA3" t="n">
        <v>0.08749999999999999</v>
      </c>
      <c r="AE3" t="n">
        <v>154</v>
      </c>
      <c r="AF3" t="n">
        <v>0.08749999999999999</v>
      </c>
      <c r="AG3" t="n">
        <v>0.08749999999999999</v>
      </c>
      <c r="AH3" t="inlineStr">
        <is>
          <t>oats</t>
        </is>
      </c>
    </row>
    <row r="4">
      <c r="A4" t="inlineStr">
        <is>
          <t>Sale of corn</t>
        </is>
      </c>
      <c r="B4" t="inlineStr">
        <is>
          <t>Total, £29 5 shilling 9.5pence</t>
        </is>
      </c>
      <c r="C4" t="n">
        <v>29.29</v>
      </c>
      <c r="D4" t="n">
        <v>29</v>
      </c>
      <c r="E4" t="n">
        <v>5</v>
      </c>
      <c r="F4" t="n">
        <v>9.5</v>
      </c>
      <c r="H4" t="n">
        <v>0</v>
      </c>
      <c r="I4" t="n">
        <v>0</v>
      </c>
      <c r="J4" t="n">
        <v>0</v>
      </c>
      <c r="K4" t="n">
        <v>0</v>
      </c>
      <c r="L4" t="n">
        <v>0</v>
      </c>
      <c r="M4" t="n">
        <v>0</v>
      </c>
      <c r="N4" t="n">
        <v>0</v>
      </c>
      <c r="AA4" t="inlineStr">
        <is>
          <t>inf</t>
        </is>
      </c>
      <c r="AE4" t="n">
        <v>0</v>
      </c>
      <c r="AF4" t="inlineStr">
        <is>
          <t>inf</t>
        </is>
      </c>
      <c r="AG4" t="inlineStr">
        <is>
          <t>inf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2025-12-18T10:17:18Z</dcterms:modified>
  <cp:lastModifiedBy>Kowalski, Kuba</cp:lastModifiedBy>
</cp:coreProperties>
</file>
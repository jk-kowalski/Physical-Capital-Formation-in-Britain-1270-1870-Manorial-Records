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kuba25-26/output/OCR 1301-1302_unifinished/script7/"/>
    </mc:Choice>
  </mc:AlternateContent>
  <xr:revisionPtr revIDLastSave="0" documentId="13_ncr:1_{9F5E352D-5C46-994E-89D0-8DEB43537577}" xr6:coauthVersionLast="47" xr6:coauthVersionMax="47" xr10:uidLastSave="{00000000-0000-0000-0000-000000000000}"/>
  <bookViews>
    <workbookView xWindow="10900" yWindow="500" windowWidth="17900" windowHeight="16580" activeTab="4" xr2:uid="{00000000-000D-0000-FFFF-FFFF00000000}"/>
  </bookViews>
  <sheets>
    <sheet name="Gosport Overview - Completed" sheetId="1" r:id="rId1"/>
    <sheet name="Labour Rents" sheetId="2" r:id="rId2"/>
    <sheet name="Overview" sheetId="3" r:id="rId3"/>
    <sheet name="Receipts" sheetId="4" r:id="rId4"/>
    <sheet name="Expenses" sheetId="5" r:id="rId5"/>
    <sheet name="Issues of the Grange" sheetId="6" r:id="rId6"/>
    <sheet name="Issues of the Mills" sheetId="7" r:id="rId7"/>
    <sheet name="Stock" sheetId="8" r:id="rId8"/>
    <sheet name="Prices" sheetId="9" r:id="rId9"/>
    <sheet name="raw 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4" l="1"/>
  <c r="F23" i="4"/>
  <c r="F22" i="4"/>
  <c r="F24" i="4" s="1"/>
  <c r="G24" i="4" s="1"/>
  <c r="B177" i="1"/>
  <c r="F156" i="1"/>
  <c r="B176" i="1" s="1"/>
  <c r="F155" i="1"/>
  <c r="F115" i="1"/>
  <c r="F114" i="1"/>
  <c r="F112" i="1"/>
  <c r="D112" i="1"/>
  <c r="G112" i="1" s="1"/>
  <c r="F111" i="1"/>
  <c r="D111" i="1"/>
  <c r="G111" i="1" s="1"/>
  <c r="F110" i="1"/>
  <c r="D110" i="1"/>
  <c r="G110" i="1" s="1"/>
  <c r="F109" i="1"/>
  <c r="D109" i="1"/>
  <c r="G109" i="1" s="1"/>
  <c r="F108" i="1"/>
  <c r="D108" i="1"/>
  <c r="G108" i="1" s="1"/>
  <c r="G107" i="1"/>
  <c r="F107" i="1"/>
  <c r="D107" i="1"/>
  <c r="F106" i="1"/>
  <c r="D106" i="1"/>
  <c r="G106" i="1" s="1"/>
  <c r="F105" i="1"/>
  <c r="D105" i="1"/>
  <c r="G105" i="1" s="1"/>
  <c r="F104" i="1"/>
  <c r="D104" i="1"/>
  <c r="G104" i="1" s="1"/>
  <c r="F103" i="1"/>
  <c r="D103" i="1"/>
  <c r="G103" i="1" s="1"/>
  <c r="G102" i="1"/>
  <c r="F102" i="1"/>
  <c r="D102" i="1"/>
  <c r="F101" i="1"/>
  <c r="D101" i="1"/>
  <c r="G101" i="1" s="1"/>
  <c r="F100" i="1"/>
  <c r="D100" i="1"/>
  <c r="G100" i="1" s="1"/>
  <c r="G99" i="1"/>
  <c r="F99" i="1"/>
  <c r="D99" i="1"/>
  <c r="F98" i="1"/>
  <c r="D98" i="1"/>
  <c r="G98" i="1" s="1"/>
  <c r="F97" i="1"/>
  <c r="D97" i="1"/>
  <c r="G97" i="1" s="1"/>
  <c r="F96" i="1"/>
  <c r="D96" i="1"/>
  <c r="G96" i="1" s="1"/>
  <c r="F95" i="1"/>
  <c r="D95" i="1"/>
  <c r="G95" i="1" s="1"/>
  <c r="G94" i="1"/>
  <c r="F94" i="1"/>
  <c r="D94" i="1"/>
  <c r="F93" i="1"/>
  <c r="D93" i="1"/>
  <c r="G93" i="1" s="1"/>
  <c r="F92" i="1"/>
  <c r="D92" i="1"/>
  <c r="G92" i="1" s="1"/>
  <c r="G91" i="1"/>
  <c r="F91" i="1"/>
  <c r="D91" i="1"/>
  <c r="F90" i="1"/>
  <c r="D90" i="1"/>
  <c r="G90" i="1" s="1"/>
  <c r="F89" i="1"/>
  <c r="D89" i="1"/>
  <c r="G89" i="1" s="1"/>
  <c r="F88" i="1"/>
  <c r="D88" i="1"/>
  <c r="G88" i="1" s="1"/>
  <c r="F87" i="1"/>
  <c r="F113" i="1" s="1"/>
  <c r="D87" i="1"/>
  <c r="G87" i="1" s="1"/>
  <c r="B57" i="1"/>
  <c r="B54" i="1"/>
  <c r="B26" i="1"/>
  <c r="B24" i="1"/>
  <c r="B23" i="1"/>
  <c r="B49" i="1" s="1"/>
  <c r="G113" i="1" l="1"/>
  <c r="C25" i="1"/>
  <c r="B175" i="1"/>
  <c r="B180" i="1" l="1"/>
  <c r="B178" i="1"/>
  <c r="B1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F8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1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6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</commentList>
</comments>
</file>

<file path=xl/sharedStrings.xml><?xml version="1.0" encoding="utf-8"?>
<sst xmlns="http://schemas.openxmlformats.org/spreadsheetml/2006/main" count="654" uniqueCount="273">
  <si>
    <t>GOSPORT OVERVIEW - COMPLETED</t>
  </si>
  <si>
    <t>Total in £</t>
  </si>
  <si>
    <t>Error</t>
  </si>
  <si>
    <t>Note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</si>
  <si>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</si>
  <si>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</si>
  <si>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</si>
  <si>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</si>
  <si>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</si>
  <si>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</si>
  <si>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</si>
  <si>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</si>
  <si>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</si>
  <si>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</si>
  <si>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</si>
  <si>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</si>
  <si>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</si>
  <si>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</si>
  <si>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</si>
  <si>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</si>
  <si>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</si>
  <si>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</si>
  <si>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</si>
  <si>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</si>
  <si>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</si>
  <si>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</si>
  <si>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</si>
  <si>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</si>
  <si>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</si>
  <si>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</si>
  <si>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</si>
  <si>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</si>
  <si>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</si>
  <si>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</si>
  <si>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</si>
  <si>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</si>
  <si>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</si>
  <si>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</si>
  <si>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</si>
  <si>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</si>
  <si>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</si>
  <si>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</si>
  <si>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</si>
  <si>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</si>
  <si>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</si>
  <si>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</si>
  <si>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</si>
  <si>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</si>
  <si>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</si>
  <si>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</si>
  <si>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</si>
  <si>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</si>
  <si>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</si>
  <si>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</si>
  <si>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</si>
  <si>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</si>
  <si>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</si>
  <si>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Total Production</t>
  </si>
  <si>
    <t>Value of total gross production in £</t>
  </si>
  <si>
    <t>Value of total net production in £</t>
  </si>
  <si>
    <t>Grange</t>
  </si>
  <si>
    <t>qrs</t>
  </si>
  <si>
    <t>bus</t>
  </si>
  <si>
    <t>Wheat</t>
  </si>
  <si>
    <t>Rye</t>
  </si>
  <si>
    <t>Dredge</t>
  </si>
  <si>
    <t>Curall</t>
  </si>
  <si>
    <t>Barley</t>
  </si>
  <si>
    <t>Oats</t>
  </si>
  <si>
    <t>Beans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</si>
  <si>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</si>
  <si>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</si>
  <si>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</si>
  <si>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</si>
  <si>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</si>
  <si>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</si>
  <si>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</si>
  <si>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</si>
  <si>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</si>
  <si>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</si>
  <si>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</si>
  <si>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</si>
  <si>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</si>
  <si>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</si>
  <si>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Begin stock</t>
  </si>
  <si>
    <t>End stock</t>
  </si>
  <si>
    <t>Stockbuilding</t>
  </si>
  <si>
    <t>Value of stock in £</t>
  </si>
  <si>
    <t>Value of 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</si>
  <si>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</si>
  <si>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</si>
  <si>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</si>
  <si>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</si>
  <si>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</si>
  <si>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</si>
  <si>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</si>
  <si>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</si>
  <si>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</si>
  <si>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</si>
  <si>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</si>
  <si>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</si>
  <si>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</si>
  <si>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</si>
  <si>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</si>
  <si>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</si>
  <si>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</si>
  <si>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</si>
  <si>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</si>
  <si>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</si>
  <si>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</si>
  <si>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</si>
  <si>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</si>
  <si>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</si>
  <si>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</si>
  <si>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</si>
  <si>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</si>
  <si>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</si>
  <si>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</si>
  <si>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</si>
  <si>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</si>
  <si>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</si>
  <si>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</si>
  <si>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</si>
  <si>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</si>
  <si>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</si>
  <si>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</si>
  <si>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</si>
  <si>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</si>
  <si>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</si>
  <si>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</si>
  <si>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</si>
  <si>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</si>
  <si>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</si>
  <si>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</si>
  <si>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</si>
  <si>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</si>
  <si>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</si>
  <si>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</si>
  <si>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</si>
  <si>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</si>
  <si>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</si>
  <si>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</si>
  <si>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</si>
  <si>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</si>
  <si>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</si>
  <si>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</si>
  <si>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</si>
  <si>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</si>
  <si>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</si>
  <si>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</si>
  <si>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</si>
  <si>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</si>
  <si>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</si>
  <si>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</si>
  <si>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</si>
  <si>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</si>
  <si>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</si>
  <si>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</si>
  <si>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</si>
  <si>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</si>
  <si>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</si>
  <si>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</si>
  <si>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</si>
  <si>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t>% of capital expenses as calculated previously</t>
  </si>
  <si>
    <t>n/a</t>
  </si>
  <si>
    <t>GOSPORT</t>
  </si>
  <si>
    <t>GOSPORT RECEIPTS</t>
  </si>
  <si>
    <t>Heading</t>
  </si>
  <si>
    <t>£</t>
  </si>
  <si>
    <t xml:space="preserve">s </t>
  </si>
  <si>
    <t>d</t>
  </si>
  <si>
    <t>Notes</t>
  </si>
  <si>
    <t>Own notes</t>
  </si>
  <si>
    <t>Rents</t>
  </si>
  <si>
    <t>John Pulayn renders account for £6 10 shilling 8.5pence for all rents of assize for the year.</t>
  </si>
  <si>
    <t>Total, £6 10 shilling 8.5pence</t>
  </si>
  <si>
    <t>Total</t>
  </si>
  <si>
    <t>Defaults of rent</t>
  </si>
  <si>
    <t>In default of 1.5 plots which belonged to Amice, relict of the cobbler, inundated by the sea 9pence.</t>
  </si>
  <si>
    <t>1 plot of land which belonged to Henry Curtays inundated by the sea 6pence.</t>
  </si>
  <si>
    <t>1 plot of land which belonged to Thomas Poyn inundated by the sea 6pence.</t>
  </si>
  <si>
    <t>0.5 plot of land which belonged to John Davel inundated by the sea 3pence.</t>
  </si>
  <si>
    <t>1 plot of land which belonged to Agnes Mulet inundated by the sea 6pence.</t>
  </si>
  <si>
    <t>1.5 plots of land which belonged to Henry Fossadam' inundated by the sea 9pence.</t>
  </si>
  <si>
    <t>2 plots which belonged to Bartholomew Bonekar' inundated by the sea 1 shilling.</t>
  </si>
  <si>
    <t>1 plot of land which belonged to John Hendel inundated by the sea 6pence.</t>
  </si>
  <si>
    <t>1 plot of land which belonged to Sibyl Lablto inundated by the sea 6pence.</t>
  </si>
  <si>
    <t>1 plot of land which belonged to Rose Swole inundated the sea 6pence.</t>
  </si>
  <si>
    <t>1 plot of land which belonged to Richard Trut inundated by the sea 6d.</t>
  </si>
  <si>
    <t>0.5 plot of land which belonged to Thomas Edward' inundated by the sea 3pence.</t>
  </si>
  <si>
    <t>1 plot of land which belonged to Henry de la Putte inundated by the sea 6pence.</t>
  </si>
  <si>
    <t>0.5 plot of land which belonged to William Godefray inundated by the sea 3pence.</t>
  </si>
  <si>
    <t>1 plot of land which belonged to Laurence le Blak' inundated by the sea 6pence.</t>
  </si>
  <si>
    <t xml:space="preserve">0.5 plot of land which belonged to Matilda de Schale inundated by the sea 3pence </t>
  </si>
  <si>
    <t>Total, 8 shilling</t>
  </si>
  <si>
    <t>Total of rents remaining</t>
  </si>
  <si>
    <t>Total of rents remaining, £6 2 shilling 8.5pence</t>
  </si>
  <si>
    <t>Reliefs</t>
  </si>
  <si>
    <t>The same render account for 4pence from Robert de Forton for relief for 1 acre of land by the legacy of John his brother.</t>
  </si>
  <si>
    <t>4 shilling 1pence from Bartholomew Hendel for relief for 12 acres and 1 perch of land and tenements which belonged to William Hendel his father.</t>
  </si>
  <si>
    <t>1 shilling from William Hendel for relief for 3 acres of land by the legacy of William Hendel his father.</t>
  </si>
  <si>
    <t>10pence from John, Richard, John, Henry, Alice, Matilda and Emma Hendel for relief for 2.5 acres which belonged to William le Hendel their father by legacy.</t>
  </si>
  <si>
    <t>8pence from Alice and Agnes, daughters of Adam Bild', for relief for 2 acres of land and tenements which belonged to Adam Bild' their father.</t>
  </si>
  <si>
    <t>Total, 6 shilling 11pence</t>
  </si>
  <si>
    <t>Perquisites</t>
  </si>
  <si>
    <t>The same render account for 3pence from William le Kyngt for transgression against Alice, relict of William le Kynge.</t>
  </si>
  <si>
    <t>3pence from Thomas Durant for transgression against John de la Frith'.</t>
  </si>
  <si>
    <t>3pence from John Reynold' for breaking the assize of ale.</t>
  </si>
  <si>
    <t>3pence from John Franceys for the same.</t>
  </si>
  <si>
    <t>3pence from Henry Walter for the same.</t>
  </si>
  <si>
    <t>3pence from Alice le Tug for the same.</t>
  </si>
  <si>
    <t>3pence from John Aze for the same.</t>
  </si>
  <si>
    <t>3pence from Alice Schynnyld for the same.</t>
  </si>
  <si>
    <t>3pence from Thomas Edward for the same.</t>
  </si>
  <si>
    <t>3pence from John Prevet for the same.</t>
  </si>
  <si>
    <t>3pence from Alice Hendel for the same.</t>
  </si>
  <si>
    <t>3pence from Alexander le Mey for transgression against Alice Edward.</t>
  </si>
  <si>
    <t>3pence from Richard Goyr for transgression against Dyser', wife of William Pante.</t>
  </si>
  <si>
    <t>3pence from Thomas Durant for transgression against John le Frith'.</t>
  </si>
  <si>
    <t>3pence from Joan Edward' for transgression against Alice, wife of John Prest, at the tourn of Hockday.</t>
  </si>
  <si>
    <t>6pence from Richard Schutel for transgression against William Bond'.</t>
  </si>
  <si>
    <t>6pence from John Prest for breaking the assize of ale.</t>
  </si>
  <si>
    <t>6pence from John Franceys for the same.</t>
  </si>
  <si>
    <t>6pence from Alice Schymnyld for the same.</t>
  </si>
  <si>
    <t>6pence from Thomas Edward' for the same.</t>
  </si>
  <si>
    <t>6pence from John Prevet for the same.</t>
  </si>
  <si>
    <t>6pence from Matilda Bild' for the same.</t>
  </si>
  <si>
    <t>6pence from Alice Hendel for the same.</t>
  </si>
  <si>
    <t>6pence from Alexander Cred' for the same.</t>
  </si>
  <si>
    <t>Total, 8 shilling 3pence</t>
  </si>
  <si>
    <t>Total of all receipts</t>
  </si>
  <si>
    <t>Total of all receipts, £6 17 shilling 10.5pence</t>
  </si>
  <si>
    <t>GOSPORT EXPENSES</t>
  </si>
  <si>
    <t>And he owes</t>
  </si>
  <si>
    <t>And he owes it all.</t>
  </si>
  <si>
    <t>Delivered to Sir Geoffrey, treasurer of Wolvesey, by 1 tally, £5.</t>
  </si>
  <si>
    <t>And thus he owes clear</t>
  </si>
  <si>
    <t>And thus he owes clear, £1 17 shilling 10.5pence</t>
  </si>
  <si>
    <t>no grange</t>
  </si>
  <si>
    <t>no mills</t>
  </si>
  <si>
    <t>no stock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</si>
  <si>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</si>
  <si>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</si>
  <si>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</si>
  <si>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</si>
  <si>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</si>
  <si>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</si>
  <si>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</si>
  <si>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</si>
  <si>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</si>
  <si>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</si>
  <si>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</si>
  <si>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</si>
  <si>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</si>
  <si>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</si>
  <si>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</si>
  <si>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</si>
  <si>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</si>
  <si>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</si>
  <si>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</si>
  <si>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</si>
  <si>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</si>
  <si>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</si>
  <si>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</si>
  <si>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</si>
  <si>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</si>
  <si>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</si>
  <si>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</si>
  <si>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</si>
  <si>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</si>
  <si>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0.5 plot of land which belonged to Matilda de Schale inundated by the sea 3pence Total, 8 shilling</t>
  </si>
  <si>
    <t>Total of both</t>
  </si>
  <si>
    <t>Total of both, 15 shilling 2pence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</si>
</sst>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color rgb="FFFF0000"/>
      <name val="Calibri (Body)"/>
    </font>
    <font>
      <b/>
      <sz val="12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1" xfId="0" applyFont="1" applyBorder="1" applyAlignment="1">
      <alignment horizontal="center" vertical="top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0" fontId="12" fillId="0" borderId="0" xfId="0" applyFont="1"/>
    <xf numFmtId="0" fontId="5" fillId="0" borderId="0" xfId="0" applyFont="1"/>
    <xf numFmtId="0" fontId="7" fillId="0" borderId="0" xfId="0" applyFont="1"/>
    <xf numFmtId="0" fontId="11" fillId="0" borderId="0" xfId="0" applyFont="1" applyAlignment="1">
      <alignment horizontal="center" vertical="top"/>
    </xf>
    <xf numFmtId="0" fontId="8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2" borderId="0" xfId="0" applyFont="1" applyFill="1"/>
    <xf numFmtId="0" fontId="16" fillId="2" borderId="0" xfId="0" applyFont="1" applyFill="1"/>
    <xf numFmtId="0" fontId="15" fillId="3" borderId="0" xfId="0" applyFont="1" applyFill="1"/>
    <xf numFmtId="0" fontId="16" fillId="3" borderId="0" xfId="0" applyFont="1" applyFill="1"/>
    <xf numFmtId="0" fontId="16" fillId="4" borderId="0" xfId="0" applyFont="1" applyFill="1"/>
    <xf numFmtId="0" fontId="12" fillId="5" borderId="0" xfId="0" applyFont="1" applyFill="1"/>
    <xf numFmtId="0" fontId="15" fillId="0" borderId="0" xfId="0" applyFont="1" applyAlignment="1">
      <alignment wrapText="1"/>
    </xf>
    <xf numFmtId="0" fontId="15" fillId="0" borderId="2" xfId="0" applyFont="1" applyBorder="1"/>
    <xf numFmtId="0" fontId="15" fillId="0" borderId="0" xfId="0" applyFont="1" applyAlignment="1">
      <alignment horizontal="right"/>
    </xf>
    <xf numFmtId="0" fontId="15" fillId="0" borderId="2" xfId="0" applyFont="1" applyBorder="1" applyAlignment="1">
      <alignment horizontal="left"/>
    </xf>
    <xf numFmtId="2" fontId="5" fillId="0" borderId="0" xfId="0" applyNumberFormat="1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18" fillId="0" borderId="0" xfId="0" applyNumberFormat="1" applyFont="1"/>
    <xf numFmtId="2" fontId="10" fillId="0" borderId="0" xfId="0" applyNumberFormat="1" applyFont="1" applyAlignment="1">
      <alignment horizontal="center" vertical="center"/>
    </xf>
    <xf numFmtId="0" fontId="8" fillId="5" borderId="0" xfId="0" applyFont="1" applyFill="1"/>
    <xf numFmtId="2" fontId="0" fillId="0" borderId="0" xfId="0" applyNumberFormat="1"/>
    <xf numFmtId="0" fontId="4" fillId="0" borderId="0" xfId="0" applyFont="1"/>
    <xf numFmtId="2" fontId="12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0" fontId="4" fillId="0" borderId="4" xfId="0" applyFont="1" applyBorder="1"/>
    <xf numFmtId="0" fontId="7" fillId="0" borderId="4" xfId="0" applyFont="1" applyBorder="1"/>
    <xf numFmtId="0" fontId="14" fillId="5" borderId="4" xfId="0" applyFont="1" applyFill="1" applyBorder="1"/>
    <xf numFmtId="0" fontId="14" fillId="5" borderId="0" xfId="0" applyFont="1" applyFill="1"/>
    <xf numFmtId="0" fontId="17" fillId="2" borderId="0" xfId="0" applyFont="1" applyFill="1"/>
    <xf numFmtId="2" fontId="4" fillId="0" borderId="0" xfId="0" applyNumberFormat="1" applyFont="1"/>
    <xf numFmtId="0" fontId="15" fillId="0" borderId="3" xfId="0" applyFont="1" applyBorder="1"/>
    <xf numFmtId="2" fontId="4" fillId="0" borderId="3" xfId="0" applyNumberFormat="1" applyFont="1" applyBorder="1"/>
    <xf numFmtId="0" fontId="7" fillId="0" borderId="3" xfId="0" applyFont="1" applyBorder="1"/>
    <xf numFmtId="0" fontId="4" fillId="0" borderId="3" xfId="0" applyFont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2" fontId="12" fillId="5" borderId="0" xfId="0" applyNumberFormat="1" applyFont="1" applyFill="1" applyAlignment="1">
      <alignment horizontal="right"/>
    </xf>
    <xf numFmtId="0" fontId="12" fillId="6" borderId="0" xfId="0" applyFont="1" applyFill="1"/>
    <xf numFmtId="0" fontId="4" fillId="5" borderId="0" xfId="0" applyFont="1" applyFill="1"/>
    <xf numFmtId="0" fontId="7" fillId="5" borderId="0" xfId="0" applyFont="1" applyFill="1"/>
    <xf numFmtId="0" fontId="8" fillId="5" borderId="0" xfId="0" applyFont="1" applyFill="1" applyAlignment="1">
      <alignment horizontal="right"/>
    </xf>
    <xf numFmtId="0" fontId="3" fillId="0" borderId="0" xfId="0" applyFont="1"/>
    <xf numFmtId="0" fontId="16" fillId="2" borderId="5" xfId="0" applyFont="1" applyFill="1" applyBorder="1"/>
    <xf numFmtId="0" fontId="16" fillId="4" borderId="5" xfId="0" applyFont="1" applyFill="1" applyBorder="1"/>
    <xf numFmtId="0" fontId="15" fillId="0" borderId="5" xfId="0" applyFont="1" applyBorder="1"/>
    <xf numFmtId="10" fontId="16" fillId="2" borderId="5" xfId="0" applyNumberFormat="1" applyFont="1" applyFill="1" applyBorder="1"/>
    <xf numFmtId="10" fontId="16" fillId="4" borderId="7" xfId="0" applyNumberFormat="1" applyFont="1" applyFill="1" applyBorder="1"/>
    <xf numFmtId="0" fontId="7" fillId="0" borderId="8" xfId="0" applyFont="1" applyBorder="1"/>
    <xf numFmtId="0" fontId="15" fillId="5" borderId="10" xfId="0" applyFont="1" applyFill="1" applyBorder="1"/>
    <xf numFmtId="2" fontId="12" fillId="5" borderId="11" xfId="0" applyNumberFormat="1" applyFont="1" applyFill="1" applyBorder="1" applyAlignment="1">
      <alignment horizontal="right"/>
    </xf>
    <xf numFmtId="0" fontId="7" fillId="5" borderId="11" xfId="0" applyFont="1" applyFill="1" applyBorder="1"/>
    <xf numFmtId="0" fontId="3" fillId="0" borderId="8" xfId="0" applyFont="1" applyBorder="1"/>
    <xf numFmtId="2" fontId="4" fillId="5" borderId="0" xfId="0" applyNumberFormat="1" applyFont="1" applyFill="1"/>
    <xf numFmtId="0" fontId="2" fillId="5" borderId="11" xfId="0" applyFont="1" applyFill="1" applyBorder="1"/>
    <xf numFmtId="0" fontId="2" fillId="5" borderId="12" xfId="0" applyFont="1" applyFill="1" applyBorder="1"/>
    <xf numFmtId="2" fontId="2" fillId="0" borderId="0" xfId="0" applyNumberFormat="1" applyFont="1"/>
    <xf numFmtId="0" fontId="2" fillId="0" borderId="0" xfId="0" applyFont="1"/>
    <xf numFmtId="0" fontId="2" fillId="0" borderId="6" xfId="0" applyFont="1" applyBorder="1"/>
    <xf numFmtId="10" fontId="2" fillId="0" borderId="0" xfId="0" applyNumberFormat="1" applyFont="1"/>
    <xf numFmtId="0" fontId="2" fillId="0" borderId="8" xfId="0" applyFont="1" applyBorder="1"/>
    <xf numFmtId="0" fontId="2" fillId="0" borderId="9" xfId="0" applyFont="1" applyBorder="1"/>
    <xf numFmtId="0" fontId="1" fillId="0" borderId="0" xfId="0" applyFont="1"/>
    <xf numFmtId="2" fontId="8" fillId="5" borderId="0" xfId="0" applyNumberFormat="1" applyFont="1" applyFill="1"/>
    <xf numFmtId="0" fontId="16" fillId="6" borderId="0" xfId="0" applyFont="1" applyFill="1"/>
    <xf numFmtId="2" fontId="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top"/>
    </xf>
    <xf numFmtId="2" fontId="20" fillId="0" borderId="0" xfId="0" applyNumberFormat="1" applyFont="1"/>
    <xf numFmtId="0" fontId="20" fillId="0" borderId="0" xfId="0" applyFont="1"/>
    <xf numFmtId="0" fontId="8" fillId="5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opLeftCell="A23" workbookViewId="0">
      <selection activeCell="B49" sqref="B49"/>
    </sheetView>
  </sheetViews>
  <sheetFormatPr baseColWidth="10" defaultColWidth="10.83203125" defaultRowHeight="16" x14ac:dyDescent="0.2"/>
  <cols>
    <col min="1" max="1" width="80" style="34" bestFit="1" customWidth="1"/>
    <col min="2" max="2" width="10.83203125" style="34" customWidth="1"/>
    <col min="3" max="3" width="10.83203125" style="8" customWidth="1"/>
    <col min="4" max="4" width="30.83203125" style="34" bestFit="1" customWidth="1"/>
    <col min="5" max="5" width="29.33203125" style="34" bestFit="1" customWidth="1"/>
    <col min="6" max="6" width="35.5" style="34" bestFit="1" customWidth="1"/>
    <col min="7" max="7" width="21.1640625" style="34" customWidth="1"/>
    <col min="8" max="8" width="10.83203125" style="34" customWidth="1"/>
    <col min="9" max="16384" width="10.83203125" style="34"/>
  </cols>
  <sheetData>
    <row r="1" spans="1:5" x14ac:dyDescent="0.2">
      <c r="A1" s="6" t="s">
        <v>0</v>
      </c>
      <c r="B1" s="35" t="s">
        <v>1</v>
      </c>
      <c r="C1" s="36" t="s">
        <v>2</v>
      </c>
      <c r="D1" s="10" t="s">
        <v>3</v>
      </c>
      <c r="E1" s="10"/>
    </row>
    <row r="2" spans="1:5" x14ac:dyDescent="0.2">
      <c r="A2" s="6" t="s">
        <v>4</v>
      </c>
    </row>
    <row r="3" spans="1:5" x14ac:dyDescent="0.2">
      <c r="A3" s="14" t="s">
        <v>5</v>
      </c>
    </row>
    <row r="4" spans="1:5" x14ac:dyDescent="0.2">
      <c r="A4" s="13" t="s">
        <v>6</v>
      </c>
      <c r="D4" s="11"/>
      <c r="E4" s="11"/>
    </row>
    <row r="5" spans="1:5" x14ac:dyDescent="0.2">
      <c r="A5" s="13" t="s">
        <v>7</v>
      </c>
      <c r="B5" s="34">
        <v>6.54</v>
      </c>
    </row>
    <row r="6" spans="1:5" x14ac:dyDescent="0.2">
      <c r="A6" s="13" t="s">
        <v>8</v>
      </c>
    </row>
    <row r="7" spans="1:5" x14ac:dyDescent="0.2">
      <c r="A7" s="13" t="s">
        <v>9</v>
      </c>
      <c r="B7" s="34">
        <v>0.41250000000000009</v>
      </c>
    </row>
    <row r="8" spans="1:5" x14ac:dyDescent="0.2">
      <c r="A8" s="34" t="s">
        <v>10</v>
      </c>
    </row>
    <row r="9" spans="1:5" x14ac:dyDescent="0.2">
      <c r="A9" s="34" t="s">
        <v>11</v>
      </c>
    </row>
    <row r="10" spans="1:5" x14ac:dyDescent="0.2">
      <c r="A10" s="34" t="s">
        <v>12</v>
      </c>
    </row>
    <row r="11" spans="1:5" x14ac:dyDescent="0.2">
      <c r="A11" s="34" t="s">
        <v>13</v>
      </c>
    </row>
    <row r="12" spans="1:5" x14ac:dyDescent="0.2">
      <c r="A12" s="34" t="s">
        <v>14</v>
      </c>
    </row>
    <row r="13" spans="1:5" x14ac:dyDescent="0.2">
      <c r="A13" s="34" t="s">
        <v>15</v>
      </c>
    </row>
    <row r="14" spans="1:5" x14ac:dyDescent="0.2">
      <c r="A14" s="13" t="s">
        <v>16</v>
      </c>
    </row>
    <row r="15" spans="1:5" x14ac:dyDescent="0.2">
      <c r="A15" s="13" t="s">
        <v>17</v>
      </c>
    </row>
    <row r="16" spans="1:5" x14ac:dyDescent="0.2">
      <c r="A16" s="34" t="s">
        <v>18</v>
      </c>
    </row>
    <row r="17" spans="1:5" x14ac:dyDescent="0.2">
      <c r="A17" s="34" t="s">
        <v>19</v>
      </c>
    </row>
    <row r="18" spans="1:5" x14ac:dyDescent="0.2">
      <c r="A18" s="13" t="s">
        <v>20</v>
      </c>
    </row>
    <row r="19" spans="1:5" x14ac:dyDescent="0.2">
      <c r="A19" s="13" t="s">
        <v>21</v>
      </c>
    </row>
    <row r="20" spans="1:5" x14ac:dyDescent="0.2">
      <c r="A20" s="13" t="s">
        <v>22</v>
      </c>
    </row>
    <row r="21" spans="1:5" x14ac:dyDescent="0.2">
      <c r="A21" s="34" t="s">
        <v>23</v>
      </c>
    </row>
    <row r="22" spans="1:5" x14ac:dyDescent="0.2">
      <c r="A22" s="34" t="s">
        <v>24</v>
      </c>
      <c r="D22" s="46"/>
    </row>
    <row r="23" spans="1:5" x14ac:dyDescent="0.2">
      <c r="A23" s="39" t="s">
        <v>25</v>
      </c>
      <c r="B23" s="37">
        <f>SUM(B5:B22)</f>
        <v>6.9525000000000006</v>
      </c>
      <c r="C23" s="38"/>
    </row>
    <row r="24" spans="1:5" x14ac:dyDescent="0.2">
      <c r="A24" s="40" t="s">
        <v>26</v>
      </c>
      <c r="B24">
        <f>SUM(B4:B22)</f>
        <v>6.9525000000000006</v>
      </c>
      <c r="D24" s="11"/>
      <c r="E24" s="11"/>
    </row>
    <row r="25" spans="1:5" x14ac:dyDescent="0.2">
      <c r="A25" s="41" t="s">
        <v>27</v>
      </c>
      <c r="C25" s="8">
        <f>B23-B25</f>
        <v>6.9525000000000006</v>
      </c>
    </row>
    <row r="26" spans="1:5" x14ac:dyDescent="0.2">
      <c r="A26" s="41" t="s">
        <v>28</v>
      </c>
      <c r="B26">
        <f>B25+B4</f>
        <v>0</v>
      </c>
      <c r="D26" s="11"/>
      <c r="E26" s="11"/>
    </row>
    <row r="27" spans="1:5" x14ac:dyDescent="0.2">
      <c r="A27" s="13"/>
    </row>
    <row r="28" spans="1:5" x14ac:dyDescent="0.2">
      <c r="A28" s="13"/>
    </row>
    <row r="29" spans="1:5" x14ac:dyDescent="0.2">
      <c r="A29" s="14" t="s">
        <v>29</v>
      </c>
    </row>
    <row r="30" spans="1:5" x14ac:dyDescent="0.2">
      <c r="A30" s="13" t="s">
        <v>30</v>
      </c>
    </row>
    <row r="31" spans="1:5" x14ac:dyDescent="0.2">
      <c r="A31" s="13" t="s">
        <v>31</v>
      </c>
    </row>
    <row r="32" spans="1:5" x14ac:dyDescent="0.2">
      <c r="A32" s="13" t="s">
        <v>32</v>
      </c>
    </row>
    <row r="33" spans="1:4" x14ac:dyDescent="0.2">
      <c r="A33" s="13" t="s">
        <v>33</v>
      </c>
    </row>
    <row r="34" spans="1:4" x14ac:dyDescent="0.2">
      <c r="A34" s="13" t="s">
        <v>34</v>
      </c>
    </row>
    <row r="35" spans="1:4" x14ac:dyDescent="0.2">
      <c r="A35" s="13" t="s">
        <v>35</v>
      </c>
    </row>
    <row r="36" spans="1:4" x14ac:dyDescent="0.2">
      <c r="A36" s="13" t="s">
        <v>36</v>
      </c>
      <c r="B36" s="42"/>
    </row>
    <row r="37" spans="1:4" x14ac:dyDescent="0.2">
      <c r="A37" s="13" t="s">
        <v>37</v>
      </c>
    </row>
    <row r="38" spans="1:4" x14ac:dyDescent="0.2">
      <c r="A38" s="13" t="s">
        <v>38</v>
      </c>
    </row>
    <row r="39" spans="1:4" x14ac:dyDescent="0.2">
      <c r="A39" s="13" t="s">
        <v>39</v>
      </c>
    </row>
    <row r="40" spans="1:4" x14ac:dyDescent="0.2">
      <c r="A40" s="13" t="s">
        <v>40</v>
      </c>
    </row>
    <row r="41" spans="1:4" x14ac:dyDescent="0.2">
      <c r="A41" s="13" t="s">
        <v>41</v>
      </c>
      <c r="B41" s="42"/>
    </row>
    <row r="42" spans="1:4" x14ac:dyDescent="0.2">
      <c r="A42" s="13" t="s">
        <v>42</v>
      </c>
      <c r="B42" s="42"/>
    </row>
    <row r="43" spans="1:4" x14ac:dyDescent="0.2">
      <c r="A43" s="43" t="s">
        <v>43</v>
      </c>
      <c r="B43" s="44"/>
      <c r="C43" s="45"/>
      <c r="D43" s="46"/>
    </row>
    <row r="44" spans="1:4" x14ac:dyDescent="0.2">
      <c r="A44" s="40" t="s">
        <v>44</v>
      </c>
      <c r="B44" s="42"/>
    </row>
    <row r="45" spans="1:4" x14ac:dyDescent="0.2">
      <c r="A45" s="40" t="s">
        <v>45</v>
      </c>
      <c r="B45" s="42"/>
    </row>
    <row r="46" spans="1:4" x14ac:dyDescent="0.2">
      <c r="A46" s="40" t="s">
        <v>46</v>
      </c>
      <c r="B46" s="42"/>
    </row>
    <row r="47" spans="1:4" x14ac:dyDescent="0.2">
      <c r="A47" s="40" t="s">
        <v>47</v>
      </c>
      <c r="B47" s="42"/>
    </row>
    <row r="48" spans="1:4" x14ac:dyDescent="0.2">
      <c r="A48" s="10"/>
    </row>
    <row r="49" spans="1:6" x14ac:dyDescent="0.2">
      <c r="A49" s="16" t="s">
        <v>48</v>
      </c>
      <c r="B49" s="42">
        <f>B23-B45</f>
        <v>6.9525000000000006</v>
      </c>
    </row>
    <row r="50" spans="1:6" x14ac:dyDescent="0.2">
      <c r="A50" s="16" t="s">
        <v>49</v>
      </c>
      <c r="B50" s="42"/>
    </row>
    <row r="51" spans="1:6" x14ac:dyDescent="0.2">
      <c r="A51" s="13"/>
    </row>
    <row r="52" spans="1:6" x14ac:dyDescent="0.2">
      <c r="A52" s="16" t="s">
        <v>50</v>
      </c>
      <c r="B52" s="42"/>
    </row>
    <row r="53" spans="1:6" x14ac:dyDescent="0.2">
      <c r="A53" s="16" t="s">
        <v>51</v>
      </c>
      <c r="B53" s="42"/>
    </row>
    <row r="54" spans="1:6" x14ac:dyDescent="0.2">
      <c r="A54" s="17" t="s">
        <v>52</v>
      </c>
      <c r="B54" s="42">
        <f>SUM(B52:B53)</f>
        <v>0</v>
      </c>
    </row>
    <row r="55" spans="1:6" x14ac:dyDescent="0.2">
      <c r="A55" s="18" t="s">
        <v>53</v>
      </c>
    </row>
    <row r="56" spans="1:6" x14ac:dyDescent="0.2">
      <c r="A56" s="13"/>
    </row>
    <row r="57" spans="1:6" x14ac:dyDescent="0.2">
      <c r="A57" s="16" t="s">
        <v>54</v>
      </c>
      <c r="B57" s="42">
        <f>B50-B54</f>
        <v>0</v>
      </c>
    </row>
    <row r="58" spans="1:6" x14ac:dyDescent="0.2">
      <c r="A58" s="16" t="s">
        <v>55</v>
      </c>
    </row>
    <row r="59" spans="1:6" x14ac:dyDescent="0.2">
      <c r="A59" s="13"/>
    </row>
    <row r="60" spans="1:6" x14ac:dyDescent="0.2">
      <c r="A60" s="14" t="s">
        <v>56</v>
      </c>
      <c r="B60" s="81" t="s">
        <v>57</v>
      </c>
      <c r="C60" s="82"/>
      <c r="D60" s="75" t="s">
        <v>58</v>
      </c>
      <c r="E60" s="75" t="s">
        <v>59</v>
      </c>
    </row>
    <row r="61" spans="1:6" x14ac:dyDescent="0.2">
      <c r="A61" s="6" t="s">
        <v>60</v>
      </c>
      <c r="B61" s="47" t="s">
        <v>61</v>
      </c>
      <c r="C61" s="48" t="s">
        <v>62</v>
      </c>
    </row>
    <row r="62" spans="1:6" x14ac:dyDescent="0.2">
      <c r="A62" s="34" t="s">
        <v>63</v>
      </c>
      <c r="F62" s="11"/>
    </row>
    <row r="63" spans="1:6" x14ac:dyDescent="0.2">
      <c r="A63" s="34" t="s">
        <v>64</v>
      </c>
      <c r="F63" s="11"/>
    </row>
    <row r="64" spans="1:6" x14ac:dyDescent="0.2">
      <c r="A64" s="34" t="s">
        <v>65</v>
      </c>
      <c r="F64" s="11"/>
    </row>
    <row r="65" spans="1:6" x14ac:dyDescent="0.2">
      <c r="A65" s="34" t="s">
        <v>66</v>
      </c>
      <c r="F65" s="11"/>
    </row>
    <row r="66" spans="1:6" x14ac:dyDescent="0.2">
      <c r="A66" s="34" t="s">
        <v>67</v>
      </c>
      <c r="F66" s="11"/>
    </row>
    <row r="67" spans="1:6" x14ac:dyDescent="0.2">
      <c r="A67" s="34" t="s">
        <v>68</v>
      </c>
      <c r="F67" s="11"/>
    </row>
    <row r="68" spans="1:6" x14ac:dyDescent="0.2">
      <c r="A68" s="34" t="s">
        <v>69</v>
      </c>
      <c r="F68" s="11"/>
    </row>
    <row r="69" spans="1:6" x14ac:dyDescent="0.2">
      <c r="A69" s="34" t="s">
        <v>70</v>
      </c>
      <c r="F69" s="11"/>
    </row>
    <row r="70" spans="1:6" x14ac:dyDescent="0.2">
      <c r="A70" s="34" t="s">
        <v>71</v>
      </c>
    </row>
    <row r="71" spans="1:6" x14ac:dyDescent="0.2">
      <c r="A71" s="15" t="s">
        <v>72</v>
      </c>
      <c r="B71" s="51"/>
      <c r="C71" s="52"/>
      <c r="D71" s="51"/>
      <c r="E71" s="51"/>
    </row>
    <row r="72" spans="1:6" x14ac:dyDescent="0.2">
      <c r="A72" s="15" t="s">
        <v>73</v>
      </c>
      <c r="B72" s="51"/>
      <c r="C72" s="52"/>
      <c r="D72" s="51"/>
      <c r="E72" s="51"/>
    </row>
    <row r="73" spans="1:6" x14ac:dyDescent="0.2">
      <c r="A73" s="15" t="s">
        <v>74</v>
      </c>
      <c r="B73" s="51"/>
      <c r="C73" s="52"/>
      <c r="D73" s="51"/>
      <c r="E73" s="51"/>
    </row>
    <row r="74" spans="1:6" x14ac:dyDescent="0.2">
      <c r="A74" s="13"/>
    </row>
    <row r="75" spans="1:6" x14ac:dyDescent="0.2">
      <c r="A75" s="14" t="s">
        <v>75</v>
      </c>
      <c r="B75" s="81" t="s">
        <v>57</v>
      </c>
      <c r="C75" s="82"/>
      <c r="D75" s="49" t="s">
        <v>1</v>
      </c>
      <c r="E75" s="49"/>
    </row>
    <row r="76" spans="1:6" x14ac:dyDescent="0.2">
      <c r="A76" s="6" t="s">
        <v>76</v>
      </c>
      <c r="B76" s="47" t="s">
        <v>61</v>
      </c>
      <c r="C76" s="48" t="s">
        <v>62</v>
      </c>
    </row>
    <row r="77" spans="1:6" x14ac:dyDescent="0.2">
      <c r="A77" s="13" t="s">
        <v>63</v>
      </c>
      <c r="F77" s="11"/>
    </row>
    <row r="78" spans="1:6" x14ac:dyDescent="0.2">
      <c r="A78" s="13" t="s">
        <v>77</v>
      </c>
    </row>
    <row r="79" spans="1:6" x14ac:dyDescent="0.2">
      <c r="A79" s="13" t="s">
        <v>78</v>
      </c>
    </row>
    <row r="80" spans="1:6" x14ac:dyDescent="0.2">
      <c r="A80" s="13" t="s">
        <v>79</v>
      </c>
    </row>
    <row r="81" spans="1:7" x14ac:dyDescent="0.2">
      <c r="A81" s="13" t="s">
        <v>80</v>
      </c>
    </row>
    <row r="82" spans="1:7" x14ac:dyDescent="0.2">
      <c r="A82" s="15" t="s">
        <v>81</v>
      </c>
      <c r="B82" s="51"/>
      <c r="C82" s="52"/>
      <c r="D82" s="51"/>
      <c r="E82" s="51"/>
    </row>
    <row r="83" spans="1:7" x14ac:dyDescent="0.2">
      <c r="A83" s="15" t="s">
        <v>74</v>
      </c>
      <c r="B83" s="51"/>
      <c r="C83" s="52"/>
      <c r="D83" s="51"/>
      <c r="E83" s="51"/>
    </row>
    <row r="84" spans="1:7" x14ac:dyDescent="0.2">
      <c r="A84" s="13"/>
    </row>
    <row r="85" spans="1:7" x14ac:dyDescent="0.2">
      <c r="A85" s="50" t="s">
        <v>82</v>
      </c>
      <c r="B85" s="51"/>
      <c r="C85" s="52"/>
      <c r="D85" s="51"/>
      <c r="E85" s="51"/>
      <c r="F85" s="51"/>
      <c r="G85" s="51"/>
    </row>
    <row r="86" spans="1:7" x14ac:dyDescent="0.2">
      <c r="A86" s="19" t="s">
        <v>83</v>
      </c>
      <c r="B86" s="53" t="s">
        <v>84</v>
      </c>
      <c r="C86" s="53" t="s">
        <v>85</v>
      </c>
      <c r="D86" s="53" t="s">
        <v>86</v>
      </c>
      <c r="E86" s="53"/>
      <c r="F86" s="53" t="s">
        <v>87</v>
      </c>
      <c r="G86" s="32" t="s">
        <v>88</v>
      </c>
    </row>
    <row r="87" spans="1:7" ht="17" x14ac:dyDescent="0.2">
      <c r="A87" s="20" t="s">
        <v>89</v>
      </c>
      <c r="C87" s="34"/>
      <c r="D87" s="34">
        <f t="shared" ref="D87:D112" si="0">C87-B87</f>
        <v>0</v>
      </c>
      <c r="F87" s="42">
        <f>Stock!K5*Stock!O5</f>
        <v>0</v>
      </c>
      <c r="G87" s="42">
        <f>D87*Stock!O5</f>
        <v>0</v>
      </c>
    </row>
    <row r="88" spans="1:7" ht="17" x14ac:dyDescent="0.2">
      <c r="A88" s="20" t="s">
        <v>90</v>
      </c>
      <c r="C88" s="34"/>
      <c r="D88" s="34">
        <f t="shared" si="0"/>
        <v>0</v>
      </c>
      <c r="F88" s="42">
        <f>Stock!K6*Stock!O6</f>
        <v>0</v>
      </c>
      <c r="G88" s="42">
        <f>D88*Stock!O6</f>
        <v>0</v>
      </c>
    </row>
    <row r="89" spans="1:7" x14ac:dyDescent="0.2">
      <c r="A89" s="13" t="s">
        <v>91</v>
      </c>
      <c r="C89" s="34"/>
      <c r="D89" s="34">
        <f t="shared" si="0"/>
        <v>0</v>
      </c>
      <c r="F89" s="42">
        <f>Stock!K7*Stock!O7</f>
        <v>0</v>
      </c>
      <c r="G89" s="42">
        <f>D89*Stock!O7</f>
        <v>0</v>
      </c>
    </row>
    <row r="90" spans="1:7" x14ac:dyDescent="0.2">
      <c r="A90" s="13" t="s">
        <v>92</v>
      </c>
      <c r="C90" s="34"/>
      <c r="D90" s="34">
        <f t="shared" si="0"/>
        <v>0</v>
      </c>
      <c r="F90" s="42">
        <f>Stock!K8*Stock!O8</f>
        <v>0</v>
      </c>
      <c r="G90" s="42">
        <f>D90*Stock!O8</f>
        <v>0</v>
      </c>
    </row>
    <row r="91" spans="1:7" x14ac:dyDescent="0.2">
      <c r="A91" s="13" t="s">
        <v>92</v>
      </c>
      <c r="C91" s="34"/>
      <c r="D91" s="34">
        <f t="shared" si="0"/>
        <v>0</v>
      </c>
      <c r="F91" s="42">
        <f>Stock!K9*Stock!O9</f>
        <v>0</v>
      </c>
      <c r="G91" s="42">
        <f>D91*Stock!O9</f>
        <v>0</v>
      </c>
    </row>
    <row r="92" spans="1:7" x14ac:dyDescent="0.2">
      <c r="A92" s="13" t="s">
        <v>93</v>
      </c>
      <c r="C92" s="34"/>
      <c r="D92" s="34">
        <f t="shared" si="0"/>
        <v>0</v>
      </c>
      <c r="F92" s="42">
        <f>Stock!K10*Stock!O10</f>
        <v>0</v>
      </c>
      <c r="G92" s="42">
        <f>D92*Stock!O10</f>
        <v>0</v>
      </c>
    </row>
    <row r="93" spans="1:7" x14ac:dyDescent="0.2">
      <c r="A93" s="13" t="s">
        <v>94</v>
      </c>
      <c r="C93" s="34"/>
      <c r="D93" s="34">
        <f t="shared" si="0"/>
        <v>0</v>
      </c>
      <c r="F93" s="42">
        <f>Stock!K11*Stock!O11</f>
        <v>0</v>
      </c>
      <c r="G93" s="42">
        <f>D93*Stock!O11</f>
        <v>0</v>
      </c>
    </row>
    <row r="94" spans="1:7" x14ac:dyDescent="0.2">
      <c r="A94" s="13" t="s">
        <v>95</v>
      </c>
      <c r="C94" s="34"/>
      <c r="D94" s="34">
        <f t="shared" si="0"/>
        <v>0</v>
      </c>
      <c r="F94" s="42">
        <f>Stock!K12*Stock!O12</f>
        <v>0</v>
      </c>
      <c r="G94" s="42">
        <f>D94*Stock!O12</f>
        <v>0</v>
      </c>
    </row>
    <row r="95" spans="1:7" x14ac:dyDescent="0.2">
      <c r="A95" s="13" t="s">
        <v>96</v>
      </c>
      <c r="C95" s="34"/>
      <c r="D95" s="34">
        <f t="shared" si="0"/>
        <v>0</v>
      </c>
      <c r="F95" s="42">
        <f>Stock!K13*Stock!O13</f>
        <v>0</v>
      </c>
      <c r="G95" s="42">
        <f>D95*Stock!O13</f>
        <v>0</v>
      </c>
    </row>
    <row r="96" spans="1:7" x14ac:dyDescent="0.2">
      <c r="A96" s="13" t="s">
        <v>97</v>
      </c>
      <c r="C96" s="34"/>
      <c r="D96" s="34">
        <f t="shared" si="0"/>
        <v>0</v>
      </c>
      <c r="F96" s="42">
        <f>Stock!K14*Stock!O14</f>
        <v>0</v>
      </c>
      <c r="G96" s="42">
        <f>D96*Stock!O14</f>
        <v>0</v>
      </c>
    </row>
    <row r="97" spans="1:7" x14ac:dyDescent="0.2">
      <c r="A97" s="13" t="s">
        <v>98</v>
      </c>
      <c r="C97" s="34"/>
      <c r="D97" s="34">
        <f t="shared" si="0"/>
        <v>0</v>
      </c>
      <c r="F97" s="42">
        <f>Stock!K15*Stock!O15</f>
        <v>0</v>
      </c>
      <c r="G97" s="42">
        <f>D97*Stock!O15</f>
        <v>0</v>
      </c>
    </row>
    <row r="98" spans="1:7" x14ac:dyDescent="0.2">
      <c r="A98" s="13" t="s">
        <v>99</v>
      </c>
      <c r="C98" s="34"/>
      <c r="D98" s="34">
        <f t="shared" si="0"/>
        <v>0</v>
      </c>
      <c r="F98" s="42">
        <f>Stock!K16*Stock!O16</f>
        <v>0</v>
      </c>
      <c r="G98" s="42">
        <f>D98*Stock!O16</f>
        <v>0</v>
      </c>
    </row>
    <row r="99" spans="1:7" x14ac:dyDescent="0.2">
      <c r="A99" s="13" t="s">
        <v>100</v>
      </c>
      <c r="C99" s="34"/>
      <c r="D99" s="34">
        <f t="shared" si="0"/>
        <v>0</v>
      </c>
      <c r="F99" s="42">
        <f>Stock!K17*Stock!O17</f>
        <v>0</v>
      </c>
      <c r="G99" s="42">
        <f>D99*Stock!O17</f>
        <v>0</v>
      </c>
    </row>
    <row r="100" spans="1:7" x14ac:dyDescent="0.2">
      <c r="A100" s="13" t="s">
        <v>101</v>
      </c>
      <c r="C100" s="34"/>
      <c r="D100" s="34">
        <f t="shared" si="0"/>
        <v>0</v>
      </c>
      <c r="F100" s="42">
        <f>Stock!K18*Stock!O18</f>
        <v>0</v>
      </c>
      <c r="G100" s="42">
        <f>D100*Stock!O18</f>
        <v>0</v>
      </c>
    </row>
    <row r="101" spans="1:7" x14ac:dyDescent="0.2">
      <c r="A101" s="13" t="s">
        <v>102</v>
      </c>
      <c r="C101" s="34"/>
      <c r="D101" s="34">
        <f t="shared" si="0"/>
        <v>0</v>
      </c>
      <c r="F101" s="42">
        <f>Stock!K19*Stock!O19</f>
        <v>0</v>
      </c>
      <c r="G101" s="42">
        <f>D101*Stock!O19</f>
        <v>0</v>
      </c>
    </row>
    <row r="102" spans="1:7" x14ac:dyDescent="0.2">
      <c r="A102" s="13" t="s">
        <v>103</v>
      </c>
      <c r="C102" s="34"/>
      <c r="D102" s="34">
        <f t="shared" si="0"/>
        <v>0</v>
      </c>
      <c r="F102" s="42">
        <f>Stock!K20*Stock!O20</f>
        <v>0</v>
      </c>
      <c r="G102" s="42">
        <f>D102*Stock!O20</f>
        <v>0</v>
      </c>
    </row>
    <row r="103" spans="1:7" x14ac:dyDescent="0.2">
      <c r="A103" s="13" t="s">
        <v>104</v>
      </c>
      <c r="C103" s="34"/>
      <c r="D103" s="34">
        <f t="shared" si="0"/>
        <v>0</v>
      </c>
      <c r="F103" s="42">
        <f>Stock!K21*Stock!O21</f>
        <v>0</v>
      </c>
      <c r="G103" s="42">
        <f>D103*Stock!O21</f>
        <v>0</v>
      </c>
    </row>
    <row r="104" spans="1:7" x14ac:dyDescent="0.2">
      <c r="A104" s="13" t="s">
        <v>105</v>
      </c>
      <c r="C104" s="34"/>
      <c r="D104" s="34">
        <f t="shared" si="0"/>
        <v>0</v>
      </c>
      <c r="F104" s="42">
        <f>Stock!K22*Stock!O22</f>
        <v>0</v>
      </c>
      <c r="G104" s="42">
        <f>D104*Stock!O22</f>
        <v>0</v>
      </c>
    </row>
    <row r="105" spans="1:7" x14ac:dyDescent="0.2">
      <c r="A105" s="13" t="s">
        <v>106</v>
      </c>
      <c r="C105" s="34"/>
      <c r="D105" s="34">
        <f t="shared" si="0"/>
        <v>0</v>
      </c>
      <c r="F105" s="42">
        <f>Stock!K23*Stock!O23</f>
        <v>0</v>
      </c>
      <c r="G105" s="42">
        <f>D105*Stock!O23</f>
        <v>0</v>
      </c>
    </row>
    <row r="106" spans="1:7" x14ac:dyDescent="0.2">
      <c r="A106" s="13" t="s">
        <v>107</v>
      </c>
      <c r="C106" s="34"/>
      <c r="D106" s="34">
        <f t="shared" si="0"/>
        <v>0</v>
      </c>
      <c r="F106" s="42">
        <f>Stock!K24*Stock!O24</f>
        <v>0</v>
      </c>
      <c r="G106" s="42">
        <f>D106*Stock!O24</f>
        <v>0</v>
      </c>
    </row>
    <row r="107" spans="1:7" x14ac:dyDescent="0.2">
      <c r="A107" s="13" t="s">
        <v>108</v>
      </c>
      <c r="C107" s="34"/>
      <c r="D107" s="34">
        <f t="shared" si="0"/>
        <v>0</v>
      </c>
      <c r="F107" s="42">
        <f>Stock!K25*Stock!O25</f>
        <v>0</v>
      </c>
      <c r="G107" s="42">
        <f>D107*Stock!O25</f>
        <v>0</v>
      </c>
    </row>
    <row r="108" spans="1:7" x14ac:dyDescent="0.2">
      <c r="A108" s="13" t="s">
        <v>109</v>
      </c>
      <c r="C108" s="34"/>
      <c r="D108" s="34">
        <f t="shared" si="0"/>
        <v>0</v>
      </c>
      <c r="F108" s="42">
        <f>Stock!K26*Stock!O26</f>
        <v>0</v>
      </c>
      <c r="G108" s="42">
        <f>D108*Stock!O26</f>
        <v>0</v>
      </c>
    </row>
    <row r="109" spans="1:7" x14ac:dyDescent="0.2">
      <c r="A109" s="13" t="s">
        <v>110</v>
      </c>
      <c r="C109" s="34"/>
      <c r="D109" s="34">
        <f t="shared" si="0"/>
        <v>0</v>
      </c>
      <c r="F109" s="42">
        <f>Stock!K27*Stock!O27</f>
        <v>0</v>
      </c>
      <c r="G109" s="42">
        <f>D109*Stock!O27</f>
        <v>0</v>
      </c>
    </row>
    <row r="110" spans="1:7" x14ac:dyDescent="0.2">
      <c r="A110" s="13" t="s">
        <v>111</v>
      </c>
      <c r="C110" s="34"/>
      <c r="D110" s="34">
        <f t="shared" si="0"/>
        <v>0</v>
      </c>
      <c r="F110" s="42">
        <f>Stock!K28*Stock!O28</f>
        <v>0</v>
      </c>
      <c r="G110" s="42">
        <f>D110*Stock!O28</f>
        <v>0</v>
      </c>
    </row>
    <row r="111" spans="1:7" x14ac:dyDescent="0.2">
      <c r="A111" s="13" t="s">
        <v>112</v>
      </c>
      <c r="C111" s="34"/>
      <c r="D111" s="34">
        <f t="shared" si="0"/>
        <v>0</v>
      </c>
      <c r="F111" s="42">
        <f>Stock!K29*Stock!O29</f>
        <v>0</v>
      </c>
      <c r="G111" s="42">
        <f>D111*Stock!O29</f>
        <v>0</v>
      </c>
    </row>
    <row r="112" spans="1:7" x14ac:dyDescent="0.2">
      <c r="A112" s="13" t="s">
        <v>113</v>
      </c>
      <c r="C112" s="34"/>
      <c r="D112" s="34">
        <f t="shared" si="0"/>
        <v>0</v>
      </c>
      <c r="F112" s="42">
        <f>Stock!K30*Stock!O30</f>
        <v>0</v>
      </c>
      <c r="G112" s="42">
        <f>D112*Stock!O30</f>
        <v>0</v>
      </c>
    </row>
    <row r="113" spans="1:7" x14ac:dyDescent="0.2">
      <c r="A113" s="15" t="s">
        <v>114</v>
      </c>
      <c r="B113" s="51"/>
      <c r="C113" s="52"/>
      <c r="D113" s="51"/>
      <c r="E113" s="51"/>
      <c r="F113" s="65">
        <f>SUM(F87:F112)</f>
        <v>0</v>
      </c>
      <c r="G113" s="65">
        <f>SUM(G87:G112)</f>
        <v>0</v>
      </c>
    </row>
    <row r="114" spans="1:7" x14ac:dyDescent="0.2">
      <c r="A114" s="15" t="s">
        <v>115</v>
      </c>
      <c r="B114" s="51"/>
      <c r="C114" s="52"/>
      <c r="D114" s="51"/>
      <c r="E114" s="51"/>
      <c r="F114" s="65">
        <f>SUM(Stock!T5:T30)</f>
        <v>0</v>
      </c>
      <c r="G114" s="65"/>
    </row>
    <row r="115" spans="1:7" x14ac:dyDescent="0.2">
      <c r="A115" s="15" t="s">
        <v>74</v>
      </c>
      <c r="B115" s="51"/>
      <c r="C115" s="52"/>
      <c r="D115" s="51"/>
      <c r="E115" s="51"/>
      <c r="F115" s="65">
        <f>SUM(Stock!R5:R30)</f>
        <v>0</v>
      </c>
      <c r="G115" s="65"/>
    </row>
    <row r="116" spans="1:7" x14ac:dyDescent="0.2">
      <c r="A116" s="13"/>
    </row>
    <row r="117" spans="1:7" x14ac:dyDescent="0.2">
      <c r="A117" s="14" t="s">
        <v>116</v>
      </c>
      <c r="B117" s="53" t="s">
        <v>84</v>
      </c>
      <c r="C117" s="53" t="s">
        <v>85</v>
      </c>
      <c r="D117" s="53" t="s">
        <v>86</v>
      </c>
      <c r="E117" s="53"/>
      <c r="F117" s="53" t="s">
        <v>87</v>
      </c>
    </row>
    <row r="118" spans="1:7" ht="17" x14ac:dyDescent="0.2">
      <c r="A118" s="20" t="s">
        <v>117</v>
      </c>
      <c r="G118" s="54"/>
    </row>
    <row r="119" spans="1:7" x14ac:dyDescent="0.2">
      <c r="A119" s="13" t="s">
        <v>118</v>
      </c>
    </row>
    <row r="120" spans="1:7" x14ac:dyDescent="0.2">
      <c r="A120" s="13" t="s">
        <v>119</v>
      </c>
    </row>
    <row r="121" spans="1:7" x14ac:dyDescent="0.2">
      <c r="A121" s="13" t="s">
        <v>120</v>
      </c>
    </row>
    <row r="122" spans="1:7" x14ac:dyDescent="0.2">
      <c r="A122" s="13" t="s">
        <v>121</v>
      </c>
    </row>
    <row r="123" spans="1:7" x14ac:dyDescent="0.2">
      <c r="A123" s="76" t="s">
        <v>81</v>
      </c>
      <c r="B123" s="51"/>
      <c r="C123" s="52"/>
      <c r="D123" s="51"/>
      <c r="E123" s="51"/>
      <c r="F123" s="51"/>
    </row>
    <row r="124" spans="1:7" x14ac:dyDescent="0.2">
      <c r="A124" s="76" t="s">
        <v>74</v>
      </c>
      <c r="B124" s="51"/>
      <c r="C124" s="52"/>
      <c r="D124" s="51"/>
      <c r="E124" s="51"/>
      <c r="F124" s="51"/>
    </row>
    <row r="125" spans="1:7" x14ac:dyDescent="0.2">
      <c r="A125" s="6"/>
    </row>
    <row r="126" spans="1:7" x14ac:dyDescent="0.2">
      <c r="A126" s="14" t="s">
        <v>122</v>
      </c>
      <c r="B126" s="53" t="s">
        <v>84</v>
      </c>
      <c r="C126" s="53" t="s">
        <v>85</v>
      </c>
      <c r="D126" s="53" t="s">
        <v>86</v>
      </c>
      <c r="E126" s="53"/>
      <c r="F126" s="53" t="s">
        <v>87</v>
      </c>
    </row>
    <row r="127" spans="1:7" x14ac:dyDescent="0.2">
      <c r="A127" s="13" t="s">
        <v>123</v>
      </c>
      <c r="G127" s="54"/>
    </row>
    <row r="128" spans="1:7" x14ac:dyDescent="0.2">
      <c r="A128" s="13" t="s">
        <v>124</v>
      </c>
    </row>
    <row r="129" spans="1:1" x14ac:dyDescent="0.2">
      <c r="A129" s="13" t="s">
        <v>125</v>
      </c>
    </row>
    <row r="130" spans="1:1" x14ac:dyDescent="0.2">
      <c r="A130" s="13" t="s">
        <v>126</v>
      </c>
    </row>
    <row r="131" spans="1:1" x14ac:dyDescent="0.2">
      <c r="A131" s="13" t="s">
        <v>127</v>
      </c>
    </row>
    <row r="132" spans="1:1" x14ac:dyDescent="0.2">
      <c r="A132" s="13" t="s">
        <v>128</v>
      </c>
    </row>
    <row r="133" spans="1:1" x14ac:dyDescent="0.2">
      <c r="A133" s="21" t="s">
        <v>129</v>
      </c>
    </row>
    <row r="134" spans="1:1" x14ac:dyDescent="0.2">
      <c r="A134" s="22" t="s">
        <v>130</v>
      </c>
    </row>
    <row r="135" spans="1:1" x14ac:dyDescent="0.2">
      <c r="A135" s="22" t="s">
        <v>131</v>
      </c>
    </row>
    <row r="136" spans="1:1" x14ac:dyDescent="0.2">
      <c r="A136" s="22" t="s">
        <v>132</v>
      </c>
    </row>
    <row r="137" spans="1:1" x14ac:dyDescent="0.2">
      <c r="A137" s="22" t="s">
        <v>133</v>
      </c>
    </row>
    <row r="138" spans="1:1" x14ac:dyDescent="0.2">
      <c r="A138" s="23" t="s">
        <v>134</v>
      </c>
    </row>
    <row r="139" spans="1:1" x14ac:dyDescent="0.2">
      <c r="A139" s="22" t="s">
        <v>135</v>
      </c>
    </row>
    <row r="140" spans="1:1" x14ac:dyDescent="0.2">
      <c r="A140" s="22" t="s">
        <v>136</v>
      </c>
    </row>
    <row r="141" spans="1:1" x14ac:dyDescent="0.2">
      <c r="A141" s="22" t="s">
        <v>137</v>
      </c>
    </row>
    <row r="142" spans="1:1" x14ac:dyDescent="0.2">
      <c r="A142" s="22" t="s">
        <v>138</v>
      </c>
    </row>
    <row r="143" spans="1:1" x14ac:dyDescent="0.2">
      <c r="A143" s="23" t="s">
        <v>139</v>
      </c>
    </row>
    <row r="144" spans="1:1" x14ac:dyDescent="0.2">
      <c r="A144" s="13" t="s">
        <v>140</v>
      </c>
    </row>
    <row r="145" spans="1:7" x14ac:dyDescent="0.2">
      <c r="A145" s="13" t="s">
        <v>141</v>
      </c>
    </row>
    <row r="146" spans="1:7" x14ac:dyDescent="0.2">
      <c r="A146" s="13" t="s">
        <v>142</v>
      </c>
    </row>
    <row r="147" spans="1:7" x14ac:dyDescent="0.2">
      <c r="A147" s="15" t="s">
        <v>81</v>
      </c>
      <c r="B147" s="51"/>
      <c r="C147" s="52"/>
      <c r="D147" s="51"/>
      <c r="E147" s="51"/>
      <c r="F147" s="51"/>
    </row>
    <row r="148" spans="1:7" x14ac:dyDescent="0.2">
      <c r="A148" s="15" t="s">
        <v>74</v>
      </c>
      <c r="B148" s="51"/>
      <c r="C148" s="52"/>
      <c r="D148" s="51"/>
      <c r="E148" s="51"/>
      <c r="F148" s="51"/>
    </row>
    <row r="149" spans="1:7" x14ac:dyDescent="0.2">
      <c r="A149" s="13"/>
    </row>
    <row r="150" spans="1:7" x14ac:dyDescent="0.2">
      <c r="A150" s="14" t="s">
        <v>143</v>
      </c>
      <c r="B150" s="53" t="s">
        <v>84</v>
      </c>
      <c r="C150" s="53" t="s">
        <v>85</v>
      </c>
      <c r="D150" s="53" t="s">
        <v>86</v>
      </c>
      <c r="E150" s="53"/>
      <c r="F150" s="53" t="s">
        <v>87</v>
      </c>
    </row>
    <row r="151" spans="1:7" ht="17" x14ac:dyDescent="0.2">
      <c r="A151" s="20" t="s">
        <v>144</v>
      </c>
      <c r="B151" s="34">
        <v>0</v>
      </c>
      <c r="C151" s="34">
        <v>0</v>
      </c>
      <c r="D151" s="34">
        <v>0</v>
      </c>
      <c r="F151" s="34">
        <v>0</v>
      </c>
      <c r="G151" s="54"/>
    </row>
    <row r="152" spans="1:7" x14ac:dyDescent="0.2">
      <c r="A152" s="13" t="s">
        <v>145</v>
      </c>
      <c r="B152" s="34">
        <v>0</v>
      </c>
      <c r="C152" s="34">
        <v>0</v>
      </c>
      <c r="D152" s="34">
        <v>0</v>
      </c>
      <c r="F152" s="34">
        <v>0</v>
      </c>
    </row>
    <row r="153" spans="1:7" x14ac:dyDescent="0.2">
      <c r="A153" s="13" t="s">
        <v>146</v>
      </c>
      <c r="B153" s="34">
        <v>0</v>
      </c>
      <c r="C153" s="34">
        <v>0</v>
      </c>
      <c r="D153" s="34">
        <v>0</v>
      </c>
      <c r="F153" s="34">
        <v>0</v>
      </c>
    </row>
    <row r="154" spans="1:7" x14ac:dyDescent="0.2">
      <c r="A154" s="13" t="s">
        <v>147</v>
      </c>
      <c r="B154" s="34">
        <v>0</v>
      </c>
      <c r="C154" s="34">
        <v>0</v>
      </c>
      <c r="D154" s="34">
        <v>0</v>
      </c>
      <c r="F154" s="34">
        <v>0</v>
      </c>
    </row>
    <row r="155" spans="1:7" x14ac:dyDescent="0.2">
      <c r="A155" s="76" t="s">
        <v>81</v>
      </c>
      <c r="B155" s="51"/>
      <c r="C155" s="51"/>
      <c r="D155" s="51"/>
      <c r="E155" s="51"/>
      <c r="F155" s="51">
        <f>SUM(F151:F154)</f>
        <v>0</v>
      </c>
    </row>
    <row r="156" spans="1:7" x14ac:dyDescent="0.2">
      <c r="A156" s="76" t="s">
        <v>74</v>
      </c>
      <c r="B156" s="51"/>
      <c r="C156" s="52"/>
      <c r="D156" s="51"/>
      <c r="E156" s="51"/>
      <c r="F156" s="51">
        <f>SUM(Stock!R67:R70)</f>
        <v>0</v>
      </c>
    </row>
    <row r="157" spans="1:7" x14ac:dyDescent="0.2">
      <c r="A157" s="13"/>
    </row>
    <row r="158" spans="1:7" x14ac:dyDescent="0.2">
      <c r="A158" s="14" t="s">
        <v>148</v>
      </c>
      <c r="B158" s="53" t="s">
        <v>84</v>
      </c>
      <c r="C158" s="53" t="s">
        <v>85</v>
      </c>
      <c r="D158" s="53" t="s">
        <v>86</v>
      </c>
      <c r="E158" s="53"/>
      <c r="F158" s="53" t="s">
        <v>87</v>
      </c>
    </row>
    <row r="159" spans="1:7" x14ac:dyDescent="0.2">
      <c r="A159" s="13" t="s">
        <v>149</v>
      </c>
      <c r="B159">
        <v>0</v>
      </c>
      <c r="C159">
        <v>0</v>
      </c>
      <c r="D159">
        <v>0</v>
      </c>
      <c r="F159">
        <v>0</v>
      </c>
      <c r="G159" s="74"/>
    </row>
    <row r="160" spans="1:7" x14ac:dyDescent="0.2">
      <c r="A160" s="13" t="s">
        <v>150</v>
      </c>
      <c r="B160">
        <v>0</v>
      </c>
      <c r="C160">
        <v>0</v>
      </c>
      <c r="D160">
        <v>0</v>
      </c>
      <c r="F160">
        <v>0</v>
      </c>
    </row>
    <row r="161" spans="1:7" x14ac:dyDescent="0.2">
      <c r="A161" s="13" t="s">
        <v>151</v>
      </c>
    </row>
    <row r="162" spans="1:7" x14ac:dyDescent="0.2">
      <c r="A162" s="15" t="s">
        <v>152</v>
      </c>
      <c r="B162" s="51"/>
      <c r="C162" s="52"/>
      <c r="D162" s="51"/>
      <c r="E162" s="51"/>
      <c r="F162" s="51"/>
    </row>
    <row r="163" spans="1:7" x14ac:dyDescent="0.2">
      <c r="A163" s="15" t="s">
        <v>74</v>
      </c>
      <c r="B163" s="51"/>
      <c r="C163" s="52"/>
      <c r="D163" s="51"/>
      <c r="E163" s="51"/>
      <c r="F163" s="51"/>
    </row>
    <row r="164" spans="1:7" x14ac:dyDescent="0.2">
      <c r="A164" s="13"/>
    </row>
    <row r="165" spans="1:7" x14ac:dyDescent="0.2">
      <c r="A165" s="14" t="s">
        <v>153</v>
      </c>
      <c r="B165" s="53" t="s">
        <v>84</v>
      </c>
      <c r="C165" s="53" t="s">
        <v>85</v>
      </c>
      <c r="D165" s="53" t="s">
        <v>86</v>
      </c>
      <c r="E165" s="53"/>
      <c r="F165" s="53" t="s">
        <v>87</v>
      </c>
    </row>
    <row r="166" spans="1:7" x14ac:dyDescent="0.2">
      <c r="A166" s="13" t="s">
        <v>154</v>
      </c>
      <c r="B166">
        <v>0</v>
      </c>
      <c r="C166">
        <v>0</v>
      </c>
      <c r="D166">
        <v>0</v>
      </c>
      <c r="F166">
        <v>0</v>
      </c>
      <c r="G166" s="74"/>
    </row>
    <row r="167" spans="1:7" x14ac:dyDescent="0.2">
      <c r="A167" s="13" t="s">
        <v>155</v>
      </c>
      <c r="B167">
        <v>0</v>
      </c>
      <c r="C167">
        <v>0</v>
      </c>
      <c r="D167">
        <v>0</v>
      </c>
      <c r="F167">
        <v>0</v>
      </c>
    </row>
    <row r="168" spans="1:7" x14ac:dyDescent="0.2">
      <c r="A168" s="13" t="s">
        <v>156</v>
      </c>
      <c r="B168">
        <v>0</v>
      </c>
      <c r="C168">
        <v>0</v>
      </c>
      <c r="D168">
        <v>0</v>
      </c>
      <c r="F168">
        <v>0</v>
      </c>
    </row>
    <row r="169" spans="1:7" x14ac:dyDescent="0.2">
      <c r="A169" s="15" t="s">
        <v>81</v>
      </c>
      <c r="B169" s="51"/>
      <c r="C169" s="52"/>
      <c r="D169" s="51"/>
      <c r="E169" s="51"/>
      <c r="F169" s="51"/>
    </row>
    <row r="170" spans="1:7" x14ac:dyDescent="0.2">
      <c r="A170" s="15" t="s">
        <v>74</v>
      </c>
      <c r="B170" s="51"/>
      <c r="C170" s="52"/>
      <c r="D170" s="51"/>
      <c r="E170" s="51"/>
      <c r="F170" s="51"/>
    </row>
    <row r="171" spans="1:7" x14ac:dyDescent="0.2">
      <c r="A171" s="13"/>
    </row>
    <row r="172" spans="1:7" x14ac:dyDescent="0.2">
      <c r="A172" s="13"/>
    </row>
    <row r="173" spans="1:7" ht="16" customHeight="1" thickBot="1" x14ac:dyDescent="0.25"/>
    <row r="174" spans="1:7" ht="16" customHeight="1" thickBot="1" x14ac:dyDescent="0.25">
      <c r="A174" s="61"/>
      <c r="B174" s="62" t="s">
        <v>1</v>
      </c>
      <c r="C174" s="63"/>
      <c r="D174" s="66"/>
      <c r="E174" s="66"/>
      <c r="F174" s="67"/>
    </row>
    <row r="175" spans="1:7" x14ac:dyDescent="0.2">
      <c r="A175" s="55" t="s">
        <v>157</v>
      </c>
      <c r="B175" s="68">
        <f>F169+F162+F156+F147+F123+F115+D71</f>
        <v>0</v>
      </c>
      <c r="D175" s="69"/>
      <c r="E175" s="69"/>
      <c r="F175" s="70"/>
    </row>
    <row r="176" spans="1:7" x14ac:dyDescent="0.2">
      <c r="A176" s="56" t="s">
        <v>158</v>
      </c>
      <c r="B176" s="68">
        <f>F170+F163+F156+F148+F124+F115+D73</f>
        <v>0</v>
      </c>
      <c r="D176" s="69"/>
      <c r="E176" s="69"/>
      <c r="F176" s="70"/>
    </row>
    <row r="177" spans="1:6" x14ac:dyDescent="0.2">
      <c r="A177" s="56" t="s">
        <v>159</v>
      </c>
      <c r="B177" s="68">
        <f>B15+B18</f>
        <v>0</v>
      </c>
      <c r="D177" s="69"/>
      <c r="E177" s="69"/>
      <c r="F177" s="70"/>
    </row>
    <row r="178" spans="1:6" x14ac:dyDescent="0.2">
      <c r="A178" s="56" t="s">
        <v>160</v>
      </c>
      <c r="B178" s="68">
        <f>B175+B12+B13+B14+B16+B17+B19+B20+B21+B22</f>
        <v>0</v>
      </c>
      <c r="D178" s="69"/>
      <c r="E178" s="69"/>
      <c r="F178" s="70"/>
    </row>
    <row r="179" spans="1:6" x14ac:dyDescent="0.2">
      <c r="A179" s="57"/>
      <c r="B179" s="69"/>
      <c r="D179" s="69"/>
      <c r="E179" s="69"/>
      <c r="F179" s="70"/>
    </row>
    <row r="180" spans="1:6" x14ac:dyDescent="0.2">
      <c r="A180" s="58" t="s">
        <v>161</v>
      </c>
      <c r="B180" s="71" t="e">
        <f>B47/B175</f>
        <v>#DIV/0!</v>
      </c>
      <c r="C180" s="11"/>
      <c r="F180" s="70"/>
    </row>
    <row r="181" spans="1:6" x14ac:dyDescent="0.2">
      <c r="A181" s="56" t="s">
        <v>162</v>
      </c>
      <c r="B181" s="71" t="e">
        <f>B47/B178</f>
        <v>#DIV/0!</v>
      </c>
      <c r="D181" s="69"/>
      <c r="E181" s="69"/>
      <c r="F181" s="70"/>
    </row>
    <row r="182" spans="1:6" x14ac:dyDescent="0.2">
      <c r="A182" s="57"/>
      <c r="D182" s="69"/>
      <c r="E182" s="69"/>
      <c r="F182" s="70"/>
    </row>
    <row r="183" spans="1:6" ht="16" customHeight="1" thickBot="1" x14ac:dyDescent="0.25">
      <c r="A183" s="59" t="s">
        <v>163</v>
      </c>
      <c r="B183" s="64" t="s">
        <v>164</v>
      </c>
      <c r="C183" s="60"/>
      <c r="D183" s="72"/>
      <c r="E183" s="72"/>
      <c r="F183" s="73"/>
    </row>
  </sheetData>
  <mergeCells count="2">
    <mergeCell ref="B60:C60"/>
    <mergeCell ref="B75:C7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3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5" ht="16" x14ac:dyDescent="0.2">
      <c r="A1" s="6" t="s">
        <v>165</v>
      </c>
      <c r="B1" s="35" t="s">
        <v>1</v>
      </c>
      <c r="C1" s="36" t="s">
        <v>2</v>
      </c>
      <c r="D1" s="10" t="s">
        <v>3</v>
      </c>
      <c r="E1" s="10"/>
    </row>
    <row r="2" spans="1:5" ht="16" x14ac:dyDescent="0.2">
      <c r="A2" s="6" t="s">
        <v>4</v>
      </c>
      <c r="C2" s="8"/>
    </row>
    <row r="3" spans="1:5" ht="16" x14ac:dyDescent="0.2">
      <c r="A3" s="14" t="s">
        <v>5</v>
      </c>
    </row>
    <row r="4" spans="1:5" ht="16" x14ac:dyDescent="0.2">
      <c r="A4" s="13" t="s">
        <v>6</v>
      </c>
    </row>
    <row r="5" spans="1:5" ht="16" x14ac:dyDescent="0.2">
      <c r="A5" s="13" t="s">
        <v>7</v>
      </c>
    </row>
    <row r="6" spans="1:5" ht="16" x14ac:dyDescent="0.2">
      <c r="A6" s="13" t="s">
        <v>8</v>
      </c>
    </row>
    <row r="7" spans="1:5" ht="16" x14ac:dyDescent="0.2">
      <c r="A7" s="13" t="s">
        <v>9</v>
      </c>
    </row>
    <row r="8" spans="1:5" ht="16" x14ac:dyDescent="0.2">
      <c r="A8" s="7" t="s">
        <v>10</v>
      </c>
    </row>
    <row r="9" spans="1:5" ht="16" x14ac:dyDescent="0.2">
      <c r="A9" s="7" t="s">
        <v>11</v>
      </c>
    </row>
    <row r="10" spans="1:5" ht="16" x14ac:dyDescent="0.2">
      <c r="A10" s="7" t="s">
        <v>12</v>
      </c>
    </row>
    <row r="11" spans="1:5" ht="16" x14ac:dyDescent="0.2">
      <c r="A11" s="7" t="s">
        <v>13</v>
      </c>
    </row>
    <row r="12" spans="1:5" ht="16" x14ac:dyDescent="0.2">
      <c r="A12" s="7" t="s">
        <v>14</v>
      </c>
    </row>
    <row r="13" spans="1:5" ht="16" x14ac:dyDescent="0.2">
      <c r="A13" s="7" t="s">
        <v>15</v>
      </c>
    </row>
    <row r="14" spans="1:5" ht="16" x14ac:dyDescent="0.2">
      <c r="A14" s="13" t="s">
        <v>16</v>
      </c>
    </row>
    <row r="15" spans="1:5" ht="16" x14ac:dyDescent="0.2">
      <c r="A15" s="13" t="s">
        <v>17</v>
      </c>
    </row>
    <row r="16" spans="1:5" ht="16" x14ac:dyDescent="0.2">
      <c r="A16" s="7" t="s">
        <v>18</v>
      </c>
    </row>
    <row r="17" spans="1:1" ht="16" x14ac:dyDescent="0.2">
      <c r="A17" s="7" t="s">
        <v>19</v>
      </c>
    </row>
    <row r="18" spans="1:1" ht="16" x14ac:dyDescent="0.2">
      <c r="A18" s="13" t="s">
        <v>20</v>
      </c>
    </row>
    <row r="19" spans="1:1" ht="16" x14ac:dyDescent="0.2">
      <c r="A19" s="13" t="s">
        <v>21</v>
      </c>
    </row>
    <row r="20" spans="1:1" ht="16" x14ac:dyDescent="0.2">
      <c r="A20" s="13" t="s">
        <v>22</v>
      </c>
    </row>
    <row r="21" spans="1:1" ht="16" x14ac:dyDescent="0.2">
      <c r="A21" s="7" t="s">
        <v>23</v>
      </c>
    </row>
    <row r="22" spans="1:1" ht="16" x14ac:dyDescent="0.2">
      <c r="A22" s="7" t="s">
        <v>24</v>
      </c>
    </row>
    <row r="23" spans="1:1" ht="16" x14ac:dyDescent="0.2">
      <c r="A23" s="39" t="s">
        <v>25</v>
      </c>
    </row>
    <row r="24" spans="1:1" ht="16" x14ac:dyDescent="0.2">
      <c r="A24" s="40" t="s">
        <v>26</v>
      </c>
    </row>
    <row r="25" spans="1:1" ht="16" x14ac:dyDescent="0.2">
      <c r="A25" s="41" t="s">
        <v>27</v>
      </c>
    </row>
    <row r="26" spans="1:1" ht="16" x14ac:dyDescent="0.2">
      <c r="A26" s="41" t="s">
        <v>28</v>
      </c>
    </row>
    <row r="27" spans="1:1" ht="16" x14ac:dyDescent="0.2">
      <c r="A27" s="13"/>
    </row>
    <row r="28" spans="1:1" ht="16" x14ac:dyDescent="0.2">
      <c r="A28" s="13"/>
    </row>
    <row r="29" spans="1:1" ht="16" x14ac:dyDescent="0.2">
      <c r="A29" s="14" t="s">
        <v>29</v>
      </c>
    </row>
    <row r="30" spans="1:1" ht="16" x14ac:dyDescent="0.2">
      <c r="A30" s="13" t="s">
        <v>30</v>
      </c>
    </row>
    <row r="31" spans="1:1" ht="16" x14ac:dyDescent="0.2">
      <c r="A31" s="13" t="s">
        <v>31</v>
      </c>
    </row>
    <row r="32" spans="1:1" ht="16" x14ac:dyDescent="0.2">
      <c r="A32" s="13" t="s">
        <v>32</v>
      </c>
    </row>
    <row r="33" spans="1:1" ht="16" x14ac:dyDescent="0.2">
      <c r="A33" s="13" t="s">
        <v>33</v>
      </c>
    </row>
    <row r="34" spans="1:1" ht="16" x14ac:dyDescent="0.2">
      <c r="A34" s="13" t="s">
        <v>34</v>
      </c>
    </row>
    <row r="35" spans="1:1" ht="16" x14ac:dyDescent="0.2">
      <c r="A35" s="13" t="s">
        <v>35</v>
      </c>
    </row>
    <row r="36" spans="1:1" ht="16" x14ac:dyDescent="0.2">
      <c r="A36" s="13" t="s">
        <v>36</v>
      </c>
    </row>
    <row r="37" spans="1:1" ht="16" x14ac:dyDescent="0.2">
      <c r="A37" s="13" t="s">
        <v>37</v>
      </c>
    </row>
    <row r="38" spans="1:1" ht="16" x14ac:dyDescent="0.2">
      <c r="A38" s="13" t="s">
        <v>38</v>
      </c>
    </row>
    <row r="39" spans="1:1" ht="16" x14ac:dyDescent="0.2">
      <c r="A39" s="13" t="s">
        <v>39</v>
      </c>
    </row>
    <row r="40" spans="1:1" ht="16" x14ac:dyDescent="0.2">
      <c r="A40" s="13" t="s">
        <v>40</v>
      </c>
    </row>
    <row r="41" spans="1:1" ht="16" x14ac:dyDescent="0.2">
      <c r="A41" s="13" t="s">
        <v>41</v>
      </c>
    </row>
    <row r="42" spans="1:1" ht="16" x14ac:dyDescent="0.2">
      <c r="A42" s="13" t="s">
        <v>42</v>
      </c>
    </row>
    <row r="43" spans="1:1" ht="16" x14ac:dyDescent="0.2">
      <c r="A43" s="43" t="s">
        <v>43</v>
      </c>
    </row>
    <row r="44" spans="1:1" ht="16" x14ac:dyDescent="0.2">
      <c r="A44" s="40" t="s">
        <v>44</v>
      </c>
    </row>
    <row r="45" spans="1:1" ht="16" x14ac:dyDescent="0.2">
      <c r="A45" s="40" t="s">
        <v>45</v>
      </c>
    </row>
    <row r="46" spans="1:1" ht="16" x14ac:dyDescent="0.2">
      <c r="A46" s="40" t="s">
        <v>46</v>
      </c>
    </row>
    <row r="47" spans="1:1" ht="16" x14ac:dyDescent="0.2">
      <c r="A47" s="40" t="s">
        <v>47</v>
      </c>
    </row>
    <row r="48" spans="1:1" ht="16" x14ac:dyDescent="0.2">
      <c r="A48" s="10"/>
    </row>
    <row r="49" spans="1:1" ht="16" x14ac:dyDescent="0.2">
      <c r="A49" s="16" t="s">
        <v>48</v>
      </c>
    </row>
    <row r="50" spans="1:1" ht="16" x14ac:dyDescent="0.2">
      <c r="A50" s="16" t="s">
        <v>49</v>
      </c>
    </row>
    <row r="51" spans="1:1" ht="16" x14ac:dyDescent="0.2">
      <c r="A51" s="13"/>
    </row>
    <row r="52" spans="1:1" ht="16" x14ac:dyDescent="0.2">
      <c r="A52" s="16" t="s">
        <v>50</v>
      </c>
    </row>
    <row r="53" spans="1:1" ht="16" x14ac:dyDescent="0.2">
      <c r="A53" s="16" t="s">
        <v>51</v>
      </c>
    </row>
    <row r="54" spans="1:1" ht="16" x14ac:dyDescent="0.2">
      <c r="A54" s="17" t="s">
        <v>52</v>
      </c>
    </row>
    <row r="55" spans="1:1" ht="16" x14ac:dyDescent="0.2">
      <c r="A55" s="18" t="s">
        <v>53</v>
      </c>
    </row>
    <row r="56" spans="1:1" ht="16" x14ac:dyDescent="0.2">
      <c r="A56" s="13"/>
    </row>
    <row r="57" spans="1:1" ht="16" x14ac:dyDescent="0.2">
      <c r="A57" s="16" t="s">
        <v>54</v>
      </c>
    </row>
    <row r="58" spans="1:1" ht="16" x14ac:dyDescent="0.2">
      <c r="A58" s="16" t="s">
        <v>55</v>
      </c>
    </row>
    <row r="59" spans="1:1" ht="16" x14ac:dyDescent="0.2">
      <c r="A59" s="13"/>
    </row>
    <row r="60" spans="1:1" ht="16" x14ac:dyDescent="0.2">
      <c r="A60" s="14" t="s">
        <v>56</v>
      </c>
    </row>
    <row r="61" spans="1:1" ht="16" x14ac:dyDescent="0.2">
      <c r="A61" s="6" t="s">
        <v>60</v>
      </c>
    </row>
    <row r="62" spans="1:1" ht="16" x14ac:dyDescent="0.2">
      <c r="A62" s="7" t="s">
        <v>63</v>
      </c>
    </row>
    <row r="63" spans="1:1" ht="16" x14ac:dyDescent="0.2">
      <c r="A63" s="7" t="s">
        <v>64</v>
      </c>
    </row>
    <row r="64" spans="1:1" ht="16" x14ac:dyDescent="0.2">
      <c r="A64" s="7" t="s">
        <v>65</v>
      </c>
    </row>
    <row r="65" spans="1:1" ht="16" x14ac:dyDescent="0.2">
      <c r="A65" s="7" t="s">
        <v>66</v>
      </c>
    </row>
    <row r="66" spans="1:1" ht="16" x14ac:dyDescent="0.2">
      <c r="A66" s="7" t="s">
        <v>67</v>
      </c>
    </row>
    <row r="67" spans="1:1" ht="16" x14ac:dyDescent="0.2">
      <c r="A67" s="7" t="s">
        <v>68</v>
      </c>
    </row>
    <row r="68" spans="1:1" ht="16" x14ac:dyDescent="0.2">
      <c r="A68" s="7" t="s">
        <v>69</v>
      </c>
    </row>
    <row r="69" spans="1:1" ht="16" x14ac:dyDescent="0.2">
      <c r="A69" s="7" t="s">
        <v>70</v>
      </c>
    </row>
    <row r="70" spans="1:1" ht="16" x14ac:dyDescent="0.2">
      <c r="A70" s="7" t="s">
        <v>71</v>
      </c>
    </row>
    <row r="71" spans="1:1" ht="16" x14ac:dyDescent="0.2">
      <c r="A71" s="15" t="s">
        <v>72</v>
      </c>
    </row>
    <row r="72" spans="1:1" ht="16" x14ac:dyDescent="0.2">
      <c r="A72" s="15" t="s">
        <v>73</v>
      </c>
    </row>
    <row r="73" spans="1:1" ht="16" x14ac:dyDescent="0.2">
      <c r="A73" s="15" t="s">
        <v>74</v>
      </c>
    </row>
    <row r="74" spans="1:1" ht="16" x14ac:dyDescent="0.2">
      <c r="A74" s="13"/>
    </row>
    <row r="75" spans="1:1" ht="16" x14ac:dyDescent="0.2">
      <c r="A75" s="14" t="s">
        <v>75</v>
      </c>
    </row>
    <row r="76" spans="1:1" ht="16" x14ac:dyDescent="0.2">
      <c r="A76" s="6" t="s">
        <v>76</v>
      </c>
    </row>
    <row r="77" spans="1:1" ht="16" x14ac:dyDescent="0.2">
      <c r="A77" s="13" t="s">
        <v>63</v>
      </c>
    </row>
    <row r="78" spans="1:1" ht="16" x14ac:dyDescent="0.2">
      <c r="A78" s="13" t="s">
        <v>77</v>
      </c>
    </row>
    <row r="79" spans="1:1" ht="16" x14ac:dyDescent="0.2">
      <c r="A79" s="13" t="s">
        <v>78</v>
      </c>
    </row>
    <row r="80" spans="1:1" ht="16" x14ac:dyDescent="0.2">
      <c r="A80" s="13" t="s">
        <v>79</v>
      </c>
    </row>
    <row r="81" spans="1:1" ht="16" x14ac:dyDescent="0.2">
      <c r="A81" s="13" t="s">
        <v>80</v>
      </c>
    </row>
    <row r="82" spans="1:1" ht="16" x14ac:dyDescent="0.2">
      <c r="A82" s="15" t="s">
        <v>81</v>
      </c>
    </row>
    <row r="83" spans="1:1" ht="16" x14ac:dyDescent="0.2">
      <c r="A83" s="15" t="s">
        <v>74</v>
      </c>
    </row>
    <row r="84" spans="1:1" ht="16" x14ac:dyDescent="0.2">
      <c r="A84" s="13"/>
    </row>
    <row r="85" spans="1:1" ht="16" x14ac:dyDescent="0.2">
      <c r="A85" s="50" t="s">
        <v>82</v>
      </c>
    </row>
    <row r="86" spans="1:1" ht="16" x14ac:dyDescent="0.2">
      <c r="A86" s="19" t="s">
        <v>83</v>
      </c>
    </row>
    <row r="87" spans="1:1" ht="17" customHeight="1" x14ac:dyDescent="0.2">
      <c r="A87" s="20" t="s">
        <v>89</v>
      </c>
    </row>
    <row r="88" spans="1:1" ht="17" customHeight="1" x14ac:dyDescent="0.2">
      <c r="A88" s="20" t="s">
        <v>90</v>
      </c>
    </row>
    <row r="89" spans="1:1" ht="16" x14ac:dyDescent="0.2">
      <c r="A89" s="13" t="s">
        <v>91</v>
      </c>
    </row>
    <row r="90" spans="1:1" ht="16" x14ac:dyDescent="0.2">
      <c r="A90" s="13" t="s">
        <v>92</v>
      </c>
    </row>
    <row r="91" spans="1:1" ht="16" x14ac:dyDescent="0.2">
      <c r="A91" s="13" t="s">
        <v>92</v>
      </c>
    </row>
    <row r="92" spans="1:1" ht="16" x14ac:dyDescent="0.2">
      <c r="A92" s="13" t="s">
        <v>93</v>
      </c>
    </row>
    <row r="93" spans="1:1" ht="16" x14ac:dyDescent="0.2">
      <c r="A93" s="13" t="s">
        <v>94</v>
      </c>
    </row>
    <row r="94" spans="1:1" ht="16" x14ac:dyDescent="0.2">
      <c r="A94" s="13" t="s">
        <v>95</v>
      </c>
    </row>
    <row r="95" spans="1:1" ht="16" x14ac:dyDescent="0.2">
      <c r="A95" s="13" t="s">
        <v>96</v>
      </c>
    </row>
    <row r="96" spans="1:1" ht="16" x14ac:dyDescent="0.2">
      <c r="A96" s="13" t="s">
        <v>97</v>
      </c>
    </row>
    <row r="97" spans="1:1" ht="16" x14ac:dyDescent="0.2">
      <c r="A97" s="13" t="s">
        <v>98</v>
      </c>
    </row>
    <row r="98" spans="1:1" ht="16" x14ac:dyDescent="0.2">
      <c r="A98" s="13" t="s">
        <v>99</v>
      </c>
    </row>
    <row r="99" spans="1:1" ht="16" x14ac:dyDescent="0.2">
      <c r="A99" s="13" t="s">
        <v>100</v>
      </c>
    </row>
    <row r="100" spans="1:1" ht="16" x14ac:dyDescent="0.2">
      <c r="A100" s="13" t="s">
        <v>101</v>
      </c>
    </row>
    <row r="101" spans="1:1" ht="16" x14ac:dyDescent="0.2">
      <c r="A101" s="13" t="s">
        <v>102</v>
      </c>
    </row>
    <row r="102" spans="1:1" ht="16" x14ac:dyDescent="0.2">
      <c r="A102" s="13" t="s">
        <v>103</v>
      </c>
    </row>
    <row r="103" spans="1:1" ht="16" x14ac:dyDescent="0.2">
      <c r="A103" s="13" t="s">
        <v>104</v>
      </c>
    </row>
    <row r="104" spans="1:1" ht="16" x14ac:dyDescent="0.2">
      <c r="A104" s="13" t="s">
        <v>105</v>
      </c>
    </row>
    <row r="105" spans="1:1" ht="16" x14ac:dyDescent="0.2">
      <c r="A105" s="13" t="s">
        <v>106</v>
      </c>
    </row>
    <row r="106" spans="1:1" ht="16" x14ac:dyDescent="0.2">
      <c r="A106" s="13" t="s">
        <v>107</v>
      </c>
    </row>
    <row r="107" spans="1:1" ht="16" x14ac:dyDescent="0.2">
      <c r="A107" s="13" t="s">
        <v>108</v>
      </c>
    </row>
    <row r="108" spans="1:1" ht="16" x14ac:dyDescent="0.2">
      <c r="A108" s="13" t="s">
        <v>109</v>
      </c>
    </row>
    <row r="109" spans="1:1" ht="16" x14ac:dyDescent="0.2">
      <c r="A109" s="13" t="s">
        <v>110</v>
      </c>
    </row>
    <row r="110" spans="1:1" ht="16" x14ac:dyDescent="0.2">
      <c r="A110" s="13" t="s">
        <v>111</v>
      </c>
    </row>
    <row r="111" spans="1:1" ht="16" x14ac:dyDescent="0.2">
      <c r="A111" s="13" t="s">
        <v>112</v>
      </c>
    </row>
    <row r="112" spans="1:1" ht="16" x14ac:dyDescent="0.2">
      <c r="A112" s="13" t="s">
        <v>113</v>
      </c>
    </row>
    <row r="113" spans="1:1" ht="16" x14ac:dyDescent="0.2">
      <c r="A113" s="15" t="s">
        <v>114</v>
      </c>
    </row>
    <row r="114" spans="1:1" ht="16" x14ac:dyDescent="0.2">
      <c r="A114" s="15" t="s">
        <v>115</v>
      </c>
    </row>
    <row r="115" spans="1:1" ht="16" x14ac:dyDescent="0.2">
      <c r="A115" s="15" t="s">
        <v>74</v>
      </c>
    </row>
    <row r="116" spans="1:1" ht="16" x14ac:dyDescent="0.2">
      <c r="A116" s="13"/>
    </row>
    <row r="117" spans="1:1" ht="16" x14ac:dyDescent="0.2">
      <c r="A117" s="14" t="s">
        <v>116</v>
      </c>
    </row>
    <row r="118" spans="1:1" ht="17" customHeight="1" x14ac:dyDescent="0.2">
      <c r="A118" s="20" t="s">
        <v>117</v>
      </c>
    </row>
    <row r="119" spans="1:1" ht="16" x14ac:dyDescent="0.2">
      <c r="A119" s="13" t="s">
        <v>118</v>
      </c>
    </row>
    <row r="120" spans="1:1" ht="16" x14ac:dyDescent="0.2">
      <c r="A120" s="13" t="s">
        <v>119</v>
      </c>
    </row>
    <row r="121" spans="1:1" ht="16" x14ac:dyDescent="0.2">
      <c r="A121" s="13" t="s">
        <v>120</v>
      </c>
    </row>
    <row r="122" spans="1:1" ht="16" x14ac:dyDescent="0.2">
      <c r="A122" s="13" t="s">
        <v>121</v>
      </c>
    </row>
    <row r="123" spans="1:1" ht="16" x14ac:dyDescent="0.2">
      <c r="A123" s="76" t="s">
        <v>81</v>
      </c>
    </row>
    <row r="124" spans="1:1" ht="16" x14ac:dyDescent="0.2">
      <c r="A124" s="76" t="s">
        <v>74</v>
      </c>
    </row>
    <row r="125" spans="1:1" ht="16" x14ac:dyDescent="0.2">
      <c r="A125" s="6"/>
    </row>
    <row r="126" spans="1:1" ht="16" x14ac:dyDescent="0.2">
      <c r="A126" s="14" t="s">
        <v>122</v>
      </c>
    </row>
    <row r="127" spans="1:1" ht="16" x14ac:dyDescent="0.2">
      <c r="A127" s="13" t="s">
        <v>123</v>
      </c>
    </row>
    <row r="128" spans="1:1" ht="16" x14ac:dyDescent="0.2">
      <c r="A128" s="13" t="s">
        <v>124</v>
      </c>
    </row>
    <row r="129" spans="1:1" ht="16" x14ac:dyDescent="0.2">
      <c r="A129" s="13" t="s">
        <v>125</v>
      </c>
    </row>
    <row r="130" spans="1:1" ht="16" x14ac:dyDescent="0.2">
      <c r="A130" s="13" t="s">
        <v>126</v>
      </c>
    </row>
    <row r="131" spans="1:1" ht="16" x14ac:dyDescent="0.2">
      <c r="A131" s="13" t="s">
        <v>127</v>
      </c>
    </row>
    <row r="132" spans="1:1" ht="16" x14ac:dyDescent="0.2">
      <c r="A132" s="13" t="s">
        <v>128</v>
      </c>
    </row>
    <row r="133" spans="1:1" ht="16" x14ac:dyDescent="0.2">
      <c r="A133" s="21" t="s">
        <v>129</v>
      </c>
    </row>
    <row r="134" spans="1:1" ht="16" x14ac:dyDescent="0.2">
      <c r="A134" s="22" t="s">
        <v>130</v>
      </c>
    </row>
    <row r="135" spans="1:1" ht="16" x14ac:dyDescent="0.2">
      <c r="A135" s="22" t="s">
        <v>131</v>
      </c>
    </row>
    <row r="136" spans="1:1" ht="16" x14ac:dyDescent="0.2">
      <c r="A136" s="22" t="s">
        <v>132</v>
      </c>
    </row>
    <row r="137" spans="1:1" ht="16" x14ac:dyDescent="0.2">
      <c r="A137" s="22" t="s">
        <v>133</v>
      </c>
    </row>
    <row r="138" spans="1:1" ht="16" x14ac:dyDescent="0.2">
      <c r="A138" s="23" t="s">
        <v>134</v>
      </c>
    </row>
    <row r="139" spans="1:1" ht="16" x14ac:dyDescent="0.2">
      <c r="A139" s="22" t="s">
        <v>135</v>
      </c>
    </row>
    <row r="140" spans="1:1" ht="16" x14ac:dyDescent="0.2">
      <c r="A140" s="22" t="s">
        <v>136</v>
      </c>
    </row>
    <row r="141" spans="1:1" ht="16" x14ac:dyDescent="0.2">
      <c r="A141" s="22" t="s">
        <v>137</v>
      </c>
    </row>
    <row r="142" spans="1:1" ht="16" x14ac:dyDescent="0.2">
      <c r="A142" s="22" t="s">
        <v>138</v>
      </c>
    </row>
    <row r="143" spans="1:1" ht="16" x14ac:dyDescent="0.2">
      <c r="A143" s="23" t="s">
        <v>139</v>
      </c>
    </row>
    <row r="144" spans="1:1" ht="16" x14ac:dyDescent="0.2">
      <c r="A144" s="13" t="s">
        <v>140</v>
      </c>
    </row>
    <row r="145" spans="1:1" ht="16" x14ac:dyDescent="0.2">
      <c r="A145" s="13" t="s">
        <v>141</v>
      </c>
    </row>
    <row r="146" spans="1:1" ht="16" x14ac:dyDescent="0.2">
      <c r="A146" s="13" t="s">
        <v>142</v>
      </c>
    </row>
    <row r="147" spans="1:1" ht="16" x14ac:dyDescent="0.2">
      <c r="A147" s="15" t="s">
        <v>81</v>
      </c>
    </row>
    <row r="148" spans="1:1" ht="16" x14ac:dyDescent="0.2">
      <c r="A148" s="15" t="s">
        <v>74</v>
      </c>
    </row>
    <row r="149" spans="1:1" ht="16" x14ac:dyDescent="0.2">
      <c r="A149" s="13"/>
    </row>
    <row r="150" spans="1:1" ht="16" x14ac:dyDescent="0.2">
      <c r="A150" s="14" t="s">
        <v>143</v>
      </c>
    </row>
    <row r="151" spans="1:1" ht="17" customHeight="1" x14ac:dyDescent="0.2">
      <c r="A151" s="20" t="s">
        <v>144</v>
      </c>
    </row>
    <row r="152" spans="1:1" ht="16" x14ac:dyDescent="0.2">
      <c r="A152" s="13" t="s">
        <v>145</v>
      </c>
    </row>
    <row r="153" spans="1:1" ht="16" x14ac:dyDescent="0.2">
      <c r="A153" s="13" t="s">
        <v>146</v>
      </c>
    </row>
    <row r="154" spans="1:1" ht="16" x14ac:dyDescent="0.2">
      <c r="A154" s="13" t="s">
        <v>147</v>
      </c>
    </row>
    <row r="155" spans="1:1" ht="16" x14ac:dyDescent="0.2">
      <c r="A155" s="76" t="s">
        <v>81</v>
      </c>
    </row>
    <row r="156" spans="1:1" ht="16" x14ac:dyDescent="0.2">
      <c r="A156" s="76" t="s">
        <v>74</v>
      </c>
    </row>
    <row r="157" spans="1:1" ht="16" x14ac:dyDescent="0.2">
      <c r="A157" s="13"/>
    </row>
    <row r="158" spans="1:1" ht="16" x14ac:dyDescent="0.2">
      <c r="A158" s="14" t="s">
        <v>148</v>
      </c>
    </row>
    <row r="159" spans="1:1" ht="16" x14ac:dyDescent="0.2">
      <c r="A159" s="13" t="s">
        <v>149</v>
      </c>
    </row>
    <row r="160" spans="1:1" ht="16" x14ac:dyDescent="0.2">
      <c r="A160" s="13" t="s">
        <v>150</v>
      </c>
    </row>
    <row r="161" spans="1:1" ht="16" x14ac:dyDescent="0.2">
      <c r="A161" s="13" t="s">
        <v>151</v>
      </c>
    </row>
    <row r="162" spans="1:1" ht="16" x14ac:dyDescent="0.2">
      <c r="A162" s="15" t="s">
        <v>152</v>
      </c>
    </row>
    <row r="163" spans="1:1" ht="16" x14ac:dyDescent="0.2">
      <c r="A163" s="15" t="s">
        <v>74</v>
      </c>
    </row>
    <row r="164" spans="1:1" ht="16" x14ac:dyDescent="0.2">
      <c r="A164" s="13"/>
    </row>
    <row r="165" spans="1:1" ht="16" x14ac:dyDescent="0.2">
      <c r="A165" s="14" t="s">
        <v>153</v>
      </c>
    </row>
    <row r="166" spans="1:1" ht="16" x14ac:dyDescent="0.2">
      <c r="A166" s="13" t="s">
        <v>154</v>
      </c>
    </row>
    <row r="167" spans="1:1" ht="16" x14ac:dyDescent="0.2">
      <c r="A167" s="13" t="s">
        <v>155</v>
      </c>
    </row>
    <row r="168" spans="1:1" ht="16" x14ac:dyDescent="0.2">
      <c r="A168" s="13" t="s">
        <v>156</v>
      </c>
    </row>
    <row r="169" spans="1:1" ht="16" x14ac:dyDescent="0.2">
      <c r="A169" s="15" t="s">
        <v>81</v>
      </c>
    </row>
    <row r="170" spans="1:1" ht="16" x14ac:dyDescent="0.2">
      <c r="A170" s="15" t="s">
        <v>74</v>
      </c>
    </row>
    <row r="171" spans="1:1" ht="16" x14ac:dyDescent="0.2">
      <c r="A171" s="13"/>
    </row>
    <row r="172" spans="1:1" ht="16" x14ac:dyDescent="0.2">
      <c r="A172" s="13"/>
    </row>
    <row r="173" spans="1:1" ht="17" customHeight="1" x14ac:dyDescent="0.2"/>
    <row r="174" spans="1:1" ht="17" customHeight="1" x14ac:dyDescent="0.2">
      <c r="A174" s="61"/>
    </row>
    <row r="175" spans="1:1" ht="16" x14ac:dyDescent="0.2">
      <c r="A175" s="55" t="s">
        <v>157</v>
      </c>
    </row>
    <row r="176" spans="1:1" ht="16" x14ac:dyDescent="0.2">
      <c r="A176" s="56" t="s">
        <v>158</v>
      </c>
    </row>
    <row r="177" spans="1:1" ht="16" x14ac:dyDescent="0.2">
      <c r="A177" s="56" t="s">
        <v>159</v>
      </c>
    </row>
    <row r="178" spans="1:1" ht="16" x14ac:dyDescent="0.2">
      <c r="A178" s="56" t="s">
        <v>160</v>
      </c>
    </row>
    <row r="179" spans="1:1" ht="16" x14ac:dyDescent="0.2">
      <c r="A179" s="57"/>
    </row>
    <row r="180" spans="1:1" ht="16" x14ac:dyDescent="0.2">
      <c r="A180" s="58" t="s">
        <v>161</v>
      </c>
    </row>
    <row r="181" spans="1:1" ht="16" x14ac:dyDescent="0.2">
      <c r="A181" s="56" t="s">
        <v>162</v>
      </c>
    </row>
    <row r="182" spans="1:1" ht="16" x14ac:dyDescent="0.2">
      <c r="A182" s="57"/>
    </row>
    <row r="183" spans="1:1" ht="17" customHeight="1" x14ac:dyDescent="0.2">
      <c r="A183" s="59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/>
  </sheetViews>
  <sheetFormatPr baseColWidth="10" defaultColWidth="8.83203125" defaultRowHeight="15" x14ac:dyDescent="0.2"/>
  <cols>
    <col min="1" max="1" width="19.1640625" customWidth="1"/>
    <col min="6" max="7" width="8.83203125" customWidth="1"/>
  </cols>
  <sheetData>
    <row r="1" spans="1:9" ht="16" customHeight="1" x14ac:dyDescent="0.2">
      <c r="A1" s="2" t="s">
        <v>166</v>
      </c>
    </row>
    <row r="2" spans="1:9" ht="16" customHeight="1" x14ac:dyDescent="0.2">
      <c r="A2" s="9" t="s">
        <v>167</v>
      </c>
      <c r="B2" s="3" t="s">
        <v>168</v>
      </c>
      <c r="C2" s="4" t="s">
        <v>169</v>
      </c>
      <c r="D2" s="4" t="s">
        <v>170</v>
      </c>
      <c r="E2" s="4"/>
      <c r="F2" s="77" t="s">
        <v>1</v>
      </c>
      <c r="G2" s="78" t="s">
        <v>2</v>
      </c>
      <c r="H2" s="5" t="s">
        <v>171</v>
      </c>
      <c r="I2" s="12" t="s">
        <v>172</v>
      </c>
    </row>
    <row r="3" spans="1:9" x14ac:dyDescent="0.2">
      <c r="A3" t="s">
        <v>173</v>
      </c>
      <c r="B3">
        <v>6</v>
      </c>
      <c r="C3">
        <v>10</v>
      </c>
      <c r="D3">
        <v>8.5</v>
      </c>
      <c r="F3" s="33">
        <v>6.54</v>
      </c>
      <c r="H3" t="s">
        <v>174</v>
      </c>
    </row>
    <row r="4" spans="1:9" x14ac:dyDescent="0.2">
      <c r="A4" t="s">
        <v>173</v>
      </c>
      <c r="B4">
        <v>6</v>
      </c>
      <c r="C4">
        <v>10</v>
      </c>
      <c r="D4">
        <v>8.5</v>
      </c>
      <c r="F4" s="33">
        <v>6.54</v>
      </c>
      <c r="H4" t="s">
        <v>175</v>
      </c>
    </row>
    <row r="5" spans="1:9" x14ac:dyDescent="0.2">
      <c r="A5" t="s">
        <v>173</v>
      </c>
      <c r="F5" s="33">
        <v>6.54</v>
      </c>
      <c r="G5" s="79">
        <v>0</v>
      </c>
      <c r="H5" t="s">
        <v>176</v>
      </c>
    </row>
    <row r="7" spans="1:9" x14ac:dyDescent="0.2">
      <c r="A7" t="s">
        <v>177</v>
      </c>
      <c r="B7">
        <v>0</v>
      </c>
      <c r="C7">
        <v>0</v>
      </c>
      <c r="D7">
        <v>9</v>
      </c>
      <c r="F7" s="33">
        <v>0.04</v>
      </c>
      <c r="H7" t="s">
        <v>178</v>
      </c>
    </row>
    <row r="8" spans="1:9" x14ac:dyDescent="0.2">
      <c r="A8" t="s">
        <v>177</v>
      </c>
      <c r="B8">
        <v>0</v>
      </c>
      <c r="C8">
        <v>0</v>
      </c>
      <c r="D8">
        <v>6</v>
      </c>
      <c r="F8" s="33">
        <v>0.03</v>
      </c>
      <c r="H8" t="s">
        <v>179</v>
      </c>
    </row>
    <row r="9" spans="1:9" x14ac:dyDescent="0.2">
      <c r="A9" t="s">
        <v>177</v>
      </c>
      <c r="B9">
        <v>0</v>
      </c>
      <c r="C9">
        <v>0</v>
      </c>
      <c r="D9">
        <v>6</v>
      </c>
      <c r="F9" s="33">
        <v>0.03</v>
      </c>
      <c r="H9" t="s">
        <v>180</v>
      </c>
    </row>
    <row r="10" spans="1:9" x14ac:dyDescent="0.2">
      <c r="A10" t="s">
        <v>177</v>
      </c>
      <c r="B10">
        <v>0</v>
      </c>
      <c r="C10">
        <v>0</v>
      </c>
      <c r="D10">
        <v>3</v>
      </c>
      <c r="F10" s="33">
        <v>0.01</v>
      </c>
      <c r="H10" t="s">
        <v>181</v>
      </c>
    </row>
    <row r="11" spans="1:9" x14ac:dyDescent="0.2">
      <c r="A11" t="s">
        <v>177</v>
      </c>
      <c r="B11">
        <v>0</v>
      </c>
      <c r="C11">
        <v>0</v>
      </c>
      <c r="D11">
        <v>6</v>
      </c>
      <c r="F11" s="33">
        <v>0.03</v>
      </c>
      <c r="H11" t="s">
        <v>182</v>
      </c>
    </row>
    <row r="12" spans="1:9" x14ac:dyDescent="0.2">
      <c r="A12" t="s">
        <v>177</v>
      </c>
      <c r="B12">
        <v>0</v>
      </c>
      <c r="C12">
        <v>0</v>
      </c>
      <c r="D12">
        <v>9</v>
      </c>
      <c r="F12" s="33">
        <v>0.04</v>
      </c>
      <c r="H12" t="s">
        <v>183</v>
      </c>
    </row>
    <row r="13" spans="1:9" x14ac:dyDescent="0.2">
      <c r="A13" t="s">
        <v>177</v>
      </c>
      <c r="B13">
        <v>0</v>
      </c>
      <c r="C13">
        <v>1</v>
      </c>
      <c r="D13">
        <v>0</v>
      </c>
      <c r="F13" s="33">
        <v>0.05</v>
      </c>
      <c r="H13" t="s">
        <v>184</v>
      </c>
    </row>
    <row r="14" spans="1:9" x14ac:dyDescent="0.2">
      <c r="A14" t="s">
        <v>177</v>
      </c>
      <c r="B14">
        <v>0</v>
      </c>
      <c r="C14">
        <v>0</v>
      </c>
      <c r="D14">
        <v>6</v>
      </c>
      <c r="F14" s="33">
        <v>0.03</v>
      </c>
      <c r="H14" t="s">
        <v>185</v>
      </c>
    </row>
    <row r="15" spans="1:9" x14ac:dyDescent="0.2">
      <c r="A15" t="s">
        <v>177</v>
      </c>
      <c r="B15">
        <v>0</v>
      </c>
      <c r="C15">
        <v>0</v>
      </c>
      <c r="D15">
        <v>6</v>
      </c>
      <c r="F15" s="33">
        <v>0.03</v>
      </c>
      <c r="H15" t="s">
        <v>186</v>
      </c>
    </row>
    <row r="16" spans="1:9" x14ac:dyDescent="0.2">
      <c r="A16" t="s">
        <v>177</v>
      </c>
      <c r="B16">
        <v>0</v>
      </c>
      <c r="C16">
        <v>0</v>
      </c>
      <c r="D16">
        <v>6</v>
      </c>
      <c r="F16" s="33">
        <v>0.03</v>
      </c>
      <c r="H16" t="s">
        <v>187</v>
      </c>
    </row>
    <row r="17" spans="1:8" x14ac:dyDescent="0.2">
      <c r="A17" t="s">
        <v>177</v>
      </c>
      <c r="B17">
        <v>0</v>
      </c>
      <c r="C17">
        <v>0</v>
      </c>
      <c r="D17">
        <v>0</v>
      </c>
      <c r="F17" s="33">
        <v>0</v>
      </c>
      <c r="H17" t="s">
        <v>188</v>
      </c>
    </row>
    <row r="18" spans="1:8" x14ac:dyDescent="0.2">
      <c r="A18" t="s">
        <v>177</v>
      </c>
      <c r="B18">
        <v>0</v>
      </c>
      <c r="C18">
        <v>0</v>
      </c>
      <c r="D18">
        <v>3</v>
      </c>
      <c r="F18" s="33">
        <v>0.01</v>
      </c>
      <c r="H18" t="s">
        <v>189</v>
      </c>
    </row>
    <row r="19" spans="1:8" x14ac:dyDescent="0.2">
      <c r="A19" t="s">
        <v>177</v>
      </c>
      <c r="B19">
        <v>0</v>
      </c>
      <c r="C19">
        <v>0</v>
      </c>
      <c r="D19">
        <v>6</v>
      </c>
      <c r="F19" s="33">
        <v>0.03</v>
      </c>
      <c r="H19" t="s">
        <v>190</v>
      </c>
    </row>
    <row r="20" spans="1:8" x14ac:dyDescent="0.2">
      <c r="A20" t="s">
        <v>177</v>
      </c>
      <c r="B20">
        <v>0</v>
      </c>
      <c r="C20">
        <v>0</v>
      </c>
      <c r="D20">
        <v>3</v>
      </c>
      <c r="F20" s="33">
        <v>0.01</v>
      </c>
      <c r="H20" t="s">
        <v>191</v>
      </c>
    </row>
    <row r="21" spans="1:8" x14ac:dyDescent="0.2">
      <c r="A21" t="s">
        <v>177</v>
      </c>
      <c r="B21">
        <v>0</v>
      </c>
      <c r="C21">
        <v>0</v>
      </c>
      <c r="D21">
        <v>6</v>
      </c>
      <c r="F21" s="33">
        <v>0.03</v>
      </c>
      <c r="H21" t="s">
        <v>192</v>
      </c>
    </row>
    <row r="22" spans="1:8" x14ac:dyDescent="0.2">
      <c r="A22" t="s">
        <v>177</v>
      </c>
      <c r="B22">
        <v>0</v>
      </c>
      <c r="C22">
        <v>0</v>
      </c>
      <c r="D22">
        <v>3</v>
      </c>
      <c r="F22" s="33">
        <f>B22+C22/20+D22/240</f>
        <v>1.2500000000000001E-2</v>
      </c>
      <c r="H22" t="s">
        <v>193</v>
      </c>
    </row>
    <row r="23" spans="1:8" x14ac:dyDescent="0.2">
      <c r="A23" t="s">
        <v>177</v>
      </c>
      <c r="B23">
        <v>0</v>
      </c>
      <c r="C23">
        <v>8</v>
      </c>
      <c r="D23">
        <v>0</v>
      </c>
      <c r="F23" s="33">
        <f>B23+C23/20+D23/240</f>
        <v>0.4</v>
      </c>
      <c r="H23" t="s">
        <v>194</v>
      </c>
    </row>
    <row r="24" spans="1:8" x14ac:dyDescent="0.2">
      <c r="A24" t="s">
        <v>177</v>
      </c>
      <c r="F24" s="33">
        <f>SUM(F7:F22)</f>
        <v>0.41250000000000014</v>
      </c>
      <c r="G24" s="79">
        <f>F24-F23</f>
        <v>1.2500000000000122E-2</v>
      </c>
      <c r="H24" t="s">
        <v>176</v>
      </c>
    </row>
    <row r="26" spans="1:8" x14ac:dyDescent="0.2">
      <c r="A26" t="s">
        <v>195</v>
      </c>
      <c r="B26">
        <v>6</v>
      </c>
      <c r="C26">
        <v>2</v>
      </c>
      <c r="D26">
        <v>8.5</v>
      </c>
      <c r="F26" s="33">
        <v>6.14</v>
      </c>
      <c r="H26" t="s">
        <v>196</v>
      </c>
    </row>
    <row r="27" spans="1:8" x14ac:dyDescent="0.2">
      <c r="A27" t="s">
        <v>195</v>
      </c>
      <c r="F27" s="33">
        <v>6.14</v>
      </c>
      <c r="G27" s="79">
        <f>F27-F26</f>
        <v>0</v>
      </c>
      <c r="H27" t="s">
        <v>176</v>
      </c>
    </row>
    <row r="29" spans="1:8" x14ac:dyDescent="0.2">
      <c r="A29" t="s">
        <v>197</v>
      </c>
      <c r="B29">
        <v>0</v>
      </c>
      <c r="C29">
        <v>0</v>
      </c>
      <c r="D29">
        <v>4</v>
      </c>
      <c r="F29" s="33">
        <v>0.02</v>
      </c>
      <c r="H29" t="s">
        <v>198</v>
      </c>
    </row>
    <row r="30" spans="1:8" x14ac:dyDescent="0.2">
      <c r="A30" t="s">
        <v>197</v>
      </c>
      <c r="B30">
        <v>0</v>
      </c>
      <c r="C30">
        <v>4</v>
      </c>
      <c r="D30">
        <v>1</v>
      </c>
      <c r="F30" s="33">
        <v>0.2</v>
      </c>
      <c r="H30" t="s">
        <v>199</v>
      </c>
    </row>
    <row r="31" spans="1:8" x14ac:dyDescent="0.2">
      <c r="A31" t="s">
        <v>197</v>
      </c>
      <c r="B31">
        <v>0</v>
      </c>
      <c r="C31">
        <v>1</v>
      </c>
      <c r="D31">
        <v>0</v>
      </c>
      <c r="F31" s="33">
        <v>0.05</v>
      </c>
      <c r="H31" t="s">
        <v>200</v>
      </c>
    </row>
    <row r="32" spans="1:8" x14ac:dyDescent="0.2">
      <c r="A32" t="s">
        <v>197</v>
      </c>
      <c r="B32">
        <v>0</v>
      </c>
      <c r="C32">
        <v>0</v>
      </c>
      <c r="D32">
        <v>10</v>
      </c>
      <c r="F32" s="33">
        <v>0.04</v>
      </c>
      <c r="H32" t="s">
        <v>201</v>
      </c>
    </row>
    <row r="33" spans="1:8" x14ac:dyDescent="0.2">
      <c r="A33" t="s">
        <v>197</v>
      </c>
      <c r="B33">
        <v>0</v>
      </c>
      <c r="C33">
        <v>0</v>
      </c>
      <c r="D33">
        <v>8</v>
      </c>
      <c r="F33" s="33">
        <v>0.03</v>
      </c>
      <c r="H33" t="s">
        <v>202</v>
      </c>
    </row>
    <row r="34" spans="1:8" x14ac:dyDescent="0.2">
      <c r="A34" t="s">
        <v>197</v>
      </c>
      <c r="B34">
        <v>0</v>
      </c>
      <c r="C34">
        <v>6</v>
      </c>
      <c r="D34">
        <v>11</v>
      </c>
      <c r="F34" s="33">
        <v>0.35</v>
      </c>
      <c r="H34" t="s">
        <v>203</v>
      </c>
    </row>
    <row r="35" spans="1:8" x14ac:dyDescent="0.2">
      <c r="A35" t="s">
        <v>197</v>
      </c>
      <c r="F35" s="33">
        <v>0.34</v>
      </c>
      <c r="G35" s="79">
        <v>-9.9999999999999534E-3</v>
      </c>
      <c r="H35" t="s">
        <v>176</v>
      </c>
    </row>
    <row r="37" spans="1:8" x14ac:dyDescent="0.2">
      <c r="A37" t="s">
        <v>204</v>
      </c>
      <c r="B37">
        <v>0</v>
      </c>
      <c r="C37">
        <v>0</v>
      </c>
      <c r="D37">
        <v>3</v>
      </c>
      <c r="F37" s="33">
        <v>0.01</v>
      </c>
      <c r="H37" t="s">
        <v>205</v>
      </c>
    </row>
    <row r="38" spans="1:8" x14ac:dyDescent="0.2">
      <c r="A38" t="s">
        <v>204</v>
      </c>
      <c r="B38">
        <v>0</v>
      </c>
      <c r="C38">
        <v>0</v>
      </c>
      <c r="D38">
        <v>3</v>
      </c>
      <c r="F38" s="33">
        <v>0.01</v>
      </c>
      <c r="H38" t="s">
        <v>206</v>
      </c>
    </row>
    <row r="39" spans="1:8" x14ac:dyDescent="0.2">
      <c r="A39" t="s">
        <v>204</v>
      </c>
      <c r="B39">
        <v>0</v>
      </c>
      <c r="C39">
        <v>0</v>
      </c>
      <c r="D39">
        <v>3</v>
      </c>
      <c r="F39" s="33">
        <v>0.01</v>
      </c>
      <c r="H39" t="s">
        <v>207</v>
      </c>
    </row>
    <row r="40" spans="1:8" x14ac:dyDescent="0.2">
      <c r="A40" t="s">
        <v>204</v>
      </c>
      <c r="B40">
        <v>0</v>
      </c>
      <c r="C40">
        <v>0</v>
      </c>
      <c r="D40">
        <v>3</v>
      </c>
      <c r="F40" s="33">
        <v>0.01</v>
      </c>
      <c r="H40" t="s">
        <v>208</v>
      </c>
    </row>
    <row r="41" spans="1:8" x14ac:dyDescent="0.2">
      <c r="A41" t="s">
        <v>204</v>
      </c>
      <c r="B41">
        <v>0</v>
      </c>
      <c r="C41">
        <v>0</v>
      </c>
      <c r="D41">
        <v>3</v>
      </c>
      <c r="F41" s="33">
        <v>0.01</v>
      </c>
      <c r="H41" t="s">
        <v>209</v>
      </c>
    </row>
    <row r="42" spans="1:8" x14ac:dyDescent="0.2">
      <c r="A42" t="s">
        <v>204</v>
      </c>
      <c r="B42">
        <v>0</v>
      </c>
      <c r="C42">
        <v>0</v>
      </c>
      <c r="D42">
        <v>3</v>
      </c>
      <c r="F42" s="33">
        <v>0.01</v>
      </c>
      <c r="H42" t="s">
        <v>210</v>
      </c>
    </row>
    <row r="43" spans="1:8" x14ac:dyDescent="0.2">
      <c r="A43" t="s">
        <v>204</v>
      </c>
      <c r="B43">
        <v>0</v>
      </c>
      <c r="C43">
        <v>0</v>
      </c>
      <c r="D43">
        <v>3</v>
      </c>
      <c r="F43" s="33">
        <v>0.01</v>
      </c>
      <c r="H43" t="s">
        <v>211</v>
      </c>
    </row>
    <row r="44" spans="1:8" x14ac:dyDescent="0.2">
      <c r="A44" t="s">
        <v>204</v>
      </c>
      <c r="B44">
        <v>0</v>
      </c>
      <c r="C44">
        <v>0</v>
      </c>
      <c r="D44">
        <v>3</v>
      </c>
      <c r="F44" s="33">
        <v>0.01</v>
      </c>
      <c r="H44" t="s">
        <v>212</v>
      </c>
    </row>
    <row r="45" spans="1:8" x14ac:dyDescent="0.2">
      <c r="A45" t="s">
        <v>204</v>
      </c>
      <c r="B45">
        <v>0</v>
      </c>
      <c r="C45">
        <v>0</v>
      </c>
      <c r="D45">
        <v>3</v>
      </c>
      <c r="F45" s="33">
        <v>0.01</v>
      </c>
      <c r="H45" t="s">
        <v>213</v>
      </c>
    </row>
    <row r="46" spans="1:8" x14ac:dyDescent="0.2">
      <c r="A46" t="s">
        <v>204</v>
      </c>
      <c r="B46">
        <v>0</v>
      </c>
      <c r="C46">
        <v>0</v>
      </c>
      <c r="D46">
        <v>3</v>
      </c>
      <c r="F46" s="33">
        <v>0.01</v>
      </c>
      <c r="H46" t="s">
        <v>214</v>
      </c>
    </row>
    <row r="47" spans="1:8" x14ac:dyDescent="0.2">
      <c r="A47" t="s">
        <v>204</v>
      </c>
      <c r="B47">
        <v>0</v>
      </c>
      <c r="C47">
        <v>0</v>
      </c>
      <c r="D47">
        <v>3</v>
      </c>
      <c r="F47" s="33">
        <v>0.01</v>
      </c>
      <c r="H47" t="s">
        <v>215</v>
      </c>
    </row>
    <row r="48" spans="1:8" x14ac:dyDescent="0.2">
      <c r="A48" t="s">
        <v>204</v>
      </c>
      <c r="B48">
        <v>0</v>
      </c>
      <c r="C48">
        <v>0</v>
      </c>
      <c r="D48">
        <v>3</v>
      </c>
      <c r="F48" s="33">
        <v>0.01</v>
      </c>
      <c r="H48" t="s">
        <v>216</v>
      </c>
    </row>
    <row r="49" spans="1:8" x14ac:dyDescent="0.2">
      <c r="A49" t="s">
        <v>204</v>
      </c>
      <c r="B49">
        <v>0</v>
      </c>
      <c r="C49">
        <v>0</v>
      </c>
      <c r="D49">
        <v>3</v>
      </c>
      <c r="F49" s="33">
        <v>0.01</v>
      </c>
      <c r="H49" t="s">
        <v>217</v>
      </c>
    </row>
    <row r="50" spans="1:8" x14ac:dyDescent="0.2">
      <c r="A50" t="s">
        <v>204</v>
      </c>
      <c r="B50">
        <v>0</v>
      </c>
      <c r="C50">
        <v>0</v>
      </c>
      <c r="D50">
        <v>3</v>
      </c>
      <c r="F50" s="33">
        <v>0.01</v>
      </c>
      <c r="H50" t="s">
        <v>218</v>
      </c>
    </row>
    <row r="51" spans="1:8" x14ac:dyDescent="0.2">
      <c r="A51" t="s">
        <v>204</v>
      </c>
      <c r="B51">
        <v>0</v>
      </c>
      <c r="C51">
        <v>0</v>
      </c>
      <c r="D51">
        <v>3</v>
      </c>
      <c r="F51" s="33">
        <v>0.01</v>
      </c>
      <c r="H51" t="s">
        <v>219</v>
      </c>
    </row>
    <row r="52" spans="1:8" x14ac:dyDescent="0.2">
      <c r="A52" t="s">
        <v>204</v>
      </c>
      <c r="B52">
        <v>0</v>
      </c>
      <c r="C52">
        <v>0</v>
      </c>
      <c r="D52">
        <v>6</v>
      </c>
      <c r="F52" s="33">
        <v>0.03</v>
      </c>
      <c r="H52" t="s">
        <v>220</v>
      </c>
    </row>
    <row r="53" spans="1:8" x14ac:dyDescent="0.2">
      <c r="A53" t="s">
        <v>204</v>
      </c>
      <c r="B53">
        <v>0</v>
      </c>
      <c r="C53">
        <v>0</v>
      </c>
      <c r="D53">
        <v>6</v>
      </c>
      <c r="F53" s="33">
        <v>0.03</v>
      </c>
      <c r="H53" t="s">
        <v>221</v>
      </c>
    </row>
    <row r="54" spans="1:8" x14ac:dyDescent="0.2">
      <c r="A54" t="s">
        <v>204</v>
      </c>
      <c r="B54">
        <v>0</v>
      </c>
      <c r="C54">
        <v>0</v>
      </c>
      <c r="D54">
        <v>6</v>
      </c>
      <c r="F54" s="33">
        <v>0.03</v>
      </c>
      <c r="H54" t="s">
        <v>222</v>
      </c>
    </row>
    <row r="55" spans="1:8" x14ac:dyDescent="0.2">
      <c r="A55" t="s">
        <v>204</v>
      </c>
      <c r="B55">
        <v>0</v>
      </c>
      <c r="C55">
        <v>0</v>
      </c>
      <c r="D55">
        <v>6</v>
      </c>
      <c r="F55" s="33">
        <v>0.03</v>
      </c>
      <c r="H55" t="s">
        <v>223</v>
      </c>
    </row>
    <row r="56" spans="1:8" x14ac:dyDescent="0.2">
      <c r="A56" t="s">
        <v>204</v>
      </c>
      <c r="B56">
        <v>0</v>
      </c>
      <c r="C56">
        <v>0</v>
      </c>
      <c r="D56">
        <v>6</v>
      </c>
      <c r="F56" s="33">
        <v>0.03</v>
      </c>
      <c r="H56" t="s">
        <v>224</v>
      </c>
    </row>
    <row r="57" spans="1:8" x14ac:dyDescent="0.2">
      <c r="A57" t="s">
        <v>204</v>
      </c>
      <c r="B57">
        <v>0</v>
      </c>
      <c r="C57">
        <v>0</v>
      </c>
      <c r="D57">
        <v>6</v>
      </c>
      <c r="F57" s="33">
        <v>0.03</v>
      </c>
      <c r="H57" t="s">
        <v>225</v>
      </c>
    </row>
    <row r="58" spans="1:8" x14ac:dyDescent="0.2">
      <c r="A58" t="s">
        <v>204</v>
      </c>
      <c r="B58">
        <v>0</v>
      </c>
      <c r="C58">
        <v>0</v>
      </c>
      <c r="D58">
        <v>6</v>
      </c>
      <c r="F58" s="33">
        <v>0.03</v>
      </c>
      <c r="H58" t="s">
        <v>226</v>
      </c>
    </row>
    <row r="59" spans="1:8" x14ac:dyDescent="0.2">
      <c r="A59" t="s">
        <v>204</v>
      </c>
      <c r="B59">
        <v>0</v>
      </c>
      <c r="C59">
        <v>0</v>
      </c>
      <c r="D59">
        <v>6</v>
      </c>
      <c r="F59" s="33">
        <v>0.03</v>
      </c>
      <c r="H59" t="s">
        <v>227</v>
      </c>
    </row>
    <row r="60" spans="1:8" x14ac:dyDescent="0.2">
      <c r="A60" t="s">
        <v>204</v>
      </c>
      <c r="B60">
        <v>0</v>
      </c>
      <c r="C60">
        <v>0</v>
      </c>
      <c r="D60">
        <v>6</v>
      </c>
      <c r="F60" s="33">
        <v>0.03</v>
      </c>
      <c r="H60" t="s">
        <v>228</v>
      </c>
    </row>
    <row r="61" spans="1:8" x14ac:dyDescent="0.2">
      <c r="A61" t="s">
        <v>204</v>
      </c>
      <c r="B61">
        <v>0</v>
      </c>
      <c r="C61">
        <v>8</v>
      </c>
      <c r="D61">
        <v>3</v>
      </c>
      <c r="F61" s="33">
        <v>0.41</v>
      </c>
      <c r="H61" t="s">
        <v>229</v>
      </c>
    </row>
    <row r="62" spans="1:8" x14ac:dyDescent="0.2">
      <c r="A62" t="s">
        <v>204</v>
      </c>
      <c r="F62" s="33">
        <v>0.42000000000000021</v>
      </c>
      <c r="G62" s="79">
        <v>1.0000000000000229E-2</v>
      </c>
      <c r="H62" t="s">
        <v>176</v>
      </c>
    </row>
    <row r="64" spans="1:8" x14ac:dyDescent="0.2">
      <c r="A64" t="s">
        <v>230</v>
      </c>
      <c r="B64">
        <v>6</v>
      </c>
      <c r="C64">
        <v>17</v>
      </c>
      <c r="D64">
        <v>10.5</v>
      </c>
      <c r="F64" s="33">
        <v>6.89</v>
      </c>
      <c r="H64" t="s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8.33203125" customWidth="1"/>
    <col min="7" max="7" width="8.83203125" customWidth="1"/>
  </cols>
  <sheetData>
    <row r="1" spans="1:10" ht="16" customHeight="1" x14ac:dyDescent="0.2">
      <c r="A1" s="2" t="s">
        <v>232</v>
      </c>
      <c r="D1" s="24"/>
      <c r="E1" s="30"/>
      <c r="G1" s="11"/>
      <c r="I1" s="24"/>
      <c r="J1" s="24"/>
    </row>
    <row r="2" spans="1:10" ht="16" customHeight="1" x14ac:dyDescent="0.2">
      <c r="A2" s="25" t="s">
        <v>167</v>
      </c>
      <c r="B2" s="27" t="s">
        <v>168</v>
      </c>
      <c r="C2" s="28" t="s">
        <v>169</v>
      </c>
      <c r="D2" s="28" t="s">
        <v>170</v>
      </c>
      <c r="E2" s="26"/>
      <c r="F2" s="29" t="s">
        <v>1</v>
      </c>
      <c r="G2" s="31" t="s">
        <v>2</v>
      </c>
      <c r="H2" s="25" t="s">
        <v>171</v>
      </c>
    </row>
    <row r="3" spans="1:10" x14ac:dyDescent="0.2">
      <c r="A3" t="s">
        <v>233</v>
      </c>
      <c r="B3">
        <v>0</v>
      </c>
      <c r="C3">
        <v>0</v>
      </c>
      <c r="D3">
        <v>0</v>
      </c>
      <c r="F3">
        <v>0</v>
      </c>
      <c r="H3" t="s">
        <v>234</v>
      </c>
    </row>
    <row r="4" spans="1:10" x14ac:dyDescent="0.2">
      <c r="A4" t="s">
        <v>233</v>
      </c>
      <c r="B4">
        <v>5</v>
      </c>
      <c r="C4">
        <v>0</v>
      </c>
      <c r="D4">
        <v>0</v>
      </c>
      <c r="F4">
        <v>5</v>
      </c>
      <c r="H4" t="s">
        <v>235</v>
      </c>
    </row>
    <row r="5" spans="1:10" x14ac:dyDescent="0.2">
      <c r="A5" t="s">
        <v>233</v>
      </c>
      <c r="F5">
        <v>5</v>
      </c>
      <c r="G5" s="80">
        <v>0</v>
      </c>
      <c r="H5" t="s">
        <v>176</v>
      </c>
    </row>
    <row r="7" spans="1:10" x14ac:dyDescent="0.2">
      <c r="A7" t="s">
        <v>236</v>
      </c>
      <c r="B7">
        <v>1</v>
      </c>
      <c r="C7">
        <v>17</v>
      </c>
      <c r="D7">
        <v>10.5</v>
      </c>
      <c r="F7">
        <v>1.89</v>
      </c>
      <c r="H7" t="s">
        <v>237</v>
      </c>
    </row>
    <row r="8" spans="1:10" x14ac:dyDescent="0.2">
      <c r="A8" t="s">
        <v>236</v>
      </c>
      <c r="F8">
        <v>1.89</v>
      </c>
      <c r="G8" s="80">
        <v>0</v>
      </c>
      <c r="H8" t="s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56"/>
  <sheetViews>
    <sheetView workbookViewId="0"/>
  </sheetViews>
  <sheetFormatPr baseColWidth="10" defaultColWidth="8.83203125" defaultRowHeight="15" x14ac:dyDescent="0.2"/>
  <cols>
    <col min="1" max="1" width="19.1640625" customWidth="1"/>
  </cols>
  <sheetData>
    <row r="1" spans="1:30" x14ac:dyDescent="0.2">
      <c r="A1" s="1" t="s">
        <v>167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  <c r="AD1" s="1" t="s">
        <v>269</v>
      </c>
    </row>
    <row r="2" spans="1:30" x14ac:dyDescent="0.2">
      <c r="A2" t="s">
        <v>173</v>
      </c>
      <c r="B2" t="s">
        <v>174</v>
      </c>
      <c r="C2">
        <v>6.54</v>
      </c>
      <c r="D2">
        <v>6</v>
      </c>
      <c r="E2">
        <v>10</v>
      </c>
      <c r="F2">
        <v>8.5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0" x14ac:dyDescent="0.2">
      <c r="A3" t="s">
        <v>173</v>
      </c>
      <c r="B3" t="s">
        <v>175</v>
      </c>
      <c r="C3">
        <v>6.54</v>
      </c>
      <c r="D3">
        <v>6</v>
      </c>
      <c r="E3">
        <v>10</v>
      </c>
      <c r="F3">
        <v>8.5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0" x14ac:dyDescent="0.2">
      <c r="A4" t="s">
        <v>177</v>
      </c>
      <c r="B4" t="s">
        <v>178</v>
      </c>
      <c r="C4">
        <v>0.04</v>
      </c>
      <c r="D4">
        <v>0</v>
      </c>
      <c r="E4">
        <v>0</v>
      </c>
      <c r="F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0" x14ac:dyDescent="0.2">
      <c r="A5" t="s">
        <v>177</v>
      </c>
      <c r="B5" t="s">
        <v>179</v>
      </c>
      <c r="C5">
        <v>0.03</v>
      </c>
      <c r="D5">
        <v>0</v>
      </c>
      <c r="E5">
        <v>0</v>
      </c>
      <c r="F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0" x14ac:dyDescent="0.2">
      <c r="A6" t="s">
        <v>177</v>
      </c>
      <c r="B6" t="s">
        <v>180</v>
      </c>
      <c r="C6">
        <v>0.03</v>
      </c>
      <c r="D6">
        <v>0</v>
      </c>
      <c r="E6">
        <v>0</v>
      </c>
      <c r="F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0" x14ac:dyDescent="0.2">
      <c r="A7" t="s">
        <v>177</v>
      </c>
      <c r="B7" t="s">
        <v>181</v>
      </c>
      <c r="C7">
        <v>0.01</v>
      </c>
      <c r="D7">
        <v>0</v>
      </c>
      <c r="E7">
        <v>0</v>
      </c>
      <c r="F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0" x14ac:dyDescent="0.2">
      <c r="A8" t="s">
        <v>177</v>
      </c>
      <c r="B8" t="s">
        <v>182</v>
      </c>
      <c r="C8">
        <v>0.03</v>
      </c>
      <c r="D8">
        <v>0</v>
      </c>
      <c r="E8">
        <v>0</v>
      </c>
      <c r="F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0" x14ac:dyDescent="0.2">
      <c r="A9" t="s">
        <v>177</v>
      </c>
      <c r="B9" t="s">
        <v>183</v>
      </c>
      <c r="C9">
        <v>0.04</v>
      </c>
      <c r="D9">
        <v>0</v>
      </c>
      <c r="E9">
        <v>0</v>
      </c>
      <c r="F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0" x14ac:dyDescent="0.2">
      <c r="A10" t="s">
        <v>177</v>
      </c>
      <c r="B10" t="s">
        <v>184</v>
      </c>
      <c r="C10">
        <v>0.05</v>
      </c>
      <c r="D10">
        <v>0</v>
      </c>
      <c r="E10">
        <v>1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0" x14ac:dyDescent="0.2">
      <c r="A11" t="s">
        <v>177</v>
      </c>
      <c r="B11" t="s">
        <v>185</v>
      </c>
      <c r="C11">
        <v>0.03</v>
      </c>
      <c r="D11">
        <v>0</v>
      </c>
      <c r="E11">
        <v>0</v>
      </c>
      <c r="F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0" x14ac:dyDescent="0.2">
      <c r="A12" t="s">
        <v>177</v>
      </c>
      <c r="B12" t="s">
        <v>186</v>
      </c>
      <c r="C12">
        <v>0.03</v>
      </c>
      <c r="D12">
        <v>0</v>
      </c>
      <c r="E12">
        <v>0</v>
      </c>
      <c r="F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0" x14ac:dyDescent="0.2">
      <c r="A13" t="s">
        <v>177</v>
      </c>
      <c r="B13" t="s">
        <v>187</v>
      </c>
      <c r="C13">
        <v>0.03</v>
      </c>
      <c r="D13">
        <v>0</v>
      </c>
      <c r="E13">
        <v>0</v>
      </c>
      <c r="F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0" x14ac:dyDescent="0.2">
      <c r="A14" t="s">
        <v>177</v>
      </c>
      <c r="B14" t="s">
        <v>188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0" x14ac:dyDescent="0.2">
      <c r="A15" t="s">
        <v>177</v>
      </c>
      <c r="B15" t="s">
        <v>189</v>
      </c>
      <c r="C15">
        <v>0.01</v>
      </c>
      <c r="D15">
        <v>0</v>
      </c>
      <c r="E15">
        <v>0</v>
      </c>
      <c r="F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0" x14ac:dyDescent="0.2">
      <c r="A16" t="s">
        <v>177</v>
      </c>
      <c r="B16" t="s">
        <v>190</v>
      </c>
      <c r="C16">
        <v>0.03</v>
      </c>
      <c r="D16">
        <v>0</v>
      </c>
      <c r="E16">
        <v>0</v>
      </c>
      <c r="F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177</v>
      </c>
      <c r="B17" t="s">
        <v>191</v>
      </c>
      <c r="C17">
        <v>0.01</v>
      </c>
      <c r="D17">
        <v>0</v>
      </c>
      <c r="E17">
        <v>0</v>
      </c>
      <c r="F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177</v>
      </c>
      <c r="B18" t="s">
        <v>192</v>
      </c>
      <c r="C18">
        <v>0.03</v>
      </c>
      <c r="D18">
        <v>0</v>
      </c>
      <c r="E18">
        <v>0</v>
      </c>
      <c r="F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177</v>
      </c>
      <c r="B19" t="s">
        <v>270</v>
      </c>
      <c r="C19">
        <v>0.41</v>
      </c>
      <c r="D19">
        <v>0</v>
      </c>
      <c r="E19">
        <v>8</v>
      </c>
      <c r="F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195</v>
      </c>
      <c r="B20" t="s">
        <v>196</v>
      </c>
      <c r="C20">
        <v>6.14</v>
      </c>
      <c r="D20">
        <v>6</v>
      </c>
      <c r="E20">
        <v>2</v>
      </c>
      <c r="F20">
        <v>8.5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197</v>
      </c>
      <c r="B21" t="s">
        <v>198</v>
      </c>
      <c r="C21">
        <v>0.02</v>
      </c>
      <c r="D21">
        <v>0</v>
      </c>
      <c r="E21">
        <v>0</v>
      </c>
      <c r="F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197</v>
      </c>
      <c r="B22" t="s">
        <v>199</v>
      </c>
      <c r="C22">
        <v>0.2</v>
      </c>
      <c r="D22">
        <v>0</v>
      </c>
      <c r="E22">
        <v>4</v>
      </c>
      <c r="F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197</v>
      </c>
      <c r="B23" t="s">
        <v>200</v>
      </c>
      <c r="C23">
        <v>0.05</v>
      </c>
      <c r="D23">
        <v>0</v>
      </c>
      <c r="E23">
        <v>1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197</v>
      </c>
      <c r="B24" t="s">
        <v>201</v>
      </c>
      <c r="C24">
        <v>0.04</v>
      </c>
      <c r="D24">
        <v>0</v>
      </c>
      <c r="E24">
        <v>0</v>
      </c>
      <c r="F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197</v>
      </c>
      <c r="B25" t="s">
        <v>202</v>
      </c>
      <c r="C25">
        <v>0.03</v>
      </c>
      <c r="D25">
        <v>0</v>
      </c>
      <c r="E25">
        <v>0</v>
      </c>
      <c r="F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197</v>
      </c>
      <c r="B26" t="s">
        <v>203</v>
      </c>
      <c r="C26">
        <v>0.35</v>
      </c>
      <c r="D26">
        <v>0</v>
      </c>
      <c r="E26">
        <v>6</v>
      </c>
      <c r="F26">
        <v>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204</v>
      </c>
      <c r="B27" t="s">
        <v>205</v>
      </c>
      <c r="C27">
        <v>0.01</v>
      </c>
      <c r="D27">
        <v>0</v>
      </c>
      <c r="E27">
        <v>0</v>
      </c>
      <c r="F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204</v>
      </c>
      <c r="B28" t="s">
        <v>206</v>
      </c>
      <c r="C28">
        <v>0.01</v>
      </c>
      <c r="D28">
        <v>0</v>
      </c>
      <c r="E28">
        <v>0</v>
      </c>
      <c r="F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204</v>
      </c>
      <c r="B29" t="s">
        <v>207</v>
      </c>
      <c r="C29">
        <v>0.01</v>
      </c>
      <c r="D29">
        <v>0</v>
      </c>
      <c r="E29">
        <v>0</v>
      </c>
      <c r="F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204</v>
      </c>
      <c r="B30" t="s">
        <v>208</v>
      </c>
      <c r="C30">
        <v>0.01</v>
      </c>
      <c r="D30">
        <v>0</v>
      </c>
      <c r="E30">
        <v>0</v>
      </c>
      <c r="F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204</v>
      </c>
      <c r="B31" t="s">
        <v>209</v>
      </c>
      <c r="C31">
        <v>0.01</v>
      </c>
      <c r="D31">
        <v>0</v>
      </c>
      <c r="E31">
        <v>0</v>
      </c>
      <c r="F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204</v>
      </c>
      <c r="B32" t="s">
        <v>210</v>
      </c>
      <c r="C32">
        <v>0.01</v>
      </c>
      <c r="D32">
        <v>0</v>
      </c>
      <c r="E32">
        <v>0</v>
      </c>
      <c r="F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204</v>
      </c>
      <c r="B33" t="s">
        <v>211</v>
      </c>
      <c r="C33">
        <v>0.01</v>
      </c>
      <c r="D33">
        <v>0</v>
      </c>
      <c r="E33">
        <v>0</v>
      </c>
      <c r="F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204</v>
      </c>
      <c r="B34" t="s">
        <v>212</v>
      </c>
      <c r="C34">
        <v>0.01</v>
      </c>
      <c r="D34">
        <v>0</v>
      </c>
      <c r="E34">
        <v>0</v>
      </c>
      <c r="F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204</v>
      </c>
      <c r="B35" t="s">
        <v>213</v>
      </c>
      <c r="C35">
        <v>0.01</v>
      </c>
      <c r="D35">
        <v>0</v>
      </c>
      <c r="E35">
        <v>0</v>
      </c>
      <c r="F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204</v>
      </c>
      <c r="B36" t="s">
        <v>214</v>
      </c>
      <c r="C36">
        <v>0.01</v>
      </c>
      <c r="D36">
        <v>0</v>
      </c>
      <c r="E36">
        <v>0</v>
      </c>
      <c r="F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204</v>
      </c>
      <c r="B37" t="s">
        <v>215</v>
      </c>
      <c r="C37">
        <v>0.01</v>
      </c>
      <c r="D37">
        <v>0</v>
      </c>
      <c r="E37">
        <v>0</v>
      </c>
      <c r="F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204</v>
      </c>
      <c r="B38" t="s">
        <v>216</v>
      </c>
      <c r="C38">
        <v>0.01</v>
      </c>
      <c r="D38">
        <v>0</v>
      </c>
      <c r="E38">
        <v>0</v>
      </c>
      <c r="F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204</v>
      </c>
      <c r="B39" t="s">
        <v>217</v>
      </c>
      <c r="C39">
        <v>0.01</v>
      </c>
      <c r="D39">
        <v>0</v>
      </c>
      <c r="E39">
        <v>0</v>
      </c>
      <c r="F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204</v>
      </c>
      <c r="B40" t="s">
        <v>218</v>
      </c>
      <c r="C40">
        <v>0.01</v>
      </c>
      <c r="D40">
        <v>0</v>
      </c>
      <c r="E40">
        <v>0</v>
      </c>
      <c r="F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204</v>
      </c>
      <c r="B41" t="s">
        <v>219</v>
      </c>
      <c r="C41">
        <v>0.01</v>
      </c>
      <c r="D41">
        <v>0</v>
      </c>
      <c r="E41">
        <v>0</v>
      </c>
      <c r="F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204</v>
      </c>
      <c r="B42" t="s">
        <v>220</v>
      </c>
      <c r="C42">
        <v>0.03</v>
      </c>
      <c r="D42">
        <v>0</v>
      </c>
      <c r="E42">
        <v>0</v>
      </c>
      <c r="F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204</v>
      </c>
      <c r="B43" t="s">
        <v>221</v>
      </c>
      <c r="C43">
        <v>0.03</v>
      </c>
      <c r="D43">
        <v>0</v>
      </c>
      <c r="E43">
        <v>0</v>
      </c>
      <c r="F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204</v>
      </c>
      <c r="B44" t="s">
        <v>222</v>
      </c>
      <c r="C44">
        <v>0.03</v>
      </c>
      <c r="D44">
        <v>0</v>
      </c>
      <c r="E44">
        <v>0</v>
      </c>
      <c r="F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204</v>
      </c>
      <c r="B45" t="s">
        <v>223</v>
      </c>
      <c r="C45">
        <v>0.03</v>
      </c>
      <c r="D45">
        <v>0</v>
      </c>
      <c r="E45">
        <v>0</v>
      </c>
      <c r="F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204</v>
      </c>
      <c r="B46" t="s">
        <v>224</v>
      </c>
      <c r="C46">
        <v>0.03</v>
      </c>
      <c r="D46">
        <v>0</v>
      </c>
      <c r="E46">
        <v>0</v>
      </c>
      <c r="F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204</v>
      </c>
      <c r="B47" t="s">
        <v>225</v>
      </c>
      <c r="C47">
        <v>0.03</v>
      </c>
      <c r="D47">
        <v>0</v>
      </c>
      <c r="E47">
        <v>0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204</v>
      </c>
      <c r="B48" t="s">
        <v>226</v>
      </c>
      <c r="C48">
        <v>0.03</v>
      </c>
      <c r="D48">
        <v>0</v>
      </c>
      <c r="E48">
        <v>0</v>
      </c>
      <c r="F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204</v>
      </c>
      <c r="B49" t="s">
        <v>227</v>
      </c>
      <c r="C49">
        <v>0.03</v>
      </c>
      <c r="D49">
        <v>0</v>
      </c>
      <c r="E49">
        <v>0</v>
      </c>
      <c r="F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204</v>
      </c>
      <c r="B50" t="s">
        <v>228</v>
      </c>
      <c r="C50">
        <v>0.03</v>
      </c>
      <c r="D50">
        <v>0</v>
      </c>
      <c r="E50">
        <v>0</v>
      </c>
      <c r="F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204</v>
      </c>
      <c r="B51" t="s">
        <v>229</v>
      </c>
      <c r="C51">
        <v>0.41</v>
      </c>
      <c r="D51">
        <v>0</v>
      </c>
      <c r="E51">
        <v>8</v>
      </c>
      <c r="F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271</v>
      </c>
      <c r="B52" t="s">
        <v>272</v>
      </c>
      <c r="C52">
        <v>0.76</v>
      </c>
      <c r="D52">
        <v>0</v>
      </c>
      <c r="E52">
        <v>15</v>
      </c>
      <c r="F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230</v>
      </c>
      <c r="B53" t="s">
        <v>231</v>
      </c>
      <c r="C53">
        <v>6.89</v>
      </c>
      <c r="D53">
        <v>6</v>
      </c>
      <c r="E53">
        <v>17</v>
      </c>
      <c r="F53">
        <v>10.5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233</v>
      </c>
      <c r="B54" t="s">
        <v>234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233</v>
      </c>
      <c r="B55" t="s">
        <v>235</v>
      </c>
      <c r="C55">
        <v>5</v>
      </c>
      <c r="D55">
        <v>5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236</v>
      </c>
      <c r="B56" t="s">
        <v>237</v>
      </c>
      <c r="C56">
        <v>1.89</v>
      </c>
      <c r="D56">
        <v>1</v>
      </c>
      <c r="E56">
        <v>17</v>
      </c>
      <c r="F56">
        <v>10.5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Gosport Overview - Completed</vt:lpstr>
      <vt:lpstr>Labour Rents</vt:lpstr>
      <vt:lpstr>Overview</vt:lpstr>
      <vt:lpstr>Receipts</vt:lpstr>
      <vt:lpstr>Expenses</vt:lpstr>
      <vt:lpstr>Issues of the Grange</vt:lpstr>
      <vt:lpstr>Issues of the Mills</vt:lpstr>
      <vt:lpstr>Stock</vt:lpstr>
      <vt:lpstr>Prices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2024-09-06T15:22:17Z</dcterms:created>
  <dcterms:modified xsi:type="dcterms:W3CDTF">2026-01-09T11:52:10Z</dcterms:modified>
</cp:coreProperties>
</file>
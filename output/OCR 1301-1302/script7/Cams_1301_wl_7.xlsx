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Cams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Issues of the Grange raw" sheetId="10" state="visible" r:id="rId10"/>
    <sheet xmlns:r="http://schemas.openxmlformats.org/officeDocument/2006/relationships" name="Sale of Corn Prices" sheetId="11" state="visible" r:id="rId11"/>
    <sheet xmlns:r="http://schemas.openxmlformats.org/officeDocument/2006/relationships" name="raw data"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
      <name val="Calibri"/>
      <family val="2"/>
      <color rgb="FFFF0000"/>
      <sz val="11"/>
      <scheme val="minor"/>
    </font>
    <font>
      <name val="Calibri"/>
      <family val="2"/>
      <b val="1"/>
      <color rgb="FF000000"/>
      <sz val="11"/>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48">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pivotButton="0" quotePrefix="0" xfId="0"/>
    <xf numFmtId="2" fontId="0" fillId="5" borderId="0" pivotButton="0" quotePrefix="0" xfId="0"/>
    <xf numFmtId="0" fontId="20" fillId="5" borderId="0" pivotButton="0" quotePrefix="0" xfId="0"/>
    <xf numFmtId="0" fontId="0" fillId="0" borderId="17" pivotButton="0" quotePrefix="0" xfId="0"/>
    <xf numFmtId="2" fontId="0" fillId="0" borderId="18" pivotButton="0" quotePrefix="0" xfId="0"/>
    <xf numFmtId="0" fontId="0" fillId="0" borderId="18" pivotButton="0" quotePrefix="0" xfId="0"/>
    <xf numFmtId="10" fontId="0" fillId="0" borderId="18" pivotButton="0" quotePrefix="0" xfId="0"/>
    <xf numFmtId="0" fontId="0" fillId="0" borderId="19" pivotButton="0" quotePrefix="0" xfId="0"/>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2" fontId="29"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20" fillId="0" borderId="0" applyAlignment="1" pivotButton="0" quotePrefix="0" xfId="0">
      <alignment horizontal="right" wrapText="1"/>
    </xf>
    <xf numFmtId="0" fontId="20" fillId="0" borderId="0" applyAlignment="1" pivotButton="0" quotePrefix="0" xfId="0">
      <alignment wrapText="1"/>
    </xf>
    <xf numFmtId="0" fontId="30"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2" fontId="9" fillId="0" borderId="0" applyAlignment="1" pivotButton="0" quotePrefix="0" xfId="0">
      <alignment horizontal="righ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3"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CAMS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0.68</v>
      </c>
      <c r="D4" s="13" t="n"/>
      <c r="E4" s="13" t="n"/>
    </row>
    <row r="5">
      <c r="A5" s="15" t="inlineStr">
        <is>
          <t>Rents of assize total</t>
        </is>
      </c>
      <c r="B5" s="76" t="n">
        <v>3.514791666666667</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6.661041666666667</v>
      </c>
    </row>
    <row r="16">
      <c r="A16" s="76" t="inlineStr">
        <is>
          <t>Issues of the tenements in the lord's hands total</t>
        </is>
      </c>
      <c r="B16" s="76" t="n"/>
    </row>
    <row r="17">
      <c r="A17" s="76" t="inlineStr">
        <is>
          <t>Sale of labour services total</t>
        </is>
      </c>
      <c r="B17" s="76" t="n"/>
    </row>
    <row r="18">
      <c r="A18" s="15" t="inlineStr">
        <is>
          <t>Sale of corn total</t>
        </is>
      </c>
      <c r="B18" s="76" t="n">
        <v>24.71</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v>35.85</v>
      </c>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2.645</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1.755625</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15.63</v>
      </c>
    </row>
    <row r="45">
      <c r="A45" s="82" t="inlineStr">
        <is>
          <t>Total of all expenses (calculated here)</t>
        </is>
      </c>
      <c r="B45" s="84" t="n">
        <v>15.66604166666667</v>
      </c>
    </row>
    <row r="46">
      <c r="A46" s="82" t="inlineStr">
        <is>
          <t>Total fixed investment</t>
        </is>
      </c>
      <c r="B46" s="84" t="n">
        <v>2.105416666666667</v>
      </c>
    </row>
    <row r="47">
      <c r="A47" s="82" t="inlineStr">
        <is>
          <t>Total Demesne fixed investment</t>
        </is>
      </c>
      <c r="B47" s="84" t="n">
        <v>1.465416666666667</v>
      </c>
    </row>
    <row r="48">
      <c r="A48" s="12" t="n"/>
    </row>
    <row r="49">
      <c r="A49" s="18" t="inlineStr">
        <is>
          <t>Owed by the reeve</t>
        </is>
      </c>
      <c r="B49" s="84">
        <f>B23-B45</f>
        <v/>
      </c>
    </row>
    <row r="50">
      <c r="A50" s="18" t="inlineStr">
        <is>
          <t>From accounts</t>
        </is>
      </c>
      <c r="B50" s="84" t="n">
        <v>15.63</v>
      </c>
    </row>
    <row r="51">
      <c r="A51" s="15" t="n"/>
    </row>
    <row r="52">
      <c r="A52" s="18" t="inlineStr">
        <is>
          <t>Allowances</t>
        </is>
      </c>
      <c r="B52" s="84" t="n"/>
    </row>
    <row r="53">
      <c r="A53" s="18" t="inlineStr">
        <is>
          <t>Cash deliveries</t>
        </is>
      </c>
      <c r="B53" s="84" t="n">
        <v>16</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93.6875</v>
      </c>
      <c r="E62" t="n">
        <v>16.75322679153095</v>
      </c>
      <c r="F62" s="13" t="n"/>
    </row>
    <row r="63">
      <c r="A63" s="76" t="inlineStr">
        <is>
          <t>Rye</t>
        </is>
      </c>
      <c r="F63" s="13" t="n"/>
    </row>
    <row r="64">
      <c r="A64" s="76" t="inlineStr">
        <is>
          <t>Dredge</t>
        </is>
      </c>
      <c r="B64" t="n">
        <v>8.1875</v>
      </c>
      <c r="F64" s="13" t="n"/>
    </row>
    <row r="65">
      <c r="A65" s="76" t="inlineStr">
        <is>
          <t>Curall</t>
        </is>
      </c>
      <c r="B65" t="n">
        <v>10.625</v>
      </c>
      <c r="E65" t="n">
        <v>0.9479166666666667</v>
      </c>
      <c r="F65" s="13" t="n"/>
    </row>
    <row r="66">
      <c r="A66" s="76" t="inlineStr">
        <is>
          <t>Barley</t>
        </is>
      </c>
      <c r="B66" t="n">
        <v>39.625</v>
      </c>
      <c r="E66" t="n">
        <v>0.7250000000000001</v>
      </c>
      <c r="F66" s="13" t="n"/>
    </row>
    <row r="67">
      <c r="A67" s="76" t="inlineStr">
        <is>
          <t>Oats</t>
        </is>
      </c>
      <c r="B67" t="n">
        <v>93.875</v>
      </c>
      <c r="E67" t="n">
        <v>3.475</v>
      </c>
      <c r="F67" s="13" t="n"/>
    </row>
    <row r="68">
      <c r="A68" s="76" t="inlineStr">
        <is>
          <t>Beans</t>
        </is>
      </c>
      <c r="F68" s="13" t="n"/>
    </row>
    <row r="69">
      <c r="A69" s="76" t="inlineStr">
        <is>
          <t>Peas</t>
        </is>
      </c>
      <c r="B69" t="n">
        <v>14.4375</v>
      </c>
      <c r="E69" t="n">
        <v>0.7604166666666664</v>
      </c>
      <c r="F69" s="13" t="n"/>
    </row>
    <row r="70">
      <c r="A70" s="76" t="inlineStr">
        <is>
          <t>Vetches</t>
        </is>
      </c>
      <c r="B70" t="n">
        <v>19.25</v>
      </c>
      <c r="E70" t="n">
        <v>0.375</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4</v>
      </c>
      <c r="C87" s="76" t="n">
        <v>3</v>
      </c>
      <c r="D87" s="76" t="n">
        <v>-1</v>
      </c>
      <c r="F87" s="84">
        <f>'Stock'!K5*'Stock'!O5</f>
        <v/>
      </c>
      <c r="G87" s="84">
        <f>D87*'Stock'!O5</f>
        <v/>
      </c>
    </row>
    <row r="88">
      <c r="A88" s="22" t="inlineStr">
        <is>
          <t>Mares</t>
        </is>
      </c>
      <c r="B88" s="76" t="n">
        <v>2</v>
      </c>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20</v>
      </c>
      <c r="C94" s="76" t="n">
        <v>20</v>
      </c>
      <c r="D94" s="76" t="n">
        <v>0</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v>86</v>
      </c>
      <c r="C101" s="76" t="n">
        <v>105</v>
      </c>
      <c r="D101" s="76" t="n">
        <v>19</v>
      </c>
      <c r="F101" s="84">
        <f>'Stock'!K19*'Stock'!O19</f>
        <v/>
      </c>
      <c r="G101" s="84">
        <f>D101*'Stock'!O19</f>
        <v/>
      </c>
    </row>
    <row r="102">
      <c r="A102" s="15" t="inlineStr">
        <is>
          <t>Rams</t>
        </is>
      </c>
      <c r="B102" s="76" t="n">
        <v>71</v>
      </c>
      <c r="C102" s="76" t="n">
        <v>84</v>
      </c>
      <c r="D102" s="76" t="n">
        <v>13</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v>58</v>
      </c>
      <c r="C104" s="76" t="n">
        <v>0</v>
      </c>
      <c r="D104" s="76" t="n">
        <v>-58</v>
      </c>
      <c r="F104" s="84">
        <f>'Stock'!K22*'Stock'!O22</f>
        <v/>
      </c>
      <c r="G104" s="84">
        <f>D104*'Stock'!O22</f>
        <v/>
      </c>
    </row>
    <row r="105">
      <c r="A105" s="15" t="inlineStr">
        <is>
          <t>Lambs</t>
        </is>
      </c>
      <c r="B105" s="76" t="n">
        <v>58</v>
      </c>
      <c r="C105" s="76" t="n">
        <v>48</v>
      </c>
      <c r="D105" s="76" t="n">
        <v>-10</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v>8</v>
      </c>
      <c r="C108" s="76" t="n">
        <v>0</v>
      </c>
      <c r="D108" s="76" t="n">
        <v>-8</v>
      </c>
      <c r="F108" s="84">
        <f>'Stock'!K26*'Stock'!O26</f>
        <v/>
      </c>
      <c r="G108" s="84">
        <f>D108*'Stock'!O26</f>
        <v/>
      </c>
    </row>
    <row r="109">
      <c r="A109" s="15" t="inlineStr">
        <is>
          <t>Hoggets</t>
        </is>
      </c>
      <c r="B109" s="76" t="n"/>
      <c r="C109" s="76" t="n"/>
      <c r="D109" s="76">
        <f>C109-B109</f>
        <v/>
      </c>
      <c r="F109" s="84">
        <f>'Stock'!K28*'Stock'!O28</f>
        <v/>
      </c>
      <c r="G109" s="84">
        <f>D109*'Stock'!O28</f>
        <v/>
      </c>
    </row>
    <row r="110">
      <c r="A110" s="15" t="inlineStr">
        <is>
          <t>Piglets</t>
        </is>
      </c>
      <c r="B110" s="76" t="n">
        <v>6</v>
      </c>
      <c r="C110" s="76" t="n"/>
      <c r="D110" s="76">
        <f>C110-B110</f>
        <v/>
      </c>
      <c r="F110" s="84">
        <f>'Stock'!K29*'Stock'!O29</f>
        <v/>
      </c>
      <c r="G110" s="84">
        <f>D110*'Stock'!O29</f>
        <v/>
      </c>
    </row>
    <row r="111">
      <c r="A111" s="15" t="inlineStr">
        <is>
          <t>Swans</t>
        </is>
      </c>
      <c r="B111" s="76" t="n"/>
      <c r="C111" s="76" t="n"/>
      <c r="D111" s="76">
        <f>C111-B111</f>
        <v/>
      </c>
      <c r="F111" s="84">
        <f>'Stock'!K30*'Stock'!O30</f>
        <v/>
      </c>
      <c r="G111" s="84">
        <f>D111*'Stock'!O30</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D119" t="n">
        <v>190</v>
      </c>
      <c r="F119">
        <f>C119*'Stock'!O36</f>
        <v/>
      </c>
    </row>
    <row r="120">
      <c r="A120" s="15" t="inlineStr">
        <is>
          <t>Lamb's wool</t>
        </is>
      </c>
      <c r="D120" t="n">
        <v>49</v>
      </c>
      <c r="F120">
        <f>C120*'Stock'!O37</f>
        <v/>
      </c>
    </row>
    <row r="121">
      <c r="A121" s="15" t="inlineStr">
        <is>
          <t>Wool locks</t>
        </is>
      </c>
      <c r="F121">
        <f>C121*'Stock'!O38</f>
        <v/>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C151*'Stock'!O68</f>
        <v/>
      </c>
      <c r="G151" s="96" t="n"/>
    </row>
    <row r="152">
      <c r="A152" s="15" t="inlineStr">
        <is>
          <t>Geese</t>
        </is>
      </c>
      <c r="B152" s="76" t="n">
        <v>0</v>
      </c>
      <c r="C152" s="76" t="n">
        <v>0</v>
      </c>
      <c r="D152" s="76" t="n">
        <v>0</v>
      </c>
      <c r="F152" s="76">
        <f>C152*'Stock'!O69</f>
        <v/>
      </c>
    </row>
    <row r="153">
      <c r="A153" s="15" t="inlineStr">
        <is>
          <t>Capons (from chickens)</t>
        </is>
      </c>
      <c r="B153" s="76" t="n">
        <v>0</v>
      </c>
      <c r="C153" s="76" t="n">
        <v>0</v>
      </c>
      <c r="D153" s="76" t="n">
        <v>0</v>
      </c>
      <c r="F153" s="76">
        <f>C153*'Stock'!O70</f>
        <v/>
      </c>
    </row>
    <row r="154">
      <c r="A154" s="15" t="inlineStr">
        <is>
          <t>Cocks &amp; hens</t>
        </is>
      </c>
      <c r="B154" s="76" t="n">
        <v>0</v>
      </c>
      <c r="C154" s="76" t="n">
        <v>0</v>
      </c>
      <c r="D154" s="76" t="n">
        <v>0</v>
      </c>
      <c r="F154" s="76">
        <f>C154*'Stock'!O71</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f>C159*'Stock'!O76</f>
        <v/>
      </c>
      <c r="G159" s="116" t="n"/>
    </row>
    <row r="160">
      <c r="A160" s="15" t="inlineStr">
        <is>
          <t>Cocks &amp; hens from churchscot of customary tenants</t>
        </is>
      </c>
      <c r="B160" t="n">
        <v>0</v>
      </c>
      <c r="C160" t="n">
        <v>0</v>
      </c>
      <c r="D160" t="n">
        <v>0</v>
      </c>
      <c r="F160">
        <f>C160*'Stock'!O77</f>
        <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C166*'Stock'!O93</f>
        <v/>
      </c>
      <c r="G166" s="116" t="n"/>
    </row>
    <row r="167">
      <c r="A167" s="15" t="inlineStr">
        <is>
          <t>Winter Cheese</t>
        </is>
      </c>
      <c r="B167" t="n">
        <v>0</v>
      </c>
      <c r="C167" t="n">
        <v>0</v>
      </c>
      <c r="D167" t="n">
        <v>0</v>
      </c>
      <c r="F167">
        <f>C167*'Stock'!O89</f>
        <v/>
      </c>
    </row>
    <row r="168">
      <c r="A168" s="15" t="inlineStr">
        <is>
          <t>Summer Cheese</t>
        </is>
      </c>
      <c r="B168" t="n">
        <v>0</v>
      </c>
      <c r="C168" t="n">
        <v>0</v>
      </c>
      <c r="D168" t="n">
        <v>0</v>
      </c>
      <c r="F168">
        <f>C168*'Stock'!O90</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1"/>
  <sheetViews>
    <sheetView topLeftCell="A1" workbookViewId="0">
      <selection activeCell="A1" sqref="A1"/>
    </sheetView>
  </sheetViews>
  <sheetFormatPr baseColWidth="8" defaultRowHeight="15"/>
  <cols>
    <col width="80" customWidth="1" min="1" max="1"/>
    <col width="29.1640625" customWidth="1" min="2" max="2"/>
    <col width="30.83203125" customWidth="1" min="5" max="5"/>
    <col width="29.33203125" customWidth="1" min="6" max="6"/>
  </cols>
  <sheetData>
    <row r="1">
      <c r="A1" s="8" t="inlineStr">
        <is>
          <t>CAMS</t>
        </is>
      </c>
      <c r="B1" s="77" t="inlineStr">
        <is>
          <t>Total in £</t>
        </is>
      </c>
      <c r="C1" s="78" t="inlineStr">
        <is>
          <t>Error</t>
        </is>
      </c>
      <c r="D1" s="12" t="inlineStr">
        <is>
          <t>Note</t>
        </is>
      </c>
      <c r="E1" s="12" t="n"/>
    </row>
    <row r="2">
      <c r="A2" s="8" t="inlineStr">
        <is>
          <t>CASH ACCOUNT</t>
        </is>
      </c>
      <c r="C2" s="10" t="n"/>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c r="B23" s="72">
        <f>Receipts!F63</f>
        <v/>
      </c>
    </row>
    <row r="24">
      <c r="A24" s="82" t="inlineStr">
        <is>
          <t>Total of all receipts (calculated here) incl arrears</t>
        </is>
      </c>
      <c r="B24" s="72">
        <f>Receipts!F64</f>
        <v/>
      </c>
    </row>
    <row r="25">
      <c r="A25" s="83" t="inlineStr">
        <is>
          <t>Total recorded in the accounts excl. arrears</t>
        </is>
      </c>
      <c r="B25" s="72">
        <f>Receipts!F62</f>
        <v/>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c r="B44" s="72">
        <f>Expenses!F100</f>
        <v/>
      </c>
    </row>
    <row r="45">
      <c r="A45" s="82" t="inlineStr">
        <is>
          <t>Total of all expenses (calculated here)</t>
        </is>
      </c>
      <c r="B45" s="72">
        <f>Expenses!F101</f>
        <v/>
      </c>
    </row>
    <row r="46">
      <c r="A46" s="82" t="inlineStr">
        <is>
          <t>Total fixed investment</t>
        </is>
      </c>
      <c r="B46" s="72">
        <f>Expenses!F102</f>
        <v/>
      </c>
    </row>
    <row r="47">
      <c r="A47" s="82" t="inlineStr">
        <is>
          <t>Total Demesne fixed investment</t>
        </is>
      </c>
      <c r="B47" s="72">
        <f>Expenses!F103</f>
        <v/>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c r="B60" s="120" t="inlineStr">
        <is>
          <t>Total Production</t>
        </is>
      </c>
      <c r="D60" s="54" t="n"/>
      <c r="E60" s="54" t="n"/>
      <c r="F60" s="55" t="n"/>
    </row>
    <row r="61">
      <c r="A61" s="8" t="inlineStr">
        <is>
          <t>Grange</t>
        </is>
      </c>
      <c r="B61" s="89" t="inlineStr">
        <is>
          <t>qrs</t>
        </is>
      </c>
      <c r="C61" s="90" t="n"/>
      <c r="D61" s="9" t="n"/>
      <c r="E61" s="127" t="inlineStr">
        <is>
          <t>Value of total gross production in £</t>
        </is>
      </c>
      <c r="F61" s="127" t="inlineStr">
        <is>
          <t>Value of total net production in £</t>
        </is>
      </c>
    </row>
    <row r="62" ht="15" customHeight="1">
      <c r="A62" t="inlineStr">
        <is>
          <t>wheat</t>
        </is>
      </c>
      <c r="B62">
        <f>'Issues of the Grange'!B2</f>
        <v/>
      </c>
      <c r="E62" s="72">
        <f>'Issues of the Grange'!I2</f>
        <v/>
      </c>
      <c r="F62" s="72">
        <f>'Issues of the Grange'!O14</f>
        <v/>
      </c>
    </row>
    <row r="63" ht="15" customHeight="1">
      <c r="A63" t="inlineStr">
        <is>
          <t>curall</t>
        </is>
      </c>
      <c r="B63">
        <f>'Issues of the Grange'!B3</f>
        <v/>
      </c>
      <c r="E63" s="72">
        <f>'Issues of the Grange'!I3</f>
        <v/>
      </c>
      <c r="F63" s="72">
        <f>'Issues of the Grange'!O15</f>
        <v/>
      </c>
    </row>
    <row r="64" ht="15" customHeight="1">
      <c r="A64" t="inlineStr">
        <is>
          <t>barley</t>
        </is>
      </c>
      <c r="B64">
        <f>'Issues of the Grange'!B4</f>
        <v/>
      </c>
      <c r="E64" s="72">
        <f>'Issues of the Grange'!I4</f>
        <v/>
      </c>
      <c r="F64" s="72">
        <f>'Issues of the Grange'!O16</f>
        <v/>
      </c>
    </row>
    <row r="65" ht="15" customHeight="1">
      <c r="A65" t="inlineStr">
        <is>
          <t>dredge</t>
        </is>
      </c>
      <c r="B65">
        <f>'Issues of the Grange'!B5</f>
        <v/>
      </c>
      <c r="E65" s="72">
        <f>'Issues of the Grange'!I5</f>
        <v/>
      </c>
      <c r="F65" s="72">
        <f>'Issues of the Grange'!O17</f>
        <v/>
      </c>
    </row>
    <row r="66" ht="15" customHeight="1">
      <c r="A66" t="inlineStr">
        <is>
          <t>oats</t>
        </is>
      </c>
      <c r="B66">
        <f>'Issues of the Grange'!B6</f>
        <v/>
      </c>
      <c r="E66" s="72">
        <f>'Issues of the Grange'!I6</f>
        <v/>
      </c>
      <c r="F66" s="72">
        <f>'Issues of the Grange'!O18</f>
        <v/>
      </c>
    </row>
    <row r="67" ht="15" customHeight="1">
      <c r="A67" t="inlineStr">
        <is>
          <t>peas</t>
        </is>
      </c>
      <c r="B67">
        <f>'Issues of the Grange'!B7</f>
        <v/>
      </c>
      <c r="E67" s="72">
        <f>'Issues of the Grange'!I7</f>
        <v/>
      </c>
      <c r="F67" s="72">
        <f>'Issues of the Grange'!O19</f>
        <v/>
      </c>
    </row>
    <row r="68" ht="15" customHeight="1">
      <c r="A68" t="inlineStr">
        <is>
          <t>vetches</t>
        </is>
      </c>
      <c r="B68">
        <f>'Issues of the Grange'!B8</f>
        <v/>
      </c>
      <c r="E68" s="72">
        <f>'Issues of the Grange'!I8</f>
        <v/>
      </c>
      <c r="F68" s="72">
        <f>'Issues of the Grange'!O20</f>
        <v/>
      </c>
    </row>
    <row r="69">
      <c r="A69" s="17" t="inlineStr">
        <is>
          <t>Total value of gross production (sum of the above)</t>
        </is>
      </c>
      <c r="B69" s="70" t="n"/>
      <c r="C69" s="70" t="n"/>
      <c r="D69" s="70" t="n"/>
      <c r="E69" s="128">
        <f>SUM(E62:E68)</f>
        <v/>
      </c>
      <c r="F69" s="70" t="n"/>
    </row>
    <row r="70">
      <c r="A70" s="17" t="inlineStr">
        <is>
          <t>Total value of net production</t>
        </is>
      </c>
      <c r="B70" s="70" t="n"/>
      <c r="C70" s="70" t="n"/>
      <c r="D70" s="70" t="n"/>
      <c r="E70" s="128">
        <f>SUM(F62:F68)</f>
        <v/>
      </c>
      <c r="F70" s="70" t="n"/>
    </row>
    <row r="71">
      <c r="A71" s="17" t="inlineStr">
        <is>
          <t>Value of sales</t>
        </is>
      </c>
      <c r="B71" s="70" t="n"/>
      <c r="C71" s="70" t="n"/>
      <c r="D71" s="70" t="n"/>
      <c r="E71" s="128">
        <f>Receipts!F56</f>
        <v/>
      </c>
      <c r="F71" s="70" t="n"/>
    </row>
    <row r="72">
      <c r="A72" s="15" t="n"/>
    </row>
    <row r="73">
      <c r="A73" s="16" t="inlineStr">
        <is>
          <t>MILL ACCOUNT</t>
        </is>
      </c>
    </row>
    <row r="74">
      <c r="A74" s="8" t="inlineStr">
        <is>
          <t>Issues of the mill</t>
        </is>
      </c>
    </row>
    <row r="75">
      <c r="A75" s="15" t="inlineStr">
        <is>
          <t>Wheat</t>
        </is>
      </c>
    </row>
    <row r="76">
      <c r="A76" s="15" t="inlineStr">
        <is>
          <t>Oatmeal</t>
        </is>
      </c>
    </row>
    <row r="77">
      <c r="A77" s="15" t="inlineStr">
        <is>
          <t>1st grade malt</t>
        </is>
      </c>
    </row>
    <row r="78">
      <c r="A78" s="15" t="inlineStr">
        <is>
          <t>2nd grade malt</t>
        </is>
      </c>
    </row>
    <row r="79">
      <c r="A79" s="15" t="inlineStr">
        <is>
          <t>Maslin</t>
        </is>
      </c>
    </row>
    <row r="80">
      <c r="A80" s="17" t="inlineStr">
        <is>
          <t>Total value of production (sum of the above)</t>
        </is>
      </c>
    </row>
    <row r="81">
      <c r="A81" s="17" t="inlineStr">
        <is>
          <t>Value of sales</t>
        </is>
      </c>
    </row>
    <row r="82">
      <c r="A82" s="15" t="n"/>
    </row>
    <row r="83">
      <c r="A83" s="92" t="inlineStr">
        <is>
          <t>STOCK ACCOUNT</t>
        </is>
      </c>
      <c r="B83" s="70" t="n"/>
    </row>
    <row r="84">
      <c r="A84" s="21" t="inlineStr">
        <is>
          <t>Livestock</t>
        </is>
      </c>
      <c r="B84" s="129" t="inlineStr">
        <is>
          <t>Sales value in £</t>
        </is>
      </c>
    </row>
    <row r="85" ht="17" customHeight="1">
      <c r="A85" s="22" t="inlineStr">
        <is>
          <t>Cart-horses</t>
        </is>
      </c>
      <c r="B85" s="72">
        <f>Stock!R5</f>
        <v/>
      </c>
    </row>
    <row r="86" ht="17" customHeight="1">
      <c r="A86" s="22" t="inlineStr">
        <is>
          <t>Mares</t>
        </is>
      </c>
      <c r="B86" s="72">
        <f>Stock!R6</f>
        <v/>
      </c>
    </row>
    <row r="87">
      <c r="A87" s="15" t="inlineStr">
        <is>
          <t>Plough horses</t>
        </is>
      </c>
      <c r="B87" s="72">
        <f>Stock!R7</f>
        <v/>
      </c>
    </row>
    <row r="88">
      <c r="A88" s="15" t="inlineStr">
        <is>
          <t>Colts (2 years)</t>
        </is>
      </c>
      <c r="B88" s="72">
        <f>Stock!R8</f>
        <v/>
      </c>
    </row>
    <row r="89">
      <c r="A89" s="15" t="inlineStr">
        <is>
          <t>Colts (2 years)</t>
        </is>
      </c>
      <c r="B89" s="72">
        <f>Stock!R9</f>
        <v/>
      </c>
    </row>
    <row r="90">
      <c r="A90" s="15" t="inlineStr">
        <is>
          <t>Colts (1 year)</t>
        </is>
      </c>
      <c r="B90" s="72">
        <f>Stock!R10</f>
        <v/>
      </c>
    </row>
    <row r="91">
      <c r="A91" s="15" t="inlineStr">
        <is>
          <t>Foals</t>
        </is>
      </c>
      <c r="B91" s="72">
        <f>Stock!R11</f>
        <v/>
      </c>
    </row>
    <row r="92">
      <c r="A92" s="15" t="inlineStr">
        <is>
          <t>Oxen</t>
        </is>
      </c>
      <c r="B92" s="72">
        <f>Stock!R12</f>
        <v/>
      </c>
    </row>
    <row r="93">
      <c r="A93" s="15" t="inlineStr">
        <is>
          <t>Bulls</t>
        </is>
      </c>
      <c r="B93" s="72">
        <f>Stock!R13</f>
        <v/>
      </c>
    </row>
    <row r="94">
      <c r="A94" s="15" t="inlineStr">
        <is>
          <t>Cows</t>
        </is>
      </c>
      <c r="B94" s="72">
        <f>Stock!R14</f>
        <v/>
      </c>
    </row>
    <row r="95">
      <c r="A95" s="15" t="inlineStr">
        <is>
          <t>Steers</t>
        </is>
      </c>
      <c r="B95" s="72">
        <f>Stock!R15</f>
        <v/>
      </c>
    </row>
    <row r="96">
      <c r="A96" s="15" t="inlineStr">
        <is>
          <t>Bullocks</t>
        </is>
      </c>
      <c r="B96" s="72">
        <f>Stock!R16</f>
        <v/>
      </c>
    </row>
    <row r="97">
      <c r="A97" s="15" t="inlineStr">
        <is>
          <t>Yearlings</t>
        </is>
      </c>
      <c r="B97" s="72">
        <f>Stock!R17</f>
        <v/>
      </c>
    </row>
    <row r="98">
      <c r="A98" s="15" t="inlineStr">
        <is>
          <t>Calves</t>
        </is>
      </c>
      <c r="B98" s="72">
        <f>Stock!R18</f>
        <v/>
      </c>
    </row>
    <row r="99">
      <c r="A99" s="15" t="inlineStr">
        <is>
          <t>Wethers</t>
        </is>
      </c>
      <c r="B99" s="72">
        <f>Stock!R19</f>
        <v/>
      </c>
    </row>
    <row r="100">
      <c r="A100" s="15" t="inlineStr">
        <is>
          <t>Rams</t>
        </is>
      </c>
      <c r="B100" s="72">
        <f>Stock!R20</f>
        <v/>
      </c>
    </row>
    <row r="101">
      <c r="A101" s="15" t="inlineStr">
        <is>
          <t>Ewes</t>
        </is>
      </c>
      <c r="B101" s="72">
        <f>Stock!R21</f>
        <v/>
      </c>
    </row>
    <row r="102">
      <c r="A102" s="15" t="inlineStr">
        <is>
          <t>Hoggs</t>
        </is>
      </c>
      <c r="B102" s="72">
        <f>Stock!R22</f>
        <v/>
      </c>
    </row>
    <row r="103">
      <c r="A103" s="15" t="inlineStr">
        <is>
          <t>Lambs</t>
        </is>
      </c>
      <c r="B103" s="72">
        <f>Stock!R23</f>
        <v/>
      </c>
    </row>
    <row r="104">
      <c r="A104" s="15" t="inlineStr">
        <is>
          <t>Boars</t>
        </is>
      </c>
      <c r="B104" s="72">
        <f>Stock!R24</f>
        <v/>
      </c>
    </row>
    <row r="105">
      <c r="A105" s="15" t="inlineStr">
        <is>
          <t>Sows</t>
        </is>
      </c>
      <c r="B105" s="72">
        <f>Stock!R25</f>
        <v/>
      </c>
    </row>
    <row r="106">
      <c r="A106" s="15" t="inlineStr">
        <is>
          <t>Pigs</t>
        </is>
      </c>
      <c r="B106" s="72">
        <f>Stock!R26</f>
        <v/>
      </c>
    </row>
    <row r="107">
      <c r="A107" s="15" t="inlineStr">
        <is>
          <t>Hoggets</t>
        </is>
      </c>
      <c r="B107" s="72">
        <f>Stock!R27</f>
        <v/>
      </c>
    </row>
    <row r="108">
      <c r="A108" s="15" t="inlineStr">
        <is>
          <t>Piglets</t>
        </is>
      </c>
      <c r="B108" s="72">
        <f>Stock!R28</f>
        <v/>
      </c>
    </row>
    <row r="109">
      <c r="A109" s="15" t="inlineStr">
        <is>
          <t>Swans</t>
        </is>
      </c>
      <c r="B109" s="72">
        <f>Stock!R29</f>
        <v/>
      </c>
    </row>
    <row r="110">
      <c r="A110" s="15" t="inlineStr">
        <is>
          <t>Peacocks</t>
        </is>
      </c>
      <c r="B110" s="72">
        <f>Stock!R30</f>
        <v/>
      </c>
    </row>
    <row r="111">
      <c r="A111" s="17" t="inlineStr">
        <is>
          <t>Total value of stock (sum of the above)</t>
        </is>
      </c>
      <c r="B111" s="70" t="n"/>
    </row>
    <row r="112">
      <c r="A112" s="17" t="inlineStr">
        <is>
          <t>Total value of production</t>
        </is>
      </c>
      <c r="B112" s="70" t="n"/>
    </row>
    <row r="113">
      <c r="A113" s="17" t="inlineStr">
        <is>
          <t>Value of sales</t>
        </is>
      </c>
      <c r="B113" s="128">
        <f>Stock!R32</f>
        <v/>
      </c>
    </row>
    <row r="114">
      <c r="A114" s="15" t="n"/>
    </row>
    <row r="115">
      <c r="A115" s="16" t="inlineStr">
        <is>
          <t>Wool</t>
        </is>
      </c>
      <c r="B115" s="129" t="inlineStr">
        <is>
          <t>Value of production at sales prices £</t>
        </is>
      </c>
    </row>
    <row r="116" ht="17" customHeight="1">
      <c r="A116" s="22" t="inlineStr">
        <is>
          <t>Fleeces</t>
        </is>
      </c>
      <c r="B116">
        <f>Stock!T36</f>
        <v/>
      </c>
    </row>
    <row r="117">
      <c r="A117" s="15" t="inlineStr">
        <is>
          <t>Coarse wool</t>
        </is>
      </c>
      <c r="B117">
        <f>Stock!T37</f>
        <v/>
      </c>
    </row>
    <row r="118">
      <c r="A118" s="15" t="inlineStr">
        <is>
          <t>Lamb's wool</t>
        </is>
      </c>
      <c r="B118">
        <f>Stock!T38</f>
        <v/>
      </c>
    </row>
    <row r="119">
      <c r="A119" s="15" t="inlineStr">
        <is>
          <t>Wool locks</t>
        </is>
      </c>
      <c r="B119">
        <f>Stock!T39</f>
        <v/>
      </c>
    </row>
    <row r="120">
      <c r="A120" s="15" t="inlineStr">
        <is>
          <t>Wool sold at shearing</t>
        </is>
      </c>
    </row>
    <row r="121">
      <c r="A121" s="119" t="inlineStr">
        <is>
          <t>Total value of production (sum of the above)</t>
        </is>
      </c>
      <c r="B121" s="70">
        <f>Stock!T40</f>
        <v/>
      </c>
    </row>
    <row r="122">
      <c r="A122" s="119" t="inlineStr">
        <is>
          <t>Value of sales</t>
        </is>
      </c>
      <c r="B122" s="70" t="n"/>
    </row>
    <row r="123">
      <c r="A123" s="8" t="n"/>
    </row>
    <row r="124">
      <c r="A124" s="16" t="inlineStr">
        <is>
          <t>Hides</t>
        </is>
      </c>
      <c r="B124" s="129" t="inlineStr">
        <is>
          <t>Value of production at sales prices £</t>
        </is>
      </c>
    </row>
    <row r="125">
      <c r="A125" s="15" t="inlineStr">
        <is>
          <t>Ox hides</t>
        </is>
      </c>
      <c r="B125">
        <f>Stock!T44</f>
        <v/>
      </c>
    </row>
    <row r="126">
      <c r="A126" s="15" t="inlineStr">
        <is>
          <t>Cow hides</t>
        </is>
      </c>
      <c r="B126">
        <f>Stock!T45</f>
        <v/>
      </c>
    </row>
    <row r="127">
      <c r="A127" s="15" t="inlineStr">
        <is>
          <t>Mare hides</t>
        </is>
      </c>
      <c r="B127">
        <f>Stock!T46</f>
        <v/>
      </c>
    </row>
    <row r="128">
      <c r="A128" s="15" t="inlineStr">
        <is>
          <t>Steer hides</t>
        </is>
      </c>
      <c r="B128">
        <f>Stock!T47</f>
        <v/>
      </c>
    </row>
    <row r="129">
      <c r="A129" s="15" t="inlineStr">
        <is>
          <t>Yearling Calf hides</t>
        </is>
      </c>
      <c r="B129">
        <f>Stock!T48</f>
        <v/>
      </c>
    </row>
    <row r="130">
      <c r="A130" s="15" t="inlineStr">
        <is>
          <t>Calf hides</t>
        </is>
      </c>
      <c r="B130">
        <f>Stock!T49</f>
        <v/>
      </c>
    </row>
    <row r="131">
      <c r="A131" s="23" t="inlineStr">
        <is>
          <t>Pig hides</t>
        </is>
      </c>
      <c r="B131">
        <f>Stock!T50</f>
        <v/>
      </c>
    </row>
    <row r="132">
      <c r="A132" s="24" t="inlineStr">
        <is>
          <t>Wether woolskins</t>
        </is>
      </c>
      <c r="B132">
        <f>Stock!T51</f>
        <v/>
      </c>
    </row>
    <row r="133">
      <c r="A133" s="24" t="inlineStr">
        <is>
          <t>Ram woolskins</t>
        </is>
      </c>
      <c r="B133">
        <f>Stock!T52</f>
        <v/>
      </c>
    </row>
    <row r="134">
      <c r="A134" s="24" t="inlineStr">
        <is>
          <t>Ewe woolskins</t>
        </is>
      </c>
      <c r="B134">
        <f>Stock!T53</f>
        <v/>
      </c>
    </row>
    <row r="135">
      <c r="A135" s="24" t="inlineStr">
        <is>
          <t>Hogg woolskins</t>
        </is>
      </c>
      <c r="B135">
        <f>Stock!T54</f>
        <v/>
      </c>
    </row>
    <row r="136">
      <c r="A136" s="25" t="inlineStr">
        <is>
          <t>Woolskins (total)</t>
        </is>
      </c>
      <c r="B136">
        <f>Stock!T55</f>
        <v/>
      </c>
    </row>
    <row r="137">
      <c r="A137" s="24" t="inlineStr">
        <is>
          <t>Wether bareskins</t>
        </is>
      </c>
      <c r="B137">
        <f>Stock!T56</f>
        <v/>
      </c>
    </row>
    <row r="138">
      <c r="A138" s="24" t="inlineStr">
        <is>
          <t>Ram bareskins</t>
        </is>
      </c>
      <c r="B138">
        <f>Stock!T57</f>
        <v/>
      </c>
    </row>
    <row r="139">
      <c r="A139" s="24" t="inlineStr">
        <is>
          <t>Ewe bareskins</t>
        </is>
      </c>
      <c r="B139">
        <f>Stock!T58</f>
        <v/>
      </c>
    </row>
    <row r="140">
      <c r="A140" s="24" t="inlineStr">
        <is>
          <t>Hogg bareskins</t>
        </is>
      </c>
      <c r="B140">
        <f>Stock!T59</f>
        <v/>
      </c>
    </row>
    <row r="141">
      <c r="A141" s="25" t="inlineStr">
        <is>
          <t>Bareskins (total)</t>
        </is>
      </c>
      <c r="B141">
        <f>Stock!T60</f>
        <v/>
      </c>
    </row>
    <row r="142">
      <c r="A142" s="15" t="inlineStr">
        <is>
          <t>Lambskins</t>
        </is>
      </c>
      <c r="B142">
        <f>Stock!T61</f>
        <v/>
      </c>
    </row>
    <row r="143">
      <c r="A143" s="15" t="inlineStr">
        <is>
          <t>Rotted skins</t>
        </is>
      </c>
    </row>
    <row r="144">
      <c r="A144" s="15" t="inlineStr">
        <is>
          <t>Shorn skins</t>
        </is>
      </c>
    </row>
    <row r="145">
      <c r="A145" s="17" t="inlineStr">
        <is>
          <t>Total value of production (sum of the above)</t>
        </is>
      </c>
      <c r="B145" s="128">
        <f>Stock!T64</f>
        <v/>
      </c>
    </row>
    <row r="146">
      <c r="A146" s="17" t="inlineStr">
        <is>
          <t>Value of sales</t>
        </is>
      </c>
      <c r="B146" s="128">
        <f>Stock!R64</f>
        <v/>
      </c>
    </row>
    <row r="147">
      <c r="A147" s="15" t="n"/>
    </row>
    <row r="148">
      <c r="A148" s="16" t="inlineStr">
        <is>
          <t>Poultry stock</t>
        </is>
      </c>
      <c r="B148" s="129" t="inlineStr">
        <is>
          <t>Value of production at sales prices £</t>
        </is>
      </c>
    </row>
    <row r="149" ht="17" customHeight="1">
      <c r="A149" s="22" t="inlineStr">
        <is>
          <t>Hens</t>
        </is>
      </c>
    </row>
    <row r="150">
      <c r="A150" s="15" t="inlineStr">
        <is>
          <t>Geese</t>
        </is>
      </c>
    </row>
    <row r="151">
      <c r="A151" s="15" t="inlineStr">
        <is>
          <t>Capons (from chickens)</t>
        </is>
      </c>
    </row>
    <row r="152">
      <c r="A152" s="15" t="inlineStr">
        <is>
          <t>Cocks &amp; hens</t>
        </is>
      </c>
    </row>
    <row r="153">
      <c r="A153" s="119" t="inlineStr">
        <is>
          <t>Total value of production (sum of the above)</t>
        </is>
      </c>
      <c r="B153" s="70" t="n"/>
    </row>
    <row r="154">
      <c r="A154" s="119" t="inlineStr">
        <is>
          <t>Value of sales</t>
        </is>
      </c>
      <c r="B154" s="70" t="n"/>
    </row>
    <row r="155">
      <c r="A155" s="15" t="n"/>
    </row>
    <row r="156">
      <c r="A156" s="16" t="inlineStr">
        <is>
          <t>Poultry production</t>
        </is>
      </c>
      <c r="B156" s="129" t="inlineStr">
        <is>
          <t>Value of production at sales prices £</t>
        </is>
      </c>
    </row>
    <row r="157">
      <c r="A157" s="15" t="inlineStr">
        <is>
          <t>Eggs</t>
        </is>
      </c>
    </row>
    <row r="158">
      <c r="A158" s="15" t="inlineStr">
        <is>
          <t>Cocks &amp; hens from churchscot of customary tenants</t>
        </is>
      </c>
    </row>
    <row r="159">
      <c r="A159" s="15" t="inlineStr">
        <is>
          <t>Sum of above</t>
        </is>
      </c>
    </row>
    <row r="160">
      <c r="A160" s="17" t="inlineStr">
        <is>
          <t>Total value of stock</t>
        </is>
      </c>
      <c r="B160" s="70" t="n"/>
    </row>
    <row r="161">
      <c r="A161" s="17" t="inlineStr">
        <is>
          <t>Value of sales</t>
        </is>
      </c>
      <c r="B161" s="70" t="n"/>
    </row>
    <row r="162">
      <c r="A162" s="15" t="n"/>
    </row>
    <row r="163">
      <c r="A163" s="16" t="inlineStr">
        <is>
          <t>Dairy Production</t>
        </is>
      </c>
      <c r="B163" s="129" t="inlineStr">
        <is>
          <t>Value of production at sales prices £</t>
        </is>
      </c>
    </row>
    <row r="164">
      <c r="A164" s="15" t="inlineStr">
        <is>
          <t>Butter</t>
        </is>
      </c>
    </row>
    <row r="165">
      <c r="A165" s="15" t="inlineStr">
        <is>
          <t>Winter Cheese</t>
        </is>
      </c>
    </row>
    <row r="166">
      <c r="A166" s="15" t="inlineStr">
        <is>
          <t>Summer Cheese</t>
        </is>
      </c>
    </row>
    <row r="167">
      <c r="A167" s="17" t="inlineStr">
        <is>
          <t>Total value of production (sum of the above)</t>
        </is>
      </c>
      <c r="B167" s="70" t="n"/>
    </row>
    <row r="168">
      <c r="A168" s="17" t="inlineStr">
        <is>
          <t>Value of sales</t>
        </is>
      </c>
      <c r="B168" s="70" t="n"/>
    </row>
    <row r="169">
      <c r="A169" s="15" t="n"/>
    </row>
    <row r="170">
      <c r="A170" s="15" t="n"/>
    </row>
    <row r="171" ht="17" customHeight="1"/>
    <row r="172" ht="17" customHeight="1">
      <c r="A172" s="103" t="n"/>
      <c r="B172" s="130" t="n"/>
    </row>
    <row r="173">
      <c r="A173" s="97" t="inlineStr">
        <is>
          <t>Total Production Value of all Output (Grange, Dairy, Livestock Sales, Wools, Skins - NO Mill)</t>
        </is>
      </c>
      <c r="B173" s="131">
        <f>B167+B160+B153+B145+B121+B113+E70</f>
        <v/>
      </c>
    </row>
    <row r="174">
      <c r="A174" s="98" t="inlineStr">
        <is>
          <t>Total Sales Value of all Output as defined above</t>
        </is>
      </c>
      <c r="B174" s="131">
        <f>B168+B161+B154+B146+B122+B113+E71</f>
        <v/>
      </c>
    </row>
    <row r="175">
      <c r="A175" s="98" t="inlineStr">
        <is>
          <t>Total Sales of Corn + Issues of the Manor as recorded in account</t>
        </is>
      </c>
      <c r="B175" s="131">
        <f>Receipts!F46+Receipts!F56</f>
        <v/>
      </c>
    </row>
    <row r="176">
      <c r="A176" s="98" t="inlineStr">
        <is>
          <t>Production Value + Cash Receipts (excl. Arrears, Issues, Corn and Mill)</t>
        </is>
      </c>
      <c r="B176" s="131">
        <f>B173+Receipts!F13+Receipts!F60</f>
        <v/>
      </c>
    </row>
    <row r="177">
      <c r="A177" s="99" t="n"/>
      <c r="B177" s="132" t="n"/>
    </row>
    <row r="178">
      <c r="A178" s="100" t="inlineStr">
        <is>
          <t>% of capital expenses in terms of total production</t>
        </is>
      </c>
      <c r="B178" s="133">
        <f>B47/B173</f>
        <v/>
      </c>
    </row>
    <row r="179">
      <c r="A179" s="98" t="inlineStr">
        <is>
          <t>% of capital expenses in terms of total production + cash receipts</t>
        </is>
      </c>
      <c r="B179" s="133">
        <f>B47/B176</f>
        <v/>
      </c>
    </row>
    <row r="180">
      <c r="A180" s="99" t="n"/>
      <c r="B180" s="132" t="n"/>
    </row>
    <row r="181" ht="17" customHeight="1">
      <c r="A181" s="101" t="inlineStr">
        <is>
          <t>% of capital expenses as calculated previously</t>
        </is>
      </c>
      <c r="B181" s="134" t="n"/>
    </row>
  </sheetData>
  <mergeCells count="1">
    <mergeCell ref="B60:C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
  <sheetViews>
    <sheetView topLeftCell="A1" workbookViewId="0">
      <selection activeCell="A1" sqref="A1"/>
    </sheetView>
  </sheetViews>
  <sheetFormatPr baseColWidth="8" defaultRowHeight="15"/>
  <cols>
    <col width="32.83203125" customWidth="1" min="1" max="1"/>
    <col width="8.83203125" customWidth="1" min="6" max="6"/>
    <col width="8.83203125" customWidth="1" min="7" max="7"/>
  </cols>
  <sheetData>
    <row r="1" ht="16" customHeight="1">
      <c r="A1" s="2" t="inlineStr">
        <is>
          <t>CAM RECEIPTS</t>
        </is>
      </c>
      <c r="B1" s="9" t="n"/>
      <c r="C1" s="9" t="n"/>
      <c r="D1" s="9" t="n"/>
      <c r="E1" s="9" t="n"/>
      <c r="F1" s="26" t="n"/>
      <c r="G1" s="50" t="n"/>
      <c r="H1" s="9" t="n"/>
      <c r="I1" s="9" t="n"/>
    </row>
    <row r="2" ht="16" customHeight="1">
      <c r="A2" s="11" t="inlineStr">
        <is>
          <t>Heading</t>
        </is>
      </c>
      <c r="B2" s="3" t="inlineStr">
        <is>
          <t>£</t>
        </is>
      </c>
      <c r="C2" s="4" t="inlineStr">
        <is>
          <t xml:space="preserve">s </t>
        </is>
      </c>
      <c r="D2" s="4" t="inlineStr">
        <is>
          <t>d</t>
        </is>
      </c>
      <c r="E2" s="4" t="n"/>
      <c r="F2" s="135" t="inlineStr">
        <is>
          <t>Total in £</t>
        </is>
      </c>
      <c r="G2" s="136" t="inlineStr">
        <is>
          <t>Error</t>
        </is>
      </c>
      <c r="H2" s="11" t="inlineStr">
        <is>
          <t>Sentence</t>
        </is>
      </c>
      <c r="I2" s="9" t="n"/>
    </row>
    <row r="3">
      <c r="A3" t="inlineStr">
        <is>
          <t>Arrears</t>
        </is>
      </c>
      <c r="B3" t="n">
        <v>0</v>
      </c>
      <c r="C3" t="n">
        <v>13</v>
      </c>
      <c r="D3" t="n">
        <v>7</v>
      </c>
      <c r="F3" s="72" t="n">
        <v>0.68</v>
      </c>
      <c r="H3" t="inlineStr">
        <is>
          <t>Robert de' renders account for 13 shilling 7pence of arrears from the previous year.</t>
        </is>
      </c>
    </row>
    <row r="4">
      <c r="A4" t="inlineStr">
        <is>
          <t>Arrears</t>
        </is>
      </c>
      <c r="B4" t="n">
        <v>0</v>
      </c>
      <c r="C4" t="n">
        <v>0</v>
      </c>
      <c r="D4" t="n">
        <v>0</v>
      </c>
      <c r="F4" s="72" t="n">
        <v>0</v>
      </c>
      <c r="H4" t="inlineStr">
        <is>
          <t>All delivered to Sir Geoffrey, treasurer of Wolvesey.</t>
        </is>
      </c>
    </row>
    <row r="5">
      <c r="A5" t="inlineStr">
        <is>
          <t>Arrears</t>
        </is>
      </c>
      <c r="B5" t="n">
        <v>0</v>
      </c>
      <c r="C5" t="n">
        <v>0</v>
      </c>
      <c r="D5" t="n">
        <v>0</v>
      </c>
      <c r="F5" s="72" t="n">
        <v>0</v>
      </c>
      <c r="H5" t="inlineStr">
        <is>
          <t>He is quit.</t>
        </is>
      </c>
    </row>
    <row r="6">
      <c r="A6" t="inlineStr">
        <is>
          <t>Arrears</t>
        </is>
      </c>
      <c r="F6" s="72" t="n">
        <v>0.68</v>
      </c>
      <c r="G6" s="137">
        <f>F6-F3</f>
        <v/>
      </c>
      <c r="H6" t="inlineStr">
        <is>
          <t>Total</t>
        </is>
      </c>
    </row>
    <row r="7"/>
    <row r="8">
      <c r="A8" t="inlineStr">
        <is>
          <t>Rents of assize</t>
        </is>
      </c>
      <c r="B8" t="n">
        <v>0</v>
      </c>
      <c r="C8" t="n">
        <v>8</v>
      </c>
      <c r="D8" t="n">
        <v>1</v>
      </c>
      <c r="F8" s="72" t="n">
        <v>0.4</v>
      </c>
      <c r="H8" t="inlineStr">
        <is>
          <t>The same renders account for 8 shilling 1pence for rents of assize at Christmas.</t>
        </is>
      </c>
    </row>
    <row r="9">
      <c r="A9" t="inlineStr">
        <is>
          <t>Rents of assize</t>
        </is>
      </c>
      <c r="B9" t="n">
        <v>1</v>
      </c>
      <c r="C9" t="n">
        <v>6</v>
      </c>
      <c r="D9" t="n">
        <v>3.75</v>
      </c>
      <c r="F9" s="72" t="n">
        <v>1.32</v>
      </c>
      <c r="H9" t="inlineStr">
        <is>
          <t>£1 6 shilling 3.75pence at Easter (22 April).</t>
        </is>
      </c>
    </row>
    <row r="10">
      <c r="A10" t="inlineStr">
        <is>
          <t>Rents of assize</t>
        </is>
      </c>
      <c r="B10" t="n">
        <v>0</v>
      </c>
      <c r="C10" t="n">
        <v>8</v>
      </c>
      <c r="D10" t="n">
        <v>1</v>
      </c>
      <c r="F10" s="72" t="n">
        <v>0.4</v>
      </c>
      <c r="H10" t="inlineStr">
        <is>
          <t>8 shilling 1pence at St John the Baptist (24 June).</t>
        </is>
      </c>
    </row>
    <row r="11">
      <c r="A11" t="inlineStr">
        <is>
          <t>Rents of assize</t>
        </is>
      </c>
      <c r="B11" t="n">
        <v>1</v>
      </c>
      <c r="C11" t="n">
        <v>7</v>
      </c>
      <c r="D11" t="n">
        <v>10.75</v>
      </c>
      <c r="F11" s="72">
        <f>B11+C11/20+D11/240</f>
        <v/>
      </c>
      <c r="H11" t="inlineStr">
        <is>
          <t>£1 7 shilling 10.75 pence at Michaelmas (29 September).</t>
        </is>
      </c>
    </row>
    <row r="12">
      <c r="A12" t="inlineStr">
        <is>
          <t>Rents of assize</t>
        </is>
      </c>
      <c r="B12" t="n">
        <v>3</v>
      </c>
      <c r="C12" t="n">
        <v>10</v>
      </c>
      <c r="D12" t="n">
        <v>4.5</v>
      </c>
      <c r="F12" s="72" t="n">
        <v>3.52</v>
      </c>
      <c r="H12" t="inlineStr">
        <is>
          <t>Total, £3 10 shilling 4.5pence</t>
        </is>
      </c>
    </row>
    <row r="13">
      <c r="A13" t="inlineStr">
        <is>
          <t>Rents of assize</t>
        </is>
      </c>
      <c r="F13" s="72">
        <f>SUM(F8:F11)</f>
        <v/>
      </c>
      <c r="G13" s="137">
        <f>F13-F12</f>
        <v/>
      </c>
      <c r="H13" t="inlineStr">
        <is>
          <t>Total</t>
        </is>
      </c>
    </row>
    <row r="14"/>
    <row r="15">
      <c r="A15" t="inlineStr">
        <is>
          <t>Increment</t>
        </is>
      </c>
      <c r="B15" t="n">
        <v>0</v>
      </c>
      <c r="C15" t="n">
        <v>0</v>
      </c>
      <c r="D15" t="n">
        <v>1</v>
      </c>
      <c r="F15" s="72" t="n">
        <v>0</v>
      </c>
      <c r="H15" t="inlineStr">
        <is>
          <t>The same renders account for 1pence for the increment of rent of Thomas Godwyn' to have the moiety of 1 day-work beside his house.</t>
        </is>
      </c>
    </row>
    <row r="16">
      <c r="A16" t="inlineStr">
        <is>
          <t>Increment</t>
        </is>
      </c>
      <c r="B16" t="n">
        <v>0</v>
      </c>
      <c r="C16" t="n">
        <v>0</v>
      </c>
      <c r="D16" t="n">
        <v>1</v>
      </c>
      <c r="F16" s="72" t="n">
        <v>0</v>
      </c>
      <c r="H16" t="inlineStr">
        <is>
          <t>Total, 1pence</t>
        </is>
      </c>
    </row>
    <row r="17">
      <c r="A17" t="inlineStr">
        <is>
          <t>Increment</t>
        </is>
      </c>
      <c r="F17" s="72" t="n">
        <v>0</v>
      </c>
      <c r="G17" s="137" t="n">
        <v>0</v>
      </c>
      <c r="H17" t="inlineStr">
        <is>
          <t>Total</t>
        </is>
      </c>
    </row>
    <row r="18"/>
    <row r="19">
      <c r="A19" t="inlineStr">
        <is>
          <t>Total of rents with increment</t>
        </is>
      </c>
      <c r="B19" t="n">
        <v>3</v>
      </c>
      <c r="C19" t="n">
        <v>10</v>
      </c>
      <c r="D19" t="n">
        <v>4.5</v>
      </c>
      <c r="F19" s="72" t="n">
        <v>3.52</v>
      </c>
      <c r="H19" t="inlineStr">
        <is>
          <t>Total of rents with increment, £3 10 shilling 4.5pence3</t>
        </is>
      </c>
    </row>
    <row r="20">
      <c r="A20" t="inlineStr">
        <is>
          <t>Total of rents with increment</t>
        </is>
      </c>
      <c r="F20" s="72" t="n">
        <v>3.52</v>
      </c>
      <c r="G20" s="137">
        <f>F20-F19</f>
        <v/>
      </c>
      <c r="H20" t="inlineStr">
        <is>
          <t>Total</t>
        </is>
      </c>
    </row>
    <row r="21"/>
    <row r="22">
      <c r="A22" t="inlineStr">
        <is>
          <t>Issues of the manor</t>
        </is>
      </c>
      <c r="B22" t="n">
        <v>0</v>
      </c>
      <c r="C22" t="n">
        <v>1</v>
      </c>
      <c r="D22" t="n">
        <v>2</v>
      </c>
      <c r="F22" s="72" t="n">
        <v>0.06</v>
      </c>
      <c r="H22" t="inlineStr">
        <is>
          <t>The same renders account for 1 shilling 2pence from pannage of pigs.</t>
        </is>
      </c>
    </row>
    <row r="23">
      <c r="A23" t="inlineStr">
        <is>
          <t>Issues of the manor</t>
        </is>
      </c>
      <c r="B23" t="n">
        <v>0</v>
      </c>
      <c r="C23" t="n">
        <v>8</v>
      </c>
      <c r="D23" t="n">
        <v>0</v>
      </c>
      <c r="F23" s="72" t="n">
        <v>0.4</v>
      </c>
      <c r="H23" t="inlineStr">
        <is>
          <t>8 shilling from 1 cart-horse sold.</t>
        </is>
      </c>
    </row>
    <row r="24">
      <c r="A24" t="inlineStr">
        <is>
          <t>Issues of the manor</t>
        </is>
      </c>
      <c r="B24" t="n">
        <v>0</v>
      </c>
      <c r="C24" t="n">
        <v>12</v>
      </c>
      <c r="D24" t="n">
        <v>0</v>
      </c>
      <c r="F24" s="72" t="n">
        <v>0.6</v>
      </c>
      <c r="H24" t="inlineStr">
        <is>
          <t>12 shilling from 2 feeble plough-horses sold.</t>
        </is>
      </c>
    </row>
    <row r="25">
      <c r="A25" t="inlineStr">
        <is>
          <t>Issues of the manor</t>
        </is>
      </c>
      <c r="B25" t="n">
        <v>0</v>
      </c>
      <c r="C25" t="n">
        <v>16</v>
      </c>
      <c r="D25" t="n">
        <v>4</v>
      </c>
      <c r="F25" s="72" t="n">
        <v>0.82</v>
      </c>
      <c r="H25" t="inlineStr">
        <is>
          <t>16 shilling 4pence from 14 wethers sold at Martinmas (11 November), at 1 shilling 2pence each.</t>
        </is>
      </c>
    </row>
    <row r="26">
      <c r="A26" t="inlineStr">
        <is>
          <t>Issues of the manor</t>
        </is>
      </c>
      <c r="B26" t="n">
        <v>0</v>
      </c>
      <c r="C26" t="n">
        <v>6</v>
      </c>
      <c r="D26" t="n">
        <v>8</v>
      </c>
      <c r="F26" s="72" t="n">
        <v>0.33</v>
      </c>
      <c r="H26" t="inlineStr">
        <is>
          <t>6 shilling 8pence from 8 ewes sold at the same feast, at 10pence each.</t>
        </is>
      </c>
    </row>
    <row r="27">
      <c r="A27" t="inlineStr">
        <is>
          <t>Issues of the manor</t>
        </is>
      </c>
      <c r="B27" t="n">
        <v>1</v>
      </c>
      <c r="C27" t="n">
        <v>0</v>
      </c>
      <c r="D27" t="n">
        <v>0</v>
      </c>
      <c r="F27" s="72" t="n">
        <v>1</v>
      </c>
      <c r="H27" t="inlineStr">
        <is>
          <t>£1 from 8 pigs sold at the feast of St Andrew (30 November), at 2 shilling 6pence each.</t>
        </is>
      </c>
    </row>
    <row r="28">
      <c r="A28" t="inlineStr">
        <is>
          <t>Issues of the manor</t>
        </is>
      </c>
      <c r="B28" t="n">
        <v>0</v>
      </c>
      <c r="C28" t="n">
        <v>12</v>
      </c>
      <c r="D28" t="n">
        <v>0</v>
      </c>
      <c r="F28" s="72">
        <f>B28+C28/20+D28/240</f>
        <v/>
      </c>
      <c r="H28" t="inlineStr">
        <is>
          <t>12 shilling from 8 pigs sold at the same feast, at 1 shilling 6pence each.</t>
        </is>
      </c>
    </row>
    <row r="29">
      <c r="A29" t="inlineStr">
        <is>
          <t>Issues of the manor</t>
        </is>
      </c>
      <c r="B29" t="n">
        <v>0</v>
      </c>
      <c r="C29" t="n">
        <v>6</v>
      </c>
      <c r="D29" t="n">
        <v>0</v>
      </c>
      <c r="F29" s="72" t="n">
        <v>0.3</v>
      </c>
      <c r="H29" t="inlineStr">
        <is>
          <t>6 shilling from 6 piglets sold, at 1 shilling each.</t>
        </is>
      </c>
    </row>
    <row r="30">
      <c r="A30" t="inlineStr">
        <is>
          <t>Issues of the manor</t>
        </is>
      </c>
      <c r="B30" t="n">
        <v>0</v>
      </c>
      <c r="C30" t="n">
        <v>0</v>
      </c>
      <c r="D30" t="n">
        <v>0</v>
      </c>
      <c r="F30" s="72" t="n">
        <v>0</v>
      </c>
      <c r="H30" t="inlineStr">
        <is>
          <t>nothing from coarse wool and lamb's-wool here because it is sent to Wolvesey.</t>
        </is>
      </c>
    </row>
    <row r="31">
      <c r="A31" t="inlineStr">
        <is>
          <t>Issues of the manor</t>
        </is>
      </c>
      <c r="B31" t="n">
        <v>0</v>
      </c>
      <c r="C31" t="n">
        <v>8</v>
      </c>
      <c r="D31" t="n">
        <v>10</v>
      </c>
      <c r="F31" s="72" t="n">
        <v>0.44</v>
      </c>
      <c r="H31" t="inlineStr">
        <is>
          <t>8 shilling 10pence from 1 wey and 1 clove of summer cheese sold.</t>
        </is>
      </c>
    </row>
    <row r="32">
      <c r="A32" t="inlineStr">
        <is>
          <t>Issues of the manor</t>
        </is>
      </c>
      <c r="B32" t="n">
        <v>0</v>
      </c>
      <c r="C32" t="n">
        <v>0</v>
      </c>
      <c r="D32" t="n">
        <v>10</v>
      </c>
      <c r="F32" s="72" t="n">
        <v>0.04</v>
      </c>
      <c r="H32" t="inlineStr">
        <is>
          <t>10pence from the skins sold of 4 ewes in murrain before shearing, at 2.5pence a skin.</t>
        </is>
      </c>
    </row>
    <row r="33">
      <c r="A33" t="inlineStr">
        <is>
          <t>Issues of the manor</t>
        </is>
      </c>
      <c r="B33" t="n">
        <v>0</v>
      </c>
      <c r="C33" t="n">
        <v>0</v>
      </c>
      <c r="D33" t="n">
        <v>1.5</v>
      </c>
      <c r="F33" s="72" t="n">
        <v>0.01</v>
      </c>
      <c r="H33" t="inlineStr">
        <is>
          <t>1.5pence from the skin sold of 1 ewe in murrain after shearing.</t>
        </is>
      </c>
    </row>
    <row r="34">
      <c r="A34" t="inlineStr">
        <is>
          <t>Issues of the manor</t>
        </is>
      </c>
      <c r="B34" t="n">
        <v>0</v>
      </c>
      <c r="C34" t="n">
        <v>0</v>
      </c>
      <c r="D34" t="n">
        <v>3</v>
      </c>
      <c r="F34" s="72" t="n">
        <v>0.01</v>
      </c>
      <c r="H34" t="inlineStr">
        <is>
          <t>3pence from the skins sold of 4 lambs in murrain before weaning.</t>
        </is>
      </c>
    </row>
    <row r="35">
      <c r="A35" t="inlineStr">
        <is>
          <t>Issues of the manor</t>
        </is>
      </c>
      <c r="B35" t="n">
        <v>0</v>
      </c>
      <c r="C35" t="n">
        <v>0</v>
      </c>
      <c r="D35" t="n">
        <v>0.25</v>
      </c>
      <c r="F35" s="72">
        <f>B35+C35/20+D35/240</f>
        <v/>
      </c>
      <c r="H35" t="inlineStr">
        <is>
          <t>.25pence from the skin sold of 1 lamb in murrain after shearing.</t>
        </is>
      </c>
    </row>
    <row r="36">
      <c r="A36" t="inlineStr">
        <is>
          <t>Issues of the manor</t>
        </is>
      </c>
      <c r="B36" t="n">
        <v>0</v>
      </c>
      <c r="C36" t="n">
        <v>2</v>
      </c>
      <c r="D36" t="n">
        <v>0</v>
      </c>
      <c r="F36" s="72" t="n">
        <v>0.1</v>
      </c>
      <c r="H36" t="inlineStr">
        <is>
          <t>2 shilling from the pasturage sold at Alnet'.</t>
        </is>
      </c>
    </row>
    <row r="37">
      <c r="A37" t="inlineStr">
        <is>
          <t>Issues of the manor</t>
        </is>
      </c>
      <c r="B37" t="n">
        <v>0</v>
      </c>
      <c r="C37" t="n">
        <v>2</v>
      </c>
      <c r="D37" t="n">
        <v>6</v>
      </c>
      <c r="F37" s="72" t="n">
        <v>0.12</v>
      </c>
      <c r="H37" t="inlineStr">
        <is>
          <t>2 shilling 6pence from the pasturage sold at Ostrewod'.</t>
        </is>
      </c>
    </row>
    <row r="38">
      <c r="A38" t="inlineStr">
        <is>
          <t>Issues of the manor</t>
        </is>
      </c>
      <c r="B38" t="n">
        <v>0</v>
      </c>
      <c r="C38" t="n">
        <v>0</v>
      </c>
      <c r="D38" t="n">
        <v>6</v>
      </c>
      <c r="F38" s="72" t="n">
        <v>0.03</v>
      </c>
      <c r="H38" t="inlineStr">
        <is>
          <t>6pence from the pasturage sold in 2 crofts beside the garden.</t>
        </is>
      </c>
    </row>
    <row r="39">
      <c r="A39" t="inlineStr">
        <is>
          <t>Issues of the manor</t>
        </is>
      </c>
      <c r="B39" t="n">
        <v>0</v>
      </c>
      <c r="C39" t="n">
        <v>2</v>
      </c>
      <c r="D39" t="n">
        <v>0</v>
      </c>
      <c r="F39" s="72" t="n">
        <v>0.1</v>
      </c>
      <c r="H39" t="inlineStr">
        <is>
          <t>2 shilling from stubble sold.</t>
        </is>
      </c>
    </row>
    <row r="40">
      <c r="A40" t="inlineStr">
        <is>
          <t>Issues of the manor</t>
        </is>
      </c>
      <c r="B40" t="n">
        <v>0</v>
      </c>
      <c r="C40" t="n">
        <v>2</v>
      </c>
      <c r="D40" t="n">
        <v>6</v>
      </c>
      <c r="F40" s="72" t="n">
        <v>0.12</v>
      </c>
      <c r="H40" t="inlineStr">
        <is>
          <t>2 shilling 6pence from 30 men for I harvest boon-work.</t>
        </is>
      </c>
    </row>
    <row r="41">
      <c r="A41" t="inlineStr">
        <is>
          <t>Issues of the manor</t>
        </is>
      </c>
      <c r="B41" t="n">
        <v>0</v>
      </c>
      <c r="C41" t="n">
        <v>14</v>
      </c>
      <c r="D41" t="n">
        <v>0</v>
      </c>
      <c r="F41" s="72" t="n">
        <v>0.7</v>
      </c>
      <c r="H41" t="inlineStr">
        <is>
          <t>14 shilling from 7 pigs sold after the harvest.</t>
        </is>
      </c>
    </row>
    <row r="42">
      <c r="A42" t="inlineStr">
        <is>
          <t>Issues of the manor</t>
        </is>
      </c>
      <c r="B42" t="n">
        <v>0</v>
      </c>
      <c r="C42" t="n">
        <v>10</v>
      </c>
      <c r="D42" t="n">
        <v>3</v>
      </c>
      <c r="F42" s="72" t="n">
        <v>0.51</v>
      </c>
      <c r="H42" t="inlineStr">
        <is>
          <t>10 shilling from 8 piglets sold after the harvest, at 1 shilling 3pence each.</t>
        </is>
      </c>
    </row>
    <row r="43">
      <c r="A43" t="inlineStr">
        <is>
          <t>Issues of the manor</t>
        </is>
      </c>
      <c r="B43" t="n">
        <v>0</v>
      </c>
      <c r="C43" t="n">
        <v>6</v>
      </c>
      <c r="D43" t="n">
        <v>8</v>
      </c>
      <c r="F43" s="72" t="n">
        <v>0.33</v>
      </c>
      <c r="H43" t="inlineStr">
        <is>
          <t>6 shilling 8pence from 8 piglets sold after the harvest, at 10pence each.</t>
        </is>
      </c>
    </row>
    <row r="44">
      <c r="A44" t="inlineStr">
        <is>
          <t>Issues of the manor</t>
        </is>
      </c>
      <c r="B44" t="n">
        <v>0</v>
      </c>
      <c r="C44" t="n">
        <v>0</v>
      </c>
      <c r="D44" t="n">
        <v>9.5</v>
      </c>
      <c r="F44" s="72" t="n">
        <v>0.04</v>
      </c>
      <c r="H44" t="inlineStr">
        <is>
          <t>9.5pence from 2 cloves 5 lb of butter sold, at 3.5pence a clove.</t>
        </is>
      </c>
    </row>
    <row r="45">
      <c r="A45" t="inlineStr">
        <is>
          <t>Issues of the manor</t>
        </is>
      </c>
      <c r="B45" t="n">
        <v>6</v>
      </c>
      <c r="C45" t="n">
        <v>13</v>
      </c>
      <c r="D45" t="n">
        <v>2.5</v>
      </c>
      <c r="F45" s="72" t="n">
        <v>6.66</v>
      </c>
      <c r="H45" t="inlineStr">
        <is>
          <t>Total, £6 13 shilling 2.5pence</t>
        </is>
      </c>
    </row>
    <row r="46">
      <c r="A46" t="inlineStr">
        <is>
          <t>Issues of the manor</t>
        </is>
      </c>
      <c r="F46" s="72">
        <f>SUM(F22:F44)</f>
        <v/>
      </c>
      <c r="G46" s="137">
        <f>F46-F45</f>
        <v/>
      </c>
      <c r="H46" t="inlineStr">
        <is>
          <t>Total</t>
        </is>
      </c>
    </row>
    <row r="47"/>
    <row r="48">
      <c r="A48" t="inlineStr">
        <is>
          <t>Sale of corn</t>
        </is>
      </c>
      <c r="B48" t="n">
        <v>16</v>
      </c>
      <c r="C48" t="n">
        <v>12</v>
      </c>
      <c r="D48" t="n">
        <v>10.75</v>
      </c>
      <c r="F48" s="72" t="n">
        <v>16.64</v>
      </c>
      <c r="H48" t="inlineStr">
        <is>
          <t>The same renders account for £16 12 shilling 10.75pence from 57.5 quarters .5 bushels of wheat sold, at 4 shilling 6pence a qr for 6.5 quarters, 5 shilling a qr for 16 quarters 0.5 bushels, 6 shilling a qr for 15 quarters, and 6 shilling 8pence a qr for 20 quarters.</t>
        </is>
      </c>
    </row>
    <row r="49">
      <c r="A49" t="inlineStr">
        <is>
          <t>Sale of corn</t>
        </is>
      </c>
      <c r="B49" t="n">
        <v>0</v>
      </c>
      <c r="C49" t="n">
        <v>18</v>
      </c>
      <c r="D49" t="n">
        <v>11.5</v>
      </c>
      <c r="F49" s="72" t="n">
        <v>0.95</v>
      </c>
      <c r="H49" t="inlineStr">
        <is>
          <t>18 shilling 11.5pence from 10 quarters 5 bushels of curall sold, at 1 shilling 8pence a qr for 9 quarters 3 bushels, and 2 shilling 8pence a qr for 1 qr 2 bushels.</t>
        </is>
      </c>
    </row>
    <row r="50">
      <c r="A50" t="inlineStr">
        <is>
          <t>Sale of corn</t>
        </is>
      </c>
      <c r="B50" t="n">
        <v>1</v>
      </c>
      <c r="C50" t="n">
        <v>15</v>
      </c>
      <c r="D50" t="n">
        <v>3</v>
      </c>
      <c r="F50" s="72" t="n">
        <v>1.76</v>
      </c>
      <c r="H50" t="inlineStr">
        <is>
          <t>£1 15 shilling 3pence from 8.5 quarters 2.5 bushels of barley sold, at 4 shilling a qr.</t>
        </is>
      </c>
    </row>
    <row r="51">
      <c r="A51" t="inlineStr">
        <is>
          <t>Sale of corn</t>
        </is>
      </c>
      <c r="B51" t="n">
        <v>0</v>
      </c>
      <c r="C51" t="n">
        <v>14</v>
      </c>
      <c r="D51" t="n">
        <v>9.75</v>
      </c>
      <c r="F51" s="72" t="n">
        <v>0.74</v>
      </c>
      <c r="H51" t="inlineStr">
        <is>
          <t>14 shilling 9.75pence from 4.5 quarters 3.5 bushels of dredge sold, at 3 shilling a qr.</t>
        </is>
      </c>
    </row>
    <row r="52">
      <c r="A52" t="inlineStr">
        <is>
          <t>Sale of corn</t>
        </is>
      </c>
      <c r="B52" t="n">
        <v>3</v>
      </c>
      <c r="C52" t="n">
        <v>9</v>
      </c>
      <c r="D52" t="n">
        <v>6</v>
      </c>
      <c r="F52" s="72" t="n">
        <v>3.48</v>
      </c>
      <c r="H52" t="inlineStr">
        <is>
          <t>£3 9 shilling 6pence from 30.5 quarters 2 bushels of oats sold, at 2 shilling a qr for 14 quarters 6 bushels, 2 shilling 4pence a qr for 8 quarters, and 2 shilling 8pence a qr for 8 quarters.</t>
        </is>
      </c>
    </row>
    <row r="53">
      <c r="A53" t="inlineStr">
        <is>
          <t>Sale of corn</t>
        </is>
      </c>
      <c r="B53" t="n">
        <v>0</v>
      </c>
      <c r="C53" t="n">
        <v>15</v>
      </c>
      <c r="D53" t="n">
        <v>2.5</v>
      </c>
      <c r="F53" s="72" t="n">
        <v>0.76</v>
      </c>
      <c r="H53" t="inlineStr">
        <is>
          <t>15 shilling 2.5pence from 7 quarters .5 bushels of peas sold, at 2 shilling a qr for 3 quarters 6.5 bushels, and 2 shilling 4pence a qr for 3 quarters 2 bushels.</t>
        </is>
      </c>
    </row>
    <row r="54">
      <c r="A54" t="inlineStr">
        <is>
          <t>Sale of corn</t>
        </is>
      </c>
      <c r="B54" t="n">
        <v>0</v>
      </c>
      <c r="C54" t="n">
        <v>7</v>
      </c>
      <c r="D54" t="n">
        <v>6</v>
      </c>
      <c r="F54" s="72" t="n">
        <v>0.38</v>
      </c>
      <c r="H54" t="inlineStr">
        <is>
          <t>7 shilling 6pence from 3 quarters 6 bushels of vetches sold, at 2 shilling a qr.</t>
        </is>
      </c>
    </row>
    <row r="55">
      <c r="A55" t="inlineStr">
        <is>
          <t>Sale of corn</t>
        </is>
      </c>
      <c r="B55" t="n">
        <v>24</v>
      </c>
      <c r="C55" t="n">
        <v>14</v>
      </c>
      <c r="D55" t="n">
        <v>1.5</v>
      </c>
      <c r="F55" s="72" t="n">
        <v>24.71</v>
      </c>
      <c r="H55" t="inlineStr">
        <is>
          <t>Total, £24 14 shilling 1.5pence</t>
        </is>
      </c>
    </row>
    <row r="56">
      <c r="A56" t="inlineStr">
        <is>
          <t>Sale of corn</t>
        </is>
      </c>
      <c r="F56" s="72" t="n">
        <v>24.71</v>
      </c>
      <c r="G56" s="137" t="n">
        <v>0</v>
      </c>
      <c r="H56" t="inlineStr">
        <is>
          <t>Total</t>
        </is>
      </c>
    </row>
    <row r="57"/>
    <row r="58">
      <c r="A58" t="inlineStr">
        <is>
          <t>Perquisites</t>
        </is>
      </c>
      <c r="B58" t="n">
        <v>0</v>
      </c>
      <c r="C58" t="n">
        <v>6</v>
      </c>
      <c r="D58" t="n">
        <v>0</v>
      </c>
      <c r="F58" s="72" t="n">
        <v>0.3</v>
      </c>
      <c r="H58" t="inlineStr">
        <is>
          <t>The same renders account for 6 shilling from the amercements of 2 courts.</t>
        </is>
      </c>
    </row>
    <row r="59">
      <c r="A59" t="inlineStr">
        <is>
          <t>Perquisites</t>
        </is>
      </c>
      <c r="B59" t="n">
        <v>0</v>
      </c>
      <c r="C59" t="n">
        <v>13</v>
      </c>
      <c r="D59" t="n">
        <v>4</v>
      </c>
      <c r="F59" s="72" t="n">
        <v>0.67</v>
      </c>
      <c r="H59" t="inlineStr">
        <is>
          <t>13 shilling 4pence from Oliver Stak' to receive 4 acres of land whilst the manor of Cams is in the wardship of the lorpence Total, 19 shilling 4pence</t>
        </is>
      </c>
    </row>
    <row r="60">
      <c r="A60" t="inlineStr">
        <is>
          <t>Perquisites</t>
        </is>
      </c>
      <c r="F60" s="72" t="n">
        <v>0.97</v>
      </c>
      <c r="G60" s="137" t="n">
        <v>0.2999999999999999</v>
      </c>
      <c r="H60" t="inlineStr">
        <is>
          <t>Total</t>
        </is>
      </c>
    </row>
    <row r="61"/>
    <row r="62">
      <c r="A62" s="38" t="inlineStr">
        <is>
          <t>Total of all receipts recorded in accounts</t>
        </is>
      </c>
      <c r="B62" t="n">
        <v>35</v>
      </c>
      <c r="C62" t="n">
        <v>17</v>
      </c>
      <c r="D62" t="n">
        <v>0.25</v>
      </c>
      <c r="F62" s="72" t="n">
        <v>35.85</v>
      </c>
      <c r="H62" t="inlineStr">
        <is>
          <t>Total of all receipts, £35 17 shilling 0.25pence</t>
        </is>
      </c>
    </row>
    <row r="63" ht="16" customHeight="1">
      <c r="A63" s="9" t="inlineStr">
        <is>
          <t>Total cross-check without arrears</t>
        </is>
      </c>
      <c r="F63" s="72">
        <f>F60+F56+F46+F20+F13</f>
        <v/>
      </c>
      <c r="G63" s="137">
        <f>F63-F62</f>
        <v/>
      </c>
    </row>
    <row r="64" ht="16" customHeight="1">
      <c r="A64" s="9" t="inlineStr">
        <is>
          <t>Total cross-check with arrears</t>
        </is>
      </c>
      <c r="F64" s="72">
        <f>F63+F6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3"/>
  <sheetViews>
    <sheetView topLeftCell="A1" workbookViewId="0">
      <selection activeCell="A1" sqref="A1"/>
    </sheetView>
  </sheetViews>
  <sheetFormatPr baseColWidth="8" defaultRowHeight="15"/>
  <cols>
    <col width="33.1640625" customWidth="1" min="1" max="1"/>
    <col width="8.83203125" customWidth="1" min="6" max="6"/>
    <col width="8.83203125" customWidth="1" min="7" max="7"/>
    <col width="39.5" customWidth="1" min="8" max="8"/>
    <col width="22.33203125" customWidth="1" min="10" max="10"/>
    <col width="19.83203125" customWidth="1" min="11" max="11"/>
  </cols>
  <sheetData>
    <row r="1" ht="16" customHeight="1">
      <c r="A1" s="2" t="inlineStr">
        <is>
          <t>CAMS EXPENSES</t>
        </is>
      </c>
    </row>
    <row r="2" ht="34"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c r="J2" s="52" t="inlineStr">
        <is>
          <t>Fixed investment</t>
        </is>
      </c>
      <c r="K2" s="52" t="inlineStr">
        <is>
          <t>Demesne fixed investment</t>
        </is>
      </c>
    </row>
    <row r="3">
      <c r="A3" t="inlineStr">
        <is>
          <t>Cost of ploughs</t>
        </is>
      </c>
      <c r="B3" t="n">
        <v>0</v>
      </c>
      <c r="C3" t="n">
        <v>6</v>
      </c>
      <c r="D3" t="n">
        <v>8</v>
      </c>
      <c r="F3" s="72" t="n">
        <v>0.33</v>
      </c>
      <c r="H3" t="inlineStr">
        <is>
          <t>In iron and steel bought for the ironwork of 2 ploughs for the year 6 shilling 8pence, with the stipend of the smith.</t>
        </is>
      </c>
      <c r="J3" s="72">
        <f>F3</f>
        <v/>
      </c>
      <c r="K3" s="72">
        <f>J3</f>
        <v/>
      </c>
    </row>
    <row r="4">
      <c r="A4" t="inlineStr">
        <is>
          <t>Cost of ploughs</t>
        </is>
      </c>
      <c r="B4" t="n">
        <v>0</v>
      </c>
      <c r="C4" t="n">
        <v>0</v>
      </c>
      <c r="D4" t="n">
        <v>9</v>
      </c>
      <c r="F4" s="72" t="n">
        <v>0.04</v>
      </c>
      <c r="H4" t="inlineStr">
        <is>
          <t>1 ploughshare bought 9pence.</t>
        </is>
      </c>
      <c r="J4" s="72">
        <f>F4</f>
        <v/>
      </c>
      <c r="K4" s="72">
        <f>J4</f>
        <v/>
      </c>
    </row>
    <row r="5">
      <c r="A5" t="inlineStr">
        <is>
          <t>Cost of ploughs</t>
        </is>
      </c>
      <c r="B5" t="n">
        <v>0</v>
      </c>
      <c r="C5" t="n">
        <v>1</v>
      </c>
      <c r="D5" t="n">
        <v>0</v>
      </c>
      <c r="F5" s="72" t="n">
        <v>0.05</v>
      </c>
      <c r="H5" t="inlineStr">
        <is>
          <t>2 plough feet bought 1 shilling.</t>
        </is>
      </c>
      <c r="J5" s="72">
        <f>F5</f>
        <v/>
      </c>
      <c r="K5" s="72">
        <f>J5</f>
        <v/>
      </c>
    </row>
    <row r="6">
      <c r="A6" t="inlineStr">
        <is>
          <t>Cost of ploughs</t>
        </is>
      </c>
      <c r="B6" t="n">
        <v>0</v>
      </c>
      <c r="C6" t="n">
        <v>0</v>
      </c>
      <c r="D6" t="n">
        <v>10</v>
      </c>
      <c r="F6" s="72" t="n">
        <v>0.04</v>
      </c>
      <c r="H6" t="inlineStr">
        <is>
          <t>1 new plough made with the other ploughs mended 10pence.</t>
        </is>
      </c>
      <c r="J6" s="72">
        <f>F6</f>
        <v/>
      </c>
      <c r="K6" s="72">
        <f>J6</f>
        <v/>
      </c>
    </row>
    <row r="7">
      <c r="A7" t="inlineStr">
        <is>
          <t>Cost of ploughs</t>
        </is>
      </c>
      <c r="B7" t="n">
        <v>0</v>
      </c>
      <c r="C7" t="n">
        <v>0</v>
      </c>
      <c r="D7" t="n">
        <v>8</v>
      </c>
      <c r="F7" s="72" t="n">
        <v>0.03</v>
      </c>
      <c r="H7" t="inlineStr">
        <is>
          <t>2 pairs of wheels bought 8pence.</t>
        </is>
      </c>
      <c r="J7" s="72">
        <f>F7</f>
        <v/>
      </c>
      <c r="K7" s="72">
        <f>J7</f>
        <v/>
      </c>
    </row>
    <row r="8">
      <c r="A8" t="inlineStr">
        <is>
          <t>Cost of ploughs</t>
        </is>
      </c>
      <c r="B8" t="n">
        <v>0</v>
      </c>
      <c r="C8" t="n">
        <v>0</v>
      </c>
      <c r="D8" t="n">
        <v>1.5</v>
      </c>
      <c r="F8" s="72" t="n">
        <v>0.01</v>
      </c>
      <c r="H8" t="inlineStr">
        <is>
          <t>fitting 1 plough with iron tyres 1.5pence.</t>
        </is>
      </c>
      <c r="J8" s="72">
        <f>F8</f>
        <v/>
      </c>
      <c r="K8" s="72">
        <f>J8</f>
        <v/>
      </c>
    </row>
    <row r="9">
      <c r="A9" t="inlineStr">
        <is>
          <t>Cost of ploughs</t>
        </is>
      </c>
      <c r="B9" t="n">
        <v>0</v>
      </c>
      <c r="C9" t="n">
        <v>1</v>
      </c>
      <c r="D9" t="n">
        <v>0</v>
      </c>
      <c r="F9" s="72" t="n">
        <v>0.05</v>
      </c>
      <c r="H9" t="inlineStr">
        <is>
          <t>shoeing 2 plough-horses for 1 term 1 shilling.</t>
        </is>
      </c>
      <c r="J9" s="72">
        <f>F9</f>
        <v/>
      </c>
      <c r="K9" s="72">
        <f>J9</f>
        <v/>
      </c>
    </row>
    <row r="10">
      <c r="A10" t="inlineStr">
        <is>
          <t>Cost of ploughs</t>
        </is>
      </c>
      <c r="B10" t="n">
        <v>0</v>
      </c>
      <c r="C10" t="n">
        <v>2</v>
      </c>
      <c r="D10" t="n">
        <v>0</v>
      </c>
      <c r="F10" s="72" t="n">
        <v>0.1</v>
      </c>
      <c r="H10" t="inlineStr">
        <is>
          <t>boon-works of 8 ploughmen in winter and 4 in Lent 2 shilling.</t>
        </is>
      </c>
      <c r="K10" s="72" t="n"/>
    </row>
    <row r="11">
      <c r="A11" t="inlineStr">
        <is>
          <t>Cost of ploughs</t>
        </is>
      </c>
      <c r="B11" t="n">
        <v>0</v>
      </c>
      <c r="C11" t="n">
        <v>3</v>
      </c>
      <c r="D11" t="n">
        <v>0</v>
      </c>
      <c r="F11" s="72" t="n">
        <v>0.15</v>
      </c>
      <c r="H11" t="inlineStr">
        <is>
          <t>hiring 1 man to plough from Easter until Michaelmas, working for 72 days when they ploughed, 3 shilling, at 0.5pence a day.</t>
        </is>
      </c>
      <c r="K11" s="72">
        <f>J11</f>
        <v/>
      </c>
    </row>
    <row r="12">
      <c r="A12" t="inlineStr">
        <is>
          <t>Cost of ploughs</t>
        </is>
      </c>
      <c r="B12" t="n">
        <v>0</v>
      </c>
      <c r="C12" t="n">
        <v>1</v>
      </c>
      <c r="D12" t="n">
        <v>0</v>
      </c>
      <c r="F12" s="72" t="n">
        <v>0.05</v>
      </c>
      <c r="H12" t="inlineStr">
        <is>
          <t>2 sacks bought 1 shilling.</t>
        </is>
      </c>
      <c r="J12" s="72">
        <f>F12</f>
        <v/>
      </c>
      <c r="K12" s="72">
        <f>J12</f>
        <v/>
      </c>
    </row>
    <row r="13">
      <c r="A13" t="inlineStr">
        <is>
          <t>Cost of ploughs</t>
        </is>
      </c>
      <c r="B13" t="n">
        <v>0</v>
      </c>
      <c r="C13" t="n">
        <v>14</v>
      </c>
      <c r="D13" t="n">
        <v>7</v>
      </c>
      <c r="F13" s="72" t="n">
        <v>0.73</v>
      </c>
      <c r="H13" t="inlineStr">
        <is>
          <t>forage bought 14 shilling 7pence.</t>
        </is>
      </c>
      <c r="K13" s="72" t="n"/>
    </row>
    <row r="14">
      <c r="A14" t="inlineStr">
        <is>
          <t>Cost of ploughs</t>
        </is>
      </c>
      <c r="B14" t="n">
        <v>0</v>
      </c>
      <c r="C14" t="n">
        <v>8</v>
      </c>
      <c r="D14" t="n">
        <v>0</v>
      </c>
      <c r="F14" s="72" t="n">
        <v>0.4</v>
      </c>
      <c r="H14" t="inlineStr">
        <is>
          <t>stipend of 2 ploughmen for the year 8 shilling.</t>
        </is>
      </c>
      <c r="K14" s="72" t="n"/>
    </row>
    <row r="15">
      <c r="A15" t="inlineStr">
        <is>
          <t>Cost of ploughs</t>
        </is>
      </c>
      <c r="B15" t="n">
        <v>0</v>
      </c>
      <c r="C15" t="n">
        <v>1</v>
      </c>
      <c r="D15" t="n">
        <v>6</v>
      </c>
      <c r="F15" s="72" t="n">
        <v>0.08</v>
      </c>
      <c r="H15" t="inlineStr">
        <is>
          <t>stipend of 1 ploughman from Michaelmas until Easter 1 shilling 6pence, because thereafter a third ploughman was hired by the day and a fourth ploughman held a plough for his lanpence.</t>
        </is>
      </c>
      <c r="K15" s="72" t="n"/>
    </row>
    <row r="16">
      <c r="A16" t="inlineStr">
        <is>
          <t>Cost of ploughs</t>
        </is>
      </c>
      <c r="B16" t="n">
        <v>0</v>
      </c>
      <c r="C16" t="n">
        <v>11</v>
      </c>
      <c r="D16" t="n">
        <v>3</v>
      </c>
      <c r="F16" s="72" t="n">
        <v>0.5600000000000001</v>
      </c>
      <c r="H16" t="inlineStr">
        <is>
          <t>2 quarters 2 bushels of wheat bought for sowing 11 shilling 3pence, at 5 shilling a qr.</t>
        </is>
      </c>
      <c r="K16" s="72" t="n"/>
    </row>
    <row r="17">
      <c r="A17" t="inlineStr">
        <is>
          <t>Cost of ploughs</t>
        </is>
      </c>
      <c r="B17" t="n">
        <v>0</v>
      </c>
      <c r="C17" t="n">
        <v>0</v>
      </c>
      <c r="D17" t="n">
        <v>6</v>
      </c>
      <c r="F17" s="72">
        <f>B17+C17/20+D17/240</f>
        <v/>
      </c>
      <c r="H17" t="inlineStr">
        <is>
          <t xml:space="preserve">shoeing oxen 6pence </t>
        </is>
      </c>
      <c r="J17" s="72">
        <f>F17</f>
        <v/>
      </c>
      <c r="K17" s="72">
        <f>J17</f>
        <v/>
      </c>
    </row>
    <row r="18">
      <c r="A18" t="inlineStr">
        <is>
          <t>Cost of ploughs</t>
        </is>
      </c>
      <c r="B18" t="n">
        <v>2</v>
      </c>
      <c r="C18" t="n">
        <v>11</v>
      </c>
      <c r="D18" t="n">
        <v>10.5</v>
      </c>
      <c r="F18" s="72" t="n">
        <v>2.59</v>
      </c>
      <c r="H18" t="inlineStr">
        <is>
          <t>Total, £2 11 shilling 10.5pence</t>
        </is>
      </c>
    </row>
    <row r="19">
      <c r="A19" t="inlineStr">
        <is>
          <t>Cost of ploughs</t>
        </is>
      </c>
      <c r="F19" s="72">
        <f>SUM(F3:F17)</f>
        <v/>
      </c>
      <c r="G19" s="138">
        <f>F19-F18</f>
        <v/>
      </c>
      <c r="H19" t="inlineStr">
        <is>
          <t>Total</t>
        </is>
      </c>
    </row>
    <row r="20"/>
    <row r="21">
      <c r="A21" t="inlineStr">
        <is>
          <t>Cost of carts</t>
        </is>
      </c>
      <c r="B21" t="n">
        <v>0</v>
      </c>
      <c r="C21" t="n">
        <v>0</v>
      </c>
      <c r="D21" t="n">
        <v>10</v>
      </c>
      <c r="F21" s="72" t="n">
        <v>0.04</v>
      </c>
      <c r="H21" t="inlineStr">
        <is>
          <t>In 1 cart mended with large nails bought for the same 10pence.</t>
        </is>
      </c>
      <c r="J21" s="72">
        <f>F21</f>
        <v/>
      </c>
      <c r="K21" s="72">
        <f>F21</f>
        <v/>
      </c>
    </row>
    <row r="22">
      <c r="A22" t="inlineStr">
        <is>
          <t>Cost of carts</t>
        </is>
      </c>
      <c r="B22" t="n">
        <v>0</v>
      </c>
      <c r="C22" t="n">
        <v>0</v>
      </c>
      <c r="D22" t="n">
        <v>5</v>
      </c>
      <c r="F22" s="72" t="n">
        <v>0.02</v>
      </c>
      <c r="H22" t="inlineStr">
        <is>
          <t>fitting the cart with axles with axles bought for the same 5pence.</t>
        </is>
      </c>
      <c r="J22" s="72">
        <f>F22</f>
        <v/>
      </c>
      <c r="K22" s="72">
        <f>F22</f>
        <v/>
      </c>
    </row>
    <row r="23">
      <c r="A23" t="inlineStr">
        <is>
          <t>Cost of carts</t>
        </is>
      </c>
      <c r="B23" t="n">
        <v>0</v>
      </c>
      <c r="C23" t="n">
        <v>0</v>
      </c>
      <c r="D23" t="n">
        <v>11</v>
      </c>
      <c r="F23" s="72" t="n">
        <v>0.05</v>
      </c>
      <c r="H23" t="inlineStr">
        <is>
          <t>clouts, nails and grease bought 11pence.</t>
        </is>
      </c>
      <c r="J23" s="72">
        <f>F23</f>
        <v/>
      </c>
      <c r="K23" s="72">
        <f>F23</f>
        <v/>
      </c>
    </row>
    <row r="24">
      <c r="A24" t="inlineStr">
        <is>
          <t>Cost of carts</t>
        </is>
      </c>
      <c r="B24" t="n">
        <v>0</v>
      </c>
      <c r="C24" t="n">
        <v>0</v>
      </c>
      <c r="D24" t="n">
        <v>3.5</v>
      </c>
      <c r="F24" s="72" t="n">
        <v>0.01</v>
      </c>
      <c r="H24" t="inlineStr">
        <is>
          <t>1 pair of traces bought 3.5pence.</t>
        </is>
      </c>
      <c r="J24" s="72">
        <f>F24</f>
        <v/>
      </c>
      <c r="K24" s="72">
        <f>F24</f>
        <v/>
      </c>
    </row>
    <row r="25">
      <c r="A25" t="inlineStr">
        <is>
          <t>Cost of carts</t>
        </is>
      </c>
      <c r="B25" t="n">
        <v>0</v>
      </c>
      <c r="C25" t="n">
        <v>1</v>
      </c>
      <c r="D25" t="n">
        <v>1</v>
      </c>
      <c r="F25" s="72" t="n">
        <v>0.05</v>
      </c>
      <c r="H25" t="inlineStr">
        <is>
          <t>1 collar and 1 pair of saddle-pads bought 1 shilling 1pence.</t>
        </is>
      </c>
      <c r="J25" s="72">
        <f>F25</f>
        <v/>
      </c>
      <c r="K25" s="72">
        <f>F25</f>
        <v/>
      </c>
    </row>
    <row r="26">
      <c r="A26" t="inlineStr">
        <is>
          <t>Cost of carts</t>
        </is>
      </c>
      <c r="B26" t="n">
        <v>0</v>
      </c>
      <c r="C26" t="n">
        <v>4</v>
      </c>
      <c r="D26" t="n">
        <v>6</v>
      </c>
      <c r="F26" s="72" t="n">
        <v>0.23</v>
      </c>
      <c r="H26" t="inlineStr">
        <is>
          <t>shoeing 3 cart-horses for the year 4 shilling 6pence.</t>
        </is>
      </c>
      <c r="J26" s="72">
        <f>F26</f>
        <v/>
      </c>
      <c r="K26" s="72">
        <f>F26</f>
        <v/>
      </c>
    </row>
    <row r="27">
      <c r="A27" t="inlineStr">
        <is>
          <t>Cost of carts</t>
        </is>
      </c>
      <c r="B27" t="n">
        <v>0</v>
      </c>
      <c r="C27" t="n">
        <v>0</v>
      </c>
      <c r="D27" t="n">
        <v>4</v>
      </c>
      <c r="F27" s="72" t="n">
        <v>0.02</v>
      </c>
      <c r="H27" t="inlineStr">
        <is>
          <t>3 halters bought 4pence.</t>
        </is>
      </c>
      <c r="J27" s="72">
        <f>F27</f>
        <v/>
      </c>
      <c r="K27" s="72">
        <f>F27</f>
        <v/>
      </c>
    </row>
    <row r="28">
      <c r="A28" t="inlineStr">
        <is>
          <t>Cost of carts</t>
        </is>
      </c>
      <c r="B28" t="n">
        <v>0</v>
      </c>
      <c r="C28" t="n">
        <v>5</v>
      </c>
      <c r="D28" t="n">
        <v>0</v>
      </c>
      <c r="F28" s="72" t="n">
        <v>0.25</v>
      </c>
      <c r="H28" t="inlineStr">
        <is>
          <t>stipend of 1 carter for the year 5 shilling.</t>
        </is>
      </c>
    </row>
    <row r="29">
      <c r="A29" t="inlineStr">
        <is>
          <t>Cost of carts</t>
        </is>
      </c>
      <c r="B29" t="n">
        <v>0</v>
      </c>
      <c r="C29" t="n">
        <v>6</v>
      </c>
      <c r="D29" t="n">
        <v>8</v>
      </c>
      <c r="F29" s="72" t="n">
        <v>0.33</v>
      </c>
      <c r="H29" t="inlineStr">
        <is>
          <t>stipend of 1 hayward from the Purification (2 February) until Michaelmas (29 September), 6 shilling 8pence this year.</t>
        </is>
      </c>
    </row>
    <row r="30">
      <c r="A30" t="inlineStr">
        <is>
          <t>Cost of carts</t>
        </is>
      </c>
      <c r="B30" t="n">
        <v>0</v>
      </c>
      <c r="C30" t="n">
        <v>1</v>
      </c>
      <c r="D30" t="n">
        <v>10</v>
      </c>
      <c r="F30" s="72" t="n">
        <v>0.09</v>
      </c>
      <c r="H30" t="inlineStr">
        <is>
          <t>hay bought 1 shilling 10pence.</t>
        </is>
      </c>
    </row>
    <row r="31">
      <c r="A31" t="inlineStr">
        <is>
          <t>Cost of carts</t>
        </is>
      </c>
      <c r="B31" t="n">
        <v>0</v>
      </c>
      <c r="C31" t="n">
        <v>0</v>
      </c>
      <c r="D31" t="n">
        <v>3.5</v>
      </c>
      <c r="F31" s="72" t="n">
        <v>0.01</v>
      </c>
      <c r="H31" t="inlineStr">
        <is>
          <t>white leather bought for harnesses 3.5pence.</t>
        </is>
      </c>
      <c r="J31" s="72">
        <f>F31</f>
        <v/>
      </c>
      <c r="K31" s="72">
        <f>J31</f>
        <v/>
      </c>
    </row>
    <row r="32">
      <c r="A32" t="inlineStr">
        <is>
          <t>Cost of carts</t>
        </is>
      </c>
      <c r="B32" t="n">
        <v>0</v>
      </c>
      <c r="C32" t="n">
        <v>0</v>
      </c>
      <c r="D32" t="n">
        <v>2.5</v>
      </c>
      <c r="F32" s="72">
        <f>B32+C32/20+D32/240</f>
        <v/>
      </c>
      <c r="H32" t="inlineStr">
        <is>
          <t xml:space="preserve">a crupper and girths bought 2.5pence </t>
        </is>
      </c>
      <c r="J32" s="72">
        <f>F32</f>
        <v/>
      </c>
      <c r="K32" s="72">
        <f>J32</f>
        <v/>
      </c>
    </row>
    <row r="33">
      <c r="A33" t="inlineStr">
        <is>
          <t>Cost of carts</t>
        </is>
      </c>
      <c r="B33" t="n">
        <v>1</v>
      </c>
      <c r="C33" t="n">
        <v>2</v>
      </c>
      <c r="D33" t="n">
        <v>4.5</v>
      </c>
      <c r="F33" s="72" t="n">
        <v>1.12</v>
      </c>
      <c r="H33" t="inlineStr">
        <is>
          <t>Total, £1 2 shilling 4.5pence</t>
        </is>
      </c>
    </row>
    <row r="34">
      <c r="A34" t="inlineStr">
        <is>
          <t>Cost of carts</t>
        </is>
      </c>
      <c r="F34" s="72">
        <f>SUM(F21:F32)</f>
        <v/>
      </c>
      <c r="G34" s="138">
        <f>F34-F33</f>
        <v/>
      </c>
      <c r="H34" t="inlineStr">
        <is>
          <t>Total</t>
        </is>
      </c>
    </row>
    <row r="35"/>
    <row r="36">
      <c r="A36" t="inlineStr">
        <is>
          <t>Cost of the dairy</t>
        </is>
      </c>
      <c r="B36" t="n">
        <v>0</v>
      </c>
      <c r="C36" t="n">
        <v>0</v>
      </c>
      <c r="D36" t="n">
        <v>10.5</v>
      </c>
      <c r="F36" s="72" t="n">
        <v>0.04</v>
      </c>
      <c r="H36" t="inlineStr">
        <is>
          <t>In 3.5 bushels of salt bought 10.5pence.</t>
        </is>
      </c>
      <c r="J36" s="72">
        <f>F36</f>
        <v/>
      </c>
      <c r="K36" s="72">
        <f>J36</f>
        <v/>
      </c>
    </row>
    <row r="37">
      <c r="A37" t="inlineStr">
        <is>
          <t>Cost of the dairy</t>
        </is>
      </c>
      <c r="B37" t="n">
        <v>0</v>
      </c>
      <c r="C37" t="n">
        <v>0</v>
      </c>
      <c r="D37" t="n">
        <v>1</v>
      </c>
      <c r="F37" s="72" t="n">
        <v>0</v>
      </c>
      <c r="H37" t="inlineStr">
        <is>
          <t>a press bought 1pence.</t>
        </is>
      </c>
      <c r="J37" s="72">
        <f>F37</f>
        <v/>
      </c>
      <c r="K37" s="72">
        <f>J37</f>
        <v/>
      </c>
    </row>
    <row r="38">
      <c r="A38" t="inlineStr">
        <is>
          <t>Cost of the dairy</t>
        </is>
      </c>
      <c r="B38" t="n">
        <v>0</v>
      </c>
      <c r="C38" t="n">
        <v>0</v>
      </c>
      <c r="D38" t="n">
        <v>6</v>
      </c>
      <c r="F38" s="72" t="n">
        <v>0.03</v>
      </c>
      <c r="H38" t="inlineStr">
        <is>
          <t>12 hurdles made from their own withies 6pence.</t>
        </is>
      </c>
      <c r="J38" s="72">
        <f>F38</f>
        <v/>
      </c>
      <c r="K38" s="72">
        <f>J38</f>
        <v/>
      </c>
    </row>
    <row r="39">
      <c r="A39" t="inlineStr">
        <is>
          <t>Cost of the dairy</t>
        </is>
      </c>
      <c r="B39" t="n">
        <v>0</v>
      </c>
      <c r="C39" t="n">
        <v>0</v>
      </c>
      <c r="D39" t="n">
        <v>2</v>
      </c>
      <c r="F39" s="72" t="n">
        <v>0.01</v>
      </c>
      <c r="H39" t="inlineStr">
        <is>
          <t>stubble collected for wattling the fold 2pence.</t>
        </is>
      </c>
      <c r="J39" s="72">
        <f>F39</f>
        <v/>
      </c>
      <c r="K39" s="72">
        <f>J39</f>
        <v/>
      </c>
    </row>
    <row r="40">
      <c r="A40" t="inlineStr">
        <is>
          <t>Cost of the dairy</t>
        </is>
      </c>
      <c r="B40" t="n">
        <v>0</v>
      </c>
      <c r="C40" t="n">
        <v>2</v>
      </c>
      <c r="D40" t="n">
        <v>6</v>
      </c>
      <c r="F40" s="72" t="n">
        <v>0.12</v>
      </c>
      <c r="H40" t="inlineStr">
        <is>
          <t>grease bought for greasing sheep 2 shilling 6pence.</t>
        </is>
      </c>
      <c r="J40" s="72">
        <f>F40</f>
        <v/>
      </c>
      <c r="K40" s="72">
        <f>J40</f>
        <v/>
      </c>
    </row>
    <row r="41">
      <c r="A41" t="inlineStr">
        <is>
          <t>Cost of the dairy</t>
        </is>
      </c>
      <c r="B41" t="n">
        <v>0</v>
      </c>
      <c r="C41" t="n">
        <v>2</v>
      </c>
      <c r="D41" t="n">
        <v>8</v>
      </c>
      <c r="F41" s="72" t="n">
        <v>0.13</v>
      </c>
      <c r="H41" t="inlineStr">
        <is>
          <t>meal bought for the pottage of the manorial servants 2 shilling 8pence.</t>
        </is>
      </c>
      <c r="J41" s="72">
        <f>F41</f>
        <v/>
      </c>
      <c r="K41" s="72">
        <f>J41</f>
        <v/>
      </c>
    </row>
    <row r="42">
      <c r="A42" t="inlineStr">
        <is>
          <t>Cost of the dairy</t>
        </is>
      </c>
      <c r="B42" t="n">
        <v>0</v>
      </c>
      <c r="C42" t="n">
        <v>0</v>
      </c>
      <c r="D42" t="n">
        <v>3</v>
      </c>
      <c r="F42" s="72" t="n">
        <v>0.01</v>
      </c>
      <c r="H42" t="inlineStr">
        <is>
          <t>earthenware pots bought 3pence.</t>
        </is>
      </c>
      <c r="J42" s="72">
        <f>F42</f>
        <v/>
      </c>
      <c r="K42" s="72">
        <f>J42</f>
        <v/>
      </c>
    </row>
    <row r="43">
      <c r="A43" t="inlineStr">
        <is>
          <t>Cost of the dairy</t>
        </is>
      </c>
      <c r="B43" t="n">
        <v>0</v>
      </c>
      <c r="C43" t="n">
        <v>1</v>
      </c>
      <c r="D43" t="n">
        <v>2</v>
      </c>
      <c r="F43" s="72" t="n">
        <v>0.06</v>
      </c>
      <c r="H43" t="inlineStr">
        <is>
          <t>washing and shearing wethers, ewes and lambs 1 shilling 2pence.</t>
        </is>
      </c>
      <c r="J43" s="72">
        <f>F43</f>
        <v/>
      </c>
      <c r="K43" s="72">
        <f>J43</f>
        <v/>
      </c>
    </row>
    <row r="44">
      <c r="A44" t="inlineStr">
        <is>
          <t>Cost of the dairy</t>
        </is>
      </c>
      <c r="B44" t="n">
        <v>0</v>
      </c>
      <c r="C44" t="n">
        <v>4</v>
      </c>
      <c r="D44" t="n">
        <v>0</v>
      </c>
      <c r="F44" s="72" t="n">
        <v>0.2</v>
      </c>
      <c r="H44" t="inlineStr">
        <is>
          <t>stipend of 1 shepherd for the year 4 shilling.</t>
        </is>
      </c>
    </row>
    <row r="45">
      <c r="A45" t="inlineStr">
        <is>
          <t>Cost of the dairy</t>
        </is>
      </c>
      <c r="B45" t="n">
        <v>0</v>
      </c>
      <c r="C45" t="n">
        <v>2</v>
      </c>
      <c r="D45" t="n">
        <v>0</v>
      </c>
      <c r="F45" s="72">
        <f>B45+C45/20+D45/240</f>
        <v/>
      </c>
      <c r="H45" t="inlineStr">
        <is>
          <t xml:space="preserve">stipend of 1 attendant making the pottage of the manorial servants, going to the harrowing, and keeping the birds away from the curia and the corn 2 shilling </t>
        </is>
      </c>
    </row>
    <row r="46">
      <c r="A46" t="inlineStr">
        <is>
          <t>Cost of the dairy</t>
        </is>
      </c>
      <c r="C46" t="n">
        <v>14</v>
      </c>
      <c r="D46" t="n">
        <v>2.5</v>
      </c>
      <c r="F46" s="72">
        <f>B46+C46/20+D46/240</f>
        <v/>
      </c>
      <c r="H46" t="inlineStr">
        <is>
          <t>Total, 14 shilling 2.5pence</t>
        </is>
      </c>
    </row>
    <row r="47">
      <c r="A47" t="inlineStr">
        <is>
          <t>Cost of the dairy</t>
        </is>
      </c>
      <c r="F47" s="72" t="n">
        <v>0.7100000000000001</v>
      </c>
      <c r="G47" s="138">
        <f>F47-F46</f>
        <v/>
      </c>
      <c r="H47" t="inlineStr">
        <is>
          <t>Total</t>
        </is>
      </c>
    </row>
    <row r="48"/>
    <row r="49">
      <c r="A49" t="inlineStr">
        <is>
          <t>Threshing</t>
        </is>
      </c>
      <c r="B49" t="n">
        <v>1</v>
      </c>
      <c r="C49" t="n">
        <v>4</v>
      </c>
      <c r="D49" t="n">
        <v>10.75</v>
      </c>
      <c r="F49" s="72" t="n">
        <v>1.24</v>
      </c>
      <c r="H49" t="inlineStr">
        <is>
          <t>In threshing and winnowing 91 quarters 3.5 bushels of wheat, 10 quarters 5 bushels of curall, 14.5 quarters of peas and 19 quarters 2 bushels of vetches by piece-work by struck measure £1 4 shilling 10.75pence, at 2.25pence a quarter of 10 struck bushe1 shilling.</t>
        </is>
      </c>
    </row>
    <row r="50">
      <c r="A50" t="inlineStr">
        <is>
          <t>Threshing</t>
        </is>
      </c>
      <c r="B50" t="n">
        <v>0</v>
      </c>
      <c r="C50" t="n">
        <v>5</v>
      </c>
      <c r="D50" t="n">
        <v>5.5</v>
      </c>
      <c r="F50" s="72">
        <f>B50+C50/20+D50/240</f>
        <v/>
      </c>
      <c r="H50" t="inlineStr">
        <is>
          <t>threshing 38.5 quarters 2.5 bushels of barley, and threshing and winnowing 8 quarters 1.5 bushels of dredge by struck measure, 5 shilling 5.5pence, at 1.75pence a quarter of 10 struck bushel shilling.</t>
        </is>
      </c>
    </row>
    <row r="51">
      <c r="A51" t="inlineStr">
        <is>
          <t>Threshing</t>
        </is>
      </c>
      <c r="B51" t="n">
        <v>0</v>
      </c>
      <c r="C51" t="n">
        <v>4</v>
      </c>
      <c r="D51" t="n">
        <v>10.25</v>
      </c>
      <c r="F51" s="72">
        <f>B51+C51/20+D51/240</f>
        <v/>
      </c>
      <c r="H51" t="inlineStr">
        <is>
          <t xml:space="preserve">threshing and winnowing 83 quarters of oats by piece-work 4 shilling 10.25pence, at 0.75pence per 10 struck bushels, and .25pence per 20 bushels winnowepence </t>
        </is>
      </c>
    </row>
    <row r="52">
      <c r="A52" t="inlineStr">
        <is>
          <t>Threshing</t>
        </is>
      </c>
      <c r="B52" t="n">
        <v>1</v>
      </c>
      <c r="C52" t="n">
        <v>15</v>
      </c>
      <c r="D52" t="n">
        <v>2.5</v>
      </c>
      <c r="F52" s="72" t="n">
        <v>1.76</v>
      </c>
      <c r="H52" t="inlineStr">
        <is>
          <t>Total, £1 15 shilling 2.5pence</t>
        </is>
      </c>
    </row>
    <row r="53">
      <c r="A53" t="inlineStr">
        <is>
          <t>Threshing</t>
        </is>
      </c>
      <c r="F53" s="72">
        <f>SUM(F49:F51)</f>
        <v/>
      </c>
      <c r="G53" s="138">
        <f>F53-F52</f>
        <v/>
      </c>
      <c r="H53" t="inlineStr">
        <is>
          <t>Total</t>
        </is>
      </c>
    </row>
    <row r="54"/>
    <row r="55">
      <c r="A55" t="inlineStr">
        <is>
          <t>Harvest-time</t>
        </is>
      </c>
      <c r="B55" t="n">
        <v>0</v>
      </c>
      <c r="C55" t="n">
        <v>5</v>
      </c>
      <c r="D55" t="n">
        <v>0</v>
      </c>
      <c r="F55" s="72" t="n">
        <v>0.25</v>
      </c>
      <c r="H55" t="inlineStr">
        <is>
          <t>In mowing, spreading and tossing the meadows 5 shilling.</t>
        </is>
      </c>
    </row>
    <row r="56">
      <c r="A56" t="inlineStr">
        <is>
          <t>Harvest-time</t>
        </is>
      </c>
      <c r="B56" t="n">
        <v>0</v>
      </c>
      <c r="C56" t="n">
        <v>5</v>
      </c>
      <c r="D56" t="n">
        <v>0</v>
      </c>
      <c r="F56" s="72" t="n">
        <v>0.25</v>
      </c>
      <c r="H56" t="inlineStr">
        <is>
          <t>weeding all the corn 5 shilling.</t>
        </is>
      </c>
    </row>
    <row r="57">
      <c r="A57" t="inlineStr">
        <is>
          <t>Harvest-time</t>
        </is>
      </c>
      <c r="B57" t="n">
        <v>4</v>
      </c>
      <c r="C57" t="n">
        <v>4</v>
      </c>
      <c r="D57" t="n">
        <v>6</v>
      </c>
      <c r="F57" s="72" t="n">
        <v>4.23</v>
      </c>
      <c r="H57" t="inlineStr">
        <is>
          <t>reaping and binding 89 acres of wheat, 16 acres of barley, 5 acres of dredge and 59 acres of oats measured by the perch by piece-work, £4 4 shilling 6pence, at 6pence an acre.</t>
        </is>
      </c>
    </row>
    <row r="58">
      <c r="A58" t="inlineStr">
        <is>
          <t>Harvest-time</t>
        </is>
      </c>
      <c r="B58" t="n">
        <v>0</v>
      </c>
      <c r="C58" t="n">
        <v>13</v>
      </c>
      <c r="D58" t="n">
        <v>4</v>
      </c>
      <c r="F58" s="72" t="n">
        <v>0.67</v>
      </c>
      <c r="H58" t="inlineStr">
        <is>
          <t>mowing 20 acres of peas and 19 acres of vetches measured by the perch by piece-work, 13 shilling, at 4pence an acre.</t>
        </is>
      </c>
    </row>
    <row r="59">
      <c r="A59" t="inlineStr">
        <is>
          <t>Harvest-time</t>
        </is>
      </c>
      <c r="B59" t="n">
        <v>0</v>
      </c>
      <c r="C59" t="n">
        <v>2</v>
      </c>
      <c r="D59" t="n">
        <v>6</v>
      </c>
      <c r="F59" s="72" t="n">
        <v>0.12</v>
      </c>
      <c r="H59" t="inlineStr">
        <is>
          <t>turning and collecting the said peas and vetches 2 shilling 6pence.</t>
        </is>
      </c>
    </row>
    <row r="60">
      <c r="A60" t="inlineStr">
        <is>
          <t>Harvest-time</t>
        </is>
      </c>
      <c r="B60" t="n">
        <v>0</v>
      </c>
      <c r="C60" t="n">
        <v>2</v>
      </c>
      <c r="D60" t="n">
        <v>0</v>
      </c>
      <c r="F60" s="72" t="n">
        <v>0.1</v>
      </c>
      <c r="H60" t="inlineStr">
        <is>
          <t>stipend of 1 reap-reeve 2 shilling.</t>
        </is>
      </c>
    </row>
    <row r="61">
      <c r="A61" t="inlineStr">
        <is>
          <t>Harvest-time</t>
        </is>
      </c>
      <c r="B61" t="n">
        <v>0</v>
      </c>
      <c r="C61" t="n">
        <v>6</v>
      </c>
      <c r="D61" t="n">
        <v>0</v>
      </c>
      <c r="F61" s="72" t="n">
        <v>0.3</v>
      </c>
      <c r="H61" t="inlineStr">
        <is>
          <t>stipend of 2 stackers 6 shilling.</t>
        </is>
      </c>
    </row>
    <row r="62">
      <c r="A62" t="inlineStr">
        <is>
          <t>Harvest-time</t>
        </is>
      </c>
      <c r="B62" t="n">
        <v>0</v>
      </c>
      <c r="C62" t="n">
        <v>7</v>
      </c>
      <c r="D62" t="n">
        <v>0</v>
      </c>
      <c r="F62" s="72" t="n">
        <v>0.35</v>
      </c>
      <c r="H62" t="inlineStr">
        <is>
          <t>hiring 1 carter to carry the corn for 14 days 7 shilling.</t>
        </is>
      </c>
    </row>
    <row r="63">
      <c r="A63" t="inlineStr">
        <is>
          <t>Harvest-time</t>
        </is>
      </c>
      <c r="B63" t="n">
        <v>0</v>
      </c>
      <c r="C63" t="n">
        <v>5</v>
      </c>
      <c r="D63" t="n">
        <v>6</v>
      </c>
      <c r="F63">
        <f>B63+C63/20+D63/240</f>
        <v/>
      </c>
      <c r="H63" t="inlineStr">
        <is>
          <t xml:space="preserve">ale, meat, herrings and cheese bought for 1 hayward, reap-reeve and 2 stackers, for 4 weeks at harvest-time, 5 shilling 6pence </t>
        </is>
      </c>
    </row>
    <row r="64">
      <c r="A64" t="inlineStr">
        <is>
          <t>Harvest-time</t>
        </is>
      </c>
      <c r="B64" t="n">
        <v>6</v>
      </c>
      <c r="C64" t="n">
        <v>10</v>
      </c>
      <c r="D64" t="n">
        <v>6</v>
      </c>
      <c r="F64" s="72" t="n">
        <v>6.53</v>
      </c>
      <c r="H64" t="inlineStr">
        <is>
          <t>Total, £6 10 shilling 6pence</t>
        </is>
      </c>
    </row>
    <row r="65">
      <c r="A65" t="inlineStr">
        <is>
          <t>Harvest-time</t>
        </is>
      </c>
      <c r="F65" s="72">
        <f>SUM(F55:F63)</f>
        <v/>
      </c>
      <c r="G65" s="138">
        <f>F65-F64</f>
        <v/>
      </c>
      <c r="H65" t="inlineStr">
        <is>
          <t>Total</t>
        </is>
      </c>
    </row>
    <row r="66"/>
    <row r="67">
      <c r="A67" t="inlineStr">
        <is>
          <t>Costs of buildings</t>
        </is>
      </c>
      <c r="B67" t="n">
        <v>0</v>
      </c>
      <c r="C67" t="n">
        <v>2</v>
      </c>
      <c r="D67" t="n">
        <v>10</v>
      </c>
      <c r="F67" t="n">
        <v>0.14</v>
      </c>
      <c r="H67" t="inlineStr">
        <is>
          <t>In re-roofing in places the buildings within the curia 2 shilling 10pence.</t>
        </is>
      </c>
      <c r="J67">
        <f>F67</f>
        <v/>
      </c>
    </row>
    <row r="68">
      <c r="A68" t="inlineStr">
        <is>
          <t>Costs of buildings</t>
        </is>
      </c>
      <c r="B68" t="n">
        <v>0</v>
      </c>
      <c r="C68" t="n">
        <v>2</v>
      </c>
      <c r="D68" t="n">
        <v>8</v>
      </c>
      <c r="F68" t="n">
        <v>0.13</v>
      </c>
      <c r="H68" t="inlineStr">
        <is>
          <t>2,000 large slates bought for the same 2 shilling 8pence.</t>
        </is>
      </c>
      <c r="J68">
        <f>F68</f>
        <v/>
      </c>
    </row>
    <row r="69">
      <c r="A69" t="inlineStr">
        <is>
          <t>Costs of buildings</t>
        </is>
      </c>
      <c r="B69" t="n">
        <v>0</v>
      </c>
      <c r="C69" t="n">
        <v>1</v>
      </c>
      <c r="D69" t="n">
        <v>0</v>
      </c>
      <c r="F69" t="n">
        <v>0.05</v>
      </c>
      <c r="H69" t="inlineStr">
        <is>
          <t>2 quarters of lime bought 1 shilling.</t>
        </is>
      </c>
      <c r="J69">
        <f>F69</f>
        <v/>
      </c>
    </row>
    <row r="70">
      <c r="A70" t="inlineStr">
        <is>
          <t>Costs of buildings</t>
        </is>
      </c>
      <c r="B70" t="n">
        <v>0</v>
      </c>
      <c r="C70" t="n">
        <v>0</v>
      </c>
      <c r="D70" t="n">
        <v>2</v>
      </c>
      <c r="F70" t="n">
        <v>0.01</v>
      </c>
      <c r="H70" t="inlineStr">
        <is>
          <t>pegs bought 2pence.</t>
        </is>
      </c>
      <c r="J70">
        <f>F70</f>
        <v/>
      </c>
    </row>
    <row r="71">
      <c r="A71" t="inlineStr">
        <is>
          <t>Costs of buildings</t>
        </is>
      </c>
      <c r="B71" t="n">
        <v>0</v>
      </c>
      <c r="C71" t="n">
        <v>5</v>
      </c>
      <c r="D71" t="n">
        <v>4</v>
      </c>
      <c r="F71" t="n">
        <v>0.27</v>
      </c>
      <c r="H71" t="inlineStr">
        <is>
          <t>2 casks bought for putting cider in and hooping the same 5 shilling 4pence.</t>
        </is>
      </c>
      <c r="J71">
        <f>F71</f>
        <v/>
      </c>
    </row>
    <row r="72">
      <c r="A72" t="inlineStr">
        <is>
          <t>Costs of buildings</t>
        </is>
      </c>
      <c r="B72" t="n">
        <v>0</v>
      </c>
      <c r="C72" t="n">
        <v>0</v>
      </c>
      <c r="D72" t="n">
        <v>10</v>
      </c>
      <c r="F72" t="n">
        <v>0.04</v>
      </c>
      <c r="H72" t="inlineStr">
        <is>
          <t>making 2 casks of cider 10pence.</t>
        </is>
      </c>
      <c r="J72">
        <f>F72</f>
        <v/>
      </c>
    </row>
    <row r="73">
      <c r="A73" t="inlineStr">
        <is>
          <t>Costs of buildings</t>
        </is>
      </c>
      <c r="B73" t="n">
        <v>0</v>
      </c>
      <c r="C73" t="n">
        <v>10</v>
      </c>
      <c r="D73" t="n">
        <v>6</v>
      </c>
      <c r="F73" t="n">
        <v>0.53</v>
      </c>
      <c r="H73" t="inlineStr">
        <is>
          <t>7 pigs bought 10 shilling 6pence, at 1 shilling 6pence each.</t>
        </is>
      </c>
    </row>
    <row r="74">
      <c r="A74" t="inlineStr">
        <is>
          <t>Costs of buildings</t>
        </is>
      </c>
      <c r="B74" t="n">
        <v>0</v>
      </c>
      <c r="C74" t="n">
        <v>8</v>
      </c>
      <c r="D74" t="n">
        <v>0</v>
      </c>
      <c r="F74" t="n">
        <v>0.4</v>
      </c>
      <c r="H74" t="inlineStr">
        <is>
          <t>8 piglets bought 8 shilling.</t>
        </is>
      </c>
    </row>
    <row r="75">
      <c r="A75" t="inlineStr">
        <is>
          <t>Costs of buildings</t>
        </is>
      </c>
      <c r="B75" t="n">
        <v>0</v>
      </c>
      <c r="C75" t="n">
        <v>4</v>
      </c>
      <c r="D75" t="n">
        <v>8</v>
      </c>
      <c r="F75" t="n">
        <v>0.23</v>
      </c>
      <c r="H75" t="inlineStr">
        <is>
          <t>7 piglets bought 4 shilling 8pence, at 8pence each.</t>
        </is>
      </c>
    </row>
    <row r="76">
      <c r="A76" t="inlineStr">
        <is>
          <t>Costs of buildings</t>
        </is>
      </c>
      <c r="B76" t="n">
        <v>1</v>
      </c>
      <c r="C76" t="n">
        <v>16</v>
      </c>
      <c r="D76" t="n">
        <v>0</v>
      </c>
      <c r="F76" t="n">
        <v>1.8</v>
      </c>
      <c r="H76" t="inlineStr">
        <is>
          <t xml:space="preserve">Total, £1 16 shilling </t>
        </is>
      </c>
    </row>
    <row r="77"/>
    <row r="78">
      <c r="A78" t="inlineStr">
        <is>
          <t>Costs of buildings</t>
        </is>
      </c>
      <c r="B78" t="n">
        <v>0</v>
      </c>
      <c r="C78" t="n">
        <v>0</v>
      </c>
      <c r="D78" t="n">
        <v>3</v>
      </c>
      <c r="F78" s="72">
        <f>B78+C78/20+D78/240</f>
        <v/>
      </c>
      <c r="H78" t="inlineStr">
        <is>
          <t xml:space="preserve">Paid at the bishop's court at Fareham for the rent of the land of Harpe 3pence </t>
        </is>
      </c>
    </row>
    <row r="79">
      <c r="A79" t="inlineStr">
        <is>
          <t>Costs of buildings</t>
        </is>
      </c>
      <c r="B79" t="n">
        <v>0</v>
      </c>
      <c r="C79" t="n">
        <v>0</v>
      </c>
      <c r="D79" t="n">
        <v>3</v>
      </c>
      <c r="F79" s="72">
        <f>B79+C79/20+D79/240</f>
        <v/>
      </c>
      <c r="H79" t="inlineStr">
        <is>
          <t xml:space="preserve">Also paid at the aforesaid court for the aforesaid rent from the previous year 3pence </t>
        </is>
      </c>
    </row>
    <row r="80">
      <c r="A80" t="inlineStr">
        <is>
          <t>Costs of buildings</t>
        </is>
      </c>
      <c r="B80" t="n">
        <v>0</v>
      </c>
      <c r="C80" t="n">
        <v>0</v>
      </c>
      <c r="D80" t="n">
        <v>2</v>
      </c>
      <c r="F80" s="72">
        <f>B80+C80/20+D80/240</f>
        <v/>
      </c>
      <c r="H80" t="inlineStr">
        <is>
          <t>Also paid there for 1 lb of pepper for this year and for another pound of pepper from the previous year for a rent 2pence</t>
        </is>
      </c>
    </row>
    <row r="81">
      <c r="A81" t="inlineStr">
        <is>
          <t>Costs of buildings</t>
        </is>
      </c>
      <c r="B81" t="n">
        <v>0</v>
      </c>
      <c r="C81" t="n">
        <v>16</v>
      </c>
      <c r="D81" t="n">
        <v>10</v>
      </c>
      <c r="F81" s="72">
        <f>B81+C81/20+D81/240</f>
        <v/>
      </c>
      <c r="H81" t="inlineStr">
        <is>
          <t xml:space="preserve">Paid to the collectors of the fifteenth for the manor of Cams 16 shilling 10pence </t>
        </is>
      </c>
    </row>
    <row r="82">
      <c r="A82" t="inlineStr">
        <is>
          <t>Costs of buildings</t>
        </is>
      </c>
      <c r="B82" t="n">
        <v>0</v>
      </c>
      <c r="C82" t="n">
        <v>5</v>
      </c>
      <c r="D82" t="n">
        <v>0</v>
      </c>
      <c r="F82" s="72">
        <f>B82+C82/20+D82/240</f>
        <v/>
      </c>
      <c r="H82" t="inlineStr">
        <is>
          <t xml:space="preserve">Given to the same collectors for a gratuity 5 shilling </t>
        </is>
      </c>
    </row>
    <row r="83">
      <c r="A83" t="inlineStr">
        <is>
          <t>Costs of buildings</t>
        </is>
      </c>
      <c r="B83" t="n">
        <v>1</v>
      </c>
      <c r="C83" t="n">
        <v>2</v>
      </c>
      <c r="D83" t="n">
        <v>0</v>
      </c>
      <c r="F83" s="72">
        <f>B83+C83/20+D83/240</f>
        <v/>
      </c>
      <c r="H83" t="inlineStr">
        <is>
          <t xml:space="preserve">Total, £1 2 shilling </t>
        </is>
      </c>
    </row>
    <row r="84"/>
    <row r="85">
      <c r="A85" t="inlineStr">
        <is>
          <t>Total of all buildings</t>
        </is>
      </c>
      <c r="F85" s="72">
        <f>F83+F76</f>
        <v/>
      </c>
    </row>
    <row r="86"/>
    <row r="87">
      <c r="A87" t="inlineStr">
        <is>
          <t>Total of all expenses</t>
        </is>
      </c>
      <c r="B87" t="n">
        <v>15</v>
      </c>
      <c r="C87" t="n">
        <v>12</v>
      </c>
      <c r="D87" t="n">
        <v>8</v>
      </c>
      <c r="F87" s="72" t="n">
        <v>15.63</v>
      </c>
      <c r="H87" t="inlineStr">
        <is>
          <t>Total of all expenses, £15 12 shilling 8pence</t>
        </is>
      </c>
    </row>
    <row r="88">
      <c r="A88" t="inlineStr">
        <is>
          <t>Total of all expenses</t>
        </is>
      </c>
      <c r="F88" s="72" t="n">
        <v>15.63</v>
      </c>
      <c r="G88" s="138">
        <f>F88-F87</f>
        <v/>
      </c>
      <c r="H88" t="inlineStr">
        <is>
          <t>Total</t>
        </is>
      </c>
    </row>
    <row r="89"/>
    <row r="90">
      <c r="A90" t="inlineStr">
        <is>
          <t>And he owes</t>
        </is>
      </c>
      <c r="B90" t="n">
        <v>20</v>
      </c>
      <c r="C90" t="n">
        <v>4</v>
      </c>
      <c r="D90" t="n">
        <v>4.25</v>
      </c>
      <c r="F90" s="72" t="n">
        <v>20.22</v>
      </c>
      <c r="H90" t="inlineStr">
        <is>
          <t>And he owes, £20 4 shilling 4.25pence</t>
        </is>
      </c>
    </row>
    <row r="91">
      <c r="A91" t="inlineStr">
        <is>
          <t>And he owes</t>
        </is>
      </c>
      <c r="F91" s="72" t="n">
        <v>20.22</v>
      </c>
      <c r="G91" s="138" t="n">
        <v>0</v>
      </c>
      <c r="H91" t="inlineStr">
        <is>
          <t>Total</t>
        </is>
      </c>
    </row>
    <row r="92"/>
    <row r="93"/>
    <row r="94">
      <c r="A94" t="inlineStr">
        <is>
          <t>Cash deliveries</t>
        </is>
      </c>
      <c r="B94" t="n">
        <v>16</v>
      </c>
      <c r="C94" t="n">
        <v>0</v>
      </c>
      <c r="D94" t="n">
        <v>0</v>
      </c>
      <c r="F94" s="72" t="n">
        <v>16</v>
      </c>
      <c r="H94" t="inlineStr">
        <is>
          <t>Delivered to Sir Geoffrey, treasurer of Wolvesey, by 1 tally, £16.</t>
        </is>
      </c>
    </row>
    <row r="95">
      <c r="A95" t="inlineStr">
        <is>
          <t>Cash deliveries</t>
        </is>
      </c>
      <c r="F95" s="72" t="n">
        <v>16</v>
      </c>
      <c r="G95" s="138" t="n">
        <v>0</v>
      </c>
      <c r="H95" t="inlineStr">
        <is>
          <t>Total</t>
        </is>
      </c>
    </row>
    <row r="96"/>
    <row r="97"/>
    <row r="98">
      <c r="A98" t="inlineStr">
        <is>
          <t>And thus he owes clear</t>
        </is>
      </c>
      <c r="B98" t="n">
        <v>4</v>
      </c>
      <c r="C98" t="n">
        <v>4</v>
      </c>
      <c r="D98" t="n">
        <v>4.25</v>
      </c>
      <c r="F98" s="72" t="n">
        <v>4.22</v>
      </c>
      <c r="H98" t="inlineStr">
        <is>
          <t>And thus he owes clear, £4 4 shilling 4.25pence</t>
        </is>
      </c>
    </row>
    <row r="99"/>
    <row r="100" ht="16" customHeight="1">
      <c r="A100" s="12" t="inlineStr">
        <is>
          <t>Total of all expenses per account</t>
        </is>
      </c>
      <c r="F100" s="72">
        <f>F88</f>
        <v/>
      </c>
    </row>
    <row r="101" ht="16" customHeight="1">
      <c r="A101" s="12" t="inlineStr">
        <is>
          <t>Total of all expenses (calculated here)</t>
        </is>
      </c>
      <c r="F101" s="72">
        <f>F65+F53+F47+F34+F19+F85</f>
        <v/>
      </c>
      <c r="G101" s="138">
        <f>F101-F100</f>
        <v/>
      </c>
    </row>
    <row r="102" ht="16" customHeight="1">
      <c r="A102" s="12" t="inlineStr">
        <is>
          <t>Total fixed investment</t>
        </is>
      </c>
      <c r="F102" s="72">
        <f>SUM(J3:J76)</f>
        <v/>
      </c>
    </row>
    <row r="103" ht="16" customHeight="1">
      <c r="A103" s="12" t="inlineStr">
        <is>
          <t>Total Demesne fixed investment</t>
        </is>
      </c>
      <c r="F103" s="72">
        <f>SUM(K3:K72)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0"/>
  <sheetViews>
    <sheetView topLeftCell="A1" workbookViewId="0">
      <selection activeCell="A1" sqref="A1"/>
    </sheetView>
  </sheetViews>
  <sheetFormatPr baseColWidth="8" defaultRowHeight="15"/>
  <cols>
    <col width="14.33203125" customWidth="1" min="1" max="1"/>
    <col width="19.1640625" customWidth="1" min="3" max="3"/>
    <col width="20" customWidth="1" min="4" max="4"/>
    <col width="21.5" customWidth="1" min="5" max="5"/>
    <col width="15.83203125" customWidth="1" min="6" max="6"/>
    <col width="19" customWidth="1" min="7" max="7"/>
    <col width="15.5" customWidth="1" min="8" max="8"/>
    <col width="17.6640625" customWidth="1" min="9" max="9"/>
    <col width="16" customWidth="1" min="10" max="10"/>
    <col width="17" customWidth="1" min="11" max="11"/>
    <col width="23.33203125" customWidth="1" min="12" max="12"/>
    <col width="12.83203125" customWidth="1" min="13" max="13"/>
    <col width="8.1640625" customWidth="1" min="14" max="14"/>
    <col width="19.5" customWidth="1" min="15" max="15"/>
    <col width="23.33203125" customWidth="1" min="16" max="16"/>
  </cols>
  <sheetData>
    <row r="1" ht="32" customHeight="1">
      <c r="A1" s="37" t="inlineStr">
        <is>
          <t>Gross Output</t>
        </is>
      </c>
      <c r="B1" s="37" t="inlineStr">
        <is>
          <t>Total Quantity</t>
        </is>
      </c>
      <c r="C1" s="37" t="inlineStr">
        <is>
          <t>Account Total Quarters</t>
        </is>
      </c>
      <c r="D1" s="37" t="inlineStr">
        <is>
          <t>Bought in Total Quarters</t>
        </is>
      </c>
      <c r="E1" s="37" t="inlineStr">
        <is>
          <t>Received from churchscot</t>
        </is>
      </c>
      <c r="F1" s="37" t="inlineStr">
        <is>
          <t>Sold Total Quarters</t>
        </is>
      </c>
      <c r="G1" s="139" t="inlineStr">
        <is>
          <t>Difference Produced+Bought-Sold</t>
        </is>
      </c>
      <c r="H1" s="139" t="inlineStr">
        <is>
          <t>Weighted Average Price per Quarter</t>
        </is>
      </c>
      <c r="I1" s="140" t="inlineStr">
        <is>
          <t>Value of Total Production weighted</t>
        </is>
      </c>
    </row>
    <row r="2">
      <c r="A2" t="inlineStr">
        <is>
          <t>wheat</t>
        </is>
      </c>
      <c r="B2" t="n">
        <v>93.6875</v>
      </c>
      <c r="D2" t="n">
        <v>2.25</v>
      </c>
      <c r="F2" s="72" t="n">
        <v>58.125</v>
      </c>
      <c r="G2" s="72">
        <f>B2-F2</f>
        <v/>
      </c>
      <c r="H2" s="72" t="n">
        <v>0.2891603329714079</v>
      </c>
      <c r="I2" s="72">
        <f>H2*B2</f>
        <v/>
      </c>
    </row>
    <row r="3">
      <c r="A3" t="inlineStr">
        <is>
          <t>curall</t>
        </is>
      </c>
      <c r="B3" t="n">
        <v>10.625</v>
      </c>
      <c r="D3" t="n">
        <v>0</v>
      </c>
      <c r="F3" s="72" t="n">
        <v>10.625</v>
      </c>
      <c r="G3" s="72">
        <f>B3-F3</f>
        <v/>
      </c>
      <c r="H3" s="72" t="n">
        <v>0.08921568627450981</v>
      </c>
      <c r="I3" s="72">
        <f>H3*B3</f>
        <v/>
      </c>
    </row>
    <row r="4">
      <c r="A4" t="inlineStr">
        <is>
          <t>barley</t>
        </is>
      </c>
      <c r="B4" t="n">
        <v>39.625</v>
      </c>
      <c r="D4" t="n">
        <v>0</v>
      </c>
      <c r="F4" s="72" t="n">
        <v>8.8125</v>
      </c>
      <c r="G4" s="72">
        <f>B4-F4</f>
        <v/>
      </c>
      <c r="H4" s="72" t="n">
        <v>0.2</v>
      </c>
      <c r="I4" s="72">
        <f>H4*B4</f>
        <v/>
      </c>
    </row>
    <row r="5">
      <c r="A5" t="inlineStr">
        <is>
          <t>dredge</t>
        </is>
      </c>
      <c r="B5" t="n">
        <v>8.1875</v>
      </c>
      <c r="D5" t="n">
        <v>0</v>
      </c>
      <c r="F5" s="72" t="n">
        <v>4.9375</v>
      </c>
      <c r="G5" s="72">
        <f>B5-F5</f>
        <v/>
      </c>
      <c r="H5" s="72" t="n">
        <v>0.15</v>
      </c>
      <c r="I5" s="72">
        <f>H5*B5</f>
        <v/>
      </c>
    </row>
    <row r="6">
      <c r="A6" t="inlineStr">
        <is>
          <t>oats</t>
        </is>
      </c>
      <c r="B6" t="n">
        <v>93.875</v>
      </c>
      <c r="D6" t="n">
        <v>0</v>
      </c>
      <c r="F6" s="72" t="n">
        <v>30.75</v>
      </c>
      <c r="G6" s="72">
        <f>B6-F6</f>
        <v/>
      </c>
      <c r="H6" s="72" t="n">
        <v>0.1130081300813008</v>
      </c>
      <c r="I6" s="72">
        <f>H6*B6</f>
        <v/>
      </c>
    </row>
    <row r="7">
      <c r="A7" t="inlineStr">
        <is>
          <t>peas</t>
        </is>
      </c>
      <c r="B7" t="n">
        <v>14.4375</v>
      </c>
      <c r="D7" t="n">
        <v>0</v>
      </c>
      <c r="F7" s="72" t="n">
        <v>7.625</v>
      </c>
      <c r="G7" s="72">
        <f>B7-F7</f>
        <v/>
      </c>
      <c r="H7" s="72" t="n">
        <v>0.107669616519174</v>
      </c>
      <c r="I7" s="72">
        <f>H7*B7</f>
        <v/>
      </c>
    </row>
    <row r="8">
      <c r="A8" t="inlineStr">
        <is>
          <t>vetches</t>
        </is>
      </c>
      <c r="B8" t="n">
        <v>19.25</v>
      </c>
      <c r="D8" t="n">
        <v>0</v>
      </c>
      <c r="F8" s="72" t="n">
        <v>3.75</v>
      </c>
      <c r="G8" s="72">
        <f>B8-F8</f>
        <v/>
      </c>
      <c r="H8" s="72" t="n">
        <v>0.1</v>
      </c>
      <c r="I8" s="72">
        <f>H8*B8</f>
        <v/>
      </c>
    </row>
    <row r="9"/>
    <row r="10"/>
    <row r="11"/>
    <row r="12"/>
    <row r="13" ht="32" customHeight="1">
      <c r="A13" s="38" t="inlineStr">
        <is>
          <t>Net output</t>
        </is>
      </c>
      <c r="B13" s="141" t="inlineStr">
        <is>
          <t>Gross output</t>
        </is>
      </c>
      <c r="C13" s="142" t="inlineStr">
        <is>
          <t>Seed quarters</t>
        </is>
      </c>
      <c r="D13" s="142" t="inlineStr">
        <is>
          <t>Seed bushels</t>
        </is>
      </c>
      <c r="E13" s="142" t="inlineStr">
        <is>
          <t>Seed total quarters</t>
        </is>
      </c>
      <c r="F13" s="38" t="inlineStr">
        <is>
          <t>tithe quarters</t>
        </is>
      </c>
      <c r="G13" s="142" t="inlineStr">
        <is>
          <t>tithe bushels</t>
        </is>
      </c>
      <c r="H13" s="142" t="inlineStr">
        <is>
          <t>tithe total</t>
        </is>
      </c>
      <c r="I13" s="142" t="inlineStr">
        <is>
          <t>manorial servants quarters</t>
        </is>
      </c>
      <c r="J13" s="142" t="inlineStr">
        <is>
          <t>manorial servants bushels</t>
        </is>
      </c>
      <c r="K13" s="143" t="inlineStr">
        <is>
          <t>manorial servants total quarters</t>
        </is>
      </c>
      <c r="L13" s="142" t="inlineStr">
        <is>
          <t>output net of tithe, seed, liveries</t>
        </is>
      </c>
      <c r="M13" s="142" t="inlineStr">
        <is>
          <t>in stock from last year</t>
        </is>
      </c>
      <c r="N13" s="144" t="inlineStr">
        <is>
          <t>Price in £</t>
        </is>
      </c>
      <c r="O13" s="144" t="inlineStr">
        <is>
          <t>Value of net output in £</t>
        </is>
      </c>
      <c r="P13" s="141" t="inlineStr">
        <is>
          <t>Value of sales (in "Sale of Corn") in £</t>
        </is>
      </c>
    </row>
    <row r="14">
      <c r="A14" t="inlineStr">
        <is>
          <t>wheat</t>
        </is>
      </c>
      <c r="B14">
        <f>B2</f>
        <v/>
      </c>
      <c r="C14" t="n">
        <v>33</v>
      </c>
      <c r="D14" t="n">
        <v>2</v>
      </c>
      <c r="E14">
        <f>C14+D14/8</f>
        <v/>
      </c>
      <c r="I14">
        <f>1.5+1</f>
        <v/>
      </c>
      <c r="K14" s="145">
        <f>I14+J14/8</f>
        <v/>
      </c>
      <c r="L14" s="72">
        <f>B14-E14-H14-K14</f>
        <v/>
      </c>
      <c r="N14" s="72">
        <f>H2</f>
        <v/>
      </c>
      <c r="O14" s="72">
        <f>N14*L14</f>
        <v/>
      </c>
    </row>
    <row r="15">
      <c r="A15" t="inlineStr">
        <is>
          <t>curall</t>
        </is>
      </c>
      <c r="B15">
        <f>B3</f>
        <v/>
      </c>
      <c r="E15">
        <f>C15+D15/8</f>
        <v/>
      </c>
      <c r="K15" s="145">
        <f>I15+J15/8</f>
        <v/>
      </c>
      <c r="L15" s="72">
        <f>B15-E15-H15-K15</f>
        <v/>
      </c>
      <c r="N15" s="72">
        <f>H3</f>
        <v/>
      </c>
      <c r="O15" s="72">
        <f>N15*L15</f>
        <v/>
      </c>
    </row>
    <row r="16">
      <c r="A16" t="inlineStr">
        <is>
          <t>barley</t>
        </is>
      </c>
      <c r="B16">
        <f>B4</f>
        <v/>
      </c>
      <c r="C16" t="n">
        <v>9.5</v>
      </c>
      <c r="D16" t="n">
        <v>3</v>
      </c>
      <c r="E16">
        <f>C16+D16/8</f>
        <v/>
      </c>
      <c r="I16">
        <f>1.5+5+8+2.5+4+3</f>
        <v/>
      </c>
      <c r="J16">
        <f>3+1.5+5+2.5+2+3</f>
        <v/>
      </c>
      <c r="K16" s="145">
        <f>I16+J16/8</f>
        <v/>
      </c>
      <c r="L16" s="72">
        <f>B16-E16-H16-K16</f>
        <v/>
      </c>
      <c r="N16" s="72">
        <f>H4</f>
        <v/>
      </c>
      <c r="O16" s="72">
        <f>N16*L16</f>
        <v/>
      </c>
    </row>
    <row r="17">
      <c r="A17" t="inlineStr">
        <is>
          <t>dredge</t>
        </is>
      </c>
      <c r="B17">
        <f>B5</f>
        <v/>
      </c>
      <c r="C17" t="n">
        <v>3</v>
      </c>
      <c r="D17" t="n">
        <v>2</v>
      </c>
      <c r="E17">
        <f>C17+D17/8</f>
        <v/>
      </c>
      <c r="K17" s="145">
        <f>I17+J17/8</f>
        <v/>
      </c>
      <c r="L17" s="72">
        <f>B17-E17-H17-K17</f>
        <v/>
      </c>
      <c r="N17" s="72">
        <f>H5</f>
        <v/>
      </c>
      <c r="O17" s="72">
        <f>N17*L17</f>
        <v/>
      </c>
    </row>
    <row r="18">
      <c r="A18" t="inlineStr">
        <is>
          <t>oats</t>
        </is>
      </c>
      <c r="B18">
        <f>B6</f>
        <v/>
      </c>
      <c r="C18" t="n">
        <v>40</v>
      </c>
      <c r="D18" t="n">
        <v>7</v>
      </c>
      <c r="E18">
        <f>C18+D18/8</f>
        <v/>
      </c>
      <c r="I18">
        <f>11.5+10.5</f>
        <v/>
      </c>
      <c r="J18" t="n">
        <v>2</v>
      </c>
      <c r="K18" s="145">
        <f>I18+J18/8</f>
        <v/>
      </c>
      <c r="L18" s="72">
        <f>B18-E18-H18-K18</f>
        <v/>
      </c>
      <c r="N18" s="72">
        <f>H6</f>
        <v/>
      </c>
      <c r="O18" s="72">
        <f>N18*L18</f>
        <v/>
      </c>
    </row>
    <row r="19">
      <c r="A19" t="inlineStr">
        <is>
          <t>peas</t>
        </is>
      </c>
      <c r="B19">
        <f>B7</f>
        <v/>
      </c>
      <c r="C19" t="n">
        <v>7</v>
      </c>
      <c r="D19" t="n">
        <v>3</v>
      </c>
      <c r="E19">
        <f>C19+D19/8</f>
        <v/>
      </c>
      <c r="K19" s="145">
        <f>I19+J19/8</f>
        <v/>
      </c>
      <c r="L19" s="72">
        <f>B19-E19-H19-K19</f>
        <v/>
      </c>
      <c r="N19" s="72">
        <f>H7</f>
        <v/>
      </c>
      <c r="O19" s="72">
        <f>N19*L19</f>
        <v/>
      </c>
    </row>
    <row r="20">
      <c r="A20" t="inlineStr">
        <is>
          <t>vetches</t>
        </is>
      </c>
      <c r="B20">
        <f>B8</f>
        <v/>
      </c>
      <c r="C20" t="n">
        <v>9.5</v>
      </c>
      <c r="E20">
        <f>C20+D20/8</f>
        <v/>
      </c>
      <c r="I20" t="n">
        <v>6</v>
      </c>
      <c r="K20" s="145">
        <f>I20+J20/8</f>
        <v/>
      </c>
      <c r="L20" s="72">
        <f>B20-E20-H20-K20</f>
        <v/>
      </c>
      <c r="N20" s="72">
        <f>H8</f>
        <v/>
      </c>
      <c r="O20" s="72">
        <f>N20*L20</f>
        <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0"/>
  <sheetViews>
    <sheetView topLeftCell="A1" workbookViewId="0">
      <selection activeCell="A1" sqref="A1"/>
    </sheetView>
  </sheetViews>
  <sheetFormatPr baseColWidth="8" defaultRowHeight="15"/>
  <cols>
    <col width="44.33203125" customWidth="1" min="1" max="1"/>
    <col width="16.1640625" customWidth="1" min="10" max="10"/>
    <col width="11.1640625" customWidth="1" min="14" max="14"/>
    <col width="8.83203125" customWidth="1" min="15" max="15"/>
    <col width="15.83203125" customWidth="1" min="16" max="16"/>
    <col width="19" customWidth="1" min="17" max="17"/>
    <col width="15.33203125" customWidth="1" min="19" max="19"/>
    <col width="15.5" customWidth="1" min="20" max="20"/>
  </cols>
  <sheetData>
    <row r="1" ht="16" customHeight="1">
      <c r="A1" s="12" t="inlineStr">
        <is>
          <t>CAMS STOCK ACCOUNT</t>
        </is>
      </c>
      <c r="B1" s="37" t="n"/>
      <c r="C1" s="37" t="n"/>
      <c r="D1" s="37" t="n"/>
      <c r="E1" s="37" t="n"/>
      <c r="F1" s="37" t="n"/>
      <c r="G1" s="37" t="n"/>
      <c r="H1" s="37" t="n"/>
      <c r="I1" s="37" t="n"/>
    </row>
    <row r="2" ht="16" customHeight="1">
      <c r="A2" s="12" t="n"/>
    </row>
    <row r="3">
      <c r="A3" s="44" t="n"/>
      <c r="B3" s="44" t="n"/>
      <c r="C3" s="125" t="inlineStr">
        <is>
          <t>added</t>
        </is>
      </c>
      <c r="G3" s="126" t="inlineStr">
        <is>
          <t>subtracted</t>
        </is>
      </c>
      <c r="K3" s="44" t="n"/>
      <c r="L3" s="44" t="n"/>
      <c r="M3" s="44" t="n"/>
      <c r="N3" s="44" t="n"/>
      <c r="O3" s="73"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46"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4</v>
      </c>
      <c r="H5" t="n">
        <v>1</v>
      </c>
      <c r="K5" t="n">
        <v>3</v>
      </c>
      <c r="R5" s="72">
        <f>Receipts!F23</f>
        <v/>
      </c>
    </row>
    <row r="6" ht="16" customHeight="1">
      <c r="A6" s="44" t="inlineStr">
        <is>
          <t>Mares</t>
        </is>
      </c>
      <c r="B6" t="n">
        <v>2</v>
      </c>
      <c r="H6" t="n">
        <v>2</v>
      </c>
      <c r="R6" s="72">
        <f>Receipts!F24</f>
        <v/>
      </c>
    </row>
    <row r="7">
      <c r="A7" t="inlineStr">
        <is>
          <t>Plough horses</t>
        </is>
      </c>
    </row>
    <row r="8">
      <c r="A8" t="inlineStr">
        <is>
          <t>Colts (unspecified years)</t>
        </is>
      </c>
    </row>
    <row r="9">
      <c r="A9" t="inlineStr">
        <is>
          <t>Colts (2 years)</t>
        </is>
      </c>
    </row>
    <row r="10">
      <c r="A10" t="inlineStr">
        <is>
          <t>Colts (1 year)</t>
        </is>
      </c>
    </row>
    <row r="11">
      <c r="A11" t="inlineStr">
        <is>
          <t>Foals</t>
        </is>
      </c>
    </row>
    <row r="12">
      <c r="A12" t="inlineStr">
        <is>
          <t>Oxen</t>
        </is>
      </c>
      <c r="B12" t="n">
        <v>20</v>
      </c>
      <c r="K12" t="n">
        <v>20</v>
      </c>
    </row>
    <row r="13">
      <c r="A13" t="inlineStr">
        <is>
          <t>Bulls</t>
        </is>
      </c>
    </row>
    <row r="14">
      <c r="A14" t="inlineStr">
        <is>
          <t>Cows</t>
        </is>
      </c>
    </row>
    <row r="15">
      <c r="A15" t="inlineStr">
        <is>
          <t>Steers</t>
        </is>
      </c>
    </row>
    <row r="16">
      <c r="A16" t="inlineStr">
        <is>
          <t>Bullocks</t>
        </is>
      </c>
    </row>
    <row r="17">
      <c r="A17" t="inlineStr">
        <is>
          <t>Yearlings</t>
        </is>
      </c>
    </row>
    <row r="18">
      <c r="A18" t="inlineStr">
        <is>
          <t>Calves</t>
        </is>
      </c>
    </row>
    <row r="19">
      <c r="A19" t="inlineStr">
        <is>
          <t>Wethers</t>
        </is>
      </c>
      <c r="B19" t="n">
        <v>86</v>
      </c>
      <c r="C19" t="n">
        <v>33</v>
      </c>
      <c r="H19" t="n">
        <v>14</v>
      </c>
      <c r="K19" t="n">
        <v>105</v>
      </c>
      <c r="R19" s="72">
        <f>Receipts!F25</f>
        <v/>
      </c>
    </row>
    <row r="20">
      <c r="A20" t="inlineStr">
        <is>
          <t>Rams</t>
        </is>
      </c>
      <c r="B20" t="n">
        <v>71</v>
      </c>
      <c r="C20">
        <f>25+1</f>
        <v/>
      </c>
      <c r="H20" t="n">
        <v>8</v>
      </c>
      <c r="I20">
        <f>4+1</f>
        <v/>
      </c>
      <c r="K20" t="n">
        <v>84</v>
      </c>
      <c r="R20" s="72">
        <f>Receipts!F26</f>
        <v/>
      </c>
    </row>
    <row r="21">
      <c r="A21" t="inlineStr">
        <is>
          <t>Ewes</t>
        </is>
      </c>
    </row>
    <row r="22">
      <c r="A22" t="inlineStr">
        <is>
          <t>Hoggs</t>
        </is>
      </c>
      <c r="B22" t="n">
        <v>58</v>
      </c>
      <c r="J22">
        <f>33+25</f>
        <v/>
      </c>
      <c r="K22" t="n">
        <v>0</v>
      </c>
    </row>
    <row r="23">
      <c r="A23" t="inlineStr">
        <is>
          <t>Lambs</t>
        </is>
      </c>
      <c r="B23" t="n">
        <v>58</v>
      </c>
      <c r="I23">
        <f>4+1</f>
        <v/>
      </c>
      <c r="J23" t="n">
        <v>5</v>
      </c>
      <c r="K23" t="n">
        <v>48</v>
      </c>
    </row>
    <row r="24">
      <c r="A24" t="inlineStr">
        <is>
          <t>Boars</t>
        </is>
      </c>
    </row>
    <row r="25">
      <c r="A25" t="inlineStr">
        <is>
          <t>Sows</t>
        </is>
      </c>
    </row>
    <row r="26">
      <c r="A26" t="inlineStr">
        <is>
          <t>Pigs</t>
        </is>
      </c>
      <c r="B26">
        <f>8</f>
        <v/>
      </c>
      <c r="H26" t="n">
        <v>8</v>
      </c>
      <c r="K26" t="n">
        <v>0</v>
      </c>
      <c r="R26" s="72">
        <f>Receipts!F28</f>
        <v/>
      </c>
    </row>
    <row r="27">
      <c r="A27" t="inlineStr">
        <is>
          <t>Young pigs</t>
        </is>
      </c>
      <c r="B27" t="n">
        <v>8</v>
      </c>
      <c r="H27" t="n">
        <v>8</v>
      </c>
    </row>
    <row r="28">
      <c r="A28" t="inlineStr">
        <is>
          <t>Hoggets</t>
        </is>
      </c>
    </row>
    <row r="29">
      <c r="A29" t="inlineStr">
        <is>
          <t>Piglets</t>
        </is>
      </c>
      <c r="B29" t="n">
        <v>6</v>
      </c>
      <c r="H29" t="n">
        <v>6</v>
      </c>
      <c r="R29" s="72">
        <f>Receipts!F29</f>
        <v/>
      </c>
    </row>
    <row r="30">
      <c r="A30" t="inlineStr">
        <is>
          <t>Swans</t>
        </is>
      </c>
    </row>
    <row r="31">
      <c r="A31" t="inlineStr">
        <is>
          <t>Peacocks</t>
        </is>
      </c>
    </row>
    <row r="32" ht="16" customHeight="1">
      <c r="A32" s="67" t="inlineStr">
        <is>
          <t>Total Value</t>
        </is>
      </c>
      <c r="O32" s="147" t="n"/>
      <c r="R32" s="147">
        <f>SUM(R5:R31)</f>
        <v/>
      </c>
    </row>
    <row r="33"/>
    <row r="34"/>
    <row r="35" ht="17" customHeight="1">
      <c r="A35" s="66" t="inlineStr">
        <is>
          <t>Wool</t>
        </is>
      </c>
    </row>
    <row r="36">
      <c r="A36" t="inlineStr">
        <is>
          <t>Coarse wool</t>
        </is>
      </c>
      <c r="C36" t="n">
        <v>190</v>
      </c>
      <c r="J36">
        <f>19+171</f>
        <v/>
      </c>
      <c r="O36" s="72" t="n">
        <v>0.02</v>
      </c>
      <c r="T36">
        <f>O36*J36</f>
        <v/>
      </c>
    </row>
    <row r="37">
      <c r="A37" t="inlineStr">
        <is>
          <t>Lamb's wool</t>
        </is>
      </c>
      <c r="C37" t="n">
        <v>49</v>
      </c>
      <c r="O37" s="72" t="n">
        <v>0.01</v>
      </c>
      <c r="T37">
        <f>O37*C37</f>
        <v/>
      </c>
    </row>
    <row r="38">
      <c r="A38" t="inlineStr">
        <is>
          <t>Wool locks</t>
        </is>
      </c>
    </row>
    <row r="39">
      <c r="A39" t="inlineStr">
        <is>
          <t>Wool sold at shearing</t>
        </is>
      </c>
    </row>
    <row r="40" ht="16" customHeight="1">
      <c r="A40" s="67" t="inlineStr">
        <is>
          <t>Total wool</t>
        </is>
      </c>
      <c r="O40" s="147" t="n"/>
      <c r="T40" s="39">
        <f>SUM(T36:T39)</f>
        <v/>
      </c>
    </row>
    <row r="41"/>
    <row r="42"/>
    <row r="43" ht="17" customHeight="1">
      <c r="A43" s="66" t="inlineStr">
        <is>
          <t>Hides</t>
        </is>
      </c>
    </row>
    <row r="44">
      <c r="A44" t="inlineStr">
        <is>
          <t>Ox hides</t>
        </is>
      </c>
    </row>
    <row r="45">
      <c r="A45" t="inlineStr">
        <is>
          <t>Mare</t>
        </is>
      </c>
    </row>
    <row r="46">
      <c r="A46" t="inlineStr">
        <is>
          <t>Steer</t>
        </is>
      </c>
    </row>
    <row r="47">
      <c r="A47" t="inlineStr">
        <is>
          <t>calves</t>
        </is>
      </c>
    </row>
    <row r="48">
      <c r="A48" s="68" t="inlineStr">
        <is>
          <t>pigs</t>
        </is>
      </c>
    </row>
    <row r="49">
      <c r="A49" t="inlineStr">
        <is>
          <t>Woolskins</t>
        </is>
      </c>
    </row>
    <row r="50">
      <c r="A50" s="28" t="inlineStr">
        <is>
          <t>wethers</t>
        </is>
      </c>
    </row>
    <row r="51">
      <c r="A51" s="28" t="inlineStr">
        <is>
          <t>rams</t>
        </is>
      </c>
    </row>
    <row r="52">
      <c r="A52" s="28" t="inlineStr">
        <is>
          <t>ewes</t>
        </is>
      </c>
      <c r="C52" t="n">
        <v>5</v>
      </c>
      <c r="H52" t="n">
        <v>5</v>
      </c>
      <c r="O52" s="72">
        <f>R52/H52</f>
        <v/>
      </c>
      <c r="R52" s="72">
        <f>Receipts!F32+Receipts!F33</f>
        <v/>
      </c>
      <c r="T52">
        <f>O52*C52</f>
        <v/>
      </c>
    </row>
    <row r="53">
      <c r="A53" s="28" t="inlineStr">
        <is>
          <t>hoggs</t>
        </is>
      </c>
      <c r="T53">
        <f>O53*C53</f>
        <v/>
      </c>
    </row>
    <row r="54">
      <c r="A54" s="69" t="inlineStr">
        <is>
          <t>Woolskins</t>
        </is>
      </c>
      <c r="T54">
        <f>O54*C54</f>
        <v/>
      </c>
    </row>
    <row r="55">
      <c r="A55" s="43" t="inlineStr">
        <is>
          <t>Bareskins</t>
        </is>
      </c>
      <c r="T55">
        <f>O55*C55</f>
        <v/>
      </c>
    </row>
    <row r="56">
      <c r="A56" s="28" t="inlineStr">
        <is>
          <t>wethers</t>
        </is>
      </c>
      <c r="T56">
        <f>O56*C56</f>
        <v/>
      </c>
    </row>
    <row r="57">
      <c r="A57" s="28" t="inlineStr">
        <is>
          <t>rams</t>
        </is>
      </c>
      <c r="T57">
        <f>O57*C57</f>
        <v/>
      </c>
    </row>
    <row r="58">
      <c r="A58" s="28" t="inlineStr">
        <is>
          <t>ewes</t>
        </is>
      </c>
      <c r="T58">
        <f>O58*C58</f>
        <v/>
      </c>
    </row>
    <row r="59">
      <c r="A59" s="28" t="inlineStr">
        <is>
          <t>hoggs</t>
        </is>
      </c>
      <c r="T59">
        <f>O59*C59</f>
        <v/>
      </c>
    </row>
    <row r="60">
      <c r="A60" s="69" t="inlineStr">
        <is>
          <t>Bareskins (total)</t>
        </is>
      </c>
      <c r="T60">
        <f>O60*C60</f>
        <v/>
      </c>
    </row>
    <row r="61">
      <c r="A61" t="inlineStr">
        <is>
          <t>Lambskins</t>
        </is>
      </c>
      <c r="C61" t="n">
        <v>5</v>
      </c>
      <c r="H61" t="n">
        <v>5</v>
      </c>
      <c r="O61" s="72">
        <f>R61/H61</f>
        <v/>
      </c>
      <c r="R61" s="72">
        <f>Receipts!F34+Receipts!F35</f>
        <v/>
      </c>
      <c r="T61" s="72">
        <f>O61*C61</f>
        <v/>
      </c>
    </row>
    <row r="62">
      <c r="A62" t="inlineStr">
        <is>
          <t>Rotted skins</t>
        </is>
      </c>
      <c r="T62" s="72" t="n"/>
    </row>
    <row r="63">
      <c r="A63" t="inlineStr">
        <is>
          <t>Shorn skins</t>
        </is>
      </c>
      <c r="T63" s="72" t="n"/>
    </row>
    <row r="64">
      <c r="A64" s="39" t="inlineStr">
        <is>
          <t xml:space="preserve">Total </t>
        </is>
      </c>
      <c r="O64" s="147" t="n"/>
      <c r="R64" s="147">
        <f>SUM(R45:R63)</f>
        <v/>
      </c>
      <c r="T64" s="147">
        <f>SUM(T52:T61)</f>
        <v/>
      </c>
    </row>
    <row r="65"/>
    <row r="66"/>
    <row r="67" ht="17" customHeight="1">
      <c r="A67" s="66" t="inlineStr">
        <is>
          <t>Poultry stock</t>
        </is>
      </c>
    </row>
    <row r="68" ht="16" customHeight="1">
      <c r="A68" s="44" t="inlineStr">
        <is>
          <t>Hens</t>
        </is>
      </c>
    </row>
    <row r="69">
      <c r="A69" t="inlineStr">
        <is>
          <t>Geese</t>
        </is>
      </c>
    </row>
    <row r="70">
      <c r="A70" t="inlineStr">
        <is>
          <t>Capons (from chickens)</t>
        </is>
      </c>
    </row>
    <row r="71">
      <c r="A71" t="inlineStr">
        <is>
          <t>Cocks &amp; hens</t>
        </is>
      </c>
    </row>
    <row r="72">
      <c r="A72" s="70" t="inlineStr">
        <is>
          <t>Total poultry stock</t>
        </is>
      </c>
    </row>
    <row r="73">
      <c r="A73" s="71" t="inlineStr">
        <is>
          <t>Total poultry excluding churchscot</t>
        </is>
      </c>
    </row>
    <row r="74"/>
    <row r="75" ht="16" customHeight="1">
      <c r="A75" s="12" t="inlineStr">
        <is>
          <t>Poultry production</t>
        </is>
      </c>
    </row>
    <row r="76">
      <c r="A76" t="inlineStr">
        <is>
          <t>Eggs</t>
        </is>
      </c>
    </row>
    <row r="77">
      <c r="A77" t="inlineStr">
        <is>
          <t>Cocks &amp; hens from churchscot of customary tenants</t>
        </is>
      </c>
    </row>
    <row r="78">
      <c r="A78" t="inlineStr">
        <is>
          <t>Sum of above</t>
        </is>
      </c>
    </row>
    <row r="79">
      <c r="A79" s="70" t="inlineStr">
        <is>
          <t>Total</t>
        </is>
      </c>
    </row>
    <row r="80"/>
    <row r="81"/>
    <row r="82" ht="16" customHeight="1">
      <c r="A82" s="12" t="inlineStr">
        <is>
          <t>Meat</t>
        </is>
      </c>
    </row>
    <row r="83">
      <c r="A83" t="inlineStr">
        <is>
          <t>Beef</t>
        </is>
      </c>
    </row>
    <row r="84">
      <c r="A84" t="inlineStr">
        <is>
          <t>Mutton</t>
        </is>
      </c>
    </row>
    <row r="85">
      <c r="A85" t="inlineStr">
        <is>
          <t>Pork</t>
        </is>
      </c>
    </row>
    <row r="86" ht="16" customHeight="1">
      <c r="A86" s="57" t="inlineStr">
        <is>
          <t xml:space="preserve">Total </t>
        </is>
      </c>
    </row>
    <row r="87"/>
    <row r="88" ht="16" customHeight="1">
      <c r="A88" s="12" t="inlineStr">
        <is>
          <t>Cheese</t>
        </is>
      </c>
    </row>
    <row r="89">
      <c r="A89" t="inlineStr">
        <is>
          <t>Winter cheese</t>
        </is>
      </c>
    </row>
    <row r="90">
      <c r="A90" t="inlineStr">
        <is>
          <t>Summer cheese</t>
        </is>
      </c>
    </row>
    <row r="91" ht="16" customHeight="1">
      <c r="A91" s="57" t="inlineStr">
        <is>
          <t>Total</t>
        </is>
      </c>
    </row>
    <row r="92"/>
    <row r="93" ht="16" customHeight="1">
      <c r="A93" s="12" t="inlineStr">
        <is>
          <t>Butter</t>
        </is>
      </c>
    </row>
    <row r="94">
      <c r="A94" t="inlineStr">
        <is>
          <t>Butter</t>
        </is>
      </c>
    </row>
    <row r="95" ht="16" customHeight="1">
      <c r="A95" s="57" t="inlineStr">
        <is>
          <t>Total</t>
        </is>
      </c>
    </row>
    <row r="96" ht="16" customHeight="1">
      <c r="A96" s="13" t="n"/>
    </row>
    <row r="97" ht="16" customHeight="1">
      <c r="A97" s="57" t="inlineStr">
        <is>
          <t>Total Dairy Sales</t>
        </is>
      </c>
    </row>
    <row r="98"/>
    <row r="99"/>
    <row r="100" ht="16" customHeight="1">
      <c r="A100" s="12" t="inlineStr">
        <is>
          <t>Cider</t>
        </is>
      </c>
    </row>
    <row r="101">
      <c r="A101" t="inlineStr">
        <is>
          <t>Cider</t>
        </is>
      </c>
      <c r="C101" t="n">
        <v>2</v>
      </c>
      <c r="K101" t="n">
        <v>2</v>
      </c>
    </row>
    <row r="102">
      <c r="A102" s="39" t="inlineStr">
        <is>
          <t>Total</t>
        </is>
      </c>
      <c r="O102" s="147" t="n"/>
    </row>
    <row r="103"/>
    <row r="104" ht="16" customHeight="1">
      <c r="A104" s="13" t="inlineStr">
        <is>
          <t>Additional Information (not necessarily useful)</t>
        </is>
      </c>
    </row>
    <row r="105" ht="16" customHeight="1">
      <c r="A105" s="12" t="inlineStr">
        <is>
          <t>Utensils</t>
        </is>
      </c>
    </row>
    <row r="106">
      <c r="A106" t="inlineStr">
        <is>
          <t>ploughs</t>
        </is>
      </c>
    </row>
    <row r="107">
      <c r="A107" t="inlineStr">
        <is>
          <t>carts</t>
        </is>
      </c>
    </row>
    <row r="108">
      <c r="A108" t="inlineStr">
        <is>
          <t>cart-ropes</t>
        </is>
      </c>
    </row>
    <row r="109">
      <c r="A109" t="inlineStr">
        <is>
          <t>corn baskets</t>
        </is>
      </c>
    </row>
    <row r="110">
      <c r="A110" t="inlineStr">
        <is>
          <t>seed-sacks</t>
        </is>
      </c>
    </row>
    <row r="111">
      <c r="A111" t="inlineStr">
        <is>
          <t>seed basket</t>
        </is>
      </c>
    </row>
    <row r="112">
      <c r="A112" t="inlineStr">
        <is>
          <t>locks for the doors</t>
        </is>
      </c>
    </row>
    <row r="113">
      <c r="A113" t="inlineStr">
        <is>
          <t>lead vessel</t>
        </is>
      </c>
    </row>
    <row r="114">
      <c r="A114" t="inlineStr">
        <is>
          <t>brass pots</t>
        </is>
      </c>
    </row>
    <row r="115">
      <c r="A115" t="inlineStr">
        <is>
          <t>pans</t>
        </is>
      </c>
    </row>
    <row r="116">
      <c r="A116" t="inlineStr">
        <is>
          <t>tripods</t>
        </is>
      </c>
    </row>
    <row r="117">
      <c r="A117" t="inlineStr">
        <is>
          <t>mortar</t>
        </is>
      </c>
    </row>
    <row r="118">
      <c r="A118" t="inlineStr">
        <is>
          <t>axe</t>
        </is>
      </c>
    </row>
    <row r="119">
      <c r="A119" t="inlineStr">
        <is>
          <t>casks</t>
        </is>
      </c>
    </row>
    <row r="120">
      <c r="A120" t="inlineStr">
        <is>
          <t>tubs</t>
        </is>
      </c>
    </row>
    <row r="121">
      <c r="A121" t="inlineStr">
        <is>
          <t>troughs</t>
        </is>
      </c>
    </row>
    <row r="122">
      <c r="A122" t="inlineStr">
        <is>
          <t>bucket</t>
        </is>
      </c>
    </row>
    <row r="123">
      <c r="A123" t="inlineStr">
        <is>
          <t>cheese basket</t>
        </is>
      </c>
    </row>
    <row r="124">
      <c r="A124" t="inlineStr">
        <is>
          <t>tables</t>
        </is>
      </c>
    </row>
    <row r="125">
      <c r="A125" t="inlineStr">
        <is>
          <t>table with trestles</t>
        </is>
      </c>
    </row>
    <row r="126">
      <c r="A126" t="inlineStr">
        <is>
          <t>benches</t>
        </is>
      </c>
    </row>
    <row r="127">
      <c r="A127" t="inlineStr">
        <is>
          <t>ewer with a basin</t>
        </is>
      </c>
    </row>
    <row r="128">
      <c r="A128" t="inlineStr">
        <is>
          <t>ladders</t>
        </is>
      </c>
    </row>
    <row r="129">
      <c r="A129" t="inlineStr">
        <is>
          <t>cloth</t>
        </is>
      </c>
    </row>
    <row r="130">
      <c r="A130"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N54"/>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row>
    <row r="2">
      <c r="A2" t="inlineStr">
        <is>
          <t>And thus he owes clear</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three-fold plus 6 quarters' bushels}The same renders account for 91 quarters 3.5 bushels from the whole issue of wheat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97</v>
      </c>
      <c r="U3" t="n">
        <v>3.5</v>
      </c>
      <c r="V3" t="n">
        <v>97.4375</v>
      </c>
      <c r="W3" t="n">
        <v>0</v>
      </c>
      <c r="X3" t="n">
        <v>91</v>
      </c>
      <c r="Y3" t="n">
        <v>3.5</v>
      </c>
      <c r="Z3" t="n">
        <v>91.4375</v>
      </c>
      <c r="AA3" t="n">
        <v>6</v>
      </c>
      <c r="AB3" t="n">
        <v>85.4375</v>
      </c>
      <c r="AC3" t="n">
        <v>6</v>
      </c>
      <c r="AD3" t="n">
        <v>0</v>
      </c>
      <c r="AE3" t="n">
        <v>91</v>
      </c>
      <c r="AF3" t="n">
        <v>3.5</v>
      </c>
    </row>
    <row r="4">
      <c r="A4" t="inlineStr">
        <is>
          <t>Wheat</t>
        </is>
      </c>
      <c r="B4" t="inlineStr">
        <is>
          <t>2 quarters 2 bushels bought.</t>
        </is>
      </c>
      <c r="C4" t="n">
        <v>0</v>
      </c>
      <c r="D4" t="n">
        <v>0</v>
      </c>
      <c r="E4" t="n">
        <v>0</v>
      </c>
      <c r="F4" t="n">
        <v>0</v>
      </c>
      <c r="G4" t="n">
        <v>0</v>
      </c>
      <c r="H4" t="n">
        <v>2</v>
      </c>
      <c r="I4" t="n">
        <v>2</v>
      </c>
      <c r="J4" t="n">
        <v>2.25</v>
      </c>
      <c r="K4" t="n">
        <v>0</v>
      </c>
      <c r="L4" t="n">
        <v>0</v>
      </c>
      <c r="M4" t="n">
        <v>0</v>
      </c>
      <c r="N4" t="n">
        <v>0</v>
      </c>
      <c r="O4" t="n">
        <v>0</v>
      </c>
      <c r="P4" t="n">
        <v>0</v>
      </c>
      <c r="Q4" t="n">
        <v>0</v>
      </c>
      <c r="R4" t="n">
        <v>0</v>
      </c>
      <c r="S4" t="n">
        <v>0</v>
      </c>
      <c r="T4" t="n">
        <v>0</v>
      </c>
      <c r="U4" t="n">
        <v>0</v>
      </c>
      <c r="V4" t="n">
        <v>0</v>
      </c>
      <c r="W4" t="n">
        <v>0</v>
      </c>
      <c r="X4" t="n">
        <v>2</v>
      </c>
      <c r="Y4" t="n">
        <v>2</v>
      </c>
      <c r="Z4" t="n">
        <v>2.25</v>
      </c>
      <c r="AA4" t="n">
        <v>2.25</v>
      </c>
      <c r="AB4" t="n">
        <v>0</v>
      </c>
      <c r="AC4" t="n">
        <v>2</v>
      </c>
      <c r="AD4" t="n">
        <v>2</v>
      </c>
    </row>
    <row r="5">
      <c r="A5" t="inlineStr">
        <is>
          <t>Wheat</t>
        </is>
      </c>
      <c r="B5" t="inlineStr">
        <is>
          <t>Total, 93.5 quarters 1.5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93.5</v>
      </c>
      <c r="Y5" t="n">
        <v>1.5</v>
      </c>
      <c r="Z5" t="n">
        <v>93.6875</v>
      </c>
      <c r="AA5" t="n">
        <v>93.6875</v>
      </c>
      <c r="AB5" t="n">
        <v>0</v>
      </c>
      <c r="AC5" t="n">
        <v>93.5</v>
      </c>
      <c r="AD5" t="n">
        <v>1.5</v>
      </c>
    </row>
    <row r="6">
      <c r="A6" t="inlineStr">
        <is>
          <t>Wheat</t>
        </is>
      </c>
      <c r="B6" t="inlineStr">
        <is>
          <t>Sown over 89 acres measured by the perch which lie at Alnetum, Vinecrofte, in burgages, in crofts outside the gate, in Estfeld' in various places, and on Brondes-bury, 33 quarters 2 bushels.</t>
        </is>
      </c>
      <c r="C6" t="n">
        <v>0</v>
      </c>
      <c r="D6" t="n">
        <v>0</v>
      </c>
      <c r="E6" t="n">
        <v>33</v>
      </c>
      <c r="F6" t="n">
        <v>2</v>
      </c>
      <c r="G6" t="n">
        <v>33.25</v>
      </c>
      <c r="H6" t="n">
        <v>0</v>
      </c>
      <c r="I6" t="n">
        <v>0</v>
      </c>
      <c r="J6" t="n">
        <v>0</v>
      </c>
      <c r="K6" t="n">
        <v>0</v>
      </c>
      <c r="L6" t="n">
        <v>0</v>
      </c>
      <c r="M6" t="n">
        <v>0</v>
      </c>
      <c r="N6" t="n">
        <v>0</v>
      </c>
      <c r="O6" t="n">
        <v>0</v>
      </c>
      <c r="P6" t="n">
        <v>0</v>
      </c>
      <c r="Q6" t="n">
        <v>0</v>
      </c>
      <c r="R6" t="n">
        <v>0</v>
      </c>
      <c r="S6" t="n">
        <v>0</v>
      </c>
      <c r="T6" t="n">
        <v>0</v>
      </c>
      <c r="U6" t="n">
        <v>0</v>
      </c>
      <c r="V6" t="n">
        <v>0</v>
      </c>
      <c r="W6" t="n">
        <v>0</v>
      </c>
      <c r="X6" t="n">
        <v>33</v>
      </c>
      <c r="Y6" t="n">
        <v>2</v>
      </c>
      <c r="Z6" t="n">
        <v>33.25</v>
      </c>
      <c r="AA6" t="n">
        <v>33.25</v>
      </c>
      <c r="AB6" t="n">
        <v>0</v>
      </c>
      <c r="AC6" t="n">
        <v>33</v>
      </c>
      <c r="AD6" t="n">
        <v>2</v>
      </c>
    </row>
    <row r="7">
      <c r="A7" t="inlineStr">
        <is>
          <t>Wheat</t>
        </is>
      </c>
      <c r="B7" t="inlineStr">
        <is>
          <t>that is, 3 bushels an acre, less 1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0.125</v>
      </c>
      <c r="AA7" t="n">
        <v>0.375</v>
      </c>
      <c r="AB7" t="n">
        <v>-0.25</v>
      </c>
      <c r="AC7" t="n">
        <v>0</v>
      </c>
      <c r="AD7" t="n">
        <v>3</v>
      </c>
      <c r="AE7" t="n">
        <v>0</v>
      </c>
      <c r="AF7" t="n">
        <v>1</v>
      </c>
    </row>
    <row r="8">
      <c r="A8" t="inlineStr">
        <is>
          <t>Wheat</t>
        </is>
      </c>
      <c r="B8" t="inlineStr">
        <is>
          <t>Delivered to 1 hayward from the Purification (2 Febraury) until Lammas (1 August) and from the decollation of St John the Baptist (29 August) until Michaelmas (29 September), for 30 weeks, 1.5 quarters 3 bushels, because in between times he was at table for 4 weeks, and because he took the rest in barley, taking a quarter every 8 weeks.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1.5</v>
      </c>
      <c r="Y8" t="n">
        <v>3</v>
      </c>
      <c r="Z8" t="n">
        <v>1.875</v>
      </c>
      <c r="AA8" t="n">
        <v>1.875</v>
      </c>
      <c r="AB8" t="n">
        <v>0</v>
      </c>
      <c r="AC8" t="n">
        <v>1.5</v>
      </c>
      <c r="AD8" t="n">
        <v>3</v>
      </c>
    </row>
    <row r="9">
      <c r="A9" t="inlineStr">
        <is>
          <t>Wheat</t>
        </is>
      </c>
      <c r="B9" t="inlineStr">
        <is>
          <t>Consumed by the household at harvest-time,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row>
    <row r="10">
      <c r="A10" t="inlineStr">
        <is>
          <t>Wheat</t>
        </is>
      </c>
      <c r="B10" t="inlineStr">
        <is>
          <t>Sold, 57.5 quarters 0.5 bushels</t>
        </is>
      </c>
      <c r="C10" t="n">
        <v>0</v>
      </c>
      <c r="D10" t="n">
        <v>0</v>
      </c>
      <c r="E10" t="n">
        <v>0</v>
      </c>
      <c r="F10" t="n">
        <v>0</v>
      </c>
      <c r="G10" t="n">
        <v>0</v>
      </c>
      <c r="H10" t="n">
        <v>0</v>
      </c>
      <c r="I10" t="n">
        <v>0</v>
      </c>
      <c r="J10" t="n">
        <v>0</v>
      </c>
      <c r="K10" t="n">
        <v>0</v>
      </c>
      <c r="L10" t="n">
        <v>0</v>
      </c>
      <c r="M10" t="n">
        <v>0</v>
      </c>
      <c r="N10" t="n">
        <v>0</v>
      </c>
      <c r="O10" t="n">
        <v>0</v>
      </c>
      <c r="P10" t="n">
        <v>0</v>
      </c>
      <c r="Q10" t="n">
        <v>57.5</v>
      </c>
      <c r="R10" t="n">
        <v>0.5</v>
      </c>
      <c r="S10" t="n">
        <v>57.5625</v>
      </c>
      <c r="T10" t="n">
        <v>0</v>
      </c>
      <c r="U10" t="n">
        <v>0</v>
      </c>
      <c r="V10" t="n">
        <v>0</v>
      </c>
      <c r="W10" t="n">
        <v>0</v>
      </c>
      <c r="X10" t="n">
        <v>57.5</v>
      </c>
      <c r="Y10" t="n">
        <v>0.5</v>
      </c>
      <c r="Z10" t="n">
        <v>57.5625</v>
      </c>
      <c r="AA10" t="n">
        <v>57.5625</v>
      </c>
      <c r="AB10" t="n">
        <v>0</v>
      </c>
      <c r="AC10" t="n">
        <v>57.5</v>
      </c>
      <c r="AD10" t="n">
        <v>0.5</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row>
    <row r="12">
      <c r="A12" t="inlineStr">
        <is>
          <t>Curall</t>
        </is>
      </c>
      <c r="B12" t="inlineStr">
        <is>
          <t>The same renders account for 10 quarters 5 bushels from the whole issue of curall by struck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10</v>
      </c>
      <c r="U12" t="n">
        <v>5</v>
      </c>
      <c r="V12" t="n">
        <v>10.625</v>
      </c>
      <c r="W12" t="n">
        <v>0</v>
      </c>
      <c r="X12" t="n">
        <v>10</v>
      </c>
      <c r="Y12" t="n">
        <v>5</v>
      </c>
      <c r="Z12" t="n">
        <v>10.625</v>
      </c>
      <c r="AA12" t="n">
        <v>10.625</v>
      </c>
      <c r="AB12" t="n">
        <v>0</v>
      </c>
      <c r="AC12" t="n">
        <v>10</v>
      </c>
      <c r="AD12" t="n">
        <v>5</v>
      </c>
    </row>
    <row r="13">
      <c r="A13" t="inlineStr">
        <is>
          <t>Curall</t>
        </is>
      </c>
      <c r="B13" t="inlineStr">
        <is>
          <t>Sold, 10 quarters 5 bushels</t>
        </is>
      </c>
      <c r="C13" t="n">
        <v>0</v>
      </c>
      <c r="D13" t="n">
        <v>0</v>
      </c>
      <c r="E13" t="n">
        <v>0</v>
      </c>
      <c r="F13" t="n">
        <v>0</v>
      </c>
      <c r="G13" t="n">
        <v>0</v>
      </c>
      <c r="H13" t="n">
        <v>0</v>
      </c>
      <c r="I13" t="n">
        <v>0</v>
      </c>
      <c r="J13" t="n">
        <v>0</v>
      </c>
      <c r="K13" t="n">
        <v>0</v>
      </c>
      <c r="L13" t="n">
        <v>0</v>
      </c>
      <c r="M13" t="n">
        <v>0</v>
      </c>
      <c r="N13" t="n">
        <v>0</v>
      </c>
      <c r="O13" t="n">
        <v>0</v>
      </c>
      <c r="P13" t="n">
        <v>0</v>
      </c>
      <c r="Q13" t="n">
        <v>10</v>
      </c>
      <c r="R13" t="n">
        <v>5</v>
      </c>
      <c r="S13" t="n">
        <v>10.625</v>
      </c>
      <c r="T13" t="n">
        <v>0</v>
      </c>
      <c r="U13" t="n">
        <v>0</v>
      </c>
      <c r="V13" t="n">
        <v>0</v>
      </c>
      <c r="W13" t="n">
        <v>0</v>
      </c>
      <c r="X13" t="n">
        <v>10</v>
      </c>
      <c r="Y13" t="n">
        <v>5</v>
      </c>
      <c r="Z13" t="n">
        <v>10.625</v>
      </c>
      <c r="AA13" t="n">
        <v>10.625</v>
      </c>
      <c r="AB13" t="n">
        <v>0</v>
      </c>
      <c r="AC13" t="n">
        <v>10</v>
      </c>
      <c r="AD13" t="n">
        <v>5</v>
      </c>
    </row>
    <row r="14">
      <c r="A14" t="inlineStr">
        <is>
          <t>Curall</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row>
    <row r="15">
      <c r="A15" t="inlineStr">
        <is>
          <t>Barley</t>
        </is>
      </c>
      <c r="B15" t="inlineStr">
        <is>
          <t>{yield: two-and-a-half-fold less 3 quarters 3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3</v>
      </c>
      <c r="Y15" t="n">
        <v>3</v>
      </c>
      <c r="Z15" t="n">
        <v>3.375</v>
      </c>
      <c r="AA15" t="n">
        <v>3.375</v>
      </c>
      <c r="AB15" t="n">
        <v>0</v>
      </c>
      <c r="AC15" t="n">
        <v>3</v>
      </c>
      <c r="AD15" t="n">
        <v>3</v>
      </c>
    </row>
    <row r="16">
      <c r="A16" t="inlineStr">
        <is>
          <t>Barley</t>
        </is>
      </c>
      <c r="B16" t="inlineStr">
        <is>
          <t>The same renders account for 38.5 quarters 2.5 bushels of barley by struck measure.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38.5</v>
      </c>
      <c r="U16" t="n">
        <v>2.5</v>
      </c>
      <c r="V16" t="n">
        <v>38.8125</v>
      </c>
      <c r="W16" t="n">
        <v>0</v>
      </c>
      <c r="X16" t="n">
        <v>38.5</v>
      </c>
      <c r="Y16" t="n">
        <v>2.5</v>
      </c>
      <c r="Z16" t="n">
        <v>38.8125</v>
      </c>
      <c r="AA16" t="n">
        <v>38.8125</v>
      </c>
      <c r="AB16" t="n">
        <v>0</v>
      </c>
      <c r="AC16" t="n">
        <v>38.5</v>
      </c>
      <c r="AD16" t="n">
        <v>2.5</v>
      </c>
    </row>
    <row r="17">
      <c r="A17" t="inlineStr">
        <is>
          <t>Barley</t>
        </is>
      </c>
      <c r="B17" t="inlineStr">
        <is>
          <t>6 quarters received from vetches.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6</v>
      </c>
      <c r="Y17" t="n">
        <v>0</v>
      </c>
      <c r="Z17" t="n">
        <v>6</v>
      </c>
      <c r="AA17" t="n">
        <v>6</v>
      </c>
      <c r="AB17" t="n">
        <v>0</v>
      </c>
      <c r="AC17" t="n">
        <v>6</v>
      </c>
      <c r="AD17" t="n">
        <v>0</v>
      </c>
    </row>
    <row r="18">
      <c r="A18" t="inlineStr">
        <is>
          <t>Barley</t>
        </is>
      </c>
      <c r="B18" t="inlineStr">
        <is>
          <t>Total, 44 quarters 6.5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44</v>
      </c>
      <c r="Y18" t="n">
        <v>6.5</v>
      </c>
      <c r="Z18" t="n">
        <v>44.8125</v>
      </c>
      <c r="AA18" t="n">
        <v>44.8125</v>
      </c>
      <c r="AB18" t="n">
        <v>0</v>
      </c>
      <c r="AC18" t="n">
        <v>44</v>
      </c>
      <c r="AD18" t="n">
        <v>6.5</v>
      </c>
    </row>
    <row r="19">
      <c r="A19" t="inlineStr">
        <is>
          <t>Barley</t>
        </is>
      </c>
      <c r="B19" t="inlineStr">
        <is>
          <t>Sown over 16 acres measured by the perch as they lie in Estfeld' in various places, 9.5 quarters 3 bushels.</t>
        </is>
      </c>
      <c r="C19" t="n">
        <v>0</v>
      </c>
      <c r="D19" t="n">
        <v>0</v>
      </c>
      <c r="E19" t="n">
        <v>9.5</v>
      </c>
      <c r="F19" t="n">
        <v>3</v>
      </c>
      <c r="G19" t="n">
        <v>9.875</v>
      </c>
      <c r="H19" t="n">
        <v>0</v>
      </c>
      <c r="I19" t="n">
        <v>0</v>
      </c>
      <c r="J19" t="n">
        <v>0</v>
      </c>
      <c r="K19" t="n">
        <v>0</v>
      </c>
      <c r="L19" t="n">
        <v>0</v>
      </c>
      <c r="M19" t="n">
        <v>0</v>
      </c>
      <c r="N19" t="n">
        <v>0</v>
      </c>
      <c r="O19" t="n">
        <v>0</v>
      </c>
      <c r="P19" t="n">
        <v>0</v>
      </c>
      <c r="Q19" t="n">
        <v>0</v>
      </c>
      <c r="R19" t="n">
        <v>0</v>
      </c>
      <c r="S19" t="n">
        <v>0</v>
      </c>
      <c r="T19" t="n">
        <v>0</v>
      </c>
      <c r="U19" t="n">
        <v>0</v>
      </c>
      <c r="V19" t="n">
        <v>0</v>
      </c>
      <c r="W19" t="n">
        <v>0</v>
      </c>
      <c r="X19" t="n">
        <v>9.5</v>
      </c>
      <c r="Y19" t="n">
        <v>3</v>
      </c>
      <c r="Z19" t="n">
        <v>9.875</v>
      </c>
      <c r="AA19" t="n">
        <v>9.875</v>
      </c>
      <c r="AB19" t="n">
        <v>0</v>
      </c>
      <c r="AC19" t="n">
        <v>9.5</v>
      </c>
      <c r="AD19" t="n">
        <v>3</v>
      </c>
    </row>
    <row r="20">
      <c r="A20" t="inlineStr">
        <is>
          <t>Barley</t>
        </is>
      </c>
      <c r="B20" t="inlineStr">
        <is>
          <t>that is, 5 bushels an acre, less 1 bushels in all.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1</v>
      </c>
      <c r="Z20" t="n">
        <v>0.125</v>
      </c>
      <c r="AA20" t="n">
        <v>0.625</v>
      </c>
      <c r="AB20" t="n">
        <v>-0.5</v>
      </c>
      <c r="AC20" t="n">
        <v>0</v>
      </c>
      <c r="AD20" t="n">
        <v>5</v>
      </c>
      <c r="AE20" t="n">
        <v>0</v>
      </c>
      <c r="AF20" t="n">
        <v>1</v>
      </c>
    </row>
    <row r="21">
      <c r="A21" t="inlineStr">
        <is>
          <t>Barley</t>
        </is>
      </c>
      <c r="B21" t="inlineStr">
        <is>
          <t>Delivered to 1 hayward from the Purification until Lammas and from the decollation of St John until Michaelmas, for 30 weeks, 1.5 quarters 3 bushels, because in between times he was at table for 4 weeks, taking a quarter every 8 weeks and taking the rest in wheat. {Henceforth the harrower should not have so great a livery because he is overseer of the harvest and carter there} Delivered to 1 carter for the year, 5 quarters 1.5 bushels, and taking a quarter every 10 weeks.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v>
      </c>
      <c r="Y21" t="n">
        <v>1.5</v>
      </c>
      <c r="Z21" t="n">
        <v>5.1875</v>
      </c>
      <c r="AA21" t="n">
        <v>1.875</v>
      </c>
      <c r="AB21" t="n">
        <v>3.3125</v>
      </c>
      <c r="AC21" t="n">
        <v>1.5</v>
      </c>
      <c r="AD21" t="n">
        <v>3</v>
      </c>
      <c r="AE21" t="n">
        <v>5</v>
      </c>
      <c r="AF21" t="n">
        <v>1.5</v>
      </c>
    </row>
    <row r="22">
      <c r="A22" t="inlineStr">
        <is>
          <t>Barley</t>
        </is>
      </c>
      <c r="B22" t="inlineStr">
        <is>
          <t>Delivered to 2 drovers for the year, 8 quarters 5 bushels, and taking a quarter every 12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8</v>
      </c>
      <c r="Y22" t="n">
        <v>5</v>
      </c>
      <c r="Z22" t="n">
        <v>8.625</v>
      </c>
      <c r="AA22" t="n">
        <v>8.625</v>
      </c>
      <c r="AB22" t="n">
        <v>0</v>
      </c>
      <c r="AC22" t="n">
        <v>8</v>
      </c>
      <c r="AD22" t="n">
        <v>5</v>
      </c>
    </row>
    <row r="23">
      <c r="A23" t="inlineStr">
        <is>
          <t>Barley</t>
        </is>
      </c>
      <c r="B23" t="inlineStr">
        <is>
          <t>Delivered to 1 ploughman from Michaelmas until Easter, for 30 weeks, 2.5 quarters, and taking a quarter every 12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2.5</v>
      </c>
      <c r="Y23" t="n">
        <v>0</v>
      </c>
      <c r="Z23" t="n">
        <v>2.5</v>
      </c>
      <c r="AA23" t="n">
        <v>2.5</v>
      </c>
      <c r="AB23" t="n">
        <v>0</v>
      </c>
      <c r="AC23" t="n">
        <v>2.5</v>
      </c>
      <c r="AD23" t="n">
        <v>0</v>
      </c>
    </row>
    <row r="24">
      <c r="A24" t="inlineStr">
        <is>
          <t>Barley</t>
        </is>
      </c>
      <c r="B24" t="inlineStr">
        <is>
          <t>Delivered to 1 shepherd for the year, 4 quarters 2.5 bushels, and taking as before.</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4</v>
      </c>
      <c r="Y24" t="n">
        <v>2.5</v>
      </c>
      <c r="Z24" t="n">
        <v>4.3125</v>
      </c>
      <c r="AA24" t="n">
        <v>4.3125</v>
      </c>
      <c r="AB24" t="n">
        <v>0</v>
      </c>
      <c r="AC24" t="n">
        <v>4</v>
      </c>
      <c r="AD24" t="n">
        <v>2.5</v>
      </c>
    </row>
    <row r="25">
      <c r="A25" t="inlineStr">
        <is>
          <t>Barley</t>
        </is>
      </c>
      <c r="B25" t="inlineStr">
        <is>
          <t>Delivered to 1 attendant making the pottage of the manorial servants, going to the harrowing, and keeping the birds away from the curia and the corn for the year, 3 quarters 2 bushels, and taking a quarter every 16 weeks.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2</v>
      </c>
      <c r="Z25" t="n">
        <v>3.25</v>
      </c>
      <c r="AA25" t="n">
        <v>3.25</v>
      </c>
      <c r="AB25" t="n">
        <v>0</v>
      </c>
      <c r="AC25" t="n">
        <v>3</v>
      </c>
      <c r="AD25" t="n">
        <v>2</v>
      </c>
    </row>
    <row r="26">
      <c r="A26" t="inlineStr">
        <is>
          <t>Barley</t>
        </is>
      </c>
      <c r="B26" t="inlineStr">
        <is>
          <t>Consumed by the household at harvest-time, 3 bushels Sold, 8.5 quarters 2.5 bushels</t>
        </is>
      </c>
      <c r="C26" t="n">
        <v>0</v>
      </c>
      <c r="D26" t="n">
        <v>0</v>
      </c>
      <c r="E26" t="n">
        <v>0</v>
      </c>
      <c r="F26" t="n">
        <v>0</v>
      </c>
      <c r="G26" t="n">
        <v>0</v>
      </c>
      <c r="H26" t="n">
        <v>0</v>
      </c>
      <c r="I26" t="n">
        <v>0</v>
      </c>
      <c r="J26" t="n">
        <v>0</v>
      </c>
      <c r="K26" t="n">
        <v>0</v>
      </c>
      <c r="L26" t="n">
        <v>0</v>
      </c>
      <c r="M26" t="n">
        <v>0</v>
      </c>
      <c r="N26" t="n">
        <v>0</v>
      </c>
      <c r="O26" t="n">
        <v>0</v>
      </c>
      <c r="P26" t="n">
        <v>0</v>
      </c>
      <c r="Q26" t="n">
        <v>8.5</v>
      </c>
      <c r="R26" t="n">
        <v>2.5</v>
      </c>
      <c r="S26" t="n">
        <v>8.8125</v>
      </c>
      <c r="T26" t="n">
        <v>0</v>
      </c>
      <c r="U26" t="n">
        <v>0</v>
      </c>
      <c r="V26" t="n">
        <v>0</v>
      </c>
      <c r="W26" t="n">
        <v>0</v>
      </c>
      <c r="X26" t="n">
        <v>8.5</v>
      </c>
      <c r="Y26" t="n">
        <v>2.5</v>
      </c>
      <c r="Z26" t="n">
        <v>8.8125</v>
      </c>
      <c r="AA26" t="n">
        <v>0.375</v>
      </c>
      <c r="AB26" t="n">
        <v>8.4375</v>
      </c>
      <c r="AC26" t="n">
        <v>0</v>
      </c>
      <c r="AD26" t="n">
        <v>3</v>
      </c>
      <c r="AE26" t="n">
        <v>8.5</v>
      </c>
      <c r="AF26" t="n">
        <v>2.5</v>
      </c>
    </row>
    <row r="27">
      <c r="A27" t="inlineStr">
        <is>
          <t>Barley</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row>
    <row r="28">
      <c r="A28" t="inlineStr">
        <is>
          <t>Dredge</t>
        </is>
      </c>
      <c r="B28" t="inlineStr">
        <is>
          <t>{yield: 5-fold plus 0.5 qr}</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row>
    <row r="29">
      <c r="A29" t="inlineStr">
        <is>
          <t>Dredge</t>
        </is>
      </c>
      <c r="B29" t="inlineStr">
        <is>
          <t>The same renders account for 8 quarters 1.5 bushels from the whole issue of dredge by struck measure.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8</v>
      </c>
      <c r="U29" t="n">
        <v>1.5</v>
      </c>
      <c r="V29" t="n">
        <v>8.1875</v>
      </c>
      <c r="W29" t="n">
        <v>0</v>
      </c>
      <c r="X29" t="n">
        <v>8</v>
      </c>
      <c r="Y29" t="n">
        <v>1.5</v>
      </c>
      <c r="Z29" t="n">
        <v>8.1875</v>
      </c>
      <c r="AA29" t="n">
        <v>8.1875</v>
      </c>
      <c r="AB29" t="n">
        <v>0</v>
      </c>
      <c r="AC29" t="n">
        <v>8</v>
      </c>
      <c r="AD29" t="n">
        <v>1.5</v>
      </c>
    </row>
    <row r="30">
      <c r="A30" t="inlineStr">
        <is>
          <t>Dredge</t>
        </is>
      </c>
      <c r="B30" t="inlineStr">
        <is>
          <t>Sown over 5 acres measured by the perch which lie in Annerescrofte and in Westfeld', 3 quarters 2 bushels.</t>
        </is>
      </c>
      <c r="C30" t="n">
        <v>0</v>
      </c>
      <c r="D30" t="n">
        <v>0</v>
      </c>
      <c r="E30" t="n">
        <v>3</v>
      </c>
      <c r="F30" t="n">
        <v>2</v>
      </c>
      <c r="G30" t="n">
        <v>3.25</v>
      </c>
      <c r="H30" t="n">
        <v>0</v>
      </c>
      <c r="I30" t="n">
        <v>0</v>
      </c>
      <c r="J30" t="n">
        <v>0</v>
      </c>
      <c r="K30" t="n">
        <v>0</v>
      </c>
      <c r="L30" t="n">
        <v>0</v>
      </c>
      <c r="M30" t="n">
        <v>0</v>
      </c>
      <c r="N30" t="n">
        <v>0</v>
      </c>
      <c r="O30" t="n">
        <v>0</v>
      </c>
      <c r="P30" t="n">
        <v>0</v>
      </c>
      <c r="Q30" t="n">
        <v>0</v>
      </c>
      <c r="R30" t="n">
        <v>0</v>
      </c>
      <c r="S30" t="n">
        <v>0</v>
      </c>
      <c r="T30" t="n">
        <v>0</v>
      </c>
      <c r="U30" t="n">
        <v>0</v>
      </c>
      <c r="V30" t="n">
        <v>0</v>
      </c>
      <c r="W30" t="n">
        <v>0</v>
      </c>
      <c r="X30" t="n">
        <v>3</v>
      </c>
      <c r="Y30" t="n">
        <v>2</v>
      </c>
      <c r="Z30" t="n">
        <v>3.25</v>
      </c>
      <c r="AA30" t="n">
        <v>3.25</v>
      </c>
      <c r="AB30" t="n">
        <v>0</v>
      </c>
      <c r="AC30" t="n">
        <v>3</v>
      </c>
      <c r="AD30" t="n">
        <v>2</v>
      </c>
    </row>
    <row r="31">
      <c r="A31" t="inlineStr">
        <is>
          <t>Dredge</t>
        </is>
      </c>
      <c r="B31" t="inlineStr">
        <is>
          <t>that is, 5 bushels an acre, plus 1 bushels in all.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0.125</v>
      </c>
      <c r="AA31" t="n">
        <v>0.625</v>
      </c>
      <c r="AB31" t="n">
        <v>-0.5</v>
      </c>
      <c r="AC31" t="n">
        <v>0</v>
      </c>
      <c r="AD31" t="n">
        <v>5</v>
      </c>
      <c r="AE31" t="n">
        <v>0</v>
      </c>
      <c r="AF31" t="n">
        <v>1</v>
      </c>
    </row>
    <row r="32">
      <c r="A32" t="inlineStr">
        <is>
          <t>Dredge</t>
        </is>
      </c>
      <c r="B32" t="inlineStr">
        <is>
          <t>Sold, 4.5 quarters 3.5 bushels</t>
        </is>
      </c>
      <c r="C32" t="n">
        <v>0</v>
      </c>
      <c r="D32" t="n">
        <v>0</v>
      </c>
      <c r="E32" t="n">
        <v>0</v>
      </c>
      <c r="F32" t="n">
        <v>0</v>
      </c>
      <c r="G32" t="n">
        <v>0</v>
      </c>
      <c r="H32" t="n">
        <v>0</v>
      </c>
      <c r="I32" t="n">
        <v>0</v>
      </c>
      <c r="J32" t="n">
        <v>0</v>
      </c>
      <c r="K32" t="n">
        <v>0</v>
      </c>
      <c r="L32" t="n">
        <v>0</v>
      </c>
      <c r="M32" t="n">
        <v>0</v>
      </c>
      <c r="N32" t="n">
        <v>0</v>
      </c>
      <c r="O32" t="n">
        <v>0</v>
      </c>
      <c r="P32" t="n">
        <v>0</v>
      </c>
      <c r="Q32" t="n">
        <v>4.5</v>
      </c>
      <c r="R32" t="n">
        <v>3.5</v>
      </c>
      <c r="S32" t="n">
        <v>4.9375</v>
      </c>
      <c r="T32" t="n">
        <v>0</v>
      </c>
      <c r="U32" t="n">
        <v>0</v>
      </c>
      <c r="V32" t="n">
        <v>0</v>
      </c>
      <c r="W32" t="n">
        <v>0</v>
      </c>
      <c r="X32" t="n">
        <v>4.5</v>
      </c>
      <c r="Y32" t="n">
        <v>3.5</v>
      </c>
      <c r="Z32" t="n">
        <v>4.9375</v>
      </c>
      <c r="AA32" t="n">
        <v>4.9375</v>
      </c>
      <c r="AB32" t="n">
        <v>0</v>
      </c>
      <c r="AC32" t="n">
        <v>4.5</v>
      </c>
      <c r="AD32" t="n">
        <v>3.5</v>
      </c>
    </row>
    <row r="33">
      <c r="A33" t="inlineStr">
        <is>
          <t>Dredge</t>
        </is>
      </c>
      <c r="B33" t="inlineStr">
        <is>
          <t>Total</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row>
    <row r="34">
      <c r="A34" t="inlineStr">
        <is>
          <t>Oats</t>
        </is>
      </c>
      <c r="B34" t="inlineStr">
        <is>
          <t>{yield: two-fold less 1 qr 1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row>
    <row r="35">
      <c r="A35" t="inlineStr">
        <is>
          <t>Oats</t>
        </is>
      </c>
      <c r="B35" t="inlineStr">
        <is>
          <t>The same renders account for 83 quarters from the whole issue of oats by struck measure.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83</v>
      </c>
      <c r="U35" t="n">
        <v>0</v>
      </c>
      <c r="V35" t="n">
        <v>83</v>
      </c>
      <c r="W35" t="n">
        <v>0</v>
      </c>
      <c r="X35" t="n">
        <v>83</v>
      </c>
      <c r="Y35" t="n">
        <v>0</v>
      </c>
      <c r="Z35" t="n">
        <v>83</v>
      </c>
      <c r="AA35" t="n">
        <v>83</v>
      </c>
      <c r="AB35" t="n">
        <v>0</v>
      </c>
      <c r="AC35" t="n">
        <v>83</v>
      </c>
      <c r="AD35" t="n">
        <v>0</v>
      </c>
    </row>
    <row r="36">
      <c r="A36" t="inlineStr">
        <is>
          <t>Oats</t>
        </is>
      </c>
      <c r="B36" t="inlineStr">
        <is>
          <t>10.5 quarters 2 bushels by estimation in sheaves given to oxen.</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10.5</v>
      </c>
      <c r="Y36" t="n">
        <v>2</v>
      </c>
      <c r="Z36" t="n">
        <v>10.75</v>
      </c>
      <c r="AA36" t="n">
        <v>10.75</v>
      </c>
      <c r="AB36" t="n">
        <v>0</v>
      </c>
      <c r="AC36" t="n">
        <v>10.5</v>
      </c>
      <c r="AD36" t="n">
        <v>2</v>
      </c>
    </row>
    <row r="37">
      <c r="A37" t="inlineStr">
        <is>
          <t>Oats</t>
        </is>
      </c>
      <c r="B37" t="inlineStr">
        <is>
          <t>Total, 93 quarters 7 bushels Sown over 59 acres measured by the perch which lie at Alnetum, in 3 crofts beside the garden, in Westfeud' in various places, and in Lambham, 40 quarters 7 bushels.</t>
        </is>
      </c>
      <c r="C37" t="n">
        <v>0</v>
      </c>
      <c r="D37" t="n">
        <v>0</v>
      </c>
      <c r="E37" t="n">
        <v>133</v>
      </c>
      <c r="F37" t="n">
        <v>14</v>
      </c>
      <c r="G37" t="n">
        <v>134.75</v>
      </c>
      <c r="H37" t="n">
        <v>0</v>
      </c>
      <c r="I37" t="n">
        <v>0</v>
      </c>
      <c r="J37" t="n">
        <v>0</v>
      </c>
      <c r="K37" t="n">
        <v>0</v>
      </c>
      <c r="L37" t="n">
        <v>0</v>
      </c>
      <c r="M37" t="n">
        <v>0</v>
      </c>
      <c r="N37" t="n">
        <v>0</v>
      </c>
      <c r="O37" t="n">
        <v>0</v>
      </c>
      <c r="P37" t="n">
        <v>0</v>
      </c>
      <c r="Q37" t="n">
        <v>0</v>
      </c>
      <c r="R37" t="n">
        <v>0</v>
      </c>
      <c r="S37" t="n">
        <v>0</v>
      </c>
      <c r="T37" t="n">
        <v>0</v>
      </c>
      <c r="U37" t="n">
        <v>0</v>
      </c>
      <c r="V37" t="n">
        <v>0</v>
      </c>
      <c r="W37" t="n">
        <v>0</v>
      </c>
      <c r="X37" t="n">
        <v>40</v>
      </c>
      <c r="Y37" t="n">
        <v>7</v>
      </c>
      <c r="Z37" t="n">
        <v>40.875</v>
      </c>
      <c r="AA37" t="n">
        <v>93.875</v>
      </c>
      <c r="AB37" t="n">
        <v>-53</v>
      </c>
      <c r="AC37" t="n">
        <v>93</v>
      </c>
      <c r="AD37" t="n">
        <v>7</v>
      </c>
      <c r="AE37" t="n">
        <v>40</v>
      </c>
      <c r="AF37" t="n">
        <v>7</v>
      </c>
    </row>
    <row r="38">
      <c r="A38" t="inlineStr">
        <is>
          <t>Oats</t>
        </is>
      </c>
      <c r="B38" t="inlineStr">
        <is>
          <t>that is, 5.5 bushels an acre, less 2.5 bushels in all.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2.5</v>
      </c>
      <c r="Z38" t="n">
        <v>0.3125</v>
      </c>
      <c r="AA38" t="n">
        <v>0.6875</v>
      </c>
      <c r="AB38" t="n">
        <v>-0.375</v>
      </c>
      <c r="AC38" t="n">
        <v>0</v>
      </c>
      <c r="AD38" t="n">
        <v>5.5</v>
      </c>
      <c r="AE38" t="n">
        <v>0</v>
      </c>
      <c r="AF38" t="n">
        <v>2.5</v>
      </c>
    </row>
    <row r="39">
      <c r="A39" t="inlineStr">
        <is>
          <t>Oats</t>
        </is>
      </c>
      <c r="B39" t="inlineStr">
        <is>
          <t>.</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row>
    <row r="40">
      <c r="A40" t="inlineStr">
        <is>
          <t>Oats</t>
        </is>
      </c>
      <c r="B40" t="inlineStr">
        <is>
          <t>fodder of 3 cart-horses for the year, 11.5 quarters.</t>
        </is>
      </c>
      <c r="C40" t="n">
        <v>0</v>
      </c>
      <c r="D40" t="n">
        <v>0</v>
      </c>
      <c r="E40" t="n">
        <v>0</v>
      </c>
      <c r="F40" t="n">
        <v>0</v>
      </c>
      <c r="G40" t="n">
        <v>0</v>
      </c>
      <c r="H40" t="n">
        <v>0</v>
      </c>
      <c r="I40" t="n">
        <v>0</v>
      </c>
      <c r="J40" t="n">
        <v>0</v>
      </c>
      <c r="K40" t="n">
        <v>0</v>
      </c>
      <c r="L40" t="n">
        <v>0</v>
      </c>
      <c r="M40" t="n">
        <v>0</v>
      </c>
      <c r="N40" t="n">
        <v>11.5</v>
      </c>
      <c r="O40" t="n">
        <v>0</v>
      </c>
      <c r="P40" t="n">
        <v>11.5</v>
      </c>
      <c r="Q40" t="n">
        <v>0</v>
      </c>
      <c r="R40" t="n">
        <v>0</v>
      </c>
      <c r="S40" t="n">
        <v>0</v>
      </c>
      <c r="T40" t="n">
        <v>0</v>
      </c>
      <c r="U40" t="n">
        <v>0</v>
      </c>
      <c r="V40" t="n">
        <v>0</v>
      </c>
      <c r="W40" t="n">
        <v>0</v>
      </c>
      <c r="X40" t="n">
        <v>11.5</v>
      </c>
      <c r="Y40" t="n">
        <v>0</v>
      </c>
      <c r="Z40" t="n">
        <v>11.5</v>
      </c>
      <c r="AA40" t="n">
        <v>11.5</v>
      </c>
      <c r="AB40" t="n">
        <v>0</v>
      </c>
      <c r="AC40" t="n">
        <v>11.5</v>
      </c>
      <c r="AD40" t="n">
        <v>0</v>
      </c>
    </row>
    <row r="41">
      <c r="A41" t="inlineStr">
        <is>
          <t>Oats</t>
        </is>
      </c>
      <c r="B41" t="inlineStr">
        <is>
          <t>Given to oxen by estimation in sheaves, 10.5 quarters 2 bushels Sold, 30.5 quarters 2 bushels</t>
        </is>
      </c>
      <c r="C41" t="n">
        <v>0</v>
      </c>
      <c r="D41" t="n">
        <v>0</v>
      </c>
      <c r="E41" t="n">
        <v>0</v>
      </c>
      <c r="F41" t="n">
        <v>0</v>
      </c>
      <c r="G41" t="n">
        <v>0</v>
      </c>
      <c r="H41" t="n">
        <v>0</v>
      </c>
      <c r="I41" t="n">
        <v>0</v>
      </c>
      <c r="J41" t="n">
        <v>0</v>
      </c>
      <c r="K41" t="n">
        <v>0</v>
      </c>
      <c r="L41" t="n">
        <v>0</v>
      </c>
      <c r="M41" t="n">
        <v>0</v>
      </c>
      <c r="N41" t="n">
        <v>0</v>
      </c>
      <c r="O41" t="n">
        <v>0</v>
      </c>
      <c r="P41" t="n">
        <v>0</v>
      </c>
      <c r="Q41" t="n">
        <v>41</v>
      </c>
      <c r="R41" t="n">
        <v>4</v>
      </c>
      <c r="S41" t="n">
        <v>41.5</v>
      </c>
      <c r="T41" t="n">
        <v>0</v>
      </c>
      <c r="U41" t="n">
        <v>0</v>
      </c>
      <c r="V41" t="n">
        <v>0</v>
      </c>
      <c r="W41" t="n">
        <v>0</v>
      </c>
      <c r="X41" t="n">
        <v>30.5</v>
      </c>
      <c r="Y41" t="n">
        <v>2</v>
      </c>
      <c r="Z41" t="n">
        <v>30.75</v>
      </c>
      <c r="AA41" t="n">
        <v>10.75</v>
      </c>
      <c r="AB41" t="n">
        <v>20</v>
      </c>
      <c r="AC41" t="n">
        <v>10.5</v>
      </c>
      <c r="AD41" t="n">
        <v>2</v>
      </c>
      <c r="AE41" t="n">
        <v>30.5</v>
      </c>
      <c r="AF41" t="n">
        <v>2</v>
      </c>
    </row>
    <row r="42">
      <c r="A42" t="inlineStr">
        <is>
          <t>Oats</t>
        </is>
      </c>
      <c r="B42" t="inlineStr">
        <is>
          <t>Total</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row>
    <row r="43">
      <c r="A43" t="inlineStr">
        <is>
          <t>Peas</t>
        </is>
      </c>
      <c r="B43" t="inlineStr">
        <is>
          <t>{yield: two-fold plus 1.5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1.5</v>
      </c>
      <c r="Y43" t="n">
        <v>0</v>
      </c>
      <c r="Z43" t="n">
        <v>1.5</v>
      </c>
      <c r="AA43" t="n">
        <v>1.5</v>
      </c>
      <c r="AB43" t="n">
        <v>0</v>
      </c>
      <c r="AC43" t="n">
        <v>1.5</v>
      </c>
      <c r="AD43" t="n">
        <v>0</v>
      </c>
    </row>
    <row r="44">
      <c r="A44" t="inlineStr">
        <is>
          <t>Peas</t>
        </is>
      </c>
      <c r="B44" t="inlineStr">
        <is>
          <t>The same renders account for 14.5 quarters from the whole issue of peas by struck measure.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14.5</v>
      </c>
      <c r="U44" t="n">
        <v>0</v>
      </c>
      <c r="V44" t="n">
        <v>14.5</v>
      </c>
      <c r="W44" t="n">
        <v>0</v>
      </c>
      <c r="X44" t="n">
        <v>14.5</v>
      </c>
      <c r="Y44" t="n">
        <v>0</v>
      </c>
      <c r="Z44" t="n">
        <v>14.5</v>
      </c>
      <c r="AA44" t="n">
        <v>14.5</v>
      </c>
      <c r="AB44" t="n">
        <v>0</v>
      </c>
      <c r="AC44" t="n">
        <v>14.5</v>
      </c>
      <c r="AD44" t="n">
        <v>0</v>
      </c>
    </row>
    <row r="45">
      <c r="A45" t="inlineStr">
        <is>
          <t>Peas</t>
        </is>
      </c>
      <c r="B45" t="inlineStr">
        <is>
          <t>Sown over 20 acres measured by the perch which lie in la Westfeud' and la Estfeld' in various places, 7 quarters 3 bushels.</t>
        </is>
      </c>
      <c r="C45" t="n">
        <v>0</v>
      </c>
      <c r="D45" t="n">
        <v>0</v>
      </c>
      <c r="E45" t="n">
        <v>7</v>
      </c>
      <c r="F45" t="n">
        <v>3</v>
      </c>
      <c r="G45" t="n">
        <v>7.375</v>
      </c>
      <c r="H45" t="n">
        <v>0</v>
      </c>
      <c r="I45" t="n">
        <v>0</v>
      </c>
      <c r="J45" t="n">
        <v>0</v>
      </c>
      <c r="K45" t="n">
        <v>0</v>
      </c>
      <c r="L45" t="n">
        <v>0</v>
      </c>
      <c r="M45" t="n">
        <v>0</v>
      </c>
      <c r="N45" t="n">
        <v>0</v>
      </c>
      <c r="O45" t="n">
        <v>0</v>
      </c>
      <c r="P45" t="n">
        <v>0</v>
      </c>
      <c r="Q45" t="n">
        <v>0</v>
      </c>
      <c r="R45" t="n">
        <v>0</v>
      </c>
      <c r="S45" t="n">
        <v>0</v>
      </c>
      <c r="T45" t="n">
        <v>0</v>
      </c>
      <c r="U45" t="n">
        <v>0</v>
      </c>
      <c r="V45" t="n">
        <v>0</v>
      </c>
      <c r="W45" t="n">
        <v>0</v>
      </c>
      <c r="X45" t="n">
        <v>7</v>
      </c>
      <c r="Y45" t="n">
        <v>3</v>
      </c>
      <c r="Z45" t="n">
        <v>7.375</v>
      </c>
      <c r="AA45" t="n">
        <v>7.375</v>
      </c>
      <c r="AB45" t="n">
        <v>0</v>
      </c>
      <c r="AC45" t="n">
        <v>7</v>
      </c>
      <c r="AD45" t="n">
        <v>3</v>
      </c>
    </row>
    <row r="46">
      <c r="A46" t="inlineStr">
        <is>
          <t>Peas</t>
        </is>
      </c>
      <c r="B46" t="inlineStr">
        <is>
          <t>that is, 3 bushels an acre, less 0.5 bushels in all.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0.5</v>
      </c>
      <c r="Z46" t="n">
        <v>0.0625</v>
      </c>
      <c r="AA46" t="n">
        <v>0.375</v>
      </c>
      <c r="AB46" t="n">
        <v>-0.3125</v>
      </c>
      <c r="AC46" t="n">
        <v>0</v>
      </c>
      <c r="AD46" t="n">
        <v>3</v>
      </c>
      <c r="AE46" t="n">
        <v>0</v>
      </c>
      <c r="AF46" t="n">
        <v>0.5</v>
      </c>
    </row>
    <row r="47">
      <c r="A47" t="inlineStr">
        <is>
          <t>Peas</t>
        </is>
      </c>
      <c r="B47" t="inlineStr">
        <is>
          <t>Sold, 7 quarters 0.5 bushels</t>
        </is>
      </c>
      <c r="C47" t="n">
        <v>0</v>
      </c>
      <c r="D47" t="n">
        <v>0</v>
      </c>
      <c r="E47" t="n">
        <v>0</v>
      </c>
      <c r="F47" t="n">
        <v>0</v>
      </c>
      <c r="G47" t="n">
        <v>0</v>
      </c>
      <c r="H47" t="n">
        <v>0</v>
      </c>
      <c r="I47" t="n">
        <v>0</v>
      </c>
      <c r="J47" t="n">
        <v>0</v>
      </c>
      <c r="K47" t="n">
        <v>0</v>
      </c>
      <c r="L47" t="n">
        <v>0</v>
      </c>
      <c r="M47" t="n">
        <v>0</v>
      </c>
      <c r="N47" t="n">
        <v>0</v>
      </c>
      <c r="O47" t="n">
        <v>0</v>
      </c>
      <c r="P47" t="n">
        <v>0</v>
      </c>
      <c r="Q47" t="n">
        <v>7</v>
      </c>
      <c r="R47" t="n">
        <v>0.5</v>
      </c>
      <c r="S47" t="n">
        <v>7.0625</v>
      </c>
      <c r="T47" t="n">
        <v>0</v>
      </c>
      <c r="U47" t="n">
        <v>0</v>
      </c>
      <c r="V47" t="n">
        <v>0</v>
      </c>
      <c r="W47" t="n">
        <v>0</v>
      </c>
      <c r="X47" t="n">
        <v>7</v>
      </c>
      <c r="Y47" t="n">
        <v>0.5</v>
      </c>
      <c r="Z47" t="n">
        <v>7.0625</v>
      </c>
      <c r="AA47" t="n">
        <v>7.0625</v>
      </c>
      <c r="AB47" t="n">
        <v>0</v>
      </c>
      <c r="AC47" t="n">
        <v>7</v>
      </c>
      <c r="AD47" t="n">
        <v>0.5</v>
      </c>
    </row>
    <row r="48">
      <c r="A48" t="inlineStr">
        <is>
          <t>Peas</t>
        </is>
      </c>
      <c r="B48" t="inlineStr">
        <is>
          <t>Total</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row>
    <row r="49">
      <c r="A49" t="inlineStr">
        <is>
          <t>Vetches</t>
        </is>
      </c>
      <c r="B49" t="inlineStr">
        <is>
          <t>{yield: two-and-a-half-fold plus 4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4</v>
      </c>
      <c r="Z49" t="n">
        <v>0.5</v>
      </c>
      <c r="AA49" t="n">
        <v>0.5</v>
      </c>
      <c r="AB49" t="n">
        <v>0</v>
      </c>
      <c r="AC49" t="n">
        <v>0</v>
      </c>
      <c r="AD49" t="n">
        <v>4</v>
      </c>
    </row>
    <row r="50">
      <c r="A50" t="inlineStr">
        <is>
          <t>Vetches</t>
        </is>
      </c>
      <c r="B50" t="inlineStr">
        <is>
          <t>The same renders account for 19 quarters 2 bushels from the whole issue of vetches by struck measure.</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19</v>
      </c>
      <c r="U50" t="n">
        <v>2</v>
      </c>
      <c r="V50" t="n">
        <v>19.25</v>
      </c>
      <c r="W50" t="n">
        <v>0</v>
      </c>
      <c r="X50" t="n">
        <v>19</v>
      </c>
      <c r="Y50" t="n">
        <v>2</v>
      </c>
      <c r="Z50" t="n">
        <v>19.25</v>
      </c>
      <c r="AA50" t="n">
        <v>19.25</v>
      </c>
      <c r="AB50" t="n">
        <v>0</v>
      </c>
      <c r="AC50" t="n">
        <v>19</v>
      </c>
      <c r="AD50" t="n">
        <v>2</v>
      </c>
    </row>
    <row r="51">
      <c r="A51" t="inlineStr">
        <is>
          <t>Vetches</t>
        </is>
      </c>
      <c r="B51" t="inlineStr">
        <is>
          <t>Sown over 19 acres measured by the perch which lie in la Westfeld' and Estfeld' in various places, 9.5 quarters.</t>
        </is>
      </c>
      <c r="C51" t="n">
        <v>0</v>
      </c>
      <c r="D51" t="n">
        <v>0</v>
      </c>
      <c r="E51" t="n">
        <v>9.5</v>
      </c>
      <c r="F51" t="n">
        <v>0</v>
      </c>
      <c r="G51" t="n">
        <v>9.5</v>
      </c>
      <c r="H51" t="n">
        <v>0</v>
      </c>
      <c r="I51" t="n">
        <v>0</v>
      </c>
      <c r="J51" t="n">
        <v>0</v>
      </c>
      <c r="K51" t="n">
        <v>0</v>
      </c>
      <c r="L51" t="n">
        <v>0</v>
      </c>
      <c r="M51" t="n">
        <v>0</v>
      </c>
      <c r="N51" t="n">
        <v>0</v>
      </c>
      <c r="O51" t="n">
        <v>0</v>
      </c>
      <c r="P51" t="n">
        <v>0</v>
      </c>
      <c r="Q51" t="n">
        <v>0</v>
      </c>
      <c r="R51" t="n">
        <v>0</v>
      </c>
      <c r="S51" t="n">
        <v>0</v>
      </c>
      <c r="T51" t="n">
        <v>0</v>
      </c>
      <c r="U51" t="n">
        <v>0</v>
      </c>
      <c r="V51" t="n">
        <v>0</v>
      </c>
      <c r="W51" t="n">
        <v>0</v>
      </c>
      <c r="X51" t="n">
        <v>9.5</v>
      </c>
      <c r="Y51" t="n">
        <v>0</v>
      </c>
      <c r="Z51" t="n">
        <v>9.5</v>
      </c>
      <c r="AA51" t="n">
        <v>9.5</v>
      </c>
      <c r="AB51" t="n">
        <v>0</v>
      </c>
      <c r="AC51" t="n">
        <v>9.5</v>
      </c>
      <c r="AD51" t="n">
        <v>0</v>
      </c>
    </row>
    <row r="52">
      <c r="A52" t="inlineStr">
        <is>
          <t>Vetches</t>
        </is>
      </c>
      <c r="B52" t="inlineStr">
        <is>
          <t>that is, .5 qr an acre.</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row>
    <row r="53">
      <c r="A53" t="inlineStr">
        <is>
          <t>Vetches</t>
        </is>
      </c>
      <c r="B53" t="inlineStr">
        <is>
          <t>Mixed above with barley for the liveries of the manorial servants, 6 quarters.</t>
        </is>
      </c>
      <c r="C53" t="n">
        <v>0</v>
      </c>
      <c r="D53" t="n">
        <v>0</v>
      </c>
      <c r="E53" t="n">
        <v>0</v>
      </c>
      <c r="F53" t="n">
        <v>0</v>
      </c>
      <c r="G53" t="n">
        <v>0</v>
      </c>
      <c r="H53" t="n">
        <v>0</v>
      </c>
      <c r="I53" t="n">
        <v>0</v>
      </c>
      <c r="J53" t="n">
        <v>0</v>
      </c>
      <c r="K53" t="n">
        <v>0</v>
      </c>
      <c r="L53" t="n">
        <v>0</v>
      </c>
      <c r="M53" t="n">
        <v>0</v>
      </c>
      <c r="N53" t="n">
        <v>6</v>
      </c>
      <c r="O53" t="n">
        <v>0</v>
      </c>
      <c r="P53" t="n">
        <v>6</v>
      </c>
      <c r="Q53" t="n">
        <v>0</v>
      </c>
      <c r="R53" t="n">
        <v>0</v>
      </c>
      <c r="S53" t="n">
        <v>0</v>
      </c>
      <c r="T53" t="n">
        <v>0</v>
      </c>
      <c r="U53" t="n">
        <v>0</v>
      </c>
      <c r="V53" t="n">
        <v>0</v>
      </c>
      <c r="W53" t="n">
        <v>0</v>
      </c>
      <c r="X53" t="n">
        <v>6</v>
      </c>
      <c r="Y53" t="n">
        <v>0</v>
      </c>
      <c r="Z53" t="n">
        <v>6</v>
      </c>
      <c r="AA53" t="n">
        <v>6</v>
      </c>
      <c r="AB53" t="n">
        <v>0</v>
      </c>
      <c r="AC53" t="n">
        <v>6</v>
      </c>
      <c r="AD53" t="n">
        <v>0</v>
      </c>
    </row>
    <row r="54">
      <c r="A54" t="inlineStr">
        <is>
          <t>Vetches</t>
        </is>
      </c>
      <c r="B54" t="inlineStr">
        <is>
          <t>Sold, 3 quarters 6 bushels</t>
        </is>
      </c>
      <c r="C54" t="n">
        <v>0</v>
      </c>
      <c r="D54" t="n">
        <v>0</v>
      </c>
      <c r="E54" t="n">
        <v>0</v>
      </c>
      <c r="F54" t="n">
        <v>0</v>
      </c>
      <c r="G54" t="n">
        <v>0</v>
      </c>
      <c r="H54" t="n">
        <v>0</v>
      </c>
      <c r="I54" t="n">
        <v>0</v>
      </c>
      <c r="J54" t="n">
        <v>0</v>
      </c>
      <c r="K54" t="n">
        <v>0</v>
      </c>
      <c r="L54" t="n">
        <v>0</v>
      </c>
      <c r="M54" t="n">
        <v>0</v>
      </c>
      <c r="N54" t="n">
        <v>0</v>
      </c>
      <c r="O54" t="n">
        <v>0</v>
      </c>
      <c r="P54" t="n">
        <v>0</v>
      </c>
      <c r="Q54" t="n">
        <v>3</v>
      </c>
      <c r="R54" t="n">
        <v>6</v>
      </c>
      <c r="S54" t="n">
        <v>3.75</v>
      </c>
      <c r="T54" t="n">
        <v>0</v>
      </c>
      <c r="U54" t="n">
        <v>0</v>
      </c>
      <c r="V54" t="n">
        <v>0</v>
      </c>
      <c r="W54" t="n">
        <v>0</v>
      </c>
      <c r="X54" t="n">
        <v>3</v>
      </c>
      <c r="Y54" t="n">
        <v>6</v>
      </c>
      <c r="Z54" t="n">
        <v>3.75</v>
      </c>
      <c r="AA54" t="n">
        <v>3.75</v>
      </c>
      <c r="AB54" t="n">
        <v>0</v>
      </c>
      <c r="AC54" t="n">
        <v>3</v>
      </c>
      <c r="AD54" t="n">
        <v>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9"/>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The same renders account for £16 12 shilling 10.75pence from 57.5 quarters .5 bushels of wheat sold, at 4 shilling 6pence a quarters for 6.5 quarters, 5 shilling a quarters for 16 quarters 0.5 bushels, 6 shilling a quarters for 15 quarters, and 6 shilling 8pence a quarters for 20 quarters.</t>
        </is>
      </c>
      <c r="C2" t="n">
        <v>16.64</v>
      </c>
      <c r="D2" t="n">
        <v>16</v>
      </c>
      <c r="E2" t="n">
        <v>12</v>
      </c>
      <c r="F2" t="n">
        <v>10.75</v>
      </c>
      <c r="G2" t="inlineStr">
        <is>
          <t>wheat</t>
        </is>
      </c>
      <c r="H2" t="n">
        <v>57.5</v>
      </c>
      <c r="I2" t="n">
        <v>5.5</v>
      </c>
      <c r="J2" t="n">
        <v>58.1875</v>
      </c>
      <c r="K2" t="n">
        <v>57.5</v>
      </c>
      <c r="L2" t="n">
        <v>0.6875</v>
      </c>
      <c r="M2" t="n">
        <v>57.5</v>
      </c>
      <c r="N2" t="n">
        <v>0</v>
      </c>
      <c r="O2" t="n">
        <v>4</v>
      </c>
      <c r="P2" t="n">
        <v>6</v>
      </c>
      <c r="Q2" t="n">
        <v>0</v>
      </c>
      <c r="R2" t="n">
        <v>5</v>
      </c>
      <c r="S2" t="n">
        <v>5</v>
      </c>
      <c r="T2" t="n">
        <v>0</v>
      </c>
      <c r="U2" t="n">
        <v>6.5</v>
      </c>
      <c r="V2" t="n">
        <v>0</v>
      </c>
      <c r="W2" t="n">
        <v>6</v>
      </c>
      <c r="X2" t="n">
        <v>0</v>
      </c>
      <c r="Y2" t="n">
        <v>16</v>
      </c>
      <c r="Z2" t="n">
        <v>0.5</v>
      </c>
      <c r="AA2" t="n">
        <v>6</v>
      </c>
      <c r="AB2" t="n">
        <v>8</v>
      </c>
      <c r="AC2" t="n">
        <v>15</v>
      </c>
      <c r="AD2" t="n">
        <v>0</v>
      </c>
      <c r="AE2" t="n">
        <v>20</v>
      </c>
      <c r="AF2" t="n">
        <v>0</v>
      </c>
      <c r="AG2" t="n">
        <v>0.225</v>
      </c>
      <c r="AH2" t="n">
        <v>0.25</v>
      </c>
      <c r="AI2" t="n">
        <v>0.3</v>
      </c>
      <c r="AJ2" t="n">
        <v>0.3333333333333333</v>
      </c>
      <c r="AK2" t="n">
        <v>57.5</v>
      </c>
      <c r="AL2" t="n">
        <v>0.3033551554828151</v>
      </c>
      <c r="AM2" t="n">
        <v>0.2770833333333333</v>
      </c>
      <c r="AN2" t="inlineStr">
        <is>
          <t>wheat</t>
        </is>
      </c>
    </row>
    <row r="3">
      <c r="A3" t="inlineStr">
        <is>
          <t>Sale of corn</t>
        </is>
      </c>
      <c r="B3" t="inlineStr">
        <is>
          <t>18 shilling 11.5pence from 10 quarters 5 bushels of curall sold, at 1 shilling 8pence a quarters for 9 quarters 3 bushels, and 2 shilling 8pence a quarters for 1 quarters 2 bushels.</t>
        </is>
      </c>
      <c r="C3" t="n">
        <v>0.95</v>
      </c>
      <c r="D3" t="n">
        <v>0</v>
      </c>
      <c r="E3" t="n">
        <v>18</v>
      </c>
      <c r="F3" t="n">
        <v>11.5</v>
      </c>
      <c r="G3" t="inlineStr">
        <is>
          <t>curall</t>
        </is>
      </c>
      <c r="H3" t="n">
        <v>10</v>
      </c>
      <c r="I3" t="n">
        <v>5</v>
      </c>
      <c r="J3" t="n">
        <v>10.625</v>
      </c>
      <c r="K3" t="n">
        <v>10.625</v>
      </c>
      <c r="L3" t="n">
        <v>0</v>
      </c>
      <c r="M3" t="n">
        <v>10</v>
      </c>
      <c r="N3" t="n">
        <v>5</v>
      </c>
      <c r="O3" t="n">
        <v>1</v>
      </c>
      <c r="P3" t="n">
        <v>8</v>
      </c>
      <c r="Q3" t="n">
        <v>9</v>
      </c>
      <c r="R3" t="n">
        <v>3</v>
      </c>
      <c r="S3" t="n">
        <v>2</v>
      </c>
      <c r="T3" t="n">
        <v>8</v>
      </c>
      <c r="U3" t="n">
        <v>1</v>
      </c>
      <c r="V3" t="n">
        <v>2</v>
      </c>
      <c r="AG3" t="n">
        <v>0.08333333333333334</v>
      </c>
      <c r="AH3" t="n">
        <v>0.1333333333333333</v>
      </c>
      <c r="AK3" t="n">
        <v>10.625</v>
      </c>
      <c r="AL3" t="n">
        <v>0.08921568627450981</v>
      </c>
      <c r="AM3" t="n">
        <v>0.1083333333333333</v>
      </c>
      <c r="AN3" t="inlineStr">
        <is>
          <t>curall</t>
        </is>
      </c>
    </row>
    <row r="4">
      <c r="A4" t="inlineStr">
        <is>
          <t>Sale of corn</t>
        </is>
      </c>
      <c r="B4" t="inlineStr">
        <is>
          <t>£1 15 shilling 3pence from 8.5 quarters 2.5 bushels of barley sold, at 4 shilling a quarters.</t>
        </is>
      </c>
      <c r="C4" t="n">
        <v>1.76</v>
      </c>
      <c r="D4" t="n">
        <v>1</v>
      </c>
      <c r="E4" t="n">
        <v>15</v>
      </c>
      <c r="F4" t="n">
        <v>3</v>
      </c>
      <c r="G4" t="inlineStr">
        <is>
          <t>barley</t>
        </is>
      </c>
      <c r="H4" t="n">
        <v>8.5</v>
      </c>
      <c r="I4" t="n">
        <v>2.5</v>
      </c>
      <c r="J4" t="n">
        <v>8.8125</v>
      </c>
      <c r="K4" t="n">
        <v>8.8125</v>
      </c>
      <c r="L4" t="n">
        <v>0</v>
      </c>
      <c r="M4" t="n">
        <v>8.5</v>
      </c>
      <c r="N4" t="n">
        <v>2.5</v>
      </c>
      <c r="O4" t="n">
        <v>4</v>
      </c>
      <c r="P4" t="n">
        <v>0</v>
      </c>
      <c r="AG4" t="n">
        <v>0.2</v>
      </c>
      <c r="AK4" t="n">
        <v>8.8125</v>
      </c>
      <c r="AL4" t="n">
        <v>0.2</v>
      </c>
      <c r="AM4" t="n">
        <v>0.2</v>
      </c>
      <c r="AN4" t="inlineStr">
        <is>
          <t>barley</t>
        </is>
      </c>
    </row>
    <row r="5">
      <c r="A5" t="inlineStr">
        <is>
          <t>Sale of corn</t>
        </is>
      </c>
      <c r="B5" t="inlineStr">
        <is>
          <t>14 shilling 9.75pence from 4.5 quarters 3.5 bushels of dredge sold, at 3 shilling a quarters.</t>
        </is>
      </c>
      <c r="C5" t="n">
        <v>0.74</v>
      </c>
      <c r="D5" t="n">
        <v>0</v>
      </c>
      <c r="E5" t="n">
        <v>14</v>
      </c>
      <c r="F5" t="n">
        <v>9.75</v>
      </c>
      <c r="H5" t="n">
        <v>4.5</v>
      </c>
      <c r="I5" t="n">
        <v>3.5</v>
      </c>
      <c r="J5" t="n">
        <v>4.9375</v>
      </c>
      <c r="K5" t="n">
        <v>4.9375</v>
      </c>
      <c r="L5" t="n">
        <v>0</v>
      </c>
      <c r="M5" t="n">
        <v>4.5</v>
      </c>
      <c r="N5" t="n">
        <v>3.5</v>
      </c>
      <c r="O5" t="n">
        <v>3</v>
      </c>
      <c r="P5" t="n">
        <v>0</v>
      </c>
      <c r="AG5" t="n">
        <v>0.15</v>
      </c>
      <c r="AK5" t="n">
        <v>4.9375</v>
      </c>
      <c r="AL5" t="n">
        <v>0.15</v>
      </c>
      <c r="AM5" t="n">
        <v>0.15</v>
      </c>
    </row>
    <row r="6">
      <c r="A6" t="inlineStr">
        <is>
          <t>Sale of corn</t>
        </is>
      </c>
      <c r="B6" t="inlineStr">
        <is>
          <t>£3 9 shilling 6pence from 30.5 quarters 2 bushels of oats sold, at 2 shilling a quarters for 14 quarters 6 bushels, 2 shilling 4pence a quarters for 8 quarters, and 2 shilling 8pence a quarters for 8 quarters.</t>
        </is>
      </c>
      <c r="C6" t="n">
        <v>3.48</v>
      </c>
      <c r="D6" t="n">
        <v>3</v>
      </c>
      <c r="E6" t="n">
        <v>9</v>
      </c>
      <c r="F6" t="n">
        <v>6</v>
      </c>
      <c r="G6" t="inlineStr">
        <is>
          <t>oats</t>
        </is>
      </c>
      <c r="H6" t="n">
        <v>30</v>
      </c>
      <c r="I6" t="n">
        <v>6</v>
      </c>
      <c r="J6" t="n">
        <v>30.75</v>
      </c>
      <c r="K6" t="n">
        <v>30.75</v>
      </c>
      <c r="L6" t="n">
        <v>0</v>
      </c>
      <c r="M6" t="n">
        <v>30.5</v>
      </c>
      <c r="N6" t="n">
        <v>2</v>
      </c>
      <c r="O6" t="n">
        <v>2</v>
      </c>
      <c r="P6" t="n">
        <v>0</v>
      </c>
      <c r="Q6" t="n">
        <v>14</v>
      </c>
      <c r="R6" t="n">
        <v>6</v>
      </c>
      <c r="S6" t="n">
        <v>2</v>
      </c>
      <c r="T6" t="n">
        <v>4</v>
      </c>
      <c r="U6" t="n">
        <v>8</v>
      </c>
      <c r="V6" t="n">
        <v>0</v>
      </c>
      <c r="W6" t="n">
        <v>2</v>
      </c>
      <c r="X6" t="n">
        <v>8</v>
      </c>
      <c r="Y6" t="n">
        <v>8</v>
      </c>
      <c r="Z6" t="n">
        <v>0</v>
      </c>
      <c r="AG6" t="n">
        <v>0.1</v>
      </c>
      <c r="AH6" t="n">
        <v>0.1166666666666667</v>
      </c>
      <c r="AI6" t="n">
        <v>0.1333333333333333</v>
      </c>
      <c r="AK6" t="n">
        <v>30.75</v>
      </c>
      <c r="AL6" t="n">
        <v>0.1130081300813008</v>
      </c>
      <c r="AM6" t="n">
        <v>0.1166666666666667</v>
      </c>
      <c r="AN6" t="inlineStr">
        <is>
          <t>oats</t>
        </is>
      </c>
    </row>
    <row r="7">
      <c r="A7" t="inlineStr">
        <is>
          <t>Sale of corn</t>
        </is>
      </c>
      <c r="B7" t="inlineStr">
        <is>
          <t>15 shilling 2.5pence from 7 quarters .5 bushels of peas sold, at 2 shilling a quarters for 3 quarters 6.5 bushels, and 2 shilling 4pence a quarters for 3 quarters 2 bushels.</t>
        </is>
      </c>
      <c r="C7" t="n">
        <v>0.76</v>
      </c>
      <c r="D7" t="n">
        <v>0</v>
      </c>
      <c r="E7" t="n">
        <v>15</v>
      </c>
      <c r="F7" t="n">
        <v>2.5</v>
      </c>
      <c r="G7" t="inlineStr">
        <is>
          <t>peas</t>
        </is>
      </c>
      <c r="H7" t="n">
        <v>6</v>
      </c>
      <c r="I7" t="n">
        <v>13.5</v>
      </c>
      <c r="J7" t="n">
        <v>7.6875</v>
      </c>
      <c r="K7" t="n">
        <v>7</v>
      </c>
      <c r="L7" t="n">
        <v>0.6875</v>
      </c>
      <c r="M7" t="n">
        <v>7</v>
      </c>
      <c r="N7" t="n">
        <v>0</v>
      </c>
      <c r="O7" t="n">
        <v>2</v>
      </c>
      <c r="P7" t="n">
        <v>0</v>
      </c>
      <c r="Q7" t="n">
        <v>0</v>
      </c>
      <c r="R7" t="n">
        <v>5</v>
      </c>
      <c r="S7" t="n">
        <v>2</v>
      </c>
      <c r="T7" t="n">
        <v>4</v>
      </c>
      <c r="U7" t="n">
        <v>3</v>
      </c>
      <c r="V7" t="n">
        <v>6.5</v>
      </c>
      <c r="Y7" t="n">
        <v>3</v>
      </c>
      <c r="Z7" t="n">
        <v>2</v>
      </c>
      <c r="AG7" t="n">
        <v>0.1</v>
      </c>
      <c r="AH7" t="n">
        <v>0.1166666666666667</v>
      </c>
      <c r="AK7" t="n">
        <v>7</v>
      </c>
      <c r="AL7" t="n">
        <v>0.1143192488262911</v>
      </c>
      <c r="AM7" t="n">
        <v>0.1083333333333333</v>
      </c>
      <c r="AN7" t="inlineStr">
        <is>
          <t>peas</t>
        </is>
      </c>
    </row>
    <row r="8">
      <c r="A8" t="inlineStr">
        <is>
          <t>Sale of corn</t>
        </is>
      </c>
      <c r="B8" t="inlineStr">
        <is>
          <t>7 shilling 6pence from 3 quarters 6 bushels of vetches sold, at 2 shilling a quarters.</t>
        </is>
      </c>
      <c r="C8" t="n">
        <v>0.38</v>
      </c>
      <c r="D8" t="n">
        <v>0</v>
      </c>
      <c r="E8" t="n">
        <v>7</v>
      </c>
      <c r="F8" t="n">
        <v>6</v>
      </c>
      <c r="G8" t="inlineStr">
        <is>
          <t>vetches</t>
        </is>
      </c>
      <c r="H8" t="n">
        <v>3</v>
      </c>
      <c r="I8" t="n">
        <v>6</v>
      </c>
      <c r="J8" t="n">
        <v>3.75</v>
      </c>
      <c r="K8" t="n">
        <v>3.75</v>
      </c>
      <c r="L8" t="n">
        <v>0</v>
      </c>
      <c r="M8" t="n">
        <v>3</v>
      </c>
      <c r="N8" t="n">
        <v>6</v>
      </c>
      <c r="O8" t="n">
        <v>2</v>
      </c>
      <c r="P8" t="n">
        <v>0</v>
      </c>
      <c r="AG8" t="n">
        <v>0.1</v>
      </c>
      <c r="AK8" t="n">
        <v>3.75</v>
      </c>
      <c r="AL8" t="n">
        <v>0.1</v>
      </c>
      <c r="AM8" t="n">
        <v>0.1</v>
      </c>
      <c r="AN8" t="inlineStr">
        <is>
          <t>vetches</t>
        </is>
      </c>
    </row>
    <row r="9">
      <c r="A9" t="inlineStr">
        <is>
          <t>Sale of corn</t>
        </is>
      </c>
      <c r="B9" t="inlineStr">
        <is>
          <t>Total, £24 14 shilling 1.5pence</t>
        </is>
      </c>
      <c r="C9" t="n">
        <v>24.71</v>
      </c>
      <c r="D9" t="n">
        <v>24</v>
      </c>
      <c r="E9" t="n">
        <v>14</v>
      </c>
      <c r="F9" t="n">
        <v>1.5</v>
      </c>
      <c r="H9" t="n">
        <v>0</v>
      </c>
      <c r="I9" t="n">
        <v>0</v>
      </c>
      <c r="J9" t="n">
        <v>0</v>
      </c>
      <c r="K9" t="n">
        <v>0</v>
      </c>
      <c r="L9" t="n">
        <v>0</v>
      </c>
      <c r="M9" t="n">
        <v>0</v>
      </c>
      <c r="N9" t="n">
        <v>0</v>
      </c>
      <c r="AG9" t="inlineStr">
        <is>
          <t>inf</t>
        </is>
      </c>
      <c r="AK9" t="n">
        <v>0</v>
      </c>
      <c r="AL9" t="inlineStr">
        <is>
          <t>inf</t>
        </is>
      </c>
      <c r="AM9" t="inlineStr">
        <is>
          <t>inf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215"/>
  <sheetViews>
    <sheetView topLeftCell="A1" workbookViewId="0">
      <selection activeCell="A1" sqref="A1"/>
    </sheetView>
  </sheetViews>
  <sheetFormatPr baseColWidth="8" defaultRowHeight="15"/>
  <cols>
    <col width="23.3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Arrears</t>
        </is>
      </c>
      <c r="B2" t="inlineStr">
        <is>
          <t>Robert de' renders account for 13 shilling 7pence of arrears from the previous year.</t>
        </is>
      </c>
      <c r="C2" t="n">
        <v>0.68</v>
      </c>
      <c r="D2" t="n">
        <v>0</v>
      </c>
      <c r="E2" t="n">
        <v>13</v>
      </c>
      <c r="F2" t="n">
        <v>7</v>
      </c>
      <c r="H2" t="n">
        <v>0</v>
      </c>
      <c r="I2" t="n">
        <v>0</v>
      </c>
      <c r="J2" t="n">
        <v>0</v>
      </c>
      <c r="K2" t="n">
        <v>0</v>
      </c>
      <c r="L2" t="n">
        <v>0</v>
      </c>
      <c r="M2" t="n">
        <v>0</v>
      </c>
      <c r="N2" t="n">
        <v>0</v>
      </c>
    </row>
    <row r="3">
      <c r="A3" t="inlineStr">
        <is>
          <t>Arrears</t>
        </is>
      </c>
      <c r="B3" t="inlineStr">
        <is>
          <t>All delivered to Sir Geoffrey, treasurer of Wolvesey.</t>
        </is>
      </c>
      <c r="C3" t="n">
        <v>0</v>
      </c>
      <c r="D3" t="n">
        <v>0</v>
      </c>
      <c r="E3" t="n">
        <v>0</v>
      </c>
      <c r="F3" t="n">
        <v>0</v>
      </c>
      <c r="H3" t="n">
        <v>0</v>
      </c>
      <c r="I3" t="n">
        <v>0</v>
      </c>
      <c r="J3" t="n">
        <v>0</v>
      </c>
      <c r="K3" t="n">
        <v>0</v>
      </c>
      <c r="L3" t="n">
        <v>0</v>
      </c>
      <c r="M3" t="n">
        <v>0</v>
      </c>
      <c r="N3" t="n">
        <v>0</v>
      </c>
    </row>
    <row r="4">
      <c r="A4" t="inlineStr">
        <is>
          <t>Arrears</t>
        </is>
      </c>
      <c r="B4" t="inlineStr">
        <is>
          <t>He is quit.</t>
        </is>
      </c>
      <c r="C4" t="n">
        <v>0</v>
      </c>
      <c r="D4" t="n">
        <v>0</v>
      </c>
      <c r="E4" t="n">
        <v>0</v>
      </c>
      <c r="F4" t="n">
        <v>0</v>
      </c>
      <c r="H4" t="n">
        <v>0</v>
      </c>
      <c r="I4" t="n">
        <v>0</v>
      </c>
      <c r="J4" t="n">
        <v>0</v>
      </c>
      <c r="K4" t="n">
        <v>0</v>
      </c>
      <c r="L4" t="n">
        <v>0</v>
      </c>
      <c r="M4" t="n">
        <v>0</v>
      </c>
      <c r="N4" t="n">
        <v>0</v>
      </c>
    </row>
    <row r="5">
      <c r="A5" t="inlineStr">
        <is>
          <t>Rents of assize</t>
        </is>
      </c>
      <c r="B5" t="inlineStr">
        <is>
          <t>The same renders account for 8 shilling 1pence for rents of assize at Christmas.</t>
        </is>
      </c>
      <c r="C5" t="n">
        <v>0.4</v>
      </c>
      <c r="D5" t="n">
        <v>0</v>
      </c>
      <c r="E5" t="n">
        <v>8</v>
      </c>
      <c r="F5" t="n">
        <v>1</v>
      </c>
      <c r="H5" t="n">
        <v>0</v>
      </c>
      <c r="I5" t="n">
        <v>0</v>
      </c>
      <c r="J5" t="n">
        <v>0</v>
      </c>
      <c r="K5" t="n">
        <v>0</v>
      </c>
      <c r="L5" t="n">
        <v>0</v>
      </c>
      <c r="M5" t="n">
        <v>0</v>
      </c>
      <c r="N5" t="n">
        <v>0</v>
      </c>
    </row>
    <row r="6">
      <c r="A6" t="inlineStr">
        <is>
          <t>Rents of assize</t>
        </is>
      </c>
      <c r="B6" t="inlineStr">
        <is>
          <t>£1 6 shilling 3.75pence at Easter (22 April).</t>
        </is>
      </c>
      <c r="C6" t="n">
        <v>1.32</v>
      </c>
      <c r="D6" t="n">
        <v>1</v>
      </c>
      <c r="E6" t="n">
        <v>6</v>
      </c>
      <c r="F6" t="n">
        <v>3.75</v>
      </c>
      <c r="H6" t="n">
        <v>0</v>
      </c>
      <c r="I6" t="n">
        <v>0</v>
      </c>
      <c r="J6" t="n">
        <v>0</v>
      </c>
      <c r="K6" t="n">
        <v>0</v>
      </c>
      <c r="L6" t="n">
        <v>0</v>
      </c>
      <c r="M6" t="n">
        <v>0</v>
      </c>
      <c r="N6" t="n">
        <v>0</v>
      </c>
    </row>
    <row r="7">
      <c r="A7" t="inlineStr">
        <is>
          <t>Rents of assize</t>
        </is>
      </c>
      <c r="B7" t="inlineStr">
        <is>
          <t>8 shilling 1pence at St John the Baptist (24 June).</t>
        </is>
      </c>
      <c r="C7" t="n">
        <v>0.4</v>
      </c>
      <c r="D7" t="n">
        <v>0</v>
      </c>
      <c r="E7" t="n">
        <v>8</v>
      </c>
      <c r="F7" t="n">
        <v>1</v>
      </c>
      <c r="H7" t="n">
        <v>0</v>
      </c>
      <c r="I7" t="n">
        <v>0</v>
      </c>
      <c r="J7" t="n">
        <v>0</v>
      </c>
      <c r="K7" t="n">
        <v>0</v>
      </c>
      <c r="L7" t="n">
        <v>0</v>
      </c>
      <c r="M7" t="n">
        <v>0</v>
      </c>
      <c r="N7" t="n">
        <v>0</v>
      </c>
    </row>
    <row r="8">
      <c r="A8" t="inlineStr">
        <is>
          <t>Rents of assize</t>
        </is>
      </c>
      <c r="B8" t="inlineStr">
        <is>
          <t>£1 7 shilling 10.751. at Michaelmas (29 September).</t>
        </is>
      </c>
      <c r="C8" t="n">
        <v>1.35</v>
      </c>
      <c r="D8" t="n">
        <v>1</v>
      </c>
      <c r="E8" t="n">
        <v>7</v>
      </c>
      <c r="F8" t="n">
        <v>0</v>
      </c>
      <c r="H8" t="n">
        <v>0</v>
      </c>
      <c r="I8" t="n">
        <v>0</v>
      </c>
      <c r="J8" t="n">
        <v>0</v>
      </c>
      <c r="K8" t="n">
        <v>0</v>
      </c>
      <c r="L8" t="n">
        <v>0</v>
      </c>
      <c r="M8" t="n">
        <v>0</v>
      </c>
      <c r="N8" t="n">
        <v>0</v>
      </c>
    </row>
    <row r="9">
      <c r="A9" t="inlineStr">
        <is>
          <t>Rents of assize</t>
        </is>
      </c>
      <c r="B9" t="inlineStr">
        <is>
          <t>Total, £3 10 shilling 4.5pence</t>
        </is>
      </c>
      <c r="C9" t="n">
        <v>3.52</v>
      </c>
      <c r="D9" t="n">
        <v>3</v>
      </c>
      <c r="E9" t="n">
        <v>10</v>
      </c>
      <c r="F9" t="n">
        <v>4.5</v>
      </c>
      <c r="H9" t="n">
        <v>0</v>
      </c>
      <c r="I9" t="n">
        <v>0</v>
      </c>
      <c r="J9" t="n">
        <v>0</v>
      </c>
      <c r="K9" t="n">
        <v>0</v>
      </c>
      <c r="L9" t="n">
        <v>0</v>
      </c>
      <c r="M9" t="n">
        <v>0</v>
      </c>
      <c r="N9" t="n">
        <v>0</v>
      </c>
    </row>
    <row r="10">
      <c r="A10" t="inlineStr">
        <is>
          <t>Increment</t>
        </is>
      </c>
      <c r="B10" t="inlineStr">
        <is>
          <t>The same renders account for 1pence for the increment of rent of Thomas Godwyn' to have the moiety of 1 day-work beside his house.</t>
        </is>
      </c>
      <c r="C10" t="n">
        <v>0</v>
      </c>
      <c r="D10" t="n">
        <v>0</v>
      </c>
      <c r="E10" t="n">
        <v>0</v>
      </c>
      <c r="F10" t="n">
        <v>1</v>
      </c>
      <c r="H10" t="n">
        <v>0</v>
      </c>
      <c r="I10" t="n">
        <v>0</v>
      </c>
      <c r="J10" t="n">
        <v>0</v>
      </c>
      <c r="K10" t="n">
        <v>0</v>
      </c>
      <c r="L10" t="n">
        <v>0</v>
      </c>
      <c r="M10" t="n">
        <v>0</v>
      </c>
      <c r="N10" t="n">
        <v>0</v>
      </c>
    </row>
    <row r="11">
      <c r="A11" t="inlineStr">
        <is>
          <t>Increment</t>
        </is>
      </c>
      <c r="B11" t="inlineStr">
        <is>
          <t>Total, 1pence</t>
        </is>
      </c>
      <c r="C11" t="n">
        <v>0</v>
      </c>
      <c r="D11" t="n">
        <v>0</v>
      </c>
      <c r="E11" t="n">
        <v>0</v>
      </c>
      <c r="F11" t="n">
        <v>1</v>
      </c>
      <c r="H11" t="n">
        <v>0</v>
      </c>
      <c r="I11" t="n">
        <v>0</v>
      </c>
      <c r="J11" t="n">
        <v>0</v>
      </c>
      <c r="K11" t="n">
        <v>0</v>
      </c>
      <c r="L11" t="n">
        <v>0</v>
      </c>
      <c r="M11" t="n">
        <v>0</v>
      </c>
      <c r="N11" t="n">
        <v>0</v>
      </c>
    </row>
    <row r="12">
      <c r="A12" t="inlineStr">
        <is>
          <t>Total of rents with increment</t>
        </is>
      </c>
      <c r="B12" t="inlineStr">
        <is>
          <t>Total of rents with increment, £3 10 shilling 4.5pence3</t>
        </is>
      </c>
      <c r="C12" t="n">
        <v>3.52</v>
      </c>
      <c r="D12" t="n">
        <v>3</v>
      </c>
      <c r="E12" t="n">
        <v>10</v>
      </c>
      <c r="F12" t="n">
        <v>4.5</v>
      </c>
      <c r="H12" t="n">
        <v>0</v>
      </c>
      <c r="I12" t="n">
        <v>0</v>
      </c>
      <c r="J12" t="n">
        <v>0</v>
      </c>
      <c r="K12" t="n">
        <v>0</v>
      </c>
      <c r="L12" t="n">
        <v>0</v>
      </c>
      <c r="M12" t="n">
        <v>0</v>
      </c>
      <c r="N12" t="n">
        <v>0</v>
      </c>
    </row>
    <row r="13">
      <c r="A13" t="inlineStr">
        <is>
          <t>Issues of the manor</t>
        </is>
      </c>
      <c r="B13" t="inlineStr">
        <is>
          <t>The same renders account for 1 shilling 2pence from pannage of pigs.</t>
        </is>
      </c>
      <c r="C13" t="n">
        <v>0.06</v>
      </c>
      <c r="D13" t="n">
        <v>0</v>
      </c>
      <c r="E13" t="n">
        <v>1</v>
      </c>
      <c r="F13" t="n">
        <v>2</v>
      </c>
      <c r="H13" t="n">
        <v>0</v>
      </c>
      <c r="I13" t="n">
        <v>0</v>
      </c>
      <c r="J13" t="n">
        <v>0</v>
      </c>
      <c r="K13" t="n">
        <v>0</v>
      </c>
      <c r="L13" t="n">
        <v>0</v>
      </c>
      <c r="M13" t="n">
        <v>0</v>
      </c>
      <c r="N13" t="n">
        <v>0</v>
      </c>
    </row>
    <row r="14">
      <c r="A14" t="inlineStr">
        <is>
          <t>Issues of the manor</t>
        </is>
      </c>
      <c r="B14" t="inlineStr">
        <is>
          <t>8 shilling from 1 cart-horse sold.</t>
        </is>
      </c>
      <c r="C14" t="n">
        <v>0.4</v>
      </c>
      <c r="D14" t="n">
        <v>0</v>
      </c>
      <c r="E14" t="n">
        <v>8</v>
      </c>
      <c r="F14" t="n">
        <v>0</v>
      </c>
      <c r="H14" t="n">
        <v>0</v>
      </c>
      <c r="I14" t="n">
        <v>0</v>
      </c>
      <c r="J14" t="n">
        <v>0</v>
      </c>
      <c r="K14" t="n">
        <v>0</v>
      </c>
      <c r="L14" t="n">
        <v>0</v>
      </c>
      <c r="M14" t="n">
        <v>0</v>
      </c>
      <c r="N14" t="n">
        <v>0</v>
      </c>
    </row>
    <row r="15">
      <c r="A15" t="inlineStr">
        <is>
          <t>Issues of the manor</t>
        </is>
      </c>
      <c r="B15" t="inlineStr">
        <is>
          <t>12 shilling from 2 feeble plough-horses sold.</t>
        </is>
      </c>
      <c r="C15" t="n">
        <v>0.6</v>
      </c>
      <c r="D15" t="n">
        <v>0</v>
      </c>
      <c r="E15" t="n">
        <v>12</v>
      </c>
      <c r="F15" t="n">
        <v>0</v>
      </c>
      <c r="H15" t="n">
        <v>0</v>
      </c>
      <c r="I15" t="n">
        <v>0</v>
      </c>
      <c r="J15" t="n">
        <v>0</v>
      </c>
      <c r="K15" t="n">
        <v>0</v>
      </c>
      <c r="L15" t="n">
        <v>0</v>
      </c>
      <c r="M15" t="n">
        <v>0</v>
      </c>
      <c r="N15" t="n">
        <v>0</v>
      </c>
    </row>
    <row r="16">
      <c r="A16" t="inlineStr">
        <is>
          <t>Issues of the manor</t>
        </is>
      </c>
      <c r="B16" t="inlineStr">
        <is>
          <t>16 shilling 4pence from 14 wethers sold at Martinmas (11 November), at 1 shilling 2pence each.</t>
        </is>
      </c>
      <c r="C16" t="n">
        <v>0.82</v>
      </c>
      <c r="D16" t="n">
        <v>0</v>
      </c>
      <c r="E16" t="n">
        <v>16</v>
      </c>
      <c r="F16" t="n">
        <v>4</v>
      </c>
      <c r="H16" t="n">
        <v>0</v>
      </c>
      <c r="I16" t="n">
        <v>0</v>
      </c>
      <c r="J16" t="n">
        <v>0</v>
      </c>
      <c r="K16" t="n">
        <v>0</v>
      </c>
      <c r="L16" t="n">
        <v>0</v>
      </c>
      <c r="M16" t="n">
        <v>0</v>
      </c>
      <c r="N16" t="n">
        <v>0</v>
      </c>
    </row>
    <row r="17">
      <c r="A17" t="inlineStr">
        <is>
          <t>Issues of the manor</t>
        </is>
      </c>
      <c r="B17" t="inlineStr">
        <is>
          <t>6 shilling 8pence from 8 ewes sold at the same feast, at 10pence each.</t>
        </is>
      </c>
      <c r="C17" t="n">
        <v>0.33</v>
      </c>
      <c r="D17" t="n">
        <v>0</v>
      </c>
      <c r="E17" t="n">
        <v>6</v>
      </c>
      <c r="F17" t="n">
        <v>8</v>
      </c>
      <c r="H17" t="n">
        <v>0</v>
      </c>
      <c r="I17" t="n">
        <v>0</v>
      </c>
      <c r="J17" t="n">
        <v>0</v>
      </c>
      <c r="K17" t="n">
        <v>0</v>
      </c>
      <c r="L17" t="n">
        <v>0</v>
      </c>
      <c r="M17" t="n">
        <v>0</v>
      </c>
      <c r="N17" t="n">
        <v>0</v>
      </c>
    </row>
    <row r="18">
      <c r="A18" t="inlineStr">
        <is>
          <t>Issues of the manor</t>
        </is>
      </c>
      <c r="B18" t="inlineStr">
        <is>
          <t>£1 from 8 pigs sold at the feast of St Andrew (30 November), at 2 shilling 6pence each.</t>
        </is>
      </c>
      <c r="C18" t="n">
        <v>1</v>
      </c>
      <c r="D18" t="n">
        <v>1</v>
      </c>
      <c r="E18" t="n">
        <v>0</v>
      </c>
      <c r="F18" t="n">
        <v>0</v>
      </c>
      <c r="H18" t="n">
        <v>0</v>
      </c>
      <c r="I18" t="n">
        <v>0</v>
      </c>
      <c r="J18" t="n">
        <v>0</v>
      </c>
      <c r="K18" t="n">
        <v>0</v>
      </c>
      <c r="L18" t="n">
        <v>0</v>
      </c>
      <c r="M18" t="n">
        <v>0</v>
      </c>
      <c r="N18" t="n">
        <v>0</v>
      </c>
    </row>
    <row r="19">
      <c r="A19" t="inlineStr">
        <is>
          <t>Issues of the manor</t>
        </is>
      </c>
      <c r="B19" t="inlineStr">
        <is>
          <t>12.5. from 8 pigs sold at the same feast, at 1 shilling 6pence each.</t>
        </is>
      </c>
      <c r="C19" t="n">
        <v>0.08</v>
      </c>
      <c r="D19" t="n">
        <v>0</v>
      </c>
      <c r="E19" t="n">
        <v>1</v>
      </c>
      <c r="F19" t="n">
        <v>6</v>
      </c>
      <c r="H19" t="n">
        <v>0</v>
      </c>
      <c r="I19" t="n">
        <v>0</v>
      </c>
      <c r="J19" t="n">
        <v>0</v>
      </c>
      <c r="K19" t="n">
        <v>0</v>
      </c>
      <c r="L19" t="n">
        <v>0</v>
      </c>
      <c r="M19" t="n">
        <v>0</v>
      </c>
      <c r="N19" t="n">
        <v>0</v>
      </c>
    </row>
    <row r="20">
      <c r="A20" t="inlineStr">
        <is>
          <t>Issues of the manor</t>
        </is>
      </c>
      <c r="B20" t="inlineStr">
        <is>
          <t>6 shilling from 6 piglets sold, at 1 shilling each.</t>
        </is>
      </c>
      <c r="C20" t="n">
        <v>0.3</v>
      </c>
      <c r="D20" t="n">
        <v>0</v>
      </c>
      <c r="E20" t="n">
        <v>6</v>
      </c>
      <c r="F20" t="n">
        <v>0</v>
      </c>
      <c r="H20" t="n">
        <v>0</v>
      </c>
      <c r="I20" t="n">
        <v>0</v>
      </c>
      <c r="J20" t="n">
        <v>0</v>
      </c>
      <c r="K20" t="n">
        <v>0</v>
      </c>
      <c r="L20" t="n">
        <v>0</v>
      </c>
      <c r="M20" t="n">
        <v>0</v>
      </c>
      <c r="N20" t="n">
        <v>0</v>
      </c>
    </row>
    <row r="21">
      <c r="A21" t="inlineStr">
        <is>
          <t>Issues of the manor</t>
        </is>
      </c>
      <c r="B21" t="inlineStr">
        <is>
          <t>nothing from coarse wool and lamb's-wool here because it is sent to Wolvesey.</t>
        </is>
      </c>
      <c r="C21" t="n">
        <v>0</v>
      </c>
      <c r="D21" t="n">
        <v>0</v>
      </c>
      <c r="E21" t="n">
        <v>0</v>
      </c>
      <c r="F21" t="n">
        <v>0</v>
      </c>
      <c r="H21" t="n">
        <v>0</v>
      </c>
      <c r="I21" t="n">
        <v>0</v>
      </c>
      <c r="J21" t="n">
        <v>0</v>
      </c>
      <c r="K21" t="n">
        <v>0</v>
      </c>
      <c r="L21" t="n">
        <v>0</v>
      </c>
      <c r="M21" t="n">
        <v>0</v>
      </c>
      <c r="N21" t="n">
        <v>0</v>
      </c>
    </row>
    <row r="22">
      <c r="A22" t="inlineStr">
        <is>
          <t>Issues of the manor</t>
        </is>
      </c>
      <c r="B22" t="inlineStr">
        <is>
          <t>8 shilling 10pence from 1 wey and 1 clove of summer cheese sold.</t>
        </is>
      </c>
      <c r="C22" t="n">
        <v>0.44</v>
      </c>
      <c r="D22" t="n">
        <v>0</v>
      </c>
      <c r="E22" t="n">
        <v>8</v>
      </c>
      <c r="F22" t="n">
        <v>10</v>
      </c>
      <c r="H22" t="n">
        <v>0</v>
      </c>
      <c r="I22" t="n">
        <v>0</v>
      </c>
      <c r="J22" t="n">
        <v>0</v>
      </c>
      <c r="K22" t="n">
        <v>0</v>
      </c>
      <c r="L22" t="n">
        <v>0</v>
      </c>
      <c r="M22" t="n">
        <v>0</v>
      </c>
      <c r="N22" t="n">
        <v>0</v>
      </c>
    </row>
    <row r="23">
      <c r="A23" t="inlineStr">
        <is>
          <t>Issues of the manor</t>
        </is>
      </c>
      <c r="B23" t="inlineStr">
        <is>
          <t>10pence from the skins sold of 4 ewes in murrain before shearing, at 2.5pence a skin.</t>
        </is>
      </c>
      <c r="C23" t="n">
        <v>0.04</v>
      </c>
      <c r="D23" t="n">
        <v>0</v>
      </c>
      <c r="E23" t="n">
        <v>0</v>
      </c>
      <c r="F23" t="n">
        <v>10</v>
      </c>
      <c r="H23" t="n">
        <v>0</v>
      </c>
      <c r="I23" t="n">
        <v>0</v>
      </c>
      <c r="J23" t="n">
        <v>0</v>
      </c>
      <c r="K23" t="n">
        <v>0</v>
      </c>
      <c r="L23" t="n">
        <v>0</v>
      </c>
      <c r="M23" t="n">
        <v>0</v>
      </c>
      <c r="N23" t="n">
        <v>0</v>
      </c>
    </row>
    <row r="24">
      <c r="A24" t="inlineStr">
        <is>
          <t>Issues of the manor</t>
        </is>
      </c>
      <c r="B24" t="inlineStr">
        <is>
          <t>1.5pence from the skin sold of 1 ewe in murrain after shearing.</t>
        </is>
      </c>
      <c r="C24" t="n">
        <v>0.01</v>
      </c>
      <c r="D24" t="n">
        <v>0</v>
      </c>
      <c r="E24" t="n">
        <v>0</v>
      </c>
      <c r="F24" t="n">
        <v>1.5</v>
      </c>
      <c r="H24" t="n">
        <v>0</v>
      </c>
      <c r="I24" t="n">
        <v>0</v>
      </c>
      <c r="J24" t="n">
        <v>0</v>
      </c>
      <c r="K24" t="n">
        <v>0</v>
      </c>
      <c r="L24" t="n">
        <v>0</v>
      </c>
      <c r="M24" t="n">
        <v>0</v>
      </c>
      <c r="N24" t="n">
        <v>0</v>
      </c>
    </row>
    <row r="25">
      <c r="A25" t="inlineStr">
        <is>
          <t>Issues of the manor</t>
        </is>
      </c>
      <c r="B25" t="inlineStr">
        <is>
          <t>3pence from the skins sold of 4 lambs in murrain before weaning.</t>
        </is>
      </c>
      <c r="C25" t="n">
        <v>0.01</v>
      </c>
      <c r="D25" t="n">
        <v>0</v>
      </c>
      <c r="E25" t="n">
        <v>0</v>
      </c>
      <c r="F25" t="n">
        <v>3</v>
      </c>
      <c r="H25" t="n">
        <v>0</v>
      </c>
      <c r="I25" t="n">
        <v>0</v>
      </c>
      <c r="J25" t="n">
        <v>0</v>
      </c>
      <c r="K25" t="n">
        <v>0</v>
      </c>
      <c r="L25" t="n">
        <v>0</v>
      </c>
      <c r="M25" t="n">
        <v>0</v>
      </c>
      <c r="N25" t="n">
        <v>0</v>
      </c>
    </row>
    <row r="26">
      <c r="A26" t="inlineStr">
        <is>
          <t>Issues of the manor</t>
        </is>
      </c>
      <c r="B26" t="inlineStr">
        <is>
          <t>.25pence from the skin sold of 1 lamb in murrain after shearing.</t>
        </is>
      </c>
      <c r="C26" t="n">
        <v>0.1</v>
      </c>
      <c r="D26" t="n">
        <v>0</v>
      </c>
      <c r="E26" t="n">
        <v>0</v>
      </c>
      <c r="F26" t="n">
        <v>25</v>
      </c>
      <c r="H26" t="n">
        <v>0</v>
      </c>
      <c r="I26" t="n">
        <v>0</v>
      </c>
      <c r="J26" t="n">
        <v>0</v>
      </c>
      <c r="K26" t="n">
        <v>0</v>
      </c>
      <c r="L26" t="n">
        <v>0</v>
      </c>
      <c r="M26" t="n">
        <v>0</v>
      </c>
      <c r="N26" t="n">
        <v>0</v>
      </c>
    </row>
    <row r="27">
      <c r="A27" t="inlineStr">
        <is>
          <t>Issues of the manor</t>
        </is>
      </c>
      <c r="B27" t="inlineStr">
        <is>
          <t>2 shilling from the pasturage sold at Alnet'.</t>
        </is>
      </c>
      <c r="C27" t="n">
        <v>0.1</v>
      </c>
      <c r="D27" t="n">
        <v>0</v>
      </c>
      <c r="E27" t="n">
        <v>2</v>
      </c>
      <c r="F27" t="n">
        <v>0</v>
      </c>
      <c r="H27" t="n">
        <v>0</v>
      </c>
      <c r="I27" t="n">
        <v>0</v>
      </c>
      <c r="J27" t="n">
        <v>0</v>
      </c>
      <c r="K27" t="n">
        <v>0</v>
      </c>
      <c r="L27" t="n">
        <v>0</v>
      </c>
      <c r="M27" t="n">
        <v>0</v>
      </c>
      <c r="N27" t="n">
        <v>0</v>
      </c>
    </row>
    <row r="28">
      <c r="A28" t="inlineStr">
        <is>
          <t>Issues of the manor</t>
        </is>
      </c>
      <c r="B28" t="inlineStr">
        <is>
          <t>2 shilling 6pence from the pasturage sold at Ostrewod'.</t>
        </is>
      </c>
      <c r="C28" t="n">
        <v>0.12</v>
      </c>
      <c r="D28" t="n">
        <v>0</v>
      </c>
      <c r="E28" t="n">
        <v>2</v>
      </c>
      <c r="F28" t="n">
        <v>6</v>
      </c>
      <c r="H28" t="n">
        <v>0</v>
      </c>
      <c r="I28" t="n">
        <v>0</v>
      </c>
      <c r="J28" t="n">
        <v>0</v>
      </c>
      <c r="K28" t="n">
        <v>0</v>
      </c>
      <c r="L28" t="n">
        <v>0</v>
      </c>
      <c r="M28" t="n">
        <v>0</v>
      </c>
      <c r="N28" t="n">
        <v>0</v>
      </c>
    </row>
    <row r="29">
      <c r="A29" t="inlineStr">
        <is>
          <t>Issues of the manor</t>
        </is>
      </c>
      <c r="B29" t="inlineStr">
        <is>
          <t>6pence from the pasturage sold in 2 crofts beside the garden.</t>
        </is>
      </c>
      <c r="C29" t="n">
        <v>0.03</v>
      </c>
      <c r="D29" t="n">
        <v>0</v>
      </c>
      <c r="E29" t="n">
        <v>0</v>
      </c>
      <c r="F29" t="n">
        <v>6</v>
      </c>
      <c r="H29" t="n">
        <v>0</v>
      </c>
      <c r="I29" t="n">
        <v>0</v>
      </c>
      <c r="J29" t="n">
        <v>0</v>
      </c>
      <c r="K29" t="n">
        <v>0</v>
      </c>
      <c r="L29" t="n">
        <v>0</v>
      </c>
      <c r="M29" t="n">
        <v>0</v>
      </c>
      <c r="N29" t="n">
        <v>0</v>
      </c>
    </row>
    <row r="30">
      <c r="A30" t="inlineStr">
        <is>
          <t>Issues of the manor</t>
        </is>
      </c>
      <c r="B30" t="inlineStr">
        <is>
          <t>2 shilling from stubble sold.</t>
        </is>
      </c>
      <c r="C30" t="n">
        <v>0.1</v>
      </c>
      <c r="D30" t="n">
        <v>0</v>
      </c>
      <c r="E30" t="n">
        <v>2</v>
      </c>
      <c r="F30" t="n">
        <v>0</v>
      </c>
      <c r="H30" t="n">
        <v>0</v>
      </c>
      <c r="I30" t="n">
        <v>0</v>
      </c>
      <c r="J30" t="n">
        <v>0</v>
      </c>
      <c r="K30" t="n">
        <v>0</v>
      </c>
      <c r="L30" t="n">
        <v>0</v>
      </c>
      <c r="M30" t="n">
        <v>0</v>
      </c>
      <c r="N30" t="n">
        <v>0</v>
      </c>
    </row>
    <row r="31">
      <c r="A31" t="inlineStr">
        <is>
          <t>Issues of the manor</t>
        </is>
      </c>
      <c r="B31" t="inlineStr">
        <is>
          <t>2 shilling 6pence from 30 men for I harvest boon-work.</t>
        </is>
      </c>
      <c r="C31" t="n">
        <v>0.12</v>
      </c>
      <c r="D31" t="n">
        <v>0</v>
      </c>
      <c r="E31" t="n">
        <v>2</v>
      </c>
      <c r="F31" t="n">
        <v>6</v>
      </c>
      <c r="H31" t="n">
        <v>0</v>
      </c>
      <c r="I31" t="n">
        <v>0</v>
      </c>
      <c r="J31" t="n">
        <v>0</v>
      </c>
      <c r="K31" t="n">
        <v>0</v>
      </c>
      <c r="L31" t="n">
        <v>0</v>
      </c>
      <c r="M31" t="n">
        <v>0</v>
      </c>
      <c r="N31" t="n">
        <v>0</v>
      </c>
    </row>
    <row r="32">
      <c r="A32" t="inlineStr">
        <is>
          <t>Issues of the manor</t>
        </is>
      </c>
      <c r="B32" t="inlineStr">
        <is>
          <t>14 shilling from 7 pigs sold after the harvest.</t>
        </is>
      </c>
      <c r="C32" t="n">
        <v>0.7</v>
      </c>
      <c r="D32" t="n">
        <v>0</v>
      </c>
      <c r="E32" t="n">
        <v>14</v>
      </c>
      <c r="F32" t="n">
        <v>0</v>
      </c>
      <c r="H32" t="n">
        <v>0</v>
      </c>
      <c r="I32" t="n">
        <v>0</v>
      </c>
      <c r="J32" t="n">
        <v>0</v>
      </c>
      <c r="K32" t="n">
        <v>0</v>
      </c>
      <c r="L32" t="n">
        <v>0</v>
      </c>
      <c r="M32" t="n">
        <v>0</v>
      </c>
      <c r="N32" t="n">
        <v>0</v>
      </c>
    </row>
    <row r="33">
      <c r="A33" t="inlineStr">
        <is>
          <t>Issues of the manor</t>
        </is>
      </c>
      <c r="B33" t="inlineStr">
        <is>
          <t>10 shilling from 8 piglets sold after the harvest, at 1 shilling 3pence each.</t>
        </is>
      </c>
      <c r="C33" t="n">
        <v>0.51</v>
      </c>
      <c r="D33" t="n">
        <v>0</v>
      </c>
      <c r="E33" t="n">
        <v>10</v>
      </c>
      <c r="F33" t="n">
        <v>3</v>
      </c>
      <c r="H33" t="n">
        <v>0</v>
      </c>
      <c r="I33" t="n">
        <v>0</v>
      </c>
      <c r="J33" t="n">
        <v>0</v>
      </c>
      <c r="K33" t="n">
        <v>0</v>
      </c>
      <c r="L33" t="n">
        <v>0</v>
      </c>
      <c r="M33" t="n">
        <v>0</v>
      </c>
      <c r="N33" t="n">
        <v>0</v>
      </c>
    </row>
    <row r="34">
      <c r="A34" t="inlineStr">
        <is>
          <t>Issues of the manor</t>
        </is>
      </c>
      <c r="B34" t="inlineStr">
        <is>
          <t>6 shilling 8pence from 8 piglets sold after the harvest, at 10pence each.</t>
        </is>
      </c>
      <c r="C34" t="n">
        <v>0.33</v>
      </c>
      <c r="D34" t="n">
        <v>0</v>
      </c>
      <c r="E34" t="n">
        <v>6</v>
      </c>
      <c r="F34" t="n">
        <v>8</v>
      </c>
      <c r="H34" t="n">
        <v>0</v>
      </c>
      <c r="I34" t="n">
        <v>0</v>
      </c>
      <c r="J34" t="n">
        <v>0</v>
      </c>
      <c r="K34" t="n">
        <v>0</v>
      </c>
      <c r="L34" t="n">
        <v>0</v>
      </c>
      <c r="M34" t="n">
        <v>0</v>
      </c>
      <c r="N34" t="n">
        <v>0</v>
      </c>
    </row>
    <row r="35">
      <c r="A35" t="inlineStr">
        <is>
          <t>Issues of the manor</t>
        </is>
      </c>
      <c r="B35" t="inlineStr">
        <is>
          <t>9.5pence from 2 cloves 5 lb of butter sold, at 3.5pence a clove.</t>
        </is>
      </c>
      <c r="C35" t="n">
        <v>0.04</v>
      </c>
      <c r="D35" t="n">
        <v>0</v>
      </c>
      <c r="E35" t="n">
        <v>0</v>
      </c>
      <c r="F35" t="n">
        <v>9.5</v>
      </c>
      <c r="H35" t="n">
        <v>0</v>
      </c>
      <c r="I35" t="n">
        <v>0</v>
      </c>
      <c r="J35" t="n">
        <v>0</v>
      </c>
      <c r="K35" t="n">
        <v>0</v>
      </c>
      <c r="L35" t="n">
        <v>0</v>
      </c>
      <c r="M35" t="n">
        <v>0</v>
      </c>
      <c r="N35" t="n">
        <v>0</v>
      </c>
    </row>
    <row r="36">
      <c r="A36" t="inlineStr">
        <is>
          <t>Issues of the manor</t>
        </is>
      </c>
      <c r="B36" t="inlineStr">
        <is>
          <t>Total, £6 13 shilling 2.5pence</t>
        </is>
      </c>
      <c r="C36" t="n">
        <v>6.66</v>
      </c>
      <c r="D36" t="n">
        <v>6</v>
      </c>
      <c r="E36" t="n">
        <v>13</v>
      </c>
      <c r="F36" t="n">
        <v>2.5</v>
      </c>
      <c r="H36" t="n">
        <v>0</v>
      </c>
      <c r="I36" t="n">
        <v>0</v>
      </c>
      <c r="J36" t="n">
        <v>0</v>
      </c>
      <c r="K36" t="n">
        <v>0</v>
      </c>
      <c r="L36" t="n">
        <v>0</v>
      </c>
      <c r="M36" t="n">
        <v>0</v>
      </c>
      <c r="N36" t="n">
        <v>0</v>
      </c>
    </row>
    <row r="37">
      <c r="A37" t="inlineStr">
        <is>
          <t>Sale of corn</t>
        </is>
      </c>
      <c r="B37" t="inlineStr">
        <is>
          <t>The same renders account for £16 12 shilling 10.75pence from 57.5 quarters .5 bushels of wheat sold, at 4 shilling 6pence a quarters for 6.5 quarters, 5 shilling a quarters for 16 quarters 0.5 bushels, 6 shilling a quarters for 15 quarters, and 6 shilling 8pence a quarters for 20 quarters.</t>
        </is>
      </c>
      <c r="C37" t="n">
        <v>16.64</v>
      </c>
      <c r="D37" t="n">
        <v>16</v>
      </c>
      <c r="E37" t="n">
        <v>12</v>
      </c>
      <c r="F37" t="n">
        <v>10.75</v>
      </c>
      <c r="G37" t="inlineStr">
        <is>
          <t>wheat</t>
        </is>
      </c>
      <c r="H37" t="n">
        <v>57.5</v>
      </c>
      <c r="I37" t="n">
        <v>5.5</v>
      </c>
      <c r="J37" t="n">
        <v>58.1875</v>
      </c>
      <c r="K37" t="n">
        <v>57.5</v>
      </c>
      <c r="L37" t="n">
        <v>0.6875</v>
      </c>
      <c r="M37" t="n">
        <v>57.5</v>
      </c>
      <c r="N37" t="n">
        <v>0</v>
      </c>
      <c r="O37" t="n">
        <v>0</v>
      </c>
      <c r="P37" t="n">
        <v>5</v>
      </c>
      <c r="Q37" t="n">
        <v>6.5</v>
      </c>
      <c r="R37" t="n">
        <v>0</v>
      </c>
      <c r="S37" t="n">
        <v>16</v>
      </c>
      <c r="T37" t="n">
        <v>0.5</v>
      </c>
      <c r="U37" t="n">
        <v>15</v>
      </c>
      <c r="V37" t="n">
        <v>0</v>
      </c>
      <c r="W37" t="n">
        <v>20</v>
      </c>
      <c r="X37" t="n">
        <v>0</v>
      </c>
      <c r="Y37" t="n">
        <v>4</v>
      </c>
      <c r="Z37" t="n">
        <v>6</v>
      </c>
      <c r="AA37" t="n">
        <v>5</v>
      </c>
      <c r="AB37" t="n">
        <v>0</v>
      </c>
      <c r="AC37" t="n">
        <v>6</v>
      </c>
      <c r="AD37" t="n">
        <v>0</v>
      </c>
      <c r="AE37" t="n">
        <v>6</v>
      </c>
      <c r="AF37" t="n">
        <v>8</v>
      </c>
    </row>
    <row r="38">
      <c r="A38" t="inlineStr">
        <is>
          <t>Sale of corn</t>
        </is>
      </c>
      <c r="B38" t="inlineStr">
        <is>
          <t>18 shilling 11.5pence from 10 quarters 5 bushels of curall sold, at 1 shilling 8pence a quarters for 9 quarters 3 bushels, and 2 shilling 8pence a quarters for 1 quarters 2 bushels.</t>
        </is>
      </c>
      <c r="C38" t="n">
        <v>0.95</v>
      </c>
      <c r="D38" t="n">
        <v>0</v>
      </c>
      <c r="E38" t="n">
        <v>18</v>
      </c>
      <c r="F38" t="n">
        <v>11.5</v>
      </c>
      <c r="G38" t="inlineStr">
        <is>
          <t>curall</t>
        </is>
      </c>
      <c r="H38" t="n">
        <v>10</v>
      </c>
      <c r="I38" t="n">
        <v>5</v>
      </c>
      <c r="J38" t="n">
        <v>10.625</v>
      </c>
      <c r="K38" t="n">
        <v>10.625</v>
      </c>
      <c r="L38" t="n">
        <v>0</v>
      </c>
      <c r="M38" t="n">
        <v>10</v>
      </c>
      <c r="N38" t="n">
        <v>5</v>
      </c>
      <c r="O38" t="n">
        <v>9</v>
      </c>
      <c r="P38" t="n">
        <v>3</v>
      </c>
      <c r="Q38" t="n">
        <v>1</v>
      </c>
      <c r="R38" t="n">
        <v>2</v>
      </c>
      <c r="Y38" t="n">
        <v>1</v>
      </c>
      <c r="Z38" t="n">
        <v>8</v>
      </c>
      <c r="AA38" t="n">
        <v>2</v>
      </c>
      <c r="AB38" t="n">
        <v>8</v>
      </c>
    </row>
    <row r="39">
      <c r="A39" t="inlineStr">
        <is>
          <t>Sale of corn</t>
        </is>
      </c>
      <c r="B39" t="inlineStr">
        <is>
          <t>£1 15 shilling 3pence from 8.5 quarters 2.5 bushels of barley sold, at 4 shilling a quarters.</t>
        </is>
      </c>
      <c r="C39" t="n">
        <v>1.76</v>
      </c>
      <c r="D39" t="n">
        <v>1</v>
      </c>
      <c r="E39" t="n">
        <v>15</v>
      </c>
      <c r="F39" t="n">
        <v>3</v>
      </c>
      <c r="G39" t="inlineStr">
        <is>
          <t>barley</t>
        </is>
      </c>
      <c r="H39" t="n">
        <v>8.5</v>
      </c>
      <c r="I39" t="n">
        <v>2.5</v>
      </c>
      <c r="J39" t="n">
        <v>8.8125</v>
      </c>
      <c r="K39" t="n">
        <v>8.8125</v>
      </c>
      <c r="L39" t="n">
        <v>0</v>
      </c>
      <c r="M39" t="n">
        <v>8.5</v>
      </c>
      <c r="N39" t="n">
        <v>2.5</v>
      </c>
      <c r="Y39" t="n">
        <v>4</v>
      </c>
      <c r="Z39" t="n">
        <v>0</v>
      </c>
    </row>
    <row r="40">
      <c r="A40" t="inlineStr">
        <is>
          <t>Sale of corn</t>
        </is>
      </c>
      <c r="B40" t="inlineStr">
        <is>
          <t>14 shilling 9.75pence from 4.5 quarters 3.5 bushels of dredge sold, at 3 shilling a quarters.</t>
        </is>
      </c>
      <c r="C40" t="n">
        <v>0.74</v>
      </c>
      <c r="D40" t="n">
        <v>0</v>
      </c>
      <c r="E40" t="n">
        <v>14</v>
      </c>
      <c r="F40" t="n">
        <v>9.75</v>
      </c>
      <c r="H40" t="n">
        <v>4.5</v>
      </c>
      <c r="I40" t="n">
        <v>3.5</v>
      </c>
      <c r="J40" t="n">
        <v>4.9375</v>
      </c>
      <c r="K40" t="n">
        <v>4.9375</v>
      </c>
      <c r="L40" t="n">
        <v>0</v>
      </c>
      <c r="M40" t="n">
        <v>4.5</v>
      </c>
      <c r="N40" t="n">
        <v>3.5</v>
      </c>
      <c r="Y40" t="n">
        <v>3</v>
      </c>
      <c r="Z40" t="n">
        <v>0</v>
      </c>
    </row>
    <row r="41">
      <c r="A41" t="inlineStr">
        <is>
          <t>Sale of corn</t>
        </is>
      </c>
      <c r="B41" t="inlineStr">
        <is>
          <t>£3 9 shilling 6pence from 30.5 quarters 2 bushels of oats sold, at 2 shilling a quarters for 14 quarters 6 bushels, 2 shilling 4pence a quarters for 8 quarters, and 2 shilling 8pence a quarters for 8 quarters.</t>
        </is>
      </c>
      <c r="C41" t="n">
        <v>3.48</v>
      </c>
      <c r="D41" t="n">
        <v>3</v>
      </c>
      <c r="E41" t="n">
        <v>9</v>
      </c>
      <c r="F41" t="n">
        <v>6</v>
      </c>
      <c r="G41" t="inlineStr">
        <is>
          <t>oats</t>
        </is>
      </c>
      <c r="H41" t="n">
        <v>30</v>
      </c>
      <c r="I41" t="n">
        <v>6</v>
      </c>
      <c r="J41" t="n">
        <v>30.75</v>
      </c>
      <c r="K41" t="n">
        <v>30.75</v>
      </c>
      <c r="L41" t="n">
        <v>0</v>
      </c>
      <c r="M41" t="n">
        <v>30.5</v>
      </c>
      <c r="N41" t="n">
        <v>2</v>
      </c>
      <c r="O41" t="n">
        <v>14</v>
      </c>
      <c r="P41" t="n">
        <v>6</v>
      </c>
      <c r="Q41" t="n">
        <v>8</v>
      </c>
      <c r="R41" t="n">
        <v>0</v>
      </c>
      <c r="S41" t="n">
        <v>8</v>
      </c>
      <c r="T41" t="n">
        <v>0</v>
      </c>
      <c r="Y41" t="n">
        <v>2</v>
      </c>
      <c r="Z41" t="n">
        <v>0</v>
      </c>
      <c r="AA41" t="n">
        <v>2</v>
      </c>
      <c r="AB41" t="n">
        <v>4</v>
      </c>
      <c r="AC41" t="n">
        <v>2</v>
      </c>
      <c r="AD41" t="n">
        <v>8</v>
      </c>
    </row>
    <row r="42">
      <c r="A42" t="inlineStr">
        <is>
          <t>Sale of corn</t>
        </is>
      </c>
      <c r="B42" t="inlineStr">
        <is>
          <t>15 shilling 2.5pence from 7 quarters .5 bushels of peas sold, at 2 shilling a quarters for 3 quarters 6.5 bushels, and 2 shilling 4pence a quarters for 3 quarters 2 bushels.</t>
        </is>
      </c>
      <c r="C42" t="n">
        <v>0.76</v>
      </c>
      <c r="D42" t="n">
        <v>0</v>
      </c>
      <c r="E42" t="n">
        <v>15</v>
      </c>
      <c r="F42" t="n">
        <v>2.5</v>
      </c>
      <c r="G42" t="inlineStr">
        <is>
          <t>peas</t>
        </is>
      </c>
      <c r="H42" t="n">
        <v>6</v>
      </c>
      <c r="I42" t="n">
        <v>13.5</v>
      </c>
      <c r="J42" t="n">
        <v>7.6875</v>
      </c>
      <c r="K42" t="n">
        <v>7</v>
      </c>
      <c r="L42" t="n">
        <v>0.6875</v>
      </c>
      <c r="M42" t="n">
        <v>7</v>
      </c>
      <c r="N42" t="n">
        <v>0</v>
      </c>
      <c r="O42" t="n">
        <v>0</v>
      </c>
      <c r="P42" t="n">
        <v>5</v>
      </c>
      <c r="Q42" t="n">
        <v>3</v>
      </c>
      <c r="R42" t="n">
        <v>6.5</v>
      </c>
      <c r="S42" t="n">
        <v>3</v>
      </c>
      <c r="T42" t="n">
        <v>2</v>
      </c>
      <c r="Y42" t="n">
        <v>2</v>
      </c>
      <c r="Z42" t="n">
        <v>0</v>
      </c>
      <c r="AA42" t="n">
        <v>2</v>
      </c>
      <c r="AB42" t="n">
        <v>4</v>
      </c>
    </row>
    <row r="43">
      <c r="A43" t="inlineStr">
        <is>
          <t>Sale of corn</t>
        </is>
      </c>
      <c r="B43" t="inlineStr">
        <is>
          <t>7 shilling 6pence from 3 quarters 6 bushels of vetches sold, at 2 shilling a quarters.</t>
        </is>
      </c>
      <c r="C43" t="n">
        <v>0.38</v>
      </c>
      <c r="D43" t="n">
        <v>0</v>
      </c>
      <c r="E43" t="n">
        <v>7</v>
      </c>
      <c r="F43" t="n">
        <v>6</v>
      </c>
      <c r="G43" t="inlineStr">
        <is>
          <t>vetches</t>
        </is>
      </c>
      <c r="H43" t="n">
        <v>3</v>
      </c>
      <c r="I43" t="n">
        <v>6</v>
      </c>
      <c r="J43" t="n">
        <v>3.75</v>
      </c>
      <c r="K43" t="n">
        <v>3.75</v>
      </c>
      <c r="L43" t="n">
        <v>0</v>
      </c>
      <c r="M43" t="n">
        <v>3</v>
      </c>
      <c r="N43" t="n">
        <v>6</v>
      </c>
      <c r="Y43" t="n">
        <v>2</v>
      </c>
      <c r="Z43" t="n">
        <v>0</v>
      </c>
    </row>
    <row r="44">
      <c r="A44" t="inlineStr">
        <is>
          <t>Sale of corn</t>
        </is>
      </c>
      <c r="B44" t="inlineStr">
        <is>
          <t>Total, £24 14 shilling 1.5pence</t>
        </is>
      </c>
      <c r="C44" t="n">
        <v>24.71</v>
      </c>
      <c r="D44" t="n">
        <v>24</v>
      </c>
      <c r="E44" t="n">
        <v>14</v>
      </c>
      <c r="F44" t="n">
        <v>1.5</v>
      </c>
      <c r="H44" t="n">
        <v>0</v>
      </c>
      <c r="I44" t="n">
        <v>0</v>
      </c>
      <c r="J44" t="n">
        <v>0</v>
      </c>
      <c r="K44" t="n">
        <v>0</v>
      </c>
      <c r="L44" t="n">
        <v>0</v>
      </c>
      <c r="M44" t="n">
        <v>0</v>
      </c>
      <c r="N44" t="n">
        <v>0</v>
      </c>
    </row>
    <row r="45">
      <c r="A45" t="inlineStr">
        <is>
          <t>Perquisites</t>
        </is>
      </c>
      <c r="B45" t="inlineStr">
        <is>
          <t>The same renders account for 6 shilling from the amercements of 2 courts.</t>
        </is>
      </c>
      <c r="C45" t="n">
        <v>0.3</v>
      </c>
      <c r="D45" t="n">
        <v>0</v>
      </c>
      <c r="E45" t="n">
        <v>6</v>
      </c>
      <c r="F45" t="n">
        <v>0</v>
      </c>
      <c r="H45" t="n">
        <v>0</v>
      </c>
      <c r="I45" t="n">
        <v>0</v>
      </c>
      <c r="J45" t="n">
        <v>0</v>
      </c>
      <c r="K45" t="n">
        <v>0</v>
      </c>
      <c r="L45" t="n">
        <v>0</v>
      </c>
      <c r="M45" t="n">
        <v>0</v>
      </c>
      <c r="N45" t="n">
        <v>0</v>
      </c>
    </row>
    <row r="46">
      <c r="A46" t="inlineStr">
        <is>
          <t>Perquisites</t>
        </is>
      </c>
      <c r="B46" t="inlineStr">
        <is>
          <t>13 shilling 4pence from Oliver Stak' to receive 4 acres of land whilst the manor of Cams is in the wardship of the lorpence Total, 19 shilling 4pence</t>
        </is>
      </c>
      <c r="C46" t="n">
        <v>0.67</v>
      </c>
      <c r="D46" t="n">
        <v>0</v>
      </c>
      <c r="E46" t="n">
        <v>13</v>
      </c>
      <c r="F46" t="n">
        <v>4</v>
      </c>
      <c r="H46" t="n">
        <v>0</v>
      </c>
      <c r="I46" t="n">
        <v>0</v>
      </c>
      <c r="J46" t="n">
        <v>0</v>
      </c>
      <c r="K46" t="n">
        <v>0</v>
      </c>
      <c r="L46" t="n">
        <v>0</v>
      </c>
      <c r="M46" t="n">
        <v>0</v>
      </c>
      <c r="N46" t="n">
        <v>0</v>
      </c>
    </row>
    <row r="47">
      <c r="A47" t="inlineStr">
        <is>
          <t>Total of all receipts</t>
        </is>
      </c>
      <c r="B47" t="inlineStr">
        <is>
          <t>Total of all receipts, £35 17 shilling 0.25pence</t>
        </is>
      </c>
      <c r="C47" t="n">
        <v>35.85</v>
      </c>
      <c r="D47" t="n">
        <v>35</v>
      </c>
      <c r="E47" t="n">
        <v>17</v>
      </c>
      <c r="F47" t="n">
        <v>0.25</v>
      </c>
      <c r="H47" t="n">
        <v>0</v>
      </c>
      <c r="I47" t="n">
        <v>0</v>
      </c>
      <c r="J47" t="n">
        <v>0</v>
      </c>
      <c r="K47" t="n">
        <v>0</v>
      </c>
      <c r="L47" t="n">
        <v>0</v>
      </c>
      <c r="M47" t="n">
        <v>0</v>
      </c>
      <c r="N47" t="n">
        <v>0</v>
      </c>
    </row>
    <row r="48">
      <c r="A48" t="inlineStr">
        <is>
          <t>Cost of ploughs</t>
        </is>
      </c>
      <c r="B48" t="inlineStr">
        <is>
          <t>In iron and steel bought for the ironwork of 2 ploughs for the year 6 shilling 8pence, with the stipend of the smith.</t>
        </is>
      </c>
      <c r="C48" t="n">
        <v>0.33</v>
      </c>
      <c r="D48" t="n">
        <v>0</v>
      </c>
      <c r="E48" t="n">
        <v>6</v>
      </c>
      <c r="F48" t="n">
        <v>8</v>
      </c>
      <c r="H48" t="n">
        <v>0</v>
      </c>
      <c r="I48" t="n">
        <v>0</v>
      </c>
      <c r="J48" t="n">
        <v>0</v>
      </c>
      <c r="K48" t="n">
        <v>0</v>
      </c>
      <c r="L48" t="n">
        <v>0</v>
      </c>
      <c r="M48" t="n">
        <v>0</v>
      </c>
      <c r="N48" t="n">
        <v>0</v>
      </c>
    </row>
    <row r="49">
      <c r="A49" t="inlineStr">
        <is>
          <t>Cost of ploughs</t>
        </is>
      </c>
      <c r="B49" t="inlineStr">
        <is>
          <t>.</t>
        </is>
      </c>
      <c r="C49" t="n">
        <v>0</v>
      </c>
      <c r="D49" t="n">
        <v>0</v>
      </c>
      <c r="E49" t="n">
        <v>0</v>
      </c>
      <c r="F49" t="n">
        <v>0</v>
      </c>
      <c r="H49" t="n">
        <v>0</v>
      </c>
      <c r="I49" t="n">
        <v>0</v>
      </c>
      <c r="J49" t="n">
        <v>0</v>
      </c>
      <c r="K49" t="n">
        <v>0</v>
      </c>
      <c r="L49" t="n">
        <v>0</v>
      </c>
      <c r="M49" t="n">
        <v>0</v>
      </c>
      <c r="N49" t="n">
        <v>0</v>
      </c>
    </row>
    <row r="50">
      <c r="A50" t="inlineStr">
        <is>
          <t>Cost of ploughs</t>
        </is>
      </c>
      <c r="B50" t="inlineStr">
        <is>
          <t>1 ploughshare bought 9pence.</t>
        </is>
      </c>
      <c r="C50" t="n">
        <v>0.04</v>
      </c>
      <c r="D50" t="n">
        <v>0</v>
      </c>
      <c r="E50" t="n">
        <v>0</v>
      </c>
      <c r="F50" t="n">
        <v>9</v>
      </c>
      <c r="H50" t="n">
        <v>0</v>
      </c>
      <c r="I50" t="n">
        <v>0</v>
      </c>
      <c r="J50" t="n">
        <v>0</v>
      </c>
      <c r="K50" t="n">
        <v>0</v>
      </c>
      <c r="L50" t="n">
        <v>0</v>
      </c>
      <c r="M50" t="n">
        <v>0</v>
      </c>
      <c r="N50" t="n">
        <v>0</v>
      </c>
    </row>
    <row r="51">
      <c r="A51" t="inlineStr">
        <is>
          <t>Cost of ploughs</t>
        </is>
      </c>
      <c r="B51" t="inlineStr">
        <is>
          <t>2 plough feet bought 1 shilling.</t>
        </is>
      </c>
      <c r="C51" t="n">
        <v>0.05</v>
      </c>
      <c r="D51" t="n">
        <v>0</v>
      </c>
      <c r="E51" t="n">
        <v>1</v>
      </c>
      <c r="F51" t="n">
        <v>0</v>
      </c>
      <c r="H51" t="n">
        <v>0</v>
      </c>
      <c r="I51" t="n">
        <v>0</v>
      </c>
      <c r="J51" t="n">
        <v>0</v>
      </c>
      <c r="K51" t="n">
        <v>0</v>
      </c>
      <c r="L51" t="n">
        <v>0</v>
      </c>
      <c r="M51" t="n">
        <v>0</v>
      </c>
      <c r="N51" t="n">
        <v>0</v>
      </c>
    </row>
    <row r="52">
      <c r="A52" t="inlineStr">
        <is>
          <t>Cost of ploughs</t>
        </is>
      </c>
      <c r="B52" t="inlineStr">
        <is>
          <t>1 new plough made with the other ploughs mended 10pence.</t>
        </is>
      </c>
      <c r="C52" t="n">
        <v>0.04</v>
      </c>
      <c r="D52" t="n">
        <v>0</v>
      </c>
      <c r="E52" t="n">
        <v>0</v>
      </c>
      <c r="F52" t="n">
        <v>10</v>
      </c>
      <c r="H52" t="n">
        <v>0</v>
      </c>
      <c r="I52" t="n">
        <v>0</v>
      </c>
      <c r="J52" t="n">
        <v>0</v>
      </c>
      <c r="K52" t="n">
        <v>0</v>
      </c>
      <c r="L52" t="n">
        <v>0</v>
      </c>
      <c r="M52" t="n">
        <v>0</v>
      </c>
      <c r="N52" t="n">
        <v>0</v>
      </c>
    </row>
    <row r="53">
      <c r="A53" t="inlineStr">
        <is>
          <t>Cost of ploughs</t>
        </is>
      </c>
      <c r="B53" t="inlineStr">
        <is>
          <t>2 pairs of wheels bought 8pence.</t>
        </is>
      </c>
      <c r="C53" t="n">
        <v>0.03</v>
      </c>
      <c r="D53" t="n">
        <v>0</v>
      </c>
      <c r="E53" t="n">
        <v>0</v>
      </c>
      <c r="F53" t="n">
        <v>8</v>
      </c>
      <c r="H53" t="n">
        <v>0</v>
      </c>
      <c r="I53" t="n">
        <v>0</v>
      </c>
      <c r="J53" t="n">
        <v>0</v>
      </c>
      <c r="K53" t="n">
        <v>0</v>
      </c>
      <c r="L53" t="n">
        <v>0</v>
      </c>
      <c r="M53" t="n">
        <v>0</v>
      </c>
      <c r="N53" t="n">
        <v>0</v>
      </c>
    </row>
    <row r="54">
      <c r="A54" t="inlineStr">
        <is>
          <t>Cost of ploughs</t>
        </is>
      </c>
      <c r="B54" t="inlineStr">
        <is>
          <t>fitting 1 plough with iron tyres 1.5pence.</t>
        </is>
      </c>
      <c r="C54" t="n">
        <v>0.01</v>
      </c>
      <c r="D54" t="n">
        <v>0</v>
      </c>
      <c r="E54" t="n">
        <v>0</v>
      </c>
      <c r="F54" t="n">
        <v>1.5</v>
      </c>
      <c r="H54" t="n">
        <v>0</v>
      </c>
      <c r="I54" t="n">
        <v>0</v>
      </c>
      <c r="J54" t="n">
        <v>0</v>
      </c>
      <c r="K54" t="n">
        <v>0</v>
      </c>
      <c r="L54" t="n">
        <v>0</v>
      </c>
      <c r="M54" t="n">
        <v>0</v>
      </c>
      <c r="N54" t="n">
        <v>0</v>
      </c>
    </row>
    <row r="55">
      <c r="A55" t="inlineStr">
        <is>
          <t>Cost of ploughs</t>
        </is>
      </c>
      <c r="B55" t="inlineStr">
        <is>
          <t>shoeing 2 plough-horses for 1 term 1 shilling.</t>
        </is>
      </c>
      <c r="C55" t="n">
        <v>0.05</v>
      </c>
      <c r="D55" t="n">
        <v>0</v>
      </c>
      <c r="E55" t="n">
        <v>1</v>
      </c>
      <c r="F55" t="n">
        <v>0</v>
      </c>
      <c r="H55" t="n">
        <v>0</v>
      </c>
      <c r="I55" t="n">
        <v>0</v>
      </c>
      <c r="J55" t="n">
        <v>0</v>
      </c>
      <c r="K55" t="n">
        <v>0</v>
      </c>
      <c r="L55" t="n">
        <v>0</v>
      </c>
      <c r="M55" t="n">
        <v>0</v>
      </c>
      <c r="N55" t="n">
        <v>0</v>
      </c>
    </row>
    <row r="56">
      <c r="A56" t="inlineStr">
        <is>
          <t>Cost of ploughs</t>
        </is>
      </c>
      <c r="B56" t="inlineStr">
        <is>
          <t>boon-works of 8 ploughmen in winter and 4 in Lent 2 shilling.</t>
        </is>
      </c>
      <c r="C56" t="n">
        <v>0.1</v>
      </c>
      <c r="D56" t="n">
        <v>0</v>
      </c>
      <c r="E56" t="n">
        <v>2</v>
      </c>
      <c r="F56" t="n">
        <v>0</v>
      </c>
      <c r="H56" t="n">
        <v>0</v>
      </c>
      <c r="I56" t="n">
        <v>0</v>
      </c>
      <c r="J56" t="n">
        <v>0</v>
      </c>
      <c r="K56" t="n">
        <v>0</v>
      </c>
      <c r="L56" t="n">
        <v>0</v>
      </c>
      <c r="M56" t="n">
        <v>0</v>
      </c>
      <c r="N56" t="n">
        <v>0</v>
      </c>
    </row>
    <row r="57">
      <c r="A57" t="inlineStr">
        <is>
          <t>Cost of ploughs</t>
        </is>
      </c>
      <c r="B57" t="inlineStr">
        <is>
          <t>hiring 1 man to plough from Easter until Michaelmas, working for 72 days when they ploughed, 3 shilling, at 0.5pence a day.</t>
        </is>
      </c>
      <c r="C57" t="n">
        <v>0.15</v>
      </c>
      <c r="D57" t="n">
        <v>0</v>
      </c>
      <c r="E57" t="n">
        <v>3</v>
      </c>
      <c r="F57" t="n">
        <v>0.5</v>
      </c>
      <c r="H57" t="n">
        <v>0</v>
      </c>
      <c r="I57" t="n">
        <v>0</v>
      </c>
      <c r="J57" t="n">
        <v>0</v>
      </c>
      <c r="K57" t="n">
        <v>0</v>
      </c>
      <c r="L57" t="n">
        <v>0</v>
      </c>
      <c r="M57" t="n">
        <v>0</v>
      </c>
      <c r="N57" t="n">
        <v>0</v>
      </c>
    </row>
    <row r="58">
      <c r="A58" t="inlineStr">
        <is>
          <t>Cost of ploughs</t>
        </is>
      </c>
      <c r="B58" t="inlineStr">
        <is>
          <t>.</t>
        </is>
      </c>
      <c r="C58" t="n">
        <v>0</v>
      </c>
      <c r="D58" t="n">
        <v>0</v>
      </c>
      <c r="E58" t="n">
        <v>0</v>
      </c>
      <c r="F58" t="n">
        <v>0</v>
      </c>
      <c r="H58" t="n">
        <v>0</v>
      </c>
      <c r="I58" t="n">
        <v>0</v>
      </c>
      <c r="J58" t="n">
        <v>0</v>
      </c>
      <c r="K58" t="n">
        <v>0</v>
      </c>
      <c r="L58" t="n">
        <v>0</v>
      </c>
      <c r="M58" t="n">
        <v>0</v>
      </c>
      <c r="N58" t="n">
        <v>0</v>
      </c>
    </row>
    <row r="59">
      <c r="A59" t="inlineStr">
        <is>
          <t>Cost of ploughs</t>
        </is>
      </c>
      <c r="B59" t="inlineStr">
        <is>
          <t>2 sacks bought 1 shilling.</t>
        </is>
      </c>
      <c r="C59" t="n">
        <v>0.05</v>
      </c>
      <c r="D59" t="n">
        <v>0</v>
      </c>
      <c r="E59" t="n">
        <v>1</v>
      </c>
      <c r="F59" t="n">
        <v>0</v>
      </c>
      <c r="H59" t="n">
        <v>0</v>
      </c>
      <c r="I59" t="n">
        <v>0</v>
      </c>
      <c r="J59" t="n">
        <v>0</v>
      </c>
      <c r="K59" t="n">
        <v>0</v>
      </c>
      <c r="L59" t="n">
        <v>0</v>
      </c>
      <c r="M59" t="n">
        <v>0</v>
      </c>
      <c r="N59" t="n">
        <v>0</v>
      </c>
    </row>
    <row r="60">
      <c r="A60" t="inlineStr">
        <is>
          <t>Cost of ploughs</t>
        </is>
      </c>
      <c r="B60" t="inlineStr">
        <is>
          <t>forage bought 14 shilling 7pence.</t>
        </is>
      </c>
      <c r="C60" t="n">
        <v>0.73</v>
      </c>
      <c r="D60" t="n">
        <v>0</v>
      </c>
      <c r="E60" t="n">
        <v>14</v>
      </c>
      <c r="F60" t="n">
        <v>7</v>
      </c>
      <c r="H60" t="n">
        <v>0</v>
      </c>
      <c r="I60" t="n">
        <v>0</v>
      </c>
      <c r="J60" t="n">
        <v>0</v>
      </c>
      <c r="K60" t="n">
        <v>0</v>
      </c>
      <c r="L60" t="n">
        <v>0</v>
      </c>
      <c r="M60" t="n">
        <v>0</v>
      </c>
      <c r="N60" t="n">
        <v>0</v>
      </c>
    </row>
    <row r="61">
      <c r="A61" t="inlineStr">
        <is>
          <t>Cost of ploughs</t>
        </is>
      </c>
      <c r="B61" t="inlineStr">
        <is>
          <t>stipend of 2 ploughmen for the year 8 shilling.</t>
        </is>
      </c>
      <c r="C61" t="n">
        <v>0.4</v>
      </c>
      <c r="D61" t="n">
        <v>0</v>
      </c>
      <c r="E61" t="n">
        <v>8</v>
      </c>
      <c r="F61" t="n">
        <v>0</v>
      </c>
      <c r="H61" t="n">
        <v>0</v>
      </c>
      <c r="I61" t="n">
        <v>0</v>
      </c>
      <c r="J61" t="n">
        <v>0</v>
      </c>
      <c r="K61" t="n">
        <v>0</v>
      </c>
      <c r="L61" t="n">
        <v>0</v>
      </c>
      <c r="M61" t="n">
        <v>0</v>
      </c>
      <c r="N61" t="n">
        <v>0</v>
      </c>
    </row>
    <row r="62">
      <c r="A62" t="inlineStr">
        <is>
          <t>Cost of ploughs</t>
        </is>
      </c>
      <c r="B62" t="inlineStr">
        <is>
          <t>stipend of 1 ploughman from Michaelmas until Easter 1 shilling 6pence, because thereafter a third ploughman was hired by the day and a fourth ploughman held a plough for his lanpence.</t>
        </is>
      </c>
      <c r="C62" t="n">
        <v>0.08</v>
      </c>
      <c r="D62" t="n">
        <v>0</v>
      </c>
      <c r="E62" t="n">
        <v>1</v>
      </c>
      <c r="F62" t="n">
        <v>6</v>
      </c>
      <c r="H62" t="n">
        <v>0</v>
      </c>
      <c r="I62" t="n">
        <v>0</v>
      </c>
      <c r="J62" t="n">
        <v>0</v>
      </c>
      <c r="K62" t="n">
        <v>0</v>
      </c>
      <c r="L62" t="n">
        <v>0</v>
      </c>
      <c r="M62" t="n">
        <v>0</v>
      </c>
      <c r="N62" t="n">
        <v>0</v>
      </c>
    </row>
    <row r="63">
      <c r="A63" t="inlineStr">
        <is>
          <t>Cost of ploughs</t>
        </is>
      </c>
      <c r="B63" t="inlineStr">
        <is>
          <t>2 quarters 2 bushels of wheat bought for sowing 11 shilling 3pence, at 5 shilling a quarters.</t>
        </is>
      </c>
      <c r="C63" t="n">
        <v>0.5600000000000001</v>
      </c>
      <c r="D63" t="n">
        <v>0</v>
      </c>
      <c r="E63" t="n">
        <v>11</v>
      </c>
      <c r="F63" t="n">
        <v>3</v>
      </c>
      <c r="G63" t="inlineStr">
        <is>
          <t>wheat</t>
        </is>
      </c>
      <c r="H63" t="n">
        <v>2</v>
      </c>
      <c r="I63" t="n">
        <v>2</v>
      </c>
      <c r="J63" t="n">
        <v>2.25</v>
      </c>
      <c r="K63" t="n">
        <v>2.25</v>
      </c>
      <c r="L63" t="n">
        <v>0</v>
      </c>
      <c r="M63" t="n">
        <v>2</v>
      </c>
      <c r="N63" t="n">
        <v>2</v>
      </c>
      <c r="Y63" t="n">
        <v>5</v>
      </c>
      <c r="Z63" t="n">
        <v>0</v>
      </c>
    </row>
    <row r="64">
      <c r="A64" t="inlineStr">
        <is>
          <t>Cost of ploughs</t>
        </is>
      </c>
      <c r="B64" t="inlineStr">
        <is>
          <t>.</t>
        </is>
      </c>
      <c r="C64" t="n">
        <v>0</v>
      </c>
      <c r="D64" t="n">
        <v>0</v>
      </c>
      <c r="E64" t="n">
        <v>0</v>
      </c>
      <c r="F64" t="n">
        <v>0</v>
      </c>
      <c r="H64" t="n">
        <v>0</v>
      </c>
      <c r="I64" t="n">
        <v>0</v>
      </c>
      <c r="J64" t="n">
        <v>0</v>
      </c>
      <c r="K64" t="n">
        <v>0</v>
      </c>
      <c r="L64" t="n">
        <v>0</v>
      </c>
      <c r="M64" t="n">
        <v>0</v>
      </c>
      <c r="N64" t="n">
        <v>0</v>
      </c>
    </row>
    <row r="65">
      <c r="A65" t="inlineStr">
        <is>
          <t>Cost of ploughs</t>
        </is>
      </c>
      <c r="B65" t="inlineStr">
        <is>
          <t>shoeing oxen 6pence Total, £2 11 shilling 10.5pence</t>
        </is>
      </c>
      <c r="C65" t="n">
        <v>2.59</v>
      </c>
      <c r="D65" t="n">
        <v>2</v>
      </c>
      <c r="E65" t="n">
        <v>11</v>
      </c>
      <c r="F65" t="n">
        <v>10.5</v>
      </c>
      <c r="H65" t="n">
        <v>0</v>
      </c>
      <c r="I65" t="n">
        <v>0</v>
      </c>
      <c r="J65" t="n">
        <v>0</v>
      </c>
      <c r="K65" t="n">
        <v>0</v>
      </c>
      <c r="L65" t="n">
        <v>0</v>
      </c>
      <c r="M65" t="n">
        <v>0</v>
      </c>
      <c r="N65" t="n">
        <v>0</v>
      </c>
    </row>
    <row r="66">
      <c r="A66" t="inlineStr">
        <is>
          <t>Cost of carts</t>
        </is>
      </c>
      <c r="B66" t="inlineStr">
        <is>
          <t>In 1 cart mended with large nails bought for the same 10pence.</t>
        </is>
      </c>
      <c r="C66" t="n">
        <v>0.04</v>
      </c>
      <c r="D66" t="n">
        <v>0</v>
      </c>
      <c r="E66" t="n">
        <v>0</v>
      </c>
      <c r="F66" t="n">
        <v>10</v>
      </c>
      <c r="H66" t="n">
        <v>0</v>
      </c>
      <c r="I66" t="n">
        <v>0</v>
      </c>
      <c r="J66" t="n">
        <v>0</v>
      </c>
      <c r="K66" t="n">
        <v>0</v>
      </c>
      <c r="L66" t="n">
        <v>0</v>
      </c>
      <c r="M66" t="n">
        <v>0</v>
      </c>
      <c r="N66" t="n">
        <v>0</v>
      </c>
    </row>
    <row r="67">
      <c r="A67" t="inlineStr">
        <is>
          <t>Cost of carts</t>
        </is>
      </c>
      <c r="B67" t="inlineStr">
        <is>
          <t>fitting the cart with axles with axles bought for the same 5pence.</t>
        </is>
      </c>
      <c r="C67" t="n">
        <v>0.02</v>
      </c>
      <c r="D67" t="n">
        <v>0</v>
      </c>
      <c r="E67" t="n">
        <v>0</v>
      </c>
      <c r="F67" t="n">
        <v>5</v>
      </c>
      <c r="H67" t="n">
        <v>0</v>
      </c>
      <c r="I67" t="n">
        <v>0</v>
      </c>
      <c r="J67" t="n">
        <v>0</v>
      </c>
      <c r="K67" t="n">
        <v>0</v>
      </c>
      <c r="L67" t="n">
        <v>0</v>
      </c>
      <c r="M67" t="n">
        <v>0</v>
      </c>
      <c r="N67" t="n">
        <v>0</v>
      </c>
    </row>
    <row r="68">
      <c r="A68" t="inlineStr">
        <is>
          <t>Cost of carts</t>
        </is>
      </c>
      <c r="B68" t="inlineStr">
        <is>
          <t>clouts, nails and grease bought 11pence.</t>
        </is>
      </c>
      <c r="C68" t="n">
        <v>0.05</v>
      </c>
      <c r="D68" t="n">
        <v>0</v>
      </c>
      <c r="E68" t="n">
        <v>0</v>
      </c>
      <c r="F68" t="n">
        <v>11</v>
      </c>
      <c r="H68" t="n">
        <v>0</v>
      </c>
      <c r="I68" t="n">
        <v>0</v>
      </c>
      <c r="J68" t="n">
        <v>0</v>
      </c>
      <c r="K68" t="n">
        <v>0</v>
      </c>
      <c r="L68" t="n">
        <v>0</v>
      </c>
      <c r="M68" t="n">
        <v>0</v>
      </c>
      <c r="N68" t="n">
        <v>0</v>
      </c>
    </row>
    <row r="69">
      <c r="A69" t="inlineStr">
        <is>
          <t>Cost of carts</t>
        </is>
      </c>
      <c r="B69" t="inlineStr">
        <is>
          <t>1 pair of traces bought 3.5pence.</t>
        </is>
      </c>
      <c r="C69" t="n">
        <v>0.01</v>
      </c>
      <c r="D69" t="n">
        <v>0</v>
      </c>
      <c r="E69" t="n">
        <v>0</v>
      </c>
      <c r="F69" t="n">
        <v>3.5</v>
      </c>
      <c r="H69" t="n">
        <v>0</v>
      </c>
      <c r="I69" t="n">
        <v>0</v>
      </c>
      <c r="J69" t="n">
        <v>0</v>
      </c>
      <c r="K69" t="n">
        <v>0</v>
      </c>
      <c r="L69" t="n">
        <v>0</v>
      </c>
      <c r="M69" t="n">
        <v>0</v>
      </c>
      <c r="N69" t="n">
        <v>0</v>
      </c>
    </row>
    <row r="70">
      <c r="A70" t="inlineStr">
        <is>
          <t>Cost of carts</t>
        </is>
      </c>
      <c r="B70" t="inlineStr">
        <is>
          <t>1 collar and 1 pair of saddle-pads bought 1 shilling 1pence.</t>
        </is>
      </c>
      <c r="C70" t="n">
        <v>0.05</v>
      </c>
      <c r="D70" t="n">
        <v>0</v>
      </c>
      <c r="E70" t="n">
        <v>1</v>
      </c>
      <c r="F70" t="n">
        <v>1</v>
      </c>
      <c r="H70" t="n">
        <v>0</v>
      </c>
      <c r="I70" t="n">
        <v>0</v>
      </c>
      <c r="J70" t="n">
        <v>0</v>
      </c>
      <c r="K70" t="n">
        <v>0</v>
      </c>
      <c r="L70" t="n">
        <v>0</v>
      </c>
      <c r="M70" t="n">
        <v>0</v>
      </c>
      <c r="N70" t="n">
        <v>0</v>
      </c>
    </row>
    <row r="71">
      <c r="A71" t="inlineStr">
        <is>
          <t>Cost of carts</t>
        </is>
      </c>
      <c r="B71" t="inlineStr">
        <is>
          <t>shoeing 3 cart-horses for the year 4 shilling 6pence.</t>
        </is>
      </c>
      <c r="C71" t="n">
        <v>0.23</v>
      </c>
      <c r="D71" t="n">
        <v>0</v>
      </c>
      <c r="E71" t="n">
        <v>4</v>
      </c>
      <c r="F71" t="n">
        <v>6</v>
      </c>
      <c r="H71" t="n">
        <v>0</v>
      </c>
      <c r="I71" t="n">
        <v>0</v>
      </c>
      <c r="J71" t="n">
        <v>0</v>
      </c>
      <c r="K71" t="n">
        <v>0</v>
      </c>
      <c r="L71" t="n">
        <v>0</v>
      </c>
      <c r="M71" t="n">
        <v>0</v>
      </c>
      <c r="N71" t="n">
        <v>0</v>
      </c>
    </row>
    <row r="72">
      <c r="A72" t="inlineStr">
        <is>
          <t>Cost of carts</t>
        </is>
      </c>
      <c r="B72" t="inlineStr">
        <is>
          <t>3 halters bought 4pence.</t>
        </is>
      </c>
      <c r="C72" t="n">
        <v>0.02</v>
      </c>
      <c r="D72" t="n">
        <v>0</v>
      </c>
      <c r="E72" t="n">
        <v>0</v>
      </c>
      <c r="F72" t="n">
        <v>4</v>
      </c>
      <c r="H72" t="n">
        <v>0</v>
      </c>
      <c r="I72" t="n">
        <v>0</v>
      </c>
      <c r="J72" t="n">
        <v>0</v>
      </c>
      <c r="K72" t="n">
        <v>0</v>
      </c>
      <c r="L72" t="n">
        <v>0</v>
      </c>
      <c r="M72" t="n">
        <v>0</v>
      </c>
      <c r="N72" t="n">
        <v>0</v>
      </c>
    </row>
    <row r="73">
      <c r="A73" t="inlineStr">
        <is>
          <t>Cost of carts</t>
        </is>
      </c>
      <c r="B73" t="inlineStr">
        <is>
          <t>stipend of 1 carter for the year 5 shilling.</t>
        </is>
      </c>
      <c r="C73" t="n">
        <v>0.25</v>
      </c>
      <c r="D73" t="n">
        <v>0</v>
      </c>
      <c r="E73" t="n">
        <v>5</v>
      </c>
      <c r="F73" t="n">
        <v>0</v>
      </c>
      <c r="H73" t="n">
        <v>0</v>
      </c>
      <c r="I73" t="n">
        <v>0</v>
      </c>
      <c r="J73" t="n">
        <v>0</v>
      </c>
      <c r="K73" t="n">
        <v>0</v>
      </c>
      <c r="L73" t="n">
        <v>0</v>
      </c>
      <c r="M73" t="n">
        <v>0</v>
      </c>
      <c r="N73" t="n">
        <v>0</v>
      </c>
    </row>
    <row r="74">
      <c r="A74" t="inlineStr">
        <is>
          <t>Cost of carts</t>
        </is>
      </c>
      <c r="B74" t="inlineStr">
        <is>
          <t>stipend of 1 hayward from the Purification (2 February) until Michaelmas (29 September), 6 shilling 8pence this year.</t>
        </is>
      </c>
      <c r="C74" t="n">
        <v>0.33</v>
      </c>
      <c r="D74" t="n">
        <v>0</v>
      </c>
      <c r="E74" t="n">
        <v>6</v>
      </c>
      <c r="F74" t="n">
        <v>8</v>
      </c>
      <c r="H74" t="n">
        <v>0</v>
      </c>
      <c r="I74" t="n">
        <v>0</v>
      </c>
      <c r="J74" t="n">
        <v>0</v>
      </c>
      <c r="K74" t="n">
        <v>0</v>
      </c>
      <c r="L74" t="n">
        <v>0</v>
      </c>
      <c r="M74" t="n">
        <v>0</v>
      </c>
      <c r="N74" t="n">
        <v>0</v>
      </c>
    </row>
    <row r="75">
      <c r="A75" t="inlineStr">
        <is>
          <t>Cost of carts</t>
        </is>
      </c>
      <c r="B75" t="inlineStr">
        <is>
          <t>.</t>
        </is>
      </c>
      <c r="C75" t="n">
        <v>0</v>
      </c>
      <c r="D75" t="n">
        <v>0</v>
      </c>
      <c r="E75" t="n">
        <v>0</v>
      </c>
      <c r="F75" t="n">
        <v>0</v>
      </c>
      <c r="H75" t="n">
        <v>0</v>
      </c>
      <c r="I75" t="n">
        <v>0</v>
      </c>
      <c r="J75" t="n">
        <v>0</v>
      </c>
      <c r="K75" t="n">
        <v>0</v>
      </c>
      <c r="L75" t="n">
        <v>0</v>
      </c>
      <c r="M75" t="n">
        <v>0</v>
      </c>
      <c r="N75" t="n">
        <v>0</v>
      </c>
    </row>
    <row r="76">
      <c r="A76" t="inlineStr">
        <is>
          <t>Cost of carts</t>
        </is>
      </c>
      <c r="B76" t="inlineStr">
        <is>
          <t>hay bought 1 shilling 10pence.</t>
        </is>
      </c>
      <c r="C76" t="n">
        <v>0.09</v>
      </c>
      <c r="D76" t="n">
        <v>0</v>
      </c>
      <c r="E76" t="n">
        <v>1</v>
      </c>
      <c r="F76" t="n">
        <v>10</v>
      </c>
      <c r="H76" t="n">
        <v>0</v>
      </c>
      <c r="I76" t="n">
        <v>0</v>
      </c>
      <c r="J76" t="n">
        <v>0</v>
      </c>
      <c r="K76" t="n">
        <v>0</v>
      </c>
      <c r="L76" t="n">
        <v>0</v>
      </c>
      <c r="M76" t="n">
        <v>0</v>
      </c>
      <c r="N76" t="n">
        <v>0</v>
      </c>
    </row>
    <row r="77">
      <c r="A77" t="inlineStr">
        <is>
          <t>Cost of carts</t>
        </is>
      </c>
      <c r="B77" t="inlineStr">
        <is>
          <t>white leather bought for harnesses 3.5pence.</t>
        </is>
      </c>
      <c r="C77" t="n">
        <v>0.01</v>
      </c>
      <c r="D77" t="n">
        <v>0</v>
      </c>
      <c r="E77" t="n">
        <v>0</v>
      </c>
      <c r="F77" t="n">
        <v>3.5</v>
      </c>
      <c r="H77" t="n">
        <v>0</v>
      </c>
      <c r="I77" t="n">
        <v>0</v>
      </c>
      <c r="J77" t="n">
        <v>0</v>
      </c>
      <c r="K77" t="n">
        <v>0</v>
      </c>
      <c r="L77" t="n">
        <v>0</v>
      </c>
      <c r="M77" t="n">
        <v>0</v>
      </c>
      <c r="N77" t="n">
        <v>0</v>
      </c>
    </row>
    <row r="78">
      <c r="A78" t="inlineStr">
        <is>
          <t>Cost of carts</t>
        </is>
      </c>
      <c r="B78" t="inlineStr">
        <is>
          <t>a crupper and girths bought 2.5pence Total, £1 2 shilling 4.5pence</t>
        </is>
      </c>
      <c r="C78" t="n">
        <v>1.12</v>
      </c>
      <c r="D78" t="n">
        <v>1</v>
      </c>
      <c r="E78" t="n">
        <v>2</v>
      </c>
      <c r="F78" t="n">
        <v>4.5</v>
      </c>
      <c r="H78" t="n">
        <v>0</v>
      </c>
      <c r="I78" t="n">
        <v>0</v>
      </c>
      <c r="J78" t="n">
        <v>0</v>
      </c>
      <c r="K78" t="n">
        <v>0</v>
      </c>
      <c r="L78" t="n">
        <v>0</v>
      </c>
      <c r="M78" t="n">
        <v>0</v>
      </c>
      <c r="N78" t="n">
        <v>0</v>
      </c>
    </row>
    <row r="79">
      <c r="A79" t="inlineStr">
        <is>
          <t>Cost of the dairy</t>
        </is>
      </c>
      <c r="B79" t="inlineStr">
        <is>
          <t>In 3.5 bushels of salt bought 10.5pence.</t>
        </is>
      </c>
      <c r="C79" t="n">
        <v>0.04</v>
      </c>
      <c r="D79" t="n">
        <v>0</v>
      </c>
      <c r="E79" t="n">
        <v>0</v>
      </c>
      <c r="F79" t="n">
        <v>10.5</v>
      </c>
      <c r="H79" t="n">
        <v>0</v>
      </c>
      <c r="I79" t="n">
        <v>3.5</v>
      </c>
      <c r="J79" t="n">
        <v>0.4375</v>
      </c>
      <c r="K79" t="n">
        <v>0.4375</v>
      </c>
      <c r="L79" t="n">
        <v>0</v>
      </c>
      <c r="M79" t="n">
        <v>0</v>
      </c>
      <c r="N79" t="n">
        <v>3.5</v>
      </c>
    </row>
    <row r="80">
      <c r="A80" t="inlineStr">
        <is>
          <t>Cost of the dairy</t>
        </is>
      </c>
      <c r="B80" t="inlineStr">
        <is>
          <t>a press bought 1pence.</t>
        </is>
      </c>
      <c r="C80" t="n">
        <v>0</v>
      </c>
      <c r="D80" t="n">
        <v>0</v>
      </c>
      <c r="E80" t="n">
        <v>0</v>
      </c>
      <c r="F80" t="n">
        <v>1</v>
      </c>
      <c r="H80" t="n">
        <v>0</v>
      </c>
      <c r="I80" t="n">
        <v>0</v>
      </c>
      <c r="J80" t="n">
        <v>0</v>
      </c>
      <c r="K80" t="n">
        <v>0</v>
      </c>
      <c r="L80" t="n">
        <v>0</v>
      </c>
      <c r="M80" t="n">
        <v>0</v>
      </c>
      <c r="N80" t="n">
        <v>0</v>
      </c>
    </row>
    <row r="81">
      <c r="A81" t="inlineStr">
        <is>
          <t>Cost of the dairy</t>
        </is>
      </c>
      <c r="B81" t="inlineStr">
        <is>
          <t>12 hurdles made from their own withies 6pence.</t>
        </is>
      </c>
      <c r="C81" t="n">
        <v>0.03</v>
      </c>
      <c r="D81" t="n">
        <v>0</v>
      </c>
      <c r="E81" t="n">
        <v>0</v>
      </c>
      <c r="F81" t="n">
        <v>6</v>
      </c>
      <c r="H81" t="n">
        <v>0</v>
      </c>
      <c r="I81" t="n">
        <v>0</v>
      </c>
      <c r="J81" t="n">
        <v>0</v>
      </c>
      <c r="K81" t="n">
        <v>0</v>
      </c>
      <c r="L81" t="n">
        <v>0</v>
      </c>
      <c r="M81" t="n">
        <v>0</v>
      </c>
      <c r="N81" t="n">
        <v>0</v>
      </c>
    </row>
    <row r="82">
      <c r="A82" t="inlineStr">
        <is>
          <t>Cost of the dairy</t>
        </is>
      </c>
      <c r="B82" t="inlineStr">
        <is>
          <t>stubble collected for wattling the fold 2pence.</t>
        </is>
      </c>
      <c r="C82" t="n">
        <v>0.01</v>
      </c>
      <c r="D82" t="n">
        <v>0</v>
      </c>
      <c r="E82" t="n">
        <v>0</v>
      </c>
      <c r="F82" t="n">
        <v>2</v>
      </c>
      <c r="H82" t="n">
        <v>0</v>
      </c>
      <c r="I82" t="n">
        <v>0</v>
      </c>
      <c r="J82" t="n">
        <v>0</v>
      </c>
      <c r="K82" t="n">
        <v>0</v>
      </c>
      <c r="L82" t="n">
        <v>0</v>
      </c>
      <c r="M82" t="n">
        <v>0</v>
      </c>
      <c r="N82" t="n">
        <v>0</v>
      </c>
    </row>
    <row r="83">
      <c r="A83" t="inlineStr">
        <is>
          <t>Cost of the dairy</t>
        </is>
      </c>
      <c r="B83" t="inlineStr">
        <is>
          <t>grease bought for greasing sheep 2 shilling 6pence.</t>
        </is>
      </c>
      <c r="C83" t="n">
        <v>0.12</v>
      </c>
      <c r="D83" t="n">
        <v>0</v>
      </c>
      <c r="E83" t="n">
        <v>2</v>
      </c>
      <c r="F83" t="n">
        <v>6</v>
      </c>
      <c r="H83" t="n">
        <v>0</v>
      </c>
      <c r="I83" t="n">
        <v>0</v>
      </c>
      <c r="J83" t="n">
        <v>0</v>
      </c>
      <c r="K83" t="n">
        <v>0</v>
      </c>
      <c r="L83" t="n">
        <v>0</v>
      </c>
      <c r="M83" t="n">
        <v>0</v>
      </c>
      <c r="N83" t="n">
        <v>0</v>
      </c>
    </row>
    <row r="84">
      <c r="A84" t="inlineStr">
        <is>
          <t>Cost of the dairy</t>
        </is>
      </c>
      <c r="B84" t="inlineStr">
        <is>
          <t>meal bought for the pottage of the manorial servants 2 shilling 8pence.</t>
        </is>
      </c>
      <c r="C84" t="n">
        <v>0.13</v>
      </c>
      <c r="D84" t="n">
        <v>0</v>
      </c>
      <c r="E84" t="n">
        <v>2</v>
      </c>
      <c r="F84" t="n">
        <v>8</v>
      </c>
      <c r="H84" t="n">
        <v>0</v>
      </c>
      <c r="I84" t="n">
        <v>0</v>
      </c>
      <c r="J84" t="n">
        <v>0</v>
      </c>
      <c r="K84" t="n">
        <v>0</v>
      </c>
      <c r="L84" t="n">
        <v>0</v>
      </c>
      <c r="M84" t="n">
        <v>0</v>
      </c>
      <c r="N84" t="n">
        <v>0</v>
      </c>
    </row>
    <row r="85">
      <c r="A85" t="inlineStr">
        <is>
          <t>Cost of the dairy</t>
        </is>
      </c>
      <c r="B85" t="inlineStr">
        <is>
          <t>earthenware pots bought 3pence.</t>
        </is>
      </c>
      <c r="C85" t="n">
        <v>0.01</v>
      </c>
      <c r="D85" t="n">
        <v>0</v>
      </c>
      <c r="E85" t="n">
        <v>0</v>
      </c>
      <c r="F85" t="n">
        <v>3</v>
      </c>
      <c r="H85" t="n">
        <v>0</v>
      </c>
      <c r="I85" t="n">
        <v>0</v>
      </c>
      <c r="J85" t="n">
        <v>0</v>
      </c>
      <c r="K85" t="n">
        <v>0</v>
      </c>
      <c r="L85" t="n">
        <v>0</v>
      </c>
      <c r="M85" t="n">
        <v>0</v>
      </c>
      <c r="N85" t="n">
        <v>0</v>
      </c>
    </row>
    <row r="86">
      <c r="A86" t="inlineStr">
        <is>
          <t>Cost of the dairy</t>
        </is>
      </c>
      <c r="B86" t="inlineStr">
        <is>
          <t>washing and shearing wethers, ewes and lambs 1 shilling 2pence.</t>
        </is>
      </c>
      <c r="C86" t="n">
        <v>0.06</v>
      </c>
      <c r="D86" t="n">
        <v>0</v>
      </c>
      <c r="E86" t="n">
        <v>1</v>
      </c>
      <c r="F86" t="n">
        <v>2</v>
      </c>
      <c r="H86" t="n">
        <v>0</v>
      </c>
      <c r="I86" t="n">
        <v>0</v>
      </c>
      <c r="J86" t="n">
        <v>0</v>
      </c>
      <c r="K86" t="n">
        <v>0</v>
      </c>
      <c r="L86" t="n">
        <v>0</v>
      </c>
      <c r="M86" t="n">
        <v>0</v>
      </c>
      <c r="N86" t="n">
        <v>0</v>
      </c>
    </row>
    <row r="87">
      <c r="A87" t="inlineStr">
        <is>
          <t>Cost of the dairy</t>
        </is>
      </c>
      <c r="B87" t="inlineStr">
        <is>
          <t>stipend of 1 shepherd for the year 4 shilling.</t>
        </is>
      </c>
      <c r="C87" t="n">
        <v>0.2</v>
      </c>
      <c r="D87" t="n">
        <v>0</v>
      </c>
      <c r="E87" t="n">
        <v>4</v>
      </c>
      <c r="F87" t="n">
        <v>0</v>
      </c>
      <c r="H87" t="n">
        <v>0</v>
      </c>
      <c r="I87" t="n">
        <v>0</v>
      </c>
      <c r="J87" t="n">
        <v>0</v>
      </c>
      <c r="K87" t="n">
        <v>0</v>
      </c>
      <c r="L87" t="n">
        <v>0</v>
      </c>
      <c r="M87" t="n">
        <v>0</v>
      </c>
      <c r="N87" t="n">
        <v>0</v>
      </c>
    </row>
    <row r="88">
      <c r="A88" t="inlineStr">
        <is>
          <t>Cost of the dairy</t>
        </is>
      </c>
      <c r="B88" t="inlineStr">
        <is>
          <t>stipend of 1 attendant making the pottage of the manorial servants, going to the harrowing, and keeping the birds away from the curia and the corn 2 shilling Total, 14 shilling 2.5pence</t>
        </is>
      </c>
      <c r="C88" t="n">
        <v>0.11</v>
      </c>
      <c r="D88" t="n">
        <v>0</v>
      </c>
      <c r="E88" t="n">
        <v>2</v>
      </c>
      <c r="F88" t="n">
        <v>2.5</v>
      </c>
      <c r="H88" t="n">
        <v>0</v>
      </c>
      <c r="I88" t="n">
        <v>0</v>
      </c>
      <c r="J88" t="n">
        <v>0</v>
      </c>
      <c r="K88" t="n">
        <v>0</v>
      </c>
      <c r="L88" t="n">
        <v>0</v>
      </c>
      <c r="M88" t="n">
        <v>0</v>
      </c>
      <c r="N88" t="n">
        <v>0</v>
      </c>
    </row>
    <row r="89">
      <c r="A89" t="inlineStr">
        <is>
          <t>Threshing</t>
        </is>
      </c>
      <c r="B89" t="inlineStr">
        <is>
          <t>In threshing and winnowing 91 quarters 3.5 bushels of wheat, 10 quarters 5 bushels of curall, 14.5 quarters of peas and 19 quarters 2 bushels of vetches by piece-work by struck measure £1 4 shilling 10.75pence, at 2.25pence a quarter of 10 struck bushe1 shilling.</t>
        </is>
      </c>
      <c r="C89" t="n">
        <v>1.24</v>
      </c>
      <c r="D89" t="n">
        <v>1</v>
      </c>
      <c r="E89" t="n">
        <v>4</v>
      </c>
      <c r="F89" t="n">
        <v>10.75</v>
      </c>
      <c r="G89" t="inlineStr">
        <is>
          <t>curall, vetches, peas, wheat</t>
        </is>
      </c>
      <c r="H89" t="n">
        <v>43.5</v>
      </c>
      <c r="I89" t="n">
        <v>7</v>
      </c>
      <c r="J89" t="n">
        <v>44.375</v>
      </c>
      <c r="K89" t="n">
        <v>91.4375</v>
      </c>
      <c r="L89" t="n">
        <v>-47.0625</v>
      </c>
      <c r="M89" t="n">
        <v>91</v>
      </c>
      <c r="N89" t="n">
        <v>3.5</v>
      </c>
      <c r="O89" t="n">
        <v>10</v>
      </c>
      <c r="P89" t="n">
        <v>5</v>
      </c>
      <c r="Q89" t="n">
        <v>14.5</v>
      </c>
      <c r="R89" t="n">
        <v>0</v>
      </c>
      <c r="S89" t="n">
        <v>19</v>
      </c>
      <c r="T89" t="n">
        <v>2</v>
      </c>
    </row>
    <row r="90">
      <c r="A90" t="inlineStr">
        <is>
          <t>Threshing</t>
        </is>
      </c>
      <c r="B90" t="inlineStr">
        <is>
          <t>threshing 38.5 quarters 2.5 bushels of barley, and threshing and winnowing 8 quarters 1.5 bushels of dredge by struck measure, 55. 5.25pence, at 1.75pence a quarter of 10 struck bushe1 shilling.</t>
        </is>
      </c>
      <c r="C90" t="n">
        <v>0.07000000000000001</v>
      </c>
      <c r="D90" t="n">
        <v>0</v>
      </c>
      <c r="E90" t="n">
        <v>1</v>
      </c>
      <c r="F90" t="n">
        <v>5.25</v>
      </c>
      <c r="G90" t="inlineStr">
        <is>
          <t>barley</t>
        </is>
      </c>
      <c r="H90" t="n">
        <v>8</v>
      </c>
      <c r="I90" t="n">
        <v>1.5</v>
      </c>
      <c r="J90" t="n">
        <v>8.1875</v>
      </c>
      <c r="K90" t="n">
        <v>38.8125</v>
      </c>
      <c r="L90" t="n">
        <v>-30.625</v>
      </c>
      <c r="M90" t="n">
        <v>38.5</v>
      </c>
      <c r="N90" t="n">
        <v>2.5</v>
      </c>
      <c r="O90" t="n">
        <v>8</v>
      </c>
      <c r="P90" t="n">
        <v>1.5</v>
      </c>
    </row>
    <row r="91">
      <c r="A91" t="inlineStr">
        <is>
          <t>Threshing</t>
        </is>
      </c>
      <c r="B91" t="inlineStr">
        <is>
          <t>threshing and winnowing 83 quarters of oats by piece-work 4 shilling 10.25pence, at 0.75pence per 10 struck bushels, and .25pence per 20 bushels winnowepence Total, £1 15 shilling 2.5pence</t>
        </is>
      </c>
      <c r="C91" t="n">
        <v>1.76</v>
      </c>
      <c r="D91" t="n">
        <v>1</v>
      </c>
      <c r="E91" t="n">
        <v>15</v>
      </c>
      <c r="F91" t="n">
        <v>2.5</v>
      </c>
      <c r="G91" t="inlineStr">
        <is>
          <t>oats</t>
        </is>
      </c>
      <c r="H91" t="n">
        <v>83</v>
      </c>
      <c r="I91" t="n">
        <v>20</v>
      </c>
      <c r="J91" t="n">
        <v>85.5</v>
      </c>
      <c r="K91" t="n">
        <v>83</v>
      </c>
      <c r="L91" t="n">
        <v>2.5</v>
      </c>
      <c r="M91" t="n">
        <v>83</v>
      </c>
      <c r="N91" t="n">
        <v>0</v>
      </c>
      <c r="O91" t="n">
        <v>0</v>
      </c>
      <c r="P91" t="n">
        <v>20</v>
      </c>
    </row>
    <row r="92">
      <c r="A92" t="inlineStr">
        <is>
          <t>Harvest-time</t>
        </is>
      </c>
      <c r="B92" t="inlineStr">
        <is>
          <t>In mowing, spreading and tossing the meadows 5 shilling.</t>
        </is>
      </c>
      <c r="C92" t="n">
        <v>0.25</v>
      </c>
      <c r="D92" t="n">
        <v>0</v>
      </c>
      <c r="E92" t="n">
        <v>5</v>
      </c>
      <c r="F92" t="n">
        <v>0</v>
      </c>
      <c r="H92" t="n">
        <v>0</v>
      </c>
      <c r="I92" t="n">
        <v>0</v>
      </c>
      <c r="J92" t="n">
        <v>0</v>
      </c>
      <c r="K92" t="n">
        <v>0</v>
      </c>
      <c r="L92" t="n">
        <v>0</v>
      </c>
      <c r="M92" t="n">
        <v>0</v>
      </c>
      <c r="N92" t="n">
        <v>0</v>
      </c>
    </row>
    <row r="93">
      <c r="A93" t="inlineStr">
        <is>
          <t>Harvest-time</t>
        </is>
      </c>
      <c r="B93" t="inlineStr">
        <is>
          <t>weeding all the corn 5 shilling.</t>
        </is>
      </c>
      <c r="C93" t="n">
        <v>0.25</v>
      </c>
      <c r="D93" t="n">
        <v>0</v>
      </c>
      <c r="E93" t="n">
        <v>5</v>
      </c>
      <c r="F93" t="n">
        <v>0</v>
      </c>
      <c r="H93" t="n">
        <v>0</v>
      </c>
      <c r="I93" t="n">
        <v>0</v>
      </c>
      <c r="J93" t="n">
        <v>0</v>
      </c>
      <c r="K93" t="n">
        <v>0</v>
      </c>
      <c r="L93" t="n">
        <v>0</v>
      </c>
      <c r="M93" t="n">
        <v>0</v>
      </c>
      <c r="N93" t="n">
        <v>0</v>
      </c>
    </row>
    <row r="94">
      <c r="A94" t="inlineStr">
        <is>
          <t>Harvest-time</t>
        </is>
      </c>
      <c r="B94" t="inlineStr">
        <is>
          <t>reaping and binding 89 acres of wheat, 16 acres of barley, 5 acres of dredge and 59 acres of oats measured by the perch by piece-work, £4 4 shilling 6pence, at 6pence an acre.</t>
        </is>
      </c>
      <c r="C94" t="n">
        <v>4.23</v>
      </c>
      <c r="D94" t="n">
        <v>4</v>
      </c>
      <c r="E94" t="n">
        <v>4</v>
      </c>
      <c r="F94" t="n">
        <v>6</v>
      </c>
      <c r="G94" t="inlineStr">
        <is>
          <t>barley, oats, wheat</t>
        </is>
      </c>
      <c r="H94" t="n">
        <v>0</v>
      </c>
      <c r="I94" t="n">
        <v>0</v>
      </c>
      <c r="J94" t="n">
        <v>0</v>
      </c>
      <c r="K94" t="n">
        <v>0</v>
      </c>
      <c r="L94" t="n">
        <v>0</v>
      </c>
      <c r="M94" t="n">
        <v>0</v>
      </c>
      <c r="N94" t="n">
        <v>0</v>
      </c>
    </row>
    <row r="95">
      <c r="A95" t="inlineStr">
        <is>
          <t>Harvest-time</t>
        </is>
      </c>
      <c r="B95" t="inlineStr">
        <is>
          <t>.</t>
        </is>
      </c>
      <c r="C95" t="n">
        <v>0</v>
      </c>
      <c r="D95" t="n">
        <v>0</v>
      </c>
      <c r="E95" t="n">
        <v>0</v>
      </c>
      <c r="F95" t="n">
        <v>0</v>
      </c>
      <c r="H95" t="n">
        <v>0</v>
      </c>
      <c r="I95" t="n">
        <v>0</v>
      </c>
      <c r="J95" t="n">
        <v>0</v>
      </c>
      <c r="K95" t="n">
        <v>0</v>
      </c>
      <c r="L95" t="n">
        <v>0</v>
      </c>
      <c r="M95" t="n">
        <v>0</v>
      </c>
      <c r="N95" t="n">
        <v>0</v>
      </c>
    </row>
    <row r="96">
      <c r="A96" t="inlineStr">
        <is>
          <t>Harvest-time</t>
        </is>
      </c>
      <c r="B96" t="inlineStr">
        <is>
          <t>mowing 20 acres of peas and 19 acres of vetches measured by the perch by piece-work, 13 shilling, at 4pence an acre.</t>
        </is>
      </c>
      <c r="C96" t="n">
        <v>0.67</v>
      </c>
      <c r="D96" t="n">
        <v>0</v>
      </c>
      <c r="E96" t="n">
        <v>13</v>
      </c>
      <c r="F96" t="n">
        <v>4</v>
      </c>
      <c r="G96" t="inlineStr">
        <is>
          <t>vetches, peas</t>
        </is>
      </c>
      <c r="H96" t="n">
        <v>0</v>
      </c>
      <c r="I96" t="n">
        <v>0</v>
      </c>
      <c r="J96" t="n">
        <v>0</v>
      </c>
      <c r="K96" t="n">
        <v>0</v>
      </c>
      <c r="L96" t="n">
        <v>0</v>
      </c>
      <c r="M96" t="n">
        <v>0</v>
      </c>
      <c r="N96" t="n">
        <v>0</v>
      </c>
    </row>
    <row r="97">
      <c r="A97" t="inlineStr">
        <is>
          <t>Harvest-time</t>
        </is>
      </c>
      <c r="B97" t="inlineStr">
        <is>
          <t>.</t>
        </is>
      </c>
      <c r="C97" t="n">
        <v>0</v>
      </c>
      <c r="D97" t="n">
        <v>0</v>
      </c>
      <c r="E97" t="n">
        <v>0</v>
      </c>
      <c r="F97" t="n">
        <v>0</v>
      </c>
      <c r="H97" t="n">
        <v>0</v>
      </c>
      <c r="I97" t="n">
        <v>0</v>
      </c>
      <c r="J97" t="n">
        <v>0</v>
      </c>
      <c r="K97" t="n">
        <v>0</v>
      </c>
      <c r="L97" t="n">
        <v>0</v>
      </c>
      <c r="M97" t="n">
        <v>0</v>
      </c>
      <c r="N97" t="n">
        <v>0</v>
      </c>
    </row>
    <row r="98">
      <c r="A98" t="inlineStr">
        <is>
          <t>Harvest-time</t>
        </is>
      </c>
      <c r="B98" t="inlineStr">
        <is>
          <t>turning and collecting the said peas and vetches 2 shilling 6pence.</t>
        </is>
      </c>
      <c r="C98" t="n">
        <v>0.12</v>
      </c>
      <c r="D98" t="n">
        <v>0</v>
      </c>
      <c r="E98" t="n">
        <v>2</v>
      </c>
      <c r="F98" t="n">
        <v>6</v>
      </c>
      <c r="G98" t="inlineStr">
        <is>
          <t>vetches, peas</t>
        </is>
      </c>
      <c r="H98" t="n">
        <v>0</v>
      </c>
      <c r="I98" t="n">
        <v>0</v>
      </c>
      <c r="J98" t="n">
        <v>0</v>
      </c>
      <c r="K98" t="n">
        <v>0</v>
      </c>
      <c r="L98" t="n">
        <v>0</v>
      </c>
      <c r="M98" t="n">
        <v>0</v>
      </c>
      <c r="N98" t="n">
        <v>0</v>
      </c>
    </row>
    <row r="99">
      <c r="A99" t="inlineStr">
        <is>
          <t>Harvest-time</t>
        </is>
      </c>
      <c r="B99" t="inlineStr">
        <is>
          <t>stipend of 1 reap-reeve 2 shilling.</t>
        </is>
      </c>
      <c r="C99" t="n">
        <v>0.1</v>
      </c>
      <c r="D99" t="n">
        <v>0</v>
      </c>
      <c r="E99" t="n">
        <v>2</v>
      </c>
      <c r="F99" t="n">
        <v>0</v>
      </c>
      <c r="H99" t="n">
        <v>0</v>
      </c>
      <c r="I99" t="n">
        <v>0</v>
      </c>
      <c r="J99" t="n">
        <v>0</v>
      </c>
      <c r="K99" t="n">
        <v>0</v>
      </c>
      <c r="L99" t="n">
        <v>0</v>
      </c>
      <c r="M99" t="n">
        <v>0</v>
      </c>
      <c r="N99" t="n">
        <v>0</v>
      </c>
    </row>
    <row r="100">
      <c r="A100" t="inlineStr">
        <is>
          <t>Harvest-time</t>
        </is>
      </c>
      <c r="B100" t="inlineStr">
        <is>
          <t>stipend of 2 stackers 6 shilling.</t>
        </is>
      </c>
      <c r="C100" t="n">
        <v>0.3</v>
      </c>
      <c r="D100" t="n">
        <v>0</v>
      </c>
      <c r="E100" t="n">
        <v>6</v>
      </c>
      <c r="F100" t="n">
        <v>0</v>
      </c>
      <c r="H100" t="n">
        <v>0</v>
      </c>
      <c r="I100" t="n">
        <v>0</v>
      </c>
      <c r="J100" t="n">
        <v>0</v>
      </c>
      <c r="K100" t="n">
        <v>0</v>
      </c>
      <c r="L100" t="n">
        <v>0</v>
      </c>
      <c r="M100" t="n">
        <v>0</v>
      </c>
      <c r="N100" t="n">
        <v>0</v>
      </c>
    </row>
    <row r="101">
      <c r="A101" t="inlineStr">
        <is>
          <t>Harvest-time</t>
        </is>
      </c>
      <c r="B101" t="inlineStr">
        <is>
          <t>hiring 1 carter to carry the corn for 14 days 7 shilling.</t>
        </is>
      </c>
      <c r="C101" t="n">
        <v>0.35</v>
      </c>
      <c r="D101" t="n">
        <v>0</v>
      </c>
      <c r="E101" t="n">
        <v>7</v>
      </c>
      <c r="F101" t="n">
        <v>0</v>
      </c>
      <c r="H101" t="n">
        <v>0</v>
      </c>
      <c r="I101" t="n">
        <v>0</v>
      </c>
      <c r="J101" t="n">
        <v>0</v>
      </c>
      <c r="K101" t="n">
        <v>0</v>
      </c>
      <c r="L101" t="n">
        <v>0</v>
      </c>
      <c r="M101" t="n">
        <v>0</v>
      </c>
      <c r="N101" t="n">
        <v>0</v>
      </c>
    </row>
    <row r="102">
      <c r="A102" t="inlineStr">
        <is>
          <t>Harvest-time</t>
        </is>
      </c>
      <c r="B102" t="inlineStr">
        <is>
          <t>ale, meat, herrings and cheese bought for 1 hayward, reap-reeve and 2 stackers, for 4 weeks at harvest-time, 5 shilling 6pence Total, £6 10 shilling 6pence</t>
        </is>
      </c>
      <c r="C102" t="n">
        <v>6.53</v>
      </c>
      <c r="D102" t="n">
        <v>6</v>
      </c>
      <c r="E102" t="n">
        <v>10</v>
      </c>
      <c r="F102" t="n">
        <v>6</v>
      </c>
      <c r="H102" t="n">
        <v>0</v>
      </c>
      <c r="I102" t="n">
        <v>0</v>
      </c>
      <c r="J102" t="n">
        <v>0</v>
      </c>
      <c r="K102" t="n">
        <v>0</v>
      </c>
      <c r="L102" t="n">
        <v>0</v>
      </c>
      <c r="M102" t="n">
        <v>0</v>
      </c>
      <c r="N102" t="n">
        <v>0</v>
      </c>
    </row>
    <row r="103">
      <c r="A103" t="inlineStr">
        <is>
          <t>Costs of buildings</t>
        </is>
      </c>
      <c r="B103" t="inlineStr">
        <is>
          <t>In re-roofing in places the buildings within the curia 2 shilling 10pence.</t>
        </is>
      </c>
      <c r="C103" t="n">
        <v>0.14</v>
      </c>
      <c r="D103" t="n">
        <v>0</v>
      </c>
      <c r="E103" t="n">
        <v>2</v>
      </c>
      <c r="F103" t="n">
        <v>10</v>
      </c>
      <c r="H103" t="n">
        <v>0</v>
      </c>
      <c r="I103" t="n">
        <v>0</v>
      </c>
      <c r="J103" t="n">
        <v>0</v>
      </c>
      <c r="K103" t="n">
        <v>0</v>
      </c>
      <c r="L103" t="n">
        <v>0</v>
      </c>
      <c r="M103" t="n">
        <v>0</v>
      </c>
      <c r="N103" t="n">
        <v>0</v>
      </c>
    </row>
    <row r="104">
      <c r="A104" t="inlineStr">
        <is>
          <t>Costs of buildings</t>
        </is>
      </c>
      <c r="B104" t="inlineStr">
        <is>
          <t>2,000 large slates bought for the same 2 shilling 8pence.</t>
        </is>
      </c>
      <c r="C104" t="n">
        <v>0.13</v>
      </c>
      <c r="D104" t="n">
        <v>0</v>
      </c>
      <c r="E104" t="n">
        <v>2</v>
      </c>
      <c r="F104" t="n">
        <v>8</v>
      </c>
      <c r="H104" t="n">
        <v>0</v>
      </c>
      <c r="I104" t="n">
        <v>0</v>
      </c>
      <c r="J104" t="n">
        <v>0</v>
      </c>
      <c r="K104" t="n">
        <v>0</v>
      </c>
      <c r="L104" t="n">
        <v>0</v>
      </c>
      <c r="M104" t="n">
        <v>0</v>
      </c>
      <c r="N104" t="n">
        <v>0</v>
      </c>
    </row>
    <row r="105">
      <c r="A105" t="inlineStr">
        <is>
          <t>Costs of buildings</t>
        </is>
      </c>
      <c r="B105" t="inlineStr">
        <is>
          <t>2 quarters of lime bought 1 shilling.</t>
        </is>
      </c>
      <c r="C105" t="n">
        <v>0.05</v>
      </c>
      <c r="D105" t="n">
        <v>0</v>
      </c>
      <c r="E105" t="n">
        <v>1</v>
      </c>
      <c r="F105" t="n">
        <v>0</v>
      </c>
      <c r="H105" t="n">
        <v>2</v>
      </c>
      <c r="I105" t="n">
        <v>0</v>
      </c>
      <c r="J105" t="n">
        <v>2</v>
      </c>
      <c r="K105" t="n">
        <v>2</v>
      </c>
      <c r="L105" t="n">
        <v>0</v>
      </c>
      <c r="M105" t="n">
        <v>2</v>
      </c>
      <c r="N105" t="n">
        <v>0</v>
      </c>
    </row>
    <row r="106">
      <c r="A106" t="inlineStr">
        <is>
          <t>Costs of buildings</t>
        </is>
      </c>
      <c r="B106" t="inlineStr">
        <is>
          <t>pegs bought 2pence.</t>
        </is>
      </c>
      <c r="C106" t="n">
        <v>0.01</v>
      </c>
      <c r="D106" t="n">
        <v>0</v>
      </c>
      <c r="E106" t="n">
        <v>0</v>
      </c>
      <c r="F106" t="n">
        <v>2</v>
      </c>
      <c r="H106" t="n">
        <v>0</v>
      </c>
      <c r="I106" t="n">
        <v>0</v>
      </c>
      <c r="J106" t="n">
        <v>0</v>
      </c>
      <c r="K106" t="n">
        <v>0</v>
      </c>
      <c r="L106" t="n">
        <v>0</v>
      </c>
      <c r="M106" t="n">
        <v>0</v>
      </c>
      <c r="N106" t="n">
        <v>0</v>
      </c>
    </row>
    <row r="107">
      <c r="A107" t="inlineStr">
        <is>
          <t>Costs of buildings</t>
        </is>
      </c>
      <c r="B107" t="inlineStr">
        <is>
          <t>2 casks bought for putting cider in and hooping the same 5 shilling 4pence.</t>
        </is>
      </c>
      <c r="C107" t="n">
        <v>0.27</v>
      </c>
      <c r="D107" t="n">
        <v>0</v>
      </c>
      <c r="E107" t="n">
        <v>5</v>
      </c>
      <c r="F107" t="n">
        <v>4</v>
      </c>
      <c r="H107" t="n">
        <v>0</v>
      </c>
      <c r="I107" t="n">
        <v>0</v>
      </c>
      <c r="J107" t="n">
        <v>0</v>
      </c>
      <c r="K107" t="n">
        <v>0</v>
      </c>
      <c r="L107" t="n">
        <v>0</v>
      </c>
      <c r="M107" t="n">
        <v>0</v>
      </c>
      <c r="N107" t="n">
        <v>0</v>
      </c>
    </row>
    <row r="108">
      <c r="A108" t="inlineStr">
        <is>
          <t>Costs of buildings</t>
        </is>
      </c>
      <c r="B108" t="inlineStr">
        <is>
          <t>making 2 casks of cider 10pence.</t>
        </is>
      </c>
      <c r="C108" t="n">
        <v>0.04</v>
      </c>
      <c r="D108" t="n">
        <v>0</v>
      </c>
      <c r="E108" t="n">
        <v>0</v>
      </c>
      <c r="F108" t="n">
        <v>10</v>
      </c>
      <c r="H108" t="n">
        <v>0</v>
      </c>
      <c r="I108" t="n">
        <v>0</v>
      </c>
      <c r="J108" t="n">
        <v>0</v>
      </c>
      <c r="K108" t="n">
        <v>0</v>
      </c>
      <c r="L108" t="n">
        <v>0</v>
      </c>
      <c r="M108" t="n">
        <v>0</v>
      </c>
      <c r="N108" t="n">
        <v>0</v>
      </c>
    </row>
    <row r="109">
      <c r="A109" t="inlineStr">
        <is>
          <t>Costs of buildings</t>
        </is>
      </c>
      <c r="B109" t="inlineStr">
        <is>
          <t>7 pigs bought 10 shilling 6pence, at 1 shilling 6pence each.</t>
        </is>
      </c>
      <c r="C109" t="n">
        <v>0.53</v>
      </c>
      <c r="D109" t="n">
        <v>0</v>
      </c>
      <c r="E109" t="n">
        <v>10</v>
      </c>
      <c r="F109" t="n">
        <v>6</v>
      </c>
      <c r="H109" t="n">
        <v>0</v>
      </c>
      <c r="I109" t="n">
        <v>0</v>
      </c>
      <c r="J109" t="n">
        <v>0</v>
      </c>
      <c r="K109" t="n">
        <v>0</v>
      </c>
      <c r="L109" t="n">
        <v>0</v>
      </c>
      <c r="M109" t="n">
        <v>0</v>
      </c>
      <c r="N109" t="n">
        <v>0</v>
      </c>
    </row>
    <row r="110">
      <c r="A110" t="inlineStr">
        <is>
          <t>Costs of buildings</t>
        </is>
      </c>
      <c r="B110" t="inlineStr">
        <is>
          <t>.</t>
        </is>
      </c>
      <c r="C110" t="n">
        <v>0</v>
      </c>
      <c r="D110" t="n">
        <v>0</v>
      </c>
      <c r="E110" t="n">
        <v>0</v>
      </c>
      <c r="F110" t="n">
        <v>0</v>
      </c>
      <c r="H110" t="n">
        <v>0</v>
      </c>
      <c r="I110" t="n">
        <v>0</v>
      </c>
      <c r="J110" t="n">
        <v>0</v>
      </c>
      <c r="K110" t="n">
        <v>0</v>
      </c>
      <c r="L110" t="n">
        <v>0</v>
      </c>
      <c r="M110" t="n">
        <v>0</v>
      </c>
      <c r="N110" t="n">
        <v>0</v>
      </c>
    </row>
    <row r="111">
      <c r="A111" t="inlineStr">
        <is>
          <t>Costs of buildings</t>
        </is>
      </c>
      <c r="B111" t="inlineStr">
        <is>
          <t>8 piglets bought 8 shilling.</t>
        </is>
      </c>
      <c r="C111" t="n">
        <v>0.4</v>
      </c>
      <c r="D111" t="n">
        <v>0</v>
      </c>
      <c r="E111" t="n">
        <v>8</v>
      </c>
      <c r="F111" t="n">
        <v>0</v>
      </c>
      <c r="H111" t="n">
        <v>0</v>
      </c>
      <c r="I111" t="n">
        <v>0</v>
      </c>
      <c r="J111" t="n">
        <v>0</v>
      </c>
      <c r="K111" t="n">
        <v>0</v>
      </c>
      <c r="L111" t="n">
        <v>0</v>
      </c>
      <c r="M111" t="n">
        <v>0</v>
      </c>
      <c r="N111" t="n">
        <v>0</v>
      </c>
    </row>
    <row r="112">
      <c r="A112" t="inlineStr">
        <is>
          <t>Costs of buildings</t>
        </is>
      </c>
      <c r="B112" t="inlineStr">
        <is>
          <t>7 piglets bought 4 shilling 8pence, at 8pence each.</t>
        </is>
      </c>
      <c r="C112" t="n">
        <v>0.23</v>
      </c>
      <c r="D112" t="n">
        <v>0</v>
      </c>
      <c r="E112" t="n">
        <v>4</v>
      </c>
      <c r="F112" t="n">
        <v>8</v>
      </c>
      <c r="H112" t="n">
        <v>0</v>
      </c>
      <c r="I112" t="n">
        <v>0</v>
      </c>
      <c r="J112" t="n">
        <v>0</v>
      </c>
      <c r="K112" t="n">
        <v>0</v>
      </c>
      <c r="L112" t="n">
        <v>0</v>
      </c>
      <c r="M112" t="n">
        <v>0</v>
      </c>
      <c r="N112" t="n">
        <v>0</v>
      </c>
    </row>
    <row r="113">
      <c r="A113" t="inlineStr">
        <is>
          <t>Costs of buildings</t>
        </is>
      </c>
      <c r="B113" t="inlineStr">
        <is>
          <t>Total, £1 16 shilling Paid at the bishop's court at Fareham for the rent of the land of Harpe 3pence Also paid at the aforesaid court for the aforesaid rent from the previous year 3pence Also paid there for 1 lb of pepper for this year and for another pound of pepper from the previous year for a rent 2pence Paid to the collectors of the fifteenth for the manor of Cams 16 shilling 10pence Given to the same collectors for a gratuity 5 shilling Total, £1 2 shilling 6pence</t>
        </is>
      </c>
      <c r="C113" t="n">
        <v>1.8</v>
      </c>
      <c r="D113" t="n">
        <v>1</v>
      </c>
      <c r="E113" t="n">
        <v>16</v>
      </c>
      <c r="F113" t="n">
        <v>0</v>
      </c>
      <c r="H113" t="n">
        <v>0</v>
      </c>
      <c r="I113" t="n">
        <v>0</v>
      </c>
      <c r="J113" t="n">
        <v>0</v>
      </c>
      <c r="K113" t="n">
        <v>0</v>
      </c>
      <c r="L113" t="n">
        <v>0</v>
      </c>
      <c r="M113" t="n">
        <v>0</v>
      </c>
      <c r="N113" t="n">
        <v>0</v>
      </c>
    </row>
    <row r="114">
      <c r="A114" t="inlineStr">
        <is>
          <t>Total of all expenses</t>
        </is>
      </c>
      <c r="B114" t="inlineStr">
        <is>
          <t>Total of all expenses, £15 12 shilling 8pence</t>
        </is>
      </c>
      <c r="C114" t="n">
        <v>15.63</v>
      </c>
      <c r="D114" t="n">
        <v>15</v>
      </c>
      <c r="E114" t="n">
        <v>12</v>
      </c>
      <c r="F114" t="n">
        <v>8</v>
      </c>
      <c r="H114" t="n">
        <v>0</v>
      </c>
      <c r="I114" t="n">
        <v>0</v>
      </c>
      <c r="J114" t="n">
        <v>0</v>
      </c>
      <c r="K114" t="n">
        <v>0</v>
      </c>
      <c r="L114" t="n">
        <v>0</v>
      </c>
      <c r="M114" t="n">
        <v>0</v>
      </c>
      <c r="N114" t="n">
        <v>0</v>
      </c>
    </row>
    <row r="115">
      <c r="A115" t="inlineStr">
        <is>
          <t>And he owes</t>
        </is>
      </c>
      <c r="B115" t="inlineStr">
        <is>
          <t>And he owes, £20 4 shilling 4.25pence</t>
        </is>
      </c>
      <c r="C115" t="n">
        <v>20.22</v>
      </c>
      <c r="D115" t="n">
        <v>20</v>
      </c>
      <c r="E115" t="n">
        <v>4</v>
      </c>
      <c r="F115" t="n">
        <v>4.25</v>
      </c>
      <c r="H115" t="n">
        <v>0</v>
      </c>
      <c r="I115" t="n">
        <v>0</v>
      </c>
      <c r="J115" t="n">
        <v>0</v>
      </c>
      <c r="K115" t="n">
        <v>0</v>
      </c>
      <c r="L115" t="n">
        <v>0</v>
      </c>
      <c r="M115" t="n">
        <v>0</v>
      </c>
      <c r="N115" t="n">
        <v>0</v>
      </c>
    </row>
    <row r="116">
      <c r="A116" t="inlineStr">
        <is>
          <t>Cash deliveries</t>
        </is>
      </c>
      <c r="B116" t="inlineStr">
        <is>
          <t>Delivered to Sir Geoffrey, treasurer of Wolvesey, by 1 tally, £16.</t>
        </is>
      </c>
      <c r="C116" t="n">
        <v>16</v>
      </c>
      <c r="D116" t="n">
        <v>16</v>
      </c>
      <c r="E116" t="n">
        <v>0</v>
      </c>
      <c r="F116" t="n">
        <v>0</v>
      </c>
      <c r="H116" t="n">
        <v>0</v>
      </c>
      <c r="I116" t="n">
        <v>0</v>
      </c>
      <c r="J116" t="n">
        <v>0</v>
      </c>
      <c r="K116" t="n">
        <v>0</v>
      </c>
      <c r="L116" t="n">
        <v>0</v>
      </c>
      <c r="M116" t="n">
        <v>0</v>
      </c>
      <c r="N116" t="n">
        <v>0</v>
      </c>
    </row>
    <row r="117">
      <c r="A117" t="inlineStr">
        <is>
          <t>And thus he owes clear</t>
        </is>
      </c>
      <c r="B117" t="inlineStr">
        <is>
          <t>And thus he owes clear, £4 4 shilling 4.25pence</t>
        </is>
      </c>
      <c r="C117" t="n">
        <v>4.22</v>
      </c>
      <c r="D117" t="n">
        <v>4</v>
      </c>
      <c r="E117" t="n">
        <v>4</v>
      </c>
      <c r="F117" t="n">
        <v>4.25</v>
      </c>
      <c r="H117" t="n">
        <v>0</v>
      </c>
      <c r="I117" t="n">
        <v>0</v>
      </c>
      <c r="J117" t="n">
        <v>0</v>
      </c>
      <c r="K117" t="n">
        <v>0</v>
      </c>
      <c r="L117" t="n">
        <v>0</v>
      </c>
      <c r="M117" t="n">
        <v>0</v>
      </c>
      <c r="N117" t="n">
        <v>0</v>
      </c>
    </row>
    <row r="118">
      <c r="A118" t="inlineStr">
        <is>
          <t>Wheat</t>
        </is>
      </c>
      <c r="B118" t="inlineStr">
        <is>
          <t>(yield: three-fold plus 6 quarters' bushels}The same renders account for 91 quarters 3.5 bushels from the whole issue of wheat by struck measure.</t>
        </is>
      </c>
      <c r="C118" t="n">
        <v>0</v>
      </c>
      <c r="D118" t="n">
        <v>0</v>
      </c>
      <c r="E118" t="n">
        <v>0</v>
      </c>
      <c r="F118" t="n">
        <v>0</v>
      </c>
      <c r="G118" t="inlineStr">
        <is>
          <t>wheat</t>
        </is>
      </c>
      <c r="H118" t="n">
        <v>91</v>
      </c>
      <c r="I118" t="n">
        <v>3.5</v>
      </c>
      <c r="J118" t="n">
        <v>91.4375</v>
      </c>
      <c r="K118" t="n">
        <v>6</v>
      </c>
      <c r="L118" t="n">
        <v>85.4375</v>
      </c>
      <c r="M118" t="n">
        <v>6</v>
      </c>
      <c r="N118" t="n">
        <v>0</v>
      </c>
      <c r="O118" t="n">
        <v>91</v>
      </c>
      <c r="P118" t="n">
        <v>3.5</v>
      </c>
    </row>
    <row r="119">
      <c r="A119" t="inlineStr">
        <is>
          <t>Wheat</t>
        </is>
      </c>
      <c r="B119" t="inlineStr">
        <is>
          <t>2 quarters 2 bushels bought.</t>
        </is>
      </c>
      <c r="C119" t="n">
        <v>0</v>
      </c>
      <c r="D119" t="n">
        <v>0</v>
      </c>
      <c r="E119" t="n">
        <v>0</v>
      </c>
      <c r="F119" t="n">
        <v>0</v>
      </c>
      <c r="H119" t="n">
        <v>2</v>
      </c>
      <c r="I119" t="n">
        <v>2</v>
      </c>
      <c r="J119" t="n">
        <v>2.25</v>
      </c>
      <c r="K119" t="n">
        <v>2.25</v>
      </c>
      <c r="L119" t="n">
        <v>0</v>
      </c>
      <c r="M119" t="n">
        <v>2</v>
      </c>
      <c r="N119" t="n">
        <v>2</v>
      </c>
    </row>
    <row r="120">
      <c r="A120" t="inlineStr">
        <is>
          <t>Wheat</t>
        </is>
      </c>
      <c r="B120" t="inlineStr">
        <is>
          <t>Total, 93.5 quarters 1.5 bushels</t>
        </is>
      </c>
      <c r="C120" t="n">
        <v>0</v>
      </c>
      <c r="D120" t="n">
        <v>0</v>
      </c>
      <c r="E120" t="n">
        <v>0</v>
      </c>
      <c r="F120" t="n">
        <v>0</v>
      </c>
      <c r="H120" t="n">
        <v>93.5</v>
      </c>
      <c r="I120" t="n">
        <v>1.5</v>
      </c>
      <c r="J120" t="n">
        <v>93.6875</v>
      </c>
      <c r="K120" t="n">
        <v>93.6875</v>
      </c>
      <c r="L120" t="n">
        <v>0</v>
      </c>
      <c r="M120" t="n">
        <v>93.5</v>
      </c>
      <c r="N120" t="n">
        <v>1.5</v>
      </c>
    </row>
    <row r="121">
      <c r="A121" t="inlineStr">
        <is>
          <t>Wheat</t>
        </is>
      </c>
      <c r="B121" t="inlineStr">
        <is>
          <t>Sown over 89 acres measured by the perch which lie at Alnetum, Vinecrofte, in burgages, in crofts outside the gate, in Estfeld' in various places, and on Brondes-bury, 33 quarters 2 bushels.</t>
        </is>
      </c>
      <c r="C121" t="n">
        <v>0</v>
      </c>
      <c r="D121" t="n">
        <v>0</v>
      </c>
      <c r="E121" t="n">
        <v>0</v>
      </c>
      <c r="F121" t="n">
        <v>0</v>
      </c>
      <c r="H121" t="n">
        <v>33</v>
      </c>
      <c r="I121" t="n">
        <v>2</v>
      </c>
      <c r="J121" t="n">
        <v>33.25</v>
      </c>
      <c r="K121" t="n">
        <v>33.25</v>
      </c>
      <c r="L121" t="n">
        <v>0</v>
      </c>
      <c r="M121" t="n">
        <v>33</v>
      </c>
      <c r="N121" t="n">
        <v>2</v>
      </c>
    </row>
    <row r="122">
      <c r="A122" t="inlineStr">
        <is>
          <t>Wheat</t>
        </is>
      </c>
      <c r="B122" t="inlineStr">
        <is>
          <t>that is, 3 bushels an acre, less 1 bushels in all.</t>
        </is>
      </c>
      <c r="C122" t="n">
        <v>0</v>
      </c>
      <c r="D122" t="n">
        <v>0</v>
      </c>
      <c r="E122" t="n">
        <v>0</v>
      </c>
      <c r="F122" t="n">
        <v>0</v>
      </c>
      <c r="H122" t="n">
        <v>0</v>
      </c>
      <c r="I122" t="n">
        <v>1</v>
      </c>
      <c r="J122" t="n">
        <v>0.125</v>
      </c>
      <c r="K122" t="n">
        <v>0.375</v>
      </c>
      <c r="L122" t="n">
        <v>-0.25</v>
      </c>
      <c r="M122" t="n">
        <v>0</v>
      </c>
      <c r="N122" t="n">
        <v>3</v>
      </c>
      <c r="O122" t="n">
        <v>0</v>
      </c>
      <c r="P122" t="n">
        <v>1</v>
      </c>
    </row>
    <row r="123">
      <c r="A123" t="inlineStr">
        <is>
          <t>Wheat</t>
        </is>
      </c>
      <c r="B123" t="inlineStr">
        <is>
          <t>Delivered to 1 hayward from the Purification (2 Febraury) until Lammas (1 August) and from the decollation of St John the Baptist (29 August) until Michaelmas (29 September), for 30 weeks, 1.5 quarters 3 bushels, because in between times he was at table for 4 weeks, and because he took the rest in barley, taking a quarter every 8 weeks.</t>
        </is>
      </c>
      <c r="C123" t="n">
        <v>0</v>
      </c>
      <c r="D123" t="n">
        <v>0</v>
      </c>
      <c r="E123" t="n">
        <v>0</v>
      </c>
      <c r="F123" t="n">
        <v>0</v>
      </c>
      <c r="G123" t="inlineStr">
        <is>
          <t>barley</t>
        </is>
      </c>
      <c r="H123" t="n">
        <v>1.5</v>
      </c>
      <c r="I123" t="n">
        <v>3</v>
      </c>
      <c r="J123" t="n">
        <v>1.875</v>
      </c>
      <c r="K123" t="n">
        <v>1.875</v>
      </c>
      <c r="L123" t="n">
        <v>0</v>
      </c>
      <c r="M123" t="n">
        <v>1.5</v>
      </c>
      <c r="N123" t="n">
        <v>3</v>
      </c>
    </row>
    <row r="124">
      <c r="A124" t="inlineStr">
        <is>
          <t>Wheat</t>
        </is>
      </c>
      <c r="B124" t="inlineStr">
        <is>
          <t>Consumed by the household at harvest-time, 1 quarters.</t>
        </is>
      </c>
      <c r="C124" t="n">
        <v>0</v>
      </c>
      <c r="D124" t="n">
        <v>0</v>
      </c>
      <c r="E124" t="n">
        <v>0</v>
      </c>
      <c r="F124" t="n">
        <v>0</v>
      </c>
      <c r="H124" t="n">
        <v>1</v>
      </c>
      <c r="I124" t="n">
        <v>0</v>
      </c>
      <c r="J124" t="n">
        <v>1</v>
      </c>
      <c r="K124" t="n">
        <v>1</v>
      </c>
      <c r="L124" t="n">
        <v>0</v>
      </c>
      <c r="M124" t="n">
        <v>1</v>
      </c>
      <c r="N124" t="n">
        <v>0</v>
      </c>
    </row>
    <row r="125">
      <c r="A125" t="inlineStr">
        <is>
          <t>Wheat</t>
        </is>
      </c>
      <c r="B125" t="inlineStr">
        <is>
          <t>Sold, 57.5 quarters 0.5 bushels</t>
        </is>
      </c>
      <c r="C125" t="n">
        <v>0</v>
      </c>
      <c r="D125" t="n">
        <v>0</v>
      </c>
      <c r="E125" t="n">
        <v>0</v>
      </c>
      <c r="F125" t="n">
        <v>0</v>
      </c>
      <c r="H125" t="n">
        <v>57.5</v>
      </c>
      <c r="I125" t="n">
        <v>0.5</v>
      </c>
      <c r="J125" t="n">
        <v>57.5625</v>
      </c>
      <c r="K125" t="n">
        <v>57.5625</v>
      </c>
      <c r="L125" t="n">
        <v>0</v>
      </c>
      <c r="M125" t="n">
        <v>57.5</v>
      </c>
      <c r="N125" t="n">
        <v>0.5</v>
      </c>
    </row>
    <row r="126">
      <c r="A126" t="inlineStr">
        <is>
          <t>Curall</t>
        </is>
      </c>
      <c r="B126" t="inlineStr">
        <is>
          <t>The same renders account for 10 quarters 5 bushels from the whole issue of curall by struck measure.</t>
        </is>
      </c>
      <c r="C126" t="n">
        <v>0</v>
      </c>
      <c r="D126" t="n">
        <v>0</v>
      </c>
      <c r="E126" t="n">
        <v>0</v>
      </c>
      <c r="F126" t="n">
        <v>0</v>
      </c>
      <c r="G126" t="inlineStr">
        <is>
          <t>curall</t>
        </is>
      </c>
      <c r="H126" t="n">
        <v>10</v>
      </c>
      <c r="I126" t="n">
        <v>5</v>
      </c>
      <c r="J126" t="n">
        <v>10.625</v>
      </c>
      <c r="K126" t="n">
        <v>10.625</v>
      </c>
      <c r="L126" t="n">
        <v>0</v>
      </c>
      <c r="M126" t="n">
        <v>10</v>
      </c>
      <c r="N126" t="n">
        <v>5</v>
      </c>
    </row>
    <row r="127">
      <c r="A127" t="inlineStr">
        <is>
          <t>Curall</t>
        </is>
      </c>
      <c r="B127" t="inlineStr">
        <is>
          <t>Sold, 10 quarters 5 bushels</t>
        </is>
      </c>
      <c r="C127" t="n">
        <v>0</v>
      </c>
      <c r="D127" t="n">
        <v>0</v>
      </c>
      <c r="E127" t="n">
        <v>0</v>
      </c>
      <c r="F127" t="n">
        <v>0</v>
      </c>
      <c r="H127" t="n">
        <v>10</v>
      </c>
      <c r="I127" t="n">
        <v>5</v>
      </c>
      <c r="J127" t="n">
        <v>10.625</v>
      </c>
      <c r="K127" t="n">
        <v>10.625</v>
      </c>
      <c r="L127" t="n">
        <v>0</v>
      </c>
      <c r="M127" t="n">
        <v>10</v>
      </c>
      <c r="N127" t="n">
        <v>5</v>
      </c>
    </row>
    <row r="128">
      <c r="A128" t="inlineStr">
        <is>
          <t>Barley</t>
        </is>
      </c>
      <c r="B128" t="inlineStr">
        <is>
          <t>{yield: two-and-a-half-fold less 3 quarters 3 bushels}</t>
        </is>
      </c>
      <c r="C128" t="n">
        <v>0</v>
      </c>
      <c r="D128" t="n">
        <v>0</v>
      </c>
      <c r="E128" t="n">
        <v>0</v>
      </c>
      <c r="F128" t="n">
        <v>0</v>
      </c>
      <c r="H128" t="n">
        <v>3</v>
      </c>
      <c r="I128" t="n">
        <v>3</v>
      </c>
      <c r="J128" t="n">
        <v>3.375</v>
      </c>
      <c r="K128" t="n">
        <v>3.375</v>
      </c>
      <c r="L128" t="n">
        <v>0</v>
      </c>
      <c r="M128" t="n">
        <v>3</v>
      </c>
      <c r="N128" t="n">
        <v>3</v>
      </c>
    </row>
    <row r="129">
      <c r="A129" t="inlineStr">
        <is>
          <t>Barley</t>
        </is>
      </c>
      <c r="B129" t="inlineStr">
        <is>
          <t>The same renders account for 38.5 quarters 2.5 bushels of barley by struck measure.</t>
        </is>
      </c>
      <c r="C129" t="n">
        <v>0</v>
      </c>
      <c r="D129" t="n">
        <v>0</v>
      </c>
      <c r="E129" t="n">
        <v>0</v>
      </c>
      <c r="F129" t="n">
        <v>0</v>
      </c>
      <c r="G129" t="inlineStr">
        <is>
          <t>barley</t>
        </is>
      </c>
      <c r="H129" t="n">
        <v>38.5</v>
      </c>
      <c r="I129" t="n">
        <v>2.5</v>
      </c>
      <c r="J129" t="n">
        <v>38.8125</v>
      </c>
      <c r="K129" t="n">
        <v>38.8125</v>
      </c>
      <c r="L129" t="n">
        <v>0</v>
      </c>
      <c r="M129" t="n">
        <v>38.5</v>
      </c>
      <c r="N129" t="n">
        <v>2.5</v>
      </c>
    </row>
    <row r="130">
      <c r="A130" t="inlineStr">
        <is>
          <t>Barley</t>
        </is>
      </c>
      <c r="B130" t="inlineStr">
        <is>
          <t>6 quarters received from vetches.</t>
        </is>
      </c>
      <c r="C130" t="n">
        <v>0</v>
      </c>
      <c r="D130" t="n">
        <v>0</v>
      </c>
      <c r="E130" t="n">
        <v>0</v>
      </c>
      <c r="F130" t="n">
        <v>0</v>
      </c>
      <c r="G130" t="inlineStr">
        <is>
          <t>vetches</t>
        </is>
      </c>
      <c r="H130" t="n">
        <v>6</v>
      </c>
      <c r="I130" t="n">
        <v>0</v>
      </c>
      <c r="J130" t="n">
        <v>6</v>
      </c>
      <c r="K130" t="n">
        <v>6</v>
      </c>
      <c r="L130" t="n">
        <v>0</v>
      </c>
      <c r="M130" t="n">
        <v>6</v>
      </c>
      <c r="N130" t="n">
        <v>0</v>
      </c>
    </row>
    <row r="131">
      <c r="A131" t="inlineStr">
        <is>
          <t>Barley</t>
        </is>
      </c>
      <c r="B131" t="inlineStr">
        <is>
          <t>Total, 44 quarters 6.5 bushels</t>
        </is>
      </c>
      <c r="C131" t="n">
        <v>0</v>
      </c>
      <c r="D131" t="n">
        <v>0</v>
      </c>
      <c r="E131" t="n">
        <v>0</v>
      </c>
      <c r="F131" t="n">
        <v>0</v>
      </c>
      <c r="H131" t="n">
        <v>44</v>
      </c>
      <c r="I131" t="n">
        <v>6.5</v>
      </c>
      <c r="J131" t="n">
        <v>44.8125</v>
      </c>
      <c r="K131" t="n">
        <v>44.8125</v>
      </c>
      <c r="L131" t="n">
        <v>0</v>
      </c>
      <c r="M131" t="n">
        <v>44</v>
      </c>
      <c r="N131" t="n">
        <v>6.5</v>
      </c>
    </row>
    <row r="132">
      <c r="A132" t="inlineStr">
        <is>
          <t>Barley</t>
        </is>
      </c>
      <c r="B132" t="inlineStr">
        <is>
          <t>Sown over 16 acres measured by the perch as they lie in Estfeld' in various places, 9.5 quarters 3 bushels.</t>
        </is>
      </c>
      <c r="C132" t="n">
        <v>0</v>
      </c>
      <c r="D132" t="n">
        <v>0</v>
      </c>
      <c r="E132" t="n">
        <v>0</v>
      </c>
      <c r="F132" t="n">
        <v>0</v>
      </c>
      <c r="H132" t="n">
        <v>9.5</v>
      </c>
      <c r="I132" t="n">
        <v>3</v>
      </c>
      <c r="J132" t="n">
        <v>9.875</v>
      </c>
      <c r="K132" t="n">
        <v>9.875</v>
      </c>
      <c r="L132" t="n">
        <v>0</v>
      </c>
      <c r="M132" t="n">
        <v>9.5</v>
      </c>
      <c r="N132" t="n">
        <v>3</v>
      </c>
    </row>
    <row r="133">
      <c r="A133" t="inlineStr">
        <is>
          <t>Barley</t>
        </is>
      </c>
      <c r="B133" t="inlineStr">
        <is>
          <t>that is, 5 bushels an acre, less 1 bushels in all.</t>
        </is>
      </c>
      <c r="C133" t="n">
        <v>0</v>
      </c>
      <c r="D133" t="n">
        <v>0</v>
      </c>
      <c r="E133" t="n">
        <v>0</v>
      </c>
      <c r="F133" t="n">
        <v>0</v>
      </c>
      <c r="H133" t="n">
        <v>0</v>
      </c>
      <c r="I133" t="n">
        <v>1</v>
      </c>
      <c r="J133" t="n">
        <v>0.125</v>
      </c>
      <c r="K133" t="n">
        <v>0.625</v>
      </c>
      <c r="L133" t="n">
        <v>-0.5</v>
      </c>
      <c r="M133" t="n">
        <v>0</v>
      </c>
      <c r="N133" t="n">
        <v>5</v>
      </c>
      <c r="O133" t="n">
        <v>0</v>
      </c>
      <c r="P133" t="n">
        <v>1</v>
      </c>
    </row>
    <row r="134">
      <c r="A134" t="inlineStr">
        <is>
          <t>Barley</t>
        </is>
      </c>
      <c r="B134" t="inlineStr">
        <is>
          <t>Delivered to 1 hayward from the Purification until Lammas and from the decollation of St John until Michaelmas, for 30 weeks, 1.5 quarters 3 bushels, because in between times he was at table for 4 weeks, taking a quarter every 8 weeks and taking the rest in wheat. {Henceforth the harrower should not have so great a livery because he is overseer of the harvest and carter there} Delivered to 1 carter for the year, 5 quarters 1.5 bushels, and taking a quarter every 10 weeks.</t>
        </is>
      </c>
      <c r="C134" t="n">
        <v>0</v>
      </c>
      <c r="D134" t="n">
        <v>0</v>
      </c>
      <c r="E134" t="n">
        <v>0</v>
      </c>
      <c r="F134" t="n">
        <v>0</v>
      </c>
      <c r="G134" t="inlineStr">
        <is>
          <t>wheat</t>
        </is>
      </c>
      <c r="H134" t="n">
        <v>5</v>
      </c>
      <c r="I134" t="n">
        <v>1.5</v>
      </c>
      <c r="J134" t="n">
        <v>5.1875</v>
      </c>
      <c r="K134" t="n">
        <v>1.875</v>
      </c>
      <c r="L134" t="n">
        <v>3.3125</v>
      </c>
      <c r="M134" t="n">
        <v>1.5</v>
      </c>
      <c r="N134" t="n">
        <v>3</v>
      </c>
      <c r="O134" t="n">
        <v>5</v>
      </c>
      <c r="P134" t="n">
        <v>1.5</v>
      </c>
    </row>
    <row r="135">
      <c r="A135" t="inlineStr">
        <is>
          <t>Barley</t>
        </is>
      </c>
      <c r="B135" t="inlineStr">
        <is>
          <t>Delivered to 2 drovers for the year, 8 quarters 5 bushels, and taking a quarter every 12 weeks.</t>
        </is>
      </c>
      <c r="C135" t="n">
        <v>0</v>
      </c>
      <c r="D135" t="n">
        <v>0</v>
      </c>
      <c r="E135" t="n">
        <v>0</v>
      </c>
      <c r="F135" t="n">
        <v>0</v>
      </c>
      <c r="H135" t="n">
        <v>8</v>
      </c>
      <c r="I135" t="n">
        <v>5</v>
      </c>
      <c r="J135" t="n">
        <v>8.625</v>
      </c>
      <c r="K135" t="n">
        <v>8.625</v>
      </c>
      <c r="L135" t="n">
        <v>0</v>
      </c>
      <c r="M135" t="n">
        <v>8</v>
      </c>
      <c r="N135" t="n">
        <v>5</v>
      </c>
    </row>
    <row r="136">
      <c r="A136" t="inlineStr">
        <is>
          <t>Barley</t>
        </is>
      </c>
      <c r="B136" t="inlineStr">
        <is>
          <t>Delivered to 1 ploughman from Michaelmas until Easter, for 30 weeks, 2.5 quarters, and taking a quarter every 12 weeks.</t>
        </is>
      </c>
      <c r="C136" t="n">
        <v>0</v>
      </c>
      <c r="D136" t="n">
        <v>0</v>
      </c>
      <c r="E136" t="n">
        <v>0</v>
      </c>
      <c r="F136" t="n">
        <v>0</v>
      </c>
      <c r="H136" t="n">
        <v>2.5</v>
      </c>
      <c r="I136" t="n">
        <v>0</v>
      </c>
      <c r="J136" t="n">
        <v>2.5</v>
      </c>
      <c r="K136" t="n">
        <v>2.5</v>
      </c>
      <c r="L136" t="n">
        <v>0</v>
      </c>
      <c r="M136" t="n">
        <v>2.5</v>
      </c>
      <c r="N136" t="n">
        <v>0</v>
      </c>
    </row>
    <row r="137">
      <c r="A137" t="inlineStr">
        <is>
          <t>Barley</t>
        </is>
      </c>
      <c r="B137" t="inlineStr">
        <is>
          <t>Delivered to 1 shepherd for the year, 4 quarters 2.5 bushels, and taking as before.</t>
        </is>
      </c>
      <c r="C137" t="n">
        <v>0</v>
      </c>
      <c r="D137" t="n">
        <v>0</v>
      </c>
      <c r="E137" t="n">
        <v>0</v>
      </c>
      <c r="F137" t="n">
        <v>0</v>
      </c>
      <c r="H137" t="n">
        <v>4</v>
      </c>
      <c r="I137" t="n">
        <v>2.5</v>
      </c>
      <c r="J137" t="n">
        <v>4.3125</v>
      </c>
      <c r="K137" t="n">
        <v>4.3125</v>
      </c>
      <c r="L137" t="n">
        <v>0</v>
      </c>
      <c r="M137" t="n">
        <v>4</v>
      </c>
      <c r="N137" t="n">
        <v>2.5</v>
      </c>
    </row>
    <row r="138">
      <c r="A138" t="inlineStr">
        <is>
          <t>Barley</t>
        </is>
      </c>
      <c r="B138" t="inlineStr">
        <is>
          <t>Delivered to 1 attendant making the pottage of the manorial servants, going to the harrowing, and keeping the birds away from the curia and the corn for the year, 3 quarters 2 bushels, and taking a quarter every 16 weeks.</t>
        </is>
      </c>
      <c r="C138" t="n">
        <v>0</v>
      </c>
      <c r="D138" t="n">
        <v>0</v>
      </c>
      <c r="E138" t="n">
        <v>0</v>
      </c>
      <c r="F138" t="n">
        <v>0</v>
      </c>
      <c r="H138" t="n">
        <v>3</v>
      </c>
      <c r="I138" t="n">
        <v>2</v>
      </c>
      <c r="J138" t="n">
        <v>3.25</v>
      </c>
      <c r="K138" t="n">
        <v>3.25</v>
      </c>
      <c r="L138" t="n">
        <v>0</v>
      </c>
      <c r="M138" t="n">
        <v>3</v>
      </c>
      <c r="N138" t="n">
        <v>2</v>
      </c>
    </row>
    <row r="139">
      <c r="A139" t="inlineStr">
        <is>
          <t>Barley</t>
        </is>
      </c>
      <c r="B139" t="inlineStr">
        <is>
          <t>Consumed by the household at harvest-time, 3 bushels Sold, 8.5 quarters 2.5 bushels</t>
        </is>
      </c>
      <c r="C139" t="n">
        <v>0</v>
      </c>
      <c r="D139" t="n">
        <v>0</v>
      </c>
      <c r="E139" t="n">
        <v>0</v>
      </c>
      <c r="F139" t="n">
        <v>0</v>
      </c>
      <c r="H139" t="n">
        <v>8.5</v>
      </c>
      <c r="I139" t="n">
        <v>2.5</v>
      </c>
      <c r="J139" t="n">
        <v>8.8125</v>
      </c>
      <c r="K139" t="n">
        <v>0.375</v>
      </c>
      <c r="L139" t="n">
        <v>8.4375</v>
      </c>
      <c r="M139" t="n">
        <v>0</v>
      </c>
      <c r="N139" t="n">
        <v>3</v>
      </c>
      <c r="O139" t="n">
        <v>8.5</v>
      </c>
      <c r="P139" t="n">
        <v>2.5</v>
      </c>
    </row>
    <row r="140">
      <c r="A140" t="inlineStr">
        <is>
          <t>Dredge</t>
        </is>
      </c>
      <c r="B140" t="inlineStr">
        <is>
          <t>{yield: 5-fold plus 0.5 quarters}</t>
        </is>
      </c>
      <c r="C140" t="n">
        <v>0</v>
      </c>
      <c r="D140" t="n">
        <v>0</v>
      </c>
      <c r="E140" t="n">
        <v>0</v>
      </c>
      <c r="F140" t="n">
        <v>0</v>
      </c>
      <c r="H140" t="n">
        <v>0.5</v>
      </c>
      <c r="I140" t="n">
        <v>0</v>
      </c>
      <c r="J140" t="n">
        <v>0.5</v>
      </c>
      <c r="K140" t="n">
        <v>0.5</v>
      </c>
      <c r="L140" t="n">
        <v>0</v>
      </c>
      <c r="M140" t="n">
        <v>0.5</v>
      </c>
      <c r="N140" t="n">
        <v>0</v>
      </c>
    </row>
    <row r="141">
      <c r="A141" t="inlineStr">
        <is>
          <t>Dredge</t>
        </is>
      </c>
      <c r="B141" t="inlineStr">
        <is>
          <t>The same renders account for 8 quarters 1.5 bushels from the whole issue of dredge by struck measure.</t>
        </is>
      </c>
      <c r="C141" t="n">
        <v>0</v>
      </c>
      <c r="D141" t="n">
        <v>0</v>
      </c>
      <c r="E141" t="n">
        <v>0</v>
      </c>
      <c r="F141" t="n">
        <v>0</v>
      </c>
      <c r="H141" t="n">
        <v>8</v>
      </c>
      <c r="I141" t="n">
        <v>1.5</v>
      </c>
      <c r="J141" t="n">
        <v>8.1875</v>
      </c>
      <c r="K141" t="n">
        <v>8.1875</v>
      </c>
      <c r="L141" t="n">
        <v>0</v>
      </c>
      <c r="M141" t="n">
        <v>8</v>
      </c>
      <c r="N141" t="n">
        <v>1.5</v>
      </c>
    </row>
    <row r="142">
      <c r="A142" t="inlineStr">
        <is>
          <t>Dredge</t>
        </is>
      </c>
      <c r="B142" t="inlineStr">
        <is>
          <t>Sown over 5 acres measured by the perch which lie in Annerescrofte and in Westfeld', 3 quarters 2 bushels.</t>
        </is>
      </c>
      <c r="C142" t="n">
        <v>0</v>
      </c>
      <c r="D142" t="n">
        <v>0</v>
      </c>
      <c r="E142" t="n">
        <v>0</v>
      </c>
      <c r="F142" t="n">
        <v>0</v>
      </c>
      <c r="H142" t="n">
        <v>3</v>
      </c>
      <c r="I142" t="n">
        <v>2</v>
      </c>
      <c r="J142" t="n">
        <v>3.25</v>
      </c>
      <c r="K142" t="n">
        <v>3.25</v>
      </c>
      <c r="L142" t="n">
        <v>0</v>
      </c>
      <c r="M142" t="n">
        <v>3</v>
      </c>
      <c r="N142" t="n">
        <v>2</v>
      </c>
    </row>
    <row r="143">
      <c r="A143" t="inlineStr">
        <is>
          <t>Dredge</t>
        </is>
      </c>
      <c r="B143" t="inlineStr">
        <is>
          <t>that is, 5 bushels an acre, plus 1 bushels in all.</t>
        </is>
      </c>
      <c r="C143" t="n">
        <v>0</v>
      </c>
      <c r="D143" t="n">
        <v>0</v>
      </c>
      <c r="E143" t="n">
        <v>0</v>
      </c>
      <c r="F143" t="n">
        <v>0</v>
      </c>
      <c r="H143" t="n">
        <v>0</v>
      </c>
      <c r="I143" t="n">
        <v>1</v>
      </c>
      <c r="J143" t="n">
        <v>0.125</v>
      </c>
      <c r="K143" t="n">
        <v>0.625</v>
      </c>
      <c r="L143" t="n">
        <v>-0.5</v>
      </c>
      <c r="M143" t="n">
        <v>0</v>
      </c>
      <c r="N143" t="n">
        <v>5</v>
      </c>
      <c r="O143" t="n">
        <v>0</v>
      </c>
      <c r="P143" t="n">
        <v>1</v>
      </c>
    </row>
    <row r="144">
      <c r="A144" t="inlineStr">
        <is>
          <t>Dredge</t>
        </is>
      </c>
      <c r="B144" t="inlineStr">
        <is>
          <t>Sold, 4.5 quarters 3.5 bushels</t>
        </is>
      </c>
      <c r="C144" t="n">
        <v>0</v>
      </c>
      <c r="D144" t="n">
        <v>0</v>
      </c>
      <c r="E144" t="n">
        <v>0</v>
      </c>
      <c r="F144" t="n">
        <v>0</v>
      </c>
      <c r="H144" t="n">
        <v>4.5</v>
      </c>
      <c r="I144" t="n">
        <v>3.5</v>
      </c>
      <c r="J144" t="n">
        <v>4.9375</v>
      </c>
      <c r="K144" t="n">
        <v>4.9375</v>
      </c>
      <c r="L144" t="n">
        <v>0</v>
      </c>
      <c r="M144" t="n">
        <v>4.5</v>
      </c>
      <c r="N144" t="n">
        <v>3.5</v>
      </c>
    </row>
    <row r="145">
      <c r="A145" t="inlineStr">
        <is>
          <t>Oats</t>
        </is>
      </c>
      <c r="B145" t="inlineStr">
        <is>
          <t>{yield: two-fold less 1 quarters 1 bushels}</t>
        </is>
      </c>
      <c r="C145" t="n">
        <v>0</v>
      </c>
      <c r="D145" t="n">
        <v>0</v>
      </c>
      <c r="E145" t="n">
        <v>0</v>
      </c>
      <c r="F145" t="n">
        <v>0</v>
      </c>
      <c r="H145" t="n">
        <v>1</v>
      </c>
      <c r="I145" t="n">
        <v>1</v>
      </c>
      <c r="J145" t="n">
        <v>1.125</v>
      </c>
      <c r="K145" t="n">
        <v>1.125</v>
      </c>
      <c r="L145" t="n">
        <v>0</v>
      </c>
      <c r="M145" t="n">
        <v>1</v>
      </c>
      <c r="N145" t="n">
        <v>1</v>
      </c>
    </row>
    <row r="146">
      <c r="A146" t="inlineStr">
        <is>
          <t>Oats</t>
        </is>
      </c>
      <c r="B146" t="inlineStr">
        <is>
          <t>The same renders account for 83 quarters from the whole issue of oats by struck measure.</t>
        </is>
      </c>
      <c r="C146" t="n">
        <v>0</v>
      </c>
      <c r="D146" t="n">
        <v>0</v>
      </c>
      <c r="E146" t="n">
        <v>0</v>
      </c>
      <c r="F146" t="n">
        <v>0</v>
      </c>
      <c r="G146" t="inlineStr">
        <is>
          <t>oats</t>
        </is>
      </c>
      <c r="H146" t="n">
        <v>83</v>
      </c>
      <c r="I146" t="n">
        <v>0</v>
      </c>
      <c r="J146" t="n">
        <v>83</v>
      </c>
      <c r="K146" t="n">
        <v>83</v>
      </c>
      <c r="L146" t="n">
        <v>0</v>
      </c>
      <c r="M146" t="n">
        <v>83</v>
      </c>
      <c r="N146" t="n">
        <v>0</v>
      </c>
    </row>
    <row r="147">
      <c r="A147" t="inlineStr">
        <is>
          <t>Oats</t>
        </is>
      </c>
      <c r="B147" t="inlineStr">
        <is>
          <t>10.5 quarters 2 bushels by estimation in sheaves given to oxen.</t>
        </is>
      </c>
      <c r="C147" t="n">
        <v>0</v>
      </c>
      <c r="D147" t="n">
        <v>0</v>
      </c>
      <c r="E147" t="n">
        <v>0</v>
      </c>
      <c r="F147" t="n">
        <v>0</v>
      </c>
      <c r="H147" t="n">
        <v>10.5</v>
      </c>
      <c r="I147" t="n">
        <v>2</v>
      </c>
      <c r="J147" t="n">
        <v>10.75</v>
      </c>
      <c r="K147" t="n">
        <v>10.75</v>
      </c>
      <c r="L147" t="n">
        <v>0</v>
      </c>
      <c r="M147" t="n">
        <v>10.5</v>
      </c>
      <c r="N147" t="n">
        <v>2</v>
      </c>
    </row>
    <row r="148">
      <c r="A148" t="inlineStr">
        <is>
          <t>Oats</t>
        </is>
      </c>
      <c r="B148" t="inlineStr">
        <is>
          <t>Total, 93 quarters 7 bushels Sown over 59 acres measured by the perch which lie at Alnetum, in 3 crofts beside the garden, in Westfeud' in various places, and in Lambham, 40 quarters 7 bushels.</t>
        </is>
      </c>
      <c r="C148" t="n">
        <v>0</v>
      </c>
      <c r="D148" t="n">
        <v>0</v>
      </c>
      <c r="E148" t="n">
        <v>0</v>
      </c>
      <c r="F148" t="n">
        <v>0</v>
      </c>
      <c r="H148" t="n">
        <v>40</v>
      </c>
      <c r="I148" t="n">
        <v>7</v>
      </c>
      <c r="J148" t="n">
        <v>40.875</v>
      </c>
      <c r="K148" t="n">
        <v>93.875</v>
      </c>
      <c r="L148" t="n">
        <v>-53</v>
      </c>
      <c r="M148" t="n">
        <v>93</v>
      </c>
      <c r="N148" t="n">
        <v>7</v>
      </c>
      <c r="O148" t="n">
        <v>40</v>
      </c>
      <c r="P148" t="n">
        <v>7</v>
      </c>
    </row>
    <row r="149">
      <c r="A149" t="inlineStr">
        <is>
          <t>Oats</t>
        </is>
      </c>
      <c r="B149" t="inlineStr">
        <is>
          <t>that is, 5.5 bushels an acre, less 2.5 bushels in all.</t>
        </is>
      </c>
      <c r="C149" t="n">
        <v>0</v>
      </c>
      <c r="D149" t="n">
        <v>0</v>
      </c>
      <c r="E149" t="n">
        <v>0</v>
      </c>
      <c r="F149" t="n">
        <v>0</v>
      </c>
      <c r="H149" t="n">
        <v>0</v>
      </c>
      <c r="I149" t="n">
        <v>2.5</v>
      </c>
      <c r="J149" t="n">
        <v>0.3125</v>
      </c>
      <c r="K149" t="n">
        <v>0.6875</v>
      </c>
      <c r="L149" t="n">
        <v>-0.375</v>
      </c>
      <c r="M149" t="n">
        <v>0</v>
      </c>
      <c r="N149" t="n">
        <v>5.5</v>
      </c>
      <c r="O149" t="n">
        <v>0</v>
      </c>
      <c r="P149" t="n">
        <v>2.5</v>
      </c>
    </row>
    <row r="150">
      <c r="A150" t="inlineStr">
        <is>
          <t>Oats</t>
        </is>
      </c>
      <c r="B150" t="inlineStr">
        <is>
          <t>.</t>
        </is>
      </c>
      <c r="C150" t="n">
        <v>0</v>
      </c>
      <c r="D150" t="n">
        <v>0</v>
      </c>
      <c r="E150" t="n">
        <v>0</v>
      </c>
      <c r="F150" t="n">
        <v>0</v>
      </c>
      <c r="H150" t="n">
        <v>0</v>
      </c>
      <c r="I150" t="n">
        <v>0</v>
      </c>
      <c r="J150" t="n">
        <v>0</v>
      </c>
      <c r="K150" t="n">
        <v>0</v>
      </c>
      <c r="L150" t="n">
        <v>0</v>
      </c>
      <c r="M150" t="n">
        <v>0</v>
      </c>
      <c r="N150" t="n">
        <v>0</v>
      </c>
    </row>
    <row r="151">
      <c r="A151" t="inlineStr">
        <is>
          <t>Oats</t>
        </is>
      </c>
      <c r="B151" t="inlineStr">
        <is>
          <t>fodder of 3 cart-horses for the year, 11.5 quarters.</t>
        </is>
      </c>
      <c r="C151" t="n">
        <v>0</v>
      </c>
      <c r="D151" t="n">
        <v>0</v>
      </c>
      <c r="E151" t="n">
        <v>0</v>
      </c>
      <c r="F151" t="n">
        <v>0</v>
      </c>
      <c r="H151" t="n">
        <v>11.5</v>
      </c>
      <c r="I151" t="n">
        <v>0</v>
      </c>
      <c r="J151" t="n">
        <v>11.5</v>
      </c>
      <c r="K151" t="n">
        <v>11.5</v>
      </c>
      <c r="L151" t="n">
        <v>0</v>
      </c>
      <c r="M151" t="n">
        <v>11.5</v>
      </c>
      <c r="N151" t="n">
        <v>0</v>
      </c>
    </row>
    <row r="152">
      <c r="A152" t="inlineStr">
        <is>
          <t>Oats</t>
        </is>
      </c>
      <c r="B152" t="inlineStr">
        <is>
          <t>Given to oxen by estimation in sheaves, 10.5 quarters 2 bushels Sold, 30.5 quarters 2 bushels</t>
        </is>
      </c>
      <c r="C152" t="n">
        <v>0</v>
      </c>
      <c r="D152" t="n">
        <v>0</v>
      </c>
      <c r="E152" t="n">
        <v>0</v>
      </c>
      <c r="F152" t="n">
        <v>0</v>
      </c>
      <c r="H152" t="n">
        <v>30.5</v>
      </c>
      <c r="I152" t="n">
        <v>2</v>
      </c>
      <c r="J152" t="n">
        <v>30.75</v>
      </c>
      <c r="K152" t="n">
        <v>10.75</v>
      </c>
      <c r="L152" t="n">
        <v>20</v>
      </c>
      <c r="M152" t="n">
        <v>10.5</v>
      </c>
      <c r="N152" t="n">
        <v>2</v>
      </c>
      <c r="O152" t="n">
        <v>30.5</v>
      </c>
      <c r="P152" t="n">
        <v>2</v>
      </c>
    </row>
    <row r="153">
      <c r="A153" t="inlineStr">
        <is>
          <t>Peas</t>
        </is>
      </c>
      <c r="B153" t="inlineStr">
        <is>
          <t>{yield: two-fold plus 1.5 quarters}</t>
        </is>
      </c>
      <c r="C153" t="n">
        <v>0</v>
      </c>
      <c r="D153" t="n">
        <v>0</v>
      </c>
      <c r="E153" t="n">
        <v>0</v>
      </c>
      <c r="F153" t="n">
        <v>0</v>
      </c>
      <c r="H153" t="n">
        <v>1.5</v>
      </c>
      <c r="I153" t="n">
        <v>0</v>
      </c>
      <c r="J153" t="n">
        <v>1.5</v>
      </c>
      <c r="K153" t="n">
        <v>1.5</v>
      </c>
      <c r="L153" t="n">
        <v>0</v>
      </c>
      <c r="M153" t="n">
        <v>1.5</v>
      </c>
      <c r="N153" t="n">
        <v>0</v>
      </c>
    </row>
    <row r="154">
      <c r="A154" t="inlineStr">
        <is>
          <t>Peas</t>
        </is>
      </c>
      <c r="B154" t="inlineStr">
        <is>
          <t>The same renders account for 14.5 quarters from the whole issue of peas by struck measure.</t>
        </is>
      </c>
      <c r="C154" t="n">
        <v>0</v>
      </c>
      <c r="D154" t="n">
        <v>0</v>
      </c>
      <c r="E154" t="n">
        <v>0</v>
      </c>
      <c r="F154" t="n">
        <v>0</v>
      </c>
      <c r="G154" t="inlineStr">
        <is>
          <t>peas</t>
        </is>
      </c>
      <c r="H154" t="n">
        <v>14.5</v>
      </c>
      <c r="I154" t="n">
        <v>0</v>
      </c>
      <c r="J154" t="n">
        <v>14.5</v>
      </c>
      <c r="K154" t="n">
        <v>14.5</v>
      </c>
      <c r="L154" t="n">
        <v>0</v>
      </c>
      <c r="M154" t="n">
        <v>14.5</v>
      </c>
      <c r="N154" t="n">
        <v>0</v>
      </c>
    </row>
    <row r="155">
      <c r="A155" t="inlineStr">
        <is>
          <t>Peas</t>
        </is>
      </c>
      <c r="B155" t="inlineStr">
        <is>
          <t>Sown over 20 acres measured by the perch which lie in la Westfeud' and la Estfeld' in various places, 7 quarters 3 bushels.</t>
        </is>
      </c>
      <c r="C155" t="n">
        <v>0</v>
      </c>
      <c r="D155" t="n">
        <v>0</v>
      </c>
      <c r="E155" t="n">
        <v>0</v>
      </c>
      <c r="F155" t="n">
        <v>0</v>
      </c>
      <c r="H155" t="n">
        <v>7</v>
      </c>
      <c r="I155" t="n">
        <v>3</v>
      </c>
      <c r="J155" t="n">
        <v>7.375</v>
      </c>
      <c r="K155" t="n">
        <v>7.375</v>
      </c>
      <c r="L155" t="n">
        <v>0</v>
      </c>
      <c r="M155" t="n">
        <v>7</v>
      </c>
      <c r="N155" t="n">
        <v>3</v>
      </c>
    </row>
    <row r="156">
      <c r="A156" t="inlineStr">
        <is>
          <t>Peas</t>
        </is>
      </c>
      <c r="B156" t="inlineStr">
        <is>
          <t>that is, 3 bushels an acre, less 0.5 bushels in all.</t>
        </is>
      </c>
      <c r="C156" t="n">
        <v>0</v>
      </c>
      <c r="D156" t="n">
        <v>0</v>
      </c>
      <c r="E156" t="n">
        <v>0</v>
      </c>
      <c r="F156" t="n">
        <v>0</v>
      </c>
      <c r="H156" t="n">
        <v>0</v>
      </c>
      <c r="I156" t="n">
        <v>0.5</v>
      </c>
      <c r="J156" t="n">
        <v>0.0625</v>
      </c>
      <c r="K156" t="n">
        <v>0.375</v>
      </c>
      <c r="L156" t="n">
        <v>-0.3125</v>
      </c>
      <c r="M156" t="n">
        <v>0</v>
      </c>
      <c r="N156" t="n">
        <v>3</v>
      </c>
      <c r="O156" t="n">
        <v>0</v>
      </c>
      <c r="P156" t="n">
        <v>0.5</v>
      </c>
    </row>
    <row r="157">
      <c r="A157" t="inlineStr">
        <is>
          <t>Peas</t>
        </is>
      </c>
      <c r="B157" t="inlineStr">
        <is>
          <t>Sold, 7 quarters 0.5 bushels</t>
        </is>
      </c>
      <c r="C157" t="n">
        <v>0</v>
      </c>
      <c r="D157" t="n">
        <v>0</v>
      </c>
      <c r="E157" t="n">
        <v>0</v>
      </c>
      <c r="F157" t="n">
        <v>0</v>
      </c>
      <c r="H157" t="n">
        <v>7</v>
      </c>
      <c r="I157" t="n">
        <v>0.5</v>
      </c>
      <c r="J157" t="n">
        <v>7.0625</v>
      </c>
      <c r="K157" t="n">
        <v>7.0625</v>
      </c>
      <c r="L157" t="n">
        <v>0</v>
      </c>
      <c r="M157" t="n">
        <v>7</v>
      </c>
      <c r="N157" t="n">
        <v>0.5</v>
      </c>
    </row>
    <row r="158">
      <c r="A158" t="inlineStr">
        <is>
          <t>Vetches</t>
        </is>
      </c>
      <c r="B158" t="inlineStr">
        <is>
          <t>{yield: two-and-a-half-fold plus 4 bushels}</t>
        </is>
      </c>
      <c r="C158" t="n">
        <v>0</v>
      </c>
      <c r="D158" t="n">
        <v>0</v>
      </c>
      <c r="E158" t="n">
        <v>0</v>
      </c>
      <c r="F158" t="n">
        <v>0</v>
      </c>
      <c r="H158" t="n">
        <v>0</v>
      </c>
      <c r="I158" t="n">
        <v>4</v>
      </c>
      <c r="J158" t="n">
        <v>0.5</v>
      </c>
      <c r="K158" t="n">
        <v>0.5</v>
      </c>
      <c r="L158" t="n">
        <v>0</v>
      </c>
      <c r="M158" t="n">
        <v>0</v>
      </c>
      <c r="N158" t="n">
        <v>4</v>
      </c>
    </row>
    <row r="159">
      <c r="A159" t="inlineStr">
        <is>
          <t>Vetches</t>
        </is>
      </c>
      <c r="B159" t="inlineStr">
        <is>
          <t>The same renders account for 19 quarters 2 bushels from the whole issue of vetches by struck measure.</t>
        </is>
      </c>
      <c r="C159" t="n">
        <v>0</v>
      </c>
      <c r="D159" t="n">
        <v>0</v>
      </c>
      <c r="E159" t="n">
        <v>0</v>
      </c>
      <c r="F159" t="n">
        <v>0</v>
      </c>
      <c r="G159" t="inlineStr">
        <is>
          <t>vetches</t>
        </is>
      </c>
      <c r="H159" t="n">
        <v>19</v>
      </c>
      <c r="I159" t="n">
        <v>2</v>
      </c>
      <c r="J159" t="n">
        <v>19.25</v>
      </c>
      <c r="K159" t="n">
        <v>19.25</v>
      </c>
      <c r="L159" t="n">
        <v>0</v>
      </c>
      <c r="M159" t="n">
        <v>19</v>
      </c>
      <c r="N159" t="n">
        <v>2</v>
      </c>
    </row>
    <row r="160">
      <c r="A160" t="inlineStr">
        <is>
          <t>Vetches</t>
        </is>
      </c>
      <c r="B160" t="inlineStr">
        <is>
          <t>Sown over 19 acres measured by the perch which lie in la Westfeld' and Estfeld' in various places, 9.5 quarters.</t>
        </is>
      </c>
      <c r="C160" t="n">
        <v>0</v>
      </c>
      <c r="D160" t="n">
        <v>0</v>
      </c>
      <c r="E160" t="n">
        <v>0</v>
      </c>
      <c r="F160" t="n">
        <v>0</v>
      </c>
      <c r="H160" t="n">
        <v>9.5</v>
      </c>
      <c r="I160" t="n">
        <v>0</v>
      </c>
      <c r="J160" t="n">
        <v>9.5</v>
      </c>
      <c r="K160" t="n">
        <v>9.5</v>
      </c>
      <c r="L160" t="n">
        <v>0</v>
      </c>
      <c r="M160" t="n">
        <v>9.5</v>
      </c>
      <c r="N160" t="n">
        <v>0</v>
      </c>
    </row>
    <row r="161">
      <c r="A161" t="inlineStr">
        <is>
          <t>Vetches</t>
        </is>
      </c>
      <c r="B161" t="inlineStr">
        <is>
          <t>that is, .5 quarters an acre.</t>
        </is>
      </c>
      <c r="C161" t="n">
        <v>0</v>
      </c>
      <c r="D161" t="n">
        <v>0</v>
      </c>
      <c r="E161" t="n">
        <v>0</v>
      </c>
      <c r="F161" t="n">
        <v>0</v>
      </c>
      <c r="H161" t="n">
        <v>5</v>
      </c>
      <c r="I161" t="n">
        <v>0</v>
      </c>
      <c r="J161" t="n">
        <v>5</v>
      </c>
      <c r="K161" t="n">
        <v>5</v>
      </c>
      <c r="L161" t="n">
        <v>0</v>
      </c>
      <c r="M161" t="n">
        <v>5</v>
      </c>
      <c r="N161" t="n">
        <v>0</v>
      </c>
    </row>
    <row r="162">
      <c r="A162" t="inlineStr">
        <is>
          <t>Vetches</t>
        </is>
      </c>
      <c r="B162" t="inlineStr">
        <is>
          <t>Mixed above with barley for the liveries of the manorial servants, 6 quarters.</t>
        </is>
      </c>
      <c r="C162" t="n">
        <v>0</v>
      </c>
      <c r="D162" t="n">
        <v>0</v>
      </c>
      <c r="E162" t="n">
        <v>0</v>
      </c>
      <c r="F162" t="n">
        <v>0</v>
      </c>
      <c r="G162" t="inlineStr">
        <is>
          <t>barley</t>
        </is>
      </c>
      <c r="H162" t="n">
        <v>6</v>
      </c>
      <c r="I162" t="n">
        <v>0</v>
      </c>
      <c r="J162" t="n">
        <v>6</v>
      </c>
      <c r="K162" t="n">
        <v>6</v>
      </c>
      <c r="L162" t="n">
        <v>0</v>
      </c>
      <c r="M162" t="n">
        <v>6</v>
      </c>
      <c r="N162" t="n">
        <v>0</v>
      </c>
    </row>
    <row r="163">
      <c r="A163" t="inlineStr">
        <is>
          <t>Vetches</t>
        </is>
      </c>
      <c r="B163" t="inlineStr">
        <is>
          <t>Sold, 3 quarters 6 bushels</t>
        </is>
      </c>
      <c r="C163" t="n">
        <v>0</v>
      </c>
      <c r="D163" t="n">
        <v>0</v>
      </c>
      <c r="E163" t="n">
        <v>0</v>
      </c>
      <c r="F163" t="n">
        <v>0</v>
      </c>
      <c r="H163" t="n">
        <v>3</v>
      </c>
      <c r="I163" t="n">
        <v>6</v>
      </c>
      <c r="J163" t="n">
        <v>3.75</v>
      </c>
      <c r="K163" t="n">
        <v>3.75</v>
      </c>
      <c r="L163" t="n">
        <v>0</v>
      </c>
      <c r="M163" t="n">
        <v>3</v>
      </c>
      <c r="N163" t="n">
        <v>6</v>
      </c>
    </row>
    <row r="164">
      <c r="A164" t="inlineStr">
        <is>
          <t>Stock</t>
        </is>
      </c>
      <c r="B164" t="inlineStr">
        <is>
          <t>Cart-horses: 4 remain from the previous year.</t>
        </is>
      </c>
      <c r="C164" t="n">
        <v>0</v>
      </c>
      <c r="D164" t="n">
        <v>0</v>
      </c>
      <c r="E164" t="n">
        <v>0</v>
      </c>
      <c r="F164" t="n">
        <v>0</v>
      </c>
      <c r="H164" t="n">
        <v>0</v>
      </c>
      <c r="I164" t="n">
        <v>0</v>
      </c>
      <c r="J164" t="n">
        <v>0</v>
      </c>
      <c r="K164" t="n">
        <v>0</v>
      </c>
      <c r="L164" t="n">
        <v>0</v>
      </c>
      <c r="M164" t="n">
        <v>0</v>
      </c>
      <c r="N164" t="n">
        <v>0</v>
      </c>
    </row>
    <row r="165">
      <c r="A165" t="inlineStr">
        <is>
          <t>Stock</t>
        </is>
      </c>
      <c r="B165" t="inlineStr">
        <is>
          <t>1 sold.</t>
        </is>
      </c>
      <c r="C165" t="n">
        <v>0</v>
      </c>
      <c r="D165" t="n">
        <v>0</v>
      </c>
      <c r="E165" t="n">
        <v>0</v>
      </c>
      <c r="F165" t="n">
        <v>0</v>
      </c>
      <c r="H165" t="n">
        <v>0</v>
      </c>
      <c r="I165" t="n">
        <v>0</v>
      </c>
      <c r="J165" t="n">
        <v>0</v>
      </c>
      <c r="K165" t="n">
        <v>0</v>
      </c>
      <c r="L165" t="n">
        <v>0</v>
      </c>
      <c r="M165" t="n">
        <v>0</v>
      </c>
      <c r="N165" t="n">
        <v>0</v>
      </c>
    </row>
    <row r="166">
      <c r="A166" t="inlineStr">
        <is>
          <t>Stock</t>
        </is>
      </c>
      <c r="B166" t="inlineStr">
        <is>
          <t>3 remain.</t>
        </is>
      </c>
      <c r="C166" t="n">
        <v>0</v>
      </c>
      <c r="D166" t="n">
        <v>0</v>
      </c>
      <c r="E166" t="n">
        <v>0</v>
      </c>
      <c r="F166" t="n">
        <v>0</v>
      </c>
      <c r="H166" t="n">
        <v>0</v>
      </c>
      <c r="I166" t="n">
        <v>0</v>
      </c>
      <c r="J166" t="n">
        <v>0</v>
      </c>
      <c r="K166" t="n">
        <v>0</v>
      </c>
      <c r="L166" t="n">
        <v>0</v>
      </c>
      <c r="M166" t="n">
        <v>0</v>
      </c>
      <c r="N166" t="n">
        <v>0</v>
      </c>
    </row>
    <row r="167">
      <c r="A167" t="inlineStr">
        <is>
          <t>Stock</t>
        </is>
      </c>
      <c r="B167" t="inlineStr">
        <is>
          <t>Plough-horses: 2 remain from the previous year.</t>
        </is>
      </c>
      <c r="C167" t="n">
        <v>0</v>
      </c>
      <c r="D167" t="n">
        <v>0</v>
      </c>
      <c r="E167" t="n">
        <v>0</v>
      </c>
      <c r="F167" t="n">
        <v>0</v>
      </c>
      <c r="H167" t="n">
        <v>0</v>
      </c>
      <c r="I167" t="n">
        <v>0</v>
      </c>
      <c r="J167" t="n">
        <v>0</v>
      </c>
      <c r="K167" t="n">
        <v>0</v>
      </c>
      <c r="L167" t="n">
        <v>0</v>
      </c>
      <c r="M167" t="n">
        <v>0</v>
      </c>
      <c r="N167" t="n">
        <v>0</v>
      </c>
    </row>
    <row r="168">
      <c r="A168" t="inlineStr">
        <is>
          <t>Stock</t>
        </is>
      </c>
      <c r="B168" t="inlineStr">
        <is>
          <t>2 sold.</t>
        </is>
      </c>
      <c r="C168" t="n">
        <v>0</v>
      </c>
      <c r="D168" t="n">
        <v>0</v>
      </c>
      <c r="E168" t="n">
        <v>0</v>
      </c>
      <c r="F168" t="n">
        <v>0</v>
      </c>
      <c r="H168" t="n">
        <v>0</v>
      </c>
      <c r="I168" t="n">
        <v>0</v>
      </c>
      <c r="J168" t="n">
        <v>0</v>
      </c>
      <c r="K168" t="n">
        <v>0</v>
      </c>
      <c r="L168" t="n">
        <v>0</v>
      </c>
      <c r="M168" t="n">
        <v>0</v>
      </c>
      <c r="N168" t="n">
        <v>0</v>
      </c>
    </row>
    <row r="169">
      <c r="A169" t="inlineStr">
        <is>
          <t>Stock</t>
        </is>
      </c>
      <c r="B169" t="inlineStr">
        <is>
          <t>none remain.</t>
        </is>
      </c>
      <c r="C169" t="n">
        <v>0</v>
      </c>
      <c r="D169" t="n">
        <v>0</v>
      </c>
      <c r="E169" t="n">
        <v>0</v>
      </c>
      <c r="F169" t="n">
        <v>0</v>
      </c>
      <c r="H169" t="n">
        <v>0</v>
      </c>
      <c r="I169" t="n">
        <v>0</v>
      </c>
      <c r="J169" t="n">
        <v>0</v>
      </c>
      <c r="K169" t="n">
        <v>0</v>
      </c>
      <c r="L169" t="n">
        <v>0</v>
      </c>
      <c r="M169" t="n">
        <v>0</v>
      </c>
      <c r="N169" t="n">
        <v>0</v>
      </c>
    </row>
    <row r="170">
      <c r="A170" t="inlineStr">
        <is>
          <t>Stock</t>
        </is>
      </c>
      <c r="B170" t="inlineStr">
        <is>
          <t>Oxen: 20 remain from the previous year.</t>
        </is>
      </c>
      <c r="C170" t="n">
        <v>0</v>
      </c>
      <c r="D170" t="n">
        <v>0</v>
      </c>
      <c r="E170" t="n">
        <v>0</v>
      </c>
      <c r="F170" t="n">
        <v>0</v>
      </c>
      <c r="H170" t="n">
        <v>0</v>
      </c>
      <c r="I170" t="n">
        <v>0</v>
      </c>
      <c r="J170" t="n">
        <v>0</v>
      </c>
      <c r="K170" t="n">
        <v>0</v>
      </c>
      <c r="L170" t="n">
        <v>0</v>
      </c>
      <c r="M170" t="n">
        <v>0</v>
      </c>
      <c r="N170" t="n">
        <v>0</v>
      </c>
    </row>
    <row r="171">
      <c r="A171" t="inlineStr">
        <is>
          <t>Stock</t>
        </is>
      </c>
      <c r="B171" t="inlineStr">
        <is>
          <t>20 remain.</t>
        </is>
      </c>
      <c r="C171" t="n">
        <v>0</v>
      </c>
      <c r="D171" t="n">
        <v>0</v>
      </c>
      <c r="E171" t="n">
        <v>0</v>
      </c>
      <c r="F171" t="n">
        <v>0</v>
      </c>
      <c r="H171" t="n">
        <v>0</v>
      </c>
      <c r="I171" t="n">
        <v>0</v>
      </c>
      <c r="J171" t="n">
        <v>0</v>
      </c>
      <c r="K171" t="n">
        <v>0</v>
      </c>
      <c r="L171" t="n">
        <v>0</v>
      </c>
      <c r="M171" t="n">
        <v>0</v>
      </c>
      <c r="N171" t="n">
        <v>0</v>
      </c>
    </row>
    <row r="172">
      <c r="A172" t="inlineStr">
        <is>
          <t>Stock</t>
        </is>
      </c>
      <c r="B172" t="inlineStr">
        <is>
          <t>Wethers: 86 remain from the previous year.</t>
        </is>
      </c>
      <c r="C172" t="n">
        <v>0</v>
      </c>
      <c r="D172" t="n">
        <v>0</v>
      </c>
      <c r="E172" t="n">
        <v>0</v>
      </c>
      <c r="F172" t="n">
        <v>0</v>
      </c>
      <c r="H172" t="n">
        <v>0</v>
      </c>
      <c r="I172" t="n">
        <v>0</v>
      </c>
      <c r="J172" t="n">
        <v>0</v>
      </c>
      <c r="K172" t="n">
        <v>0</v>
      </c>
      <c r="L172" t="n">
        <v>0</v>
      </c>
      <c r="M172" t="n">
        <v>0</v>
      </c>
      <c r="N172" t="n">
        <v>0</v>
      </c>
    </row>
    <row r="173">
      <c r="A173" t="inlineStr">
        <is>
          <t>Stock</t>
        </is>
      </c>
      <c r="B173" t="inlineStr">
        <is>
          <t>33 added from the stock of hoggs.</t>
        </is>
      </c>
      <c r="C173" t="n">
        <v>0</v>
      </c>
      <c r="D173" t="n">
        <v>0</v>
      </c>
      <c r="E173" t="n">
        <v>0</v>
      </c>
      <c r="F173" t="n">
        <v>0</v>
      </c>
      <c r="H173" t="n">
        <v>0</v>
      </c>
      <c r="I173" t="n">
        <v>0</v>
      </c>
      <c r="J173" t="n">
        <v>0</v>
      </c>
      <c r="K173" t="n">
        <v>0</v>
      </c>
      <c r="L173" t="n">
        <v>0</v>
      </c>
      <c r="M173" t="n">
        <v>0</v>
      </c>
      <c r="N173" t="n">
        <v>0</v>
      </c>
    </row>
    <row r="174">
      <c r="A174" t="inlineStr">
        <is>
          <t>Stock</t>
        </is>
      </c>
      <c r="B174" t="inlineStr">
        <is>
          <t>Total, 119. 14 sold at Martinmas.</t>
        </is>
      </c>
      <c r="C174" t="n">
        <v>0</v>
      </c>
      <c r="D174" t="n">
        <v>0</v>
      </c>
      <c r="E174" t="n">
        <v>0</v>
      </c>
      <c r="F174" t="n">
        <v>0</v>
      </c>
      <c r="H174" t="n">
        <v>0</v>
      </c>
      <c r="I174" t="n">
        <v>0</v>
      </c>
      <c r="J174" t="n">
        <v>0</v>
      </c>
      <c r="K174" t="n">
        <v>0</v>
      </c>
      <c r="L174" t="n">
        <v>0</v>
      </c>
      <c r="M174" t="n">
        <v>0</v>
      </c>
      <c r="N174" t="n">
        <v>0</v>
      </c>
    </row>
    <row r="175">
      <c r="A175" t="inlineStr">
        <is>
          <t>Stock</t>
        </is>
      </c>
      <c r="B175" t="inlineStr">
        <is>
          <t>105 remain.</t>
        </is>
      </c>
      <c r="C175" t="n">
        <v>0</v>
      </c>
      <c r="D175" t="n">
        <v>0</v>
      </c>
      <c r="E175" t="n">
        <v>0</v>
      </c>
      <c r="F175" t="n">
        <v>0</v>
      </c>
      <c r="H175" t="n">
        <v>0</v>
      </c>
      <c r="I175" t="n">
        <v>0</v>
      </c>
      <c r="J175" t="n">
        <v>0</v>
      </c>
      <c r="K175" t="n">
        <v>0</v>
      </c>
      <c r="L175" t="n">
        <v>0</v>
      </c>
      <c r="M175" t="n">
        <v>0</v>
      </c>
      <c r="N175" t="n">
        <v>0</v>
      </c>
    </row>
    <row r="176">
      <c r="A176" t="inlineStr">
        <is>
          <t>Stock</t>
        </is>
      </c>
      <c r="B176" t="inlineStr">
        <is>
          <t>Ewes: 71 remain from the previous year.</t>
        </is>
      </c>
      <c r="C176" t="n">
        <v>0</v>
      </c>
      <c r="D176" t="n">
        <v>0</v>
      </c>
      <c r="E176" t="n">
        <v>0</v>
      </c>
      <c r="F176" t="n">
        <v>0</v>
      </c>
      <c r="H176" t="n">
        <v>0</v>
      </c>
      <c r="I176" t="n">
        <v>0</v>
      </c>
      <c r="J176" t="n">
        <v>0</v>
      </c>
      <c r="K176" t="n">
        <v>0</v>
      </c>
      <c r="L176" t="n">
        <v>0</v>
      </c>
      <c r="M176" t="n">
        <v>0</v>
      </c>
      <c r="N176" t="n">
        <v>0</v>
      </c>
    </row>
    <row r="177">
      <c r="A177" t="inlineStr">
        <is>
          <t>Stock</t>
        </is>
      </c>
      <c r="B177" t="inlineStr">
        <is>
          <t>25 additions.</t>
        </is>
      </c>
      <c r="C177" t="n">
        <v>0</v>
      </c>
      <c r="D177" t="n">
        <v>0</v>
      </c>
      <c r="E177" t="n">
        <v>0</v>
      </c>
      <c r="F177" t="n">
        <v>0</v>
      </c>
      <c r="H177" t="n">
        <v>0</v>
      </c>
      <c r="I177" t="n">
        <v>0</v>
      </c>
      <c r="J177" t="n">
        <v>0</v>
      </c>
      <c r="K177" t="n">
        <v>0</v>
      </c>
      <c r="L177" t="n">
        <v>0</v>
      </c>
      <c r="M177" t="n">
        <v>0</v>
      </c>
      <c r="N177" t="n">
        <v>0</v>
      </c>
    </row>
    <row r="178">
      <c r="A178" t="inlineStr">
        <is>
          <t>Stock</t>
        </is>
      </c>
      <c r="B178" t="inlineStr">
        <is>
          <t>1 bought before breeding.</t>
        </is>
      </c>
      <c r="C178" t="n">
        <v>0</v>
      </c>
      <c r="D178" t="n">
        <v>0</v>
      </c>
      <c r="E178" t="n">
        <v>0</v>
      </c>
      <c r="F178" t="n">
        <v>0</v>
      </c>
      <c r="H178" t="n">
        <v>0</v>
      </c>
      <c r="I178" t="n">
        <v>0</v>
      </c>
      <c r="J178" t="n">
        <v>0</v>
      </c>
      <c r="K178" t="n">
        <v>0</v>
      </c>
      <c r="L178" t="n">
        <v>0</v>
      </c>
      <c r="M178" t="n">
        <v>0</v>
      </c>
      <c r="N178" t="n">
        <v>0</v>
      </c>
    </row>
    <row r="179">
      <c r="A179" t="inlineStr">
        <is>
          <t>Stock</t>
        </is>
      </c>
      <c r="B179" t="inlineStr">
        <is>
          <t>Total, 97. 8 sold at Martinmas.</t>
        </is>
      </c>
      <c r="C179" t="n">
        <v>0</v>
      </c>
      <c r="D179" t="n">
        <v>0</v>
      </c>
      <c r="E179" t="n">
        <v>0</v>
      </c>
      <c r="F179" t="n">
        <v>0</v>
      </c>
      <c r="H179" t="n">
        <v>0</v>
      </c>
      <c r="I179" t="n">
        <v>0</v>
      </c>
      <c r="J179" t="n">
        <v>0</v>
      </c>
      <c r="K179" t="n">
        <v>0</v>
      </c>
      <c r="L179" t="n">
        <v>0</v>
      </c>
      <c r="M179" t="n">
        <v>0</v>
      </c>
      <c r="N179" t="n">
        <v>0</v>
      </c>
    </row>
    <row r="180">
      <c r="A180" t="inlineStr">
        <is>
          <t>Stock</t>
        </is>
      </c>
      <c r="B180" t="inlineStr">
        <is>
          <t>4 in murrain before breeding and shearing, 1 after breeding and shearing.</t>
        </is>
      </c>
      <c r="C180" t="n">
        <v>0</v>
      </c>
      <c r="D180" t="n">
        <v>0</v>
      </c>
      <c r="E180" t="n">
        <v>0</v>
      </c>
      <c r="F180" t="n">
        <v>0</v>
      </c>
      <c r="H180" t="n">
        <v>0</v>
      </c>
      <c r="I180" t="n">
        <v>0</v>
      </c>
      <c r="J180" t="n">
        <v>0</v>
      </c>
      <c r="K180" t="n">
        <v>0</v>
      </c>
      <c r="L180" t="n">
        <v>0</v>
      </c>
      <c r="M180" t="n">
        <v>0</v>
      </c>
      <c r="N180" t="n">
        <v>0</v>
      </c>
    </row>
    <row r="181">
      <c r="A181" t="inlineStr">
        <is>
          <t>Stock</t>
        </is>
      </c>
      <c r="B181" t="inlineStr">
        <is>
          <t>84 remain.</t>
        </is>
      </c>
      <c r="C181" t="n">
        <v>0</v>
      </c>
      <c r="D181" t="n">
        <v>0</v>
      </c>
      <c r="E181" t="n">
        <v>0</v>
      </c>
      <c r="F181" t="n">
        <v>0</v>
      </c>
      <c r="H181" t="n">
        <v>0</v>
      </c>
      <c r="I181" t="n">
        <v>0</v>
      </c>
      <c r="J181" t="n">
        <v>0</v>
      </c>
      <c r="K181" t="n">
        <v>0</v>
      </c>
      <c r="L181" t="n">
        <v>0</v>
      </c>
      <c r="M181" t="n">
        <v>0</v>
      </c>
      <c r="N181" t="n">
        <v>0</v>
      </c>
    </row>
    <row r="182">
      <c r="A182" t="inlineStr">
        <is>
          <t>Stock</t>
        </is>
      </c>
      <c r="B182" t="inlineStr">
        <is>
          <t>Hoggs: 58 remain from the previous year's lambs.</t>
        </is>
      </c>
      <c r="C182" t="n">
        <v>0</v>
      </c>
      <c r="D182" t="n">
        <v>0</v>
      </c>
      <c r="E182" t="n">
        <v>0</v>
      </c>
      <c r="F182" t="n">
        <v>0</v>
      </c>
      <c r="H182" t="n">
        <v>0</v>
      </c>
      <c r="I182" t="n">
        <v>0</v>
      </c>
      <c r="J182" t="n">
        <v>0</v>
      </c>
      <c r="K182" t="n">
        <v>0</v>
      </c>
      <c r="L182" t="n">
        <v>0</v>
      </c>
      <c r="M182" t="n">
        <v>0</v>
      </c>
      <c r="N182" t="n">
        <v>0</v>
      </c>
    </row>
    <row r="183">
      <c r="A183" t="inlineStr">
        <is>
          <t>Stock</t>
        </is>
      </c>
      <c r="B183" t="inlineStr">
        <is>
          <t>33 added to wethers, 25 to ewes.</t>
        </is>
      </c>
      <c r="C183" t="n">
        <v>0</v>
      </c>
      <c r="D183" t="n">
        <v>0</v>
      </c>
      <c r="E183" t="n">
        <v>0</v>
      </c>
      <c r="F183" t="n">
        <v>0</v>
      </c>
      <c r="H183" t="n">
        <v>0</v>
      </c>
      <c r="I183" t="n">
        <v>0</v>
      </c>
      <c r="J183" t="n">
        <v>0</v>
      </c>
      <c r="K183" t="n">
        <v>0</v>
      </c>
      <c r="L183" t="n">
        <v>0</v>
      </c>
      <c r="M183" t="n">
        <v>0</v>
      </c>
      <c r="N183" t="n">
        <v>0</v>
      </c>
    </row>
    <row r="184">
      <c r="A184" t="inlineStr">
        <is>
          <t>Stock</t>
        </is>
      </c>
      <c r="B184" t="inlineStr">
        <is>
          <t>none remain.</t>
        </is>
      </c>
      <c r="C184" t="n">
        <v>0</v>
      </c>
      <c r="D184" t="n">
        <v>0</v>
      </c>
      <c r="E184" t="n">
        <v>0</v>
      </c>
      <c r="F184" t="n">
        <v>0</v>
      </c>
      <c r="H184" t="n">
        <v>0</v>
      </c>
      <c r="I184" t="n">
        <v>0</v>
      </c>
      <c r="J184" t="n">
        <v>0</v>
      </c>
      <c r="K184" t="n">
        <v>0</v>
      </c>
      <c r="L184" t="n">
        <v>0</v>
      </c>
      <c r="M184" t="n">
        <v>0</v>
      </c>
      <c r="N184" t="n">
        <v>0</v>
      </c>
    </row>
    <row r="185">
      <c r="A185" t="inlineStr">
        <is>
          <t>Stock</t>
        </is>
      </c>
      <c r="B185" t="inlineStr">
        <is>
          <t>Lambs: 58 from the offspring of the said ewes because 2 were sterile. 4 in murrain before weaning, 1 after weaning and shearing.</t>
        </is>
      </c>
      <c r="C185" t="n">
        <v>0</v>
      </c>
      <c r="D185" t="n">
        <v>0</v>
      </c>
      <c r="E185" t="n">
        <v>0</v>
      </c>
      <c r="F185" t="n">
        <v>0</v>
      </c>
      <c r="H185" t="n">
        <v>0</v>
      </c>
      <c r="I185" t="n">
        <v>0</v>
      </c>
      <c r="J185" t="n">
        <v>0</v>
      </c>
      <c r="K185" t="n">
        <v>0</v>
      </c>
      <c r="L185" t="n">
        <v>0</v>
      </c>
      <c r="M185" t="n">
        <v>0</v>
      </c>
      <c r="N185" t="n">
        <v>0</v>
      </c>
    </row>
    <row r="186">
      <c r="A186" t="inlineStr">
        <is>
          <t>Stock</t>
        </is>
      </c>
      <c r="B186" t="inlineStr">
        <is>
          <t>5 in tithe.</t>
        </is>
      </c>
      <c r="C186" t="n">
        <v>0</v>
      </c>
      <c r="D186" t="n">
        <v>0</v>
      </c>
      <c r="E186" t="n">
        <v>0</v>
      </c>
      <c r="F186" t="n">
        <v>0</v>
      </c>
      <c r="H186" t="n">
        <v>0</v>
      </c>
      <c r="I186" t="n">
        <v>0</v>
      </c>
      <c r="J186" t="n">
        <v>0</v>
      </c>
      <c r="K186" t="n">
        <v>0</v>
      </c>
      <c r="L186" t="n">
        <v>0</v>
      </c>
      <c r="M186" t="n">
        <v>0</v>
      </c>
      <c r="N186" t="n">
        <v>0</v>
      </c>
    </row>
    <row r="187">
      <c r="A187" t="inlineStr">
        <is>
          <t>Stock</t>
        </is>
      </c>
      <c r="B187" t="inlineStr">
        <is>
          <t>Total, 10. 48 remain.</t>
        </is>
      </c>
      <c r="C187" t="n">
        <v>0</v>
      </c>
      <c r="D187" t="n">
        <v>0</v>
      </c>
      <c r="E187" t="n">
        <v>0</v>
      </c>
      <c r="F187" t="n">
        <v>0</v>
      </c>
      <c r="H187" t="n">
        <v>0</v>
      </c>
      <c r="I187" t="n">
        <v>0</v>
      </c>
      <c r="J187" t="n">
        <v>0</v>
      </c>
      <c r="K187" t="n">
        <v>0</v>
      </c>
      <c r="L187" t="n">
        <v>0</v>
      </c>
      <c r="M187" t="n">
        <v>0</v>
      </c>
      <c r="N187" t="n">
        <v>0</v>
      </c>
    </row>
    <row r="188">
      <c r="A188" t="inlineStr">
        <is>
          <t>Stock</t>
        </is>
      </c>
      <c r="B188" t="inlineStr">
        <is>
          <t>Pigs: 8 remain from the previous year, 1 of them a sow.</t>
        </is>
      </c>
      <c r="C188" t="n">
        <v>0</v>
      </c>
      <c r="D188" t="n">
        <v>0</v>
      </c>
      <c r="E188" t="n">
        <v>0</v>
      </c>
      <c r="F188" t="n">
        <v>0</v>
      </c>
      <c r="H188" t="n">
        <v>0</v>
      </c>
      <c r="I188" t="n">
        <v>0</v>
      </c>
      <c r="J188" t="n">
        <v>0</v>
      </c>
      <c r="K188" t="n">
        <v>0</v>
      </c>
      <c r="L188" t="n">
        <v>0</v>
      </c>
      <c r="M188" t="n">
        <v>0</v>
      </c>
      <c r="N188" t="n">
        <v>0</v>
      </c>
    </row>
    <row r="189">
      <c r="A189" t="inlineStr">
        <is>
          <t>Stock</t>
        </is>
      </c>
      <c r="B189" t="inlineStr">
        <is>
          <t>all sold since the feast of St Andrew (30 November).</t>
        </is>
      </c>
      <c r="C189" t="n">
        <v>0</v>
      </c>
      <c r="D189" t="n">
        <v>0</v>
      </c>
      <c r="E189" t="n">
        <v>0</v>
      </c>
      <c r="F189" t="n">
        <v>0</v>
      </c>
      <c r="H189" t="n">
        <v>0</v>
      </c>
      <c r="I189" t="n">
        <v>0</v>
      </c>
      <c r="J189" t="n">
        <v>0</v>
      </c>
      <c r="K189" t="n">
        <v>0</v>
      </c>
      <c r="L189" t="n">
        <v>0</v>
      </c>
      <c r="M189" t="n">
        <v>0</v>
      </c>
      <c r="N189" t="n">
        <v>0</v>
      </c>
    </row>
    <row r="190">
      <c r="A190" t="inlineStr">
        <is>
          <t>Stock</t>
        </is>
      </c>
      <c r="B190" t="inlineStr">
        <is>
          <t>Young pigs: 8 remain from the previous year.</t>
        </is>
      </c>
      <c r="C190" t="n">
        <v>0</v>
      </c>
      <c r="D190" t="n">
        <v>0</v>
      </c>
      <c r="E190" t="n">
        <v>0</v>
      </c>
      <c r="F190" t="n">
        <v>0</v>
      </c>
      <c r="H190" t="n">
        <v>0</v>
      </c>
      <c r="I190" t="n">
        <v>0</v>
      </c>
      <c r="J190" t="n">
        <v>0</v>
      </c>
      <c r="K190" t="n">
        <v>0</v>
      </c>
      <c r="L190" t="n">
        <v>0</v>
      </c>
      <c r="M190" t="n">
        <v>0</v>
      </c>
      <c r="N190" t="n">
        <v>0</v>
      </c>
    </row>
    <row r="191">
      <c r="A191" t="inlineStr">
        <is>
          <t>Stock</t>
        </is>
      </c>
      <c r="B191" t="inlineStr">
        <is>
          <t>all sold at the aforesaid feast.</t>
        </is>
      </c>
      <c r="C191" t="n">
        <v>0</v>
      </c>
      <c r="D191" t="n">
        <v>0</v>
      </c>
      <c r="E191" t="n">
        <v>0</v>
      </c>
      <c r="F191" t="n">
        <v>0</v>
      </c>
      <c r="H191" t="n">
        <v>0</v>
      </c>
      <c r="I191" t="n">
        <v>0</v>
      </c>
      <c r="J191" t="n">
        <v>0</v>
      </c>
      <c r="K191" t="n">
        <v>0</v>
      </c>
      <c r="L191" t="n">
        <v>0</v>
      </c>
      <c r="M191" t="n">
        <v>0</v>
      </c>
      <c r="N191" t="n">
        <v>0</v>
      </c>
    </row>
    <row r="192">
      <c r="A192" t="inlineStr">
        <is>
          <t>Stock</t>
        </is>
      </c>
      <c r="B192" t="inlineStr">
        <is>
          <t>Piglets: 6 remain from the previous year.</t>
        </is>
      </c>
      <c r="C192" t="n">
        <v>0</v>
      </c>
      <c r="D192" t="n">
        <v>0</v>
      </c>
      <c r="E192" t="n">
        <v>0</v>
      </c>
      <c r="F192" t="n">
        <v>0</v>
      </c>
      <c r="H192" t="n">
        <v>0</v>
      </c>
      <c r="I192" t="n">
        <v>0</v>
      </c>
      <c r="J192" t="n">
        <v>0</v>
      </c>
      <c r="K192" t="n">
        <v>0</v>
      </c>
      <c r="L192" t="n">
        <v>0</v>
      </c>
      <c r="M192" t="n">
        <v>0</v>
      </c>
      <c r="N192" t="n">
        <v>0</v>
      </c>
    </row>
    <row r="193">
      <c r="A193" t="inlineStr">
        <is>
          <t>Stock</t>
        </is>
      </c>
      <c r="B193" t="inlineStr">
        <is>
          <t>all sold since the aforesaid feast.</t>
        </is>
      </c>
      <c r="C193" t="n">
        <v>0</v>
      </c>
      <c r="D193" t="n">
        <v>0</v>
      </c>
      <c r="E193" t="n">
        <v>0</v>
      </c>
      <c r="F193" t="n">
        <v>0</v>
      </c>
      <c r="H193" t="n">
        <v>0</v>
      </c>
      <c r="I193" t="n">
        <v>0</v>
      </c>
      <c r="J193" t="n">
        <v>0</v>
      </c>
      <c r="K193" t="n">
        <v>0</v>
      </c>
      <c r="L193" t="n">
        <v>0</v>
      </c>
      <c r="M193" t="n">
        <v>0</v>
      </c>
      <c r="N193" t="n">
        <v>0</v>
      </c>
    </row>
    <row r="194">
      <c r="A194" t="inlineStr">
        <is>
          <t>Stock</t>
        </is>
      </c>
      <c r="B194" t="inlineStr">
        <is>
          <t>Also pigs: 7 pigs, 8 young pigs and 8 piglets bought in preparation for harvest-time.</t>
        </is>
      </c>
      <c r="C194" t="n">
        <v>0</v>
      </c>
      <c r="D194" t="n">
        <v>0</v>
      </c>
      <c r="E194" t="n">
        <v>0</v>
      </c>
      <c r="F194" t="n">
        <v>0</v>
      </c>
      <c r="H194" t="n">
        <v>0</v>
      </c>
      <c r="I194" t="n">
        <v>0</v>
      </c>
      <c r="J194" t="n">
        <v>0</v>
      </c>
      <c r="K194" t="n">
        <v>0</v>
      </c>
      <c r="L194" t="n">
        <v>0</v>
      </c>
      <c r="M194" t="n">
        <v>0</v>
      </c>
      <c r="N194" t="n">
        <v>0</v>
      </c>
    </row>
    <row r="195">
      <c r="A195" t="inlineStr">
        <is>
          <t>Stock</t>
        </is>
      </c>
      <c r="B195" t="inlineStr">
        <is>
          <t>all sold</t>
        </is>
      </c>
      <c r="C195" t="n">
        <v>0</v>
      </c>
      <c r="D195" t="n">
        <v>0</v>
      </c>
      <c r="E195" t="n">
        <v>0</v>
      </c>
      <c r="F195" t="n">
        <v>0</v>
      </c>
      <c r="H195" t="n">
        <v>0</v>
      </c>
      <c r="I195" t="n">
        <v>0</v>
      </c>
      <c r="J195" t="n">
        <v>0</v>
      </c>
      <c r="K195" t="n">
        <v>0</v>
      </c>
      <c r="L195" t="n">
        <v>0</v>
      </c>
      <c r="M195" t="n">
        <v>0</v>
      </c>
      <c r="N195" t="n">
        <v>0</v>
      </c>
    </row>
    <row r="196">
      <c r="A196" t="inlineStr">
        <is>
          <t>Stock</t>
        </is>
      </c>
      <c r="B196" t="inlineStr">
        <is>
          <t>Coarse wool: {yield of fleece 3.25pence}: 190 fleeces produced at the shearing this year.</t>
        </is>
      </c>
      <c r="C196" t="n">
        <v>0.01</v>
      </c>
      <c r="D196" t="n">
        <v>0</v>
      </c>
      <c r="E196" t="n">
        <v>0</v>
      </c>
      <c r="F196" t="n">
        <v>3.25</v>
      </c>
      <c r="H196" t="n">
        <v>0</v>
      </c>
      <c r="I196" t="n">
        <v>0</v>
      </c>
      <c r="J196" t="n">
        <v>0</v>
      </c>
      <c r="K196" t="n">
        <v>0</v>
      </c>
      <c r="L196" t="n">
        <v>0</v>
      </c>
      <c r="M196" t="n">
        <v>0</v>
      </c>
      <c r="N196" t="n">
        <v>0</v>
      </c>
    </row>
    <row r="197">
      <c r="A197" t="inlineStr">
        <is>
          <t>Stock</t>
        </is>
      </c>
      <c r="B197" t="inlineStr">
        <is>
          <t>19 in tithe.</t>
        </is>
      </c>
      <c r="C197" t="n">
        <v>0</v>
      </c>
      <c r="D197" t="n">
        <v>0</v>
      </c>
      <c r="E197" t="n">
        <v>0</v>
      </c>
      <c r="F197" t="n">
        <v>0</v>
      </c>
      <c r="H197" t="n">
        <v>0</v>
      </c>
      <c r="I197" t="n">
        <v>0</v>
      </c>
      <c r="J197" t="n">
        <v>0</v>
      </c>
      <c r="K197" t="n">
        <v>0</v>
      </c>
      <c r="L197" t="n">
        <v>0</v>
      </c>
      <c r="M197" t="n">
        <v>0</v>
      </c>
      <c r="N197" t="n">
        <v>0</v>
      </c>
    </row>
    <row r="198">
      <c r="A198" t="inlineStr">
        <is>
          <t>Stock</t>
        </is>
      </c>
      <c r="B198" t="inlineStr">
        <is>
          <t>171 sent to Wolvesey, which made 2 weys and 3 cloves with the wool of Fareham.</t>
        </is>
      </c>
      <c r="C198" t="n">
        <v>0</v>
      </c>
      <c r="D198" t="n">
        <v>0</v>
      </c>
      <c r="E198" t="n">
        <v>0</v>
      </c>
      <c r="F198" t="n">
        <v>0</v>
      </c>
      <c r="H198" t="n">
        <v>0</v>
      </c>
      <c r="I198" t="n">
        <v>0</v>
      </c>
      <c r="J198" t="n">
        <v>0</v>
      </c>
      <c r="K198" t="n">
        <v>0</v>
      </c>
      <c r="L198" t="n">
        <v>0</v>
      </c>
      <c r="M198" t="n">
        <v>0</v>
      </c>
      <c r="N198" t="n">
        <v>0</v>
      </c>
    </row>
    <row r="199">
      <c r="A199" t="inlineStr">
        <is>
          <t>Stock</t>
        </is>
      </c>
      <c r="B199" t="inlineStr">
        <is>
          <t>Lamb's-wool: {yield of fleece 1.75pence plus 6.25pence}: 49 fleeces produced at the shearing this year, which made 4 cloves.</t>
        </is>
      </c>
      <c r="C199" t="n">
        <v>0.01</v>
      </c>
      <c r="D199" t="n">
        <v>0</v>
      </c>
      <c r="E199" t="n">
        <v>0</v>
      </c>
      <c r="F199" t="n">
        <v>1.75</v>
      </c>
      <c r="H199" t="n">
        <v>0</v>
      </c>
      <c r="I199" t="n">
        <v>0</v>
      </c>
      <c r="J199" t="n">
        <v>0</v>
      </c>
      <c r="K199" t="n">
        <v>0</v>
      </c>
      <c r="L199" t="n">
        <v>0</v>
      </c>
      <c r="M199" t="n">
        <v>0</v>
      </c>
      <c r="N199" t="n">
        <v>0</v>
      </c>
    </row>
    <row r="200">
      <c r="A200" t="inlineStr">
        <is>
          <t>Stock</t>
        </is>
      </c>
      <c r="B200" t="inlineStr">
        <is>
          <t>Summer cheese: {yield of sheep 2pence plus 1.5pence in all}: 166 cheeses made between Thursday before the feast of St George (19 April) and Michaelmas (29 September), both days included.</t>
        </is>
      </c>
      <c r="C200" t="n">
        <v>0.01</v>
      </c>
      <c r="D200" t="n">
        <v>0</v>
      </c>
      <c r="E200" t="n">
        <v>0</v>
      </c>
      <c r="F200" t="n">
        <v>2</v>
      </c>
      <c r="H200" t="n">
        <v>0</v>
      </c>
      <c r="I200" t="n">
        <v>0</v>
      </c>
      <c r="J200" t="n">
        <v>0</v>
      </c>
      <c r="K200" t="n">
        <v>0</v>
      </c>
      <c r="L200" t="n">
        <v>0</v>
      </c>
      <c r="M200" t="n">
        <v>0</v>
      </c>
      <c r="N200" t="n">
        <v>0</v>
      </c>
    </row>
    <row r="201">
      <c r="A201" t="inlineStr">
        <is>
          <t>Stock</t>
        </is>
      </c>
      <c r="B201" t="inlineStr">
        <is>
          <t>16 in tithe.</t>
        </is>
      </c>
      <c r="C201" t="n">
        <v>0</v>
      </c>
      <c r="D201" t="n">
        <v>0</v>
      </c>
      <c r="E201" t="n">
        <v>0</v>
      </c>
      <c r="F201" t="n">
        <v>0</v>
      </c>
      <c r="H201" t="n">
        <v>0</v>
      </c>
      <c r="I201" t="n">
        <v>0</v>
      </c>
      <c r="J201" t="n">
        <v>0</v>
      </c>
      <c r="K201" t="n">
        <v>0</v>
      </c>
      <c r="L201" t="n">
        <v>0</v>
      </c>
      <c r="M201" t="n">
        <v>0</v>
      </c>
      <c r="N201" t="n">
        <v>0</v>
      </c>
    </row>
    <row r="202">
      <c r="A202" t="inlineStr">
        <is>
          <t>Stock</t>
        </is>
      </c>
      <c r="B202" t="inlineStr">
        <is>
          <t>150 sold, which made 1 wey and 1 clove.</t>
        </is>
      </c>
      <c r="C202" t="n">
        <v>0</v>
      </c>
      <c r="D202" t="n">
        <v>0</v>
      </c>
      <c r="E202" t="n">
        <v>0</v>
      </c>
      <c r="F202" t="n">
        <v>0</v>
      </c>
      <c r="H202" t="n">
        <v>0</v>
      </c>
      <c r="I202" t="n">
        <v>0</v>
      </c>
      <c r="J202" t="n">
        <v>0</v>
      </c>
      <c r="K202" t="n">
        <v>0</v>
      </c>
      <c r="L202" t="n">
        <v>0</v>
      </c>
      <c r="M202" t="n">
        <v>0</v>
      </c>
      <c r="N202" t="n">
        <v>0</v>
      </c>
    </row>
    <row r="203">
      <c r="A203" t="inlineStr">
        <is>
          <t>Stock</t>
        </is>
      </c>
      <c r="B203" t="inlineStr">
        <is>
          <t>Butter: 2 cloves 5 lb made this year.</t>
        </is>
      </c>
      <c r="C203" t="n">
        <v>0</v>
      </c>
      <c r="D203" t="n">
        <v>0</v>
      </c>
      <c r="E203" t="n">
        <v>0</v>
      </c>
      <c r="F203" t="n">
        <v>0</v>
      </c>
      <c r="H203" t="n">
        <v>0</v>
      </c>
      <c r="I203" t="n">
        <v>0</v>
      </c>
      <c r="J203" t="n">
        <v>0</v>
      </c>
      <c r="K203" t="n">
        <v>0</v>
      </c>
      <c r="L203" t="n">
        <v>0</v>
      </c>
      <c r="M203" t="n">
        <v>0</v>
      </c>
      <c r="N203" t="n">
        <v>0</v>
      </c>
    </row>
    <row r="204">
      <c r="A204" t="inlineStr">
        <is>
          <t>Stock</t>
        </is>
      </c>
      <c r="B204" t="inlineStr">
        <is>
          <t>all sold</t>
        </is>
      </c>
      <c r="C204" t="n">
        <v>0</v>
      </c>
      <c r="D204" t="n">
        <v>0</v>
      </c>
      <c r="E204" t="n">
        <v>0</v>
      </c>
      <c r="F204" t="n">
        <v>0</v>
      </c>
      <c r="H204" t="n">
        <v>0</v>
      </c>
      <c r="I204" t="n">
        <v>0</v>
      </c>
      <c r="J204" t="n">
        <v>0</v>
      </c>
      <c r="K204" t="n">
        <v>0</v>
      </c>
      <c r="L204" t="n">
        <v>0</v>
      </c>
      <c r="M204" t="n">
        <v>0</v>
      </c>
      <c r="N204" t="n">
        <v>0</v>
      </c>
    </row>
    <row r="205">
      <c r="A205" t="inlineStr">
        <is>
          <t>Stock</t>
        </is>
      </c>
      <c r="B205" t="inlineStr">
        <is>
          <t>Hides: none.</t>
        </is>
      </c>
      <c r="C205" t="n">
        <v>0</v>
      </c>
      <c r="D205" t="n">
        <v>0</v>
      </c>
      <c r="E205" t="n">
        <v>0</v>
      </c>
      <c r="F205" t="n">
        <v>0</v>
      </c>
      <c r="H205" t="n">
        <v>0</v>
      </c>
      <c r="I205" t="n">
        <v>0</v>
      </c>
      <c r="J205" t="n">
        <v>0</v>
      </c>
      <c r="K205" t="n">
        <v>0</v>
      </c>
      <c r="L205" t="n">
        <v>0</v>
      </c>
      <c r="M205" t="n">
        <v>0</v>
      </c>
      <c r="N205" t="n">
        <v>0</v>
      </c>
    </row>
    <row r="206">
      <c r="A206" t="inlineStr">
        <is>
          <t>Stock</t>
        </is>
      </c>
      <c r="B206" t="inlineStr">
        <is>
          <t>Woolskins and bare skins: 4 from ewes in murrain before shearing and 1 from a ewe in mm-rain after shearing.</t>
        </is>
      </c>
      <c r="C206" t="n">
        <v>0</v>
      </c>
      <c r="D206" t="n">
        <v>0</v>
      </c>
      <c r="E206" t="n">
        <v>0</v>
      </c>
      <c r="F206" t="n">
        <v>0</v>
      </c>
      <c r="H206" t="n">
        <v>0</v>
      </c>
      <c r="I206" t="n">
        <v>0</v>
      </c>
      <c r="J206" t="n">
        <v>0</v>
      </c>
      <c r="K206" t="n">
        <v>0</v>
      </c>
      <c r="L206" t="n">
        <v>0</v>
      </c>
      <c r="M206" t="n">
        <v>0</v>
      </c>
      <c r="N206" t="n">
        <v>0</v>
      </c>
    </row>
    <row r="207">
      <c r="A207" t="inlineStr">
        <is>
          <t>Stock</t>
        </is>
      </c>
      <c r="B207" t="inlineStr">
        <is>
          <t>sold</t>
        </is>
      </c>
      <c r="C207" t="n">
        <v>0</v>
      </c>
      <c r="D207" t="n">
        <v>0</v>
      </c>
      <c r="E207" t="n">
        <v>0</v>
      </c>
      <c r="F207" t="n">
        <v>0</v>
      </c>
      <c r="H207" t="n">
        <v>0</v>
      </c>
      <c r="I207" t="n">
        <v>0</v>
      </c>
      <c r="J207" t="n">
        <v>0</v>
      </c>
      <c r="K207" t="n">
        <v>0</v>
      </c>
      <c r="L207" t="n">
        <v>0</v>
      </c>
      <c r="M207" t="n">
        <v>0</v>
      </c>
      <c r="N207" t="n">
        <v>0</v>
      </c>
    </row>
    <row r="208">
      <c r="A208" t="inlineStr">
        <is>
          <t>Stock</t>
        </is>
      </c>
      <c r="B208" t="inlineStr">
        <is>
          <t>Lambskins: 4 from lambs in murrain before weaning and shearing and 1 from a lamb in murrain after weaning and shearing.</t>
        </is>
      </c>
      <c r="C208" t="n">
        <v>0</v>
      </c>
      <c r="D208" t="n">
        <v>0</v>
      </c>
      <c r="E208" t="n">
        <v>0</v>
      </c>
      <c r="F208" t="n">
        <v>0</v>
      </c>
      <c r="H208" t="n">
        <v>0</v>
      </c>
      <c r="I208" t="n">
        <v>0</v>
      </c>
      <c r="J208" t="n">
        <v>0</v>
      </c>
      <c r="K208" t="n">
        <v>0</v>
      </c>
      <c r="L208" t="n">
        <v>0</v>
      </c>
      <c r="M208" t="n">
        <v>0</v>
      </c>
      <c r="N208" t="n">
        <v>0</v>
      </c>
    </row>
    <row r="209">
      <c r="A209" t="inlineStr">
        <is>
          <t>Stock</t>
        </is>
      </c>
      <c r="B209" t="inlineStr">
        <is>
          <t>all sold</t>
        </is>
      </c>
      <c r="C209" t="n">
        <v>0</v>
      </c>
      <c r="D209" t="n">
        <v>0</v>
      </c>
      <c r="E209" t="n">
        <v>0</v>
      </c>
      <c r="F209" t="n">
        <v>0</v>
      </c>
      <c r="H209" t="n">
        <v>0</v>
      </c>
      <c r="I209" t="n">
        <v>0</v>
      </c>
      <c r="J209" t="n">
        <v>0</v>
      </c>
      <c r="K209" t="n">
        <v>0</v>
      </c>
      <c r="L209" t="n">
        <v>0</v>
      </c>
      <c r="M209" t="n">
        <v>0</v>
      </c>
      <c r="N209" t="n">
        <v>0</v>
      </c>
    </row>
    <row r="210">
      <c r="A210" t="inlineStr">
        <is>
          <t>Stock</t>
        </is>
      </c>
      <c r="B210" t="inlineStr">
        <is>
          <t>Cider: 2 casks produced from the issue of the garden this year.</t>
        </is>
      </c>
      <c r="C210" t="n">
        <v>0</v>
      </c>
      <c r="D210" t="n">
        <v>0</v>
      </c>
      <c r="E210" t="n">
        <v>0</v>
      </c>
      <c r="F210" t="n">
        <v>0</v>
      </c>
      <c r="H210" t="n">
        <v>0</v>
      </c>
      <c r="I210" t="n">
        <v>0</v>
      </c>
      <c r="J210" t="n">
        <v>0</v>
      </c>
      <c r="K210" t="n">
        <v>0</v>
      </c>
      <c r="L210" t="n">
        <v>0</v>
      </c>
      <c r="M210" t="n">
        <v>0</v>
      </c>
      <c r="N210" t="n">
        <v>0</v>
      </c>
    </row>
    <row r="211">
      <c r="A211" t="inlineStr">
        <is>
          <t>Stock</t>
        </is>
      </c>
      <c r="B211" t="inlineStr">
        <is>
          <t>2 casks remain.</t>
        </is>
      </c>
      <c r="C211" t="n">
        <v>0</v>
      </c>
      <c r="D211" t="n">
        <v>0</v>
      </c>
      <c r="E211" t="n">
        <v>0</v>
      </c>
      <c r="F211" t="n">
        <v>0</v>
      </c>
      <c r="H211" t="n">
        <v>0</v>
      </c>
      <c r="I211" t="n">
        <v>0</v>
      </c>
      <c r="J211" t="n">
        <v>0</v>
      </c>
      <c r="K211" t="n">
        <v>0</v>
      </c>
      <c r="L211" t="n">
        <v>0</v>
      </c>
      <c r="M211" t="n">
        <v>0</v>
      </c>
      <c r="N211" t="n">
        <v>0</v>
      </c>
    </row>
    <row r="212">
      <c r="A212" t="inlineStr">
        <is>
          <t>Stock</t>
        </is>
      </c>
      <c r="B212" t="inlineStr">
        <is>
          <t>Utensils: 4 ploughs remain from the previous year.</t>
        </is>
      </c>
      <c r="C212" t="n">
        <v>0</v>
      </c>
      <c r="D212" t="n">
        <v>0</v>
      </c>
      <c r="E212" t="n">
        <v>0</v>
      </c>
      <c r="F212" t="n">
        <v>0</v>
      </c>
      <c r="H212" t="n">
        <v>0</v>
      </c>
      <c r="I212" t="n">
        <v>0</v>
      </c>
      <c r="J212" t="n">
        <v>0</v>
      </c>
      <c r="K212" t="n">
        <v>0</v>
      </c>
      <c r="L212" t="n">
        <v>0</v>
      </c>
      <c r="M212" t="n">
        <v>0</v>
      </c>
      <c r="N212" t="n">
        <v>0</v>
      </c>
    </row>
    <row r="213">
      <c r="A213" t="inlineStr">
        <is>
          <t>Stock</t>
        </is>
      </c>
      <c r="B213" t="inlineStr">
        <is>
          <t>2 ploughs made this year.</t>
        </is>
      </c>
      <c r="C213" t="n">
        <v>0</v>
      </c>
      <c r="D213" t="n">
        <v>0</v>
      </c>
      <c r="E213" t="n">
        <v>0</v>
      </c>
      <c r="F213" t="n">
        <v>0</v>
      </c>
      <c r="H213" t="n">
        <v>0</v>
      </c>
      <c r="I213" t="n">
        <v>0</v>
      </c>
      <c r="J213" t="n">
        <v>0</v>
      </c>
      <c r="K213" t="n">
        <v>0</v>
      </c>
      <c r="L213" t="n">
        <v>0</v>
      </c>
      <c r="M213" t="n">
        <v>0</v>
      </c>
      <c r="N213" t="n">
        <v>0</v>
      </c>
    </row>
    <row r="214">
      <c r="A214" t="inlineStr">
        <is>
          <t>Stock</t>
        </is>
      </c>
      <c r="B214" t="inlineStr">
        <is>
          <t>2 coulters, 3 ploughshares, 1 cart with iron tyres, 2 cart-bodies, 2 tripods, 1 axe and 2 ropes remain from the previous year.</t>
        </is>
      </c>
      <c r="C214" t="n">
        <v>0</v>
      </c>
      <c r="D214" t="n">
        <v>0</v>
      </c>
      <c r="E214" t="n">
        <v>0</v>
      </c>
      <c r="F214" t="n">
        <v>0</v>
      </c>
      <c r="H214" t="n">
        <v>0</v>
      </c>
      <c r="I214" t="n">
        <v>0</v>
      </c>
      <c r="J214" t="n">
        <v>0</v>
      </c>
      <c r="K214" t="n">
        <v>0</v>
      </c>
      <c r="L214" t="n">
        <v>0</v>
      </c>
      <c r="M214" t="n">
        <v>0</v>
      </c>
      <c r="N214" t="n">
        <v>0</v>
      </c>
    </row>
    <row r="215">
      <c r="A215" t="inlineStr">
        <is>
          <t>Stock</t>
        </is>
      </c>
      <c r="B215" t="inlineStr">
        <is>
          <t>all remains here apart from 2 ploughs which are worn out.</t>
        </is>
      </c>
      <c r="C215" t="n">
        <v>0</v>
      </c>
      <c r="D215" t="n">
        <v>0</v>
      </c>
      <c r="E215" t="n">
        <v>0</v>
      </c>
      <c r="F215" t="n">
        <v>0</v>
      </c>
      <c r="H215" t="n">
        <v>0</v>
      </c>
      <c r="I215" t="n">
        <v>0</v>
      </c>
      <c r="J215" t="n">
        <v>0</v>
      </c>
      <c r="K215" t="n">
        <v>0</v>
      </c>
      <c r="L215" t="n">
        <v>0</v>
      </c>
      <c r="M215" t="n">
        <v>0</v>
      </c>
      <c r="N2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2025-12-18T10:16:56Z</dcterms:modified>
  <cp:lastModifiedBy>Kowalski, Kuba</cp:lastModifiedBy>
</cp:coreProperties>
</file>
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Bitterne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Sale of Corn Pr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#,##0.000000"/>
    <numFmt numFmtId="166" formatCode="0.000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1"/>
      <scheme val="minor"/>
    </font>
    <font>
      <name val="Calibri (Body)"/>
      <b val="1"/>
      <color rgb="FFFF0000"/>
      <sz val="11"/>
    </font>
    <font>
      <name val="Calibri (Body)"/>
      <color rgb="FFFF0000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9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2" fontId="28" fillId="0" borderId="0" pivotButton="0" quotePrefix="0" xfId="0"/>
    <xf numFmtId="2" fontId="9" fillId="0" borderId="0" pivotButton="0" quotePrefix="0" xfId="0"/>
    <xf numFmtId="0" fontId="28" fillId="5" borderId="0" pivotButton="0" quotePrefix="0" xfId="0"/>
    <xf numFmtId="2" fontId="0" fillId="5" borderId="0" pivotButton="0" quotePrefix="0" xfId="0"/>
    <xf numFmtId="0" fontId="20" fillId="5" borderId="0" pivotButton="0" quotePrefix="0" xfId="0"/>
    <xf numFmtId="0" fontId="0" fillId="0" borderId="17" pivotButton="0" quotePrefix="0" xfId="0"/>
    <xf numFmtId="2" fontId="0" fillId="0" borderId="18" pivotButton="0" quotePrefix="0" xfId="0"/>
    <xf numFmtId="0" fontId="0" fillId="0" borderId="18" pivotButton="0" quotePrefix="0" xfId="0"/>
    <xf numFmtId="10" fontId="0" fillId="0" borderId="18" pivotButton="0" quotePrefix="0" xfId="0"/>
    <xf numFmtId="0" fontId="0" fillId="0" borderId="19" pivotButton="0" quotePrefix="0" xfId="0"/>
    <xf numFmtId="2" fontId="7" fillId="0" borderId="0" applyAlignment="1" pivotButton="0" quotePrefix="0" xfId="0">
      <alignment horizontal="center" vertical="top"/>
    </xf>
    <xf numFmtId="2" fontId="29" fillId="0" borderId="0" applyAlignment="1" pivotButton="0" quotePrefix="0" xfId="0">
      <alignment horizontal="center" vertical="top"/>
    </xf>
    <xf numFmtId="2" fontId="3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top" wrapText="1"/>
    </xf>
    <xf numFmtId="2" fontId="0" fillId="0" borderId="0" applyAlignment="1" pivotButton="0" quotePrefix="0" xfId="0">
      <alignment horizontal="right"/>
    </xf>
    <xf numFmtId="0" fontId="0" fillId="11" borderId="0" pivotButton="0" quotePrefix="0" xfId="0"/>
    <xf numFmtId="0" fontId="20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wrapText="1"/>
    </xf>
    <xf numFmtId="2" fontId="20" fillId="0" borderId="0" applyAlignment="1" pivotButton="0" quotePrefix="0" xfId="0">
      <alignment wrapText="1"/>
    </xf>
    <xf numFmtId="0" fontId="31" fillId="0" borderId="3" applyAlignment="1" pivotButton="0" quotePrefix="0" xfId="0">
      <alignment wrapText="1"/>
    </xf>
    <xf numFmtId="2" fontId="20" fillId="0" borderId="0" applyAlignment="1" pivotButton="0" quotePrefix="0" xfId="0">
      <alignment horizontal="right" wrapText="1"/>
    </xf>
    <xf numFmtId="1" fontId="0" fillId="0" borderId="0" pivotButton="0" quotePrefix="0" xfId="0"/>
    <xf numFmtId="0" fontId="0" fillId="0" borderId="3" pivotButton="0" quotePrefix="0" xfId="0"/>
    <xf numFmtId="0" fontId="7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/>
    </xf>
    <xf numFmtId="166" fontId="9" fillId="0" borderId="0" applyAlignment="1" pivotButton="0" quotePrefix="0" xfId="0">
      <alignment horizontal="left" wrapText="1"/>
    </xf>
    <xf numFmtId="2" fontId="9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166" fontId="0" fillId="0" borderId="0" applyAlignment="1" pivotButton="0" quotePrefix="0" xfId="0">
      <alignment horizontal="left" wrapText="1"/>
    </xf>
    <xf numFmtId="2" fontId="0" fillId="0" borderId="0" applyAlignment="1" pivotButton="0" quotePrefix="0" xfId="0">
      <alignment horizontal="left" wrapText="1"/>
    </xf>
    <xf numFmtId="2" fontId="0" fillId="0" borderId="0" applyAlignment="1" pivotButton="0" quotePrefix="0" xfId="0">
      <alignment horizontal="right" wrapText="1"/>
    </xf>
    <xf numFmtId="2" fontId="32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horizontal="left" wrapText="1"/>
    </xf>
    <xf numFmtId="166" fontId="0" fillId="6" borderId="0" pivotButton="0" quotePrefix="0" xfId="0"/>
    <xf numFmtId="2" fontId="0" fillId="6" borderId="0" pivotButton="0" quotePrefix="0" xfId="0"/>
    <xf numFmtId="166" fontId="0" fillId="0" borderId="0" pivotButton="0" quotePrefix="0" xfId="0"/>
    <xf numFmtId="0" fontId="14" fillId="6" borderId="0" applyAlignment="1" pivotButton="0" quotePrefix="0" xfId="0">
      <alignment horizontal="right"/>
    </xf>
    <xf numFmtId="166" fontId="14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C17" authorId="0" shapeId="0">
      <text>
        <t xml:space="preserve">Victoria Gierok:
from Issue of the grange </t>
      </text>
    </comment>
  </commentList>
</comments>
</file>

<file path=xl/comments/comment3.xml><?xml version="1.0" encoding="utf-8"?>
<comments xmlns="http://schemas.openxmlformats.org/spreadsheetml/2006/main">
  <authors>
    <author>Victoria Gierok</author>
  </authors>
  <commentList>
    <comment ref="D5" authorId="0" shapeId="0">
      <text>
        <t>Victoria Gierok:
strays that the seem to have added to their own stock?</t>
      </text>
    </comment>
    <comment ref="E5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BITTERNE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7.72</v>
      </c>
      <c r="D4" s="13" t="n"/>
      <c r="E4" s="13" t="n"/>
    </row>
    <row r="5">
      <c r="A5" s="15" t="inlineStr">
        <is>
          <t>Rents of assize total</t>
        </is>
      </c>
      <c r="B5" s="76" t="n">
        <v>9.18</v>
      </c>
    </row>
    <row r="6">
      <c r="A6" s="15" t="inlineStr">
        <is>
          <t>Quittances total</t>
        </is>
      </c>
      <c r="B6" s="76" t="n">
        <v>0.55</v>
      </c>
    </row>
    <row r="7">
      <c r="A7" s="15" t="inlineStr">
        <is>
          <t>Defaults of rent total</t>
        </is>
      </c>
      <c r="B7" s="76" t="n">
        <v>0.1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>
        <v>0.65</v>
      </c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>
        <v>0.1</v>
      </c>
    </row>
    <row r="15">
      <c r="A15" s="15" t="inlineStr">
        <is>
          <t>Issues of the Manor total</t>
        </is>
      </c>
      <c r="B15" s="76" t="n">
        <v>8.319999999999999</v>
      </c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4.48</v>
      </c>
    </row>
    <row r="19">
      <c r="A19" s="15" t="inlineStr">
        <is>
          <t>Entry and marriage fines total</t>
        </is>
      </c>
      <c r="B19" s="76" t="n">
        <v>3.509999999999999</v>
      </c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>
        <v>38.31</v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  <c r="B30" t="n">
        <v>2.003333333333333</v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>
        <v>1.46375</v>
      </c>
    </row>
    <row r="37">
      <c r="A37" s="15" t="inlineStr">
        <is>
          <t>Threshing total</t>
        </is>
      </c>
      <c r="B37" t="n">
        <v>0.6800000000000002</v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>
        <v>3.59</v>
      </c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17.26</v>
      </c>
    </row>
    <row r="45">
      <c r="A45" s="82" t="inlineStr">
        <is>
          <t>Total of all expenses (calculated here)</t>
        </is>
      </c>
      <c r="B45" s="84" t="n">
        <v>17.35875</v>
      </c>
    </row>
    <row r="46">
      <c r="A46" s="82" t="inlineStr">
        <is>
          <t>Total fixed investment</t>
        </is>
      </c>
      <c r="B46" s="84" t="n">
        <v>6.070416666666667</v>
      </c>
    </row>
    <row r="47">
      <c r="A47" s="82" t="inlineStr">
        <is>
          <t>Total Demesne fixed investment</t>
        </is>
      </c>
      <c r="B47" s="84" t="n">
        <v>1.715416666666667</v>
      </c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17.26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/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18.5</v>
      </c>
      <c r="E62" t="n">
        <v>2.625</v>
      </c>
      <c r="F62" s="13" t="n"/>
    </row>
    <row r="63">
      <c r="A63" s="76" t="inlineStr">
        <is>
          <t>Rye</t>
        </is>
      </c>
      <c r="B63" t="n">
        <v>3.5</v>
      </c>
      <c r="F63" s="13" t="n"/>
    </row>
    <row r="64">
      <c r="A64" s="76" t="inlineStr">
        <is>
          <t>Dredge</t>
        </is>
      </c>
      <c r="B64" t="n">
        <v>14.5</v>
      </c>
      <c r="F64" s="13" t="n"/>
    </row>
    <row r="65">
      <c r="A65" s="76" t="inlineStr">
        <is>
          <t>Curall</t>
        </is>
      </c>
      <c r="B65" t="n">
        <v>8.625</v>
      </c>
      <c r="E65" t="n">
        <v>0.9479166666666663</v>
      </c>
      <c r="F65" s="13" t="n"/>
    </row>
    <row r="66">
      <c r="A66" s="76" t="inlineStr">
        <is>
          <t>Barley</t>
        </is>
      </c>
      <c r="B66" t="n">
        <v>49.375</v>
      </c>
      <c r="E66" t="n">
        <v>0</v>
      </c>
      <c r="F66" s="13" t="n"/>
    </row>
    <row r="67">
      <c r="A67" s="76" t="inlineStr">
        <is>
          <t>Oats</t>
        </is>
      </c>
      <c r="B67" t="n">
        <v>24.625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F68" s="13" t="n"/>
    </row>
    <row r="69">
      <c r="A69" s="76" t="inlineStr">
        <is>
          <t>Peas</t>
        </is>
      </c>
      <c r="B69" t="n">
        <v>7.5</v>
      </c>
      <c r="E69" t="n">
        <v>0.52</v>
      </c>
      <c r="F69" s="13" t="n"/>
    </row>
    <row r="70">
      <c r="A70" s="76" t="inlineStr">
        <is>
          <t>Vetches</t>
        </is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5</v>
      </c>
      <c r="C87" s="76" t="n">
        <v>2</v>
      </c>
      <c r="D87" s="76" t="n">
        <v>-3</v>
      </c>
      <c r="F87" s="84" t="n">
        <v>0.75</v>
      </c>
      <c r="G87" s="84" t="n">
        <v>-1.125</v>
      </c>
    </row>
    <row r="88">
      <c r="A88" s="22" t="inlineStr">
        <is>
          <t>Mares</t>
        </is>
      </c>
      <c r="B88" s="76" t="n">
        <v>3</v>
      </c>
      <c r="C88" s="76" t="n">
        <v>2</v>
      </c>
      <c r="D88" s="76" t="n">
        <v>-1</v>
      </c>
      <c r="F88" s="84" t="n">
        <v>0.8</v>
      </c>
      <c r="G88" s="84" t="n">
        <v>-0.4</v>
      </c>
    </row>
    <row r="89">
      <c r="A89" s="15" t="inlineStr">
        <is>
          <t>Plough horses</t>
        </is>
      </c>
      <c r="B89" s="76" t="n">
        <v>1</v>
      </c>
      <c r="C89" s="76" t="n">
        <v>0</v>
      </c>
      <c r="D89" s="76" t="n">
        <v>-1</v>
      </c>
      <c r="F89" s="84">
        <f>'Stock'!K8*'Stock'!O8</f>
        <v/>
      </c>
      <c r="G89" s="84">
        <f>D89*'Stock'!O8</f>
        <v/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'Stock'!K10*'Stock'!O10</f>
        <v/>
      </c>
      <c r="G90" s="84">
        <f>D90*'Stock'!O10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'Stock'!K10*'Stock'!O10</f>
        <v/>
      </c>
      <c r="G91" s="84">
        <f>D91*'Stock'!O10</f>
        <v/>
      </c>
    </row>
    <row r="92">
      <c r="A92" s="15" t="inlineStr">
        <is>
          <t>Colts (1 year)</t>
        </is>
      </c>
      <c r="B92" s="76" t="n">
        <v>1</v>
      </c>
      <c r="C92" s="76" t="n">
        <v>1</v>
      </c>
      <c r="D92" s="76" t="n">
        <v>0</v>
      </c>
      <c r="F92" s="84">
        <f>'Stock'!K11*'Stock'!O11</f>
        <v/>
      </c>
      <c r="G92" s="84">
        <f>D92*'Stock'!O11</f>
        <v/>
      </c>
    </row>
    <row r="93">
      <c r="A93" s="15" t="inlineStr">
        <is>
          <t>Foals</t>
        </is>
      </c>
      <c r="B93" s="76" t="n">
        <v>1</v>
      </c>
      <c r="C93" s="76" t="n">
        <v>3</v>
      </c>
      <c r="D93" s="76" t="n">
        <v>2</v>
      </c>
      <c r="F93" s="84">
        <f>'Stock'!K12*'Stock'!O12</f>
        <v/>
      </c>
      <c r="G93" s="84">
        <f>D93*'Stock'!O12</f>
        <v/>
      </c>
    </row>
    <row r="94">
      <c r="A94" s="15" t="inlineStr">
        <is>
          <t>Oxen</t>
        </is>
      </c>
      <c r="B94" s="76" t="n">
        <v>22</v>
      </c>
      <c r="C94" s="76" t="n">
        <v>22</v>
      </c>
      <c r="D94" s="76" t="n">
        <v>0</v>
      </c>
      <c r="F94" s="84">
        <f>'Stock'!K13*'Stock'!O13</f>
        <v/>
      </c>
      <c r="G94" s="84">
        <f>D94*'Stock'!O13</f>
        <v/>
      </c>
    </row>
    <row r="95">
      <c r="A95" s="15" t="inlineStr">
        <is>
          <t>Bulls</t>
        </is>
      </c>
      <c r="B95" s="76" t="n">
        <v>1</v>
      </c>
      <c r="C95" s="76" t="n">
        <v>1</v>
      </c>
      <c r="D95" s="76" t="n">
        <v>0</v>
      </c>
      <c r="F95" s="84">
        <f>'Stock'!K14*'Stock'!O14</f>
        <v/>
      </c>
      <c r="G95" s="84">
        <f>D95*'Stock'!O14</f>
        <v/>
      </c>
    </row>
    <row r="96">
      <c r="A96" s="15" t="inlineStr">
        <is>
          <t>Cows</t>
        </is>
      </c>
      <c r="B96" s="76" t="n">
        <v>10</v>
      </c>
      <c r="C96" s="76" t="n">
        <v>18</v>
      </c>
      <c r="D96" s="76" t="n">
        <v>8</v>
      </c>
      <c r="F96" s="84">
        <f>'Stock'!K15*'Stock'!O15</f>
        <v/>
      </c>
      <c r="G96" s="84">
        <f>D96*'Stock'!O15</f>
        <v/>
      </c>
    </row>
    <row r="97">
      <c r="A97" s="15" t="inlineStr">
        <is>
          <t>Steers</t>
        </is>
      </c>
      <c r="B97" s="76" t="n">
        <v>1</v>
      </c>
      <c r="C97" s="76" t="n">
        <v>0</v>
      </c>
      <c r="D97" s="76" t="n">
        <v>-1</v>
      </c>
      <c r="F97" s="84">
        <f>'Stock'!K16*'Stock'!O16</f>
        <v/>
      </c>
      <c r="G97" s="84">
        <f>D97*'Stock'!O16</f>
        <v/>
      </c>
    </row>
    <row r="98">
      <c r="A98" s="15" t="inlineStr">
        <is>
          <t>Bullocks</t>
        </is>
      </c>
      <c r="B98" s="76" t="n">
        <v>5</v>
      </c>
      <c r="C98" s="76" t="n">
        <v>5</v>
      </c>
      <c r="D98" s="76" t="n">
        <v>0</v>
      </c>
      <c r="F98" s="84">
        <f>'Stock'!K17*'Stock'!O17</f>
        <v/>
      </c>
      <c r="G98" s="84">
        <f>D98*'Stock'!O17</f>
        <v/>
      </c>
    </row>
    <row r="99">
      <c r="A99" s="15" t="inlineStr">
        <is>
          <t>Yearlings</t>
        </is>
      </c>
      <c r="B99" s="76" t="n">
        <v>5</v>
      </c>
      <c r="C99" s="76" t="n">
        <v>3</v>
      </c>
      <c r="D99" s="76" t="n">
        <v>-2</v>
      </c>
      <c r="F99" s="84">
        <f>'Stock'!K18*'Stock'!O18</f>
        <v/>
      </c>
      <c r="G99" s="84">
        <f>D99*'Stock'!O18</f>
        <v/>
      </c>
    </row>
    <row r="100">
      <c r="A100" s="15" t="inlineStr">
        <is>
          <t>Calves</t>
        </is>
      </c>
      <c r="B100" s="76" t="n"/>
      <c r="C100" s="76" t="n">
        <v>7</v>
      </c>
      <c r="D100" s="76">
        <f>C100-B100</f>
        <v/>
      </c>
      <c r="F100" s="84" t="n">
        <v>0.35</v>
      </c>
      <c r="G100" s="84">
        <f>D100*'Stock'!O19</f>
        <v/>
      </c>
    </row>
    <row r="101">
      <c r="A101" s="15" t="inlineStr">
        <is>
          <t>Wethers</t>
        </is>
      </c>
      <c r="B101" s="76" t="n">
        <v>277</v>
      </c>
      <c r="C101" s="76" t="n">
        <v>240</v>
      </c>
      <c r="D101" s="76" t="n">
        <v>-37</v>
      </c>
      <c r="F101" s="84" t="n">
        <v>12</v>
      </c>
      <c r="G101" s="84" t="n">
        <v>-1.85</v>
      </c>
    </row>
    <row r="102">
      <c r="A102" s="15" t="inlineStr">
        <is>
          <t>Rams</t>
        </is>
      </c>
      <c r="B102" s="76" t="n"/>
      <c r="C102" s="76" t="n"/>
      <c r="D102" s="76">
        <f>C102-B102</f>
        <v/>
      </c>
      <c r="F102" s="84">
        <f>'Stock'!K21*'Stock'!O21</f>
        <v/>
      </c>
      <c r="G102" s="84">
        <f>D102*'Stock'!O21</f>
        <v/>
      </c>
    </row>
    <row r="103">
      <c r="A103" s="15" t="inlineStr">
        <is>
          <t>Ewes</t>
        </is>
      </c>
      <c r="B103" s="76" t="n"/>
      <c r="C103" s="76" t="n"/>
      <c r="D103" s="76">
        <f>C103-B103</f>
        <v/>
      </c>
      <c r="F103" s="84">
        <f>'Stock'!K22*'Stock'!O22</f>
        <v/>
      </c>
      <c r="G103" s="84">
        <f>D103*'Stock'!O22</f>
        <v/>
      </c>
    </row>
    <row r="104">
      <c r="A104" s="15" t="inlineStr">
        <is>
          <t>Hoggs</t>
        </is>
      </c>
      <c r="B104" s="76" t="n"/>
      <c r="C104" s="76" t="n"/>
      <c r="D104" s="76">
        <f>C104-B104</f>
        <v/>
      </c>
      <c r="F104" s="84">
        <f>'Stock'!K23*'Stock'!O23</f>
        <v/>
      </c>
      <c r="G104" s="84">
        <f>D104*'Stock'!O23</f>
        <v/>
      </c>
    </row>
    <row r="105">
      <c r="A105" s="15" t="inlineStr">
        <is>
          <t>Lambs</t>
        </is>
      </c>
      <c r="B105" s="76" t="n"/>
      <c r="C105" s="76" t="n"/>
      <c r="D105" s="76">
        <f>C105-B105</f>
        <v/>
      </c>
      <c r="F105" s="84">
        <f>'Stock'!K24*'Stock'!O24</f>
        <v/>
      </c>
      <c r="G105" s="84">
        <f>D105*'Stock'!O24</f>
        <v/>
      </c>
    </row>
    <row r="106">
      <c r="A106" s="15" t="inlineStr">
        <is>
          <t>Boars</t>
        </is>
      </c>
      <c r="B106" s="76" t="n"/>
      <c r="C106" s="76" t="n"/>
      <c r="D106" s="76">
        <f>C106-B106</f>
        <v/>
      </c>
      <c r="F106" s="84">
        <f>'Stock'!K25*'Stock'!O25</f>
        <v/>
      </c>
      <c r="G106" s="84">
        <f>D106*'Stock'!O25</f>
        <v/>
      </c>
    </row>
    <row r="107">
      <c r="A107" s="15" t="inlineStr">
        <is>
          <t>Sows</t>
        </is>
      </c>
      <c r="B107" s="76" t="n">
        <v>1</v>
      </c>
      <c r="C107" s="76" t="n">
        <v>1</v>
      </c>
      <c r="D107" s="76" t="n">
        <v>0</v>
      </c>
      <c r="F107" s="84">
        <f>'Stock'!K26*'Stock'!O26</f>
        <v/>
      </c>
      <c r="G107" s="84">
        <f>D107*'Stock'!O26</f>
        <v/>
      </c>
    </row>
    <row r="108">
      <c r="A108" s="15" t="inlineStr">
        <is>
          <t>Pigs</t>
        </is>
      </c>
      <c r="B108" s="76" t="n">
        <v>6</v>
      </c>
      <c r="C108" s="76" t="n">
        <v>2</v>
      </c>
      <c r="D108" s="76" t="n">
        <v>-4</v>
      </c>
      <c r="F108" s="84" t="n">
        <v>0.275</v>
      </c>
      <c r="G108" s="84" t="n">
        <v>-0.55</v>
      </c>
    </row>
    <row r="109">
      <c r="A109" s="15" t="inlineStr">
        <is>
          <t>Hoggets</t>
        </is>
      </c>
      <c r="B109" s="76" t="n">
        <v>1</v>
      </c>
      <c r="C109" s="76" t="n">
        <v>0</v>
      </c>
      <c r="D109" s="76" t="n">
        <v>-1</v>
      </c>
      <c r="F109" s="84">
        <f>'Stock'!K28*'Stock'!O28</f>
        <v/>
      </c>
      <c r="G109" s="84">
        <f>D109*'Stock'!O28</f>
        <v/>
      </c>
    </row>
    <row r="110">
      <c r="A110" s="15" t="inlineStr">
        <is>
          <t>Piglets</t>
        </is>
      </c>
      <c r="B110" s="76" t="n"/>
      <c r="C110" s="76" t="n">
        <v>8</v>
      </c>
      <c r="D110" s="76">
        <f>C110-B110</f>
        <v/>
      </c>
      <c r="F110" s="84">
        <f>'Stock'!K29*'Stock'!O29</f>
        <v/>
      </c>
      <c r="G110" s="84">
        <f>D110*'Stock'!O29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'Stock'!K30*'Stock'!O30</f>
        <v/>
      </c>
      <c r="G111" s="84">
        <f>D111*'Stock'!O30</f>
        <v/>
      </c>
    </row>
    <row r="112">
      <c r="A112" s="15" t="inlineStr">
        <is>
          <t>Peacocks</t>
        </is>
      </c>
      <c r="B112" s="76" t="n"/>
      <c r="C112" s="76" t="n"/>
      <c r="D112" s="76">
        <f>C112-B112</f>
        <v/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  <c r="B119" t="n">
        <v>257</v>
      </c>
      <c r="F119">
        <f>C119*'Stock'!O36</f>
        <v/>
      </c>
    </row>
    <row r="120">
      <c r="A120" s="15" t="inlineStr">
        <is>
          <t>Lamb's wool</t>
        </is>
      </c>
      <c r="F120">
        <f>C120*'Stock'!O37</f>
        <v/>
      </c>
    </row>
    <row r="121">
      <c r="A121" s="15" t="inlineStr">
        <is>
          <t>Wool locks</t>
        </is>
      </c>
      <c r="D121" t="n">
        <v>3</v>
      </c>
      <c r="F121">
        <f>C121*'Stock'!O38</f>
        <v/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>
        <f>C151*'Stock'!O71</f>
        <v/>
      </c>
      <c r="G151" s="96" t="n"/>
    </row>
    <row r="152">
      <c r="A152" s="15" t="inlineStr">
        <is>
          <t>Geese</t>
        </is>
      </c>
      <c r="B152" s="76" t="n">
        <v>0</v>
      </c>
      <c r="C152" s="76" t="n">
        <v>0</v>
      </c>
      <c r="D152" s="76" t="n">
        <v>0</v>
      </c>
      <c r="F152" s="76" t="n">
        <v>0</v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 t="n">
        <v>0</v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 t="n">
        <v>0</v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 t="n">
        <v>0</v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>
        <f>C167*'Stock'!O92</f>
        <v/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2"/>
  <sheetViews>
    <sheetView topLeftCell="A1" workbookViewId="0">
      <selection activeCell="A1" sqref="A1"/>
    </sheetView>
  </sheetViews>
  <sheetFormatPr baseColWidth="8" defaultRowHeight="15"/>
  <cols>
    <col width="80" customWidth="1" min="1" max="1"/>
    <col width="29.1640625" customWidth="1" min="2" max="2"/>
    <col width="8.83203125" customWidth="1" min="3" max="3"/>
    <col width="30.83203125" customWidth="1" min="5" max="5"/>
    <col width="29.33203125" customWidth="1" min="6" max="6"/>
  </cols>
  <sheetData>
    <row r="1">
      <c r="A1" s="8" t="inlineStr">
        <is>
          <t>BITTERNE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</row>
    <row r="5">
      <c r="A5" s="15" t="inlineStr">
        <is>
          <t>Rents of assize total</t>
        </is>
      </c>
    </row>
    <row r="6">
      <c r="A6" s="15" t="inlineStr">
        <is>
          <t>Quittances total</t>
        </is>
      </c>
    </row>
    <row r="7">
      <c r="A7" s="15" t="inlineStr">
        <is>
          <t>Defaults of rent total</t>
        </is>
      </c>
    </row>
    <row r="8">
      <c r="A8" s="9" t="inlineStr">
        <is>
          <t>Defaults of rent through the pestilence total</t>
        </is>
      </c>
    </row>
    <row r="9">
      <c r="A9" s="9" t="inlineStr">
        <is>
          <t>Cotlands defaults total</t>
        </is>
      </c>
    </row>
    <row r="10">
      <c r="A10" s="9" t="inlineStr">
        <is>
          <t>Cotlands total</t>
        </is>
      </c>
    </row>
    <row r="11">
      <c r="A11" s="9" t="inlineStr">
        <is>
          <t>Total of quittances and defaults of rent total</t>
        </is>
      </c>
    </row>
    <row r="12">
      <c r="A12" s="9" t="inlineStr">
        <is>
          <t>Total of rents remaining clear total</t>
        </is>
      </c>
    </row>
    <row r="13">
      <c r="A13" s="9" t="inlineStr">
        <is>
          <t>Farms total</t>
        </is>
      </c>
    </row>
    <row r="14">
      <c r="A14" s="15" t="inlineStr">
        <is>
          <t>Annual recognizances total</t>
        </is>
      </c>
    </row>
    <row r="15">
      <c r="A15" s="15" t="inlineStr">
        <is>
          <t>Issues of the Manor total</t>
        </is>
      </c>
    </row>
    <row r="16">
      <c r="A16" s="9" t="inlineStr">
        <is>
          <t>Issues of the tenements in the lord's hands total</t>
        </is>
      </c>
    </row>
    <row r="17">
      <c r="A17" s="9" t="inlineStr">
        <is>
          <t>Sale of labour services total</t>
        </is>
      </c>
    </row>
    <row r="18">
      <c r="A18" s="15" t="inlineStr">
        <is>
          <t>Sale of corn total</t>
        </is>
      </c>
    </row>
    <row r="19">
      <c r="A19" s="15" t="inlineStr">
        <is>
          <t>Entry and marriage fines total</t>
        </is>
      </c>
    </row>
    <row r="20">
      <c r="A20" s="15" t="inlineStr">
        <is>
          <t>Pleas &amp; perquisites total</t>
        </is>
      </c>
    </row>
    <row r="21">
      <c r="A21" s="9" t="inlineStr">
        <is>
          <t>Forfeited chattels total</t>
        </is>
      </c>
    </row>
    <row r="22">
      <c r="A22" s="9" t="inlineStr">
        <is>
          <t>Farm of the demesne land total</t>
        </is>
      </c>
    </row>
    <row r="23">
      <c r="A23" s="81" t="inlineStr">
        <is>
          <t>Total of all receipts (calculated here)</t>
        </is>
      </c>
      <c r="B23" s="72">
        <f>Receipts!F120</f>
        <v/>
      </c>
    </row>
    <row r="24">
      <c r="A24" s="82" t="inlineStr">
        <is>
          <t>Total of all receipts (calculated here) incl arrears</t>
        </is>
      </c>
      <c r="B24" s="72">
        <f>Receipts!F121</f>
        <v/>
      </c>
    </row>
    <row r="25">
      <c r="A25" s="83" t="inlineStr">
        <is>
          <t>Total recorded in the accounts excl. arrears</t>
        </is>
      </c>
      <c r="B25" s="72">
        <f>Receipts!F119</f>
        <v/>
      </c>
      <c r="C25" s="127">
        <f>B25-B23</f>
        <v/>
      </c>
    </row>
    <row r="26">
      <c r="A26" s="83" t="inlineStr">
        <is>
          <t>Total recorded in the accounts incl. arrears</t>
        </is>
      </c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</row>
    <row r="42">
      <c r="A42" s="15" t="inlineStr">
        <is>
          <t>Steward's expenses total</t>
        </is>
      </c>
    </row>
    <row r="43">
      <c r="A43" s="85" t="inlineStr">
        <is>
          <t>Annual fees</t>
        </is>
      </c>
    </row>
    <row r="44">
      <c r="A44" s="82" t="inlineStr">
        <is>
          <t>Total of all expenses per account</t>
        </is>
      </c>
      <c r="B44" s="72">
        <f>Expenses!F135</f>
        <v/>
      </c>
    </row>
    <row r="45">
      <c r="A45" s="82" t="inlineStr">
        <is>
          <t>Total of all expenses (calculated here)</t>
        </is>
      </c>
      <c r="B45" s="72">
        <f>Expenses!F136</f>
        <v/>
      </c>
    </row>
    <row r="46">
      <c r="A46" s="82" t="inlineStr">
        <is>
          <t>Total fixed investment</t>
        </is>
      </c>
      <c r="B46" s="72">
        <f>Expenses!F137</f>
        <v/>
      </c>
    </row>
    <row r="47">
      <c r="A47" s="82" t="inlineStr">
        <is>
          <t>Total Demesne fixed investment</t>
        </is>
      </c>
      <c r="B47" s="72">
        <f>Expenses!F138</f>
        <v/>
      </c>
    </row>
    <row r="48">
      <c r="A48" s="12" t="n"/>
    </row>
    <row r="49">
      <c r="A49" s="18" t="inlineStr">
        <is>
          <t>Owed by the reeve</t>
        </is>
      </c>
    </row>
    <row r="50">
      <c r="A50" s="18" t="inlineStr">
        <is>
          <t>From accounts</t>
        </is>
      </c>
    </row>
    <row r="51">
      <c r="A51" s="15" t="n"/>
    </row>
    <row r="52">
      <c r="A52" s="18" t="inlineStr">
        <is>
          <t>Allowances</t>
        </is>
      </c>
    </row>
    <row r="53">
      <c r="A53" s="18" t="inlineStr">
        <is>
          <t>Cash deliveries</t>
        </is>
      </c>
    </row>
    <row r="54">
      <c r="A54" s="19" t="inlineStr">
        <is>
          <t>Sum of the above</t>
        </is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54" t="n"/>
      <c r="E60" s="54" t="n"/>
      <c r="F60" s="55" t="n"/>
    </row>
    <row r="61">
      <c r="A61" s="8" t="inlineStr">
        <is>
          <t>Grange</t>
        </is>
      </c>
      <c r="B61" s="89" t="inlineStr">
        <is>
          <t>qrs</t>
        </is>
      </c>
      <c r="C61" s="90" t="n"/>
      <c r="D61" s="9" t="n"/>
      <c r="E61" s="128" t="inlineStr">
        <is>
          <t>Value of total gross production in £</t>
        </is>
      </c>
      <c r="F61" s="128" t="inlineStr">
        <is>
          <t>Value of total net production in £</t>
        </is>
      </c>
    </row>
    <row r="62" ht="15" customHeight="1">
      <c r="A62" t="inlineStr">
        <is>
          <t>wheat</t>
        </is>
      </c>
      <c r="B62">
        <f>'Issues of the Grange'!B2</f>
        <v/>
      </c>
      <c r="E62" s="72">
        <f>'Issues of the Grange'!I2</f>
        <v/>
      </c>
      <c r="F62" s="72">
        <f>'Issues of the Grange'!O18</f>
        <v/>
      </c>
    </row>
    <row r="63" ht="15" customHeight="1">
      <c r="A63" t="inlineStr">
        <is>
          <t>curall</t>
        </is>
      </c>
      <c r="B63">
        <f>'Issues of the Grange'!B3</f>
        <v/>
      </c>
      <c r="E63" s="72">
        <f>'Issues of the Grange'!I3</f>
        <v/>
      </c>
      <c r="F63" s="72">
        <f>'Issues of the Grange'!O19</f>
        <v/>
      </c>
    </row>
    <row r="64" ht="15" customHeight="1">
      <c r="A64" t="inlineStr">
        <is>
          <t>rye</t>
        </is>
      </c>
      <c r="B64">
        <f>'Issues of the Grange'!B4</f>
        <v/>
      </c>
      <c r="E64" s="72">
        <f>'Issues of the Grange'!I4</f>
        <v/>
      </c>
      <c r="F64" s="72">
        <f>'Issues of the Grange'!O20</f>
        <v/>
      </c>
    </row>
    <row r="65" ht="15" customHeight="1">
      <c r="A65" t="inlineStr">
        <is>
          <t>barley</t>
        </is>
      </c>
      <c r="B65">
        <f>'Issues of the Grange'!B5</f>
        <v/>
      </c>
      <c r="E65" s="72">
        <f>'Issues of the Grange'!I5</f>
        <v/>
      </c>
      <c r="F65" s="72">
        <f>'Issues of the Grange'!O21</f>
        <v/>
      </c>
    </row>
    <row r="66" ht="15" customHeight="1">
      <c r="A66" t="inlineStr">
        <is>
          <t>dredge</t>
        </is>
      </c>
      <c r="B66">
        <f>'Issues of the Grange'!B6</f>
        <v/>
      </c>
      <c r="E66" s="72">
        <f>'Issues of the Grange'!I6</f>
        <v/>
      </c>
      <c r="F66" s="72">
        <f>'Issues of the Grange'!O22</f>
        <v/>
      </c>
    </row>
    <row r="67" ht="15" customHeight="1">
      <c r="A67" t="inlineStr">
        <is>
          <t>oats</t>
        </is>
      </c>
      <c r="B67">
        <f>'Issues of the Grange'!B7</f>
        <v/>
      </c>
      <c r="E67" s="72">
        <f>'Issues of the Grange'!I7</f>
        <v/>
      </c>
      <c r="F67" s="72">
        <f>'Issues of the Grange'!O23</f>
        <v/>
      </c>
    </row>
    <row r="68" ht="15" customHeight="1">
      <c r="A68" t="inlineStr">
        <is>
          <t>beans</t>
        </is>
      </c>
      <c r="B68">
        <f>'Issues of the Grange'!B8</f>
        <v/>
      </c>
      <c r="E68" s="72">
        <f>'Issues of the Grange'!I8</f>
        <v/>
      </c>
      <c r="F68" s="72">
        <f>'Issues of the Grange'!O24</f>
        <v/>
      </c>
    </row>
    <row r="69" ht="15" customHeight="1">
      <c r="A69" t="inlineStr">
        <is>
          <t>peas</t>
        </is>
      </c>
      <c r="B69">
        <f>'Issues of the Grange'!B9</f>
        <v/>
      </c>
      <c r="E69" s="72">
        <f>'Issues of the Grange'!I9</f>
        <v/>
      </c>
      <c r="F69" s="72">
        <f>'Issues of the Grange'!O25</f>
        <v/>
      </c>
    </row>
    <row r="70" ht="15" customHeight="1">
      <c r="A70" t="inlineStr">
        <is>
          <t>vetches</t>
        </is>
      </c>
      <c r="B70">
        <f>'Issues of the Grange'!B10</f>
        <v/>
      </c>
      <c r="E70" s="72">
        <f>'Issues of the Grange'!I10</f>
        <v/>
      </c>
      <c r="F70" s="72">
        <f>'Issues of the Grange'!O26</f>
        <v/>
      </c>
    </row>
    <row r="71">
      <c r="A71" s="17" t="inlineStr">
        <is>
          <t>Total value of gross production (sum of the above)</t>
        </is>
      </c>
      <c r="B71" s="70" t="n"/>
      <c r="C71" s="129" t="n"/>
      <c r="D71" s="70" t="n"/>
      <c r="E71" s="130">
        <f>SUM(E62:E70)</f>
        <v/>
      </c>
      <c r="F71" s="70" t="n"/>
    </row>
    <row r="72">
      <c r="A72" s="17" t="inlineStr">
        <is>
          <t>Total value of net production</t>
        </is>
      </c>
      <c r="B72" s="70" t="n"/>
      <c r="C72" s="129" t="n"/>
      <c r="D72" s="70" t="n"/>
      <c r="E72" s="130">
        <f>SUM(F62:F70)</f>
        <v/>
      </c>
      <c r="F72" s="70" t="n"/>
    </row>
    <row r="73">
      <c r="A73" s="17" t="inlineStr">
        <is>
          <t>Value of sales</t>
        </is>
      </c>
      <c r="B73" s="70" t="n"/>
      <c r="C73" s="129" t="n"/>
      <c r="D73" s="70" t="n"/>
      <c r="E73" s="130">
        <f>Receipts!F87+Receipts!F95</f>
        <v/>
      </c>
      <c r="F73" s="70" t="n"/>
    </row>
    <row r="74">
      <c r="A74" s="15" t="n"/>
    </row>
    <row r="75">
      <c r="A75" s="16" t="inlineStr">
        <is>
          <t>MILL ACCOUNT</t>
        </is>
      </c>
    </row>
    <row r="76">
      <c r="A76" s="8" t="inlineStr">
        <is>
          <t>Issues of the mill</t>
        </is>
      </c>
    </row>
    <row r="77">
      <c r="A77" s="15" t="inlineStr">
        <is>
          <t>Wheat</t>
        </is>
      </c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</row>
    <row r="83">
      <c r="A83" s="17" t="inlineStr">
        <is>
          <t>Value of sales</t>
        </is>
      </c>
    </row>
    <row r="84">
      <c r="A84" s="15" t="n"/>
    </row>
    <row r="85">
      <c r="A85" s="92" t="inlineStr">
        <is>
          <t>STOCK ACCOUNT</t>
        </is>
      </c>
      <c r="B85" s="70" t="n"/>
    </row>
    <row r="86">
      <c r="A86" s="21" t="inlineStr">
        <is>
          <t>Livestock</t>
        </is>
      </c>
      <c r="B86" s="131" t="inlineStr">
        <is>
          <t>Sales value in £</t>
        </is>
      </c>
    </row>
    <row r="87" ht="17" customHeight="1">
      <c r="A87" s="22" t="inlineStr">
        <is>
          <t>Cart-horses</t>
        </is>
      </c>
      <c r="B87" s="72">
        <f>Stock!R6</f>
        <v/>
      </c>
    </row>
    <row r="88" ht="17" customHeight="1">
      <c r="A88" s="22" t="inlineStr">
        <is>
          <t>Mares</t>
        </is>
      </c>
      <c r="B88" s="72">
        <f>Stock!R7</f>
        <v/>
      </c>
    </row>
    <row r="89">
      <c r="A89" s="15" t="inlineStr">
        <is>
          <t>Plough horses</t>
        </is>
      </c>
      <c r="B89" s="72">
        <f>Stock!R8</f>
        <v/>
      </c>
    </row>
    <row r="90">
      <c r="A90" s="15" t="inlineStr">
        <is>
          <t>Colts (2 years)</t>
        </is>
      </c>
      <c r="B90" s="72">
        <f>Stock!R9</f>
        <v/>
      </c>
    </row>
    <row r="91">
      <c r="A91" s="15" t="inlineStr">
        <is>
          <t>Colts (2 years)</t>
        </is>
      </c>
      <c r="B91" s="72">
        <f>Stock!R10</f>
        <v/>
      </c>
    </row>
    <row r="92">
      <c r="A92" s="15" t="inlineStr">
        <is>
          <t>Colts (1 year)</t>
        </is>
      </c>
      <c r="B92" s="72">
        <f>Stock!R11</f>
        <v/>
      </c>
    </row>
    <row r="93">
      <c r="A93" s="15" t="inlineStr">
        <is>
          <t>Foals</t>
        </is>
      </c>
      <c r="B93" s="72">
        <f>Stock!R12</f>
        <v/>
      </c>
    </row>
    <row r="94">
      <c r="A94" s="15" t="inlineStr">
        <is>
          <t>Oxen</t>
        </is>
      </c>
      <c r="B94" s="72">
        <f>Stock!R13</f>
        <v/>
      </c>
    </row>
    <row r="95">
      <c r="A95" s="15" t="inlineStr">
        <is>
          <t>Bulls</t>
        </is>
      </c>
      <c r="B95" s="72">
        <f>Stock!R14</f>
        <v/>
      </c>
    </row>
    <row r="96">
      <c r="A96" s="15" t="inlineStr">
        <is>
          <t>Cows</t>
        </is>
      </c>
      <c r="B96" s="72">
        <f>Stock!R15</f>
        <v/>
      </c>
    </row>
    <row r="97">
      <c r="A97" s="15" t="inlineStr">
        <is>
          <t>Steers</t>
        </is>
      </c>
      <c r="B97" s="72">
        <f>Stock!R16</f>
        <v/>
      </c>
    </row>
    <row r="98">
      <c r="A98" s="15" t="inlineStr">
        <is>
          <t>Bullocks</t>
        </is>
      </c>
      <c r="B98" s="72">
        <f>Stock!R17</f>
        <v/>
      </c>
    </row>
    <row r="99">
      <c r="A99" s="15" t="inlineStr">
        <is>
          <t>Yearlings</t>
        </is>
      </c>
      <c r="B99" s="72">
        <f>Stock!R18</f>
        <v/>
      </c>
    </row>
    <row r="100">
      <c r="A100" s="15" t="inlineStr">
        <is>
          <t>Calves</t>
        </is>
      </c>
      <c r="B100" s="72">
        <f>Stock!R19</f>
        <v/>
      </c>
    </row>
    <row r="101">
      <c r="A101" s="15" t="inlineStr">
        <is>
          <t>Wethers</t>
        </is>
      </c>
      <c r="B101" s="72">
        <f>Stock!R20</f>
        <v/>
      </c>
    </row>
    <row r="102">
      <c r="A102" s="15" t="inlineStr">
        <is>
          <t>Rams</t>
        </is>
      </c>
      <c r="B102" s="72">
        <f>Stock!R21</f>
        <v/>
      </c>
    </row>
    <row r="103">
      <c r="A103" s="15" t="inlineStr">
        <is>
          <t>Ewes</t>
        </is>
      </c>
      <c r="B103" s="72">
        <f>Stock!R22</f>
        <v/>
      </c>
    </row>
    <row r="104">
      <c r="A104" s="15" t="inlineStr">
        <is>
          <t>Hoggs</t>
        </is>
      </c>
      <c r="B104" s="72">
        <f>Stock!R23</f>
        <v/>
      </c>
    </row>
    <row r="105">
      <c r="A105" s="15" t="inlineStr">
        <is>
          <t>Lambs</t>
        </is>
      </c>
      <c r="B105" s="72">
        <f>Stock!R24</f>
        <v/>
      </c>
    </row>
    <row r="106">
      <c r="A106" s="15" t="inlineStr">
        <is>
          <t>Boars</t>
        </is>
      </c>
      <c r="B106" s="72">
        <f>Stock!R25</f>
        <v/>
      </c>
    </row>
    <row r="107">
      <c r="A107" s="15" t="inlineStr">
        <is>
          <t>Sows</t>
        </is>
      </c>
      <c r="B107" s="72">
        <f>Stock!R26</f>
        <v/>
      </c>
    </row>
    <row r="108">
      <c r="A108" s="15" t="inlineStr">
        <is>
          <t>Pigs</t>
        </is>
      </c>
      <c r="B108" s="72">
        <f>Stock!R27</f>
        <v/>
      </c>
    </row>
    <row r="109">
      <c r="A109" s="15" t="inlineStr">
        <is>
          <t>Hoggets</t>
        </is>
      </c>
      <c r="B109" s="72">
        <f>Stock!R28</f>
        <v/>
      </c>
    </row>
    <row r="110">
      <c r="A110" s="15" t="inlineStr">
        <is>
          <t>Piglets</t>
        </is>
      </c>
      <c r="B110" s="72">
        <f>Stock!R29</f>
        <v/>
      </c>
    </row>
    <row r="111">
      <c r="A111" s="15" t="inlineStr">
        <is>
          <t>Swans</t>
        </is>
      </c>
      <c r="B111" s="72">
        <f>Stock!R30</f>
        <v/>
      </c>
    </row>
    <row r="112">
      <c r="A112" s="15" t="inlineStr">
        <is>
          <t>Peacocks</t>
        </is>
      </c>
      <c r="B112" s="72">
        <f>Stock!R31</f>
        <v/>
      </c>
    </row>
    <row r="113">
      <c r="A113" s="17" t="inlineStr">
        <is>
          <t>Total value of stock (sum of the above)</t>
        </is>
      </c>
      <c r="B113" s="70" t="n"/>
    </row>
    <row r="114">
      <c r="A114" s="17" t="inlineStr">
        <is>
          <t>Total value of production</t>
        </is>
      </c>
      <c r="B114" s="70" t="n"/>
    </row>
    <row r="115">
      <c r="A115" s="17" t="inlineStr">
        <is>
          <t>Value of sales</t>
        </is>
      </c>
      <c r="B115" s="130">
        <f>Stock!R32</f>
        <v/>
      </c>
    </row>
    <row r="116">
      <c r="A116" s="15" t="n"/>
    </row>
    <row r="117">
      <c r="A117" s="16" t="inlineStr">
        <is>
          <t>Wool</t>
        </is>
      </c>
      <c r="B117" s="131" t="inlineStr">
        <is>
          <t>Value of production at sales prices £</t>
        </is>
      </c>
    </row>
    <row r="118" ht="15" customHeight="1">
      <c r="A118" t="inlineStr">
        <is>
          <t>Coarse wool</t>
        </is>
      </c>
      <c r="B118">
        <f>Stock!T36</f>
        <v/>
      </c>
    </row>
    <row r="119" ht="15" customHeight="1">
      <c r="A119" t="inlineStr">
        <is>
          <t>Lamb's wool</t>
        </is>
      </c>
      <c r="B119">
        <f>Stock!T37</f>
        <v/>
      </c>
    </row>
    <row r="120" ht="15" customHeight="1">
      <c r="A120" t="inlineStr">
        <is>
          <t>Wool locks</t>
        </is>
      </c>
      <c r="B120">
        <f>Stock!T38</f>
        <v/>
      </c>
    </row>
    <row r="121" ht="15" customHeight="1">
      <c r="A121" t="inlineStr">
        <is>
          <t>Wool sold at shearing</t>
        </is>
      </c>
      <c r="B121">
        <f>Stock!T39</f>
        <v/>
      </c>
    </row>
    <row r="122">
      <c r="A122" s="119" t="inlineStr">
        <is>
          <t>Total value of production (sum of the above)</t>
        </is>
      </c>
      <c r="B122" s="70">
        <f>SUM(B118:B121)</f>
        <v/>
      </c>
    </row>
    <row r="123">
      <c r="A123" s="119" t="inlineStr">
        <is>
          <t>Value of sales</t>
        </is>
      </c>
      <c r="B123" s="130">
        <f>Stock!R38</f>
        <v/>
      </c>
    </row>
    <row r="124">
      <c r="A124" s="8" t="n"/>
    </row>
    <row r="125">
      <c r="A125" s="16" t="inlineStr">
        <is>
          <t>Hides</t>
        </is>
      </c>
      <c r="B125" s="131" t="inlineStr">
        <is>
          <t>Value of production at sales prices £</t>
        </is>
      </c>
    </row>
    <row r="126">
      <c r="A126" s="15" t="inlineStr">
        <is>
          <t>Ox hides</t>
        </is>
      </c>
      <c r="B126">
        <f>Stock!T44</f>
        <v/>
      </c>
    </row>
    <row r="127">
      <c r="A127" s="15" t="inlineStr">
        <is>
          <t>Cow hides</t>
        </is>
      </c>
      <c r="B127">
        <f>Stock!T45</f>
        <v/>
      </c>
    </row>
    <row r="128">
      <c r="A128" s="15" t="inlineStr">
        <is>
          <t>Mare hides</t>
        </is>
      </c>
      <c r="B128">
        <f>Stock!T46</f>
        <v/>
      </c>
    </row>
    <row r="129">
      <c r="A129" s="15" t="inlineStr">
        <is>
          <t>Steer hides</t>
        </is>
      </c>
      <c r="B129">
        <f>Stock!T47</f>
        <v/>
      </c>
    </row>
    <row r="130">
      <c r="A130" s="15" t="inlineStr">
        <is>
          <t>Yearling Calf hides</t>
        </is>
      </c>
      <c r="B130">
        <f>Stock!T48</f>
        <v/>
      </c>
    </row>
    <row r="131">
      <c r="A131" s="15" t="inlineStr">
        <is>
          <t>Calf hides</t>
        </is>
      </c>
      <c r="B131">
        <f>Stock!T49</f>
        <v/>
      </c>
    </row>
    <row r="132">
      <c r="A132" s="23" t="inlineStr">
        <is>
          <t>Pig hides</t>
        </is>
      </c>
      <c r="B132">
        <f>Stock!T50</f>
        <v/>
      </c>
    </row>
    <row r="133">
      <c r="A133" s="24" t="inlineStr">
        <is>
          <t>Wether woolskins</t>
        </is>
      </c>
      <c r="B133">
        <f>Stock!T51</f>
        <v/>
      </c>
    </row>
    <row r="134">
      <c r="A134" s="24" t="inlineStr">
        <is>
          <t>Ram woolskins</t>
        </is>
      </c>
      <c r="B134">
        <f>Stock!T52</f>
        <v/>
      </c>
    </row>
    <row r="135">
      <c r="A135" s="24" t="inlineStr">
        <is>
          <t>Ewe woolskins</t>
        </is>
      </c>
      <c r="B135">
        <f>Stock!T53</f>
        <v/>
      </c>
    </row>
    <row r="136">
      <c r="A136" s="24" t="inlineStr">
        <is>
          <t>Hogg woolskins</t>
        </is>
      </c>
      <c r="B136">
        <f>Stock!T54</f>
        <v/>
      </c>
    </row>
    <row r="137">
      <c r="A137" s="25" t="inlineStr">
        <is>
          <t>Woolskins (total)</t>
        </is>
      </c>
      <c r="B137">
        <f>Stock!T55</f>
        <v/>
      </c>
    </row>
    <row r="138">
      <c r="A138" s="24" t="inlineStr">
        <is>
          <t>Wether bareskins</t>
        </is>
      </c>
      <c r="B138">
        <f>Stock!T56</f>
        <v/>
      </c>
    </row>
    <row r="139">
      <c r="A139" s="24" t="inlineStr">
        <is>
          <t>Ram bareskins</t>
        </is>
      </c>
      <c r="B139">
        <f>Stock!T57</f>
        <v/>
      </c>
    </row>
    <row r="140">
      <c r="A140" s="24" t="inlineStr">
        <is>
          <t>Ewe bareskins</t>
        </is>
      </c>
      <c r="B140">
        <f>Stock!T58</f>
        <v/>
      </c>
    </row>
    <row r="141">
      <c r="A141" s="24" t="inlineStr">
        <is>
          <t>Hogg bareskins</t>
        </is>
      </c>
      <c r="B141">
        <f>Stock!T59</f>
        <v/>
      </c>
    </row>
    <row r="142">
      <c r="A142" s="25" t="inlineStr">
        <is>
          <t>Bareskins (total)</t>
        </is>
      </c>
      <c r="B142">
        <f>Stock!T60</f>
        <v/>
      </c>
    </row>
    <row r="143">
      <c r="A143" s="15" t="inlineStr">
        <is>
          <t>Lambskins</t>
        </is>
      </c>
      <c r="B143">
        <f>Stock!T61</f>
        <v/>
      </c>
    </row>
    <row r="144">
      <c r="A144" s="15" t="inlineStr">
        <is>
          <t>Rotted skins</t>
        </is>
      </c>
      <c r="B144">
        <f>Stock!T62</f>
        <v/>
      </c>
    </row>
    <row r="145">
      <c r="A145" s="15" t="inlineStr">
        <is>
          <t>Shorn skins</t>
        </is>
      </c>
      <c r="B145">
        <f>Stock!T63</f>
        <v/>
      </c>
    </row>
    <row r="146">
      <c r="A146" s="17" t="inlineStr">
        <is>
          <t>Total value of production (sum of the above)</t>
        </is>
      </c>
      <c r="B146" s="70">
        <f>Stock!T67</f>
        <v/>
      </c>
    </row>
    <row r="147">
      <c r="A147" s="17" t="inlineStr">
        <is>
          <t>Value of sales</t>
        </is>
      </c>
      <c r="B147" s="70">
        <f>Stock!R67</f>
        <v/>
      </c>
    </row>
    <row r="148">
      <c r="A148" s="15" t="n"/>
    </row>
    <row r="149">
      <c r="A149" s="16" t="inlineStr">
        <is>
          <t>Poultry stock</t>
        </is>
      </c>
      <c r="B149" s="131" t="inlineStr">
        <is>
          <t>Value of production at sales prices £</t>
        </is>
      </c>
    </row>
    <row r="150" ht="17" customHeight="1">
      <c r="A150" s="22" t="inlineStr">
        <is>
          <t>Hens</t>
        </is>
      </c>
      <c r="B150">
        <f>Stock!T72</f>
        <v/>
      </c>
    </row>
    <row r="151">
      <c r="A151" s="15" t="inlineStr">
        <is>
          <t>Geese</t>
        </is>
      </c>
      <c r="B151">
        <f>Stock!T73</f>
        <v/>
      </c>
    </row>
    <row r="152">
      <c r="A152" s="15" t="inlineStr">
        <is>
          <t>Capons (from chickens)</t>
        </is>
      </c>
      <c r="B152">
        <f>Stock!T74</f>
        <v/>
      </c>
    </row>
    <row r="153">
      <c r="A153" s="15" t="inlineStr">
        <is>
          <t>Cocks &amp; hens</t>
        </is>
      </c>
      <c r="B153">
        <f>Stock!T75</f>
        <v/>
      </c>
    </row>
    <row r="154">
      <c r="A154" s="119" t="inlineStr">
        <is>
          <t>Total value of production (sum of the above)</t>
        </is>
      </c>
      <c r="B154">
        <f>Stock!T76</f>
        <v/>
      </c>
    </row>
    <row r="155">
      <c r="A155" s="119" t="inlineStr">
        <is>
          <t>Value of sales</t>
        </is>
      </c>
      <c r="B155">
        <f>Stock!T77</f>
        <v/>
      </c>
    </row>
    <row r="156">
      <c r="A156" s="15" t="n"/>
    </row>
    <row r="157">
      <c r="A157" s="16" t="inlineStr">
        <is>
          <t>Poultry production</t>
        </is>
      </c>
      <c r="B157" s="131" t="inlineStr">
        <is>
          <t>Value of production at sales prices £</t>
        </is>
      </c>
    </row>
    <row r="158">
      <c r="A158" s="15" t="inlineStr">
        <is>
          <t>Eggs</t>
        </is>
      </c>
      <c r="B158">
        <f>Stock!T79</f>
        <v/>
      </c>
    </row>
    <row r="159">
      <c r="A159" s="15" t="inlineStr">
        <is>
          <t>Cocks &amp; hens from churchscot of customary tenants</t>
        </is>
      </c>
      <c r="B159">
        <f>Stock!T80</f>
        <v/>
      </c>
    </row>
    <row r="160">
      <c r="A160" s="15" t="inlineStr">
        <is>
          <t>Sum of above</t>
        </is>
      </c>
    </row>
    <row r="161">
      <c r="A161" s="17" t="inlineStr">
        <is>
          <t>Total value of stock</t>
        </is>
      </c>
      <c r="B161" s="70">
        <f>Stock!T82</f>
        <v/>
      </c>
    </row>
    <row r="162">
      <c r="A162" s="17" t="inlineStr">
        <is>
          <t>Value of sales</t>
        </is>
      </c>
      <c r="B162" s="70">
        <f>Stock!R82</f>
        <v/>
      </c>
    </row>
    <row r="163">
      <c r="A163" s="15" t="n"/>
    </row>
    <row r="164">
      <c r="A164" s="16" t="inlineStr">
        <is>
          <t>Dairy Production</t>
        </is>
      </c>
      <c r="B164" s="131" t="inlineStr">
        <is>
          <t>Value of production at sales prices £</t>
        </is>
      </c>
    </row>
    <row r="165">
      <c r="A165" s="15" t="inlineStr">
        <is>
          <t>Butter</t>
        </is>
      </c>
      <c r="B165">
        <f>Stock!T97</f>
        <v/>
      </c>
    </row>
    <row r="166">
      <c r="A166" s="15" t="inlineStr">
        <is>
          <t>Winter Cheese</t>
        </is>
      </c>
      <c r="B166" s="72">
        <f>Stock!T92</f>
        <v/>
      </c>
    </row>
    <row r="167">
      <c r="A167" s="15" t="inlineStr">
        <is>
          <t>Summer Cheese</t>
        </is>
      </c>
      <c r="B167" s="72">
        <f>Stock!T93</f>
        <v/>
      </c>
    </row>
    <row r="168">
      <c r="A168" s="17" t="inlineStr">
        <is>
          <t>Total value of production (sum of the above)</t>
        </is>
      </c>
      <c r="B168" s="130">
        <f>SUM(B165:B167)</f>
        <v/>
      </c>
    </row>
    <row r="169">
      <c r="A169" s="17" t="inlineStr">
        <is>
          <t>Value of sales</t>
        </is>
      </c>
      <c r="B169" s="130">
        <f>Stock!R98+Stock!R94</f>
        <v/>
      </c>
    </row>
    <row r="170">
      <c r="A170" s="15" t="n"/>
    </row>
    <row r="171">
      <c r="A171" s="15" t="n"/>
    </row>
    <row r="172" ht="17" customHeight="1"/>
    <row r="173" ht="17" customHeight="1">
      <c r="A173" s="103" t="n"/>
      <c r="B173" s="132" t="n"/>
    </row>
    <row r="174">
      <c r="A174" s="97" t="inlineStr">
        <is>
          <t>Total Production Value of all Output (Grange, Dairy, Livestock Sales, Wools, Skins - NO Mill)</t>
        </is>
      </c>
      <c r="B174" s="133">
        <f>B168+B161+B154+B146+B122+B115+E72</f>
        <v/>
      </c>
    </row>
    <row r="175">
      <c r="A175" s="98" t="inlineStr">
        <is>
          <t>Total Sales Value of all Output as defined above</t>
        </is>
      </c>
      <c r="B175" s="133">
        <f>B169+B162+B147+B123+B115+E73</f>
        <v/>
      </c>
    </row>
    <row r="176">
      <c r="A176" s="98" t="inlineStr">
        <is>
          <t>Total Sales of Corn + Issues of the Manor as recorded in account</t>
        </is>
      </c>
      <c r="B176" s="133">
        <f>Receipts!F74+Receipts!F87+Receipts!F95</f>
        <v/>
      </c>
    </row>
    <row r="177">
      <c r="A177" s="98" t="inlineStr">
        <is>
          <t>Production Value + Cash Receipts (excl. Arrears, Issues, Corn and Mill)</t>
        </is>
      </c>
      <c r="B177" s="133">
        <f>B174+Receipts!F28+Receipts!F35+Receipts!F78+Receipts!F111+Receipts!F117</f>
        <v/>
      </c>
    </row>
    <row r="178">
      <c r="A178" s="99" t="n"/>
      <c r="B178" s="134" t="n"/>
    </row>
    <row r="179">
      <c r="A179" s="100" t="inlineStr">
        <is>
          <t>% of capital expenses in terms of total production</t>
        </is>
      </c>
      <c r="B179" s="135">
        <f>B47/B174</f>
        <v/>
      </c>
    </row>
    <row r="180">
      <c r="A180" s="98" t="inlineStr">
        <is>
          <t>% of capital expenses in terms of total production + cash receipts</t>
        </is>
      </c>
      <c r="B180" s="135">
        <f>B47/B177</f>
        <v/>
      </c>
    </row>
    <row r="181">
      <c r="A181" s="99" t="n"/>
      <c r="B181" s="134" t="n"/>
    </row>
    <row r="182" ht="17" customHeight="1">
      <c r="A182" s="101" t="inlineStr">
        <is>
          <t>% of capital expenses as calculated previously</t>
        </is>
      </c>
      <c r="B182" s="136" t="n"/>
    </row>
  </sheetData>
  <mergeCells count="1">
    <mergeCell ref="B60:C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topLeftCell="A1" workbookViewId="0">
      <selection activeCell="A1" sqref="A1"/>
    </sheetView>
  </sheetViews>
  <sheetFormatPr baseColWidth="8" defaultRowHeight="15"/>
  <cols>
    <col width="32.83203125" customWidth="1" min="1" max="1"/>
    <col width="6.83203125" customWidth="1" min="2" max="2"/>
    <col width="8.83203125" customWidth="1" min="6" max="6"/>
    <col width="8.83203125" customWidth="1" min="7" max="7"/>
  </cols>
  <sheetData>
    <row r="1" ht="16" customHeight="1">
      <c r="A1" s="2" t="inlineStr">
        <is>
          <t>BITTERNE RECEIPTS</t>
        </is>
      </c>
    </row>
    <row r="2">
      <c r="A2" s="37" t="inlineStr">
        <is>
          <t>Heading</t>
        </is>
      </c>
      <c r="B2" s="37" t="inlineStr">
        <is>
          <t>Pounds</t>
        </is>
      </c>
      <c r="C2" s="37" t="inlineStr">
        <is>
          <t>Shillings</t>
        </is>
      </c>
      <c r="D2" s="37" t="inlineStr">
        <is>
          <t>Pence</t>
        </is>
      </c>
      <c r="E2" s="37" t="n"/>
      <c r="F2" s="137" t="inlineStr">
        <is>
          <t>Total in Pounds</t>
        </is>
      </c>
      <c r="G2" s="138" t="inlineStr">
        <is>
          <t>Error</t>
        </is>
      </c>
      <c r="H2" s="37" t="inlineStr">
        <is>
          <t>Sentence</t>
        </is>
      </c>
    </row>
    <row r="3">
      <c r="A3" t="inlineStr">
        <is>
          <t>Arrears</t>
        </is>
      </c>
      <c r="B3" t="n">
        <v>7</v>
      </c>
      <c r="C3" t="n">
        <v>14</v>
      </c>
      <c r="D3" t="n">
        <v>4.5</v>
      </c>
      <c r="F3" s="72" t="n">
        <v>7.72</v>
      </c>
      <c r="H3" t="inlineStr">
        <is>
          <t>William de Worsted', sergeant, and Walter le Parker, reeve, render account for £7 14 shilling 4.5pence of arrears from the previous year.</t>
        </is>
      </c>
    </row>
    <row r="4">
      <c r="A4" t="inlineStr">
        <is>
          <t>Arrears</t>
        </is>
      </c>
      <c r="B4" t="n">
        <v>0</v>
      </c>
      <c r="C4" t="n">
        <v>0</v>
      </c>
      <c r="D4" t="n">
        <v>0</v>
      </c>
      <c r="F4" s="72" t="n">
        <v>0</v>
      </c>
      <c r="H4" t="inlineStr">
        <is>
          <t>All delivered to Sir Geoffrey, treasurer of Wolvesey.</t>
        </is>
      </c>
    </row>
    <row r="5">
      <c r="A5" t="inlineStr">
        <is>
          <t>Arrears</t>
        </is>
      </c>
      <c r="F5" s="72" t="n">
        <v>7.72</v>
      </c>
      <c r="G5" s="139">
        <f>F5-F3</f>
        <v/>
      </c>
      <c r="H5" t="inlineStr">
        <is>
          <t>Total</t>
        </is>
      </c>
    </row>
    <row r="6"/>
    <row r="7">
      <c r="A7" t="inlineStr">
        <is>
          <t>Rents of assize</t>
        </is>
      </c>
      <c r="B7" t="n">
        <v>2</v>
      </c>
      <c r="C7" t="n">
        <v>0</v>
      </c>
      <c r="D7" t="n">
        <v>3</v>
      </c>
      <c r="F7" s="72" t="n">
        <v>2.01</v>
      </c>
      <c r="H7" t="inlineStr">
        <is>
          <t>The same render account for £2 3pence for all rents of assize at Christmas.</t>
        </is>
      </c>
    </row>
    <row r="8">
      <c r="A8" t="inlineStr">
        <is>
          <t>Rents of assize</t>
        </is>
      </c>
      <c r="B8" t="n">
        <v>2</v>
      </c>
      <c r="C8" t="n">
        <v>0</v>
      </c>
      <c r="D8" t="n">
        <v>3</v>
      </c>
      <c r="F8" s="72" t="n">
        <v>2.01</v>
      </c>
      <c r="H8" t="inlineStr">
        <is>
          <t>£2 3pence at Easter (22 April).</t>
        </is>
      </c>
    </row>
    <row r="9">
      <c r="A9" t="inlineStr">
        <is>
          <t>Rents of assize</t>
        </is>
      </c>
      <c r="B9" t="n">
        <v>2</v>
      </c>
      <c r="C9" t="n">
        <v>0</v>
      </c>
      <c r="D9" t="n">
        <v>3</v>
      </c>
      <c r="F9" s="72" t="n">
        <v>2.01</v>
      </c>
      <c r="H9" t="inlineStr">
        <is>
          <t>£2 3pence at the Nativity of St John the Baptist (24 June).</t>
        </is>
      </c>
    </row>
    <row r="10">
      <c r="A10" t="inlineStr">
        <is>
          <t>Rents of assize</t>
        </is>
      </c>
      <c r="B10" t="n">
        <v>3</v>
      </c>
      <c r="C10" t="n">
        <v>2</v>
      </c>
      <c r="D10" t="n">
        <v>11.5</v>
      </c>
      <c r="F10" s="72" t="n">
        <v>3.15</v>
      </c>
      <c r="H10" t="inlineStr">
        <is>
          <t>£3 2 shilling 11.5pence at Michaelmas (29 September).</t>
        </is>
      </c>
    </row>
    <row r="11">
      <c r="A11" t="inlineStr">
        <is>
          <t>Rents of assize</t>
        </is>
      </c>
      <c r="B11" t="n">
        <v>9</v>
      </c>
      <c r="C11" t="n">
        <v>3</v>
      </c>
      <c r="D11" t="n">
        <v>8.5</v>
      </c>
      <c r="F11" s="72" t="n">
        <v>9.19</v>
      </c>
      <c r="H11" t="inlineStr">
        <is>
          <t>Total, £9 3 shilling 8.5pence</t>
        </is>
      </c>
    </row>
    <row r="12">
      <c r="A12" t="inlineStr">
        <is>
          <t>Rents of assize</t>
        </is>
      </c>
      <c r="F12" s="72" t="n">
        <v>9.18</v>
      </c>
      <c r="G12" s="139" t="n">
        <v>-0.009999999999999787</v>
      </c>
      <c r="H12" t="inlineStr">
        <is>
          <t>Total</t>
        </is>
      </c>
    </row>
    <row r="13"/>
    <row r="14">
      <c r="A14" t="inlineStr">
        <is>
          <t>Quittances</t>
        </is>
      </c>
      <c r="B14" t="n">
        <v>0</v>
      </c>
      <c r="C14" t="n">
        <v>4</v>
      </c>
      <c r="D14" t="n">
        <v>0</v>
      </c>
      <c r="F14" s="72" t="n">
        <v>0.2</v>
      </c>
      <c r="H14" t="inlineStr">
        <is>
          <t>In quittance of 1 reeve for the year 4 shilling.</t>
        </is>
      </c>
    </row>
    <row r="15">
      <c r="A15" t="inlineStr">
        <is>
          <t>Quittances</t>
        </is>
      </c>
      <c r="B15" t="n">
        <v>0</v>
      </c>
      <c r="C15" t="n">
        <v>3</v>
      </c>
      <c r="D15" t="n">
        <v>0</v>
      </c>
      <c r="F15" s="72" t="n">
        <v>0.15</v>
      </c>
      <c r="H15" t="inlineStr">
        <is>
          <t>2 ploughmen for the year 3 shilling.</t>
        </is>
      </c>
    </row>
    <row r="16">
      <c r="A16" t="inlineStr">
        <is>
          <t>Quittances</t>
        </is>
      </c>
      <c r="B16" t="n">
        <v>0</v>
      </c>
      <c r="C16" t="n">
        <v>4</v>
      </c>
      <c r="D16" t="n">
        <v>0</v>
      </c>
      <c r="F16" s="72" t="n">
        <v>0.2</v>
      </c>
      <c r="H16" t="inlineStr">
        <is>
          <t>1 park-keeper for the year 4 shilling</t>
        </is>
      </c>
    </row>
    <row r="17">
      <c r="A17" t="inlineStr">
        <is>
          <t>Quittances</t>
        </is>
      </c>
      <c r="B17" t="n">
        <v>0</v>
      </c>
      <c r="C17" t="n">
        <v>11</v>
      </c>
      <c r="D17" t="n">
        <v>0</v>
      </c>
      <c r="F17" s="72" t="n">
        <v>0.55</v>
      </c>
      <c r="H17" t="inlineStr">
        <is>
          <t>Total, 11 shilling</t>
        </is>
      </c>
    </row>
    <row r="18">
      <c r="A18" t="inlineStr">
        <is>
          <t>Quittances</t>
        </is>
      </c>
      <c r="F18" s="72" t="n">
        <v>0.55</v>
      </c>
      <c r="G18" s="139" t="n">
        <v>0</v>
      </c>
      <c r="H18" t="inlineStr">
        <is>
          <t>Total</t>
        </is>
      </c>
    </row>
    <row r="19"/>
    <row r="20">
      <c r="A20" t="inlineStr">
        <is>
          <t>Defaults of rent</t>
        </is>
      </c>
      <c r="B20" t="n">
        <v>0</v>
      </c>
      <c r="C20" t="n">
        <v>2</v>
      </c>
      <c r="D20" t="n">
        <v>1</v>
      </c>
      <c r="F20" s="72" t="n">
        <v>0.1</v>
      </c>
      <c r="H20" t="inlineStr">
        <is>
          <t>In default of the land of Vyel drawn into demesne, 2 shilling 1pence for the year.</t>
        </is>
      </c>
    </row>
    <row r="21">
      <c r="A21" t="inlineStr">
        <is>
          <t>Defaults of rent</t>
        </is>
      </c>
      <c r="B21" t="n">
        <v>0</v>
      </c>
      <c r="C21" t="n">
        <v>2</v>
      </c>
      <c r="D21" t="n">
        <v>1</v>
      </c>
      <c r="F21" s="72" t="n">
        <v>0.1</v>
      </c>
      <c r="H21" t="inlineStr">
        <is>
          <t>Total, 2 shilling 1pence</t>
        </is>
      </c>
    </row>
    <row r="22">
      <c r="A22" t="inlineStr">
        <is>
          <t>Defaults of rent</t>
        </is>
      </c>
      <c r="F22" s="72" t="n">
        <v>0.1</v>
      </c>
      <c r="G22" s="139" t="n">
        <v>0</v>
      </c>
      <c r="H22" t="inlineStr">
        <is>
          <t>Total</t>
        </is>
      </c>
    </row>
    <row r="23"/>
    <row r="24">
      <c r="A24" t="inlineStr">
        <is>
          <t>Total of quittances and defaults of rent</t>
        </is>
      </c>
      <c r="B24" t="n">
        <v>0</v>
      </c>
      <c r="C24" t="n">
        <v>13</v>
      </c>
      <c r="D24" t="n">
        <v>1</v>
      </c>
      <c r="F24" s="72" t="n">
        <v>0.65</v>
      </c>
      <c r="H24" t="inlineStr">
        <is>
          <t>Total of quittances and defaults of rent, 13 shilling 1pence</t>
        </is>
      </c>
    </row>
    <row r="25">
      <c r="A25" t="inlineStr">
        <is>
          <t>Total of quittances and defaults of rent</t>
        </is>
      </c>
      <c r="F25" s="72" t="n">
        <v>0.65</v>
      </c>
      <c r="G25" s="139">
        <f>F25-F24</f>
        <v/>
      </c>
      <c r="H25" t="inlineStr">
        <is>
          <t>Total</t>
        </is>
      </c>
    </row>
    <row r="26"/>
    <row r="27">
      <c r="A27" t="inlineStr">
        <is>
          <t>Total of rents remaining</t>
        </is>
      </c>
      <c r="B27" t="n">
        <v>8</v>
      </c>
      <c r="C27" t="n">
        <v>10</v>
      </c>
      <c r="D27" t="n">
        <v>7.5</v>
      </c>
      <c r="F27" s="72" t="n">
        <v>8.529999999999999</v>
      </c>
      <c r="H27" t="inlineStr">
        <is>
          <t>Total of rents remaining, £8 10 shilling 7.5pence</t>
        </is>
      </c>
    </row>
    <row r="28">
      <c r="A28" t="inlineStr">
        <is>
          <t>Total of rents remaining</t>
        </is>
      </c>
      <c r="F28" s="72" t="n">
        <v>8.529999999999999</v>
      </c>
      <c r="G28" s="139">
        <f>F28-F27</f>
        <v/>
      </c>
      <c r="H28" t="inlineStr">
        <is>
          <t>Total</t>
        </is>
      </c>
    </row>
    <row r="29"/>
    <row r="30">
      <c r="A30" t="inlineStr">
        <is>
          <t>Annual recognizance</t>
        </is>
      </c>
      <c r="B30" t="n">
        <v>0</v>
      </c>
      <c r="C30" t="n">
        <v>0</v>
      </c>
      <c r="D30" t="n">
        <v>6</v>
      </c>
      <c r="F30" s="72" t="n">
        <v>0.03</v>
      </c>
      <c r="H30" t="inlineStr">
        <is>
          <t>The same render account for 6pence from Roger le Saltere for annual recognizance.</t>
        </is>
      </c>
    </row>
    <row r="31">
      <c r="A31" t="inlineStr">
        <is>
          <t>Annual recognizance</t>
        </is>
      </c>
      <c r="B31" t="n">
        <v>0</v>
      </c>
      <c r="C31" t="n">
        <v>0</v>
      </c>
      <c r="D31" t="n">
        <v>3</v>
      </c>
      <c r="F31" s="72" t="n">
        <v>0.01</v>
      </c>
      <c r="H31" t="inlineStr">
        <is>
          <t>3pence from Richard Seuar' for the same.</t>
        </is>
      </c>
    </row>
    <row r="32">
      <c r="A32" t="inlineStr">
        <is>
          <t>Annual recognizance</t>
        </is>
      </c>
      <c r="B32" t="n">
        <v>0</v>
      </c>
      <c r="C32" t="n">
        <v>0</v>
      </c>
      <c r="D32" t="n">
        <v>6</v>
      </c>
      <c r="F32" s="72" t="n">
        <v>0.03</v>
      </c>
      <c r="H32" t="inlineStr">
        <is>
          <t>6pence from William Austyn for the same.</t>
        </is>
      </c>
    </row>
    <row r="33">
      <c r="A33" t="inlineStr">
        <is>
          <t>Annual recognizance</t>
        </is>
      </c>
      <c r="B33" t="n">
        <v>0</v>
      </c>
      <c r="C33" t="n">
        <v>0</v>
      </c>
      <c r="D33" t="n">
        <v>6</v>
      </c>
      <c r="F33" s="72" t="n">
        <v>0.03</v>
      </c>
      <c r="H33" t="inlineStr">
        <is>
          <t>6pence from Robert Clericus of Fawley for the same.</t>
        </is>
      </c>
    </row>
    <row r="34">
      <c r="A34" t="inlineStr">
        <is>
          <t>Annual recognizance</t>
        </is>
      </c>
      <c r="B34" t="n">
        <v>0</v>
      </c>
      <c r="C34" t="n">
        <v>1</v>
      </c>
      <c r="D34" t="n">
        <v>9</v>
      </c>
      <c r="F34" s="72" t="n">
        <v>0.09</v>
      </c>
      <c r="H34" t="inlineStr">
        <is>
          <t>Total, 1 shilling 9pence</t>
        </is>
      </c>
    </row>
    <row r="35">
      <c r="A35" t="inlineStr">
        <is>
          <t>Annual recognizance</t>
        </is>
      </c>
      <c r="F35" s="72" t="n">
        <v>0.1</v>
      </c>
      <c r="G35" s="139" t="n">
        <v>0.01000000000000001</v>
      </c>
      <c r="H35" t="inlineStr">
        <is>
          <t>Total</t>
        </is>
      </c>
    </row>
    <row r="36"/>
    <row r="37">
      <c r="A37" t="inlineStr">
        <is>
          <t>Issues of the manor</t>
        </is>
      </c>
      <c r="B37" t="n">
        <v>0</v>
      </c>
      <c r="C37" t="n">
        <v>10</v>
      </c>
      <c r="D37" t="n">
        <v>0</v>
      </c>
      <c r="F37" s="72" t="n">
        <v>0.5</v>
      </c>
      <c r="H37" t="inlineStr">
        <is>
          <t>The same render account for 10 shilling from pannage of pigs this year.</t>
        </is>
      </c>
    </row>
    <row r="38">
      <c r="A38" t="inlineStr">
        <is>
          <t>Issues of the manor</t>
        </is>
      </c>
      <c r="B38" t="n">
        <v>0</v>
      </c>
      <c r="C38" t="n">
        <v>9</v>
      </c>
      <c r="D38" t="n">
        <v>4</v>
      </c>
      <c r="F38" s="72" t="n">
        <v>0.47</v>
      </c>
      <c r="H38" t="inlineStr">
        <is>
          <t>9 shilling 4pence from the agistment of pigs in the park.</t>
        </is>
      </c>
    </row>
    <row r="39">
      <c r="A39" t="inlineStr">
        <is>
          <t>Issues of the manor</t>
        </is>
      </c>
      <c r="B39" t="n">
        <v>0</v>
      </c>
      <c r="C39" t="n">
        <v>17</v>
      </c>
      <c r="D39" t="n">
        <v>6</v>
      </c>
      <c r="F39" s="72" t="n">
        <v>0.88</v>
      </c>
      <c r="H39" t="inlineStr">
        <is>
          <t>17 shilling 6pence from the agistment of livestock in the park in summer.</t>
        </is>
      </c>
    </row>
    <row r="40">
      <c r="A40" t="inlineStr">
        <is>
          <t>Issues of the manor</t>
        </is>
      </c>
      <c r="B40" t="n">
        <v>0</v>
      </c>
      <c r="C40" t="n">
        <v>0</v>
      </c>
      <c r="D40" t="n">
        <v>0</v>
      </c>
      <c r="F40" s="72" t="n">
        <v>0</v>
      </c>
      <c r="H40" t="inlineStr">
        <is>
          <t>nothing from winter pasturage on account of the lord's stock.</t>
        </is>
      </c>
    </row>
    <row r="41">
      <c r="A41" t="inlineStr">
        <is>
          <t>Issues of the manor</t>
        </is>
      </c>
      <c r="B41" t="n">
        <v>0</v>
      </c>
      <c r="C41" t="n">
        <v>1</v>
      </c>
      <c r="D41" t="n">
        <v>0</v>
      </c>
      <c r="F41" s="72" t="n">
        <v>0.05</v>
      </c>
      <c r="H41" t="inlineStr">
        <is>
          <t>1 shilling from the pasturage in Prestemed' sold after mowing.</t>
        </is>
      </c>
    </row>
    <row r="42">
      <c r="A42" t="inlineStr">
        <is>
          <t>Issues of the manor</t>
        </is>
      </c>
      <c r="B42" t="n">
        <v>0</v>
      </c>
      <c r="C42" t="n">
        <v>0</v>
      </c>
      <c r="D42" t="n">
        <v>0</v>
      </c>
      <c r="F42" s="72" t="n">
        <v>0</v>
      </c>
      <c r="H42" t="inlineStr">
        <is>
          <t>nothing from winter pasturage for, the lord's stock.</t>
        </is>
      </c>
    </row>
    <row r="43">
      <c r="A43" t="inlineStr">
        <is>
          <t>Issues of the manor</t>
        </is>
      </c>
      <c r="B43" t="n">
        <v>0</v>
      </c>
      <c r="C43" t="n">
        <v>0</v>
      </c>
      <c r="D43" t="n">
        <v>0</v>
      </c>
      <c r="F43" s="72" t="n">
        <v>0</v>
      </c>
      <c r="H43" t="inlineStr">
        <is>
          <t>nothing from the pasturage on the land of Bathard and in Pistok this year because it was sown.</t>
        </is>
      </c>
    </row>
    <row r="44">
      <c r="A44" t="inlineStr">
        <is>
          <t>Issues of the manor</t>
        </is>
      </c>
      <c r="B44" t="n">
        <v>0</v>
      </c>
      <c r="C44" t="n">
        <v>0</v>
      </c>
      <c r="D44" t="n">
        <v>6</v>
      </c>
      <c r="F44" s="72" t="n">
        <v>0.03</v>
      </c>
      <c r="H44" t="inlineStr">
        <is>
          <t>6pence from the pasturage in various places sold this year.</t>
        </is>
      </c>
    </row>
    <row r="45">
      <c r="A45" t="inlineStr">
        <is>
          <t>Issues of the manor</t>
        </is>
      </c>
      <c r="B45" t="n">
        <v>0</v>
      </c>
      <c r="C45" t="n">
        <v>15</v>
      </c>
      <c r="D45" t="n">
        <v>0</v>
      </c>
      <c r="F45" s="72" t="n">
        <v>0.75</v>
      </c>
      <c r="H45" t="inlineStr">
        <is>
          <t>15 shilling from 2 cart-horses sold, at 3 shilling for 1 because feeble, and 12 shilling for 1.</t>
        </is>
      </c>
    </row>
    <row r="46">
      <c r="A46" t="inlineStr">
        <is>
          <t>Issues of the manor</t>
        </is>
      </c>
      <c r="B46" t="n">
        <v>0</v>
      </c>
      <c r="C46" t="n">
        <v>8</v>
      </c>
      <c r="D46" t="n">
        <v>0</v>
      </c>
      <c r="F46" s="72" t="n">
        <v>0.4</v>
      </c>
      <c r="H46" t="inlineStr">
        <is>
          <t>8 shilling from 1 old mare sold.</t>
        </is>
      </c>
    </row>
    <row r="47">
      <c r="A47" t="inlineStr">
        <is>
          <t>Issues of the manor</t>
        </is>
      </c>
      <c r="B47" t="n">
        <v>0</v>
      </c>
      <c r="C47" t="n">
        <v>6</v>
      </c>
      <c r="D47" t="n">
        <v>0</v>
      </c>
      <c r="F47" s="72" t="n">
        <v>0.3</v>
      </c>
      <c r="H47" t="inlineStr">
        <is>
          <t>6 shilling from 6 late-born calves sold, at 1 shilling each.</t>
        </is>
      </c>
    </row>
    <row r="48">
      <c r="A48" t="inlineStr">
        <is>
          <t>Issues of the manor</t>
        </is>
      </c>
      <c r="B48" t="n">
        <v>0</v>
      </c>
      <c r="C48" t="n">
        <v>17</v>
      </c>
      <c r="D48" t="n">
        <v>0</v>
      </c>
      <c r="F48" s="72" t="n">
        <v>0.85</v>
      </c>
      <c r="H48" t="inlineStr">
        <is>
          <t>17 shilling from 17 wethers sold at Martinmas (11 November), at 1 shilling each.</t>
        </is>
      </c>
    </row>
    <row r="49">
      <c r="A49" t="inlineStr">
        <is>
          <t>Issues of the manor</t>
        </is>
      </c>
      <c r="B49" t="n">
        <v>0</v>
      </c>
      <c r="C49" t="n">
        <v>11</v>
      </c>
      <c r="D49" t="n">
        <v>0</v>
      </c>
      <c r="F49" s="72">
        <f>B49+C49/20+D49/240</f>
        <v/>
      </c>
      <c r="H49" t="inlineStr">
        <is>
          <t>11 shilling from 4 pigs sold, at 2 shilling 9pence each.</t>
        </is>
      </c>
    </row>
    <row r="50">
      <c r="A50" t="inlineStr">
        <is>
          <t>Issues of the manor</t>
        </is>
      </c>
      <c r="B50" t="n">
        <v>0</v>
      </c>
      <c r="C50" t="n">
        <v>12</v>
      </c>
      <c r="D50" t="n">
        <v>11</v>
      </c>
      <c r="F50" s="72" t="n">
        <v>0.65</v>
      </c>
      <c r="H50" t="inlineStr">
        <is>
          <t>12 shilling 11pence from 151 hens from churchscot sold.</t>
        </is>
      </c>
    </row>
    <row r="51">
      <c r="A51" t="inlineStr">
        <is>
          <t>Issues of the manor</t>
        </is>
      </c>
      <c r="B51" t="n">
        <v>0</v>
      </c>
      <c r="C51" t="n">
        <v>0</v>
      </c>
      <c r="D51" t="n">
        <v>0</v>
      </c>
      <c r="F51" s="72" t="n">
        <v>0</v>
      </c>
      <c r="H51" t="inlineStr">
        <is>
          <t>nothing from nuts collected in the park this year.</t>
        </is>
      </c>
    </row>
    <row r="52">
      <c r="A52" t="inlineStr">
        <is>
          <t>Issues of the manor</t>
        </is>
      </c>
      <c r="B52" t="n">
        <v>0</v>
      </c>
      <c r="C52" t="n">
        <v>0</v>
      </c>
      <c r="D52" t="n">
        <v>0</v>
      </c>
      <c r="F52" s="72" t="n">
        <v>0</v>
      </c>
      <c r="H52" t="inlineStr">
        <is>
          <t>nothing from rushes in the park this year.</t>
        </is>
      </c>
    </row>
    <row r="53">
      <c r="A53" t="inlineStr">
        <is>
          <t>Issues of the manor</t>
        </is>
      </c>
      <c r="B53" t="n">
        <v>0</v>
      </c>
      <c r="C53" t="n">
        <v>2</v>
      </c>
      <c r="D53" t="n">
        <v>0</v>
      </c>
      <c r="F53" s="72" t="n">
        <v>0.1</v>
      </c>
      <c r="H53" t="inlineStr">
        <is>
          <t>2 shilling from heath sold this year.</t>
        </is>
      </c>
    </row>
    <row r="54">
      <c r="A54" t="inlineStr">
        <is>
          <t>Issues of the manor</t>
        </is>
      </c>
      <c r="B54" t="n">
        <v>0</v>
      </c>
      <c r="C54" t="n">
        <v>3</v>
      </c>
      <c r="D54" t="n">
        <v>1.5</v>
      </c>
      <c r="F54" s="72" t="n">
        <v>0.16</v>
      </c>
      <c r="H54" t="inlineStr">
        <is>
          <t>3 shilling 1.5pence from rowen cheese sold.</t>
        </is>
      </c>
    </row>
    <row r="55">
      <c r="A55" t="inlineStr">
        <is>
          <t>Issues of the manor</t>
        </is>
      </c>
      <c r="B55" t="n">
        <v>1</v>
      </c>
      <c r="C55" t="n">
        <v>14</v>
      </c>
      <c r="D55" t="n">
        <v>0</v>
      </c>
      <c r="F55" s="72" t="n">
        <v>1.7</v>
      </c>
      <c r="H55" t="inlineStr">
        <is>
          <t>£1 14 shilling from 4 weys 7 cloves of summer cheese sold, at 8 shilling a wey.</t>
        </is>
      </c>
    </row>
    <row r="56">
      <c r="A56" t="inlineStr">
        <is>
          <t>Issues of the manor</t>
        </is>
      </c>
      <c r="B56" t="n">
        <v>0</v>
      </c>
      <c r="C56" t="n">
        <v>2</v>
      </c>
      <c r="D56" t="n">
        <v>3</v>
      </c>
      <c r="F56" s="72" t="n">
        <v>0.11</v>
      </c>
      <c r="H56" t="inlineStr">
        <is>
          <t>2 shilling 3pence from 6 cloves of butter sold, at 4.5pence a clove.</t>
        </is>
      </c>
    </row>
    <row r="57">
      <c r="A57" t="inlineStr">
        <is>
          <t>Issues of the manor</t>
        </is>
      </c>
      <c r="B57" t="n">
        <v>0</v>
      </c>
      <c r="C57" t="n">
        <v>5</v>
      </c>
      <c r="D57" t="n">
        <v>0</v>
      </c>
      <c r="F57" s="72" t="n">
        <v>0.25</v>
      </c>
      <c r="H57" t="inlineStr">
        <is>
          <t>5 shilling from hay sold this year.</t>
        </is>
      </c>
    </row>
    <row r="58">
      <c r="A58" t="inlineStr">
        <is>
          <t>Issues of the manor</t>
        </is>
      </c>
      <c r="B58" t="n">
        <v>0</v>
      </c>
      <c r="C58" t="n">
        <v>0</v>
      </c>
      <c r="D58" t="n">
        <v>0</v>
      </c>
      <c r="F58" s="72" t="n">
        <v>0</v>
      </c>
      <c r="H58" t="inlineStr">
        <is>
          <t>nothing from heath in the quagmire (quabbemer') this year because none was obtained to sell.</t>
        </is>
      </c>
    </row>
    <row r="59">
      <c r="A59" t="inlineStr">
        <is>
          <t>Issues of the manor</t>
        </is>
      </c>
      <c r="B59" t="n">
        <v>0</v>
      </c>
      <c r="C59" t="n">
        <v>0</v>
      </c>
      <c r="D59" t="n">
        <v>0</v>
      </c>
      <c r="F59" s="72" t="n">
        <v>0</v>
      </c>
      <c r="H59" t="inlineStr">
        <is>
          <t>nothing from underwood in the park this year for the same reason.</t>
        </is>
      </c>
    </row>
    <row r="60">
      <c r="A60" t="inlineStr">
        <is>
          <t>Issues of the manor</t>
        </is>
      </c>
      <c r="B60" t="n">
        <v>0</v>
      </c>
      <c r="C60" t="n">
        <v>0</v>
      </c>
      <c r="D60" t="n">
        <v>10</v>
      </c>
      <c r="F60" s="72" t="n">
        <v>0.04</v>
      </c>
      <c r="H60" t="inlineStr">
        <is>
          <t>10pence from the hide sold of 1 cart-horse in murrain.</t>
        </is>
      </c>
    </row>
    <row r="61">
      <c r="A61" t="inlineStr">
        <is>
          <t>Issues of the manor</t>
        </is>
      </c>
      <c r="B61" t="n">
        <v>0</v>
      </c>
      <c r="C61" t="n">
        <v>0</v>
      </c>
      <c r="D61" t="n">
        <v>8</v>
      </c>
      <c r="F61" s="72" t="n">
        <v>0.03</v>
      </c>
      <c r="H61" t="inlineStr">
        <is>
          <t>8pence from the hide sold of 1 plough-horse in murrain.</t>
        </is>
      </c>
    </row>
    <row r="62">
      <c r="A62" t="inlineStr">
        <is>
          <t>Issues of the manor</t>
        </is>
      </c>
      <c r="B62" t="n">
        <v>0</v>
      </c>
      <c r="C62" t="n">
        <v>4</v>
      </c>
      <c r="D62" t="n">
        <v>0</v>
      </c>
      <c r="F62" s="72" t="n">
        <v>0.2</v>
      </c>
      <c r="H62" t="inlineStr">
        <is>
          <t>4 shilling from the hide and flesh sold of 1 bullock dead from murrain.</t>
        </is>
      </c>
    </row>
    <row r="63">
      <c r="A63" t="inlineStr">
        <is>
          <t>Issues of the manor</t>
        </is>
      </c>
      <c r="B63" t="n">
        <v>0</v>
      </c>
      <c r="C63" t="n">
        <v>0</v>
      </c>
      <c r="D63" t="n">
        <v>8</v>
      </c>
      <c r="F63" s="72" t="n">
        <v>0.03</v>
      </c>
      <c r="H63" t="inlineStr">
        <is>
          <t>8pence from the hides sold of 2 yearlings in murrain.</t>
        </is>
      </c>
    </row>
    <row r="64">
      <c r="A64" t="inlineStr">
        <is>
          <t>Issues of the manor</t>
        </is>
      </c>
      <c r="B64" t="n">
        <v>0</v>
      </c>
      <c r="C64" t="n">
        <v>0</v>
      </c>
      <c r="D64" t="n">
        <v>1.5</v>
      </c>
      <c r="F64" s="72" t="n">
        <v>0.01</v>
      </c>
      <c r="H64" t="inlineStr">
        <is>
          <t>1.5pence from the hide sold of 1 calf in murrain.</t>
        </is>
      </c>
    </row>
    <row r="65">
      <c r="A65" t="inlineStr">
        <is>
          <t>Issues of the manor</t>
        </is>
      </c>
      <c r="B65" t="n">
        <v>0</v>
      </c>
      <c r="C65" t="n">
        <v>0</v>
      </c>
      <c r="D65" t="n">
        <v>10</v>
      </c>
      <c r="F65" s="72" t="n">
        <v>0.04</v>
      </c>
      <c r="H65" t="inlineStr">
        <is>
          <t>10pence from the skins sold of 4 wethers in murrain before shearing.</t>
        </is>
      </c>
    </row>
    <row r="66">
      <c r="A66" t="inlineStr">
        <is>
          <t>Issues of the manor</t>
        </is>
      </c>
      <c r="B66" t="n">
        <v>0</v>
      </c>
      <c r="C66" t="n">
        <v>0</v>
      </c>
      <c r="D66" t="n">
        <v>6</v>
      </c>
      <c r="F66" s="72" t="n">
        <v>0.03</v>
      </c>
      <c r="H66" t="inlineStr">
        <is>
          <t>1 s. 6pence from the skins sold wholesale of 17 wethers in murrain after shearing.</t>
        </is>
      </c>
    </row>
    <row r="67">
      <c r="A67" t="inlineStr">
        <is>
          <t>Issues of the manor</t>
        </is>
      </c>
      <c r="B67" t="n">
        <v>0</v>
      </c>
      <c r="C67" t="n">
        <v>0</v>
      </c>
      <c r="D67" t="n">
        <v>0</v>
      </c>
      <c r="F67" s="72" t="n">
        <v>0</v>
      </c>
      <c r="H67" t="inlineStr">
        <is>
          <t>nothing from cider this year.</t>
        </is>
      </c>
    </row>
    <row r="68">
      <c r="A68" t="inlineStr">
        <is>
          <t>Issues of the manor</t>
        </is>
      </c>
      <c r="B68" t="n">
        <v>0</v>
      </c>
      <c r="C68" t="n">
        <v>0</v>
      </c>
      <c r="D68" t="n">
        <v>0</v>
      </c>
      <c r="F68" s="72" t="n">
        <v>0</v>
      </c>
      <c r="H68" t="inlineStr">
        <is>
          <t>nothing from small labour services this year because of the cider-making.</t>
        </is>
      </c>
    </row>
    <row r="69">
      <c r="A69" t="inlineStr">
        <is>
          <t>Issues of the manor</t>
        </is>
      </c>
      <c r="B69" t="n">
        <v>0</v>
      </c>
      <c r="C69" t="n">
        <v>0</v>
      </c>
      <c r="D69" t="n">
        <v>0</v>
      </c>
      <c r="F69" s="72" t="n">
        <v>0</v>
      </c>
      <c r="H69" t="inlineStr">
        <is>
          <t>nothing from coarse wool here because it is sent to Wolvesey.</t>
        </is>
      </c>
    </row>
    <row r="70">
      <c r="A70" t="inlineStr">
        <is>
          <t>Issues of the manor</t>
        </is>
      </c>
      <c r="B70" t="n">
        <v>0</v>
      </c>
      <c r="C70" t="n">
        <v>0</v>
      </c>
      <c r="D70" t="n">
        <v>3.5</v>
      </c>
      <c r="F70" s="72" t="n">
        <v>0.01</v>
      </c>
      <c r="H70" t="inlineStr">
        <is>
          <t>3.5pence from 3 lb of wool locks sold.</t>
        </is>
      </c>
    </row>
    <row r="71">
      <c r="A71" t="inlineStr">
        <is>
          <t>Issues of the manor</t>
        </is>
      </c>
      <c r="B71" t="n">
        <v>0</v>
      </c>
      <c r="C71" t="n">
        <v>1</v>
      </c>
      <c r="D71" t="n">
        <v>0</v>
      </c>
      <c r="F71" s="72" t="n">
        <v>0.05</v>
      </c>
      <c r="H71" t="inlineStr">
        <is>
          <t>1 shilling from Adam ate Hall' and William de Worstede to have licence to dig up marl in the marsh.</t>
        </is>
      </c>
    </row>
    <row r="72">
      <c r="A72" t="inlineStr">
        <is>
          <t>Issues of the manor</t>
        </is>
      </c>
      <c r="B72" t="n">
        <v>0</v>
      </c>
      <c r="C72" t="n">
        <v>2</v>
      </c>
      <c r="D72" t="n">
        <v>7.5</v>
      </c>
      <c r="F72" s="72" t="n">
        <v>0.13</v>
      </c>
      <c r="H72" t="inlineStr">
        <is>
          <t>2 shilling 7.5pence from dairy produce sold at the audit.</t>
        </is>
      </c>
    </row>
    <row r="73">
      <c r="A73" t="inlineStr">
        <is>
          <t>Issues of the manor</t>
        </is>
      </c>
      <c r="B73" t="n">
        <v>8</v>
      </c>
      <c r="C73" t="n">
        <v>7</v>
      </c>
      <c r="D73" t="n">
        <v>3</v>
      </c>
      <c r="F73" s="72" t="n">
        <v>8.359999999999999</v>
      </c>
      <c r="H73" t="inlineStr">
        <is>
          <t>Total, £8 7 shilling 3pence</t>
        </is>
      </c>
    </row>
    <row r="74">
      <c r="A74" t="inlineStr">
        <is>
          <t>Issues of the manor</t>
        </is>
      </c>
      <c r="F74" s="72">
        <f>SUM(F37:F72)</f>
        <v/>
      </c>
      <c r="G74" s="139">
        <f>F74-F73</f>
        <v/>
      </c>
      <c r="H74" t="inlineStr">
        <is>
          <t>Total</t>
        </is>
      </c>
    </row>
    <row r="75"/>
    <row r="76">
      <c r="A76" t="inlineStr">
        <is>
          <t>Fishery</t>
        </is>
      </c>
      <c r="B76" t="n">
        <v>7</v>
      </c>
      <c r="C76" t="n">
        <v>4</v>
      </c>
      <c r="D76" t="n">
        <v>0</v>
      </c>
      <c r="F76" s="72" t="n">
        <v>7.2</v>
      </c>
      <c r="H76" t="inlineStr">
        <is>
          <t xml:space="preserve">The same render account for £7 4 shilling from 53 salmon sold, at 4 shilling each for 19, and 2 shilling each for 34. </t>
        </is>
      </c>
    </row>
    <row r="77">
      <c r="A77" t="inlineStr">
        <is>
          <t>Fishery</t>
        </is>
      </c>
      <c r="F77" s="72" t="n">
        <v>7.2</v>
      </c>
      <c r="H77" t="inlineStr">
        <is>
          <t>Total, £7 4 shilling</t>
        </is>
      </c>
    </row>
    <row r="78">
      <c r="A78" t="inlineStr">
        <is>
          <t>Fishery</t>
        </is>
      </c>
      <c r="F78" s="72" t="n">
        <v>7.2</v>
      </c>
      <c r="G78" s="139" t="n">
        <v>0</v>
      </c>
      <c r="H78" t="inlineStr">
        <is>
          <t>Total</t>
        </is>
      </c>
    </row>
    <row r="79"/>
    <row r="80">
      <c r="A80" t="inlineStr">
        <is>
          <t>Sale of corn</t>
        </is>
      </c>
      <c r="B80" t="n">
        <v>2</v>
      </c>
      <c r="C80" t="n">
        <v>12</v>
      </c>
      <c r="D80" t="n">
        <v>6</v>
      </c>
      <c r="F80" s="72" t="n">
        <v>2.62</v>
      </c>
      <c r="H80" t="inlineStr">
        <is>
          <t>The same render account for £2 12 shilling 6pence from 8 quarters 6 bushels of wheat sold, at 6 shilling a qr.</t>
        </is>
      </c>
    </row>
    <row r="81">
      <c r="A81" t="inlineStr">
        <is>
          <t>Sale of corn</t>
        </is>
      </c>
      <c r="B81" t="n">
        <v>0</v>
      </c>
      <c r="C81" t="n">
        <v>5</v>
      </c>
      <c r="D81" t="n">
        <v>5</v>
      </c>
      <c r="F81" s="72" t="n">
        <v>0.27</v>
      </c>
      <c r="H81" t="inlineStr">
        <is>
          <t>5 shilling 5pence from 1 qr 2 bushels of curall sold, at 4 shilling 4pence a qr.</t>
        </is>
      </c>
    </row>
    <row r="82">
      <c r="A82" t="inlineStr">
        <is>
          <t>Sale of corn</t>
        </is>
      </c>
      <c r="B82" t="n">
        <v>1</v>
      </c>
      <c r="C82" t="n">
        <v>6</v>
      </c>
      <c r="D82" t="n">
        <v>5</v>
      </c>
      <c r="F82" s="72" t="n">
        <v>1.32</v>
      </c>
      <c r="H82" t="inlineStr">
        <is>
          <t>£1 6 shilling 5pence from 11 quarters 3 bushels of dredge sold, at 2 shilling a qr for 3 quarters 7 bushels, 2 shilling 4pence a qr for 4 quarters, and 2 shilling 8pence a qr for 3.5 quarters.</t>
        </is>
      </c>
    </row>
    <row r="83">
      <c r="A83" t="inlineStr">
        <is>
          <t>Sale of corn</t>
        </is>
      </c>
      <c r="B83" t="n">
        <v>0</v>
      </c>
      <c r="C83" t="n">
        <v>1</v>
      </c>
      <c r="D83" t="n">
        <v>0</v>
      </c>
      <c r="F83" s="72" t="n">
        <v>0.05</v>
      </c>
      <c r="H83" t="inlineStr">
        <is>
          <t>1 shilling from .5 qr of dredge sold at the audit.</t>
        </is>
      </c>
    </row>
    <row r="84">
      <c r="A84" t="inlineStr">
        <is>
          <t>Sale of corn</t>
        </is>
      </c>
      <c r="B84" t="n">
        <v>0</v>
      </c>
      <c r="C84" t="n">
        <v>2</v>
      </c>
      <c r="D84" t="n">
        <v>6</v>
      </c>
      <c r="F84" s="72" t="n">
        <v>0.12</v>
      </c>
      <c r="H84" t="inlineStr">
        <is>
          <t>2 shilling from 4 bushels of peas sold, at 6pence a bushels.</t>
        </is>
      </c>
    </row>
    <row r="85">
      <c r="A85" t="inlineStr">
        <is>
          <t>Sale of corn</t>
        </is>
      </c>
      <c r="B85" t="n">
        <v>0</v>
      </c>
      <c r="C85" t="n">
        <v>2</v>
      </c>
      <c r="D85" t="n">
        <v>0</v>
      </c>
      <c r="F85" s="72" t="n">
        <v>0.1</v>
      </c>
      <c r="H85" t="inlineStr">
        <is>
          <t>2 shilling from 6 bushels of peas sold at the audit.</t>
        </is>
      </c>
    </row>
    <row r="86">
      <c r="A86" t="inlineStr">
        <is>
          <t>Sale of corn</t>
        </is>
      </c>
      <c r="B86" t="n">
        <v>4</v>
      </c>
      <c r="C86" t="n">
        <v>9</v>
      </c>
      <c r="D86" t="n">
        <v>4</v>
      </c>
      <c r="F86" s="72" t="n">
        <v>4.47</v>
      </c>
      <c r="H86" t="inlineStr">
        <is>
          <t>Total, £4 9 shilling 4pence</t>
        </is>
      </c>
    </row>
    <row r="87">
      <c r="A87" t="inlineStr">
        <is>
          <t>Sale of corn</t>
        </is>
      </c>
      <c r="F87" s="72" t="n">
        <v>4.48</v>
      </c>
      <c r="G87" s="139" t="n">
        <v>0.01000000000000068</v>
      </c>
      <c r="H87" t="inlineStr">
        <is>
          <t>Total</t>
        </is>
      </c>
    </row>
    <row r="88"/>
    <row r="89">
      <c r="A89" t="inlineStr">
        <is>
          <t>Sale of the mill's corn</t>
        </is>
      </c>
      <c r="B89" t="n">
        <v>0</v>
      </c>
      <c r="C89" t="n">
        <v>10</v>
      </c>
      <c r="D89" t="n">
        <v>3</v>
      </c>
      <c r="F89" s="72" t="n">
        <v>0.51</v>
      </c>
      <c r="H89" t="inlineStr">
        <is>
          <t>The same render account for 10 shilling 3pence from 1 qr 7 bushels of wheat sold, at 7.5pence a bushels for 2 bushels, 5 shilling 4pence a qr for 1 qr 1 bushels, and 9pence a bushels for 4 bushels.</t>
        </is>
      </c>
    </row>
    <row r="90">
      <c r="A90" t="inlineStr">
        <is>
          <t>Sale of the mill's corn</t>
        </is>
      </c>
      <c r="B90" t="n">
        <v>1</v>
      </c>
      <c r="C90" t="n">
        <v>15</v>
      </c>
      <c r="D90" t="n">
        <v>10</v>
      </c>
      <c r="F90" s="72" t="n">
        <v>1.79</v>
      </c>
      <c r="H90" t="inlineStr">
        <is>
          <t>£1 15 shilling 10pence from 11 quarters 6 bushels of barley sold, at 2 shilling 8pence a qr for 3 quarters, 3 shilling a qr for 4 quarters, and 3 shilling 4pence a qr for 4 quarters 6 bushels.</t>
        </is>
      </c>
    </row>
    <row r="91">
      <c r="A91" t="inlineStr">
        <is>
          <t>Sale of the mill's corn</t>
        </is>
      </c>
      <c r="B91" t="n">
        <v>0</v>
      </c>
      <c r="C91" t="n">
        <v>11</v>
      </c>
      <c r="D91" t="n">
        <v>4</v>
      </c>
      <c r="F91" s="72">
        <f>B91+C91/20+D91/240</f>
        <v/>
      </c>
      <c r="H91" t="inlineStr">
        <is>
          <t>11 shilling from 2 quarters 1 bushels of coarse-ground corn sold, at 5 shilling for 1 qr, and 5 shilling 4pence a qr for 1 qr 1 bushels.</t>
        </is>
      </c>
    </row>
    <row r="92">
      <c r="A92" t="inlineStr">
        <is>
          <t>Sale of the mill's corn</t>
        </is>
      </c>
      <c r="B92" t="n">
        <v>0</v>
      </c>
      <c r="C92" t="n">
        <v>10</v>
      </c>
      <c r="D92" t="n">
        <v>9</v>
      </c>
      <c r="F92" s="72">
        <f>B92+C92/20+D92/240</f>
        <v/>
      </c>
      <c r="H92" t="inlineStr">
        <is>
          <t>10 shilling 9pence from 4 quarters 7 bushels of malt sold, at 2 shilling a qr for 1 qr 7 bushels, and 2 shilling 4pence a qr for 3 quarters.</t>
        </is>
      </c>
    </row>
    <row r="93">
      <c r="A93" t="inlineStr">
        <is>
          <t>Sale of the mill's corn</t>
        </is>
      </c>
      <c r="B93" t="n">
        <v>0</v>
      </c>
      <c r="C93" t="n">
        <v>0</v>
      </c>
      <c r="D93" t="n">
        <v>8</v>
      </c>
      <c r="F93" s="72">
        <f>B93+C93/20+D93/240</f>
        <v/>
      </c>
      <c r="H93" t="inlineStr">
        <is>
          <t xml:space="preserve">8pence from 1 bushels of oatmeal sold </t>
        </is>
      </c>
    </row>
    <row r="94">
      <c r="A94" t="inlineStr">
        <is>
          <t>Sale of the mill's corn</t>
        </is>
      </c>
      <c r="B94" t="n">
        <v>3</v>
      </c>
      <c r="C94" t="n">
        <v>8</v>
      </c>
      <c r="D94" t="n">
        <v>6</v>
      </c>
      <c r="F94" s="72" t="n">
        <v>3.42</v>
      </c>
      <c r="H94" t="inlineStr">
        <is>
          <t>Total, £3 8 shilling 6pence</t>
        </is>
      </c>
    </row>
    <row r="95">
      <c r="A95" t="inlineStr">
        <is>
          <t>Sale of the mill's corn</t>
        </is>
      </c>
      <c r="F95" s="72">
        <f>SUM(F89:F93)</f>
        <v/>
      </c>
      <c r="G95" s="139">
        <f>F95-F94</f>
        <v/>
      </c>
      <c r="H95" t="inlineStr">
        <is>
          <t>Total</t>
        </is>
      </c>
    </row>
    <row r="96"/>
    <row r="97">
      <c r="A97" t="inlineStr">
        <is>
          <t>Entry and marriage fines</t>
        </is>
      </c>
      <c r="B97" t="n">
        <v>0</v>
      </c>
      <c r="C97" t="n">
        <v>6</v>
      </c>
      <c r="D97" t="n">
        <v>8</v>
      </c>
      <c r="F97" s="72" t="n">
        <v>0.33</v>
      </c>
      <c r="H97" t="inlineStr">
        <is>
          <t>The same render account for 6 shilling 8pence from the tithing of Bitterne at the hundred-court of Martinmas for tithingpenny.</t>
        </is>
      </c>
    </row>
    <row r="98">
      <c r="A98" t="inlineStr">
        <is>
          <t>Entry and marriage fines</t>
        </is>
      </c>
      <c r="B98" t="n">
        <v>0</v>
      </c>
      <c r="C98" t="n">
        <v>6</v>
      </c>
      <c r="D98" t="n">
        <v>8</v>
      </c>
      <c r="F98" s="72" t="n">
        <v>0.33</v>
      </c>
      <c r="H98" t="inlineStr">
        <is>
          <t>6 shilling 8pence from the tithing of Fawley at the said hundred-court for the same.</t>
        </is>
      </c>
    </row>
    <row r="99">
      <c r="A99" t="inlineStr">
        <is>
          <t>Entry and marriage fines</t>
        </is>
      </c>
      <c r="B99" t="n">
        <v>0</v>
      </c>
      <c r="C99" t="n">
        <v>13</v>
      </c>
      <c r="D99" t="n">
        <v>4</v>
      </c>
      <c r="F99" s="72" t="n">
        <v>0.67</v>
      </c>
      <c r="H99" t="inlineStr">
        <is>
          <t>13 shilling 4pence from the same at the hundred-court of Hockday for the same.</t>
        </is>
      </c>
    </row>
    <row r="100">
      <c r="A100" t="inlineStr">
        <is>
          <t>Entry and marriage fines</t>
        </is>
      </c>
      <c r="B100" t="n">
        <v>0</v>
      </c>
      <c r="C100" t="n">
        <v>1</v>
      </c>
      <c r="D100" t="n">
        <v>0</v>
      </c>
      <c r="F100" s="72" t="n">
        <v>0.05</v>
      </c>
      <c r="H100" t="inlineStr">
        <is>
          <t>1 shilling from John le Careter for marrying Joan his stepdaughter outside.</t>
        </is>
      </c>
    </row>
    <row r="101">
      <c r="A101" t="inlineStr">
        <is>
          <t>Entry and marriage fines</t>
        </is>
      </c>
      <c r="B101" t="n">
        <v>0</v>
      </c>
      <c r="C101" t="n">
        <v>3</v>
      </c>
      <c r="D101" t="n">
        <v>0</v>
      </c>
      <c r="F101" s="72" t="n">
        <v>0.15</v>
      </c>
      <c r="H101" t="inlineStr">
        <is>
          <t>3 shilling from .Havvise, daughter of Austin Mich', to have 1 house and 2 acres of land which belonged to Edith her mother.</t>
        </is>
      </c>
    </row>
    <row r="102">
      <c r="A102" t="inlineStr">
        <is>
          <t>Entry and marriage fines</t>
        </is>
      </c>
      <c r="B102" t="n">
        <v>0</v>
      </c>
      <c r="C102" t="n">
        <v>6</v>
      </c>
      <c r="D102" t="n">
        <v>8</v>
      </c>
      <c r="F102" s="72" t="n">
        <v>0.33</v>
      </c>
      <c r="H102" t="inlineStr">
        <is>
          <t>6 shilling 8pence from Matilda, daughter of Mabel Ace, to have 1 messuage and 1 ferling of land by surrender of Mabel her mother, so that the said  Mabel be supported by holding the same land equally with her.</t>
        </is>
      </c>
    </row>
    <row r="103">
      <c r="A103" t="inlineStr">
        <is>
          <t>Entry and marriage fines</t>
        </is>
      </c>
      <c r="B103" t="n">
        <v>0</v>
      </c>
      <c r="C103" t="n">
        <v>6</v>
      </c>
      <c r="D103" t="n">
        <v>8</v>
      </c>
      <c r="F103" s="72" t="n">
        <v>0.33</v>
      </c>
      <c r="H103" t="inlineStr">
        <is>
          <t>6 shilling 8pence from Nicholas le Pyn to have the said Matilda with her land.</t>
        </is>
      </c>
    </row>
    <row r="104">
      <c r="A104" t="inlineStr">
        <is>
          <t>Entry and marriage fines</t>
        </is>
      </c>
      <c r="B104" t="n">
        <v>0</v>
      </c>
      <c r="C104" t="n">
        <v>6</v>
      </c>
      <c r="D104" t="n">
        <v>8</v>
      </c>
      <c r="F104" s="72" t="n">
        <v>0.33</v>
      </c>
      <c r="H104" t="inlineStr">
        <is>
          <t>6 shilling 8pence from Walter le Schepphurd' to have the land which belonged to his mother.</t>
        </is>
      </c>
    </row>
    <row r="105">
      <c r="A105" t="inlineStr">
        <is>
          <t>Entry and marriage fines</t>
        </is>
      </c>
      <c r="B105" t="n">
        <v>0</v>
      </c>
      <c r="C105" t="n">
        <v>13</v>
      </c>
      <c r="D105" t="n">
        <v>4</v>
      </c>
      <c r="F105" s="72" t="n">
        <v>0.67</v>
      </c>
      <c r="H105" t="inlineStr">
        <is>
          <t>13 shilling 4pence from Roger ate Clive to have the land which belonged to Gunilda Gardenir.</t>
        </is>
      </c>
    </row>
    <row r="106">
      <c r="A106" t="inlineStr">
        <is>
          <t>Entry and marriage fines</t>
        </is>
      </c>
      <c r="B106" t="n">
        <v>0</v>
      </c>
      <c r="C106" t="n">
        <v>3</v>
      </c>
      <c r="D106" t="n">
        <v>4</v>
      </c>
      <c r="F106" s="72" t="n">
        <v>0.17</v>
      </c>
      <c r="H106" t="inlineStr">
        <is>
          <t>3 shilling 4pence from Roger Westsyd' to have 1 house and 1 curtilage by surrender of Walter le Schiphurd', and he will relieve the said Walter of 6pence annual rent.</t>
        </is>
      </c>
    </row>
    <row r="107">
      <c r="A107" t="inlineStr">
        <is>
          <t>Entry and marriage fines</t>
        </is>
      </c>
      <c r="B107" t="n">
        <v>0</v>
      </c>
      <c r="C107" t="n">
        <v>1</v>
      </c>
      <c r="D107" t="n">
        <v>0</v>
      </c>
      <c r="F107" s="72" t="n">
        <v>0.05</v>
      </c>
      <c r="H107" t="inlineStr">
        <is>
          <t>1 shilling from Joan Alayn for marrying herself.</t>
        </is>
      </c>
    </row>
    <row r="108">
      <c r="A108" t="inlineStr">
        <is>
          <t>Entry and marriage fines</t>
        </is>
      </c>
      <c r="B108" t="n">
        <v>0</v>
      </c>
      <c r="C108" t="n">
        <v>1</v>
      </c>
      <c r="D108" t="n">
        <v>0</v>
      </c>
      <c r="F108" s="72" t="n">
        <v>0.05</v>
      </c>
      <c r="H108" t="inlineStr">
        <is>
          <t>1 shilling from Margery, daughter of Walter le Schiphurd', for marrying herself.</t>
        </is>
      </c>
    </row>
    <row r="109">
      <c r="A109" t="inlineStr">
        <is>
          <t>Entry and marriage fines</t>
        </is>
      </c>
      <c r="B109" t="n">
        <v>0</v>
      </c>
      <c r="C109" t="n">
        <v>1</v>
      </c>
      <c r="D109" t="n">
        <v>0</v>
      </c>
      <c r="F109" s="72" t="n">
        <v>0.05</v>
      </c>
      <c r="H109" t="inlineStr">
        <is>
          <t>1 shilling from Alice Baron for 1 messuage 1 acre of land by surrender of Robert ate Slade and Alice his wife.</t>
        </is>
      </c>
    </row>
    <row r="110">
      <c r="A110" t="inlineStr">
        <is>
          <t>Entry and marriage fines</t>
        </is>
      </c>
      <c r="B110" t="n">
        <v>3</v>
      </c>
      <c r="C110" t="n">
        <v>10</v>
      </c>
      <c r="D110" t="n">
        <v>4</v>
      </c>
      <c r="F110" s="72" t="n">
        <v>3.52</v>
      </c>
      <c r="H110" t="inlineStr">
        <is>
          <t>Total, £3 10 shilling 4pence</t>
        </is>
      </c>
    </row>
    <row r="111">
      <c r="A111" t="inlineStr">
        <is>
          <t>Entry and marriage fines</t>
        </is>
      </c>
      <c r="F111" s="72" t="n">
        <v>3.509999999999999</v>
      </c>
      <c r="G111" s="139" t="n">
        <v>-0.01000000000000112</v>
      </c>
      <c r="H111" t="inlineStr">
        <is>
          <t>Total</t>
        </is>
      </c>
    </row>
    <row r="112"/>
    <row r="113">
      <c r="A113" t="inlineStr">
        <is>
          <t>Perquisites</t>
        </is>
      </c>
      <c r="B113" t="n">
        <v>0</v>
      </c>
      <c r="C113" t="n">
        <v>2</v>
      </c>
      <c r="D113" t="n">
        <v>0</v>
      </c>
      <c r="F113" s="72" t="n">
        <v>0.1</v>
      </c>
      <c r="H113" t="inlineStr">
        <is>
          <t>The same render account for 2 shilling from the tithing of Fawley because it did not present the default of John Baron at the tourn of Martinmas.</t>
        </is>
      </c>
    </row>
    <row r="114">
      <c r="A114" t="inlineStr">
        <is>
          <t>Perquisites</t>
        </is>
      </c>
      <c r="B114" t="n">
        <v>0</v>
      </c>
      <c r="C114" t="n">
        <v>2</v>
      </c>
      <c r="D114" t="n">
        <v>0</v>
      </c>
      <c r="F114" s="72" t="n">
        <v>0.1</v>
      </c>
      <c r="H114" t="inlineStr">
        <is>
          <t>2 shilling from the same tithing because it did not produce in court the individual whom it had bailed.</t>
        </is>
      </c>
    </row>
    <row r="115">
      <c r="A115" t="inlineStr">
        <is>
          <t>Perquisites</t>
        </is>
      </c>
      <c r="B115" t="n">
        <v>2</v>
      </c>
      <c r="C115" t="n">
        <v>10</v>
      </c>
      <c r="D115" t="n">
        <v>4</v>
      </c>
      <c r="F115" s="72" t="n">
        <v>2.52</v>
      </c>
      <c r="H115" t="inlineStr">
        <is>
          <t>£2 10 shilling 4pence from small amercements from various men for various transgressions.</t>
        </is>
      </c>
    </row>
    <row r="116">
      <c r="A116" t="inlineStr">
        <is>
          <t>Perquisites</t>
        </is>
      </c>
      <c r="B116" t="n">
        <v>2</v>
      </c>
      <c r="C116" t="n">
        <v>14</v>
      </c>
      <c r="D116" t="n">
        <v>4</v>
      </c>
      <c r="F116" s="72" t="n">
        <v>2.72</v>
      </c>
      <c r="H116" t="inlineStr">
        <is>
          <t>Total, £2 14 shilling 4pence</t>
        </is>
      </c>
    </row>
    <row r="117">
      <c r="A117" t="inlineStr">
        <is>
          <t>Perquisites</t>
        </is>
      </c>
      <c r="F117" s="72" t="n">
        <v>2.72</v>
      </c>
      <c r="G117" s="139" t="n">
        <v>0</v>
      </c>
      <c r="H117" t="inlineStr">
        <is>
          <t>Total</t>
        </is>
      </c>
    </row>
    <row r="118"/>
    <row r="119">
      <c r="A119" s="38" t="inlineStr">
        <is>
          <t>Total of all receipts recorded in accounts</t>
        </is>
      </c>
      <c r="B119" t="n">
        <v>38</v>
      </c>
      <c r="C119" t="n">
        <v>6</v>
      </c>
      <c r="D119" t="n">
        <v>1.5</v>
      </c>
      <c r="F119" s="72" t="n">
        <v>38.31</v>
      </c>
      <c r="H119" t="inlineStr">
        <is>
          <t>Total of all receipts, £38 6 shilling 1.5pence</t>
        </is>
      </c>
    </row>
    <row r="120" ht="16" customHeight="1">
      <c r="A120" s="9" t="inlineStr">
        <is>
          <t>Total cross-check without arrears</t>
        </is>
      </c>
      <c r="F120" s="72">
        <f>F117+F111+F95+F87+F78+F74+F35+F28</f>
        <v/>
      </c>
      <c r="G120" s="139">
        <f>F120-F119</f>
        <v/>
      </c>
    </row>
    <row r="121" ht="16" customHeight="1">
      <c r="A121" s="9" t="inlineStr">
        <is>
          <t>Total cross-check with arrears</t>
        </is>
      </c>
      <c r="F121" s="72">
        <f>F120+F5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8"/>
  <sheetViews>
    <sheetView topLeftCell="A1" workbookViewId="0">
      <selection activeCell="A1" sqref="A1"/>
    </sheetView>
  </sheetViews>
  <sheetFormatPr baseColWidth="8" defaultRowHeight="15"/>
  <cols>
    <col width="37" customWidth="1" min="1" max="1"/>
    <col width="8.83203125" customWidth="1" min="6" max="6"/>
    <col width="8.83203125" customWidth="1" min="7" max="7"/>
    <col width="42.83203125" customWidth="1" min="8" max="8"/>
    <col width="15.6640625" customWidth="1" min="10" max="10"/>
    <col width="22.83203125" customWidth="1" min="11" max="11"/>
  </cols>
  <sheetData>
    <row r="1" ht="16" customHeight="1">
      <c r="A1" s="2" t="inlineStr">
        <is>
          <t>BITTERNE EXPENSES</t>
        </is>
      </c>
    </row>
    <row r="2" ht="34" customHeight="1">
      <c r="A2" s="30" t="inlineStr">
        <is>
          <t>Heading</t>
        </is>
      </c>
      <c r="B2" s="33" t="inlineStr">
        <is>
          <t>£</t>
        </is>
      </c>
      <c r="C2" s="34" t="inlineStr">
        <is>
          <t xml:space="preserve">s </t>
        </is>
      </c>
      <c r="D2" s="34" t="inlineStr">
        <is>
          <t>d</t>
        </is>
      </c>
      <c r="E2" s="34" t="n"/>
      <c r="F2" s="35" t="inlineStr">
        <is>
          <t>Total in £</t>
        </is>
      </c>
      <c r="G2" s="51" t="inlineStr">
        <is>
          <t>Error</t>
        </is>
      </c>
      <c r="H2" s="30" t="inlineStr">
        <is>
          <t>Notes</t>
        </is>
      </c>
      <c r="I2" s="140" t="n"/>
      <c r="J2" s="52" t="inlineStr">
        <is>
          <t>Fixed investment</t>
        </is>
      </c>
      <c r="K2" s="52" t="inlineStr">
        <is>
          <t>Demesne fixed investment</t>
        </is>
      </c>
    </row>
    <row r="3">
      <c r="A3" t="inlineStr">
        <is>
          <t>Cost of ploughs</t>
        </is>
      </c>
      <c r="B3" t="n">
        <v>0</v>
      </c>
      <c r="C3" t="n">
        <v>3</v>
      </c>
      <c r="D3" t="n">
        <v>1</v>
      </c>
      <c r="F3" s="72" t="n">
        <v>0.15</v>
      </c>
      <c r="H3" t="inlineStr">
        <is>
          <t>In iron and steel bought for 2 ploughs for the year 3 shilling 1pence.</t>
        </is>
      </c>
      <c r="J3" s="72">
        <f>F3</f>
        <v/>
      </c>
      <c r="K3" s="72">
        <f>J3</f>
        <v/>
      </c>
    </row>
    <row r="4">
      <c r="A4" t="inlineStr">
        <is>
          <t>Cost of ploughs</t>
        </is>
      </c>
      <c r="B4" t="n">
        <v>0</v>
      </c>
      <c r="C4" t="n">
        <v>0</v>
      </c>
      <c r="D4" t="n">
        <v>5</v>
      </c>
      <c r="F4" s="72" t="n">
        <v>0.02</v>
      </c>
      <c r="H4" t="inlineStr">
        <is>
          <t>1 plough foot bought 5pence.</t>
        </is>
      </c>
      <c r="J4" s="72">
        <f>F4</f>
        <v/>
      </c>
      <c r="K4" s="72">
        <f>J4</f>
        <v/>
      </c>
    </row>
    <row r="5">
      <c r="A5" t="inlineStr">
        <is>
          <t>Cost of ploughs</t>
        </is>
      </c>
      <c r="B5" t="n">
        <v>0</v>
      </c>
      <c r="C5" t="n">
        <v>0</v>
      </c>
      <c r="D5" t="n">
        <v>4.5</v>
      </c>
      <c r="F5" s="72" t="n">
        <v>0.02</v>
      </c>
      <c r="H5" t="inlineStr">
        <is>
          <t>3 wheels bought for ploughs 4.5pence.</t>
        </is>
      </c>
      <c r="J5" s="72">
        <f>F5</f>
        <v/>
      </c>
      <c r="K5" s="72">
        <f>J5</f>
        <v/>
      </c>
    </row>
    <row r="6">
      <c r="A6" t="inlineStr">
        <is>
          <t>Cost of ploughs</t>
        </is>
      </c>
      <c r="B6" t="n">
        <v>0</v>
      </c>
      <c r="C6" t="n">
        <v>0</v>
      </c>
      <c r="D6" t="n">
        <v>9.5</v>
      </c>
      <c r="F6" s="72" t="n">
        <v>0.04</v>
      </c>
      <c r="H6" t="inlineStr">
        <is>
          <t>making a new plough and mending others and harrows 9.5pence.</t>
        </is>
      </c>
      <c r="J6" s="72">
        <f>F6</f>
        <v/>
      </c>
      <c r="K6" s="72">
        <f>J6</f>
        <v/>
      </c>
    </row>
    <row r="7">
      <c r="A7" t="inlineStr">
        <is>
          <t>Cost of ploughs</t>
        </is>
      </c>
      <c r="B7" t="n">
        <v>0</v>
      </c>
      <c r="C7" t="n">
        <v>0</v>
      </c>
      <c r="D7" t="n">
        <v>9</v>
      </c>
      <c r="F7" s="72" t="n">
        <v>0.04</v>
      </c>
      <c r="H7" t="inlineStr">
        <is>
          <t>1 ploughshare bought 9pence.</t>
        </is>
      </c>
      <c r="J7" s="72">
        <f>F7</f>
        <v/>
      </c>
      <c r="K7" s="72">
        <f>J7</f>
        <v/>
      </c>
    </row>
    <row r="8">
      <c r="A8" t="inlineStr">
        <is>
          <t>Cost of ploughs</t>
        </is>
      </c>
      <c r="B8" t="n">
        <v>0</v>
      </c>
      <c r="C8" t="n">
        <v>2</v>
      </c>
      <c r="D8" t="n">
        <v>4</v>
      </c>
      <c r="F8" s="72" t="n">
        <v>0.12</v>
      </c>
      <c r="H8" t="inlineStr">
        <is>
          <t>stipend of the smith making the ironwork of the ploughs 2 shilling 4pence.</t>
        </is>
      </c>
      <c r="J8" s="72">
        <f>F8</f>
        <v/>
      </c>
      <c r="K8">
        <f>J8/2</f>
        <v/>
      </c>
      <c r="L8" s="59" t="inlineStr">
        <is>
          <t>halfed to account for stipend part</t>
        </is>
      </c>
    </row>
    <row r="9">
      <c r="A9" t="inlineStr">
        <is>
          <t>Cost of ploughs</t>
        </is>
      </c>
      <c r="B9" t="n">
        <v>0</v>
      </c>
      <c r="C9" t="n">
        <v>0</v>
      </c>
      <c r="D9" t="n">
        <v>3</v>
      </c>
      <c r="F9" s="72" t="n">
        <v>0.01</v>
      </c>
      <c r="H9" t="inlineStr">
        <is>
          <t>fitting the wain with axles 3pence.</t>
        </is>
      </c>
      <c r="J9" s="72">
        <f>F9</f>
        <v/>
      </c>
      <c r="K9" s="72">
        <f>J9</f>
        <v/>
      </c>
    </row>
    <row r="10">
      <c r="A10" t="inlineStr">
        <is>
          <t>Cost of ploughs</t>
        </is>
      </c>
      <c r="B10" t="n">
        <v>0</v>
      </c>
      <c r="C10" t="n">
        <v>1</v>
      </c>
      <c r="D10" t="n">
        <v>5.5</v>
      </c>
      <c r="F10" s="72" t="n">
        <v>0.07000000000000001</v>
      </c>
      <c r="H10" t="inlineStr">
        <is>
          <t>clouts, nails and grease bought for the same 1 shilling 5.5pence, and so much because it went to the marling for the whole summer.</t>
        </is>
      </c>
      <c r="J10" s="72">
        <f>F10</f>
        <v/>
      </c>
      <c r="K10" s="72">
        <f>J10</f>
        <v/>
      </c>
    </row>
    <row r="11">
      <c r="A11" t="inlineStr">
        <is>
          <t>Cost of ploughs</t>
        </is>
      </c>
      <c r="B11" t="n">
        <v>0</v>
      </c>
      <c r="C11" t="n">
        <v>0</v>
      </c>
      <c r="D11" t="n">
        <v>1.5</v>
      </c>
      <c r="F11" s="72" t="n">
        <v>0.01</v>
      </c>
      <c r="H11" t="inlineStr">
        <is>
          <t>cleaning iron tyres 1.5pence.</t>
        </is>
      </c>
      <c r="J11" s="72">
        <f>F11</f>
        <v/>
      </c>
      <c r="K11" s="72">
        <f>J11</f>
        <v/>
      </c>
    </row>
    <row r="12">
      <c r="A12" t="inlineStr">
        <is>
          <t>Cost of ploughs</t>
        </is>
      </c>
      <c r="B12" t="n">
        <v>0</v>
      </c>
      <c r="C12" t="n">
        <v>0</v>
      </c>
      <c r="D12" t="n">
        <v>5</v>
      </c>
      <c r="F12" s="72" t="n">
        <v>0.02</v>
      </c>
      <c r="H12" t="inlineStr">
        <is>
          <t>1 rope, 6 halters and 1 pair of traces made from their own canvas 5pence.</t>
        </is>
      </c>
      <c r="J12" s="72">
        <f>F12</f>
        <v/>
      </c>
      <c r="K12" s="72">
        <f>J12</f>
        <v/>
      </c>
    </row>
    <row r="13">
      <c r="A13" t="inlineStr">
        <is>
          <t>Cost of ploughs</t>
        </is>
      </c>
      <c r="B13" t="n">
        <v>0</v>
      </c>
      <c r="C13" t="n">
        <v>10</v>
      </c>
      <c r="D13" t="n">
        <v>0</v>
      </c>
      <c r="F13" s="72" t="n">
        <v>0.5</v>
      </c>
      <c r="H13" t="inlineStr">
        <is>
          <t>1 ox bought 10 shilling.</t>
        </is>
      </c>
    </row>
    <row r="14">
      <c r="A14" t="inlineStr">
        <is>
          <t>Cost of ploughs</t>
        </is>
      </c>
      <c r="B14" t="n">
        <v>0</v>
      </c>
      <c r="C14" t="n">
        <v>6</v>
      </c>
      <c r="D14" t="n">
        <v>0</v>
      </c>
      <c r="F14" s="72" t="n">
        <v>0.3</v>
      </c>
      <c r="H14" t="inlineStr">
        <is>
          <t>stipend of 2 ploughmen for the year 6 shilling.</t>
        </is>
      </c>
    </row>
    <row r="15">
      <c r="A15" t="inlineStr">
        <is>
          <t>Cost of ploughs</t>
        </is>
      </c>
      <c r="B15" t="n">
        <v>0</v>
      </c>
      <c r="C15" t="n">
        <v>1</v>
      </c>
      <c r="D15" t="n">
        <v>4</v>
      </c>
      <c r="F15" s="72" t="n">
        <v>0.07000000000000001</v>
      </c>
      <c r="H15" t="inlineStr">
        <is>
          <t>4 bushels of beans bought for sowing 1 shilling 4pence.</t>
        </is>
      </c>
    </row>
    <row r="16">
      <c r="A16" t="inlineStr">
        <is>
          <t>Cost of ploughs</t>
        </is>
      </c>
      <c r="B16" t="n">
        <v>0</v>
      </c>
      <c r="C16" t="n">
        <v>12</v>
      </c>
      <c r="D16" t="n">
        <v>8</v>
      </c>
      <c r="F16" s="72">
        <f>B16+C16/20+D16/240</f>
        <v/>
      </c>
      <c r="H16" t="inlineStr">
        <is>
          <t xml:space="preserve">forage bought for supporting oxen 12 shilling 8pence </t>
        </is>
      </c>
    </row>
    <row r="17">
      <c r="A17" t="inlineStr">
        <is>
          <t>Cost of ploughs</t>
        </is>
      </c>
      <c r="B17" t="n">
        <v>2</v>
      </c>
      <c r="C17" t="n">
        <v>0</v>
      </c>
      <c r="D17" t="n">
        <v>0</v>
      </c>
      <c r="F17" s="72" t="n">
        <v>2</v>
      </c>
      <c r="H17" t="inlineStr">
        <is>
          <t>Total, £2.</t>
        </is>
      </c>
    </row>
    <row r="18">
      <c r="A18" t="inlineStr">
        <is>
          <t>Cost of ploughs</t>
        </is>
      </c>
      <c r="F18" s="72">
        <f>SUM(F3:F16)</f>
        <v/>
      </c>
      <c r="G18" s="139">
        <f>F18-F17</f>
        <v/>
      </c>
      <c r="H18" t="inlineStr">
        <is>
          <t>Total</t>
        </is>
      </c>
    </row>
    <row r="19"/>
    <row r="20">
      <c r="A20" t="inlineStr">
        <is>
          <t>Cost of carts</t>
        </is>
      </c>
      <c r="B20" t="n">
        <v>0</v>
      </c>
      <c r="C20" t="n">
        <v>0</v>
      </c>
      <c r="D20" t="n">
        <v>5.5</v>
      </c>
      <c r="F20" s="72" t="n">
        <v>0.02</v>
      </c>
      <c r="H20" t="inlineStr">
        <is>
          <t>In fitting the cart with axles at various times with axles bought for the same 5.5pence.</t>
        </is>
      </c>
      <c r="J20" s="72">
        <f>F20</f>
        <v/>
      </c>
      <c r="K20" s="72">
        <f>J20</f>
        <v/>
      </c>
    </row>
    <row r="21">
      <c r="A21" t="inlineStr">
        <is>
          <t>Cost of carts</t>
        </is>
      </c>
      <c r="B21" t="n">
        <v>0</v>
      </c>
      <c r="C21" t="n">
        <v>0</v>
      </c>
      <c r="D21" t="n">
        <v>6.5</v>
      </c>
      <c r="F21" s="72" t="n">
        <v>0.03</v>
      </c>
      <c r="H21" t="inlineStr">
        <is>
          <t>clouts, nails, grease bought for the same 6.5pence.</t>
        </is>
      </c>
      <c r="J21" s="72">
        <f>F21</f>
        <v/>
      </c>
      <c r="K21" s="72">
        <f>J21</f>
        <v/>
      </c>
    </row>
    <row r="22">
      <c r="A22" t="inlineStr">
        <is>
          <t>Cost of carts</t>
        </is>
      </c>
      <c r="B22" t="n">
        <v>0</v>
      </c>
      <c r="C22" t="n">
        <v>0</v>
      </c>
      <c r="D22" t="n">
        <v>8</v>
      </c>
      <c r="F22" s="72" t="n">
        <v>0.03</v>
      </c>
      <c r="H22" t="inlineStr">
        <is>
          <t>1 collar bought 8pence.</t>
        </is>
      </c>
      <c r="J22" s="72">
        <f>F22</f>
        <v/>
      </c>
      <c r="K22" s="72">
        <f>J22</f>
        <v/>
      </c>
    </row>
    <row r="23">
      <c r="A23" t="inlineStr">
        <is>
          <t>Cost of carts</t>
        </is>
      </c>
      <c r="B23" t="n">
        <v>0</v>
      </c>
      <c r="C23" t="n">
        <v>0</v>
      </c>
      <c r="D23" t="n">
        <v>6</v>
      </c>
      <c r="F23" s="72" t="n">
        <v>0.03</v>
      </c>
      <c r="H23" t="inlineStr">
        <is>
          <t>white leather bought for mending harnesses 6pence.</t>
        </is>
      </c>
      <c r="J23" s="72">
        <f>F23</f>
        <v/>
      </c>
      <c r="K23" s="72">
        <f>J23</f>
        <v/>
      </c>
    </row>
    <row r="24">
      <c r="A24" t="inlineStr">
        <is>
          <t>Cost of carts</t>
        </is>
      </c>
      <c r="B24" t="n">
        <v>0</v>
      </c>
      <c r="C24" t="n">
        <v>0</v>
      </c>
      <c r="D24" t="n">
        <v>7</v>
      </c>
      <c r="F24" s="72" t="n">
        <v>0.03</v>
      </c>
      <c r="H24" t="inlineStr">
        <is>
          <t>a broad-axe bought for mending the cart 7pence.</t>
        </is>
      </c>
      <c r="J24" s="72">
        <f>F24</f>
        <v/>
      </c>
      <c r="K24" s="72">
        <f>J24</f>
        <v/>
      </c>
    </row>
    <row r="25">
      <c r="A25" t="inlineStr">
        <is>
          <t>Cost of carts</t>
        </is>
      </c>
      <c r="B25" t="n">
        <v>0</v>
      </c>
      <c r="C25" t="n">
        <v>0</v>
      </c>
      <c r="D25" t="n">
        <v>3</v>
      </c>
      <c r="F25" s="72" t="n">
        <v>0.01</v>
      </c>
      <c r="H25" t="inlineStr">
        <is>
          <t>hooping the hubs of wheels with bands of wood 3pence.</t>
        </is>
      </c>
      <c r="J25" s="72">
        <f>F25</f>
        <v/>
      </c>
      <c r="K25" s="72">
        <f>J25</f>
        <v/>
      </c>
    </row>
    <row r="26">
      <c r="A26" t="inlineStr">
        <is>
          <t>Cost of carts</t>
        </is>
      </c>
      <c r="B26" t="n">
        <v>0</v>
      </c>
      <c r="C26" t="n">
        <v>2</v>
      </c>
      <c r="D26" t="n">
        <v>6</v>
      </c>
      <c r="F26" s="72" t="n">
        <v>0.12</v>
      </c>
      <c r="H26" t="inlineStr">
        <is>
          <t>shoeing 2 cart-horses for the year 2 shilling 6pence.</t>
        </is>
      </c>
      <c r="J26" s="72">
        <f>F26</f>
        <v/>
      </c>
      <c r="K26" s="72">
        <f>J26</f>
        <v/>
      </c>
    </row>
    <row r="27">
      <c r="A27" t="inlineStr">
        <is>
          <t>Cost of carts</t>
        </is>
      </c>
      <c r="B27" t="n">
        <v>0</v>
      </c>
      <c r="C27" t="n">
        <v>0</v>
      </c>
      <c r="D27" t="n">
        <v>8</v>
      </c>
      <c r="F27" s="72" t="n">
        <v>0.03</v>
      </c>
      <c r="H27" t="inlineStr">
        <is>
          <t>shoeing 2 plough-horses going to harrow at both sowings 8pence.</t>
        </is>
      </c>
      <c r="J27" s="72">
        <f>F27</f>
        <v/>
      </c>
      <c r="K27" s="72">
        <f>J27</f>
        <v/>
      </c>
    </row>
    <row r="28">
      <c r="A28" t="inlineStr">
        <is>
          <t>Cost of carts</t>
        </is>
      </c>
      <c r="B28" t="n">
        <v>0</v>
      </c>
      <c r="C28" t="n">
        <v>3</v>
      </c>
      <c r="D28" t="n">
        <v>0</v>
      </c>
      <c r="F28" s="72" t="n">
        <v>0.15</v>
      </c>
      <c r="H28" t="inlineStr">
        <is>
          <t>stipend of 1 carter for the year 3 shilling.</t>
        </is>
      </c>
    </row>
    <row r="29">
      <c r="A29" t="inlineStr">
        <is>
          <t>Cost of carts</t>
        </is>
      </c>
      <c r="B29" t="n">
        <v>0</v>
      </c>
      <c r="C29" t="n">
        <v>8</v>
      </c>
      <c r="D29" t="n">
        <v>8</v>
      </c>
      <c r="F29" s="72" t="n">
        <v>0.43</v>
      </c>
      <c r="H29" t="inlineStr">
        <is>
          <t xml:space="preserve">4 quarters 2 bushels of oats bought for the fodder of horses 8 shilling 8pence </t>
        </is>
      </c>
    </row>
    <row r="30">
      <c r="A30" t="inlineStr">
        <is>
          <t>Cost of carts</t>
        </is>
      </c>
      <c r="B30" t="n">
        <v>0</v>
      </c>
      <c r="C30" t="n">
        <v>17</v>
      </c>
      <c r="D30" t="n">
        <v>8</v>
      </c>
      <c r="F30" s="72">
        <f>B30+C30/20+D30/240</f>
        <v/>
      </c>
      <c r="H30" t="inlineStr">
        <is>
          <t>Total, 17 shilling 8pence</t>
        </is>
      </c>
    </row>
    <row r="31">
      <c r="A31" t="inlineStr">
        <is>
          <t>Cost of carts</t>
        </is>
      </c>
      <c r="F31" s="72" t="n">
        <v>0.8800000000000001</v>
      </c>
      <c r="G31" s="139">
        <f>F31-F30</f>
        <v/>
      </c>
      <c r="H31" t="inlineStr">
        <is>
          <t>Total</t>
        </is>
      </c>
    </row>
    <row r="32"/>
    <row r="33">
      <c r="A33" t="inlineStr">
        <is>
          <t>Cost of the dairy</t>
        </is>
      </c>
      <c r="B33" t="n">
        <v>0</v>
      </c>
      <c r="C33" t="n">
        <v>0</v>
      </c>
      <c r="D33" t="n">
        <v>5</v>
      </c>
      <c r="F33" s="72" t="n">
        <v>0.02</v>
      </c>
      <c r="H33" t="inlineStr">
        <is>
          <t>In woollen and linen cloth bought for the dairy 5pence.</t>
        </is>
      </c>
      <c r="J33" s="72">
        <f>F33</f>
        <v/>
      </c>
      <c r="K33" s="72">
        <f>J33</f>
        <v/>
      </c>
    </row>
    <row r="34">
      <c r="A34" t="inlineStr">
        <is>
          <t>Cost of the dairy</t>
        </is>
      </c>
      <c r="B34" t="n">
        <v>0</v>
      </c>
      <c r="C34" t="n">
        <v>1</v>
      </c>
      <c r="D34" t="n">
        <v>5</v>
      </c>
      <c r="F34" s="72" t="n">
        <v>0.07000000000000001</v>
      </c>
      <c r="H34" t="inlineStr">
        <is>
          <t>5 bushels of salt bought 1 shilling .5pence.</t>
        </is>
      </c>
      <c r="J34" s="72">
        <f>F34</f>
        <v/>
      </c>
      <c r="K34" s="72">
        <f>J34</f>
        <v/>
      </c>
    </row>
    <row r="35">
      <c r="A35" t="inlineStr">
        <is>
          <t>Cost of the dairy</t>
        </is>
      </c>
      <c r="B35" t="n">
        <v>0</v>
      </c>
      <c r="C35" t="n">
        <v>0</v>
      </c>
      <c r="D35" t="n">
        <v>2</v>
      </c>
      <c r="F35" s="72" t="n">
        <v>0.01</v>
      </c>
      <c r="H35" t="inlineStr">
        <is>
          <t>earthenware pots and pans bought for the same 2pence.</t>
        </is>
      </c>
      <c r="J35" s="72">
        <f>F35</f>
        <v/>
      </c>
      <c r="K35" s="72">
        <f>J35</f>
        <v/>
      </c>
    </row>
    <row r="36">
      <c r="A36" t="inlineStr">
        <is>
          <t>Cost of the dairy</t>
        </is>
      </c>
      <c r="B36" t="n">
        <v>0</v>
      </c>
      <c r="C36" t="n">
        <v>0</v>
      </c>
      <c r="D36" t="n">
        <v>5</v>
      </c>
      <c r="F36" s="72" t="n">
        <v>0.02</v>
      </c>
      <c r="H36" t="inlineStr">
        <is>
          <t>1 new bucket bought and another mended 5pence.</t>
        </is>
      </c>
      <c r="J36" s="72">
        <f>F36</f>
        <v/>
      </c>
      <c r="K36" s="72">
        <f>J36</f>
        <v/>
      </c>
    </row>
    <row r="37">
      <c r="A37" t="inlineStr">
        <is>
          <t>Cost of the dairy</t>
        </is>
      </c>
      <c r="B37" t="n">
        <v>0</v>
      </c>
      <c r="C37" t="n">
        <v>0</v>
      </c>
      <c r="D37" t="n">
        <v>3</v>
      </c>
      <c r="F37" s="72" t="n">
        <v>0.01</v>
      </c>
      <c r="H37" t="inlineStr">
        <is>
          <t>a press bought for the same 3pence.</t>
        </is>
      </c>
      <c r="J37" s="72">
        <f>F37</f>
        <v/>
      </c>
      <c r="K37" s="72">
        <f>J37</f>
        <v/>
      </c>
    </row>
    <row r="38">
      <c r="A38" t="inlineStr">
        <is>
          <t>Cost of the dairy</t>
        </is>
      </c>
      <c r="B38" t="n">
        <v>0</v>
      </c>
      <c r="C38" t="n">
        <v>1</v>
      </c>
      <c r="D38" t="n">
        <v>7.5</v>
      </c>
      <c r="F38" s="72" t="n">
        <v>0.08</v>
      </c>
      <c r="H38" t="inlineStr">
        <is>
          <t>6 ells of canvas bought for putting the wool in 1 shilling7.5pence, at 3.25pence an ell.</t>
        </is>
      </c>
      <c r="J38" s="72">
        <f>F38</f>
        <v/>
      </c>
      <c r="K38" s="72">
        <f>J38</f>
        <v/>
      </c>
    </row>
    <row r="39">
      <c r="A39" t="inlineStr">
        <is>
          <t>Cost of the dairy</t>
        </is>
      </c>
      <c r="B39" t="n">
        <v>0</v>
      </c>
      <c r="C39" t="n">
        <v>0</v>
      </c>
      <c r="D39" t="n">
        <v>2</v>
      </c>
      <c r="F39" s="72" t="n">
        <v>0.01</v>
      </c>
      <c r="H39" t="inlineStr">
        <is>
          <t>packing the wool 2pence.</t>
        </is>
      </c>
      <c r="J39" s="72">
        <f>F39</f>
        <v/>
      </c>
      <c r="K39" s="72">
        <f>J39</f>
        <v/>
      </c>
    </row>
    <row r="40">
      <c r="A40" t="inlineStr">
        <is>
          <t>Cost of the dairy</t>
        </is>
      </c>
      <c r="B40" t="n">
        <v>0</v>
      </c>
      <c r="C40" t="n">
        <v>3</v>
      </c>
      <c r="D40" t="n">
        <v>0</v>
      </c>
      <c r="F40" s="72" t="n">
        <v>0.15</v>
      </c>
      <c r="H40" t="inlineStr">
        <is>
          <t>grease bought for greasing sheep 3 shilling.</t>
        </is>
      </c>
      <c r="J40" s="72">
        <f>F40</f>
        <v/>
      </c>
      <c r="K40" s="72">
        <f>J40</f>
        <v/>
      </c>
    </row>
    <row r="41">
      <c r="A41" t="inlineStr">
        <is>
          <t>Cost of the dairy</t>
        </is>
      </c>
      <c r="B41" t="n">
        <v>0</v>
      </c>
      <c r="C41" t="n">
        <v>0</v>
      </c>
      <c r="D41" t="n">
        <v>4</v>
      </c>
      <c r="F41" s="72" t="n">
        <v>0.02</v>
      </c>
      <c r="H41" t="inlineStr">
        <is>
          <t>1 mould bought for making cheese 4pence.</t>
        </is>
      </c>
      <c r="J41" s="72">
        <f>F41</f>
        <v/>
      </c>
      <c r="K41" s="72">
        <f>J41</f>
        <v/>
      </c>
    </row>
    <row r="42">
      <c r="A42" t="inlineStr">
        <is>
          <t>Cost of the dairy</t>
        </is>
      </c>
      <c r="B42" t="n">
        <v>0</v>
      </c>
      <c r="C42" t="n">
        <v>1</v>
      </c>
      <c r="D42" t="n">
        <v>6</v>
      </c>
      <c r="F42" s="72" t="n">
        <v>0.08</v>
      </c>
      <c r="H42" t="inlineStr">
        <is>
          <t>stipend of 1 dairymaid for the year 1 shilling 6pence.</t>
        </is>
      </c>
    </row>
    <row r="43">
      <c r="A43" t="inlineStr">
        <is>
          <t>Cost of the dairy</t>
        </is>
      </c>
      <c r="B43" t="n">
        <v>0</v>
      </c>
      <c r="C43" t="n">
        <v>3</v>
      </c>
      <c r="D43" t="n">
        <v>0</v>
      </c>
      <c r="F43" s="72" t="n">
        <v>0.15</v>
      </c>
      <c r="H43" t="inlineStr">
        <is>
          <t>stipend of 1 shepherd for the year 3 shilling.</t>
        </is>
      </c>
    </row>
    <row r="44">
      <c r="A44" t="inlineStr">
        <is>
          <t>Cost of the dairy</t>
        </is>
      </c>
      <c r="B44" t="n">
        <v>2</v>
      </c>
      <c r="C44" t="n">
        <v>19</v>
      </c>
      <c r="D44" t="n">
        <v>1</v>
      </c>
      <c r="F44" s="72" t="n">
        <v>2.95</v>
      </c>
      <c r="H44" t="inlineStr">
        <is>
          <t>7 cows bought for the lord's stock £2 19 shilling 1pence, at 7 shilling 9.5pence each for 2, 8 shilling 6pence each for 3, and 9 shilling each for 2..</t>
        </is>
      </c>
    </row>
    <row r="45">
      <c r="A45" t="inlineStr">
        <is>
          <t>Cost of the dairy</t>
        </is>
      </c>
      <c r="B45" t="n">
        <v>0</v>
      </c>
      <c r="C45" t="n">
        <v>1</v>
      </c>
      <c r="D45" t="n">
        <v>6</v>
      </c>
      <c r="F45" s="72">
        <f>B45+C45/20+D45/240</f>
        <v/>
      </c>
      <c r="H45" t="inlineStr">
        <is>
          <t>1 wether bought before shearing 1 shilling 6pence</t>
        </is>
      </c>
    </row>
    <row r="46">
      <c r="A46" t="inlineStr">
        <is>
          <t>Cost of the dairy</t>
        </is>
      </c>
      <c r="B46" t="n">
        <v>3</v>
      </c>
      <c r="C46" t="n">
        <v>12</v>
      </c>
      <c r="D46" t="n">
        <v>6</v>
      </c>
      <c r="F46" s="72" t="n">
        <v>3.62</v>
      </c>
      <c r="H46" t="inlineStr">
        <is>
          <t xml:space="preserve"> Total, £3 12 shilling 6pence</t>
        </is>
      </c>
    </row>
    <row r="47">
      <c r="A47" t="inlineStr">
        <is>
          <t>Cost of the dairy</t>
        </is>
      </c>
      <c r="F47" s="72">
        <f>SUM(F33:F45)</f>
        <v/>
      </c>
      <c r="G47" s="139">
        <f>F47-F46</f>
        <v/>
      </c>
      <c r="H47" t="inlineStr">
        <is>
          <t>Total</t>
        </is>
      </c>
    </row>
    <row r="48"/>
    <row r="49">
      <c r="A49" t="inlineStr">
        <is>
          <t>Threshing</t>
        </is>
      </c>
      <c r="B49" t="n">
        <v>0</v>
      </c>
      <c r="C49" t="n">
        <v>5</v>
      </c>
      <c r="D49" t="n">
        <v>2.5</v>
      </c>
      <c r="F49" s="72" t="n">
        <v>0.26</v>
      </c>
      <c r="H49" t="inlineStr">
        <is>
          <t>In threshing 30 quarters of wheat, curall and rye by piece-work 5 shilling, at 2.5pence per 10 struck bushe1 shilling.</t>
        </is>
      </c>
    </row>
    <row r="50">
      <c r="A50" t="inlineStr">
        <is>
          <t>Threshing</t>
        </is>
      </c>
      <c r="B50" t="n">
        <v>0</v>
      </c>
      <c r="C50" t="n">
        <v>6</v>
      </c>
      <c r="D50" t="n">
        <v>0</v>
      </c>
      <c r="F50" s="72" t="n">
        <v>0.3</v>
      </c>
      <c r="H50" t="inlineStr">
        <is>
          <t>threshing 64 quarters 1 bushels of barley, dredge, peas and vetches by piece-work 6 shilling per 10 struck bushe1 shilling.</t>
        </is>
      </c>
    </row>
    <row r="51">
      <c r="A51" t="inlineStr">
        <is>
          <t>Threshing</t>
        </is>
      </c>
      <c r="B51" t="n">
        <v>0</v>
      </c>
      <c r="C51" t="n">
        <v>1</v>
      </c>
      <c r="D51" t="n">
        <v>0</v>
      </c>
      <c r="F51" s="72" t="n">
        <v>0.05</v>
      </c>
      <c r="H51" t="inlineStr">
        <is>
          <t>threshing 20 quarters 3 bushels of oats by piece-workper 20 struck bushe1 shilling.</t>
        </is>
      </c>
    </row>
    <row r="52">
      <c r="A52" t="inlineStr">
        <is>
          <t>Threshing</t>
        </is>
      </c>
      <c r="B52" t="n">
        <v>0</v>
      </c>
      <c r="C52" t="n">
        <v>1</v>
      </c>
      <c r="D52" t="n">
        <v>4.5</v>
      </c>
      <c r="F52" s="72" t="n">
        <v>0.07000000000000001</v>
      </c>
      <c r="H52" t="inlineStr">
        <is>
          <t xml:space="preserve">winnowing all the corn beyond that 4.5pence, at 1.5pence  1 shilling, at 1.5pence winnowed by the dairymaid 9pence </t>
        </is>
      </c>
    </row>
    <row r="53">
      <c r="A53" t="inlineStr">
        <is>
          <t>Threshing</t>
        </is>
      </c>
      <c r="B53" t="n">
        <v>0</v>
      </c>
      <c r="C53" t="n">
        <v>13</v>
      </c>
      <c r="D53" t="n">
        <v>1.5</v>
      </c>
      <c r="F53" s="72">
        <f>B53+C53/20+D53/240</f>
        <v/>
      </c>
      <c r="H53" t="inlineStr">
        <is>
          <t>Total, 13 shilling 1.5pence</t>
        </is>
      </c>
    </row>
    <row r="54">
      <c r="A54" t="inlineStr">
        <is>
          <t>Threshing</t>
        </is>
      </c>
      <c r="F54" s="72" t="n">
        <v>0.6800000000000002</v>
      </c>
      <c r="G54" s="139">
        <f>F54-F53</f>
        <v/>
      </c>
      <c r="H54" t="inlineStr">
        <is>
          <t>Total</t>
        </is>
      </c>
    </row>
    <row r="55"/>
    <row r="56">
      <c r="A56" t="inlineStr">
        <is>
          <t>Cost of buildings</t>
        </is>
      </c>
      <c r="B56" t="n">
        <v>0</v>
      </c>
      <c r="C56" t="n">
        <v>6</v>
      </c>
      <c r="D56" t="n">
        <v>11</v>
      </c>
      <c r="F56" s="72" t="n">
        <v>0.35</v>
      </c>
      <c r="H56" t="inlineStr">
        <is>
          <t>in 6 lb of tin and 2 fotmals of lead bought for mending the lord's tower and various gutters in the curia 6 shilling 11pence.</t>
        </is>
      </c>
      <c r="J56" s="72">
        <f>F56</f>
        <v/>
      </c>
      <c r="K56" s="72" t="n"/>
    </row>
    <row r="57">
      <c r="A57" t="inlineStr">
        <is>
          <t>Cost of buildings</t>
        </is>
      </c>
      <c r="B57" t="n">
        <v>0</v>
      </c>
      <c r="C57" t="n">
        <v>1</v>
      </c>
      <c r="D57" t="n">
        <v>6</v>
      </c>
      <c r="F57" s="72" t="n">
        <v>0.08</v>
      </c>
      <c r="H57" t="inlineStr">
        <is>
          <t>1 plumber with 1 mate cutting the said tin and lead and mending the tower and various gutters in the curia for 3 days 1 shilling 6pence, at 6pence a day.'.</t>
        </is>
      </c>
      <c r="J57" s="72">
        <f>F57</f>
        <v/>
      </c>
    </row>
    <row r="58">
      <c r="A58" t="inlineStr">
        <is>
          <t>Cost of buildings</t>
        </is>
      </c>
      <c r="B58" t="n">
        <v>0</v>
      </c>
      <c r="C58" t="n">
        <v>0</v>
      </c>
      <c r="D58" t="n">
        <v>2</v>
      </c>
      <c r="F58" s="72" t="n">
        <v>0.01</v>
      </c>
      <c r="H58" t="inlineStr">
        <is>
          <t>nails for the same 2pence.</t>
        </is>
      </c>
      <c r="J58" s="72">
        <f>F58</f>
        <v/>
      </c>
    </row>
    <row r="59">
      <c r="A59" t="inlineStr">
        <is>
          <t>Cost of buildings</t>
        </is>
      </c>
      <c r="B59" t="n">
        <v>0</v>
      </c>
      <c r="C59" t="n">
        <v>13</v>
      </c>
      <c r="D59" t="n">
        <v>6</v>
      </c>
      <c r="F59" s="72" t="n">
        <v>0.68</v>
      </c>
      <c r="H59" t="inlineStr">
        <is>
          <t>re-roofing in places the hall and lord's chamber, the archdeacon's chamber, knights' chamber, bailiff's room and granary, which had been partly unroofed, 13 shilling 6pence.</t>
        </is>
      </c>
      <c r="J59" s="72">
        <f>F59</f>
        <v/>
      </c>
    </row>
    <row r="60">
      <c r="A60" t="inlineStr">
        <is>
          <t>Cost of buildings</t>
        </is>
      </c>
      <c r="B60" t="n">
        <v>0</v>
      </c>
      <c r="C60" t="n">
        <v>2</v>
      </c>
      <c r="D60" t="n">
        <v>0</v>
      </c>
      <c r="F60" s="72">
        <f>B60+C60/20+D60/240</f>
        <v/>
      </c>
      <c r="H60" t="inlineStr">
        <is>
          <t>3 quarters of lime bought for the same 2 shilling, at 8pence a qr.</t>
        </is>
      </c>
      <c r="J60" s="72">
        <f>F60</f>
        <v/>
      </c>
    </row>
    <row r="61">
      <c r="A61" t="inlineStr">
        <is>
          <t>Cost of buildings</t>
        </is>
      </c>
      <c r="B61" t="n">
        <v>0</v>
      </c>
      <c r="C61" t="n">
        <v>0</v>
      </c>
      <c r="D61" t="n">
        <v>2</v>
      </c>
      <c r="F61" s="72">
        <f>B61+C61/20+D61/240</f>
        <v/>
      </c>
      <c r="H61" t="inlineStr">
        <is>
          <t>200 nails bought for fastening the laths 2pence.</t>
        </is>
      </c>
      <c r="J61" s="72">
        <f>F61</f>
        <v/>
      </c>
    </row>
    <row r="62">
      <c r="A62" t="inlineStr">
        <is>
          <t>Cost of buildings</t>
        </is>
      </c>
      <c r="B62" t="n">
        <v>0</v>
      </c>
      <c r="C62" t="n">
        <v>2</v>
      </c>
      <c r="D62" t="n">
        <v>6</v>
      </c>
      <c r="F62" s="72">
        <f>B62+C62/20+D62/240</f>
        <v/>
      </c>
      <c r="H62" t="inlineStr">
        <is>
          <t>re-roofing in places the great barn, byre, cow-shed and building of the press which had been unroofed 2 shilling 6pence.</t>
        </is>
      </c>
      <c r="J62" s="72">
        <f>F62</f>
        <v/>
      </c>
      <c r="K62" s="72">
        <f>J62</f>
        <v/>
      </c>
    </row>
    <row r="63">
      <c r="A63" t="inlineStr">
        <is>
          <t>Cost of buildings</t>
        </is>
      </c>
      <c r="B63" t="n">
        <v>0</v>
      </c>
      <c r="C63" t="n">
        <v>0</v>
      </c>
      <c r="D63" t="n">
        <v>6</v>
      </c>
      <c r="F63" s="72">
        <f>B63+C63/20+D63/240</f>
        <v/>
      </c>
      <c r="H63" t="inlineStr">
        <is>
          <t>re-roofing the sheepcote in places 6pence.</t>
        </is>
      </c>
      <c r="J63" s="72">
        <f>F63</f>
        <v/>
      </c>
      <c r="K63" s="72">
        <f>J63</f>
        <v/>
      </c>
    </row>
    <row r="64">
      <c r="A64" t="inlineStr">
        <is>
          <t>Cost of buildings</t>
        </is>
      </c>
      <c r="B64" t="n">
        <v>0</v>
      </c>
      <c r="C64" t="n">
        <v>0</v>
      </c>
      <c r="D64" t="n">
        <v>7</v>
      </c>
      <c r="F64" s="72">
        <f>B64+C64/20+D64/240</f>
        <v/>
      </c>
      <c r="H64" t="inlineStr">
        <is>
          <t>2 locks bought for the building of the press and the door to the chamber of the chapel 7pence.</t>
        </is>
      </c>
      <c r="J64" s="72">
        <f>F64</f>
        <v/>
      </c>
      <c r="K64" s="72">
        <f>J64</f>
        <v/>
      </c>
    </row>
    <row r="65">
      <c r="A65" t="inlineStr">
        <is>
          <t>Cost of buildings</t>
        </is>
      </c>
      <c r="B65" t="n">
        <v>0</v>
      </c>
      <c r="C65" t="n">
        <v>0</v>
      </c>
      <c r="D65" t="n">
        <v>10</v>
      </c>
      <c r="F65" s="72">
        <f>B65+C65/20+D65/240</f>
        <v/>
      </c>
      <c r="H65" t="inlineStr">
        <is>
          <t>1 band of iron for hooping the beam of the press 10pence.</t>
        </is>
      </c>
      <c r="J65" s="72">
        <f>F65</f>
        <v/>
      </c>
      <c r="K65" s="72">
        <f>J65</f>
        <v/>
      </c>
    </row>
    <row r="66">
      <c r="A66" t="inlineStr">
        <is>
          <t>Cost of buildings</t>
        </is>
      </c>
      <c r="B66" t="n">
        <v>0</v>
      </c>
      <c r="C66" t="n">
        <v>0</v>
      </c>
      <c r="D66" t="n">
        <v>3.5</v>
      </c>
      <c r="F66" s="72">
        <f>B66+C66/20+D66/240</f>
        <v/>
      </c>
      <c r="H66" t="inlineStr">
        <is>
          <t xml:space="preserve">1 iron shovel bought 3.5pence </t>
        </is>
      </c>
      <c r="J66" s="72">
        <f>F66</f>
        <v/>
      </c>
      <c r="K66" s="72">
        <f>J66</f>
        <v/>
      </c>
    </row>
    <row r="67">
      <c r="A67" t="inlineStr">
        <is>
          <t>Cost of buildings</t>
        </is>
      </c>
      <c r="B67" t="n">
        <v>1</v>
      </c>
      <c r="C67" t="n">
        <v>8</v>
      </c>
      <c r="D67" t="n">
        <v>11.5</v>
      </c>
      <c r="F67" s="72" t="n">
        <v>1.45</v>
      </c>
      <c r="H67" t="inlineStr">
        <is>
          <t>Total, £1 8 shilling 11.5pence</t>
        </is>
      </c>
    </row>
    <row r="68">
      <c r="A68" t="inlineStr">
        <is>
          <t>Cost of buildings</t>
        </is>
      </c>
      <c r="F68" s="72">
        <f>SUM(F56:F66)</f>
        <v/>
      </c>
      <c r="G68" s="139">
        <f>F68-F67</f>
        <v/>
      </c>
      <c r="H68" t="inlineStr">
        <is>
          <t>Total</t>
        </is>
      </c>
    </row>
    <row r="69"/>
    <row r="70">
      <c r="A70" t="inlineStr">
        <is>
          <t>Cost of the park</t>
        </is>
      </c>
      <c r="B70" t="n">
        <v>0</v>
      </c>
      <c r="C70" t="n">
        <v>3</v>
      </c>
      <c r="D70" t="n">
        <v>0</v>
      </c>
      <c r="F70" s="72" t="n">
        <v>0.15</v>
      </c>
      <c r="H70" t="inlineStr">
        <is>
          <t>In mending the palisade of the park in places 3 shilling.</t>
        </is>
      </c>
      <c r="J70" s="72">
        <f>F70</f>
        <v/>
      </c>
    </row>
    <row r="71">
      <c r="A71" t="inlineStr">
        <is>
          <t>Cost of the park</t>
        </is>
      </c>
      <c r="B71" t="n">
        <v>0</v>
      </c>
      <c r="C71" t="n">
        <v>4</v>
      </c>
      <c r="D71" t="n">
        <v>5</v>
      </c>
      <c r="F71" s="72" t="n">
        <v>0.22</v>
      </c>
      <c r="H71" t="inlineStr">
        <is>
          <t>enclosing 54 perches in the said park 4 shilling 5pence, at 1pence a perch.</t>
        </is>
      </c>
      <c r="J71" s="72">
        <f>F71</f>
        <v/>
      </c>
    </row>
    <row r="72">
      <c r="A72" t="inlineStr">
        <is>
          <t>Cost of the park</t>
        </is>
      </c>
      <c r="B72" t="n">
        <v>0</v>
      </c>
      <c r="C72" t="n">
        <v>0</v>
      </c>
      <c r="D72" t="n">
        <v>11</v>
      </c>
      <c r="F72" s="72">
        <f>B72+C72/20+D72/240</f>
        <v/>
      </c>
      <c r="H72" t="inlineStr">
        <is>
          <t xml:space="preserve">mending the old fences of the said park in places 11pence </t>
        </is>
      </c>
      <c r="J72" s="72">
        <f>F72</f>
        <v/>
      </c>
    </row>
    <row r="73">
      <c r="A73" t="inlineStr">
        <is>
          <t>Cost of the park</t>
        </is>
      </c>
      <c r="B73" t="n">
        <v>0</v>
      </c>
      <c r="C73" t="n">
        <v>8</v>
      </c>
      <c r="D73" t="n">
        <v>4</v>
      </c>
      <c r="F73" s="72">
        <f>B73+C73/20+D73/240</f>
        <v/>
      </c>
      <c r="H73" t="inlineStr">
        <is>
          <t>Total, 8 shilling 4pence</t>
        </is>
      </c>
    </row>
    <row r="74">
      <c r="A74" t="inlineStr">
        <is>
          <t>Cost of the park</t>
        </is>
      </c>
      <c r="F74" s="72">
        <f>SUM(F70:F72)</f>
        <v/>
      </c>
      <c r="G74" s="139">
        <f>F74-F73</f>
        <v/>
      </c>
      <c r="H74" t="inlineStr">
        <is>
          <t>Total</t>
        </is>
      </c>
    </row>
    <row r="75"/>
    <row r="76">
      <c r="A76" t="inlineStr">
        <is>
          <t>Cost of the harvest</t>
        </is>
      </c>
      <c r="B76" t="n">
        <v>0</v>
      </c>
      <c r="C76" t="n">
        <v>2</v>
      </c>
      <c r="D76" t="n">
        <v>0</v>
      </c>
      <c r="F76" s="72" t="n">
        <v>0.1</v>
      </c>
      <c r="H76" t="inlineStr">
        <is>
          <t>In mowing the meadow of Botley and Hove which contains 6 acres measured by the perch by piece-work 2 shilling.</t>
        </is>
      </c>
    </row>
    <row r="77">
      <c r="A77" t="inlineStr">
        <is>
          <t>Cost of the harvest</t>
        </is>
      </c>
      <c r="B77" t="n">
        <v>0</v>
      </c>
      <c r="C77" t="n">
        <v>2</v>
      </c>
      <c r="D77" t="n">
        <v>0</v>
      </c>
      <c r="F77" s="72" t="n">
        <v>0.1</v>
      </c>
      <c r="H77" t="inlineStr">
        <is>
          <t>mowing le Longemor' 2 shilling.</t>
        </is>
      </c>
    </row>
    <row r="78">
      <c r="A78" t="inlineStr">
        <is>
          <t>Cost of the harvest</t>
        </is>
      </c>
      <c r="B78" t="n">
        <v>0</v>
      </c>
      <c r="C78" t="n">
        <v>2</v>
      </c>
      <c r="D78" t="n">
        <v>0</v>
      </c>
      <c r="F78" s="72" t="n">
        <v>0.1</v>
      </c>
      <c r="H78" t="inlineStr">
        <is>
          <t>mowing Bathardesmed' 2 shilling.</t>
        </is>
      </c>
    </row>
    <row r="79">
      <c r="A79" t="inlineStr">
        <is>
          <t>Cost of the harvest</t>
        </is>
      </c>
      <c r="B79" t="n">
        <v>0</v>
      </c>
      <c r="C79" t="n">
        <v>0</v>
      </c>
      <c r="D79" t="n">
        <v>7.5</v>
      </c>
      <c r="F79" s="72" t="n">
        <v>0.03</v>
      </c>
      <c r="H79" t="inlineStr">
        <is>
          <t>mowing the meadow which belonged to the Abbot of Netley 7.5pence.</t>
        </is>
      </c>
    </row>
    <row r="80">
      <c r="A80" t="inlineStr">
        <is>
          <t>Cost of the harvest</t>
        </is>
      </c>
      <c r="B80" t="n">
        <v>0</v>
      </c>
      <c r="C80" t="n">
        <v>1</v>
      </c>
      <c r="D80" t="n">
        <v>3</v>
      </c>
      <c r="F80" s="72" t="n">
        <v>0.06</v>
      </c>
      <c r="H80" t="inlineStr">
        <is>
          <t>tossing and tedding all the hay 1 shilling 3pence.</t>
        </is>
      </c>
    </row>
    <row r="81">
      <c r="A81" t="inlineStr">
        <is>
          <t>Cost of the harvest</t>
        </is>
      </c>
      <c r="B81" t="n">
        <v>0</v>
      </c>
      <c r="C81" t="n">
        <v>5</v>
      </c>
      <c r="D81" t="n">
        <v>9</v>
      </c>
      <c r="F81" s="72" t="n">
        <v>0.29</v>
      </c>
      <c r="H81" t="inlineStr">
        <is>
          <t>864 herrings bought for 1.5 boon-works of 108 men who reaped and bound 68 acres of wheat, 12 acres of rye and 40 acres of barley 5 shilling 9pence.</t>
        </is>
      </c>
    </row>
    <row r="82">
      <c r="A82" t="inlineStr">
        <is>
          <t>Cost of the harvest</t>
        </is>
      </c>
      <c r="B82" t="n">
        <v>0</v>
      </c>
      <c r="C82" t="n">
        <v>0</v>
      </c>
      <c r="D82" t="n">
        <v>0</v>
      </c>
      <c r="F82" s="72" t="n">
        <v>0</v>
      </c>
      <c r="H82" t="inlineStr">
        <is>
          <t>and know that each of them has 5 herrings a day, 3 at lunch and 2 at supper.</t>
        </is>
      </c>
    </row>
    <row r="83">
      <c r="A83" t="inlineStr">
        <is>
          <t>Cost of the harvest</t>
        </is>
      </c>
      <c r="B83" t="n">
        <v>0</v>
      </c>
      <c r="C83" t="n">
        <v>0</v>
      </c>
      <c r="D83" t="n">
        <v>0</v>
      </c>
      <c r="F83" s="72" t="n">
        <v>0</v>
      </c>
      <c r="H83" t="inlineStr">
        <is>
          <t>and know that the rest of the corn is reaped by labour service.</t>
        </is>
      </c>
    </row>
    <row r="84">
      <c r="A84" t="inlineStr">
        <is>
          <t>Cost of the harvest</t>
        </is>
      </c>
      <c r="B84" t="n">
        <v>0</v>
      </c>
      <c r="C84" t="n">
        <v>16</v>
      </c>
      <c r="D84" t="n">
        <v>8</v>
      </c>
      <c r="F84" s="72" t="n">
        <v>0.83</v>
      </c>
      <c r="H84" t="inlineStr">
        <is>
          <t>6 casks bought for cider 16 shilling, at 2 shilling 8pence a cask.</t>
        </is>
      </c>
    </row>
    <row r="85">
      <c r="A85" t="inlineStr">
        <is>
          <t>Cost of the harvest</t>
        </is>
      </c>
      <c r="B85" t="n">
        <v>0</v>
      </c>
      <c r="C85" t="n">
        <v>2</v>
      </c>
      <c r="D85" t="n">
        <v>4</v>
      </c>
      <c r="F85" s="72" t="n">
        <v>0.12</v>
      </c>
      <c r="H85" t="inlineStr">
        <is>
          <t>hooping and binding the same 2 shilling 4pence.</t>
        </is>
      </c>
    </row>
    <row r="86">
      <c r="A86" t="inlineStr">
        <is>
          <t>Cost of the harvest</t>
        </is>
      </c>
      <c r="B86" t="n">
        <v>0</v>
      </c>
      <c r="C86" t="n">
        <v>1</v>
      </c>
      <c r="D86" t="n">
        <v>0</v>
      </c>
      <c r="F86" s="72">
        <f>B86+C86/20+D86/240</f>
        <v/>
      </c>
      <c r="H86" t="inlineStr">
        <is>
          <t xml:space="preserve">hooping and mending 3 tubs, 1 small tub and 1 tine 1 shilling </t>
        </is>
      </c>
    </row>
    <row r="87">
      <c r="A87" t="inlineStr">
        <is>
          <t>Cost of the harvest</t>
        </is>
      </c>
      <c r="B87" t="n">
        <v>1</v>
      </c>
      <c r="C87" t="n">
        <v>12</v>
      </c>
      <c r="D87" t="n">
        <v>11.5</v>
      </c>
      <c r="F87" s="72">
        <f>B87+C87/20+D87/240</f>
        <v/>
      </c>
      <c r="H87" t="inlineStr">
        <is>
          <t>Total, £1 12 shilling 11.5pence</t>
        </is>
      </c>
    </row>
    <row r="88">
      <c r="A88" t="inlineStr">
        <is>
          <t>Cost of the harvest</t>
        </is>
      </c>
      <c r="F88" s="72">
        <f>SUM(F76:F86)</f>
        <v/>
      </c>
      <c r="G88" s="139">
        <f>F88-F87</f>
        <v/>
      </c>
      <c r="H88" t="inlineStr">
        <is>
          <t>Total</t>
        </is>
      </c>
    </row>
    <row r="89"/>
    <row r="90">
      <c r="A90" t="inlineStr">
        <is>
          <t>Cost of the mill</t>
        </is>
      </c>
      <c r="B90" t="n">
        <v>0</v>
      </c>
      <c r="C90" t="n">
        <v>2</v>
      </c>
      <c r="D90" t="n">
        <v>10</v>
      </c>
      <c r="F90" s="72" t="n">
        <v>0.14</v>
      </c>
      <c r="H90" t="inlineStr">
        <is>
          <t>In lengthening 2 spindles with iron bought and with the stipend of the smith 2 shilling 10pence.</t>
        </is>
      </c>
      <c r="J90" s="72">
        <f>F90</f>
        <v/>
      </c>
    </row>
    <row r="91">
      <c r="A91" t="inlineStr">
        <is>
          <t>Cost of the mill</t>
        </is>
      </c>
      <c r="B91" t="n">
        <v>0</v>
      </c>
      <c r="C91" t="n">
        <v>1</v>
      </c>
      <c r="D91" t="n">
        <v>4</v>
      </c>
      <c r="F91" s="72" t="n">
        <v>0.07000000000000001</v>
      </c>
      <c r="H91" t="inlineStr">
        <is>
          <t>mending 1 mill-rind with iron for the same and with the stipend of the smith for the same 1 shilling 4pence.</t>
        </is>
      </c>
      <c r="J91" s="72">
        <f>F91</f>
        <v/>
      </c>
    </row>
    <row r="92">
      <c r="A92" t="inlineStr">
        <is>
          <t>Cost of the mill</t>
        </is>
      </c>
      <c r="B92" t="n">
        <v>0</v>
      </c>
      <c r="C92" t="n">
        <v>2</v>
      </c>
      <c r="D92" t="n">
        <v>0</v>
      </c>
      <c r="F92" s="72" t="n">
        <v>0.1</v>
      </c>
      <c r="H92" t="inlineStr">
        <is>
          <t>steeling, mending and sharpening bills for the year 2 shilling.</t>
        </is>
      </c>
      <c r="J92" s="72">
        <f>F92</f>
        <v/>
      </c>
    </row>
    <row r="93">
      <c r="A93" t="inlineStr">
        <is>
          <t>Cost of the mill</t>
        </is>
      </c>
      <c r="B93" t="n">
        <v>1</v>
      </c>
      <c r="C93" t="n">
        <v>18</v>
      </c>
      <c r="D93" t="n">
        <v>0</v>
      </c>
      <c r="F93" s="72" t="n">
        <v>1.9</v>
      </c>
      <c r="H93" t="inlineStr">
        <is>
          <t>1 millstone bought for the said mill £1 18 shilling.</t>
        </is>
      </c>
      <c r="J93" s="72">
        <f>F93</f>
        <v/>
      </c>
    </row>
    <row r="94">
      <c r="A94" t="inlineStr">
        <is>
          <t>Cost of the mill</t>
        </is>
      </c>
      <c r="B94" t="n">
        <v>0</v>
      </c>
      <c r="C94" t="n">
        <v>1</v>
      </c>
      <c r="D94" t="n">
        <v>0</v>
      </c>
      <c r="F94" s="72" t="n">
        <v>0.05</v>
      </c>
      <c r="H94" t="inlineStr">
        <is>
          <t>carrying the same from Southampton to the mill 1 shilling.</t>
        </is>
      </c>
      <c r="J94" s="72">
        <f>F94</f>
        <v/>
      </c>
    </row>
    <row r="95">
      <c r="A95" t="inlineStr">
        <is>
          <t>Cost of the mill</t>
        </is>
      </c>
      <c r="B95" t="n">
        <v>0</v>
      </c>
      <c r="C95" t="n">
        <v>0</v>
      </c>
      <c r="D95" t="n">
        <v>8</v>
      </c>
      <c r="F95" s="72" t="n">
        <v>0.03</v>
      </c>
      <c r="H95" t="inlineStr">
        <is>
          <t>2 iron bands made with iron bought for the same for hooping the head of the beam 8pence.</t>
        </is>
      </c>
      <c r="J95" s="72">
        <f>F95</f>
        <v/>
      </c>
    </row>
    <row r="96">
      <c r="A96" t="inlineStr">
        <is>
          <t>Cost of the mill</t>
        </is>
      </c>
      <c r="B96" t="n">
        <v>0</v>
      </c>
      <c r="C96" t="n">
        <v>4</v>
      </c>
      <c r="D96" t="n">
        <v>7</v>
      </c>
      <c r="F96" s="72" t="n">
        <v>0.23</v>
      </c>
      <c r="H96" t="inlineStr">
        <is>
          <t>casting 1 pole with brass bought for the same 4 shilling 7pence.</t>
        </is>
      </c>
      <c r="J96" s="72">
        <f>F96</f>
        <v/>
      </c>
    </row>
    <row r="97">
      <c r="A97" t="inlineStr">
        <is>
          <t>Cost of the mill</t>
        </is>
      </c>
      <c r="B97" t="n">
        <v>0</v>
      </c>
      <c r="C97" t="n">
        <v>1</v>
      </c>
      <c r="D97" t="n">
        <v>5</v>
      </c>
      <c r="F97" s="72">
        <f>B97+C97/20+D97/240</f>
        <v/>
      </c>
      <c r="H97" t="inlineStr">
        <is>
          <t xml:space="preserve">2 iron bands made with iron bought for the same and with the stipend of the smith for hooping the inner wheel 1 shilling 5pence </t>
        </is>
      </c>
      <c r="J97" s="72">
        <f>F97</f>
        <v/>
      </c>
    </row>
    <row r="98">
      <c r="A98" t="inlineStr">
        <is>
          <t>Cost of the mill</t>
        </is>
      </c>
      <c r="B98" t="n">
        <v>2</v>
      </c>
      <c r="C98" t="n">
        <v>11</v>
      </c>
      <c r="D98" t="n">
        <v>10</v>
      </c>
      <c r="F98" s="72" t="n">
        <v>2.59</v>
      </c>
      <c r="H98" t="inlineStr">
        <is>
          <t>Total, £2 11 shilling 10pence</t>
        </is>
      </c>
    </row>
    <row r="99">
      <c r="A99" t="inlineStr">
        <is>
          <t>Cost of the mill</t>
        </is>
      </c>
      <c r="F99" s="72">
        <f>SUM(F90:F97)</f>
        <v/>
      </c>
      <c r="G99" s="139">
        <f>F99-F98</f>
        <v/>
      </c>
      <c r="H99" t="inlineStr">
        <is>
          <t>Total</t>
        </is>
      </c>
    </row>
    <row r="100"/>
    <row r="101">
      <c r="A101" t="inlineStr">
        <is>
          <t>Fish-trap (hiltra)</t>
        </is>
      </c>
      <c r="B101" t="n">
        <v>0</v>
      </c>
      <c r="C101" t="n">
        <v>0</v>
      </c>
      <c r="D101" t="n">
        <v>10</v>
      </c>
      <c r="F101" s="72" t="n">
        <v>0.04</v>
      </c>
      <c r="H101" t="inlineStr">
        <is>
          <t>In 1 lock bought for the same 10pence.</t>
        </is>
      </c>
      <c r="J101" s="72">
        <f>F101</f>
        <v/>
      </c>
      <c r="K101" s="72">
        <f>J101</f>
        <v/>
      </c>
    </row>
    <row r="102">
      <c r="A102" t="inlineStr">
        <is>
          <t>Fish-trap (hiltra)</t>
        </is>
      </c>
      <c r="B102" t="n">
        <v>0</v>
      </c>
      <c r="C102" t="n">
        <v>1</v>
      </c>
      <c r="D102" t="n">
        <v>8</v>
      </c>
      <c r="F102" s="72" t="n">
        <v>0.08</v>
      </c>
      <c r="H102" t="inlineStr">
        <is>
          <t xml:space="preserve">3 salmon caught by nets in the sea 1 shilling 8pence </t>
        </is>
      </c>
      <c r="J102" s="72">
        <f>F102</f>
        <v/>
      </c>
      <c r="K102" s="72">
        <f>J102</f>
        <v/>
      </c>
    </row>
    <row r="103">
      <c r="A103" t="inlineStr">
        <is>
          <t>Fish-trap (hiltra)</t>
        </is>
      </c>
      <c r="B103" t="n">
        <v>0</v>
      </c>
      <c r="C103" t="n">
        <v>2</v>
      </c>
      <c r="D103" t="n">
        <v>4</v>
      </c>
      <c r="F103" s="72">
        <f>B103+C103/20+D103/240</f>
        <v/>
      </c>
      <c r="H103" t="inlineStr">
        <is>
          <t>Total, 2 shilling 4pence</t>
        </is>
      </c>
    </row>
    <row r="104">
      <c r="A104" t="inlineStr">
        <is>
          <t>Fish-trap (hiltra)</t>
        </is>
      </c>
      <c r="F104" s="72" t="n">
        <v>0.12</v>
      </c>
      <c r="G104" s="139">
        <f>F104-F103</f>
        <v/>
      </c>
      <c r="H104" t="inlineStr">
        <is>
          <t>Total</t>
        </is>
      </c>
    </row>
    <row r="105"/>
    <row r="106">
      <c r="A106" t="inlineStr">
        <is>
          <t>Water-pipe (wymond')</t>
        </is>
      </c>
      <c r="B106" t="n">
        <v>0</v>
      </c>
      <c r="C106" t="n">
        <v>1</v>
      </c>
      <c r="D106" t="n">
        <v>1.5</v>
      </c>
      <c r="F106" s="72" t="n">
        <v>0.06</v>
      </c>
      <c r="H106" t="inlineStr">
        <is>
          <t>In 5 lb of tin bought 1 shilling 1.5pence.</t>
        </is>
      </c>
      <c r="J106" s="72">
        <f>F106</f>
        <v/>
      </c>
      <c r="K106" s="72">
        <f>J106</f>
        <v/>
      </c>
    </row>
    <row r="107">
      <c r="A107" t="inlineStr">
        <is>
          <t>Water-pipe (wymond')</t>
        </is>
      </c>
      <c r="B107" t="n">
        <v>0</v>
      </c>
      <c r="C107" t="n">
        <v>2</v>
      </c>
      <c r="D107" t="n">
        <v>2</v>
      </c>
      <c r="F107" s="72" t="n">
        <v>0.11</v>
      </c>
      <c r="H107" t="inlineStr">
        <is>
          <t>pitch, canvas and grease bought for the same 2 shilling 2pence.</t>
        </is>
      </c>
      <c r="J107" s="72">
        <f>F107</f>
        <v/>
      </c>
      <c r="K107" s="72">
        <f>J107</f>
        <v/>
      </c>
    </row>
    <row r="108">
      <c r="A108" t="inlineStr">
        <is>
          <t>Water-pipe (wymond')</t>
        </is>
      </c>
      <c r="B108" t="n">
        <v>0</v>
      </c>
      <c r="C108" t="n">
        <v>2</v>
      </c>
      <c r="D108" t="n">
        <v>4</v>
      </c>
      <c r="F108" s="72" t="n">
        <v>0.12</v>
      </c>
      <c r="H108" t="inlineStr">
        <is>
          <t>stipend of 1 man for 7 days mending the said water-pipe 2 shilling 4pence, or 4pence a day.</t>
        </is>
      </c>
      <c r="J108" s="72">
        <f>F108</f>
        <v/>
      </c>
      <c r="K108">
        <f>J108/2</f>
        <v/>
      </c>
    </row>
    <row r="109">
      <c r="A109" t="inlineStr">
        <is>
          <t>Water-pipe (wymond')</t>
        </is>
      </c>
      <c r="B109" t="n">
        <v>0</v>
      </c>
      <c r="C109" t="n">
        <v>5</v>
      </c>
      <c r="D109" t="n">
        <v>7.5</v>
      </c>
      <c r="F109" s="72" t="n">
        <v>0.28</v>
      </c>
      <c r="H109" t="inlineStr">
        <is>
          <t>Total, 5 shilling 7.5pence</t>
        </is>
      </c>
    </row>
    <row r="110">
      <c r="A110" t="inlineStr">
        <is>
          <t>Water-pipe (wymond')</t>
        </is>
      </c>
      <c r="F110" s="72" t="n">
        <v>0.29</v>
      </c>
      <c r="G110" s="139" t="n">
        <v>0.009999999999999953</v>
      </c>
      <c r="H110" t="inlineStr">
        <is>
          <t>Total</t>
        </is>
      </c>
    </row>
    <row r="111"/>
    <row r="112">
      <c r="A112" t="inlineStr">
        <is>
          <t>Expenses of the steward and wages of the bailiff</t>
        </is>
      </c>
      <c r="B112" t="n">
        <v>0</v>
      </c>
      <c r="C112" t="n">
        <v>5</v>
      </c>
      <c r="D112" t="n">
        <v>7</v>
      </c>
      <c r="F112" s="72" t="n">
        <v>0.28</v>
      </c>
      <c r="H112" t="inlineStr">
        <is>
          <t>In expenses of the steward for his visits at 2 tourns by 2 tallies 5 shilling 7pence.</t>
        </is>
      </c>
    </row>
    <row r="113">
      <c r="A113" t="inlineStr">
        <is>
          <t>Expenses of the steward and wages of the bailiff</t>
        </is>
      </c>
      <c r="B113" t="n">
        <v>3</v>
      </c>
      <c r="C113" t="n">
        <v>0</v>
      </c>
      <c r="D113" t="n">
        <v>10</v>
      </c>
      <c r="F113" s="72" t="n">
        <v>3.04</v>
      </c>
      <c r="H113" t="inlineStr">
        <is>
          <t>wages of William, sergeant, for the year £3 10pence.</t>
        </is>
      </c>
    </row>
    <row r="114">
      <c r="A114" t="inlineStr">
        <is>
          <t>Expenses of the steward and wages of the bailiff</t>
        </is>
      </c>
      <c r="B114" t="n">
        <v>0</v>
      </c>
      <c r="C114" t="n">
        <v>0</v>
      </c>
      <c r="D114" t="n">
        <v>5.5</v>
      </c>
      <c r="F114" s="72" t="n">
        <v>0.02</v>
      </c>
      <c r="H114" t="inlineStr">
        <is>
          <t>1 lb of wax bought for making candles for the chapel 5.5pence, and this by order of Sir Geoffrey, treasurer of Wolvesey.</t>
        </is>
      </c>
    </row>
    <row r="115">
      <c r="A115" t="inlineStr">
        <is>
          <t>Expenses of the steward and wages of the bailiff</t>
        </is>
      </c>
      <c r="B115" t="n">
        <v>0</v>
      </c>
      <c r="C115" t="n">
        <v>5</v>
      </c>
      <c r="D115" t="n">
        <v>0</v>
      </c>
      <c r="F115">
        <f>B115+C115/20+D115/240</f>
        <v/>
      </c>
      <c r="H115" t="inlineStr">
        <is>
          <t xml:space="preserve">expenses of Roger Cosyn, bailiff of Bishops Waltham, for his visits 5 shilling </t>
        </is>
      </c>
    </row>
    <row r="116">
      <c r="A116" t="inlineStr">
        <is>
          <t>Expenses of the steward and wages of the bailiff</t>
        </is>
      </c>
      <c r="B116" t="n">
        <v>3</v>
      </c>
      <c r="C116" t="n">
        <v>11</v>
      </c>
      <c r="D116" t="n">
        <v>10.5</v>
      </c>
      <c r="F116" s="72" t="n">
        <v>3.59</v>
      </c>
      <c r="H116" t="inlineStr">
        <is>
          <t>Total, £3 11 shilling 10.5pence</t>
        </is>
      </c>
    </row>
    <row r="117">
      <c r="A117" t="inlineStr">
        <is>
          <t>Expenses of the steward and wages of the bailiff</t>
        </is>
      </c>
      <c r="F117" s="72">
        <f>SUM(F112:F115)</f>
        <v/>
      </c>
      <c r="G117" s="139">
        <f>F117-F116</f>
        <v/>
      </c>
      <c r="H117" t="inlineStr">
        <is>
          <t>Total</t>
        </is>
      </c>
    </row>
    <row r="118"/>
    <row r="119">
      <c r="A119" t="inlineStr">
        <is>
          <t>Total of all expenses</t>
        </is>
      </c>
      <c r="B119" t="n">
        <v>17</v>
      </c>
      <c r="C119" t="n">
        <v>5</v>
      </c>
      <c r="D119" t="n">
        <v>2.5</v>
      </c>
      <c r="F119" s="72" t="n">
        <v>17.26</v>
      </c>
      <c r="H119" t="inlineStr">
        <is>
          <t>Total of all expenses, £17 5 shilling 2.5pence</t>
        </is>
      </c>
    </row>
    <row r="120">
      <c r="A120" t="inlineStr">
        <is>
          <t>Total of all expenses</t>
        </is>
      </c>
      <c r="F120" s="72" t="n">
        <v>17.26</v>
      </c>
      <c r="G120" s="139">
        <f>F120-F119</f>
        <v/>
      </c>
      <c r="H120" t="inlineStr">
        <is>
          <t>Total</t>
        </is>
      </c>
    </row>
    <row r="121"/>
    <row r="122"/>
    <row r="123">
      <c r="A123" t="inlineStr">
        <is>
          <t>And he owes</t>
        </is>
      </c>
      <c r="B123" t="n">
        <v>21</v>
      </c>
      <c r="C123" t="n">
        <v>0</v>
      </c>
      <c r="D123" t="n">
        <v>11</v>
      </c>
      <c r="F123" s="72" t="n">
        <v>21.05</v>
      </c>
      <c r="H123" t="inlineStr">
        <is>
          <t>And he owes, £21 11 pence</t>
        </is>
      </c>
    </row>
    <row r="124">
      <c r="A124" t="inlineStr">
        <is>
          <t>And he owes</t>
        </is>
      </c>
      <c r="F124" s="72" t="n">
        <v>21.05</v>
      </c>
      <c r="G124" s="139" t="n">
        <v>0</v>
      </c>
      <c r="H124" t="inlineStr">
        <is>
          <t>Total</t>
        </is>
      </c>
    </row>
    <row r="125"/>
    <row r="126"/>
    <row r="127">
      <c r="A127" t="inlineStr">
        <is>
          <t>Allowances</t>
        </is>
      </c>
      <c r="B127" t="n">
        <v>6</v>
      </c>
      <c r="C127" t="n">
        <v>6</v>
      </c>
      <c r="D127" t="n">
        <v>3</v>
      </c>
      <c r="F127" s="72" t="n">
        <v>6.31</v>
      </c>
      <c r="H127" t="inlineStr">
        <is>
          <t>In allowance of the reeve for building the arbour and the enclosure around the arbour at Bitterne by writ £6 6 shilling 3pence.</t>
        </is>
      </c>
    </row>
    <row r="128">
      <c r="A128" t="inlineStr">
        <is>
          <t>Allowances</t>
        </is>
      </c>
      <c r="B128" t="n">
        <v>2</v>
      </c>
      <c r="C128" t="n">
        <v>11</v>
      </c>
      <c r="D128" t="n">
        <v>8</v>
      </c>
      <c r="F128" s="72" t="n">
        <v>2.58</v>
      </c>
      <c r="H128" t="inlineStr">
        <is>
          <t xml:space="preserve">allowance of the same for mending the kitchen which was ruinous, for all costs, £2 11 shilling 8pence </t>
        </is>
      </c>
    </row>
    <row r="129">
      <c r="B129" t="n">
        <v>8</v>
      </c>
      <c r="C129" t="n">
        <v>17</v>
      </c>
      <c r="D129" t="n">
        <v>11</v>
      </c>
      <c r="F129" s="72">
        <f>B129+C129/20+D129/240</f>
        <v/>
      </c>
      <c r="H129" t="inlineStr">
        <is>
          <t>Total of all allowances, £8 17 shilling 11pence</t>
        </is>
      </c>
    </row>
    <row r="130">
      <c r="A130" t="inlineStr">
        <is>
          <t>Allowances</t>
        </is>
      </c>
      <c r="F130" s="72" t="n">
        <v>8.890000000000001</v>
      </c>
      <c r="G130" s="139">
        <f>F130-F129</f>
        <v/>
      </c>
      <c r="H130" t="inlineStr">
        <is>
          <t>Total</t>
        </is>
      </c>
    </row>
    <row r="131"/>
    <row r="132"/>
    <row r="133">
      <c r="A133" t="inlineStr">
        <is>
          <t>And thus he owes clear</t>
        </is>
      </c>
      <c r="B133" t="n">
        <v>12</v>
      </c>
      <c r="C133" t="n">
        <v>3</v>
      </c>
      <c r="D133" t="n">
        <v>0</v>
      </c>
      <c r="F133" s="72" t="n">
        <v>12.15</v>
      </c>
      <c r="H133" t="inlineStr">
        <is>
          <t>And thus he owes clear, £12 3 shilling</t>
        </is>
      </c>
    </row>
    <row r="134"/>
    <row r="135" ht="16" customHeight="1">
      <c r="A135" s="12" t="inlineStr">
        <is>
          <t>Total of all expenses per account</t>
        </is>
      </c>
      <c r="F135" s="72">
        <f>F120</f>
        <v/>
      </c>
    </row>
    <row r="136" ht="16" customHeight="1">
      <c r="A136" s="12" t="inlineStr">
        <is>
          <t>Total of all expenses (calculated here)</t>
        </is>
      </c>
      <c r="F136" s="72">
        <f>F117+F110+F104+F99+F88+F74+F68+F54+F47+F31+F18</f>
        <v/>
      </c>
      <c r="G136" s="139">
        <f>F136-F135</f>
        <v/>
      </c>
    </row>
    <row r="137" ht="16" customHeight="1">
      <c r="A137" s="12" t="inlineStr">
        <is>
          <t>Total fixed investment</t>
        </is>
      </c>
      <c r="F137" s="72">
        <f>SUM(J3:J109)</f>
        <v/>
      </c>
    </row>
    <row r="138" ht="16" customHeight="1">
      <c r="A138" s="12" t="inlineStr">
        <is>
          <t>Total Demesne fixed investment</t>
        </is>
      </c>
      <c r="F138" s="72">
        <f>SUM(K3:K109)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topLeftCell="A1" workbookViewId="0">
      <selection activeCell="A1" sqref="A1"/>
    </sheetView>
  </sheetViews>
  <sheetFormatPr baseColWidth="8" defaultRowHeight="15"/>
  <cols>
    <col width="30" customWidth="1" min="1" max="1"/>
    <col width="21.1640625" customWidth="1" min="2" max="2"/>
    <col width="21.1640625" customWidth="1" min="7" max="7"/>
    <col width="16.5" customWidth="1" min="10" max="10"/>
  </cols>
  <sheetData>
    <row r="1" ht="32" customHeight="1">
      <c r="A1" s="37" t="inlineStr">
        <is>
          <t>Gross Output</t>
        </is>
      </c>
      <c r="B1" s="37" t="inlineStr">
        <is>
          <t>Total Quantity</t>
        </is>
      </c>
      <c r="C1" s="37" t="inlineStr">
        <is>
          <t>Account Total Quarters</t>
        </is>
      </c>
      <c r="D1" s="37" t="inlineStr">
        <is>
          <t>Bought in Total Quarters</t>
        </is>
      </c>
      <c r="E1" s="37" t="inlineStr">
        <is>
          <t>Received from churchscot</t>
        </is>
      </c>
      <c r="F1" s="37" t="inlineStr">
        <is>
          <t>Sold Total Quarters</t>
        </is>
      </c>
      <c r="G1" s="141" t="inlineStr">
        <is>
          <t>Difference Produced+Bought-Sold</t>
        </is>
      </c>
      <c r="H1" s="141" t="inlineStr">
        <is>
          <t>Weighted Average Price per Quarter</t>
        </is>
      </c>
      <c r="I1" s="141" t="inlineStr">
        <is>
          <t>Value of Total Production weighted</t>
        </is>
      </c>
    </row>
    <row r="2">
      <c r="A2" t="inlineStr">
        <is>
          <t>wheat</t>
        </is>
      </c>
      <c r="B2" t="n">
        <v>18.5</v>
      </c>
      <c r="D2" t="n">
        <v>0</v>
      </c>
      <c r="F2" t="n">
        <v>8.75</v>
      </c>
      <c r="G2" s="72">
        <f>B2-F2</f>
        <v/>
      </c>
      <c r="H2" s="72" t="n">
        <v>0.3</v>
      </c>
      <c r="I2" s="72">
        <f>H2*B2</f>
        <v/>
      </c>
    </row>
    <row r="3">
      <c r="A3" t="inlineStr">
        <is>
          <t>curall</t>
        </is>
      </c>
      <c r="B3" t="n">
        <v>8.625</v>
      </c>
      <c r="D3" t="n">
        <v>0</v>
      </c>
      <c r="F3" t="n">
        <v>1.25</v>
      </c>
      <c r="G3" s="72">
        <f>B3-F3</f>
        <v/>
      </c>
      <c r="H3" s="72" t="n">
        <v>0.2166666666666666</v>
      </c>
      <c r="I3" s="72">
        <f>H3*B3</f>
        <v/>
      </c>
    </row>
    <row r="4">
      <c r="A4" t="inlineStr">
        <is>
          <t>rye</t>
        </is>
      </c>
      <c r="B4" t="n">
        <v>3.5</v>
      </c>
      <c r="D4" t="n">
        <v>0</v>
      </c>
      <c r="G4" s="72">
        <f>B4-F4</f>
        <v/>
      </c>
      <c r="I4" s="72">
        <f>H4*B4</f>
        <v/>
      </c>
    </row>
    <row r="5">
      <c r="A5" t="inlineStr">
        <is>
          <t>barley</t>
        </is>
      </c>
      <c r="B5" t="n">
        <v>49.375</v>
      </c>
      <c r="D5" t="n">
        <v>0</v>
      </c>
      <c r="G5" s="72">
        <f>B5-F5</f>
        <v/>
      </c>
      <c r="H5" s="72" t="n">
        <v>0.19</v>
      </c>
      <c r="I5" s="72">
        <f>H5*B5</f>
        <v/>
      </c>
      <c r="J5" t="inlineStr">
        <is>
          <t>price from East Meon</t>
        </is>
      </c>
    </row>
    <row r="6">
      <c r="A6" t="inlineStr">
        <is>
          <t>dredge</t>
        </is>
      </c>
      <c r="B6" t="n">
        <v>14.5</v>
      </c>
      <c r="D6" t="n">
        <v>0</v>
      </c>
      <c r="F6">
        <f>11+7/8</f>
        <v/>
      </c>
      <c r="G6" s="72">
        <f>B6-F6</f>
        <v/>
      </c>
      <c r="H6" s="72" t="n">
        <v>0.08371501272264631</v>
      </c>
      <c r="I6" s="72">
        <f>H6*B6</f>
        <v/>
      </c>
    </row>
    <row r="7">
      <c r="A7" t="inlineStr">
        <is>
          <t>oats</t>
        </is>
      </c>
      <c r="B7" t="n">
        <v>24.625</v>
      </c>
      <c r="D7" t="n">
        <v>4.25</v>
      </c>
      <c r="G7" s="72">
        <f>B7-F7</f>
        <v/>
      </c>
      <c r="H7" s="142" t="n">
        <v>0.1032039642911182</v>
      </c>
      <c r="I7" s="72">
        <f>H7*B7</f>
        <v/>
      </c>
      <c r="J7" t="inlineStr">
        <is>
          <t>price from East Meon</t>
        </is>
      </c>
    </row>
    <row r="8">
      <c r="A8" t="inlineStr">
        <is>
          <t>beans</t>
        </is>
      </c>
      <c r="B8" t="n">
        <v>0</v>
      </c>
      <c r="D8" t="n">
        <v>0.5</v>
      </c>
      <c r="G8" s="72">
        <f>B8-F8</f>
        <v/>
      </c>
      <c r="H8" s="72" t="n">
        <v>0.13</v>
      </c>
      <c r="I8" s="72">
        <f>H8*B8</f>
        <v/>
      </c>
      <c r="J8" t="inlineStr">
        <is>
          <t>price from East Meon Church</t>
        </is>
      </c>
    </row>
    <row r="9">
      <c r="A9" t="inlineStr">
        <is>
          <t>peas</t>
        </is>
      </c>
      <c r="B9" t="n">
        <v>7.5</v>
      </c>
      <c r="D9" t="n">
        <v>0</v>
      </c>
      <c r="F9" t="n">
        <v>1.25</v>
      </c>
      <c r="G9" s="72">
        <f>B9-F9</f>
        <v/>
      </c>
      <c r="H9" s="72" t="n">
        <v>0.16</v>
      </c>
      <c r="I9" s="72">
        <f>H9*B9</f>
        <v/>
      </c>
    </row>
    <row r="10">
      <c r="A10" t="inlineStr">
        <is>
          <t>vetches</t>
        </is>
      </c>
      <c r="B10" t="n">
        <v>3</v>
      </c>
      <c r="D10" t="n">
        <v>0</v>
      </c>
      <c r="G10" s="72">
        <f>B10-F10</f>
        <v/>
      </c>
      <c r="H10" s="142" t="n">
        <v>0.1</v>
      </c>
      <c r="I10" s="72">
        <f>H10*B10</f>
        <v/>
      </c>
      <c r="J10" t="inlineStr">
        <is>
          <t>price from Bishops Sutton</t>
        </is>
      </c>
    </row>
    <row r="11"/>
    <row r="12"/>
    <row r="13">
      <c r="A13" s="143" t="inlineStr">
        <is>
          <t>Total Production</t>
        </is>
      </c>
    </row>
    <row r="14">
      <c r="A14" s="143" t="inlineStr">
        <is>
          <t>Sales of corn (as recorded in accounts)</t>
        </is>
      </c>
    </row>
    <row r="15"/>
    <row r="16"/>
    <row r="17" ht="32" customHeight="1">
      <c r="A17" s="38" t="inlineStr">
        <is>
          <t>Net output</t>
        </is>
      </c>
      <c r="B17" s="144" t="inlineStr">
        <is>
          <t>Gross output</t>
        </is>
      </c>
      <c r="C17" s="145" t="inlineStr">
        <is>
          <t>Seed quarters</t>
        </is>
      </c>
      <c r="D17" s="145" t="inlineStr">
        <is>
          <t>Seed bushels</t>
        </is>
      </c>
      <c r="E17" s="145" t="inlineStr">
        <is>
          <t>Seed total quarters</t>
        </is>
      </c>
      <c r="F17" s="38" t="inlineStr">
        <is>
          <t>tithe quarters</t>
        </is>
      </c>
      <c r="G17" s="146" t="inlineStr">
        <is>
          <t>tithe bushels</t>
        </is>
      </c>
      <c r="H17" s="146" t="inlineStr">
        <is>
          <t>tithe total</t>
        </is>
      </c>
      <c r="I17" s="146" t="inlineStr">
        <is>
          <t>manorial servants quarters</t>
        </is>
      </c>
      <c r="J17" s="145" t="inlineStr">
        <is>
          <t>manorial servants bushels</t>
        </is>
      </c>
      <c r="K17" s="147" t="inlineStr">
        <is>
          <t>manorial servants total quarters</t>
        </is>
      </c>
      <c r="L17" s="145" t="inlineStr">
        <is>
          <t>output net of tithe, seed, liveries</t>
        </is>
      </c>
      <c r="M17" s="145" t="inlineStr">
        <is>
          <t>in stock from last year</t>
        </is>
      </c>
      <c r="N17" s="148" t="inlineStr">
        <is>
          <t>Price in £</t>
        </is>
      </c>
      <c r="O17" s="148" t="inlineStr">
        <is>
          <t>Value of net output in £</t>
        </is>
      </c>
      <c r="P17" s="144" t="inlineStr">
        <is>
          <t>Value of sales (in "Sale of Corn") in £</t>
        </is>
      </c>
    </row>
    <row r="18">
      <c r="A18" t="inlineStr">
        <is>
          <t>wheat</t>
        </is>
      </c>
      <c r="B18">
        <f>B2</f>
        <v/>
      </c>
      <c r="C18" t="n">
        <v>9.5</v>
      </c>
      <c r="D18" t="n">
        <v>1</v>
      </c>
      <c r="E18">
        <f>C18+D18/8</f>
        <v/>
      </c>
      <c r="I18" s="149" t="n"/>
      <c r="J18" t="n">
        <v>1</v>
      </c>
      <c r="K18" s="150">
        <f>I18+J18/8</f>
        <v/>
      </c>
      <c r="L18" s="72">
        <f>B18-E18-H18-K18</f>
        <v/>
      </c>
      <c r="N18" s="72">
        <f>H2</f>
        <v/>
      </c>
      <c r="O18" s="72">
        <f>N18*L18</f>
        <v/>
      </c>
    </row>
    <row r="19">
      <c r="A19" t="inlineStr">
        <is>
          <t>curall</t>
        </is>
      </c>
      <c r="B19">
        <f>B3</f>
        <v/>
      </c>
      <c r="E19">
        <f>C19+D19/8</f>
        <v/>
      </c>
      <c r="I19" s="149">
        <f>3+1</f>
        <v/>
      </c>
      <c r="J19">
        <f>1+1</f>
        <v/>
      </c>
      <c r="K19" s="150">
        <f>I19+J19/8</f>
        <v/>
      </c>
      <c r="L19" s="72">
        <f>B19-E19-H19-K19</f>
        <v/>
      </c>
      <c r="N19" s="72">
        <f>H3</f>
        <v/>
      </c>
      <c r="O19" s="72">
        <f>N19*L19</f>
        <v/>
      </c>
    </row>
    <row r="20">
      <c r="A20" t="inlineStr">
        <is>
          <t>rye</t>
        </is>
      </c>
      <c r="B20">
        <f>B4</f>
        <v/>
      </c>
      <c r="C20" t="n">
        <v>1</v>
      </c>
      <c r="D20" t="n">
        <v>6</v>
      </c>
      <c r="E20">
        <f>C20+D20/8</f>
        <v/>
      </c>
      <c r="I20" s="149" t="n">
        <v>1</v>
      </c>
      <c r="J20" t="n">
        <v>6</v>
      </c>
      <c r="K20" s="150">
        <f>I20+J20/8</f>
        <v/>
      </c>
      <c r="L20" s="72">
        <f>B20-E20-H20-K20</f>
        <v/>
      </c>
      <c r="N20" s="72">
        <f>H4</f>
        <v/>
      </c>
      <c r="O20" s="72">
        <f>N20*L20</f>
        <v/>
      </c>
    </row>
    <row r="21">
      <c r="A21" t="inlineStr">
        <is>
          <t>barley</t>
        </is>
      </c>
      <c r="B21">
        <f>B5</f>
        <v/>
      </c>
      <c r="C21" t="n">
        <v>14</v>
      </c>
      <c r="D21" t="n">
        <v>2</v>
      </c>
      <c r="E21">
        <f>C21+D21/8</f>
        <v/>
      </c>
      <c r="I21" s="149">
        <f>19.5+4+3+6.5+1</f>
        <v/>
      </c>
      <c r="J21">
        <f>2+1+6</f>
        <v/>
      </c>
      <c r="K21" s="150">
        <f>I21+J21/8</f>
        <v/>
      </c>
      <c r="L21" s="72">
        <f>B21-E21-H21-K21</f>
        <v/>
      </c>
      <c r="N21" s="72">
        <f>H5</f>
        <v/>
      </c>
      <c r="O21" s="72">
        <f>N21*L21</f>
        <v/>
      </c>
    </row>
    <row r="22">
      <c r="A22" t="inlineStr">
        <is>
          <t>dredge</t>
        </is>
      </c>
      <c r="B22">
        <f>B6</f>
        <v/>
      </c>
      <c r="C22" t="n">
        <v>2</v>
      </c>
      <c r="D22" t="n">
        <v>5</v>
      </c>
      <c r="E22">
        <f>C22+D22/8</f>
        <v/>
      </c>
      <c r="K22" s="150">
        <f>I22+J22/8</f>
        <v/>
      </c>
      <c r="L22" s="72">
        <f>B22-E22-H22-K22</f>
        <v/>
      </c>
      <c r="N22" s="72">
        <f>H6</f>
        <v/>
      </c>
      <c r="O22" s="72">
        <f>N22*L22</f>
        <v/>
      </c>
    </row>
    <row r="23">
      <c r="A23" t="inlineStr">
        <is>
          <t>oats</t>
        </is>
      </c>
      <c r="B23">
        <f>B7</f>
        <v/>
      </c>
      <c r="C23" t="n">
        <v>14</v>
      </c>
      <c r="D23" t="n">
        <v>2</v>
      </c>
      <c r="E23">
        <f>C23+D23/8</f>
        <v/>
      </c>
      <c r="I23" s="149">
        <f>7+2</f>
        <v/>
      </c>
      <c r="J23" s="149">
        <f>4.5+1.5+5</f>
        <v/>
      </c>
      <c r="K23" s="150">
        <f>I23+J23/8</f>
        <v/>
      </c>
      <c r="L23" s="72">
        <f>B23-E23-H23-K23</f>
        <v/>
      </c>
      <c r="N23" s="72">
        <f>H7</f>
        <v/>
      </c>
      <c r="O23" s="72">
        <f>N23*L23</f>
        <v/>
      </c>
    </row>
    <row r="24">
      <c r="A24" t="inlineStr">
        <is>
          <t>beans</t>
        </is>
      </c>
      <c r="B24">
        <f>B8</f>
        <v/>
      </c>
      <c r="E24">
        <f>C24+D24/8</f>
        <v/>
      </c>
      <c r="I24" s="149" t="n"/>
      <c r="J24" s="149" t="n"/>
      <c r="K24" s="150">
        <f>I24+J24/8</f>
        <v/>
      </c>
      <c r="L24" s="72">
        <f>B24-E24-H24-K24</f>
        <v/>
      </c>
      <c r="N24" s="72">
        <f>H8</f>
        <v/>
      </c>
      <c r="O24" s="72">
        <f>N24*L24</f>
        <v/>
      </c>
    </row>
    <row r="25">
      <c r="A25" t="inlineStr">
        <is>
          <t>peas</t>
        </is>
      </c>
      <c r="B25">
        <f>B9</f>
        <v/>
      </c>
      <c r="E25">
        <f>C25+D25/8</f>
        <v/>
      </c>
      <c r="I25" s="149" t="n">
        <v>4</v>
      </c>
      <c r="J25" s="149" t="n">
        <v>2</v>
      </c>
      <c r="K25" s="150">
        <f>I25+J25/8</f>
        <v/>
      </c>
      <c r="L25" s="72">
        <f>B25-E25-H25-K25</f>
        <v/>
      </c>
      <c r="N25" s="72">
        <f>H9</f>
        <v/>
      </c>
      <c r="O25" s="72">
        <f>N25*L25</f>
        <v/>
      </c>
    </row>
    <row r="26">
      <c r="A26" t="inlineStr">
        <is>
          <t>vetches</t>
        </is>
      </c>
      <c r="B26">
        <f>B10</f>
        <v/>
      </c>
      <c r="C26" t="n">
        <v>1</v>
      </c>
      <c r="D26" t="n">
        <v>7</v>
      </c>
      <c r="E26">
        <f>C26+D26/8</f>
        <v/>
      </c>
      <c r="I26" s="149" t="n">
        <v>1</v>
      </c>
      <c r="J26" s="149" t="n">
        <v>1</v>
      </c>
      <c r="K26" s="150">
        <f>I26+J26/8</f>
        <v/>
      </c>
      <c r="L26" s="72">
        <f>B26-E26-H26-K26</f>
        <v/>
      </c>
      <c r="N26" s="72">
        <f>H10</f>
        <v/>
      </c>
      <c r="O26" s="72">
        <f>N26*L26</f>
        <v/>
      </c>
    </row>
    <row r="27">
      <c r="I27" s="149" t="n"/>
      <c r="J27" s="14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3"/>
  <sheetViews>
    <sheetView topLeftCell="A1" workbookViewId="0">
      <selection activeCell="A1" sqref="A1"/>
    </sheetView>
  </sheetViews>
  <sheetFormatPr baseColWidth="8" defaultRowHeight="15"/>
  <cols>
    <col width="44.33203125" customWidth="1" min="1" max="1"/>
    <col width="8.83203125" customWidth="1" min="2" max="2"/>
    <col width="16.6640625" customWidth="1" min="10" max="10"/>
    <col width="10.5" customWidth="1" min="14" max="14"/>
    <col width="8.83203125" customWidth="1" min="15" max="15"/>
    <col width="15.33203125" customWidth="1" min="16" max="16"/>
    <col width="15.6640625" customWidth="1" min="17" max="17"/>
    <col width="13" customWidth="1" min="18" max="18"/>
    <col width="18.33203125" customWidth="1" min="20" max="20"/>
  </cols>
  <sheetData>
    <row r="1" ht="16" customHeight="1">
      <c r="A1" s="12" t="inlineStr">
        <is>
          <t>BITTERNE STOCK ACCOUNT</t>
        </is>
      </c>
      <c r="B1" s="151" t="n"/>
      <c r="C1" s="37" t="n"/>
      <c r="D1" s="37" t="n"/>
      <c r="E1" s="37" t="n"/>
      <c r="F1" s="37" t="n"/>
      <c r="G1" s="37" t="n"/>
      <c r="H1" s="37" t="n"/>
      <c r="I1" s="37" t="n"/>
    </row>
    <row r="2" ht="16" customHeight="1">
      <c r="A2" s="12" t="n"/>
    </row>
    <row r="3" ht="16" customHeight="1">
      <c r="A3" s="12" t="n"/>
      <c r="P3" s="72" t="n"/>
    </row>
    <row r="4" ht="17" customHeight="1">
      <c r="A4" s="44" t="n"/>
      <c r="B4" s="27" t="n"/>
      <c r="C4" s="125" t="inlineStr">
        <is>
          <t>added</t>
        </is>
      </c>
      <c r="G4" s="126" t="inlineStr">
        <is>
          <t>subtracted</t>
        </is>
      </c>
      <c r="K4" s="44" t="n"/>
      <c r="L4" s="44" t="n"/>
      <c r="M4" s="44" t="n"/>
      <c r="N4" s="44" t="n"/>
      <c r="O4" s="152" t="n"/>
      <c r="P4" s="73" t="n"/>
      <c r="Q4" s="44" t="n"/>
      <c r="R4" s="44" t="n"/>
      <c r="S4" s="44" t="n"/>
      <c r="T4" s="44" t="n"/>
    </row>
    <row r="5" ht="51" customHeight="1">
      <c r="A5" s="153" t="inlineStr">
        <is>
          <t>Livestock</t>
        </is>
      </c>
      <c r="B5" s="29" t="inlineStr">
        <is>
          <t>Inherited stock</t>
        </is>
      </c>
      <c r="C5" s="153" t="inlineStr">
        <is>
          <t>added</t>
        </is>
      </c>
      <c r="D5" s="154" t="inlineStr">
        <is>
          <t>strays</t>
        </is>
      </c>
      <c r="E5" s="154" t="inlineStr">
        <is>
          <t>herbage</t>
        </is>
      </c>
      <c r="F5" s="154" t="inlineStr">
        <is>
          <t>churchscot</t>
        </is>
      </c>
      <c r="G5" s="154" t="inlineStr">
        <is>
          <t>of which in default</t>
        </is>
      </c>
      <c r="H5" s="153" t="inlineStr">
        <is>
          <t>sold</t>
        </is>
      </c>
      <c r="I5" s="153" t="inlineStr">
        <is>
          <t>in murrain</t>
        </is>
      </c>
      <c r="J5" s="153" t="inlineStr">
        <is>
          <t>accounted for elsewhere</t>
        </is>
      </c>
      <c r="K5" s="153" t="inlineStr">
        <is>
          <t>End-period  stock</t>
        </is>
      </c>
      <c r="L5" s="153" t="inlineStr">
        <is>
          <t>cross-check</t>
        </is>
      </c>
      <c r="M5" s="153" t="inlineStr">
        <is>
          <t>stock building</t>
        </is>
      </c>
      <c r="N5" s="153" t="inlineStr">
        <is>
          <t>raw production</t>
        </is>
      </c>
      <c r="O5" s="155" t="inlineStr">
        <is>
          <t>Unit price (£)</t>
        </is>
      </c>
      <c r="P5" s="156" t="inlineStr">
        <is>
          <t>Value of stock  (£) at given value</t>
        </is>
      </c>
      <c r="Q5" s="153" t="inlineStr">
        <is>
          <t>Value of stock  (£) at sales prices</t>
        </is>
      </c>
      <c r="R5" s="153" t="inlineStr">
        <is>
          <t>Sales in (£)</t>
        </is>
      </c>
      <c r="S5" s="153" t="inlineStr">
        <is>
          <t>Value of stock building (£)</t>
        </is>
      </c>
      <c r="T5" s="118" t="inlineStr">
        <is>
          <t>Value of production (£) at sales prices</t>
        </is>
      </c>
      <c r="U5" s="153" t="inlineStr">
        <is>
          <t>Details</t>
        </is>
      </c>
    </row>
    <row r="6" ht="16" customHeight="1">
      <c r="A6" s="157" t="inlineStr">
        <is>
          <t>Cart-horses</t>
        </is>
      </c>
      <c r="B6" s="27" t="n">
        <v>5</v>
      </c>
      <c r="C6" s="157" t="n"/>
      <c r="H6" s="27" t="n">
        <v>2</v>
      </c>
      <c r="I6" s="27" t="n">
        <v>1</v>
      </c>
      <c r="J6" s="27" t="n"/>
      <c r="K6" s="27" t="n">
        <v>2</v>
      </c>
      <c r="L6" s="157">
        <f>B6+C6+D6+E6+F6-G6-H6-I6-J6</f>
        <v/>
      </c>
      <c r="M6" s="157">
        <f>K6-B6</f>
        <v/>
      </c>
      <c r="N6" s="157" t="n"/>
      <c r="O6" s="158">
        <f>R6/H6</f>
        <v/>
      </c>
      <c r="P6" s="159" t="n"/>
      <c r="Q6" s="157" t="n"/>
      <c r="R6" s="160">
        <f>Receipts!F45</f>
        <v/>
      </c>
      <c r="S6" s="157" t="n"/>
      <c r="T6" s="161" t="n"/>
      <c r="U6" s="157" t="n"/>
    </row>
    <row r="7" ht="16" customHeight="1">
      <c r="A7" s="44" t="inlineStr">
        <is>
          <t>Mares</t>
        </is>
      </c>
      <c r="B7" s="28" t="n">
        <v>3</v>
      </c>
      <c r="H7" t="n">
        <v>1</v>
      </c>
      <c r="K7" t="n">
        <v>2</v>
      </c>
      <c r="L7" s="157">
        <f>B7+C7+D7+E7+F7-G7-H7-I7-J7</f>
        <v/>
      </c>
      <c r="M7" s="157">
        <f>K7-B7</f>
        <v/>
      </c>
      <c r="O7" s="158">
        <f>R7/H7</f>
        <v/>
      </c>
      <c r="R7" s="72">
        <f>Receipts!F46</f>
        <v/>
      </c>
    </row>
    <row r="8">
      <c r="A8" t="inlineStr">
        <is>
          <t>Plough horses</t>
        </is>
      </c>
      <c r="B8" s="28" t="n">
        <v>1</v>
      </c>
      <c r="I8" t="n">
        <v>1</v>
      </c>
      <c r="K8" t="n">
        <v>0</v>
      </c>
      <c r="L8" s="157">
        <f>B8+C8+D8+E8+F8-G8-H8-I8-J8</f>
        <v/>
      </c>
      <c r="M8" s="157">
        <f>K8-B8</f>
        <v/>
      </c>
      <c r="O8" s="158" t="n"/>
    </row>
    <row r="9">
      <c r="A9" t="inlineStr">
        <is>
          <t>Colts (unspecified years)</t>
        </is>
      </c>
      <c r="L9" s="157">
        <f>B9+C9+D9+E9+F9-G9-H9-I9-J9</f>
        <v/>
      </c>
      <c r="M9" s="157">
        <f>K9-B9</f>
        <v/>
      </c>
      <c r="O9" s="158" t="n"/>
    </row>
    <row r="10">
      <c r="A10" t="inlineStr">
        <is>
          <t>Colts (2 years)</t>
        </is>
      </c>
      <c r="L10" s="157">
        <f>B10+C10+D10+E10+F10-G10-H10-I10-J10</f>
        <v/>
      </c>
      <c r="M10" s="157">
        <f>K10-B10</f>
        <v/>
      </c>
      <c r="O10" s="158" t="n"/>
    </row>
    <row r="11">
      <c r="A11" t="inlineStr">
        <is>
          <t>Colts (1 year)</t>
        </is>
      </c>
      <c r="B11" s="28" t="n">
        <v>1</v>
      </c>
      <c r="K11" t="n">
        <v>1</v>
      </c>
      <c r="L11" s="157">
        <f>B11+C11+D11+E11+F11-G11-H11-I11-J11</f>
        <v/>
      </c>
      <c r="M11" s="157">
        <f>K11-B11</f>
        <v/>
      </c>
      <c r="O11" s="158" t="n"/>
    </row>
    <row r="12">
      <c r="A12" t="inlineStr">
        <is>
          <t>Foals</t>
        </is>
      </c>
      <c r="B12" s="28" t="n">
        <v>1</v>
      </c>
      <c r="C12" t="n">
        <v>2</v>
      </c>
      <c r="K12">
        <f>1+2</f>
        <v/>
      </c>
      <c r="L12" s="157">
        <f>B12+C12+D12+E12+F12-G12-H12-I12-J12</f>
        <v/>
      </c>
      <c r="M12" s="157">
        <f>K12-B12</f>
        <v/>
      </c>
      <c r="O12" s="158" t="n"/>
    </row>
    <row r="13">
      <c r="A13" t="inlineStr">
        <is>
          <t>Oxen</t>
        </is>
      </c>
      <c r="B13" s="28" t="n">
        <v>22</v>
      </c>
      <c r="C13" t="n">
        <v>1</v>
      </c>
      <c r="I13" t="n">
        <v>1</v>
      </c>
      <c r="K13" t="n">
        <v>22</v>
      </c>
      <c r="L13" s="157">
        <f>B13+C13+D13+E13+F13-G13-H13-I13-J13</f>
        <v/>
      </c>
      <c r="M13" s="157">
        <f>K13-B13</f>
        <v/>
      </c>
      <c r="O13" s="158" t="n"/>
    </row>
    <row r="14">
      <c r="A14" t="inlineStr">
        <is>
          <t>Bulls</t>
        </is>
      </c>
      <c r="B14" s="28" t="n">
        <v>1</v>
      </c>
      <c r="K14" t="n">
        <v>1</v>
      </c>
      <c r="L14" s="157">
        <f>B14+C14+D14+E14+F14-G14-H14-I14-J14</f>
        <v/>
      </c>
      <c r="M14" s="157">
        <f>K14-B14</f>
        <v/>
      </c>
      <c r="O14" s="158" t="n"/>
    </row>
    <row r="15">
      <c r="A15" t="inlineStr">
        <is>
          <t>Cows</t>
        </is>
      </c>
      <c r="B15" s="28" t="n">
        <v>10</v>
      </c>
      <c r="C15">
        <f>1+7</f>
        <v/>
      </c>
      <c r="K15" t="n">
        <v>18</v>
      </c>
      <c r="L15" s="157">
        <f>B15+C15+D15+E15+F15-G15-H15-I15-J15</f>
        <v/>
      </c>
      <c r="M15" s="157">
        <f>K15-B15</f>
        <v/>
      </c>
      <c r="O15" s="158" t="n"/>
    </row>
    <row r="16">
      <c r="A16" t="inlineStr">
        <is>
          <t>Steers</t>
        </is>
      </c>
      <c r="B16" s="28" t="n">
        <v>1</v>
      </c>
      <c r="J16" t="n">
        <v>1</v>
      </c>
      <c r="K16" t="n">
        <v>0</v>
      </c>
      <c r="L16" s="157">
        <f>B16+C16+D16+E16+F16-G16-H16-I16-J16</f>
        <v/>
      </c>
      <c r="M16" s="157">
        <f>K16-B16</f>
        <v/>
      </c>
      <c r="O16" s="158" t="n"/>
    </row>
    <row r="17">
      <c r="A17" t="inlineStr">
        <is>
          <t>Bullocks</t>
        </is>
      </c>
      <c r="B17" s="28" t="n">
        <v>5</v>
      </c>
      <c r="K17" t="n">
        <v>5</v>
      </c>
      <c r="L17" s="157">
        <f>B17+C17+D17+E17+F17-G17-H17-I17-J17</f>
        <v/>
      </c>
      <c r="M17" s="157">
        <f>K17-B17</f>
        <v/>
      </c>
      <c r="O17" s="158" t="n"/>
    </row>
    <row r="18">
      <c r="A18" t="inlineStr">
        <is>
          <t>Yearlings</t>
        </is>
      </c>
      <c r="B18" s="28" t="n">
        <v>5</v>
      </c>
      <c r="I18" t="n">
        <v>2</v>
      </c>
      <c r="K18" t="n">
        <v>3</v>
      </c>
      <c r="L18" s="157">
        <f>B18+C18+D18+E18+F18-G18-H18-I18-J18</f>
        <v/>
      </c>
      <c r="M18" s="157">
        <f>K18-B18</f>
        <v/>
      </c>
      <c r="O18" s="158" t="n"/>
    </row>
    <row r="19">
      <c r="A19" t="inlineStr">
        <is>
          <t>Calves</t>
        </is>
      </c>
      <c r="C19" t="n">
        <v>15</v>
      </c>
      <c r="H19" t="n">
        <v>6</v>
      </c>
      <c r="I19" t="n">
        <v>1</v>
      </c>
      <c r="K19" t="n">
        <v>7</v>
      </c>
      <c r="L19" s="157">
        <f>B19+C19+D19+E19+F19-G19-H19-I19-J19</f>
        <v/>
      </c>
      <c r="M19" s="157">
        <f>K19-B19</f>
        <v/>
      </c>
      <c r="O19" s="158">
        <f>R19/H19</f>
        <v/>
      </c>
      <c r="R19" s="72">
        <f>Receipts!F47</f>
        <v/>
      </c>
    </row>
    <row r="20">
      <c r="A20" t="inlineStr">
        <is>
          <t>Wethers</t>
        </is>
      </c>
      <c r="B20" s="28" t="n">
        <v>277</v>
      </c>
      <c r="C20" t="n">
        <v>1</v>
      </c>
      <c r="H20" t="n">
        <v>17</v>
      </c>
      <c r="I20">
        <f>4+17</f>
        <v/>
      </c>
      <c r="K20" t="n">
        <v>240</v>
      </c>
      <c r="L20" s="157">
        <f>B20+C20+D20+E20+F20-G20-H20-I20-J20</f>
        <v/>
      </c>
      <c r="M20" s="157">
        <f>K20-B20</f>
        <v/>
      </c>
      <c r="O20" s="158">
        <f>R20/H20</f>
        <v/>
      </c>
      <c r="R20" s="72">
        <f>Receipts!F48</f>
        <v/>
      </c>
    </row>
    <row r="21">
      <c r="A21" t="inlineStr">
        <is>
          <t>Rams</t>
        </is>
      </c>
      <c r="L21" s="157">
        <f>B21+C21+D21+E21+F21-G21-H21-I21-J21</f>
        <v/>
      </c>
      <c r="M21" s="157">
        <f>K21-B21</f>
        <v/>
      </c>
      <c r="O21" s="158" t="n"/>
    </row>
    <row r="22">
      <c r="A22" t="inlineStr">
        <is>
          <t>Ewes</t>
        </is>
      </c>
      <c r="L22" s="157">
        <f>B22+C22+D22+E22+F22-G22-H22-I22-J22</f>
        <v/>
      </c>
      <c r="M22" s="157">
        <f>K22-B22</f>
        <v/>
      </c>
      <c r="O22" s="158" t="n"/>
    </row>
    <row r="23">
      <c r="A23" t="inlineStr">
        <is>
          <t>Hoggs</t>
        </is>
      </c>
      <c r="L23" s="157">
        <f>B23+C23+D23+E23+F23-G23-H23-I23-J23</f>
        <v/>
      </c>
      <c r="M23" s="157">
        <f>K23-B23</f>
        <v/>
      </c>
      <c r="O23" s="158" t="n"/>
    </row>
    <row r="24">
      <c r="A24" t="inlineStr">
        <is>
          <t>Lambs</t>
        </is>
      </c>
      <c r="L24" s="157">
        <f>B24+C24+D24+E24+F24-G24-H24-I24-J24</f>
        <v/>
      </c>
      <c r="M24" s="157">
        <f>K24-B24</f>
        <v/>
      </c>
      <c r="O24" s="158" t="n"/>
    </row>
    <row r="25">
      <c r="A25" t="inlineStr">
        <is>
          <t>Boars</t>
        </is>
      </c>
      <c r="L25" s="157">
        <f>B25+C25+D25+E25+F25-G25-H25-I25-J25</f>
        <v/>
      </c>
      <c r="M25" s="157">
        <f>K25-B25</f>
        <v/>
      </c>
      <c r="O25" s="158" t="n"/>
    </row>
    <row r="26">
      <c r="A26" t="inlineStr">
        <is>
          <t>Sows</t>
        </is>
      </c>
      <c r="B26" s="28" t="n">
        <v>1</v>
      </c>
      <c r="K26" t="n">
        <v>1</v>
      </c>
      <c r="L26" s="157">
        <f>B26+C26+D26+E26+F26-G26-H26-I26-J26</f>
        <v/>
      </c>
      <c r="M26" s="157">
        <f>K26-B26</f>
        <v/>
      </c>
      <c r="O26" s="158" t="n"/>
    </row>
    <row r="27">
      <c r="A27" t="inlineStr">
        <is>
          <t>Pigs</t>
        </is>
      </c>
      <c r="B27" s="28" t="n">
        <v>6</v>
      </c>
      <c r="H27" t="n">
        <v>4</v>
      </c>
      <c r="K27" t="n">
        <v>2</v>
      </c>
      <c r="L27" s="157">
        <f>B27+C27+D27+E27+F27-G27-H27-I27-J27</f>
        <v/>
      </c>
      <c r="M27" s="157">
        <f>K27-B27</f>
        <v/>
      </c>
      <c r="O27" s="158">
        <f>R27/H27</f>
        <v/>
      </c>
      <c r="R27" s="72">
        <f>Receipts!F49</f>
        <v/>
      </c>
    </row>
    <row r="28">
      <c r="A28" t="inlineStr">
        <is>
          <t>Hoggets</t>
        </is>
      </c>
      <c r="B28" s="28" t="n">
        <v>1</v>
      </c>
      <c r="I28" t="n">
        <v>1</v>
      </c>
      <c r="K28" t="n">
        <v>0</v>
      </c>
      <c r="L28" s="157">
        <f>B28+C28+D28+E28+F28-G28-H28-I28-J28</f>
        <v/>
      </c>
      <c r="M28" s="157">
        <f>K28-B28</f>
        <v/>
      </c>
    </row>
    <row r="29">
      <c r="A29" t="inlineStr">
        <is>
          <t>Piglets</t>
        </is>
      </c>
      <c r="C29" t="n">
        <v>8</v>
      </c>
      <c r="K29" t="n">
        <v>8</v>
      </c>
      <c r="L29" s="157">
        <f>B29+C29+D29+E29+F29-G29-H29-I29-J29</f>
        <v/>
      </c>
      <c r="M29" s="157">
        <f>K29-B29</f>
        <v/>
      </c>
    </row>
    <row r="30">
      <c r="A30" t="inlineStr">
        <is>
          <t>Swans</t>
        </is>
      </c>
      <c r="M30" s="157">
        <f>K30-B30</f>
        <v/>
      </c>
    </row>
    <row r="31">
      <c r="A31" t="inlineStr">
        <is>
          <t>Peacocks</t>
        </is>
      </c>
      <c r="M31" s="157">
        <f>K31-B31</f>
        <v/>
      </c>
    </row>
    <row r="32" ht="16" customHeight="1">
      <c r="A32" s="67" t="inlineStr">
        <is>
          <t>Total Value</t>
        </is>
      </c>
      <c r="B32" s="162" t="n"/>
      <c r="M32" s="163" t="n"/>
      <c r="O32" s="164" t="n"/>
      <c r="R32" s="165">
        <f>SUM(R6:R31)</f>
        <v/>
      </c>
    </row>
    <row r="33">
      <c r="M33" s="157" t="n"/>
    </row>
    <row r="34">
      <c r="M34" s="157" t="n"/>
    </row>
    <row r="35" ht="17" customHeight="1">
      <c r="A35" s="66" t="inlineStr">
        <is>
          <t>Wool</t>
        </is>
      </c>
      <c r="M35" s="157">
        <f>K35-B35</f>
        <v/>
      </c>
    </row>
    <row r="36">
      <c r="A36" t="inlineStr">
        <is>
          <t>Coarse wool</t>
        </is>
      </c>
      <c r="B36" s="28" t="n">
        <v>257</v>
      </c>
      <c r="J36">
        <f>26+231</f>
        <v/>
      </c>
      <c r="M36" s="157">
        <f>K36-B36</f>
        <v/>
      </c>
      <c r="O36" s="72" t="n">
        <v>0.02</v>
      </c>
      <c r="T36">
        <f>O36*J36</f>
        <v/>
      </c>
    </row>
    <row r="37">
      <c r="A37" t="inlineStr">
        <is>
          <t>Lamb's wool</t>
        </is>
      </c>
      <c r="M37" s="157">
        <f>K37-B37</f>
        <v/>
      </c>
      <c r="O37" s="72" t="n">
        <v>0.01</v>
      </c>
    </row>
    <row r="38">
      <c r="A38" t="inlineStr">
        <is>
          <t>Wool locks</t>
        </is>
      </c>
      <c r="C38" t="n">
        <v>3</v>
      </c>
      <c r="M38" s="157">
        <f>K38-B38</f>
        <v/>
      </c>
      <c r="O38" s="72" t="n"/>
      <c r="R38" s="72">
        <f>Receipts!F70</f>
        <v/>
      </c>
      <c r="T38" s="72">
        <f>R38</f>
        <v/>
      </c>
      <c r="U38" t="inlineStr">
        <is>
          <t>3lb of wool locks recorded as sold in issues (not in stock)</t>
        </is>
      </c>
    </row>
    <row r="39">
      <c r="A39" t="inlineStr">
        <is>
          <t>Wool sold at shearing</t>
        </is>
      </c>
      <c r="M39" s="157">
        <f>K39-B39</f>
        <v/>
      </c>
    </row>
    <row r="40" ht="16" customHeight="1">
      <c r="A40" s="67" t="inlineStr">
        <is>
          <t>Total wool</t>
        </is>
      </c>
      <c r="B40" s="162" t="n"/>
      <c r="M40" s="163" t="n"/>
      <c r="O40" s="164" t="n"/>
      <c r="T40" s="39">
        <f>SUM(T36:T39)</f>
        <v/>
      </c>
    </row>
    <row r="41">
      <c r="M41" s="157" t="n"/>
    </row>
    <row r="42">
      <c r="M42" s="157" t="n"/>
    </row>
    <row r="43" ht="17" customHeight="1">
      <c r="A43" s="66" t="inlineStr">
        <is>
          <t>Hides</t>
        </is>
      </c>
      <c r="M43" s="157">
        <f>K43-B43</f>
        <v/>
      </c>
    </row>
    <row r="44">
      <c r="A44" t="inlineStr">
        <is>
          <t>Ox hides</t>
        </is>
      </c>
      <c r="C44" t="n">
        <v>1</v>
      </c>
      <c r="H44" t="n">
        <v>1</v>
      </c>
      <c r="K44" t="n">
        <v>0</v>
      </c>
      <c r="L44">
        <f>B44+C44+D44+E44+F44-G44-H44-I44-J44</f>
        <v/>
      </c>
      <c r="M44" s="157">
        <f>K44-B44</f>
        <v/>
      </c>
      <c r="O44" s="166">
        <f>R44/H44</f>
        <v/>
      </c>
      <c r="R44" s="72">
        <f>Receipts!F62</f>
        <v/>
      </c>
      <c r="T44">
        <f>O44*C44</f>
        <v/>
      </c>
      <c r="U44" t="inlineStr">
        <is>
          <t>no ox hide found in sales, only bullock - potentially a mistake by clerk</t>
        </is>
      </c>
    </row>
    <row r="45">
      <c r="A45" t="inlineStr">
        <is>
          <t>cart horse</t>
        </is>
      </c>
      <c r="C45" t="n">
        <v>1</v>
      </c>
      <c r="H45" t="n">
        <v>1</v>
      </c>
      <c r="K45" t="n">
        <v>0</v>
      </c>
      <c r="L45">
        <f>B45+C45+D45+E45+F45-G45-H45-I45-J45</f>
        <v/>
      </c>
      <c r="M45" s="157">
        <f>K45-B45</f>
        <v/>
      </c>
      <c r="O45" s="166">
        <f>R45/H45</f>
        <v/>
      </c>
      <c r="R45" s="72">
        <f>Receipts!F60</f>
        <v/>
      </c>
      <c r="T45">
        <f>O45*C45</f>
        <v/>
      </c>
    </row>
    <row r="46">
      <c r="A46" t="inlineStr">
        <is>
          <t>plough horse</t>
        </is>
      </c>
      <c r="C46" t="n">
        <v>1</v>
      </c>
      <c r="H46" t="n">
        <v>1</v>
      </c>
      <c r="K46" t="n">
        <v>0</v>
      </c>
      <c r="L46">
        <f>B46+C46+D46+E46+F46-G46-H46-I46-J46</f>
        <v/>
      </c>
      <c r="M46" s="157">
        <f>K46-B46</f>
        <v/>
      </c>
      <c r="O46" s="166">
        <f>R46/H46</f>
        <v/>
      </c>
      <c r="R46" s="72">
        <f>Receipts!F61</f>
        <v/>
      </c>
      <c r="T46">
        <f>O46*C46</f>
        <v/>
      </c>
    </row>
    <row r="47">
      <c r="A47" t="inlineStr">
        <is>
          <t>yearlings</t>
        </is>
      </c>
      <c r="C47" t="n">
        <v>2</v>
      </c>
      <c r="H47" t="n">
        <v>2</v>
      </c>
      <c r="K47" t="n">
        <v>0</v>
      </c>
      <c r="L47">
        <f>B47+C47+D47+E47+F47-G47-H47-I47-J47</f>
        <v/>
      </c>
      <c r="M47" s="157">
        <f>K47-B47</f>
        <v/>
      </c>
      <c r="O47" s="166">
        <f>R47/H47</f>
        <v/>
      </c>
      <c r="R47" s="72">
        <f>Receipts!F63</f>
        <v/>
      </c>
      <c r="T47">
        <f>O47*C47</f>
        <v/>
      </c>
    </row>
    <row r="48">
      <c r="A48" t="inlineStr">
        <is>
          <t>Mare</t>
        </is>
      </c>
      <c r="L48">
        <f>B48+C48+D48+E48+F48-G48-H48-I48-J48</f>
        <v/>
      </c>
      <c r="M48" s="157">
        <f>K48-B48</f>
        <v/>
      </c>
      <c r="T48">
        <f>O48*C48</f>
        <v/>
      </c>
    </row>
    <row r="49">
      <c r="A49" t="inlineStr">
        <is>
          <t>Steer</t>
        </is>
      </c>
      <c r="L49">
        <f>B49+C49+D49+E49+F49-G49-H49-I49-J49</f>
        <v/>
      </c>
      <c r="M49" s="157">
        <f>K49-B49</f>
        <v/>
      </c>
      <c r="T49">
        <f>O49*C49</f>
        <v/>
      </c>
    </row>
    <row r="50">
      <c r="A50" t="inlineStr">
        <is>
          <t>calves</t>
        </is>
      </c>
      <c r="H50" t="n">
        <v>1</v>
      </c>
      <c r="L50">
        <f>B50+C50+D50+E50+F50-G50-H50-I50-J50</f>
        <v/>
      </c>
      <c r="M50" s="157">
        <f>K50-B50</f>
        <v/>
      </c>
      <c r="O50" s="166">
        <f>R50/H50</f>
        <v/>
      </c>
      <c r="R50" s="72">
        <f>Receipts!F64</f>
        <v/>
      </c>
      <c r="T50">
        <f>O50*H50</f>
        <v/>
      </c>
      <c r="U50" t="inlineStr">
        <is>
          <t>only noted in issues not in stock</t>
        </is>
      </c>
    </row>
    <row r="51">
      <c r="A51" s="68" t="inlineStr">
        <is>
          <t>pigs</t>
        </is>
      </c>
      <c r="L51">
        <f>B51+C51+D51+E51+F51-G51-H51-I51-J51</f>
        <v/>
      </c>
      <c r="M51" s="157">
        <f>K51-B51</f>
        <v/>
      </c>
      <c r="T51">
        <f>O51*C51</f>
        <v/>
      </c>
    </row>
    <row r="52">
      <c r="A52" t="inlineStr">
        <is>
          <t>Woolskins</t>
        </is>
      </c>
      <c r="L52">
        <f>B52+C52+D52+E52+F52-G52-H52-I52-J52</f>
        <v/>
      </c>
      <c r="M52" s="157">
        <f>K52-B52</f>
        <v/>
      </c>
      <c r="T52">
        <f>O52*C52</f>
        <v/>
      </c>
    </row>
    <row r="53">
      <c r="A53" s="28" t="inlineStr">
        <is>
          <t>wethers</t>
        </is>
      </c>
      <c r="C53" t="n">
        <v>4</v>
      </c>
      <c r="H53" t="n">
        <v>4</v>
      </c>
      <c r="K53" t="n">
        <v>0</v>
      </c>
      <c r="L53">
        <f>B53+C53+D53+E53+F53-G53-H53-I53-J53</f>
        <v/>
      </c>
      <c r="M53" s="157">
        <f>K53-B53</f>
        <v/>
      </c>
      <c r="O53" s="166">
        <f>R53/H53</f>
        <v/>
      </c>
      <c r="R53" s="72">
        <f>Receipts!F65</f>
        <v/>
      </c>
      <c r="T53">
        <f>O53*C53</f>
        <v/>
      </c>
    </row>
    <row r="54">
      <c r="A54" s="28" t="inlineStr">
        <is>
          <t>rams</t>
        </is>
      </c>
      <c r="L54">
        <f>B54+C54+D54+E54+F54-G54-H54-I54-J54</f>
        <v/>
      </c>
      <c r="M54" s="157">
        <f>K54-B54</f>
        <v/>
      </c>
      <c r="T54">
        <f>O54*C54</f>
        <v/>
      </c>
    </row>
    <row r="55">
      <c r="A55" s="28" t="inlineStr">
        <is>
          <t>ewes</t>
        </is>
      </c>
      <c r="L55">
        <f>B55+C55+D55+E55+F55-G55-H55-I55-J55</f>
        <v/>
      </c>
      <c r="M55" s="157">
        <f>K55-B55</f>
        <v/>
      </c>
      <c r="T55">
        <f>O55*C55</f>
        <v/>
      </c>
    </row>
    <row r="56">
      <c r="A56" s="28" t="inlineStr">
        <is>
          <t>hoggs</t>
        </is>
      </c>
      <c r="L56">
        <f>B56+C56+D56+E56+F56-G56-H56-I56-J56</f>
        <v/>
      </c>
      <c r="M56" s="157">
        <f>K56-B56</f>
        <v/>
      </c>
      <c r="T56">
        <f>O56*C56</f>
        <v/>
      </c>
    </row>
    <row r="57">
      <c r="A57" s="60" t="inlineStr">
        <is>
          <t>Woolskins</t>
        </is>
      </c>
      <c r="L57">
        <f>B57+C57+D57+E57+F57-G57-H57-I57-J57</f>
        <v/>
      </c>
      <c r="M57" s="157">
        <f>K57-B57</f>
        <v/>
      </c>
      <c r="T57">
        <f>O57*C57</f>
        <v/>
      </c>
    </row>
    <row r="58">
      <c r="A58" s="43" t="inlineStr">
        <is>
          <t>Bareskins</t>
        </is>
      </c>
      <c r="L58">
        <f>B58+C58+D58+E58+F58-G58-H58-I58-J58</f>
        <v/>
      </c>
      <c r="M58" s="157">
        <f>K58-B58</f>
        <v/>
      </c>
      <c r="T58">
        <f>O58*C58</f>
        <v/>
      </c>
    </row>
    <row r="59">
      <c r="A59" s="28" t="inlineStr">
        <is>
          <t>wethers</t>
        </is>
      </c>
      <c r="C59" t="n">
        <v>17</v>
      </c>
      <c r="H59" t="n">
        <v>17</v>
      </c>
      <c r="K59" t="n">
        <v>0</v>
      </c>
      <c r="L59">
        <f>B59+C59+D59+E59+F59-G59-H59-I59-J59</f>
        <v/>
      </c>
      <c r="M59" s="157">
        <f>K59-B59</f>
        <v/>
      </c>
      <c r="O59" s="166">
        <f>R59/H59</f>
        <v/>
      </c>
      <c r="R59" s="72">
        <f>Receipts!F66</f>
        <v/>
      </c>
      <c r="T59">
        <f>O59*C59</f>
        <v/>
      </c>
    </row>
    <row r="60">
      <c r="A60" s="28" t="inlineStr">
        <is>
          <t>rams</t>
        </is>
      </c>
      <c r="M60" s="157" t="n"/>
    </row>
    <row r="61">
      <c r="A61" s="28" t="inlineStr">
        <is>
          <t>ewes</t>
        </is>
      </c>
      <c r="M61" s="157" t="n"/>
    </row>
    <row r="62">
      <c r="A62" s="28" t="inlineStr">
        <is>
          <t>hoggs</t>
        </is>
      </c>
      <c r="M62" s="157" t="n"/>
    </row>
    <row r="63">
      <c r="A63" s="69" t="inlineStr">
        <is>
          <t>Bareskins (total)</t>
        </is>
      </c>
      <c r="M63" s="157" t="n"/>
    </row>
    <row r="64">
      <c r="A64" t="inlineStr">
        <is>
          <t>Lambskins (excl. 8 in tithe)</t>
        </is>
      </c>
      <c r="M64" s="157" t="n"/>
    </row>
    <row r="65">
      <c r="A65" t="inlineStr">
        <is>
          <t>Rotted skins</t>
        </is>
      </c>
      <c r="M65" s="157" t="n"/>
    </row>
    <row r="66">
      <c r="A66" t="inlineStr">
        <is>
          <t>Shorn skins</t>
        </is>
      </c>
      <c r="M66" s="157" t="n"/>
    </row>
    <row r="67">
      <c r="A67" s="39" t="inlineStr">
        <is>
          <t xml:space="preserve">Total </t>
        </is>
      </c>
      <c r="B67" s="162" t="n"/>
      <c r="M67" s="163" t="n"/>
      <c r="O67" s="164" t="n"/>
      <c r="R67" s="39">
        <f>SUM(R42:R66)</f>
        <v/>
      </c>
      <c r="T67" s="39">
        <f>SUM(T44:T64)</f>
        <v/>
      </c>
    </row>
    <row r="68">
      <c r="M68" s="157" t="n"/>
    </row>
    <row r="69">
      <c r="M69" s="157" t="n"/>
    </row>
    <row r="70" ht="17" customHeight="1">
      <c r="A70" s="66" t="inlineStr">
        <is>
          <t>Poultry stock</t>
        </is>
      </c>
      <c r="M70" s="157" t="n"/>
    </row>
    <row r="71" ht="16" customHeight="1">
      <c r="A71" s="44" t="inlineStr">
        <is>
          <t>Hens</t>
        </is>
      </c>
      <c r="M71" s="157" t="n"/>
    </row>
    <row r="72">
      <c r="A72" t="inlineStr">
        <is>
          <t>Geese</t>
        </is>
      </c>
      <c r="M72" s="157" t="n"/>
    </row>
    <row r="73">
      <c r="A73" t="inlineStr">
        <is>
          <t>Capons (from chickens)</t>
        </is>
      </c>
      <c r="M73" s="157" t="n"/>
    </row>
    <row r="74">
      <c r="A74" t="inlineStr">
        <is>
          <t>Cocks &amp; hens</t>
        </is>
      </c>
      <c r="M74" s="157" t="n"/>
    </row>
    <row r="75">
      <c r="A75" s="70" t="inlineStr">
        <is>
          <t>Total poultry stock</t>
        </is>
      </c>
      <c r="M75" s="157" t="n"/>
    </row>
    <row r="76">
      <c r="A76" s="71" t="inlineStr">
        <is>
          <t>Total poultry excluding churchscot</t>
        </is>
      </c>
      <c r="M76" s="157" t="n"/>
    </row>
    <row r="77">
      <c r="M77" s="157" t="n"/>
    </row>
    <row r="78" ht="16" customHeight="1">
      <c r="A78" s="12" t="inlineStr">
        <is>
          <t>Poultry production</t>
        </is>
      </c>
      <c r="M78" s="157" t="n"/>
    </row>
    <row r="79">
      <c r="A79" t="inlineStr">
        <is>
          <t>Eggs</t>
        </is>
      </c>
      <c r="M79" s="157" t="n"/>
    </row>
    <row r="80">
      <c r="A80" t="inlineStr">
        <is>
          <t>Cocks &amp; hens from churchscot of customary tenants</t>
        </is>
      </c>
      <c r="F80" t="n">
        <v>195</v>
      </c>
      <c r="G80" t="n">
        <v>40</v>
      </c>
      <c r="H80" t="n">
        <v>155</v>
      </c>
      <c r="K80" t="n">
        <v>0</v>
      </c>
      <c r="M80" s="157">
        <f>K80-B80</f>
        <v/>
      </c>
      <c r="O80" s="166">
        <f>R80/H80</f>
        <v/>
      </c>
      <c r="R80" s="72">
        <f>Receipts!F50</f>
        <v/>
      </c>
      <c r="T80">
        <f>O80*H80</f>
        <v/>
      </c>
      <c r="U80" t="inlineStr">
        <is>
          <t>issues only records the sale of 151 hens</t>
        </is>
      </c>
    </row>
    <row r="81">
      <c r="A81" t="inlineStr">
        <is>
          <t>Sum of above</t>
        </is>
      </c>
      <c r="M81" s="157" t="n"/>
    </row>
    <row r="82">
      <c r="A82" s="39" t="inlineStr">
        <is>
          <t>Total</t>
        </is>
      </c>
      <c r="B82" s="162" t="n"/>
      <c r="M82" s="163" t="n"/>
      <c r="O82" s="164" t="n"/>
      <c r="R82" s="39">
        <f>SUM(R74:R81)</f>
        <v/>
      </c>
      <c r="T82" s="39">
        <f>T80</f>
        <v/>
      </c>
    </row>
    <row r="83">
      <c r="M83" s="157" t="n"/>
    </row>
    <row r="84">
      <c r="M84" s="157" t="n"/>
    </row>
    <row r="85" ht="16" customHeight="1">
      <c r="A85" s="12" t="inlineStr">
        <is>
          <t>Meat</t>
        </is>
      </c>
      <c r="M85" s="157" t="n"/>
    </row>
    <row r="86">
      <c r="A86" t="inlineStr">
        <is>
          <t>Beef</t>
        </is>
      </c>
      <c r="M86" s="157">
        <f>K86-B86</f>
        <v/>
      </c>
    </row>
    <row r="87">
      <c r="A87" t="inlineStr">
        <is>
          <t>Mutton</t>
        </is>
      </c>
      <c r="M87" s="157">
        <f>K87-B87</f>
        <v/>
      </c>
    </row>
    <row r="88">
      <c r="A88" t="inlineStr">
        <is>
          <t>Pork</t>
        </is>
      </c>
      <c r="M88" s="157">
        <f>K88-B88</f>
        <v/>
      </c>
    </row>
    <row r="89" ht="16" customHeight="1">
      <c r="A89" s="57" t="inlineStr">
        <is>
          <t xml:space="preserve">Total </t>
        </is>
      </c>
      <c r="M89" s="157">
        <f>K89-B89</f>
        <v/>
      </c>
    </row>
    <row r="90">
      <c r="M90" s="157">
        <f>K90-B90</f>
        <v/>
      </c>
    </row>
    <row r="91" ht="16" customHeight="1">
      <c r="A91" s="12" t="inlineStr">
        <is>
          <t>Cheese</t>
        </is>
      </c>
      <c r="M91" s="157">
        <f>K91-B91</f>
        <v/>
      </c>
    </row>
    <row r="92">
      <c r="A92" t="inlineStr">
        <is>
          <t>Winter cheese</t>
        </is>
      </c>
      <c r="C92" t="n">
        <v>33</v>
      </c>
      <c r="M92" s="157">
        <f>K92-B92</f>
        <v/>
      </c>
      <c r="R92" s="72">
        <f>Receipts!F54</f>
        <v/>
      </c>
      <c r="T92" s="72">
        <f>R92</f>
        <v/>
      </c>
    </row>
    <row r="93">
      <c r="A93" t="inlineStr">
        <is>
          <t>Summer cheese</t>
        </is>
      </c>
      <c r="C93" t="n">
        <v>137</v>
      </c>
      <c r="H93" t="n">
        <v>124</v>
      </c>
      <c r="J93" t="n">
        <v>13</v>
      </c>
      <c r="M93" s="157">
        <f>K93-B93</f>
        <v/>
      </c>
      <c r="O93" s="166">
        <f>R93/H93</f>
        <v/>
      </c>
      <c r="R93" s="72">
        <f>Receipts!F55</f>
        <v/>
      </c>
      <c r="T93" s="72">
        <f>O93*C93</f>
        <v/>
      </c>
    </row>
    <row r="94" ht="16" customHeight="1">
      <c r="A94" s="67" t="inlineStr">
        <is>
          <t>Total</t>
        </is>
      </c>
      <c r="B94" s="162" t="n"/>
      <c r="M94" s="163" t="n"/>
      <c r="O94" s="164" t="n"/>
      <c r="R94" s="39">
        <f>SUM(R86:R93)</f>
        <v/>
      </c>
      <c r="T94" s="165">
        <f>SUM(T92:T93)</f>
        <v/>
      </c>
    </row>
    <row r="95">
      <c r="M95" s="157" t="n"/>
    </row>
    <row r="96" ht="16" customHeight="1">
      <c r="A96" s="12" t="inlineStr">
        <is>
          <t>Butter</t>
        </is>
      </c>
      <c r="M96" s="157" t="n"/>
    </row>
    <row r="97">
      <c r="A97" t="inlineStr">
        <is>
          <t>Butter</t>
        </is>
      </c>
      <c r="C97" t="n">
        <v>6</v>
      </c>
      <c r="H97" t="n">
        <v>6</v>
      </c>
      <c r="M97" s="157">
        <f>K97-B97</f>
        <v/>
      </c>
      <c r="O97" s="166">
        <f>R97/H97</f>
        <v/>
      </c>
      <c r="R97" s="72">
        <f>Receipts!F56</f>
        <v/>
      </c>
      <c r="T97">
        <f>O97*H97</f>
        <v/>
      </c>
      <c r="U97" t="inlineStr">
        <is>
          <t>measured in cloves</t>
        </is>
      </c>
    </row>
    <row r="98" ht="16" customHeight="1">
      <c r="A98" s="67" t="inlineStr">
        <is>
          <t>Total</t>
        </is>
      </c>
      <c r="B98" s="162" t="n"/>
      <c r="O98" s="164" t="n"/>
      <c r="R98" s="165">
        <f>R97</f>
        <v/>
      </c>
      <c r="T98" s="39">
        <f>T97</f>
        <v/>
      </c>
    </row>
    <row r="99" ht="16" customHeight="1">
      <c r="A99" s="13" t="n"/>
    </row>
    <row r="100" ht="16" customHeight="1">
      <c r="A100" s="67" t="inlineStr">
        <is>
          <t>Total Dairy Sales</t>
        </is>
      </c>
      <c r="B100" s="162" t="n"/>
      <c r="O100" s="164" t="n"/>
    </row>
    <row r="101"/>
    <row r="102"/>
    <row r="103" ht="16" customHeight="1">
      <c r="A103" s="12" t="inlineStr">
        <is>
          <t xml:space="preserve">Fish </t>
        </is>
      </c>
    </row>
    <row r="104">
      <c r="A104" t="inlineStr">
        <is>
          <t xml:space="preserve">Salmon </t>
        </is>
      </c>
      <c r="C104" t="n">
        <v>55</v>
      </c>
      <c r="H104" t="n">
        <v>53</v>
      </c>
      <c r="J104" t="n">
        <v>2</v>
      </c>
      <c r="O104" s="166">
        <f>R104/H104</f>
        <v/>
      </c>
      <c r="R104" s="72">
        <f>Receipts!F76</f>
        <v/>
      </c>
    </row>
    <row r="105" ht="16" customHeight="1">
      <c r="A105" s="67" t="inlineStr">
        <is>
          <t>Total</t>
        </is>
      </c>
      <c r="B105" s="167" t="n"/>
      <c r="O105" s="168" t="n"/>
      <c r="R105" s="165">
        <f>SUM(R104)</f>
        <v/>
      </c>
    </row>
    <row r="106"/>
    <row r="107" ht="16" customHeight="1">
      <c r="A107" s="13" t="inlineStr">
        <is>
          <t>Additional Information (not necessarily useful)</t>
        </is>
      </c>
    </row>
    <row r="108" ht="16" customHeight="1">
      <c r="A108" s="12" t="inlineStr">
        <is>
          <t>Utensils</t>
        </is>
      </c>
    </row>
    <row r="109">
      <c r="A109" t="inlineStr">
        <is>
          <t>ploughs</t>
        </is>
      </c>
    </row>
    <row r="110">
      <c r="A110" t="inlineStr">
        <is>
          <t>carts</t>
        </is>
      </c>
    </row>
    <row r="111">
      <c r="A111" t="inlineStr">
        <is>
          <t>cart-ropes</t>
        </is>
      </c>
    </row>
    <row r="112">
      <c r="A112" t="inlineStr">
        <is>
          <t>corn baskets</t>
        </is>
      </c>
    </row>
    <row r="113">
      <c r="A113" t="inlineStr">
        <is>
          <t>seed-sacks</t>
        </is>
      </c>
    </row>
    <row r="114">
      <c r="A114" t="inlineStr">
        <is>
          <t>seed basket</t>
        </is>
      </c>
    </row>
    <row r="115">
      <c r="A115" t="inlineStr">
        <is>
          <t>locks for the doors</t>
        </is>
      </c>
    </row>
    <row r="116">
      <c r="A116" t="inlineStr">
        <is>
          <t>lead vessel</t>
        </is>
      </c>
    </row>
    <row r="117">
      <c r="A117" t="inlineStr">
        <is>
          <t>brass pots</t>
        </is>
      </c>
    </row>
    <row r="118">
      <c r="A118" t="inlineStr">
        <is>
          <t>pans</t>
        </is>
      </c>
    </row>
    <row r="119">
      <c r="A119" t="inlineStr">
        <is>
          <t>tripods</t>
        </is>
      </c>
    </row>
    <row r="120">
      <c r="A120" t="inlineStr">
        <is>
          <t>mortar</t>
        </is>
      </c>
    </row>
    <row r="121">
      <c r="A121" t="inlineStr">
        <is>
          <t>axe</t>
        </is>
      </c>
    </row>
    <row r="122">
      <c r="A122" t="inlineStr">
        <is>
          <t>casks</t>
        </is>
      </c>
    </row>
    <row r="123">
      <c r="A123" t="inlineStr">
        <is>
          <t>tubs</t>
        </is>
      </c>
    </row>
    <row r="124">
      <c r="A124" t="inlineStr">
        <is>
          <t>troughs</t>
        </is>
      </c>
    </row>
    <row r="125">
      <c r="A125" t="inlineStr">
        <is>
          <t>bucket</t>
        </is>
      </c>
    </row>
    <row r="126">
      <c r="A126" t="inlineStr">
        <is>
          <t>cheese basket</t>
        </is>
      </c>
    </row>
    <row r="127">
      <c r="A127" t="inlineStr">
        <is>
          <t>tables</t>
        </is>
      </c>
    </row>
    <row r="128">
      <c r="A128" t="inlineStr">
        <is>
          <t>table with trestles</t>
        </is>
      </c>
    </row>
    <row r="129">
      <c r="A129" t="inlineStr">
        <is>
          <t>benches</t>
        </is>
      </c>
    </row>
    <row r="130">
      <c r="A130" t="inlineStr">
        <is>
          <t>ewer with a basin</t>
        </is>
      </c>
    </row>
    <row r="131">
      <c r="A131" t="inlineStr">
        <is>
          <t>ladders</t>
        </is>
      </c>
    </row>
    <row r="132">
      <c r="A132" t="inlineStr">
        <is>
          <t>cloth</t>
        </is>
      </c>
    </row>
    <row r="133">
      <c r="A133" t="inlineStr">
        <is>
          <t>brass posnets</t>
        </is>
      </c>
    </row>
  </sheetData>
  <mergeCells count="2">
    <mergeCell ref="C4:F4"/>
    <mergeCell ref="G4:J4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9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Quarters 4</t>
        </is>
      </c>
      <c r="T1" s="1" t="inlineStr">
        <is>
          <t>Bushels 4</t>
        </is>
      </c>
      <c r="U1" s="1" t="inlineStr">
        <is>
          <t>shilling a quarter 1</t>
        </is>
      </c>
      <c r="V1" s="1" t="inlineStr">
        <is>
          <t>pence a quarter 1</t>
        </is>
      </c>
      <c r="W1" s="1" t="inlineStr">
        <is>
          <t>shilling a quarter 2</t>
        </is>
      </c>
      <c r="X1" s="1" t="inlineStr">
        <is>
          <t>pence a quarter 2</t>
        </is>
      </c>
      <c r="Y1" s="1" t="inlineStr">
        <is>
          <t>shilling a quarter 3</t>
        </is>
      </c>
      <c r="Z1" s="1" t="inlineStr">
        <is>
          <t>pence a quarter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shilling a bushel 1</t>
        </is>
      </c>
      <c r="AD1" s="1" t="inlineStr">
        <is>
          <t>pence a bushel 1</t>
        </is>
      </c>
      <c r="AE1" s="1" t="inlineStr">
        <is>
          <t>shilling a bushel 2</t>
        </is>
      </c>
      <c r="AF1" s="1" t="inlineStr">
        <is>
          <t>pence a bushel 2</t>
        </is>
      </c>
      <c r="AG1" s="1" t="inlineStr">
        <is>
          <t>shilling a bushel 3</t>
        </is>
      </c>
      <c r="AH1" s="1" t="inlineStr">
        <is>
          <t>pence a bushel 3</t>
        </is>
      </c>
      <c r="AI1" s="1" t="inlineStr">
        <is>
          <t>shilling a bushel 4</t>
        </is>
      </c>
      <c r="AJ1" s="1" t="inlineStr">
        <is>
          <t>pence a bushel 4</t>
        </is>
      </c>
    </row>
    <row r="2">
      <c r="A2" t="inlineStr">
        <is>
          <t>Arrears</t>
        </is>
      </c>
      <c r="B2" t="inlineStr">
        <is>
          <t>William de Worsted', sergeant, and Walter le Parker, reeve, render account for £7 14 shilling 4.5pence of arrears from the previous year.</t>
        </is>
      </c>
      <c r="C2" t="n">
        <v>7.72</v>
      </c>
      <c r="D2" t="n">
        <v>7</v>
      </c>
      <c r="E2" t="n">
        <v>14</v>
      </c>
      <c r="F2" t="n">
        <v>4.5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All delivered to Sir Geoffrey, treasurer of Wolvesey.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Rents of assize</t>
        </is>
      </c>
      <c r="B4" t="inlineStr">
        <is>
          <t>The same render account for £2 3pence for all rents of assize at Christmas.</t>
        </is>
      </c>
      <c r="C4" t="n">
        <v>2.01</v>
      </c>
      <c r="D4" t="n">
        <v>2</v>
      </c>
      <c r="E4" t="n">
        <v>0</v>
      </c>
      <c r="F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£2 3pence at Easter (22 April).</t>
        </is>
      </c>
      <c r="C5" t="n">
        <v>2.01</v>
      </c>
      <c r="D5" t="n">
        <v>2</v>
      </c>
      <c r="E5" t="n">
        <v>0</v>
      </c>
      <c r="F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£2 3pence at the Nativity of St John the Baptist (24 June).</t>
        </is>
      </c>
      <c r="C6" t="n">
        <v>2.01</v>
      </c>
      <c r="D6" t="n">
        <v>2</v>
      </c>
      <c r="E6" t="n">
        <v>0</v>
      </c>
      <c r="F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 of assize</t>
        </is>
      </c>
      <c r="B7" t="inlineStr">
        <is>
          <t>£3 2 shilling 11.5pence at Michaelmas (29 September).</t>
        </is>
      </c>
      <c r="C7" t="n">
        <v>3.15</v>
      </c>
      <c r="D7" t="n">
        <v>3</v>
      </c>
      <c r="E7" t="n">
        <v>2</v>
      </c>
      <c r="F7" t="n">
        <v>11.5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Rents of assize</t>
        </is>
      </c>
      <c r="B8" t="inlineStr">
        <is>
          <t>Total, £9 3 shilling 8.5pence</t>
        </is>
      </c>
      <c r="C8" t="n">
        <v>9.19</v>
      </c>
      <c r="D8" t="n">
        <v>9</v>
      </c>
      <c r="E8" t="n">
        <v>3</v>
      </c>
      <c r="F8" t="n">
        <v>8.5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</t>
        </is>
      </c>
      <c r="B9" t="inlineStr">
        <is>
          <t>In quittance of 1 reeve for the year 4 shilling.</t>
        </is>
      </c>
      <c r="C9" t="n">
        <v>0.2</v>
      </c>
      <c r="D9" t="n">
        <v>0</v>
      </c>
      <c r="E9" t="n">
        <v>4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Quittances</t>
        </is>
      </c>
      <c r="B10" t="inlineStr">
        <is>
          <t>2 ploughmen for the year 3 shilling.</t>
        </is>
      </c>
      <c r="C10" t="n">
        <v>0.15</v>
      </c>
      <c r="D10" t="n">
        <v>0</v>
      </c>
      <c r="E10" t="n">
        <v>3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Quittances</t>
        </is>
      </c>
      <c r="B11" t="inlineStr">
        <is>
          <t>1 park-keeper for the year 4 shilling</t>
        </is>
      </c>
      <c r="C11" t="n">
        <v>0.2</v>
      </c>
      <c r="D11" t="n">
        <v>0</v>
      </c>
      <c r="E11" t="n">
        <v>4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Quittances</t>
        </is>
      </c>
      <c r="B12" t="inlineStr">
        <is>
          <t>Total, 11 shilling</t>
        </is>
      </c>
      <c r="C12" t="n">
        <v>0.55</v>
      </c>
      <c r="D12" t="n">
        <v>0</v>
      </c>
      <c r="E12" t="n">
        <v>11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Defaults of rent</t>
        </is>
      </c>
      <c r="B13" t="inlineStr">
        <is>
          <t>In default of the land of Vyel drawn into demesne, 2 shilling 1pence for the year.</t>
        </is>
      </c>
      <c r="C13" t="n">
        <v>0.1</v>
      </c>
      <c r="D13" t="n">
        <v>0</v>
      </c>
      <c r="E13" t="n">
        <v>2</v>
      </c>
      <c r="F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Defaults of rent</t>
        </is>
      </c>
      <c r="B14" t="inlineStr">
        <is>
          <t>Total, 2 shilling 1pence</t>
        </is>
      </c>
      <c r="C14" t="n">
        <v>0.1</v>
      </c>
      <c r="D14" t="n">
        <v>0</v>
      </c>
      <c r="E14" t="n">
        <v>2</v>
      </c>
      <c r="F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Total of quittances and defaults of rent</t>
        </is>
      </c>
      <c r="B15" t="inlineStr">
        <is>
          <t>Total of quittances and defaults of rent, 13 shilling 1pence</t>
        </is>
      </c>
      <c r="C15" t="n">
        <v>0.65</v>
      </c>
      <c r="D15" t="n">
        <v>0</v>
      </c>
      <c r="E15" t="n">
        <v>13</v>
      </c>
      <c r="F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rents remaining</t>
        </is>
      </c>
      <c r="B16" t="inlineStr">
        <is>
          <t>Total of rents remaining, £8 10 shilling 7.5pence</t>
        </is>
      </c>
      <c r="C16" t="n">
        <v>8.529999999999999</v>
      </c>
      <c r="D16" t="n">
        <v>8</v>
      </c>
      <c r="E16" t="n">
        <v>10</v>
      </c>
      <c r="F16" t="n">
        <v>7.5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Annual recognizance</t>
        </is>
      </c>
      <c r="B17" t="inlineStr">
        <is>
          <t>The same render account for 6pence from Roger le Saltere for annual recognizance.</t>
        </is>
      </c>
      <c r="C17" t="n">
        <v>0.03</v>
      </c>
      <c r="D17" t="n">
        <v>0</v>
      </c>
      <c r="E17" t="n">
        <v>0</v>
      </c>
      <c r="F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Annual recognizance</t>
        </is>
      </c>
      <c r="B18" t="inlineStr">
        <is>
          <t>3pence from Richard Seuar' for the same.</t>
        </is>
      </c>
      <c r="C18" t="n">
        <v>0.01</v>
      </c>
      <c r="D18" t="n">
        <v>0</v>
      </c>
      <c r="E18" t="n">
        <v>0</v>
      </c>
      <c r="F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Annual recognizance</t>
        </is>
      </c>
      <c r="B19" t="inlineStr">
        <is>
          <t>6pence from William Austyn for the same.</t>
        </is>
      </c>
      <c r="C19" t="n">
        <v>0.03</v>
      </c>
      <c r="D19" t="n">
        <v>0</v>
      </c>
      <c r="E19" t="n">
        <v>0</v>
      </c>
      <c r="F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Annual recognizance</t>
        </is>
      </c>
      <c r="B20" t="inlineStr">
        <is>
          <t>6pence from Robert Clericus of Fawley for the same.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Annual recognizance</t>
        </is>
      </c>
      <c r="B21" t="inlineStr">
        <is>
          <t>Total, 1 shilling 9pence</t>
        </is>
      </c>
      <c r="C21" t="n">
        <v>0.09</v>
      </c>
      <c r="D21" t="n">
        <v>0</v>
      </c>
      <c r="E21" t="n">
        <v>1</v>
      </c>
      <c r="F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Issues of the manor</t>
        </is>
      </c>
      <c r="B22" t="inlineStr">
        <is>
          <t>The same render account for 10 shilling from pannage of pigs this year.</t>
        </is>
      </c>
      <c r="C22" t="n">
        <v>0.5</v>
      </c>
      <c r="D22" t="n">
        <v>0</v>
      </c>
      <c r="E22" t="n">
        <v>10</v>
      </c>
      <c r="F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Issues of the manor</t>
        </is>
      </c>
      <c r="B23" t="inlineStr">
        <is>
          <t>9 shilling 4pence from the agistment of pigs in the park.</t>
        </is>
      </c>
      <c r="C23" t="n">
        <v>0.47</v>
      </c>
      <c r="D23" t="n">
        <v>0</v>
      </c>
      <c r="E23" t="n">
        <v>9</v>
      </c>
      <c r="F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Issues of the manor</t>
        </is>
      </c>
      <c r="B24" t="inlineStr">
        <is>
          <t>17 shilling 6pence from the agistment of livestock in the park in summer.</t>
        </is>
      </c>
      <c r="C24" t="n">
        <v>0.88</v>
      </c>
      <c r="D24" t="n">
        <v>0</v>
      </c>
      <c r="E24" t="n">
        <v>17</v>
      </c>
      <c r="F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Issues of the manor</t>
        </is>
      </c>
      <c r="B25" t="inlineStr">
        <is>
          <t>nothing from winter pasturage on account of the lord's stock.</t>
        </is>
      </c>
      <c r="C25" t="n">
        <v>0</v>
      </c>
      <c r="D25" t="n">
        <v>0</v>
      </c>
      <c r="E25" t="n">
        <v>0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Issues of the manor</t>
        </is>
      </c>
      <c r="B26" t="inlineStr">
        <is>
          <t>1 shilling from the pasturage in Prestemed' sold after mowing.</t>
        </is>
      </c>
      <c r="C26" t="n">
        <v>0.05</v>
      </c>
      <c r="D26" t="n">
        <v>0</v>
      </c>
      <c r="E26" t="n">
        <v>1</v>
      </c>
      <c r="F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Issues of the manor</t>
        </is>
      </c>
      <c r="B27" t="inlineStr">
        <is>
          <t>nothing from winter pasturage for, the lord's stock.</t>
        </is>
      </c>
      <c r="C27" t="n">
        <v>0</v>
      </c>
      <c r="D27" t="n">
        <v>0</v>
      </c>
      <c r="E27" t="n">
        <v>0</v>
      </c>
      <c r="F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Issues of the manor</t>
        </is>
      </c>
      <c r="B28" t="inlineStr">
        <is>
          <t>nothing from the pasturage on the land of Bathard and in Pistok this year because it was sown.</t>
        </is>
      </c>
      <c r="C28" t="n">
        <v>0</v>
      </c>
      <c r="D28" t="n">
        <v>0</v>
      </c>
      <c r="E28" t="n">
        <v>0</v>
      </c>
      <c r="F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Issues of the manor</t>
        </is>
      </c>
      <c r="B29" t="inlineStr">
        <is>
          <t>6pence from the pasturage in various places sold this year.</t>
        </is>
      </c>
      <c r="C29" t="n">
        <v>0.03</v>
      </c>
      <c r="D29" t="n">
        <v>0</v>
      </c>
      <c r="E29" t="n">
        <v>0</v>
      </c>
      <c r="F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Issues of the manor</t>
        </is>
      </c>
      <c r="B30" t="inlineStr">
        <is>
          <t>15 shilling from 2 cart-horses sold, at 3 shilling for 1 because feeble, and 12 shilling for 1.</t>
        </is>
      </c>
      <c r="C30" t="n">
        <v>0.75</v>
      </c>
      <c r="D30" t="n">
        <v>0</v>
      </c>
      <c r="E30" t="n">
        <v>15</v>
      </c>
      <c r="F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Issues of the manor</t>
        </is>
      </c>
      <c r="B31" t="inlineStr">
        <is>
          <t>8 shilling from 1 old mare sold.</t>
        </is>
      </c>
      <c r="C31" t="n">
        <v>0.4</v>
      </c>
      <c r="D31" t="n">
        <v>0</v>
      </c>
      <c r="E31" t="n">
        <v>8</v>
      </c>
      <c r="F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Issues of the manor</t>
        </is>
      </c>
      <c r="B32" t="inlineStr">
        <is>
          <t>6 shilling from 6 late-born calves sold, at 1 shilling each.</t>
        </is>
      </c>
      <c r="C32" t="n">
        <v>0.3</v>
      </c>
      <c r="D32" t="n">
        <v>0</v>
      </c>
      <c r="E32" t="n">
        <v>6</v>
      </c>
      <c r="F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Issues of the manor</t>
        </is>
      </c>
      <c r="B33" t="inlineStr">
        <is>
          <t>17 shilling from 17 wethers sold at Martinmas (11 November), at 1 shilling each.</t>
        </is>
      </c>
      <c r="C33" t="n">
        <v>0.85</v>
      </c>
      <c r="D33" t="n">
        <v>0</v>
      </c>
      <c r="E33" t="n">
        <v>17</v>
      </c>
      <c r="F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Issues of the manor</t>
        </is>
      </c>
      <c r="B34" t="inlineStr">
        <is>
          <t>11 s. from 4 pigs sold, at 2 shilling 9pence each.</t>
        </is>
      </c>
      <c r="C34" t="n">
        <v>0.14</v>
      </c>
      <c r="D34" t="n">
        <v>0</v>
      </c>
      <c r="E34" t="n">
        <v>2</v>
      </c>
      <c r="F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Issues of the manor</t>
        </is>
      </c>
      <c r="B35" t="inlineStr">
        <is>
          <t>12 shilling 11pence from 151 hens from churchscot sold.</t>
        </is>
      </c>
      <c r="C35" t="n">
        <v>0.65</v>
      </c>
      <c r="D35" t="n">
        <v>0</v>
      </c>
      <c r="E35" t="n">
        <v>12</v>
      </c>
      <c r="F35" t="n">
        <v>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Issues of the manor</t>
        </is>
      </c>
      <c r="B36" t="inlineStr">
        <is>
          <t>nothing from nuts collected in the park this year.</t>
        </is>
      </c>
      <c r="C36" t="n">
        <v>0</v>
      </c>
      <c r="D36" t="n">
        <v>0</v>
      </c>
      <c r="E36" t="n">
        <v>0</v>
      </c>
      <c r="F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Issues of the manor</t>
        </is>
      </c>
      <c r="B37" t="inlineStr">
        <is>
          <t>nothing from rushes in the park this year.</t>
        </is>
      </c>
      <c r="C37" t="n">
        <v>0</v>
      </c>
      <c r="D37" t="n">
        <v>0</v>
      </c>
      <c r="E37" t="n">
        <v>0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Issues of the manor</t>
        </is>
      </c>
      <c r="B38" t="inlineStr">
        <is>
          <t>2 shilling from heath sold this year.</t>
        </is>
      </c>
      <c r="C38" t="n">
        <v>0.1</v>
      </c>
      <c r="D38" t="n">
        <v>0</v>
      </c>
      <c r="E38" t="n">
        <v>2</v>
      </c>
      <c r="F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Issues of the manor</t>
        </is>
      </c>
      <c r="B39" t="inlineStr">
        <is>
          <t>3 shilling 1.5pence from rowen cheese sold.</t>
        </is>
      </c>
      <c r="C39" t="n">
        <v>0.16</v>
      </c>
      <c r="D39" t="n">
        <v>0</v>
      </c>
      <c r="E39" t="n">
        <v>3</v>
      </c>
      <c r="F39" t="n">
        <v>1.5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Issues of the manor</t>
        </is>
      </c>
      <c r="B40" t="inlineStr">
        <is>
          <t>£1 14 shilling from 4 weys 7 cloves of summer cheese sold, at 8 shilling a wey.</t>
        </is>
      </c>
      <c r="C40" t="n">
        <v>1.7</v>
      </c>
      <c r="D40" t="n">
        <v>1</v>
      </c>
      <c r="E40" t="n">
        <v>14</v>
      </c>
      <c r="F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Issues of the manor</t>
        </is>
      </c>
      <c r="B41" t="inlineStr">
        <is>
          <t>2 shilling 3pence from 6 cloves of butter sold, at 4.5pence a clove.</t>
        </is>
      </c>
      <c r="C41" t="n">
        <v>0.11</v>
      </c>
      <c r="D41" t="n">
        <v>0</v>
      </c>
      <c r="E41" t="n">
        <v>2</v>
      </c>
      <c r="F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Issues of the manor</t>
        </is>
      </c>
      <c r="B42" t="inlineStr">
        <is>
          <t>5 shilling from hay sold this year.</t>
        </is>
      </c>
      <c r="C42" t="n">
        <v>0.25</v>
      </c>
      <c r="D42" t="n">
        <v>0</v>
      </c>
      <c r="E42" t="n">
        <v>5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Issues of the manor</t>
        </is>
      </c>
      <c r="B43" t="inlineStr">
        <is>
          <t>nothing from heath in the quagmire (quabbemer') this year because none was obtained to sell.</t>
        </is>
      </c>
      <c r="C43" t="n">
        <v>0</v>
      </c>
      <c r="D43" t="n">
        <v>0</v>
      </c>
      <c r="E43" t="n">
        <v>0</v>
      </c>
      <c r="F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Issues of the manor</t>
        </is>
      </c>
      <c r="B44" t="inlineStr">
        <is>
          <t>nothing from underwood in the park this year for the same reason.</t>
        </is>
      </c>
      <c r="C44" t="n">
        <v>0</v>
      </c>
      <c r="D44" t="n">
        <v>0</v>
      </c>
      <c r="E44" t="n">
        <v>0</v>
      </c>
      <c r="F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Issues of the manor</t>
        </is>
      </c>
      <c r="B45" t="inlineStr">
        <is>
          <t>10pence from the hide sold of 1 cart-horse in murrain.</t>
        </is>
      </c>
      <c r="C45" t="n">
        <v>0.04</v>
      </c>
      <c r="D45" t="n">
        <v>0</v>
      </c>
      <c r="E45" t="n">
        <v>0</v>
      </c>
      <c r="F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Issues of the manor</t>
        </is>
      </c>
      <c r="B46" t="inlineStr">
        <is>
          <t>8pence from the hide sold of 1 plough-horse in murrain.</t>
        </is>
      </c>
      <c r="C46" t="n">
        <v>0.03</v>
      </c>
      <c r="D46" t="n">
        <v>0</v>
      </c>
      <c r="E46" t="n">
        <v>0</v>
      </c>
      <c r="F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Issues of the manor</t>
        </is>
      </c>
      <c r="B47" t="inlineStr">
        <is>
          <t>4 shilling from the hide and flesh sold of 1 bullock dead from murrain.</t>
        </is>
      </c>
      <c r="C47" t="n">
        <v>0.2</v>
      </c>
      <c r="D47" t="n">
        <v>0</v>
      </c>
      <c r="E47" t="n">
        <v>4</v>
      </c>
      <c r="F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Issues of the manor</t>
        </is>
      </c>
      <c r="B48" t="inlineStr">
        <is>
          <t>8pence from the hides sold of 2 yearlings in murrain.</t>
        </is>
      </c>
      <c r="C48" t="n">
        <v>0.03</v>
      </c>
      <c r="D48" t="n">
        <v>0</v>
      </c>
      <c r="E48" t="n">
        <v>0</v>
      </c>
      <c r="F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Issues of the manor</t>
        </is>
      </c>
      <c r="B49" t="inlineStr">
        <is>
          <t>1.5pence from the hide sold of 1 calf in murrain.</t>
        </is>
      </c>
      <c r="C49" t="n">
        <v>0.01</v>
      </c>
      <c r="D49" t="n">
        <v>0</v>
      </c>
      <c r="E49" t="n">
        <v>0</v>
      </c>
      <c r="F49" t="n">
        <v>1.5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Issues of the manor</t>
        </is>
      </c>
      <c r="B50" t="inlineStr">
        <is>
          <t>10pence from the skins sold of 4 wethers in murrain before shearing.</t>
        </is>
      </c>
      <c r="C50" t="n">
        <v>0.04</v>
      </c>
      <c r="D50" t="n">
        <v>0</v>
      </c>
      <c r="E50" t="n">
        <v>0</v>
      </c>
      <c r="F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Issues of the manor</t>
        </is>
      </c>
      <c r="B51" t="inlineStr">
        <is>
          <t>1 s. 6pence from the skins sold wholesale of 17 wethers in murrain after shearing.</t>
        </is>
      </c>
      <c r="C51" t="n">
        <v>0.03</v>
      </c>
      <c r="D51" t="n">
        <v>0</v>
      </c>
      <c r="E51" t="n">
        <v>0</v>
      </c>
      <c r="F51" t="n">
        <v>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Issues of the manor</t>
        </is>
      </c>
      <c r="B52" t="inlineStr">
        <is>
          <t>nothing from cider this year.</t>
        </is>
      </c>
      <c r="C52" t="n">
        <v>0</v>
      </c>
      <c r="D52" t="n">
        <v>0</v>
      </c>
      <c r="E52" t="n">
        <v>0</v>
      </c>
      <c r="F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Issues of the manor</t>
        </is>
      </c>
      <c r="B53" t="inlineStr">
        <is>
          <t>nothing from small labour services this year because of the cider-making.</t>
        </is>
      </c>
      <c r="C53" t="n">
        <v>0</v>
      </c>
      <c r="D53" t="n">
        <v>0</v>
      </c>
      <c r="E53" t="n">
        <v>0</v>
      </c>
      <c r="F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Issues of the manor</t>
        </is>
      </c>
      <c r="B54" t="inlineStr">
        <is>
          <t>nothing from coarse wool here because it is sent to Wolvesey.</t>
        </is>
      </c>
      <c r="C54" t="n">
        <v>0</v>
      </c>
      <c r="D54" t="n">
        <v>0</v>
      </c>
      <c r="E54" t="n">
        <v>0</v>
      </c>
      <c r="F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Issues of the manor</t>
        </is>
      </c>
      <c r="B55" t="inlineStr">
        <is>
          <t>3.5pence from 3 lb of wool locks sold.</t>
        </is>
      </c>
      <c r="C55" t="n">
        <v>0.01</v>
      </c>
      <c r="D55" t="n">
        <v>0</v>
      </c>
      <c r="E55" t="n">
        <v>0</v>
      </c>
      <c r="F55" t="n">
        <v>3.5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Issues of the manor</t>
        </is>
      </c>
      <c r="B56" t="inlineStr">
        <is>
          <t>1 shilling from Adam ate Hall' and William de Worstede to have licence to dig up marl in the marsh.</t>
        </is>
      </c>
      <c r="C56" t="n">
        <v>0.05</v>
      </c>
      <c r="D56" t="n">
        <v>0</v>
      </c>
      <c r="E56" t="n">
        <v>1</v>
      </c>
      <c r="F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Issues of the manor</t>
        </is>
      </c>
      <c r="B57" t="inlineStr">
        <is>
          <t>2 shilling 7.5pence from dairy produce sold at the audit.</t>
        </is>
      </c>
      <c r="C57" t="n">
        <v>0.13</v>
      </c>
      <c r="D57" t="n">
        <v>0</v>
      </c>
      <c r="E57" t="n">
        <v>2</v>
      </c>
      <c r="F57" t="n">
        <v>7.5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Issues of the manor</t>
        </is>
      </c>
      <c r="B58" t="inlineStr">
        <is>
          <t>Total, £8 7 shilling 3pence</t>
        </is>
      </c>
      <c r="C58" t="n">
        <v>8.359999999999999</v>
      </c>
      <c r="D58" t="n">
        <v>8</v>
      </c>
      <c r="E58" t="n">
        <v>7</v>
      </c>
      <c r="F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Fishery</t>
        </is>
      </c>
      <c r="B59" t="inlineStr">
        <is>
          <t>The same render account for £7 4 shilling from 53 salmon sold, at 4 shilling each for 19, and 2 shilling each for 34. Total, £7 4 shilling</t>
        </is>
      </c>
      <c r="C59" t="n">
        <v>7.2</v>
      </c>
      <c r="D59" t="n">
        <v>7</v>
      </c>
      <c r="E59" t="n">
        <v>4</v>
      </c>
      <c r="F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Sale of corn</t>
        </is>
      </c>
      <c r="B60" t="inlineStr">
        <is>
          <t>The same render account for £2 12 shilling 6pence from 8 quarters 6 bushels of wheat sold, at 6 shilling a quarters.</t>
        </is>
      </c>
      <c r="C60" t="n">
        <v>2.62</v>
      </c>
      <c r="D60" t="n">
        <v>2</v>
      </c>
      <c r="E60" t="n">
        <v>12</v>
      </c>
      <c r="F60" t="n">
        <v>6</v>
      </c>
      <c r="G60" t="inlineStr">
        <is>
          <t>wheat</t>
        </is>
      </c>
      <c r="H60" t="n">
        <v>8</v>
      </c>
      <c r="I60" t="n">
        <v>6</v>
      </c>
      <c r="J60" t="n">
        <v>8.75</v>
      </c>
      <c r="K60" t="n">
        <v>8.75</v>
      </c>
      <c r="L60" t="n">
        <v>0</v>
      </c>
      <c r="M60" t="n">
        <v>8</v>
      </c>
      <c r="N60" t="n">
        <v>6</v>
      </c>
      <c r="U60" t="n">
        <v>6</v>
      </c>
      <c r="V60" t="n">
        <v>0</v>
      </c>
    </row>
    <row r="61">
      <c r="A61" t="inlineStr">
        <is>
          <t>Sale of corn</t>
        </is>
      </c>
      <c r="B61" t="inlineStr">
        <is>
          <t>5 shilling 5pence from 1 quarters 2 bushels of curall sold, at 4 shilling 4pence a quarters.</t>
        </is>
      </c>
      <c r="C61" t="n">
        <v>0.27</v>
      </c>
      <c r="D61" t="n">
        <v>0</v>
      </c>
      <c r="E61" t="n">
        <v>5</v>
      </c>
      <c r="F61" t="n">
        <v>5</v>
      </c>
      <c r="G61" t="inlineStr">
        <is>
          <t>curall</t>
        </is>
      </c>
      <c r="H61" t="n">
        <v>1</v>
      </c>
      <c r="I61" t="n">
        <v>2</v>
      </c>
      <c r="J61" t="n">
        <v>1.25</v>
      </c>
      <c r="K61" t="n">
        <v>1.25</v>
      </c>
      <c r="L61" t="n">
        <v>0</v>
      </c>
      <c r="M61" t="n">
        <v>1</v>
      </c>
      <c r="N61" t="n">
        <v>2</v>
      </c>
      <c r="U61" t="n">
        <v>4</v>
      </c>
      <c r="V61" t="n">
        <v>4</v>
      </c>
    </row>
    <row r="62">
      <c r="A62" t="inlineStr">
        <is>
          <t>Sale of corn</t>
        </is>
      </c>
      <c r="B62" t="inlineStr">
        <is>
          <t>£1 6 shilling 5pence from 11 quarters 3 bushels of dredge sold, at 2 shilling a quarters for 3 quarters 7 bushels, 2 shilling 4pence a quarters for 4 quarters, and 2 shilling 8pence a quarters for 3.5 quarters.</t>
        </is>
      </c>
      <c r="C62" t="n">
        <v>1.32</v>
      </c>
      <c r="D62" t="n">
        <v>1</v>
      </c>
      <c r="E62" t="n">
        <v>6</v>
      </c>
      <c r="F62" t="n">
        <v>5</v>
      </c>
      <c r="H62" t="n">
        <v>10.5</v>
      </c>
      <c r="I62" t="n">
        <v>7</v>
      </c>
      <c r="J62" t="n">
        <v>11.375</v>
      </c>
      <c r="K62" t="n">
        <v>11.375</v>
      </c>
      <c r="L62" t="n">
        <v>0</v>
      </c>
      <c r="M62" t="n">
        <v>11</v>
      </c>
      <c r="N62" t="n">
        <v>3</v>
      </c>
      <c r="O62" t="n">
        <v>3</v>
      </c>
      <c r="P62" t="n">
        <v>7</v>
      </c>
      <c r="Q62" t="n">
        <v>4</v>
      </c>
      <c r="R62" t="n">
        <v>0</v>
      </c>
      <c r="S62" t="n">
        <v>3.5</v>
      </c>
      <c r="T62" t="n">
        <v>0</v>
      </c>
      <c r="U62" t="n">
        <v>2</v>
      </c>
      <c r="V62" t="n">
        <v>0</v>
      </c>
      <c r="W62" t="n">
        <v>2</v>
      </c>
      <c r="X62" t="n">
        <v>4</v>
      </c>
      <c r="Y62" t="n">
        <v>2</v>
      </c>
      <c r="Z62" t="n">
        <v>8</v>
      </c>
    </row>
    <row r="63">
      <c r="A63" t="inlineStr">
        <is>
          <t>Sale of corn</t>
        </is>
      </c>
      <c r="B63" t="inlineStr">
        <is>
          <t>1 shilling from .5 quarters of dredge sold at the audit.</t>
        </is>
      </c>
      <c r="C63" t="n">
        <v>0.05</v>
      </c>
      <c r="D63" t="n">
        <v>0</v>
      </c>
      <c r="E63" t="n">
        <v>1</v>
      </c>
      <c r="F63" t="n">
        <v>0</v>
      </c>
      <c r="H63" t="n">
        <v>5</v>
      </c>
      <c r="I63" t="n">
        <v>0</v>
      </c>
      <c r="J63" t="n">
        <v>5</v>
      </c>
      <c r="K63" t="n">
        <v>5</v>
      </c>
      <c r="L63" t="n">
        <v>0</v>
      </c>
      <c r="M63" t="n">
        <v>5</v>
      </c>
      <c r="N63" t="n">
        <v>0</v>
      </c>
    </row>
    <row r="64">
      <c r="A64" t="inlineStr">
        <is>
          <t>Sale of corn</t>
        </is>
      </c>
      <c r="B64" t="inlineStr">
        <is>
          <t>2 shilling from 4 bushels of peas sold, at 6pence a bushels.</t>
        </is>
      </c>
      <c r="C64" t="n">
        <v>0.12</v>
      </c>
      <c r="D64" t="n">
        <v>0</v>
      </c>
      <c r="E64" t="n">
        <v>2</v>
      </c>
      <c r="F64" t="n">
        <v>6</v>
      </c>
      <c r="G64" t="inlineStr">
        <is>
          <t>peas</t>
        </is>
      </c>
      <c r="H64" t="n">
        <v>0</v>
      </c>
      <c r="I64" t="n">
        <v>4</v>
      </c>
      <c r="J64" t="n">
        <v>0.5</v>
      </c>
      <c r="K64" t="n">
        <v>0.5</v>
      </c>
      <c r="L64" t="n">
        <v>0</v>
      </c>
      <c r="M64" t="n">
        <v>0</v>
      </c>
      <c r="N64" t="n">
        <v>4</v>
      </c>
      <c r="AC64" t="n">
        <v>0</v>
      </c>
      <c r="AD64" t="n">
        <v>6</v>
      </c>
    </row>
    <row r="65">
      <c r="A65" t="inlineStr">
        <is>
          <t>Sale of corn</t>
        </is>
      </c>
      <c r="B65" t="inlineStr">
        <is>
          <t>2 shilling from 6 bushels of peas sold at the audit.</t>
        </is>
      </c>
      <c r="C65" t="n">
        <v>0.1</v>
      </c>
      <c r="D65" t="n">
        <v>0</v>
      </c>
      <c r="E65" t="n">
        <v>2</v>
      </c>
      <c r="F65" t="n">
        <v>0</v>
      </c>
      <c r="G65" t="inlineStr">
        <is>
          <t>peas</t>
        </is>
      </c>
      <c r="H65" t="n">
        <v>0</v>
      </c>
      <c r="I65" t="n">
        <v>6</v>
      </c>
      <c r="J65" t="n">
        <v>0.75</v>
      </c>
      <c r="K65" t="n">
        <v>0.75</v>
      </c>
      <c r="L65" t="n">
        <v>0</v>
      </c>
      <c r="M65" t="n">
        <v>0</v>
      </c>
      <c r="N65" t="n">
        <v>6</v>
      </c>
    </row>
    <row r="66">
      <c r="A66" t="inlineStr">
        <is>
          <t>Sale of corn</t>
        </is>
      </c>
      <c r="B66" t="inlineStr">
        <is>
          <t>Total, £4 9 shilling 4pence</t>
        </is>
      </c>
      <c r="C66" t="n">
        <v>4.47</v>
      </c>
      <c r="D66" t="n">
        <v>4</v>
      </c>
      <c r="E66" t="n">
        <v>9</v>
      </c>
      <c r="F66" t="n">
        <v>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Sale of the mill's corn</t>
        </is>
      </c>
      <c r="B67" t="inlineStr">
        <is>
          <t>The same render account for 10 shilling 3pence from 1 quarters 7 bushels of wheat sold, at 7.5pence a bushels for 2 bushels, 5 shilling 4pence a quarters for 1 quarters 1 bushels, and 9pence a bushels for 4 bushels.</t>
        </is>
      </c>
      <c r="C67" t="n">
        <v>0.51</v>
      </c>
      <c r="D67" t="n">
        <v>0</v>
      </c>
      <c r="E67" t="n">
        <v>10</v>
      </c>
      <c r="F67" t="n">
        <v>3</v>
      </c>
      <c r="G67" t="inlineStr">
        <is>
          <t>wheat</t>
        </is>
      </c>
      <c r="H67" t="n">
        <v>1</v>
      </c>
      <c r="I67" t="n">
        <v>7</v>
      </c>
      <c r="J67" t="n">
        <v>1.875</v>
      </c>
      <c r="K67" t="n">
        <v>1.875</v>
      </c>
      <c r="L67" t="n">
        <v>0</v>
      </c>
      <c r="M67" t="n">
        <v>1</v>
      </c>
      <c r="N67" t="n">
        <v>7</v>
      </c>
      <c r="O67" t="n">
        <v>0</v>
      </c>
      <c r="P67" t="n">
        <v>2</v>
      </c>
      <c r="Q67" t="n">
        <v>1</v>
      </c>
      <c r="R67" t="n">
        <v>1</v>
      </c>
      <c r="S67" t="n">
        <v>0</v>
      </c>
      <c r="T67" t="n">
        <v>4</v>
      </c>
      <c r="U67" t="n">
        <v>5</v>
      </c>
      <c r="V67" t="n">
        <v>4</v>
      </c>
      <c r="AC67" t="n">
        <v>0</v>
      </c>
      <c r="AD67" t="n">
        <v>7.5</v>
      </c>
      <c r="AE67" t="n">
        <v>0</v>
      </c>
      <c r="AF67" t="n">
        <v>9</v>
      </c>
    </row>
    <row r="68">
      <c r="A68" t="inlineStr">
        <is>
          <t>Sale of the mill's corn</t>
        </is>
      </c>
      <c r="B68" t="inlineStr">
        <is>
          <t>£1 15 shilling 10pence from 11 quarters 6 bushels of barley sold, at 2 shilling 8pence a quarters for 3 quarters, 3 shilling a quarters for 4 quarters, and 3 shilling 4pence a quarters for 4 quarters 6 bushels.</t>
        </is>
      </c>
      <c r="C68" t="n">
        <v>1.79</v>
      </c>
      <c r="D68" t="n">
        <v>1</v>
      </c>
      <c r="E68" t="n">
        <v>15</v>
      </c>
      <c r="F68" t="n">
        <v>10</v>
      </c>
      <c r="G68" t="inlineStr">
        <is>
          <t>barley</t>
        </is>
      </c>
      <c r="H68" t="n">
        <v>11</v>
      </c>
      <c r="I68" t="n">
        <v>6</v>
      </c>
      <c r="J68" t="n">
        <v>11.75</v>
      </c>
      <c r="K68" t="n">
        <v>11.75</v>
      </c>
      <c r="L68" t="n">
        <v>0</v>
      </c>
      <c r="M68" t="n">
        <v>11</v>
      </c>
      <c r="N68" t="n">
        <v>6</v>
      </c>
      <c r="O68" t="n">
        <v>3</v>
      </c>
      <c r="P68" t="n">
        <v>0</v>
      </c>
      <c r="Q68" t="n">
        <v>4</v>
      </c>
      <c r="R68" t="n">
        <v>0</v>
      </c>
      <c r="S68" t="n">
        <v>4</v>
      </c>
      <c r="T68" t="n">
        <v>6</v>
      </c>
      <c r="U68" t="n">
        <v>2</v>
      </c>
      <c r="V68" t="n">
        <v>8</v>
      </c>
      <c r="W68" t="n">
        <v>3</v>
      </c>
      <c r="X68" t="n">
        <v>0</v>
      </c>
      <c r="Y68" t="n">
        <v>3</v>
      </c>
      <c r="Z68" t="n">
        <v>4</v>
      </c>
    </row>
    <row r="69">
      <c r="A69" t="inlineStr">
        <is>
          <t>Sale of the mill's corn</t>
        </is>
      </c>
      <c r="B69" t="inlineStr">
        <is>
          <t>1 1 shilling from 2 quarters 1 bushels of coarse-ground corn sold, at 5 shilling for 1 quarters, and 5 shilling 4pence a quarters for 1 quarters 1 bushels.</t>
        </is>
      </c>
      <c r="C69" t="n">
        <v>0.07000000000000001</v>
      </c>
      <c r="D69" t="n">
        <v>0</v>
      </c>
      <c r="E69" t="n">
        <v>1</v>
      </c>
      <c r="F69" t="n">
        <v>4</v>
      </c>
      <c r="H69" t="n">
        <v>2</v>
      </c>
      <c r="I69" t="n">
        <v>1</v>
      </c>
      <c r="J69" t="n">
        <v>2.125</v>
      </c>
      <c r="K69" t="n">
        <v>2.125</v>
      </c>
      <c r="L69" t="n">
        <v>0</v>
      </c>
      <c r="M69" t="n">
        <v>2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U69" t="n">
        <v>5</v>
      </c>
      <c r="V69" t="n">
        <v>4</v>
      </c>
    </row>
    <row r="70">
      <c r="A70" t="inlineStr">
        <is>
          <t>Sale of the mill's corn</t>
        </is>
      </c>
      <c r="B70" t="inlineStr">
        <is>
          <t>10 shilling 9pence from 4 quarters 7 bushels of malt sold, at 2 shilling a quarters for 1 quarters 7 bushels, and 2 shilling 4pence a quarters for 3 quarters.</t>
        </is>
      </c>
      <c r="C70" t="n">
        <v>0.54</v>
      </c>
      <c r="D70" t="n">
        <v>0</v>
      </c>
      <c r="E70" t="n">
        <v>10</v>
      </c>
      <c r="F70" t="n">
        <v>9</v>
      </c>
      <c r="H70" t="n">
        <v>4</v>
      </c>
      <c r="I70" t="n">
        <v>7</v>
      </c>
      <c r="J70" t="n">
        <v>4.875</v>
      </c>
      <c r="K70" t="n">
        <v>4.875</v>
      </c>
      <c r="L70" t="n">
        <v>0</v>
      </c>
      <c r="M70" t="n">
        <v>4</v>
      </c>
      <c r="N70" t="n">
        <v>7</v>
      </c>
      <c r="O70" t="n">
        <v>1</v>
      </c>
      <c r="P70" t="n">
        <v>7</v>
      </c>
      <c r="Q70" t="n">
        <v>3</v>
      </c>
      <c r="R70" t="n">
        <v>0</v>
      </c>
      <c r="U70" t="n">
        <v>2</v>
      </c>
      <c r="V70" t="n">
        <v>0</v>
      </c>
      <c r="W70" t="n">
        <v>2</v>
      </c>
      <c r="X70" t="n">
        <v>4</v>
      </c>
    </row>
    <row r="71">
      <c r="A71" t="inlineStr">
        <is>
          <t>Sale of the mill's corn</t>
        </is>
      </c>
      <c r="B71" t="inlineStr">
        <is>
          <t>8pence from 1 bushels of oatmeal sold Total, £3 8 shilling 6pence</t>
        </is>
      </c>
      <c r="C71" t="n">
        <v>3.42</v>
      </c>
      <c r="D71" t="n">
        <v>3</v>
      </c>
      <c r="E71" t="n">
        <v>8</v>
      </c>
      <c r="F71" t="n">
        <v>6</v>
      </c>
      <c r="G71" t="inlineStr">
        <is>
          <t>oatmeal</t>
        </is>
      </c>
      <c r="H71" t="n">
        <v>0</v>
      </c>
      <c r="I71" t="n">
        <v>1</v>
      </c>
      <c r="J71" t="n">
        <v>0.125</v>
      </c>
      <c r="K71" t="n">
        <v>0.125</v>
      </c>
      <c r="L71" t="n">
        <v>0</v>
      </c>
      <c r="M71" t="n">
        <v>0</v>
      </c>
      <c r="N71" t="n">
        <v>1</v>
      </c>
    </row>
    <row r="72">
      <c r="A72" t="inlineStr">
        <is>
          <t>Entry and marriage fines</t>
        </is>
      </c>
      <c r="B72" t="inlineStr">
        <is>
          <t>The same render account for 6 shilling 8pence from the tithing of Bitterne at the hundred-court of Martinmas for tithingpenny.</t>
        </is>
      </c>
      <c r="C72" t="n">
        <v>0.33</v>
      </c>
      <c r="D72" t="n">
        <v>0</v>
      </c>
      <c r="E72" t="n">
        <v>6</v>
      </c>
      <c r="F72" t="n">
        <v>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Entry and marriage fines</t>
        </is>
      </c>
      <c r="B73" t="inlineStr">
        <is>
          <t>6 shilling 8pence from the tithing of Fawley at the said hundred-court for the same.</t>
        </is>
      </c>
      <c r="C73" t="n">
        <v>0.33</v>
      </c>
      <c r="D73" t="n">
        <v>0</v>
      </c>
      <c r="E73" t="n">
        <v>6</v>
      </c>
      <c r="F73" t="n">
        <v>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Entry and marriage fines</t>
        </is>
      </c>
      <c r="B74" t="inlineStr">
        <is>
          <t>13 shilling 4pence from the same at the hundred-court of Hockday for the same.</t>
        </is>
      </c>
      <c r="C74" t="n">
        <v>0.67</v>
      </c>
      <c r="D74" t="n">
        <v>0</v>
      </c>
      <c r="E74" t="n">
        <v>13</v>
      </c>
      <c r="F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Entry and marriage fines</t>
        </is>
      </c>
      <c r="B75" t="inlineStr">
        <is>
          <t>1 shilling from John le Careter for marrying Joan his stepdaughter outside.</t>
        </is>
      </c>
      <c r="C75" t="n">
        <v>0.05</v>
      </c>
      <c r="D75" t="n">
        <v>0</v>
      </c>
      <c r="E75" t="n">
        <v>1</v>
      </c>
      <c r="F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Entry and marriage fines</t>
        </is>
      </c>
      <c r="B76" t="inlineStr">
        <is>
          <t>3 shilling from .Havvise, daughter of Austin Mich', to have 1 house and 2 acres of land which belonged to Edith her mother.</t>
        </is>
      </c>
      <c r="C76" t="n">
        <v>0.15</v>
      </c>
      <c r="D76" t="n">
        <v>0</v>
      </c>
      <c r="E76" t="n">
        <v>3</v>
      </c>
      <c r="F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Entry and marriage fines</t>
        </is>
      </c>
      <c r="B77" t="inlineStr">
        <is>
          <t>6 shilling 8pence from Matilda, daughter of Mabel Ace, to have 1 messuage and 1 ferling of land by surrender of Mabel her mother, so that the said  Mabel be supported by holding the same land equally with her.</t>
        </is>
      </c>
      <c r="C77" t="n">
        <v>0.33</v>
      </c>
      <c r="D77" t="n">
        <v>0</v>
      </c>
      <c r="E77" t="n">
        <v>6</v>
      </c>
      <c r="F77" t="n">
        <v>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Entry and marriage fines</t>
        </is>
      </c>
      <c r="B78" t="inlineStr">
        <is>
          <t>6 shilling 8pence from Nicholas le Pyn to have the said Matilda with her land.</t>
        </is>
      </c>
      <c r="C78" t="n">
        <v>0.33</v>
      </c>
      <c r="D78" t="n">
        <v>0</v>
      </c>
      <c r="E78" t="n">
        <v>6</v>
      </c>
      <c r="F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Entry and marriage fines</t>
        </is>
      </c>
      <c r="B79" t="inlineStr">
        <is>
          <t>6 shilling 8pence from Walter le Schepphurd' to have the land which belonged to his mother.</t>
        </is>
      </c>
      <c r="C79" t="n">
        <v>0.33</v>
      </c>
      <c r="D79" t="n">
        <v>0</v>
      </c>
      <c r="E79" t="n">
        <v>6</v>
      </c>
      <c r="F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Entry and marriage fines</t>
        </is>
      </c>
      <c r="B80" t="inlineStr">
        <is>
          <t>13 shilling 4pence from Roger ate Clive to have the land which belonged to Gunilda Gardenir.</t>
        </is>
      </c>
      <c r="C80" t="n">
        <v>0.67</v>
      </c>
      <c r="D80" t="n">
        <v>0</v>
      </c>
      <c r="E80" t="n">
        <v>13</v>
      </c>
      <c r="F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Entry and marriage fines</t>
        </is>
      </c>
      <c r="B81" t="inlineStr">
        <is>
          <t>3 shilling 4pence from Roger Westsyd' to have 1 house and 1 curtilage by surrender of Walter le Schiphurd', and he will relieve the said Walter of 6pence annual rent.</t>
        </is>
      </c>
      <c r="C81" t="n">
        <v>0.17</v>
      </c>
      <c r="D81" t="n">
        <v>0</v>
      </c>
      <c r="E81" t="n">
        <v>3</v>
      </c>
      <c r="F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Entry and marriage fines</t>
        </is>
      </c>
      <c r="B82" t="inlineStr">
        <is>
          <t>1 shilling from Joan Alayn for marrying herself.</t>
        </is>
      </c>
      <c r="C82" t="n">
        <v>0.05</v>
      </c>
      <c r="D82" t="n">
        <v>0</v>
      </c>
      <c r="E82" t="n">
        <v>1</v>
      </c>
      <c r="F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Entry and marriage fines</t>
        </is>
      </c>
      <c r="B83" t="inlineStr">
        <is>
          <t>1 shilling from Margery, daughter of Walter le Schiphurd', for marrying herself.</t>
        </is>
      </c>
      <c r="C83" t="n">
        <v>0.05</v>
      </c>
      <c r="D83" t="n">
        <v>0</v>
      </c>
      <c r="E83" t="n">
        <v>1</v>
      </c>
      <c r="F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Entry and marriage fines</t>
        </is>
      </c>
      <c r="B84" t="inlineStr">
        <is>
          <t>1 shilling from Alice Baron for 1 messuage 1 acre of land by surrender of Robert ate Slade and Alice his wife.</t>
        </is>
      </c>
      <c r="C84" t="n">
        <v>0.05</v>
      </c>
      <c r="D84" t="n">
        <v>0</v>
      </c>
      <c r="E84" t="n">
        <v>1</v>
      </c>
      <c r="F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Entry and marriage fines</t>
        </is>
      </c>
      <c r="B85" t="inlineStr">
        <is>
          <t>Total, £3 10 shilling 4pence</t>
        </is>
      </c>
      <c r="C85" t="n">
        <v>3.52</v>
      </c>
      <c r="D85" t="n">
        <v>3</v>
      </c>
      <c r="E85" t="n">
        <v>10</v>
      </c>
      <c r="F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Perquisites</t>
        </is>
      </c>
      <c r="B86" t="inlineStr">
        <is>
          <t>The same render account for 2 shilling from the tithing of Fawley because it did not present the default of John Baron at the tourn of Martinmas.</t>
        </is>
      </c>
      <c r="C86" t="n">
        <v>0.1</v>
      </c>
      <c r="D86" t="n">
        <v>0</v>
      </c>
      <c r="E86" t="n">
        <v>2</v>
      </c>
      <c r="F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Perquisites</t>
        </is>
      </c>
      <c r="B87" t="inlineStr">
        <is>
          <t>2 shilling from the same tithing because it did not produce in court the individual whom it had bailed.</t>
        </is>
      </c>
      <c r="C87" t="n">
        <v>0.1</v>
      </c>
      <c r="D87" t="n">
        <v>0</v>
      </c>
      <c r="E87" t="n">
        <v>2</v>
      </c>
      <c r="F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Perquisites</t>
        </is>
      </c>
      <c r="B88" t="inlineStr">
        <is>
          <t>£2 10 shilling 4pence from small amercements from various men for various transgressions.</t>
        </is>
      </c>
      <c r="C88" t="n">
        <v>2.52</v>
      </c>
      <c r="D88" t="n">
        <v>2</v>
      </c>
      <c r="E88" t="n">
        <v>10</v>
      </c>
      <c r="F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Perquisites</t>
        </is>
      </c>
      <c r="B89" t="inlineStr">
        <is>
          <t>Total, £2 14 shilling 4pence</t>
        </is>
      </c>
      <c r="C89" t="n">
        <v>2.72</v>
      </c>
      <c r="D89" t="n">
        <v>2</v>
      </c>
      <c r="E89" t="n">
        <v>14</v>
      </c>
      <c r="F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Total of both</t>
        </is>
      </c>
      <c r="B90" t="inlineStr">
        <is>
          <t>Total of both, £6 4 shilling 8pence</t>
        </is>
      </c>
      <c r="C90" t="n">
        <v>6.23</v>
      </c>
      <c r="D90" t="n">
        <v>6</v>
      </c>
      <c r="E90" t="n">
        <v>4</v>
      </c>
      <c r="F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Total of all receipts</t>
        </is>
      </c>
      <c r="B91" t="inlineStr">
        <is>
          <t>Total of all receipts, £38 6 shilling 1.5pence</t>
        </is>
      </c>
      <c r="C91" t="n">
        <v>38.31</v>
      </c>
      <c r="D91" t="n">
        <v>38</v>
      </c>
      <c r="E91" t="n">
        <v>6</v>
      </c>
      <c r="F91" t="n">
        <v>1.5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Cost of ploughs</t>
        </is>
      </c>
      <c r="B92" t="inlineStr">
        <is>
          <t>In iron and steel bought for 2 ploughs for the year 3 shilling 1pence.</t>
        </is>
      </c>
      <c r="C92" t="n">
        <v>0.15</v>
      </c>
      <c r="D92" t="n">
        <v>0</v>
      </c>
      <c r="E92" t="n">
        <v>3</v>
      </c>
      <c r="F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Cost of ploughs</t>
        </is>
      </c>
      <c r="B93" t="inlineStr">
        <is>
          <t>1 plough foot bought 5pence.</t>
        </is>
      </c>
      <c r="C93" t="n">
        <v>0.02</v>
      </c>
      <c r="D93" t="n">
        <v>0</v>
      </c>
      <c r="E93" t="n">
        <v>0</v>
      </c>
      <c r="F93" t="n">
        <v>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Cost of ploughs</t>
        </is>
      </c>
      <c r="B94" t="inlineStr">
        <is>
          <t>3 wheels bought for ploughs 4.5pence.</t>
        </is>
      </c>
      <c r="C94" t="n">
        <v>0.02</v>
      </c>
      <c r="D94" t="n">
        <v>0</v>
      </c>
      <c r="E94" t="n">
        <v>0</v>
      </c>
      <c r="F94" t="n">
        <v>4.5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Cost of ploughs</t>
        </is>
      </c>
      <c r="B95" t="inlineStr">
        <is>
          <t>making a new plough and mending others and harrows 9.5pence.</t>
        </is>
      </c>
      <c r="C95" t="n">
        <v>0.04</v>
      </c>
      <c r="D95" t="n">
        <v>0</v>
      </c>
      <c r="E95" t="n">
        <v>0</v>
      </c>
      <c r="F95" t="n">
        <v>9.5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Cost of ploughs</t>
        </is>
      </c>
      <c r="B96" t="inlineStr">
        <is>
          <t>1 ploughshare bought 9pence.</t>
        </is>
      </c>
      <c r="C96" t="n">
        <v>0.04</v>
      </c>
      <c r="D96" t="n">
        <v>0</v>
      </c>
      <c r="E96" t="n">
        <v>0</v>
      </c>
      <c r="F96" t="n">
        <v>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Cost of ploughs</t>
        </is>
      </c>
      <c r="B97" t="inlineStr">
        <is>
          <t>stipend of the smith making the ironwork of the ploughs 2 shilling 4pence.</t>
        </is>
      </c>
      <c r="C97" t="n">
        <v>0.12</v>
      </c>
      <c r="D97" t="n">
        <v>0</v>
      </c>
      <c r="E97" t="n">
        <v>2</v>
      </c>
      <c r="F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Cost of ploughs</t>
        </is>
      </c>
      <c r="B98" t="inlineStr">
        <is>
          <t>fitting the wain with axles 3pence.</t>
        </is>
      </c>
      <c r="C98" t="n">
        <v>0.01</v>
      </c>
      <c r="D98" t="n">
        <v>0</v>
      </c>
      <c r="E98" t="n">
        <v>0</v>
      </c>
      <c r="F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Cost of ploughs</t>
        </is>
      </c>
      <c r="B99" t="inlineStr">
        <is>
          <t>clouts, nails and grease bought for the same 1 shilling 5.5pence, and so much because it went to the marling for the whole summer.</t>
        </is>
      </c>
      <c r="C99" t="n">
        <v>0.07000000000000001</v>
      </c>
      <c r="D99" t="n">
        <v>0</v>
      </c>
      <c r="E99" t="n">
        <v>1</v>
      </c>
      <c r="F99" t="n">
        <v>5.5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Cost of ploughs</t>
        </is>
      </c>
      <c r="B100" t="inlineStr">
        <is>
          <t>.</t>
        </is>
      </c>
      <c r="C100" t="n">
        <v>0</v>
      </c>
      <c r="D100" t="n">
        <v>0</v>
      </c>
      <c r="E100" t="n">
        <v>0</v>
      </c>
      <c r="F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Cost of ploughs</t>
        </is>
      </c>
      <c r="B101" t="inlineStr">
        <is>
          <t>cleaning iron tyres 1.5pence.</t>
        </is>
      </c>
      <c r="C101" t="n">
        <v>0.01</v>
      </c>
      <c r="D101" t="n">
        <v>0</v>
      </c>
      <c r="E101" t="n">
        <v>0</v>
      </c>
      <c r="F101" t="n">
        <v>1.5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Cost of ploughs</t>
        </is>
      </c>
      <c r="B102" t="inlineStr">
        <is>
          <t>1 rope, 6 halters and 1 pair of traces made from their own canvas 5pence.</t>
        </is>
      </c>
      <c r="C102" t="n">
        <v>0.02</v>
      </c>
      <c r="D102" t="n">
        <v>0</v>
      </c>
      <c r="E102" t="n">
        <v>0</v>
      </c>
      <c r="F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Cost of ploughs</t>
        </is>
      </c>
      <c r="B103" t="inlineStr">
        <is>
          <t>1 ox bought 10 shilling.</t>
        </is>
      </c>
      <c r="C103" t="n">
        <v>0.5</v>
      </c>
      <c r="D103" t="n">
        <v>0</v>
      </c>
      <c r="E103" t="n">
        <v>10</v>
      </c>
      <c r="F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Cost of ploughs</t>
        </is>
      </c>
      <c r="B104" t="inlineStr">
        <is>
          <t>stipend of 2 ploughmen for the year 6 shilling.</t>
        </is>
      </c>
      <c r="C104" t="n">
        <v>0.3</v>
      </c>
      <c r="D104" t="n">
        <v>0</v>
      </c>
      <c r="E104" t="n">
        <v>6</v>
      </c>
      <c r="F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Cost of ploughs</t>
        </is>
      </c>
      <c r="B105" t="inlineStr">
        <is>
          <t>4 bushels of beans bought for sowing 1 shilling 4pence.</t>
        </is>
      </c>
      <c r="C105" t="n">
        <v>0.07000000000000001</v>
      </c>
      <c r="D105" t="n">
        <v>0</v>
      </c>
      <c r="E105" t="n">
        <v>1</v>
      </c>
      <c r="F105" t="n">
        <v>4</v>
      </c>
      <c r="G105" t="inlineStr">
        <is>
          <t>beans</t>
        </is>
      </c>
      <c r="H105" t="n">
        <v>0</v>
      </c>
      <c r="I105" t="n">
        <v>4</v>
      </c>
      <c r="J105" t="n">
        <v>0.5</v>
      </c>
      <c r="K105" t="n">
        <v>0.5</v>
      </c>
      <c r="L105" t="n">
        <v>0</v>
      </c>
      <c r="M105" t="n">
        <v>0</v>
      </c>
      <c r="N105" t="n">
        <v>4</v>
      </c>
    </row>
    <row r="106">
      <c r="A106" t="inlineStr">
        <is>
          <t>Cost of ploughs</t>
        </is>
      </c>
      <c r="B106" t="inlineStr">
        <is>
          <t>forage bought for supporting oxen 12 shilling 8pence Total, £2.</t>
        </is>
      </c>
      <c r="C106" t="n">
        <v>2</v>
      </c>
      <c r="D106" t="n">
        <v>2</v>
      </c>
      <c r="E106" t="n">
        <v>0</v>
      </c>
      <c r="F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Cost of carts</t>
        </is>
      </c>
      <c r="B107" t="inlineStr">
        <is>
          <t>In fitting the cart with axles at various times with axles bought for the same 5.5pence.</t>
        </is>
      </c>
      <c r="C107" t="n">
        <v>0.02</v>
      </c>
      <c r="D107" t="n">
        <v>0</v>
      </c>
      <c r="E107" t="n">
        <v>0</v>
      </c>
      <c r="F107" t="n">
        <v>5.5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Cost of carts</t>
        </is>
      </c>
      <c r="B108" t="inlineStr">
        <is>
          <t>clouts, nails, grease bought for the same 6.5pence.</t>
        </is>
      </c>
      <c r="C108" t="n">
        <v>0.03</v>
      </c>
      <c r="D108" t="n">
        <v>0</v>
      </c>
      <c r="E108" t="n">
        <v>0</v>
      </c>
      <c r="F108" t="n">
        <v>6.5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Cost of carts</t>
        </is>
      </c>
      <c r="B109" t="inlineStr">
        <is>
          <t>1 collar bought 8pence.</t>
        </is>
      </c>
      <c r="C109" t="n">
        <v>0.03</v>
      </c>
      <c r="D109" t="n">
        <v>0</v>
      </c>
      <c r="E109" t="n">
        <v>0</v>
      </c>
      <c r="F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Cost of carts</t>
        </is>
      </c>
      <c r="B110" t="inlineStr">
        <is>
          <t>white leather bought for mending harnesses 6pence.</t>
        </is>
      </c>
      <c r="C110" t="n">
        <v>0.03</v>
      </c>
      <c r="D110" t="n">
        <v>0</v>
      </c>
      <c r="E110" t="n">
        <v>0</v>
      </c>
      <c r="F110" t="n">
        <v>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Cost of carts</t>
        </is>
      </c>
      <c r="B111" t="inlineStr">
        <is>
          <t>a broad-axe bought for mending the cart 7pence.</t>
        </is>
      </c>
      <c r="C111" t="n">
        <v>0.03</v>
      </c>
      <c r="D111" t="n">
        <v>0</v>
      </c>
      <c r="E111" t="n">
        <v>0</v>
      </c>
      <c r="F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Cost of carts</t>
        </is>
      </c>
      <c r="B112" t="inlineStr">
        <is>
          <t>hooping the hubs of wheels with bands of wood 3pence.</t>
        </is>
      </c>
      <c r="C112" t="n">
        <v>0.01</v>
      </c>
      <c r="D112" t="n">
        <v>0</v>
      </c>
      <c r="E112" t="n">
        <v>0</v>
      </c>
      <c r="F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Cost of carts</t>
        </is>
      </c>
      <c r="B113" t="inlineStr">
        <is>
          <t>shoeing 2 cart-horses for the year 2 shilling 6pence.</t>
        </is>
      </c>
      <c r="C113" t="n">
        <v>0.12</v>
      </c>
      <c r="D113" t="n">
        <v>0</v>
      </c>
      <c r="E113" t="n">
        <v>2</v>
      </c>
      <c r="F113" t="n">
        <v>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Cost of carts</t>
        </is>
      </c>
      <c r="B114" t="inlineStr">
        <is>
          <t>shoeing 2 plough-horses going to harrow at both sowings 8pence.</t>
        </is>
      </c>
      <c r="C114" t="n">
        <v>0.03</v>
      </c>
      <c r="D114" t="n">
        <v>0</v>
      </c>
      <c r="E114" t="n">
        <v>0</v>
      </c>
      <c r="F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Cost of carts</t>
        </is>
      </c>
      <c r="B115" t="inlineStr">
        <is>
          <t>stipend of 1 carter for the year 3 shilling.</t>
        </is>
      </c>
      <c r="C115" t="n">
        <v>0.15</v>
      </c>
      <c r="D115" t="n">
        <v>0</v>
      </c>
      <c r="E115" t="n">
        <v>3</v>
      </c>
      <c r="F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Cost of carts</t>
        </is>
      </c>
      <c r="B116" t="inlineStr">
        <is>
          <t>4 quarters 2 bushels of oats bought for the fodder of horses 8 shilling 8pence Total, 17 shilling 8pence</t>
        </is>
      </c>
      <c r="C116" t="n">
        <v>0.43</v>
      </c>
      <c r="D116" t="n">
        <v>0</v>
      </c>
      <c r="E116" t="n">
        <v>8</v>
      </c>
      <c r="F116" t="n">
        <v>8</v>
      </c>
      <c r="G116" t="inlineStr">
        <is>
          <t>oats</t>
        </is>
      </c>
      <c r="H116" t="n">
        <v>4</v>
      </c>
      <c r="I116" t="n">
        <v>2</v>
      </c>
      <c r="J116" t="n">
        <v>4.25</v>
      </c>
      <c r="K116" t="n">
        <v>4.25</v>
      </c>
      <c r="L116" t="n">
        <v>0</v>
      </c>
      <c r="M116" t="n">
        <v>4</v>
      </c>
      <c r="N116" t="n">
        <v>2</v>
      </c>
    </row>
    <row r="117">
      <c r="A117" t="inlineStr">
        <is>
          <t>Cost of the dairy</t>
        </is>
      </c>
      <c r="B117" t="inlineStr">
        <is>
          <t>In woollen and linen cloth bought for the dairy 5pence.</t>
        </is>
      </c>
      <c r="C117" t="n">
        <v>0.02</v>
      </c>
      <c r="D117" t="n">
        <v>0</v>
      </c>
      <c r="E117" t="n">
        <v>0</v>
      </c>
      <c r="F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Cost of the dairy</t>
        </is>
      </c>
      <c r="B118" t="inlineStr">
        <is>
          <t>5 bushels of salt bought 1 shilling .5pence.</t>
        </is>
      </c>
      <c r="C118" t="n">
        <v>0.07000000000000001</v>
      </c>
      <c r="D118" t="n">
        <v>0</v>
      </c>
      <c r="E118" t="n">
        <v>1</v>
      </c>
      <c r="F118" t="n">
        <v>5</v>
      </c>
      <c r="H118" t="n">
        <v>0</v>
      </c>
      <c r="I118" t="n">
        <v>5</v>
      </c>
      <c r="J118" t="n">
        <v>0.625</v>
      </c>
      <c r="K118" t="n">
        <v>0.625</v>
      </c>
      <c r="L118" t="n">
        <v>0</v>
      </c>
      <c r="M118" t="n">
        <v>0</v>
      </c>
      <c r="N118" t="n">
        <v>5</v>
      </c>
    </row>
    <row r="119">
      <c r="A119" t="inlineStr">
        <is>
          <t>Cost of the dairy</t>
        </is>
      </c>
      <c r="B119" t="inlineStr">
        <is>
          <t>earthenware pots and pans bought for the same 2pence.</t>
        </is>
      </c>
      <c r="C119" t="n">
        <v>0.01</v>
      </c>
      <c r="D119" t="n">
        <v>0</v>
      </c>
      <c r="E119" t="n">
        <v>0</v>
      </c>
      <c r="F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Cost of the dairy</t>
        </is>
      </c>
      <c r="B120" t="inlineStr">
        <is>
          <t>1 new bucket bought and another mended 5pence.</t>
        </is>
      </c>
      <c r="C120" t="n">
        <v>0.02</v>
      </c>
      <c r="D120" t="n">
        <v>0</v>
      </c>
      <c r="E120" t="n">
        <v>0</v>
      </c>
      <c r="F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Cost of the dairy</t>
        </is>
      </c>
      <c r="B121" t="inlineStr">
        <is>
          <t>a press bought for the same 3pence.</t>
        </is>
      </c>
      <c r="C121" t="n">
        <v>0.01</v>
      </c>
      <c r="D121" t="n">
        <v>0</v>
      </c>
      <c r="E121" t="n">
        <v>0</v>
      </c>
      <c r="F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Cost of the dairy</t>
        </is>
      </c>
      <c r="B122" t="inlineStr">
        <is>
          <t>6 ells of canvas bought for putting the wool in 1 shilling7.5pence, at 3.25pence an ell.</t>
        </is>
      </c>
      <c r="C122" t="n">
        <v>0.08</v>
      </c>
      <c r="D122" t="n">
        <v>0</v>
      </c>
      <c r="E122" t="n">
        <v>1</v>
      </c>
      <c r="F122" t="n">
        <v>7.5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Cost of the dairy</t>
        </is>
      </c>
      <c r="B123" t="inlineStr">
        <is>
          <t>.</t>
        </is>
      </c>
      <c r="C123" t="n">
        <v>0</v>
      </c>
      <c r="D123" t="n">
        <v>0</v>
      </c>
      <c r="E123" t="n">
        <v>0</v>
      </c>
      <c r="F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Cost of the dairy</t>
        </is>
      </c>
      <c r="B124" t="inlineStr">
        <is>
          <t>packing the wool 2pence.</t>
        </is>
      </c>
      <c r="C124" t="n">
        <v>0.01</v>
      </c>
      <c r="D124" t="n">
        <v>0</v>
      </c>
      <c r="E124" t="n">
        <v>0</v>
      </c>
      <c r="F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Cost of the dairy</t>
        </is>
      </c>
      <c r="B125" t="inlineStr">
        <is>
          <t>grease bought for greasing sheep 3 shilling.</t>
        </is>
      </c>
      <c r="C125" t="n">
        <v>0.15</v>
      </c>
      <c r="D125" t="n">
        <v>0</v>
      </c>
      <c r="E125" t="n">
        <v>3</v>
      </c>
      <c r="F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Cost of the dairy</t>
        </is>
      </c>
      <c r="B126" t="inlineStr">
        <is>
          <t>1 mould bought for making cheese 4pence.</t>
        </is>
      </c>
      <c r="C126" t="n">
        <v>0.02</v>
      </c>
      <c r="D126" t="n">
        <v>0</v>
      </c>
      <c r="E126" t="n">
        <v>0</v>
      </c>
      <c r="F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Cost of the dairy</t>
        </is>
      </c>
      <c r="B127" t="inlineStr">
        <is>
          <t>stipend of 1 dairymaid for the year 1 shilling 6pence.</t>
        </is>
      </c>
      <c r="C127" t="n">
        <v>0.08</v>
      </c>
      <c r="D127" t="n">
        <v>0</v>
      </c>
      <c r="E127" t="n">
        <v>1</v>
      </c>
      <c r="F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Cost of the dairy</t>
        </is>
      </c>
      <c r="B128" t="inlineStr">
        <is>
          <t>stipend of 1 shepherd for the year 3 shilling.</t>
        </is>
      </c>
      <c r="C128" t="n">
        <v>0.15</v>
      </c>
      <c r="D128" t="n">
        <v>0</v>
      </c>
      <c r="E128" t="n">
        <v>3</v>
      </c>
      <c r="F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Cost of the dairy</t>
        </is>
      </c>
      <c r="B129" t="inlineStr">
        <is>
          <t>7 cows bought for the lord's stock £2 19 shilling 1pence, at 7 shilling 9.5pence each for 2, 8 shilling 6pence each for 3, and 9 shilling each for 2..</t>
        </is>
      </c>
      <c r="C129" t="n">
        <v>2.95</v>
      </c>
      <c r="D129" t="n">
        <v>2</v>
      </c>
      <c r="E129" t="n">
        <v>19</v>
      </c>
      <c r="F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Cost of the dairy</t>
        </is>
      </c>
      <c r="B130" t="inlineStr">
        <is>
          <t>1 wether bought before shearing 1 shilling 6pence Total, £3 12 shilling 6pence</t>
        </is>
      </c>
      <c r="C130" t="n">
        <v>3.62</v>
      </c>
      <c r="D130" t="n">
        <v>3</v>
      </c>
      <c r="E130" t="n">
        <v>12</v>
      </c>
      <c r="F130" t="n">
        <v>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Threshing</t>
        </is>
      </c>
      <c r="B131" t="inlineStr">
        <is>
          <t>In threshing 30 quarters of wheat, curall and rye by piece-work 5 shilling, at 2.5pence per 10 struck bushe1 shilling.</t>
        </is>
      </c>
      <c r="C131" t="n">
        <v>0.26</v>
      </c>
      <c r="D131" t="n">
        <v>0</v>
      </c>
      <c r="E131" t="n">
        <v>5</v>
      </c>
      <c r="F131" t="n">
        <v>2.5</v>
      </c>
      <c r="G131" t="inlineStr">
        <is>
          <t>curall, rye, wheat</t>
        </is>
      </c>
      <c r="H131" t="n">
        <v>30</v>
      </c>
      <c r="I131" t="n">
        <v>0</v>
      </c>
      <c r="J131" t="n">
        <v>30</v>
      </c>
      <c r="K131" t="n">
        <v>30</v>
      </c>
      <c r="L131" t="n">
        <v>0</v>
      </c>
      <c r="M131" t="n">
        <v>30</v>
      </c>
      <c r="N131" t="n">
        <v>0</v>
      </c>
    </row>
    <row r="132">
      <c r="A132" t="inlineStr">
        <is>
          <t>Threshing</t>
        </is>
      </c>
      <c r="B132" t="inlineStr">
        <is>
          <t>threshing 64 quarters 1 bushels of barley, dredge, peas and vetches by piece-work 6 shilling per 10 struck bushe1 shilling.</t>
        </is>
      </c>
      <c r="C132" t="n">
        <v>0.3</v>
      </c>
      <c r="D132" t="n">
        <v>0</v>
      </c>
      <c r="E132" t="n">
        <v>6</v>
      </c>
      <c r="F132" t="n">
        <v>0</v>
      </c>
      <c r="G132" t="inlineStr">
        <is>
          <t>barley, vetches, peas</t>
        </is>
      </c>
      <c r="H132" t="n">
        <v>64</v>
      </c>
      <c r="I132" t="n">
        <v>1</v>
      </c>
      <c r="J132" t="n">
        <v>64.125</v>
      </c>
      <c r="K132" t="n">
        <v>64.125</v>
      </c>
      <c r="L132" t="n">
        <v>0</v>
      </c>
      <c r="M132" t="n">
        <v>64</v>
      </c>
      <c r="N132" t="n">
        <v>1</v>
      </c>
    </row>
    <row r="133">
      <c r="A133" t="inlineStr">
        <is>
          <t>Threshing</t>
        </is>
      </c>
      <c r="B133" t="inlineStr">
        <is>
          <t>threshing 20 quarters 3 bushels of oats by piece-workper 20 struck bushe1 shilling.</t>
        </is>
      </c>
      <c r="C133" t="n">
        <v>0.05</v>
      </c>
      <c r="D133" t="n">
        <v>0</v>
      </c>
      <c r="E133" t="n">
        <v>1</v>
      </c>
      <c r="F133" t="n">
        <v>0</v>
      </c>
      <c r="G133" t="inlineStr">
        <is>
          <t>oats</t>
        </is>
      </c>
      <c r="H133" t="n">
        <v>20</v>
      </c>
      <c r="I133" t="n">
        <v>3</v>
      </c>
      <c r="J133" t="n">
        <v>20.375</v>
      </c>
      <c r="K133" t="n">
        <v>20.375</v>
      </c>
      <c r="L133" t="n">
        <v>0</v>
      </c>
      <c r="M133" t="n">
        <v>20</v>
      </c>
      <c r="N133" t="n">
        <v>3</v>
      </c>
    </row>
    <row r="134">
      <c r="A134" t="inlineStr">
        <is>
          <t>Threshing</t>
        </is>
      </c>
      <c r="B134" t="inlineStr">
        <is>
          <t>winnowing all the corn beyond that 4.5pence, at 1.5pence  1 shilling, at 1.5pence winnowed by the dairymaid 9pence Total, 13 shilling 1.5pence</t>
        </is>
      </c>
      <c r="C134" t="n">
        <v>0.07000000000000001</v>
      </c>
      <c r="D134" t="n">
        <v>0</v>
      </c>
      <c r="E134" t="n">
        <v>1</v>
      </c>
      <c r="F134" t="n">
        <v>4.5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Cost of buildings</t>
        </is>
      </c>
      <c r="B135" t="inlineStr">
        <is>
          <t>in 6 lb of tin and 2 fotmals of lead bought for mending the lord's tower and various gutters in the curia 6 shilling 11pence.</t>
        </is>
      </c>
      <c r="C135" t="n">
        <v>0.35</v>
      </c>
      <c r="D135" t="n">
        <v>0</v>
      </c>
      <c r="E135" t="n">
        <v>6</v>
      </c>
      <c r="F135" t="n">
        <v>11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Cost of buildings</t>
        </is>
      </c>
      <c r="B136" t="inlineStr">
        <is>
          <t>1 plumber with 1 mate cutting the said tin and lead and mending the tower and various gutters in the curia for 3 days 1 shilling 6pence, at 6pence a day.'.</t>
        </is>
      </c>
      <c r="C136" t="n">
        <v>0.08</v>
      </c>
      <c r="D136" t="n">
        <v>0</v>
      </c>
      <c r="E136" t="n">
        <v>1</v>
      </c>
      <c r="F136" t="n">
        <v>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Cost of buildings</t>
        </is>
      </c>
      <c r="B137" t="inlineStr">
        <is>
          <t>nails for the same 2pence.</t>
        </is>
      </c>
      <c r="C137" t="n">
        <v>0.01</v>
      </c>
      <c r="D137" t="n">
        <v>0</v>
      </c>
      <c r="E137" t="n">
        <v>0</v>
      </c>
      <c r="F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Cost of buildings</t>
        </is>
      </c>
      <c r="B138" t="inlineStr">
        <is>
          <t>re-roofing in places the hall and lord's chamber, the archdeacon's chamber, knights' chamber, bailiff's room and granary, which had been partly unroofed, 13 shilling 6pence.</t>
        </is>
      </c>
      <c r="C138" t="n">
        <v>0.68</v>
      </c>
      <c r="D138" t="n">
        <v>0</v>
      </c>
      <c r="E138" t="n">
        <v>13</v>
      </c>
      <c r="F138" t="n">
        <v>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Cost of buildings</t>
        </is>
      </c>
      <c r="B139" t="inlineStr">
        <is>
          <t>3 quarters of lime bought for the same 2 shilling, at 8pence a quarters.</t>
        </is>
      </c>
      <c r="C139" t="n">
        <v>0.13</v>
      </c>
      <c r="D139" t="n">
        <v>0</v>
      </c>
      <c r="E139" t="n">
        <v>2</v>
      </c>
      <c r="F139" t="n">
        <v>8</v>
      </c>
      <c r="H139" t="n">
        <v>3</v>
      </c>
      <c r="I139" t="n">
        <v>0</v>
      </c>
      <c r="J139" t="n">
        <v>3</v>
      </c>
      <c r="K139" t="n">
        <v>3</v>
      </c>
      <c r="L139" t="n">
        <v>0</v>
      </c>
      <c r="M139" t="n">
        <v>3</v>
      </c>
      <c r="N139" t="n">
        <v>0</v>
      </c>
    </row>
    <row r="140">
      <c r="A140" t="inlineStr">
        <is>
          <t>Cost of buildings</t>
        </is>
      </c>
      <c r="B140" t="inlineStr">
        <is>
          <t>.</t>
        </is>
      </c>
      <c r="C140" t="n">
        <v>0</v>
      </c>
      <c r="D140" t="n">
        <v>0</v>
      </c>
      <c r="E140" t="n">
        <v>0</v>
      </c>
      <c r="F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Cost of buildings</t>
        </is>
      </c>
      <c r="B141" t="inlineStr">
        <is>
          <t>200 nails bought for fastening the laths 2pence.</t>
        </is>
      </c>
      <c r="C141" t="n">
        <v>0.01</v>
      </c>
      <c r="D141" t="n">
        <v>0</v>
      </c>
      <c r="E141" t="n">
        <v>0</v>
      </c>
      <c r="F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Cost of buildings</t>
        </is>
      </c>
      <c r="B142" t="inlineStr">
        <is>
          <t>re-roofing in places the great barn, byre, cow-shed and building of the press which had been unroofed 2 shilling 6pence.</t>
        </is>
      </c>
      <c r="C142" t="n">
        <v>0.12</v>
      </c>
      <c r="D142" t="n">
        <v>0</v>
      </c>
      <c r="E142" t="n">
        <v>2</v>
      </c>
      <c r="F142" t="n">
        <v>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Cost of buildings</t>
        </is>
      </c>
      <c r="B143" t="inlineStr">
        <is>
          <t>re-roofing the sheepcote in places 6pence.</t>
        </is>
      </c>
      <c r="C143" t="n">
        <v>0.03</v>
      </c>
      <c r="D143" t="n">
        <v>0</v>
      </c>
      <c r="E143" t="n">
        <v>0</v>
      </c>
      <c r="F143" t="n">
        <v>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Cost of buildings</t>
        </is>
      </c>
      <c r="B144" t="inlineStr">
        <is>
          <t>2 locks bought for the building of the press and the2 door to the chamber of the chapel 7pence.</t>
        </is>
      </c>
      <c r="C144" t="n">
        <v>0.03</v>
      </c>
      <c r="D144" t="n">
        <v>0</v>
      </c>
      <c r="E144" t="n">
        <v>0</v>
      </c>
      <c r="F144" t="n">
        <v>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Cost of buildings</t>
        </is>
      </c>
      <c r="B145" t="inlineStr">
        <is>
          <t>1 band of iron for hooping the beam of the press 10pence.</t>
        </is>
      </c>
      <c r="C145" t="n">
        <v>0.04</v>
      </c>
      <c r="D145" t="n">
        <v>0</v>
      </c>
      <c r="E145" t="n">
        <v>0</v>
      </c>
      <c r="F145" t="n">
        <v>10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Cost of buildings</t>
        </is>
      </c>
      <c r="B146" t="inlineStr">
        <is>
          <t>1 iron shovel bought 3.5pence Total, £1 8 shilling 11.5pence</t>
        </is>
      </c>
      <c r="C146" t="n">
        <v>1.45</v>
      </c>
      <c r="D146" t="n">
        <v>1</v>
      </c>
      <c r="E146" t="n">
        <v>8</v>
      </c>
      <c r="F146" t="n">
        <v>11.5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Cost of the park</t>
        </is>
      </c>
      <c r="B147" t="inlineStr">
        <is>
          <t>In mending the palisade of the park in places 3 shilling.</t>
        </is>
      </c>
      <c r="C147" t="n">
        <v>0.15</v>
      </c>
      <c r="D147" t="n">
        <v>0</v>
      </c>
      <c r="E147" t="n">
        <v>3</v>
      </c>
      <c r="F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Cost of the park</t>
        </is>
      </c>
      <c r="B148" t="inlineStr">
        <is>
          <t>enclosing 54 perches in the said park 4 shilling 5pence, at 1pence a perch.</t>
        </is>
      </c>
      <c r="C148" t="n">
        <v>0.22</v>
      </c>
      <c r="D148" t="n">
        <v>0</v>
      </c>
      <c r="E148" t="n">
        <v>4</v>
      </c>
      <c r="F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Cost of the park</t>
        </is>
      </c>
      <c r="B149" t="inlineStr">
        <is>
          <t>.</t>
        </is>
      </c>
      <c r="C149" t="n">
        <v>0</v>
      </c>
      <c r="D149" t="n">
        <v>0</v>
      </c>
      <c r="E149" t="n">
        <v>0</v>
      </c>
      <c r="F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Cost of the park</t>
        </is>
      </c>
      <c r="B150" t="inlineStr">
        <is>
          <t>mending the old fences of the said park in places 1 1pence Total, 8 shilling 4pence</t>
        </is>
      </c>
      <c r="C150" t="n">
        <v>0.4</v>
      </c>
      <c r="D150" t="n">
        <v>0</v>
      </c>
      <c r="E150" t="n">
        <v>8</v>
      </c>
      <c r="F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Cost of the harvest</t>
        </is>
      </c>
      <c r="B151" t="inlineStr">
        <is>
          <t>In mowing the meadow of Botley and Hove which contains 6 acres measured by the perch by piece-work 2 shilling.</t>
        </is>
      </c>
      <c r="C151" t="n">
        <v>0.1</v>
      </c>
      <c r="D151" t="n">
        <v>0</v>
      </c>
      <c r="E151" t="n">
        <v>2</v>
      </c>
      <c r="F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Cost of the harvest</t>
        </is>
      </c>
      <c r="B152" t="inlineStr">
        <is>
          <t>mowing le Longemor' 2 shilling.</t>
        </is>
      </c>
      <c r="C152" t="n">
        <v>0.1</v>
      </c>
      <c r="D152" t="n">
        <v>0</v>
      </c>
      <c r="E152" t="n">
        <v>2</v>
      </c>
      <c r="F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Cost of the harvest</t>
        </is>
      </c>
      <c r="B153" t="inlineStr">
        <is>
          <t>mowing Bathardesmed' 2 shilling.</t>
        </is>
      </c>
      <c r="C153" t="n">
        <v>0.1</v>
      </c>
      <c r="D153" t="n">
        <v>0</v>
      </c>
      <c r="E153" t="n">
        <v>2</v>
      </c>
      <c r="F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Cost of the harvest</t>
        </is>
      </c>
      <c r="B154" t="inlineStr">
        <is>
          <t>mowing the meadow which belonged to the Abbot of Netley 7.5pence.</t>
        </is>
      </c>
      <c r="C154" t="n">
        <v>0.03</v>
      </c>
      <c r="D154" t="n">
        <v>0</v>
      </c>
      <c r="E154" t="n">
        <v>0</v>
      </c>
      <c r="F154" t="n">
        <v>7.5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Cost of the harvest</t>
        </is>
      </c>
      <c r="B155" t="inlineStr">
        <is>
          <t>tossing and tedding all the hay 1 shilling 3pence.</t>
        </is>
      </c>
      <c r="C155" t="n">
        <v>0.06</v>
      </c>
      <c r="D155" t="n">
        <v>0</v>
      </c>
      <c r="E155" t="n">
        <v>1</v>
      </c>
      <c r="F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Cost of the harvest</t>
        </is>
      </c>
      <c r="B156" t="inlineStr">
        <is>
          <t>864 herrings bought for 1.5 boon-works of 108 men who reaped and bound 68 acres of wheat, 12 acres of rye and 40 acres of barley 5 shilling 9pence.</t>
        </is>
      </c>
      <c r="C156" t="n">
        <v>0.29</v>
      </c>
      <c r="D156" t="n">
        <v>0</v>
      </c>
      <c r="E156" t="n">
        <v>5</v>
      </c>
      <c r="F156" t="n">
        <v>9</v>
      </c>
      <c r="G156" t="inlineStr">
        <is>
          <t>barley, rye, wheat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Cost of the harvest</t>
        </is>
      </c>
      <c r="B157" t="inlineStr">
        <is>
          <t>and know that each of them has 5 herrings a day, 3 at lunch and 2 at supper.</t>
        </is>
      </c>
      <c r="C157" t="n">
        <v>0</v>
      </c>
      <c r="D157" t="n">
        <v>0</v>
      </c>
      <c r="E157" t="n">
        <v>0</v>
      </c>
      <c r="F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Cost of the harvest</t>
        </is>
      </c>
      <c r="B158" t="inlineStr">
        <is>
          <t>and know that the rest of the corn is reaped by labour service.</t>
        </is>
      </c>
      <c r="C158" t="n">
        <v>0</v>
      </c>
      <c r="D158" t="n">
        <v>0</v>
      </c>
      <c r="E158" t="n">
        <v>0</v>
      </c>
      <c r="F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Cost of the harvest</t>
        </is>
      </c>
      <c r="B159" t="inlineStr">
        <is>
          <t>.</t>
        </is>
      </c>
      <c r="C159" t="n">
        <v>0</v>
      </c>
      <c r="D159" t="n">
        <v>0</v>
      </c>
      <c r="E159" t="n">
        <v>0</v>
      </c>
      <c r="F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Cost of the harvest</t>
        </is>
      </c>
      <c r="B160" t="inlineStr">
        <is>
          <t>6 casks bought for cider 16 shilling, at 2 shilling 8pence a cask.</t>
        </is>
      </c>
      <c r="C160" t="n">
        <v>0.83</v>
      </c>
      <c r="D160" t="n">
        <v>0</v>
      </c>
      <c r="E160" t="n">
        <v>16</v>
      </c>
      <c r="F160" t="n">
        <v>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Cost of the harvest</t>
        </is>
      </c>
      <c r="B161" t="inlineStr">
        <is>
          <t>.</t>
        </is>
      </c>
      <c r="C161" t="n">
        <v>0</v>
      </c>
      <c r="D161" t="n">
        <v>0</v>
      </c>
      <c r="E161" t="n">
        <v>0</v>
      </c>
      <c r="F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Cost of the harvest</t>
        </is>
      </c>
      <c r="B162" t="inlineStr">
        <is>
          <t>hooping and binding the same 2 shilling 4pence.</t>
        </is>
      </c>
      <c r="C162" t="n">
        <v>0.12</v>
      </c>
      <c r="D162" t="n">
        <v>0</v>
      </c>
      <c r="E162" t="n">
        <v>2</v>
      </c>
      <c r="F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Cost of the harvest</t>
        </is>
      </c>
      <c r="B163" t="inlineStr">
        <is>
          <t>hooping and mending 3 tubs, 1 small tub and 1 tine 1 shilling Total, £l 12 shilling 11.5pence</t>
        </is>
      </c>
      <c r="C163" t="n">
        <v>0.1</v>
      </c>
      <c r="D163" t="n">
        <v>0</v>
      </c>
      <c r="E163" t="n">
        <v>1</v>
      </c>
      <c r="F163" t="n">
        <v>11.5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Cost of the mill</t>
        </is>
      </c>
      <c r="B164" t="inlineStr">
        <is>
          <t>In lengthening 2 spindles with iron bought and with the stipend of the smith 2 shilling 10pence.</t>
        </is>
      </c>
      <c r="C164" t="n">
        <v>0.14</v>
      </c>
      <c r="D164" t="n">
        <v>0</v>
      </c>
      <c r="E164" t="n">
        <v>2</v>
      </c>
      <c r="F164" t="n">
        <v>10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Cost of the mill</t>
        </is>
      </c>
      <c r="B165" t="inlineStr">
        <is>
          <t>mending 1 mill-rind with iron for the same and with the stipend of the smith for the same 1 shilling 4pence.</t>
        </is>
      </c>
      <c r="C165" t="n">
        <v>0.07000000000000001</v>
      </c>
      <c r="D165" t="n">
        <v>0</v>
      </c>
      <c r="E165" t="n">
        <v>1</v>
      </c>
      <c r="F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Cost of the mill</t>
        </is>
      </c>
      <c r="B166" t="inlineStr">
        <is>
          <t>steeling, mending and sharpening bills for the year 2 shilling.</t>
        </is>
      </c>
      <c r="C166" t="n">
        <v>0.1</v>
      </c>
      <c r="D166" t="n">
        <v>0</v>
      </c>
      <c r="E166" t="n">
        <v>2</v>
      </c>
      <c r="F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Cost of the mill</t>
        </is>
      </c>
      <c r="B167" t="inlineStr">
        <is>
          <t>1 millstone bought for the said mill £1 18 shilling.</t>
        </is>
      </c>
      <c r="C167" t="n">
        <v>1.9</v>
      </c>
      <c r="D167" t="n">
        <v>1</v>
      </c>
      <c r="E167" t="n">
        <v>18</v>
      </c>
      <c r="F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Cost of the mill</t>
        </is>
      </c>
      <c r="B168" t="inlineStr">
        <is>
          <t>carrying the same from Southampton to the mill 1 shilling.</t>
        </is>
      </c>
      <c r="C168" t="n">
        <v>0.05</v>
      </c>
      <c r="D168" t="n">
        <v>0</v>
      </c>
      <c r="E168" t="n">
        <v>1</v>
      </c>
      <c r="F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Cost of the mill</t>
        </is>
      </c>
      <c r="B169" t="inlineStr">
        <is>
          <t>2 iron bands made with iron bought for the same for hooping the head of the beam 8pence.</t>
        </is>
      </c>
      <c r="C169" t="n">
        <v>0.03</v>
      </c>
      <c r="D169" t="n">
        <v>0</v>
      </c>
      <c r="E169" t="n">
        <v>0</v>
      </c>
      <c r="F169" t="n">
        <v>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Cost of the mill</t>
        </is>
      </c>
      <c r="B170" t="inlineStr">
        <is>
          <t>casting 1 pole with brass bought for the same 4 shilling 7pence.</t>
        </is>
      </c>
      <c r="C170" t="n">
        <v>0.23</v>
      </c>
      <c r="D170" t="n">
        <v>0</v>
      </c>
      <c r="E170" t="n">
        <v>4</v>
      </c>
      <c r="F170" t="n">
        <v>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Cost of the mill</t>
        </is>
      </c>
      <c r="B171" t="inlineStr">
        <is>
          <t>2 iron bands made with iron bought for the same and with the stipend of the smith for hooping the inner wheel 1 shilling 5pence Total, £2 11 shilling 10pence</t>
        </is>
      </c>
      <c r="C171" t="n">
        <v>2.59</v>
      </c>
      <c r="D171" t="n">
        <v>2</v>
      </c>
      <c r="E171" t="n">
        <v>11</v>
      </c>
      <c r="F171" t="n">
        <v>10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Fish-trap (hiltra)</t>
        </is>
      </c>
      <c r="B172" t="inlineStr">
        <is>
          <t>In 1 lock bought for the same 10pence.</t>
        </is>
      </c>
      <c r="C172" t="n">
        <v>0.04</v>
      </c>
      <c r="D172" t="n">
        <v>0</v>
      </c>
      <c r="E172" t="n">
        <v>0</v>
      </c>
      <c r="F172" t="n">
        <v>10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Fish-trap (hiltra)</t>
        </is>
      </c>
      <c r="B173" t="inlineStr">
        <is>
          <t>3 salmon caught by nets in the sea 1 shilling 8pence Total, 2 shilling 4pence</t>
        </is>
      </c>
      <c r="C173" t="n">
        <v>0.08</v>
      </c>
      <c r="D173" t="n">
        <v>0</v>
      </c>
      <c r="E173" t="n">
        <v>1</v>
      </c>
      <c r="F173" t="n">
        <v>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Water-pipe (wymond')</t>
        </is>
      </c>
      <c r="B174" t="inlineStr">
        <is>
          <t>In 5 lb of tin bought 1 shilling 1.5pence.</t>
        </is>
      </c>
      <c r="C174" t="n">
        <v>0.06</v>
      </c>
      <c r="D174" t="n">
        <v>0</v>
      </c>
      <c r="E174" t="n">
        <v>1</v>
      </c>
      <c r="F174" t="n">
        <v>1.5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Water-pipe (wymond')</t>
        </is>
      </c>
      <c r="B175" t="inlineStr">
        <is>
          <t>pitch, canvas and grease bought for the same 2 shilling 2pence.</t>
        </is>
      </c>
      <c r="C175" t="n">
        <v>0.11</v>
      </c>
      <c r="D175" t="n">
        <v>0</v>
      </c>
      <c r="E175" t="n">
        <v>2</v>
      </c>
      <c r="F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Water-pipe (wymond')</t>
        </is>
      </c>
      <c r="B176" t="inlineStr">
        <is>
          <t>stipend of 1 man for 7 days mending the said water-pipe 2 shilling 4pence, or 4pence a day.</t>
        </is>
      </c>
      <c r="C176" t="n">
        <v>0.12</v>
      </c>
      <c r="D176" t="n">
        <v>0</v>
      </c>
      <c r="E176" t="n">
        <v>2</v>
      </c>
      <c r="F176" t="n">
        <v>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Water-pipe (wymond')</t>
        </is>
      </c>
      <c r="B177" t="inlineStr">
        <is>
          <t>Total, 5 shilling 7.5pence</t>
        </is>
      </c>
      <c r="C177" t="n">
        <v>0.28</v>
      </c>
      <c r="D177" t="n">
        <v>0</v>
      </c>
      <c r="E177" t="n">
        <v>5</v>
      </c>
      <c r="F177" t="n">
        <v>7.5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Expenses of the steward and wages of the bailiff</t>
        </is>
      </c>
      <c r="B178" t="inlineStr">
        <is>
          <t>In expenses of the steward for his visits at 2 tourns by 2 tallies 5 shilling 7pence.</t>
        </is>
      </c>
      <c r="C178" t="n">
        <v>0.28</v>
      </c>
      <c r="D178" t="n">
        <v>0</v>
      </c>
      <c r="E178" t="n">
        <v>5</v>
      </c>
      <c r="F178" t="n">
        <v>7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Expenses of the steward and wages of the bailiff</t>
        </is>
      </c>
      <c r="B179" t="inlineStr">
        <is>
          <t>wages of William, sergeant, for the year £3 10pence.</t>
        </is>
      </c>
      <c r="C179" t="n">
        <v>3.04</v>
      </c>
      <c r="D179" t="n">
        <v>3</v>
      </c>
      <c r="E179" t="n">
        <v>0</v>
      </c>
      <c r="F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Expenses of the steward and wages of the bailiff</t>
        </is>
      </c>
      <c r="B180" t="inlineStr">
        <is>
          <t>1 lb of wax bought for making candles for the chapel 5.5pence, and this by order of Sir Geoffrey, treasurer of Wolvesey.</t>
        </is>
      </c>
      <c r="C180" t="n">
        <v>0.02</v>
      </c>
      <c r="D180" t="n">
        <v>0</v>
      </c>
      <c r="E180" t="n">
        <v>0</v>
      </c>
      <c r="F180" t="n">
        <v>5.5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Expenses of the steward and wages of the bailiff</t>
        </is>
      </c>
      <c r="B181" t="inlineStr">
        <is>
          <t>.</t>
        </is>
      </c>
      <c r="C181" t="n">
        <v>0</v>
      </c>
      <c r="D181" t="n">
        <v>0</v>
      </c>
      <c r="E181" t="n">
        <v>0</v>
      </c>
      <c r="F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Expenses of the steward and wages of the bailiff</t>
        </is>
      </c>
      <c r="B182" t="inlineStr">
        <is>
          <t>expenses of Roger Cosyn, bailiff of Bishops Waltham, for his visits 5 shilling Total, £3 11 shilling 10.5pence</t>
        </is>
      </c>
      <c r="C182" t="n">
        <v>3.59</v>
      </c>
      <c r="D182" t="n">
        <v>3</v>
      </c>
      <c r="E182" t="n">
        <v>11</v>
      </c>
      <c r="F182" t="n">
        <v>10.5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Total of all expenses</t>
        </is>
      </c>
      <c r="B183" t="inlineStr">
        <is>
          <t>Total of all expenses, £17 5 shilling 2.5pence</t>
        </is>
      </c>
      <c r="C183" t="n">
        <v>17.26</v>
      </c>
      <c r="D183" t="n">
        <v>17</v>
      </c>
      <c r="E183" t="n">
        <v>5</v>
      </c>
      <c r="F183" t="n">
        <v>2.5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And he owes</t>
        </is>
      </c>
      <c r="B184" t="inlineStr">
        <is>
          <t>And he owes, £21 11 pence</t>
        </is>
      </c>
      <c r="C184" t="n">
        <v>21.05</v>
      </c>
      <c r="D184" t="n">
        <v>21</v>
      </c>
      <c r="E184" t="n">
        <v>0</v>
      </c>
      <c r="F184" t="n">
        <v>11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Allowances</t>
        </is>
      </c>
      <c r="B185" t="inlineStr">
        <is>
          <t>In allowance of the reeve for building the arbour and the enclosure around the arbour at Bitterne by writ £6 6 shilling 3pence.</t>
        </is>
      </c>
      <c r="C185" t="n">
        <v>6.31</v>
      </c>
      <c r="D185" t="n">
        <v>6</v>
      </c>
      <c r="E185" t="n">
        <v>6</v>
      </c>
      <c r="F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Allowances</t>
        </is>
      </c>
      <c r="B186" t="inlineStr">
        <is>
          <t>allowance of the same for mending the kitchen which was ruinous, for all costs, £2 11 shilling 8pence Total of all allowances, £8 17 shilling 11pence</t>
        </is>
      </c>
      <c r="C186" t="n">
        <v>2.58</v>
      </c>
      <c r="D186" t="n">
        <v>2</v>
      </c>
      <c r="E186" t="n">
        <v>11</v>
      </c>
      <c r="F186" t="n">
        <v>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And thus he owes clear</t>
        </is>
      </c>
      <c r="B187" t="inlineStr">
        <is>
          <t>And thus he owes clear, £12 3 shilling</t>
        </is>
      </c>
      <c r="C187" t="n">
        <v>12.15</v>
      </c>
      <c r="D187" t="n">
        <v>12</v>
      </c>
      <c r="E187" t="n">
        <v>3</v>
      </c>
      <c r="F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Wheat</t>
        </is>
      </c>
      <c r="B188" t="inlineStr">
        <is>
          <t>{yield: two-fold plus 1 quarters 4 bushels)</t>
        </is>
      </c>
      <c r="C188" t="n">
        <v>0</v>
      </c>
      <c r="D188" t="n">
        <v>0</v>
      </c>
      <c r="E188" t="n">
        <v>0</v>
      </c>
      <c r="F188" t="n">
        <v>0</v>
      </c>
      <c r="H188" t="n">
        <v>1</v>
      </c>
      <c r="I188" t="n">
        <v>4</v>
      </c>
      <c r="J188" t="n">
        <v>1.5</v>
      </c>
      <c r="K188" t="n">
        <v>1.5</v>
      </c>
      <c r="L188" t="n">
        <v>0</v>
      </c>
      <c r="M188" t="n">
        <v>1</v>
      </c>
      <c r="N188" t="n">
        <v>4</v>
      </c>
    </row>
    <row r="189">
      <c r="A189" t="inlineStr">
        <is>
          <t>Wheat</t>
        </is>
      </c>
      <c r="B189" t="inlineStr">
        <is>
          <t>The same render account for 18.5 quarters from the whole issue of wheat by struck measure.</t>
        </is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wheat</t>
        </is>
      </c>
      <c r="H189" t="n">
        <v>18.5</v>
      </c>
      <c r="I189" t="n">
        <v>0</v>
      </c>
      <c r="J189" t="n">
        <v>18.5</v>
      </c>
      <c r="K189" t="n">
        <v>18.5</v>
      </c>
      <c r="L189" t="n">
        <v>0</v>
      </c>
      <c r="M189" t="n">
        <v>18.5</v>
      </c>
      <c r="N189" t="n">
        <v>0</v>
      </c>
    </row>
    <row r="190">
      <c r="A190" t="inlineStr">
        <is>
          <t>Wheat</t>
        </is>
      </c>
      <c r="B190" t="inlineStr">
        <is>
          <t>Sown over 68 acres as they lie in Gildewyneslond', 9.5 quarters 1 bushels.</t>
        </is>
      </c>
      <c r="C190" t="n">
        <v>0</v>
      </c>
      <c r="D190" t="n">
        <v>0</v>
      </c>
      <c r="E190" t="n">
        <v>0</v>
      </c>
      <c r="F190" t="n">
        <v>0</v>
      </c>
      <c r="H190" t="n">
        <v>9.5</v>
      </c>
      <c r="I190" t="n">
        <v>1</v>
      </c>
      <c r="J190" t="n">
        <v>9.625</v>
      </c>
      <c r="K190" t="n">
        <v>9.625</v>
      </c>
      <c r="L190" t="n">
        <v>0</v>
      </c>
      <c r="M190" t="n">
        <v>9.5</v>
      </c>
      <c r="N190" t="n">
        <v>1</v>
      </c>
    </row>
    <row r="191">
      <c r="A191" t="inlineStr">
        <is>
          <t>Wheat</t>
        </is>
      </c>
      <c r="B191" t="inlineStr">
        <is>
          <t>that is, 1 bushels an  acre, plus 1 quarters 1 bushels in all.</t>
        </is>
      </c>
      <c r="C191" t="n">
        <v>0</v>
      </c>
      <c r="D191" t="n">
        <v>0</v>
      </c>
      <c r="E191" t="n">
        <v>0</v>
      </c>
      <c r="F191" t="n">
        <v>0</v>
      </c>
      <c r="H191" t="n">
        <v>1</v>
      </c>
      <c r="I191" t="n">
        <v>1</v>
      </c>
      <c r="J191" t="n">
        <v>1.125</v>
      </c>
      <c r="K191" t="n">
        <v>0.125</v>
      </c>
      <c r="L191" t="n">
        <v>1</v>
      </c>
      <c r="M191" t="n">
        <v>0</v>
      </c>
      <c r="N191" t="n">
        <v>1</v>
      </c>
      <c r="O191" t="n">
        <v>1</v>
      </c>
      <c r="P191" t="n">
        <v>1</v>
      </c>
    </row>
    <row r="192">
      <c r="A192" t="inlineStr">
        <is>
          <t>Wheat</t>
        </is>
      </c>
      <c r="B192" t="inlineStr">
        <is>
          <t>.</t>
        </is>
      </c>
      <c r="C192" t="n">
        <v>0</v>
      </c>
      <c r="D192" t="n">
        <v>0</v>
      </c>
      <c r="E192" t="n">
        <v>0</v>
      </c>
      <c r="F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Wheat</t>
        </is>
      </c>
      <c r="B193" t="inlineStr">
        <is>
          <t>provision of the steward for his visits, 1 bushels Sold, 8 quarters 6 bushels</t>
        </is>
      </c>
      <c r="C193" t="n">
        <v>0</v>
      </c>
      <c r="D193" t="n">
        <v>0</v>
      </c>
      <c r="E193" t="n">
        <v>0</v>
      </c>
      <c r="F193" t="n">
        <v>0</v>
      </c>
      <c r="H193" t="n">
        <v>8</v>
      </c>
      <c r="I193" t="n">
        <v>6</v>
      </c>
      <c r="J193" t="n">
        <v>8.75</v>
      </c>
      <c r="K193" t="n">
        <v>0.125</v>
      </c>
      <c r="L193" t="n">
        <v>8.625</v>
      </c>
      <c r="M193" t="n">
        <v>0</v>
      </c>
      <c r="N193" t="n">
        <v>1</v>
      </c>
      <c r="O193" t="n">
        <v>8</v>
      </c>
      <c r="P193" t="n">
        <v>6</v>
      </c>
    </row>
    <row r="194">
      <c r="A194" t="inlineStr">
        <is>
          <t>Curall</t>
        </is>
      </c>
      <c r="B194" t="inlineStr">
        <is>
          <t>The same render account for 8 quarters .5 bushels from the whole issue of curall from the same wheat by struck measure.</t>
        </is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curall, wheat</t>
        </is>
      </c>
      <c r="H194" t="n">
        <v>8</v>
      </c>
      <c r="I194" t="n">
        <v>5</v>
      </c>
      <c r="J194" t="n">
        <v>8.625</v>
      </c>
      <c r="K194" t="n">
        <v>8</v>
      </c>
      <c r="L194" t="n">
        <v>0.625</v>
      </c>
      <c r="M194" t="n">
        <v>8</v>
      </c>
      <c r="N194" t="n">
        <v>0</v>
      </c>
      <c r="O194" t="n">
        <v>0</v>
      </c>
      <c r="P194" t="n">
        <v>5</v>
      </c>
    </row>
    <row r="195">
      <c r="A195" t="inlineStr">
        <is>
          <t>Curall</t>
        </is>
      </c>
      <c r="B195" t="inlineStr">
        <is>
          <t>Mixed with barley for the liveries of the manorial servants, 3 quarters 1 bushels.</t>
        </is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barley</t>
        </is>
      </c>
      <c r="H195" t="n">
        <v>3</v>
      </c>
      <c r="I195" t="n">
        <v>1</v>
      </c>
      <c r="J195" t="n">
        <v>3.125</v>
      </c>
      <c r="K195" t="n">
        <v>3.125</v>
      </c>
      <c r="L195" t="n">
        <v>0</v>
      </c>
      <c r="M195" t="n">
        <v>3</v>
      </c>
      <c r="N195" t="n">
        <v>1</v>
      </c>
    </row>
    <row r="196">
      <c r="A196" t="inlineStr">
        <is>
          <t>Curall</t>
        </is>
      </c>
      <c r="B196" t="inlineStr">
        <is>
          <t>supporting pigs, 1 quarters 1 bushels Sold, 1 quarters 2 bushels Total, 5.5 quarters.</t>
        </is>
      </c>
      <c r="C196" t="n">
        <v>0</v>
      </c>
      <c r="D196" t="n">
        <v>0</v>
      </c>
      <c r="E196" t="n">
        <v>0</v>
      </c>
      <c r="F196" t="n">
        <v>0</v>
      </c>
      <c r="H196" t="n">
        <v>6.5</v>
      </c>
      <c r="I196" t="n">
        <v>2</v>
      </c>
      <c r="J196" t="n">
        <v>6.75</v>
      </c>
      <c r="K196" t="n">
        <v>1.125</v>
      </c>
      <c r="L196" t="n">
        <v>5.625</v>
      </c>
      <c r="M196" t="n">
        <v>1</v>
      </c>
      <c r="N196" t="n">
        <v>1</v>
      </c>
      <c r="O196" t="n">
        <v>1</v>
      </c>
      <c r="P196" t="n">
        <v>2</v>
      </c>
      <c r="Q196" t="n">
        <v>5.5</v>
      </c>
      <c r="R196" t="n">
        <v>0</v>
      </c>
    </row>
    <row r="197">
      <c r="A197" t="inlineStr">
        <is>
          <t>Curall</t>
        </is>
      </c>
      <c r="B197" t="inlineStr">
        <is>
          <t>And 2.5 quarters .5 bushels remain in the granary.</t>
        </is>
      </c>
      <c r="C197" t="n">
        <v>0</v>
      </c>
      <c r="D197" t="n">
        <v>0</v>
      </c>
      <c r="E197" t="n">
        <v>0</v>
      </c>
      <c r="F197" t="n">
        <v>0</v>
      </c>
      <c r="H197" t="n">
        <v>2.5</v>
      </c>
      <c r="I197" t="n">
        <v>5</v>
      </c>
      <c r="J197" t="n">
        <v>3.125</v>
      </c>
      <c r="K197" t="n">
        <v>2.5</v>
      </c>
      <c r="L197" t="n">
        <v>0.625</v>
      </c>
      <c r="M197" t="n">
        <v>2.5</v>
      </c>
      <c r="N197" t="n">
        <v>0</v>
      </c>
      <c r="O197" t="n">
        <v>0</v>
      </c>
      <c r="P197" t="n">
        <v>5</v>
      </c>
    </row>
    <row r="198">
      <c r="A198" t="inlineStr">
        <is>
          <t>Rye</t>
        </is>
      </c>
      <c r="B198" t="inlineStr">
        <is>
          <t>{yield: two-and-a-half-fold plus .51}</t>
        </is>
      </c>
      <c r="C198" t="n">
        <v>0</v>
      </c>
      <c r="D198" t="n">
        <v>0</v>
      </c>
      <c r="E198" t="n">
        <v>0</v>
      </c>
      <c r="F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Rye</t>
        </is>
      </c>
      <c r="B199" t="inlineStr">
        <is>
          <t>The same render account for 3.5 quarters from the whole issue of rye by struck measure.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rye</t>
        </is>
      </c>
      <c r="H199" t="n">
        <v>3.5</v>
      </c>
      <c r="I199" t="n">
        <v>0</v>
      </c>
      <c r="J199" t="n">
        <v>3.5</v>
      </c>
      <c r="K199" t="n">
        <v>3.5</v>
      </c>
      <c r="L199" t="n">
        <v>0</v>
      </c>
      <c r="M199" t="n">
        <v>3.5</v>
      </c>
      <c r="N199" t="n">
        <v>0</v>
      </c>
    </row>
    <row r="200">
      <c r="A200" t="inlineStr">
        <is>
          <t>Rye</t>
        </is>
      </c>
      <c r="B200" t="inlineStr">
        <is>
          <t>Sown over 12 acres as they lie in Westbynne, 1 quarters 6 bushels.</t>
        </is>
      </c>
      <c r="C200" t="n">
        <v>0</v>
      </c>
      <c r="D200" t="n">
        <v>0</v>
      </c>
      <c r="E200" t="n">
        <v>0</v>
      </c>
      <c r="F200" t="n">
        <v>0</v>
      </c>
      <c r="H200" t="n">
        <v>1</v>
      </c>
      <c r="I200" t="n">
        <v>6</v>
      </c>
      <c r="J200" t="n">
        <v>1.75</v>
      </c>
      <c r="K200" t="n">
        <v>1.75</v>
      </c>
      <c r="L200" t="n">
        <v>0</v>
      </c>
      <c r="M200" t="n">
        <v>1</v>
      </c>
      <c r="N200" t="n">
        <v>6</v>
      </c>
    </row>
    <row r="201">
      <c r="A201" t="inlineStr">
        <is>
          <t>Rye</t>
        </is>
      </c>
      <c r="B201" t="inlineStr">
        <is>
          <t>that is, 1 bushels an acre, plus 2 bushels in all.</t>
        </is>
      </c>
      <c r="C201" t="n">
        <v>0</v>
      </c>
      <c r="D201" t="n">
        <v>0</v>
      </c>
      <c r="E201" t="n">
        <v>0</v>
      </c>
      <c r="F201" t="n">
        <v>0</v>
      </c>
      <c r="H201" t="n">
        <v>0</v>
      </c>
      <c r="I201" t="n">
        <v>2</v>
      </c>
      <c r="J201" t="n">
        <v>0.25</v>
      </c>
      <c r="K201" t="n">
        <v>0.125</v>
      </c>
      <c r="L201" t="n">
        <v>0.125</v>
      </c>
      <c r="M201" t="n">
        <v>0</v>
      </c>
      <c r="N201" t="n">
        <v>1</v>
      </c>
      <c r="O201" t="n">
        <v>0</v>
      </c>
      <c r="P201" t="n">
        <v>2</v>
      </c>
    </row>
    <row r="202">
      <c r="A202" t="inlineStr">
        <is>
          <t>Rye</t>
        </is>
      </c>
      <c r="B202" t="inlineStr">
        <is>
          <t>Mixed with barley for the liveries of the manorial servants, 1 quarters 6 bushels It balances.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barley</t>
        </is>
      </c>
      <c r="H202" t="n">
        <v>1</v>
      </c>
      <c r="I202" t="n">
        <v>6</v>
      </c>
      <c r="J202" t="n">
        <v>1.75</v>
      </c>
      <c r="K202" t="n">
        <v>1.75</v>
      </c>
      <c r="L202" t="n">
        <v>0</v>
      </c>
      <c r="M202" t="n">
        <v>1</v>
      </c>
      <c r="N202" t="n">
        <v>6</v>
      </c>
    </row>
    <row r="203">
      <c r="A203" t="inlineStr">
        <is>
          <t>Barley</t>
        </is>
      </c>
      <c r="B203" t="inlineStr">
        <is>
          <t>{yield: two-and-a-half-fold plus 2 quarters}</t>
        </is>
      </c>
      <c r="C203" t="n">
        <v>0</v>
      </c>
      <c r="D203" t="n">
        <v>0</v>
      </c>
      <c r="E203" t="n">
        <v>0</v>
      </c>
      <c r="F203" t="n">
        <v>0</v>
      </c>
      <c r="H203" t="n">
        <v>2</v>
      </c>
      <c r="I203" t="n">
        <v>0</v>
      </c>
      <c r="J203" t="n">
        <v>2</v>
      </c>
      <c r="K203" t="n">
        <v>2</v>
      </c>
      <c r="L203" t="n">
        <v>0</v>
      </c>
      <c r="M203" t="n">
        <v>2</v>
      </c>
      <c r="N203" t="n">
        <v>0</v>
      </c>
    </row>
    <row r="204">
      <c r="A204" t="inlineStr">
        <is>
          <t>Barley</t>
        </is>
      </c>
      <c r="B204" t="inlineStr">
        <is>
          <t>The same render account for 39 quarters 1 bushels from the whole issue of barley by struck measure.</t>
        </is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barley</t>
        </is>
      </c>
      <c r="H204" t="n">
        <v>39</v>
      </c>
      <c r="I204" t="n">
        <v>1</v>
      </c>
      <c r="J204" t="n">
        <v>39.125</v>
      </c>
      <c r="K204" t="n">
        <v>39.125</v>
      </c>
      <c r="L204" t="n">
        <v>0</v>
      </c>
      <c r="M204" t="n">
        <v>39</v>
      </c>
      <c r="N204" t="n">
        <v>1</v>
      </c>
    </row>
    <row r="205">
      <c r="A205" t="inlineStr">
        <is>
          <t>Barley</t>
        </is>
      </c>
      <c r="B205" t="inlineStr">
        <is>
          <t>3 quarters 1 bushels received from curall and mixed with barley for the liveries of the manorial servants.</t>
        </is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barley, curall</t>
        </is>
      </c>
      <c r="H205" t="n">
        <v>3</v>
      </c>
      <c r="I205" t="n">
        <v>1</v>
      </c>
      <c r="J205" t="n">
        <v>3.125</v>
      </c>
      <c r="K205" t="n">
        <v>3.125</v>
      </c>
      <c r="L205" t="n">
        <v>0</v>
      </c>
      <c r="M205" t="n">
        <v>3</v>
      </c>
      <c r="N205" t="n">
        <v>1</v>
      </c>
    </row>
    <row r="206">
      <c r="A206" t="inlineStr">
        <is>
          <t>Barley</t>
        </is>
      </c>
      <c r="B206" t="inlineStr">
        <is>
          <t>1 quarters 6 bushels received from rye.</t>
        </is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rye</t>
        </is>
      </c>
      <c r="H206" t="n">
        <v>1</v>
      </c>
      <c r="I206" t="n">
        <v>6</v>
      </c>
      <c r="J206" t="n">
        <v>1.75</v>
      </c>
      <c r="K206" t="n">
        <v>1.75</v>
      </c>
      <c r="L206" t="n">
        <v>0</v>
      </c>
      <c r="M206" t="n">
        <v>1</v>
      </c>
      <c r="N206" t="n">
        <v>6</v>
      </c>
    </row>
    <row r="207">
      <c r="A207" t="inlineStr">
        <is>
          <t>Barley</t>
        </is>
      </c>
      <c r="B207" t="inlineStr">
        <is>
          <t>4 quarters 2 bushels received from peas.</t>
        </is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peas</t>
        </is>
      </c>
      <c r="H207" t="n">
        <v>4</v>
      </c>
      <c r="I207" t="n">
        <v>2</v>
      </c>
      <c r="J207" t="n">
        <v>4.25</v>
      </c>
      <c r="K207" t="n">
        <v>4.25</v>
      </c>
      <c r="L207" t="n">
        <v>0</v>
      </c>
      <c r="M207" t="n">
        <v>4</v>
      </c>
      <c r="N207" t="n">
        <v>2</v>
      </c>
    </row>
    <row r="208">
      <c r="A208" t="inlineStr">
        <is>
          <t>Barley</t>
        </is>
      </c>
      <c r="B208" t="inlineStr">
        <is>
          <t>1 quarters 1 bushels received from vetches and mixed for the same.</t>
        </is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vetches</t>
        </is>
      </c>
      <c r="H208" t="n">
        <v>1</v>
      </c>
      <c r="I208" t="n">
        <v>1</v>
      </c>
      <c r="J208" t="n">
        <v>1.125</v>
      </c>
      <c r="K208" t="n">
        <v>1.125</v>
      </c>
      <c r="L208" t="n">
        <v>0</v>
      </c>
      <c r="M208" t="n">
        <v>1</v>
      </c>
      <c r="N208" t="n">
        <v>1</v>
      </c>
    </row>
    <row r="209">
      <c r="A209" t="inlineStr">
        <is>
          <t>Barley</t>
        </is>
      </c>
      <c r="B209" t="inlineStr">
        <is>
          <t>Total, 49 quarters 3 bushels Sown over 75 acres as they lie in Bathardefeld', 14 quarters 2 bushels.</t>
        </is>
      </c>
      <c r="C209" t="n">
        <v>0</v>
      </c>
      <c r="D209" t="n">
        <v>0</v>
      </c>
      <c r="E209" t="n">
        <v>0</v>
      </c>
      <c r="F209" t="n">
        <v>0</v>
      </c>
      <c r="H209" t="n">
        <v>14</v>
      </c>
      <c r="I209" t="n">
        <v>2</v>
      </c>
      <c r="J209" t="n">
        <v>14.25</v>
      </c>
      <c r="K209" t="n">
        <v>49.375</v>
      </c>
      <c r="L209" t="n">
        <v>-35.125</v>
      </c>
      <c r="M209" t="n">
        <v>49</v>
      </c>
      <c r="N209" t="n">
        <v>3</v>
      </c>
      <c r="O209" t="n">
        <v>14</v>
      </c>
      <c r="P209" t="n">
        <v>2</v>
      </c>
    </row>
    <row r="210">
      <c r="A210" t="inlineStr">
        <is>
          <t>Barley</t>
        </is>
      </c>
      <c r="B210" t="inlineStr">
        <is>
          <t>that is, 1.5 bushels an acre, less 1.5 bushels in all.</t>
        </is>
      </c>
      <c r="C210" t="n">
        <v>0</v>
      </c>
      <c r="D210" t="n">
        <v>0</v>
      </c>
      <c r="E210" t="n">
        <v>0</v>
      </c>
      <c r="F210" t="n">
        <v>0</v>
      </c>
      <c r="H210" t="n">
        <v>0</v>
      </c>
      <c r="I210" t="n">
        <v>1.5</v>
      </c>
      <c r="J210" t="n">
        <v>0.1875</v>
      </c>
      <c r="K210" t="n">
        <v>0.1875</v>
      </c>
      <c r="L210" t="n">
        <v>0</v>
      </c>
      <c r="M210" t="n">
        <v>0</v>
      </c>
      <c r="N210" t="n">
        <v>1.5</v>
      </c>
      <c r="O210" t="n">
        <v>0</v>
      </c>
      <c r="P210" t="n">
        <v>1.5</v>
      </c>
    </row>
    <row r="211">
      <c r="A211" t="inlineStr">
        <is>
          <t>Barley</t>
        </is>
      </c>
      <c r="B211" t="inlineStr">
        <is>
          <t>Delivered to 1 carter and 2 drovers for the year, 19.5 quarters, taking a quarter every 8 weeks.</t>
        </is>
      </c>
      <c r="C211" t="n">
        <v>0</v>
      </c>
      <c r="D211" t="n">
        <v>0</v>
      </c>
      <c r="E211" t="n">
        <v>0</v>
      </c>
      <c r="F211" t="n">
        <v>0</v>
      </c>
      <c r="H211" t="n">
        <v>19.5</v>
      </c>
      <c r="I211" t="n">
        <v>0</v>
      </c>
      <c r="J211" t="n">
        <v>19.5</v>
      </c>
      <c r="K211" t="n">
        <v>19.5</v>
      </c>
      <c r="L211" t="n">
        <v>0</v>
      </c>
      <c r="M211" t="n">
        <v>19.5</v>
      </c>
      <c r="N211" t="n">
        <v>0</v>
      </c>
    </row>
    <row r="212">
      <c r="A212" t="inlineStr">
        <is>
          <t>Barley</t>
        </is>
      </c>
      <c r="B212" t="inlineStr">
        <is>
          <t>Delivered to 1 cowherd for the year, 4 quarters 2 bushels, taking a quarter every 12 weeks.</t>
        </is>
      </c>
      <c r="C212" t="n">
        <v>0</v>
      </c>
      <c r="D212" t="n">
        <v>0</v>
      </c>
      <c r="E212" t="n">
        <v>0</v>
      </c>
      <c r="F212" t="n">
        <v>0</v>
      </c>
      <c r="H212" t="n">
        <v>4</v>
      </c>
      <c r="I212" t="n">
        <v>2</v>
      </c>
      <c r="J212" t="n">
        <v>4.25</v>
      </c>
      <c r="K212" t="n">
        <v>4.25</v>
      </c>
      <c r="L212" t="n">
        <v>0</v>
      </c>
      <c r="M212" t="n">
        <v>4</v>
      </c>
      <c r="N212" t="n">
        <v>2</v>
      </c>
    </row>
    <row r="213">
      <c r="A213" t="inlineStr">
        <is>
          <t>Barley</t>
        </is>
      </c>
      <c r="B213" t="inlineStr">
        <is>
          <t>Delivered to 1 dairymaid for the year, 3 quarters 1 bushels, taking a quarter every 16 weeks.</t>
        </is>
      </c>
      <c r="C213" t="n">
        <v>0</v>
      </c>
      <c r="D213" t="n">
        <v>0</v>
      </c>
      <c r="E213" t="n">
        <v>0</v>
      </c>
      <c r="F213" t="n">
        <v>0</v>
      </c>
      <c r="H213" t="n">
        <v>3</v>
      </c>
      <c r="I213" t="n">
        <v>1</v>
      </c>
      <c r="J213" t="n">
        <v>3.125</v>
      </c>
      <c r="K213" t="n">
        <v>3.125</v>
      </c>
      <c r="L213" t="n">
        <v>0</v>
      </c>
      <c r="M213" t="n">
        <v>3</v>
      </c>
      <c r="N213" t="n">
        <v>1</v>
      </c>
    </row>
    <row r="214">
      <c r="A214" t="inlineStr">
        <is>
          <t>Barley</t>
        </is>
      </c>
      <c r="B214" t="inlineStr">
        <is>
          <t>Delivered to 1 shepherd for the year, 6.5 quarters, taking a quarter every 8 weeks.</t>
        </is>
      </c>
      <c r="C214" t="n">
        <v>0</v>
      </c>
      <c r="D214" t="n">
        <v>0</v>
      </c>
      <c r="E214" t="n">
        <v>0</v>
      </c>
      <c r="F214" t="n">
        <v>0</v>
      </c>
      <c r="H214" t="n">
        <v>6.5</v>
      </c>
      <c r="I214" t="n">
        <v>0</v>
      </c>
      <c r="J214" t="n">
        <v>6.5</v>
      </c>
      <c r="K214" t="n">
        <v>6.5</v>
      </c>
      <c r="L214" t="n">
        <v>0</v>
      </c>
      <c r="M214" t="n">
        <v>6.5</v>
      </c>
      <c r="N214" t="n">
        <v>0</v>
      </c>
    </row>
    <row r="215">
      <c r="A215" t="inlineStr">
        <is>
          <t>Barley</t>
        </is>
      </c>
      <c r="B215" t="inlineStr">
        <is>
          <t>.</t>
        </is>
      </c>
      <c r="C215" t="n">
        <v>0</v>
      </c>
      <c r="D215" t="n">
        <v>0</v>
      </c>
      <c r="E215" t="n">
        <v>0</v>
      </c>
      <c r="F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Barley</t>
        </is>
      </c>
      <c r="B216" t="inlineStr">
        <is>
          <t>customary payment to 1 park-keeper, 1 quarters.</t>
        </is>
      </c>
      <c r="C216" t="n">
        <v>0</v>
      </c>
      <c r="D216" t="n">
        <v>0</v>
      </c>
      <c r="E216" t="n">
        <v>0</v>
      </c>
      <c r="F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</row>
    <row r="217">
      <c r="A217" t="inlineStr">
        <is>
          <t>Barley</t>
        </is>
      </c>
      <c r="B217" t="inlineStr">
        <is>
          <t>Delivered to 1 harrower at various times at both sowings, 6 bushels It balances.</t>
        </is>
      </c>
      <c r="C217" t="n">
        <v>0</v>
      </c>
      <c r="D217" t="n">
        <v>0</v>
      </c>
      <c r="E217" t="n">
        <v>0</v>
      </c>
      <c r="F217" t="n">
        <v>0</v>
      </c>
      <c r="H217" t="n">
        <v>0</v>
      </c>
      <c r="I217" t="n">
        <v>6</v>
      </c>
      <c r="J217" t="n">
        <v>0.75</v>
      </c>
      <c r="K217" t="n">
        <v>0.75</v>
      </c>
      <c r="L217" t="n">
        <v>0</v>
      </c>
      <c r="M217" t="n">
        <v>0</v>
      </c>
      <c r="N217" t="n">
        <v>6</v>
      </c>
    </row>
    <row r="218">
      <c r="A218" t="inlineStr">
        <is>
          <t>Dredge</t>
        </is>
      </c>
      <c r="B218" t="inlineStr">
        <is>
          <t>{yield: four-fold less .5 quarters}</t>
        </is>
      </c>
      <c r="C218" t="n">
        <v>0</v>
      </c>
      <c r="D218" t="n">
        <v>0</v>
      </c>
      <c r="E218" t="n">
        <v>0</v>
      </c>
      <c r="F218" t="n">
        <v>0</v>
      </c>
      <c r="H218" t="n">
        <v>5</v>
      </c>
      <c r="I218" t="n">
        <v>0</v>
      </c>
      <c r="J218" t="n">
        <v>5</v>
      </c>
      <c r="K218" t="n">
        <v>5</v>
      </c>
      <c r="L218" t="n">
        <v>0</v>
      </c>
      <c r="M218" t="n">
        <v>5</v>
      </c>
      <c r="N218" t="n">
        <v>0</v>
      </c>
    </row>
    <row r="219">
      <c r="A219" t="inlineStr">
        <is>
          <t>Dredge</t>
        </is>
      </c>
      <c r="B219" t="inlineStr">
        <is>
          <t>The same render account for 14.5 quarters from the whole issue of dredge by struck measure.</t>
        </is>
      </c>
      <c r="C219" t="n">
        <v>0</v>
      </c>
      <c r="D219" t="n">
        <v>0</v>
      </c>
      <c r="E219" t="n">
        <v>0</v>
      </c>
      <c r="F219" t="n">
        <v>0</v>
      </c>
      <c r="H219" t="n">
        <v>14.5</v>
      </c>
      <c r="I219" t="n">
        <v>0</v>
      </c>
      <c r="J219" t="n">
        <v>14.5</v>
      </c>
      <c r="K219" t="n">
        <v>14.5</v>
      </c>
      <c r="L219" t="n">
        <v>0</v>
      </c>
      <c r="M219" t="n">
        <v>14.5</v>
      </c>
      <c r="N219" t="n">
        <v>0</v>
      </c>
    </row>
    <row r="220">
      <c r="A220" t="inlineStr">
        <is>
          <t>Dredge</t>
        </is>
      </c>
      <c r="B220" t="inlineStr">
        <is>
          <t>Sown over 18 acres as they lie in Westbune, 2 quarters 5 bushels.</t>
        </is>
      </c>
      <c r="C220" t="n">
        <v>0</v>
      </c>
      <c r="D220" t="n">
        <v>0</v>
      </c>
      <c r="E220" t="n">
        <v>0</v>
      </c>
      <c r="F220" t="n">
        <v>0</v>
      </c>
      <c r="H220" t="n">
        <v>2</v>
      </c>
      <c r="I220" t="n">
        <v>5</v>
      </c>
      <c r="J220" t="n">
        <v>2.625</v>
      </c>
      <c r="K220" t="n">
        <v>2.625</v>
      </c>
      <c r="L220" t="n">
        <v>0</v>
      </c>
      <c r="M220" t="n">
        <v>2</v>
      </c>
      <c r="N220" t="n">
        <v>5</v>
      </c>
    </row>
    <row r="221">
      <c r="A221" t="inlineStr">
        <is>
          <t>Dredge</t>
        </is>
      </c>
      <c r="B221" t="inlineStr">
        <is>
          <t>that is, 1 bushels an acre, plus 3 bushels in all.</t>
        </is>
      </c>
      <c r="C221" t="n">
        <v>0</v>
      </c>
      <c r="D221" t="n">
        <v>0</v>
      </c>
      <c r="E221" t="n">
        <v>0</v>
      </c>
      <c r="F221" t="n">
        <v>0</v>
      </c>
      <c r="H221" t="n">
        <v>0</v>
      </c>
      <c r="I221" t="n">
        <v>3</v>
      </c>
      <c r="J221" t="n">
        <v>0.375</v>
      </c>
      <c r="K221" t="n">
        <v>0.125</v>
      </c>
      <c r="L221" t="n">
        <v>0.25</v>
      </c>
      <c r="M221" t="n">
        <v>0</v>
      </c>
      <c r="N221" t="n">
        <v>1</v>
      </c>
      <c r="O221" t="n">
        <v>0</v>
      </c>
      <c r="P221" t="n">
        <v>3</v>
      </c>
    </row>
    <row r="222">
      <c r="A222" t="inlineStr">
        <is>
          <t>Dredge</t>
        </is>
      </c>
      <c r="B222" t="inlineStr">
        <is>
          <t>Sold, 11 quarters 7 bushels</t>
        </is>
      </c>
      <c r="C222" t="n">
        <v>0</v>
      </c>
      <c r="D222" t="n">
        <v>0</v>
      </c>
      <c r="E222" t="n">
        <v>0</v>
      </c>
      <c r="F222" t="n">
        <v>0</v>
      </c>
      <c r="H222" t="n">
        <v>11</v>
      </c>
      <c r="I222" t="n">
        <v>7</v>
      </c>
      <c r="J222" t="n">
        <v>11.875</v>
      </c>
      <c r="K222" t="n">
        <v>11.875</v>
      </c>
      <c r="L222" t="n">
        <v>0</v>
      </c>
      <c r="M222" t="n">
        <v>11</v>
      </c>
      <c r="N222" t="n">
        <v>7</v>
      </c>
    </row>
    <row r="223">
      <c r="A223" t="inlineStr">
        <is>
          <t>Oats</t>
        </is>
      </c>
      <c r="B223" t="inlineStr">
        <is>
          <t>{yield: two-fold less 3 quarters 5 bushels}</t>
        </is>
      </c>
      <c r="C223" t="n">
        <v>0</v>
      </c>
      <c r="D223" t="n">
        <v>0</v>
      </c>
      <c r="E223" t="n">
        <v>0</v>
      </c>
      <c r="F223" t="n">
        <v>0</v>
      </c>
      <c r="H223" t="n">
        <v>3</v>
      </c>
      <c r="I223" t="n">
        <v>5</v>
      </c>
      <c r="J223" t="n">
        <v>3.625</v>
      </c>
      <c r="K223" t="n">
        <v>3.625</v>
      </c>
      <c r="L223" t="n">
        <v>0</v>
      </c>
      <c r="M223" t="n">
        <v>3</v>
      </c>
      <c r="N223" t="n">
        <v>5</v>
      </c>
    </row>
    <row r="224">
      <c r="A224" t="inlineStr">
        <is>
          <t>Oats</t>
        </is>
      </c>
      <c r="B224" t="inlineStr">
        <is>
          <t>The same render account for 20 quarters 3 bushels from the whole issue of oats by struck measure.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oats</t>
        </is>
      </c>
      <c r="H224" t="n">
        <v>20</v>
      </c>
      <c r="I224" t="n">
        <v>3</v>
      </c>
      <c r="J224" t="n">
        <v>20.375</v>
      </c>
      <c r="K224" t="n">
        <v>20.375</v>
      </c>
      <c r="L224" t="n">
        <v>0</v>
      </c>
      <c r="M224" t="n">
        <v>20</v>
      </c>
      <c r="N224" t="n">
        <v>3</v>
      </c>
    </row>
    <row r="225">
      <c r="A225" t="inlineStr">
        <is>
          <t>Oats</t>
        </is>
      </c>
      <c r="B225" t="inlineStr">
        <is>
          <t>4 quarters 2 bushels bought.</t>
        </is>
      </c>
      <c r="C225" t="n">
        <v>0</v>
      </c>
      <c r="D225" t="n">
        <v>0</v>
      </c>
      <c r="E225" t="n">
        <v>0</v>
      </c>
      <c r="F225" t="n">
        <v>0</v>
      </c>
      <c r="H225" t="n">
        <v>4</v>
      </c>
      <c r="I225" t="n">
        <v>2</v>
      </c>
      <c r="J225" t="n">
        <v>4.25</v>
      </c>
      <c r="K225" t="n">
        <v>4.25</v>
      </c>
      <c r="L225" t="n">
        <v>0</v>
      </c>
      <c r="M225" t="n">
        <v>4</v>
      </c>
      <c r="N225" t="n">
        <v>2</v>
      </c>
    </row>
    <row r="226">
      <c r="A226" t="inlineStr">
        <is>
          <t>Oats</t>
        </is>
      </c>
      <c r="B226" t="inlineStr">
        <is>
          <t>Total, 24 quarters 5 bushels</t>
        </is>
      </c>
      <c r="C226" t="n">
        <v>0</v>
      </c>
      <c r="D226" t="n">
        <v>0</v>
      </c>
      <c r="E226" t="n">
        <v>0</v>
      </c>
      <c r="F226" t="n">
        <v>0</v>
      </c>
      <c r="H226" t="n">
        <v>24</v>
      </c>
      <c r="I226" t="n">
        <v>5</v>
      </c>
      <c r="J226" t="n">
        <v>24.625</v>
      </c>
      <c r="K226" t="n">
        <v>24.625</v>
      </c>
      <c r="L226" t="n">
        <v>0</v>
      </c>
      <c r="M226" t="n">
        <v>24</v>
      </c>
      <c r="N226" t="n">
        <v>5</v>
      </c>
    </row>
    <row r="227">
      <c r="A227" t="inlineStr">
        <is>
          <t>Oats</t>
        </is>
      </c>
      <c r="B227" t="inlineStr">
        <is>
          <t>Sown over 57 acres as they lie in Pustukes and Bathardeslond', 14 quarters 2 bushels.</t>
        </is>
      </c>
      <c r="C227" t="n">
        <v>0</v>
      </c>
      <c r="D227" t="n">
        <v>0</v>
      </c>
      <c r="E227" t="n">
        <v>0</v>
      </c>
      <c r="F227" t="n">
        <v>0</v>
      </c>
      <c r="H227" t="n">
        <v>14</v>
      </c>
      <c r="I227" t="n">
        <v>2</v>
      </c>
      <c r="J227" t="n">
        <v>14.25</v>
      </c>
      <c r="K227" t="n">
        <v>14.25</v>
      </c>
      <c r="L227" t="n">
        <v>0</v>
      </c>
      <c r="M227" t="n">
        <v>14</v>
      </c>
      <c r="N227" t="n">
        <v>2</v>
      </c>
    </row>
    <row r="228">
      <c r="A228" t="inlineStr">
        <is>
          <t>Oats</t>
        </is>
      </c>
      <c r="B228" t="inlineStr">
        <is>
          <t>that is, 2 bushels an acre.</t>
        </is>
      </c>
      <c r="C228" t="n">
        <v>0</v>
      </c>
      <c r="D228" t="n">
        <v>0</v>
      </c>
      <c r="E228" t="n">
        <v>0</v>
      </c>
      <c r="F228" t="n">
        <v>0</v>
      </c>
      <c r="H228" t="n">
        <v>0</v>
      </c>
      <c r="I228" t="n">
        <v>2</v>
      </c>
      <c r="J228" t="n">
        <v>0.25</v>
      </c>
      <c r="K228" t="n">
        <v>0.25</v>
      </c>
      <c r="L228" t="n">
        <v>0</v>
      </c>
      <c r="M228" t="n">
        <v>0</v>
      </c>
      <c r="N228" t="n">
        <v>2</v>
      </c>
    </row>
    <row r="229">
      <c r="A229" t="inlineStr">
        <is>
          <t>Oats</t>
        </is>
      </c>
      <c r="B229" t="inlineStr">
        <is>
          <t>.</t>
        </is>
      </c>
      <c r="C229" t="n">
        <v>0</v>
      </c>
      <c r="D229" t="n">
        <v>0</v>
      </c>
      <c r="E229" t="n">
        <v>0</v>
      </c>
      <c r="F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Oats</t>
        </is>
      </c>
      <c r="B230" t="inlineStr">
        <is>
          <t>provision of the steward for his visits, 4.5 bushels.</t>
        </is>
      </c>
      <c r="C230" t="n">
        <v>0</v>
      </c>
      <c r="D230" t="n">
        <v>0</v>
      </c>
      <c r="E230" t="n">
        <v>0</v>
      </c>
      <c r="F230" t="n">
        <v>0</v>
      </c>
      <c r="H230" t="n">
        <v>0</v>
      </c>
      <c r="I230" t="n">
        <v>4.5</v>
      </c>
      <c r="J230" t="n">
        <v>0.5625</v>
      </c>
      <c r="K230" t="n">
        <v>0.5625</v>
      </c>
      <c r="L230" t="n">
        <v>0</v>
      </c>
      <c r="M230" t="n">
        <v>0</v>
      </c>
      <c r="N230" t="n">
        <v>4.5</v>
      </c>
    </row>
    <row r="231">
      <c r="A231" t="inlineStr">
        <is>
          <t>Oats</t>
        </is>
      </c>
      <c r="B231" t="inlineStr">
        <is>
          <t>fodder of the clerk's horse for his visits, 1.5 bushels.</t>
        </is>
      </c>
      <c r="C231" t="n">
        <v>0</v>
      </c>
      <c r="D231" t="n">
        <v>0</v>
      </c>
      <c r="E231" t="n">
        <v>0</v>
      </c>
      <c r="F231" t="n">
        <v>0</v>
      </c>
      <c r="H231" t="n">
        <v>0</v>
      </c>
      <c r="I231" t="n">
        <v>1.5</v>
      </c>
      <c r="J231" t="n">
        <v>0.1875</v>
      </c>
      <c r="K231" t="n">
        <v>0.1875</v>
      </c>
      <c r="L231" t="n">
        <v>0</v>
      </c>
      <c r="M231" t="n">
        <v>0</v>
      </c>
      <c r="N231" t="n">
        <v>1.5</v>
      </c>
    </row>
    <row r="232">
      <c r="A232" t="inlineStr">
        <is>
          <t>Oats</t>
        </is>
      </c>
      <c r="B232" t="inlineStr">
        <is>
          <t>fodder of 2 cart-horses for the year, 7 quarters this year.</t>
        </is>
      </c>
      <c r="C232" t="n">
        <v>0</v>
      </c>
      <c r="D232" t="n">
        <v>0</v>
      </c>
      <c r="E232" t="n">
        <v>0</v>
      </c>
      <c r="F232" t="n">
        <v>0</v>
      </c>
      <c r="H232" t="n">
        <v>7</v>
      </c>
      <c r="I232" t="n">
        <v>0</v>
      </c>
      <c r="J232" t="n">
        <v>7</v>
      </c>
      <c r="K232" t="n">
        <v>7</v>
      </c>
      <c r="L232" t="n">
        <v>0</v>
      </c>
      <c r="M232" t="n">
        <v>7</v>
      </c>
      <c r="N232" t="n">
        <v>0</v>
      </c>
    </row>
    <row r="233">
      <c r="A233" t="inlineStr">
        <is>
          <t>Oats</t>
        </is>
      </c>
      <c r="B233" t="inlineStr">
        <is>
          <t>.</t>
        </is>
      </c>
      <c r="C233" t="n">
        <v>0</v>
      </c>
      <c r="D233" t="n">
        <v>0</v>
      </c>
      <c r="E233" t="n">
        <v>0</v>
      </c>
      <c r="F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Oats</t>
        </is>
      </c>
      <c r="B234" t="inlineStr">
        <is>
          <t>fodder of 2 plough-horses going to harrow at both sowings, 2 quarters 5 bushels this year, and this because the carts carried wood for fencing (claustr') from the park to the curia for the enclosure by order of the lorpence It balances.</t>
        </is>
      </c>
      <c r="C234" t="n">
        <v>0</v>
      </c>
      <c r="D234" t="n">
        <v>0</v>
      </c>
      <c r="E234" t="n">
        <v>0</v>
      </c>
      <c r="F234" t="n">
        <v>0</v>
      </c>
      <c r="H234" t="n">
        <v>2</v>
      </c>
      <c r="I234" t="n">
        <v>5</v>
      </c>
      <c r="J234" t="n">
        <v>2.625</v>
      </c>
      <c r="K234" t="n">
        <v>2.625</v>
      </c>
      <c r="L234" t="n">
        <v>0</v>
      </c>
      <c r="M234" t="n">
        <v>2</v>
      </c>
      <c r="N234" t="n">
        <v>5</v>
      </c>
    </row>
    <row r="235">
      <c r="A235" t="inlineStr">
        <is>
          <t xml:space="preserve">Beans </t>
        </is>
      </c>
      <c r="B235" t="inlineStr">
        <is>
          <t>The same render account for 4 bushels of beans bought.</t>
        </is>
      </c>
      <c r="C235" t="n">
        <v>0</v>
      </c>
      <c r="D235" t="n">
        <v>0</v>
      </c>
      <c r="E235" t="n">
        <v>0</v>
      </c>
      <c r="F235" t="n">
        <v>0</v>
      </c>
      <c r="G235" t="inlineStr">
        <is>
          <t>beans</t>
        </is>
      </c>
      <c r="H235" t="n">
        <v>0</v>
      </c>
      <c r="I235" t="n">
        <v>4</v>
      </c>
      <c r="J235" t="n">
        <v>0.5</v>
      </c>
      <c r="K235" t="n">
        <v>0.5</v>
      </c>
      <c r="L235" t="n">
        <v>0</v>
      </c>
      <c r="M235" t="n">
        <v>0</v>
      </c>
      <c r="N235" t="n">
        <v>4</v>
      </c>
    </row>
    <row r="236">
      <c r="A236" t="inlineStr">
        <is>
          <t xml:space="preserve">Beans </t>
        </is>
      </c>
      <c r="B236" t="inlineStr">
        <is>
          <t>All sown in the garden.</t>
        </is>
      </c>
      <c r="C236" t="n">
        <v>0</v>
      </c>
      <c r="D236" t="n">
        <v>0</v>
      </c>
      <c r="E236" t="n">
        <v>0</v>
      </c>
      <c r="F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 xml:space="preserve">Peas </t>
        </is>
      </c>
      <c r="B237" t="inlineStr">
        <is>
          <t>{yield: six-fold}</t>
        </is>
      </c>
      <c r="C237" t="n">
        <v>0</v>
      </c>
      <c r="D237" t="n">
        <v>0</v>
      </c>
      <c r="E237" t="n">
        <v>0</v>
      </c>
      <c r="F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 xml:space="preserve">Peas </t>
        </is>
      </c>
      <c r="B238" t="inlineStr">
        <is>
          <t>The same render account for 7.5 quarters from the whole issue of peas by struck measure.</t>
        </is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peas</t>
        </is>
      </c>
      <c r="H238" t="n">
        <v>7.5</v>
      </c>
      <c r="I238" t="n">
        <v>0</v>
      </c>
      <c r="J238" t="n">
        <v>7.5</v>
      </c>
      <c r="K238" t="n">
        <v>7.5</v>
      </c>
      <c r="L238" t="n">
        <v>0</v>
      </c>
      <c r="M238" t="n">
        <v>7.5</v>
      </c>
      <c r="N238" t="n">
        <v>0</v>
      </c>
    </row>
    <row r="239">
      <c r="A239" t="inlineStr">
        <is>
          <t xml:space="preserve">Peas </t>
        </is>
      </c>
      <c r="B239" t="inlineStr">
        <is>
          <t>Sown over 16 acres as they lie in Chapelecrofte, 2 quarters.</t>
        </is>
      </c>
      <c r="C239" t="n">
        <v>0</v>
      </c>
      <c r="D239" t="n">
        <v>0</v>
      </c>
      <c r="E239" t="n">
        <v>0</v>
      </c>
      <c r="F239" t="n">
        <v>0</v>
      </c>
      <c r="H239" t="n">
        <v>2</v>
      </c>
      <c r="I239" t="n">
        <v>0</v>
      </c>
      <c r="J239" t="n">
        <v>2</v>
      </c>
      <c r="K239" t="n">
        <v>2</v>
      </c>
      <c r="L239" t="n">
        <v>0</v>
      </c>
      <c r="M239" t="n">
        <v>2</v>
      </c>
      <c r="N239" t="n">
        <v>0</v>
      </c>
    </row>
    <row r="240">
      <c r="A240" t="inlineStr">
        <is>
          <t xml:space="preserve">Peas </t>
        </is>
      </c>
      <c r="B240" t="inlineStr">
        <is>
          <t>Mixed with barley for the liveries of the manorial servants, 4 quarters 2 bushels Sold, 1 quarters 2 bushels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barley</t>
        </is>
      </c>
      <c r="H240" t="n">
        <v>1</v>
      </c>
      <c r="I240" t="n">
        <v>2</v>
      </c>
      <c r="J240" t="n">
        <v>1.25</v>
      </c>
      <c r="K240" t="n">
        <v>4.25</v>
      </c>
      <c r="L240" t="n">
        <v>-3</v>
      </c>
      <c r="M240" t="n">
        <v>4</v>
      </c>
      <c r="N240" t="n">
        <v>2</v>
      </c>
      <c r="O240" t="n">
        <v>1</v>
      </c>
      <c r="P240" t="n">
        <v>2</v>
      </c>
    </row>
    <row r="241">
      <c r="A241" t="inlineStr">
        <is>
          <t>Vetches</t>
        </is>
      </c>
      <c r="B241" t="inlineStr">
        <is>
          <t>{yield: two-fold plus .5 quarters}</t>
        </is>
      </c>
      <c r="C241" t="n">
        <v>0</v>
      </c>
      <c r="D241" t="n">
        <v>0</v>
      </c>
      <c r="E241" t="n">
        <v>0</v>
      </c>
      <c r="F241" t="n">
        <v>0</v>
      </c>
      <c r="H241" t="n">
        <v>5</v>
      </c>
      <c r="I241" t="n">
        <v>0</v>
      </c>
      <c r="J241" t="n">
        <v>5</v>
      </c>
      <c r="K241" t="n">
        <v>5</v>
      </c>
      <c r="L241" t="n">
        <v>0</v>
      </c>
      <c r="M241" t="n">
        <v>5</v>
      </c>
      <c r="N241" t="n">
        <v>0</v>
      </c>
    </row>
    <row r="242">
      <c r="A242" t="inlineStr">
        <is>
          <t>Vetches</t>
        </is>
      </c>
      <c r="B242" t="inlineStr">
        <is>
          <t>The same render account for 3 quarters from the whole issue of vetches by struck measure.</t>
        </is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vetches</t>
        </is>
      </c>
      <c r="H242" t="n">
        <v>3</v>
      </c>
      <c r="I242" t="n">
        <v>0</v>
      </c>
      <c r="J242" t="n">
        <v>3</v>
      </c>
      <c r="K242" t="n">
        <v>3</v>
      </c>
      <c r="L242" t="n">
        <v>0</v>
      </c>
      <c r="M242" t="n">
        <v>3</v>
      </c>
      <c r="N242" t="n">
        <v>0</v>
      </c>
    </row>
    <row r="243">
      <c r="A243" t="inlineStr">
        <is>
          <t>Vetches</t>
        </is>
      </c>
      <c r="B243" t="inlineStr">
        <is>
          <t>Sown over 15 acres as they lie in Charelliscroft and Pollescroft, 1 quarters 7 bushels.</t>
        </is>
      </c>
      <c r="C243" t="n">
        <v>0</v>
      </c>
      <c r="D243" t="n">
        <v>0</v>
      </c>
      <c r="E243" t="n">
        <v>0</v>
      </c>
      <c r="F243" t="n">
        <v>0</v>
      </c>
      <c r="H243" t="n">
        <v>1</v>
      </c>
      <c r="I243" t="n">
        <v>7</v>
      </c>
      <c r="J243" t="n">
        <v>1.875</v>
      </c>
      <c r="K243" t="n">
        <v>1.875</v>
      </c>
      <c r="L243" t="n">
        <v>0</v>
      </c>
      <c r="M243" t="n">
        <v>1</v>
      </c>
      <c r="N243" t="n">
        <v>7</v>
      </c>
    </row>
    <row r="244">
      <c r="A244" t="inlineStr">
        <is>
          <t>Vetches</t>
        </is>
      </c>
      <c r="B244" t="inlineStr">
        <is>
          <t>that is, 1  bushels an acre.</t>
        </is>
      </c>
      <c r="C244" t="n">
        <v>0</v>
      </c>
      <c r="D244" t="n">
        <v>0</v>
      </c>
      <c r="E244" t="n">
        <v>0</v>
      </c>
      <c r="F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Vetches</t>
        </is>
      </c>
      <c r="B245" t="inlineStr">
        <is>
          <t>Mixed with barley for the liveries of the manorial servants, 1 quarters 1 bushels</t>
        </is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barley</t>
        </is>
      </c>
      <c r="H245" t="n">
        <v>1</v>
      </c>
      <c r="I245" t="n">
        <v>1</v>
      </c>
      <c r="J245" t="n">
        <v>1.125</v>
      </c>
      <c r="K245" t="n">
        <v>1.125</v>
      </c>
      <c r="L245" t="n">
        <v>0</v>
      </c>
      <c r="M245" t="n">
        <v>1</v>
      </c>
      <c r="N245" t="n">
        <v>1</v>
      </c>
    </row>
    <row r="246">
      <c r="A246" t="inlineStr">
        <is>
          <t>Mill</t>
        </is>
      </c>
      <c r="B246" t="inlineStr">
        <is>
          <t>Wheat: 1 quarters 7 bushels from the whole issue of the mill.</t>
        </is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wheat</t>
        </is>
      </c>
      <c r="H246" t="n">
        <v>1</v>
      </c>
      <c r="I246" t="n">
        <v>7</v>
      </c>
      <c r="J246" t="n">
        <v>1.875</v>
      </c>
      <c r="K246" t="n">
        <v>1.875</v>
      </c>
      <c r="L246" t="n">
        <v>0</v>
      </c>
      <c r="M246" t="n">
        <v>1</v>
      </c>
      <c r="N246" t="n">
        <v>7</v>
      </c>
    </row>
    <row r="247">
      <c r="A247" t="inlineStr">
        <is>
          <t>Mill</t>
        </is>
      </c>
      <c r="B247" t="inlineStr">
        <is>
          <t>all solpence</t>
        </is>
      </c>
      <c r="C247" t="n">
        <v>0</v>
      </c>
      <c r="D247" t="n">
        <v>0</v>
      </c>
      <c r="E247" t="n">
        <v>0</v>
      </c>
      <c r="F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Mill</t>
        </is>
      </c>
      <c r="B248" t="inlineStr">
        <is>
          <t>Barley: 19.5 quarters 2 bushels from the issue of the mill.</t>
        </is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barley</t>
        </is>
      </c>
      <c r="H248" t="n">
        <v>19.5</v>
      </c>
      <c r="I248" t="n">
        <v>2</v>
      </c>
      <c r="J248" t="n">
        <v>19.75</v>
      </c>
      <c r="K248" t="n">
        <v>19.75</v>
      </c>
      <c r="L248" t="n">
        <v>0</v>
      </c>
      <c r="M248" t="n">
        <v>19.5</v>
      </c>
      <c r="N248" t="n">
        <v>2</v>
      </c>
    </row>
    <row r="249">
      <c r="A249" t="inlineStr">
        <is>
          <t>Mill</t>
        </is>
      </c>
      <c r="B249" t="inlineStr">
        <is>
          <t>Delivered to 1 miller, 6.5 quarters.</t>
        </is>
      </c>
      <c r="C249" t="n">
        <v>0</v>
      </c>
      <c r="D249" t="n">
        <v>0</v>
      </c>
      <c r="E249" t="n">
        <v>0</v>
      </c>
      <c r="F249" t="n">
        <v>0</v>
      </c>
      <c r="H249" t="n">
        <v>6.5</v>
      </c>
      <c r="I249" t="n">
        <v>0</v>
      </c>
      <c r="J249" t="n">
        <v>6.5</v>
      </c>
      <c r="K249" t="n">
        <v>6.5</v>
      </c>
      <c r="L249" t="n">
        <v>0</v>
      </c>
      <c r="M249" t="n">
        <v>6.5</v>
      </c>
      <c r="N249" t="n">
        <v>0</v>
      </c>
    </row>
    <row r="250">
      <c r="A250" t="inlineStr">
        <is>
          <t>Mill</t>
        </is>
      </c>
      <c r="B250" t="inlineStr">
        <is>
          <t>Delivered to 1 carter, nothing, because there was no carter there.</t>
        </is>
      </c>
      <c r="C250" t="n">
        <v>0</v>
      </c>
      <c r="D250" t="n">
        <v>0</v>
      </c>
      <c r="E250" t="n">
        <v>0</v>
      </c>
      <c r="F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Mill</t>
        </is>
      </c>
      <c r="B251" t="inlineStr">
        <is>
          <t>.</t>
        </is>
      </c>
      <c r="C251" t="n">
        <v>0</v>
      </c>
      <c r="D251" t="n">
        <v>0</v>
      </c>
      <c r="E251" t="n">
        <v>0</v>
      </c>
      <c r="F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Mill</t>
        </is>
      </c>
      <c r="B252" t="inlineStr">
        <is>
          <t>provision of the harvest, 1.5 quarters.</t>
        </is>
      </c>
      <c r="C252" t="n">
        <v>0</v>
      </c>
      <c r="D252" t="n">
        <v>0</v>
      </c>
      <c r="E252" t="n">
        <v>0</v>
      </c>
      <c r="F252" t="n">
        <v>0</v>
      </c>
      <c r="H252" t="n">
        <v>1.5</v>
      </c>
      <c r="I252" t="n">
        <v>0</v>
      </c>
      <c r="J252" t="n">
        <v>1.5</v>
      </c>
      <c r="K252" t="n">
        <v>1.5</v>
      </c>
      <c r="L252" t="n">
        <v>0</v>
      </c>
      <c r="M252" t="n">
        <v>1.5</v>
      </c>
      <c r="N252" t="n">
        <v>0</v>
      </c>
    </row>
    <row r="253">
      <c r="A253" t="inlineStr">
        <is>
          <t>Mill</t>
        </is>
      </c>
      <c r="B253" t="inlineStr">
        <is>
          <t>Sold, 11.5 quarters 2 bushels</t>
        </is>
      </c>
      <c r="C253" t="n">
        <v>0</v>
      </c>
      <c r="D253" t="n">
        <v>0</v>
      </c>
      <c r="E253" t="n">
        <v>0</v>
      </c>
      <c r="F253" t="n">
        <v>0</v>
      </c>
      <c r="H253" t="n">
        <v>11.5</v>
      </c>
      <c r="I253" t="n">
        <v>2</v>
      </c>
      <c r="J253" t="n">
        <v>11.75</v>
      </c>
      <c r="K253" t="n">
        <v>11.75</v>
      </c>
      <c r="L253" t="n">
        <v>0</v>
      </c>
      <c r="M253" t="n">
        <v>11.5</v>
      </c>
      <c r="N253" t="n">
        <v>2</v>
      </c>
    </row>
    <row r="254">
      <c r="A254" t="inlineStr">
        <is>
          <t>Mill</t>
        </is>
      </c>
      <c r="B254" t="inlineStr">
        <is>
          <t>Coarse-ground corn: 2 quarters 1 bushels from the whole issue of the mill.</t>
        </is>
      </c>
      <c r="C254" t="n">
        <v>0</v>
      </c>
      <c r="D254" t="n">
        <v>0</v>
      </c>
      <c r="E254" t="n">
        <v>0</v>
      </c>
      <c r="F254" t="n">
        <v>0</v>
      </c>
      <c r="H254" t="n">
        <v>2</v>
      </c>
      <c r="I254" t="n">
        <v>1</v>
      </c>
      <c r="J254" t="n">
        <v>2.125</v>
      </c>
      <c r="K254" t="n">
        <v>2.125</v>
      </c>
      <c r="L254" t="n">
        <v>0</v>
      </c>
      <c r="M254" t="n">
        <v>2</v>
      </c>
      <c r="N254" t="n">
        <v>1</v>
      </c>
    </row>
    <row r="255">
      <c r="A255" t="inlineStr">
        <is>
          <t>Mill</t>
        </is>
      </c>
      <c r="B255" t="inlineStr">
        <is>
          <t>all solpence</t>
        </is>
      </c>
      <c r="C255" t="n">
        <v>0</v>
      </c>
      <c r="D255" t="n">
        <v>0</v>
      </c>
      <c r="E255" t="n">
        <v>0</v>
      </c>
      <c r="F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Mill</t>
        </is>
      </c>
      <c r="B256" t="inlineStr">
        <is>
          <t>Malt: 4.5 quarters 3 bushels from the whole issue of the mill.</t>
        </is>
      </c>
      <c r="C256" t="n">
        <v>0</v>
      </c>
      <c r="D256" t="n">
        <v>0</v>
      </c>
      <c r="E256" t="n">
        <v>0</v>
      </c>
      <c r="F256" t="n">
        <v>0</v>
      </c>
      <c r="H256" t="n">
        <v>4.5</v>
      </c>
      <c r="I256" t="n">
        <v>3</v>
      </c>
      <c r="J256" t="n">
        <v>4.875</v>
      </c>
      <c r="K256" t="n">
        <v>4.875</v>
      </c>
      <c r="L256" t="n">
        <v>0</v>
      </c>
      <c r="M256" t="n">
        <v>4.5</v>
      </c>
      <c r="N256" t="n">
        <v>3</v>
      </c>
    </row>
    <row r="257">
      <c r="A257" t="inlineStr">
        <is>
          <t>Mill</t>
        </is>
      </c>
      <c r="B257" t="inlineStr">
        <is>
          <t>all solpence</t>
        </is>
      </c>
      <c r="C257" t="n">
        <v>0</v>
      </c>
      <c r="D257" t="n">
        <v>0</v>
      </c>
      <c r="E257" t="n">
        <v>0</v>
      </c>
      <c r="F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Mill</t>
        </is>
      </c>
      <c r="B258" t="inlineStr">
        <is>
          <t>Oatmeal: 1 bushels from the issue of the mill.</t>
        </is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oatmeal</t>
        </is>
      </c>
      <c r="H258" t="n">
        <v>0</v>
      </c>
      <c r="I258" t="n">
        <v>1</v>
      </c>
      <c r="J258" t="n">
        <v>0.125</v>
      </c>
      <c r="K258" t="n">
        <v>0.125</v>
      </c>
      <c r="L258" t="n">
        <v>0</v>
      </c>
      <c r="M258" t="n">
        <v>0</v>
      </c>
      <c r="N258" t="n">
        <v>1</v>
      </c>
    </row>
    <row r="259">
      <c r="A259" t="inlineStr">
        <is>
          <t>Mill</t>
        </is>
      </c>
      <c r="B259" t="inlineStr">
        <is>
          <t>all solpence</t>
        </is>
      </c>
      <c r="C259" t="n">
        <v>0</v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Stock</t>
        </is>
      </c>
      <c r="B260" t="inlineStr">
        <is>
          <t>Cart-horses: 5 remain from the previous year.</t>
        </is>
      </c>
      <c r="C260" t="n">
        <v>0</v>
      </c>
      <c r="D260" t="n">
        <v>0</v>
      </c>
      <c r="E260" t="n">
        <v>0</v>
      </c>
      <c r="F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Stock</t>
        </is>
      </c>
      <c r="B261" t="inlineStr">
        <is>
          <t>1 in murrain.</t>
        </is>
      </c>
      <c r="C261" t="n">
        <v>0</v>
      </c>
      <c r="D261" t="n">
        <v>0</v>
      </c>
      <c r="E261" t="n">
        <v>0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Stock</t>
        </is>
      </c>
      <c r="B262" t="inlineStr">
        <is>
          <t>2 sold.</t>
        </is>
      </c>
      <c r="C262" t="n">
        <v>0</v>
      </c>
      <c r="D262" t="n">
        <v>0</v>
      </c>
      <c r="E262" t="n">
        <v>0</v>
      </c>
      <c r="F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Stock</t>
        </is>
      </c>
      <c r="B263" t="inlineStr">
        <is>
          <t>2 remain.</t>
        </is>
      </c>
      <c r="C263" t="n">
        <v>0</v>
      </c>
      <c r="D263" t="n">
        <v>0</v>
      </c>
      <c r="E263" t="n">
        <v>0</v>
      </c>
      <c r="F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Stock</t>
        </is>
      </c>
      <c r="B264" t="inlineStr">
        <is>
          <t>Mares: 3 remain from the previous year.</t>
        </is>
      </c>
      <c r="C264" t="n">
        <v>0</v>
      </c>
      <c r="D264" t="n">
        <v>0</v>
      </c>
      <c r="E264" t="n">
        <v>0</v>
      </c>
      <c r="F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Stock</t>
        </is>
      </c>
      <c r="B265" t="inlineStr">
        <is>
          <t>1 sold.</t>
        </is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Stock</t>
        </is>
      </c>
      <c r="B266" t="inlineStr">
        <is>
          <t>2 remain.</t>
        </is>
      </c>
      <c r="C266" t="n">
        <v>0</v>
      </c>
      <c r="D266" t="n">
        <v>0</v>
      </c>
      <c r="E266" t="n">
        <v>0</v>
      </c>
      <c r="F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Stock</t>
        </is>
      </c>
      <c r="B267" t="inlineStr">
        <is>
          <t>Plough-horses: 1 remains from the previous year.</t>
        </is>
      </c>
      <c r="C267" t="n">
        <v>0</v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Stock</t>
        </is>
      </c>
      <c r="B268" t="inlineStr">
        <is>
          <t>1 in murrain.</t>
        </is>
      </c>
      <c r="C268" t="n">
        <v>0</v>
      </c>
      <c r="D268" t="n">
        <v>0</v>
      </c>
      <c r="E268" t="n">
        <v>0</v>
      </c>
      <c r="F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Stock</t>
        </is>
      </c>
      <c r="B269" t="inlineStr">
        <is>
          <t>none remain.</t>
        </is>
      </c>
      <c r="C269" t="n">
        <v>0</v>
      </c>
      <c r="D269" t="n">
        <v>0</v>
      </c>
      <c r="E269" t="n">
        <v>0</v>
      </c>
      <c r="F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Stock</t>
        </is>
      </c>
      <c r="B270" t="inlineStr">
        <is>
          <t>Colts: 1 aged 1.5 years remains from the previous year.</t>
        </is>
      </c>
      <c r="C270" t="n">
        <v>0</v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Stock</t>
        </is>
      </c>
      <c r="B271" t="inlineStr">
        <is>
          <t>1 male now aged 2.5 years remains.</t>
        </is>
      </c>
      <c r="C271" t="n">
        <v>0</v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Stock</t>
        </is>
      </c>
      <c r="B272" t="inlineStr">
        <is>
          <t>Foals: 1 aged .5 year remains from the previous year.</t>
        </is>
      </c>
      <c r="C272" t="n">
        <v>0</v>
      </c>
      <c r="D272" t="n">
        <v>0</v>
      </c>
      <c r="E272" t="n">
        <v>0</v>
      </c>
      <c r="F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Stock</t>
        </is>
      </c>
      <c r="B273" t="inlineStr">
        <is>
          <t>1 now 1.5 years remains.</t>
        </is>
      </c>
      <c r="C273" t="n">
        <v>0</v>
      </c>
      <c r="D273" t="n">
        <v>0</v>
      </c>
      <c r="E273" t="n">
        <v>0</v>
      </c>
      <c r="F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Stock</t>
        </is>
      </c>
      <c r="B274" t="inlineStr">
        <is>
          <t>Also foals: 2 from the offspring of the mares this year.</t>
        </is>
      </c>
      <c r="C274" t="n">
        <v>0</v>
      </c>
      <c r="D274" t="n">
        <v>0</v>
      </c>
      <c r="E274" t="n">
        <v>0</v>
      </c>
      <c r="F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Stock</t>
        </is>
      </c>
      <c r="B275" t="inlineStr">
        <is>
          <t>2 now .5 year remain.</t>
        </is>
      </c>
      <c r="C275" t="n">
        <v>0</v>
      </c>
      <c r="D275" t="n">
        <v>0</v>
      </c>
      <c r="E275" t="n">
        <v>0</v>
      </c>
      <c r="F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Stock</t>
        </is>
      </c>
      <c r="B276" t="inlineStr">
        <is>
          <t>Oxen: 22 remain from the previous year.</t>
        </is>
      </c>
      <c r="C276" t="n">
        <v>0</v>
      </c>
      <c r="D276" t="n">
        <v>0</v>
      </c>
      <c r="E276" t="n">
        <v>0</v>
      </c>
      <c r="F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Stock</t>
        </is>
      </c>
      <c r="B277" t="inlineStr">
        <is>
          <t>1 bought.</t>
        </is>
      </c>
      <c r="C277" t="n">
        <v>0</v>
      </c>
      <c r="D277" t="n">
        <v>0</v>
      </c>
      <c r="E277" t="n">
        <v>0</v>
      </c>
      <c r="F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Stock</t>
        </is>
      </c>
      <c r="B278" t="inlineStr">
        <is>
          <t>Total, 23. 1 in murrain.</t>
        </is>
      </c>
      <c r="C278" t="n">
        <v>0</v>
      </c>
      <c r="D278" t="n">
        <v>0</v>
      </c>
      <c r="E278" t="n">
        <v>0</v>
      </c>
      <c r="F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Stock</t>
        </is>
      </c>
      <c r="B279" t="inlineStr">
        <is>
          <t>22</t>
        </is>
      </c>
      <c r="C279" t="n">
        <v>0</v>
      </c>
      <c r="D279" t="n">
        <v>0</v>
      </c>
      <c r="E279" t="n">
        <v>0</v>
      </c>
      <c r="F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Stock</t>
        </is>
      </c>
      <c r="B280" t="inlineStr">
        <is>
          <t>remain.</t>
        </is>
      </c>
      <c r="C280" t="n">
        <v>0</v>
      </c>
      <c r="D280" t="n">
        <v>0</v>
      </c>
      <c r="E280" t="n">
        <v>0</v>
      </c>
      <c r="F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Stock</t>
        </is>
      </c>
      <c r="B281" t="inlineStr">
        <is>
          <t>Bulls: 1 remains from the previous year.</t>
        </is>
      </c>
      <c r="C281" t="n">
        <v>0</v>
      </c>
      <c r="D281" t="n">
        <v>0</v>
      </c>
      <c r="E281" t="n">
        <v>0</v>
      </c>
      <c r="F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Stock</t>
        </is>
      </c>
      <c r="B282" t="inlineStr">
        <is>
          <t>1 remains.</t>
        </is>
      </c>
      <c r="C282" t="n">
        <v>0</v>
      </c>
      <c r="D282" t="n">
        <v>0</v>
      </c>
      <c r="E282" t="n">
        <v>0</v>
      </c>
      <c r="F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Stock</t>
        </is>
      </c>
      <c r="B283" t="inlineStr">
        <is>
          <t>Cows: 10 remain from the previous year.</t>
        </is>
      </c>
      <c r="C283" t="n">
        <v>0</v>
      </c>
      <c r="D283" t="n">
        <v>0</v>
      </c>
      <c r="E283" t="n">
        <v>0</v>
      </c>
      <c r="F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Stock</t>
        </is>
      </c>
      <c r="B284" t="inlineStr">
        <is>
          <t>1 added from steers.</t>
        </is>
      </c>
      <c r="C284" t="n">
        <v>0</v>
      </c>
      <c r="D284" t="n">
        <v>0</v>
      </c>
      <c r="E284" t="n">
        <v>0</v>
      </c>
      <c r="F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Stock</t>
        </is>
      </c>
      <c r="B285" t="inlineStr">
        <is>
          <t>7 bought, 5 of them before calving.</t>
        </is>
      </c>
      <c r="C285" t="n">
        <v>0</v>
      </c>
      <c r="D285" t="n">
        <v>0</v>
      </c>
      <c r="E285" t="n">
        <v>0</v>
      </c>
      <c r="F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Stock</t>
        </is>
      </c>
      <c r="B286" t="inlineStr">
        <is>
          <t>Total, 18. All remain.</t>
        </is>
      </c>
      <c r="C286" t="n">
        <v>0</v>
      </c>
      <c r="D286" t="n">
        <v>0</v>
      </c>
      <c r="E286" t="n">
        <v>0</v>
      </c>
      <c r="F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Stock</t>
        </is>
      </c>
      <c r="B287" t="inlineStr">
        <is>
          <t>Steers: 1 remains from the previous year's bullocks.</t>
        </is>
      </c>
      <c r="C287" t="n">
        <v>0</v>
      </c>
      <c r="D287" t="n">
        <v>0</v>
      </c>
      <c r="E287" t="n">
        <v>0</v>
      </c>
      <c r="F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Stock</t>
        </is>
      </c>
      <c r="B288" t="inlineStr">
        <is>
          <t>1 added to cows.</t>
        </is>
      </c>
      <c r="C288" t="n">
        <v>0</v>
      </c>
      <c r="D288" t="n">
        <v>0</v>
      </c>
      <c r="E288" t="n">
        <v>0</v>
      </c>
      <c r="F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Stock</t>
        </is>
      </c>
      <c r="B289" t="inlineStr">
        <is>
          <t>none remain.</t>
        </is>
      </c>
      <c r="C289" t="n">
        <v>0</v>
      </c>
      <c r="D289" t="n">
        <v>0</v>
      </c>
      <c r="E289" t="n">
        <v>0</v>
      </c>
      <c r="F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Stock</t>
        </is>
      </c>
      <c r="B290" t="inlineStr">
        <is>
          <t>Bullocks: 5 remain from the previous year's yearlings.</t>
        </is>
      </c>
      <c r="C290" t="n">
        <v>0</v>
      </c>
      <c r="D290" t="n">
        <v>0</v>
      </c>
      <c r="E290" t="n">
        <v>0</v>
      </c>
      <c r="F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Stock</t>
        </is>
      </c>
      <c r="B291" t="inlineStr">
        <is>
          <t>all remain, all of them male.</t>
        </is>
      </c>
      <c r="C291" t="n">
        <v>0</v>
      </c>
      <c r="D291" t="n">
        <v>0</v>
      </c>
      <c r="E291" t="n">
        <v>0</v>
      </c>
      <c r="F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Stock</t>
        </is>
      </c>
      <c r="B292" t="inlineStr">
        <is>
          <t>Yearlings: 5 remain from the previous year's calves.</t>
        </is>
      </c>
      <c r="C292" t="n">
        <v>0</v>
      </c>
      <c r="D292" t="n">
        <v>0</v>
      </c>
      <c r="E292" t="n">
        <v>0</v>
      </c>
      <c r="F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Stock</t>
        </is>
      </c>
      <c r="B293" t="inlineStr">
        <is>
          <t>2 in murrain.</t>
        </is>
      </c>
      <c r="C293" t="n">
        <v>0</v>
      </c>
      <c r="D293" t="n">
        <v>0</v>
      </c>
      <c r="E293" t="n">
        <v>0</v>
      </c>
      <c r="F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Stock</t>
        </is>
      </c>
      <c r="B294" t="inlineStr">
        <is>
          <t>3 males remain.</t>
        </is>
      </c>
      <c r="C294" t="n">
        <v>0</v>
      </c>
      <c r="D294" t="n">
        <v>0</v>
      </c>
      <c r="E294" t="n">
        <v>0</v>
      </c>
      <c r="F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Stock</t>
        </is>
      </c>
      <c r="B295" t="inlineStr">
        <is>
          <t>Calves: 15 from the offspring of the said cows this year because 1 was sterile. 1 in tithe.</t>
        </is>
      </c>
      <c r="C295" t="n">
        <v>0</v>
      </c>
      <c r="D295" t="n">
        <v>0</v>
      </c>
      <c r="E295" t="n">
        <v>0</v>
      </c>
      <c r="F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Stock</t>
        </is>
      </c>
      <c r="B296" t="inlineStr">
        <is>
          <t>1 in murrain.</t>
        </is>
      </c>
      <c r="C296" t="n">
        <v>0</v>
      </c>
      <c r="D296" t="n">
        <v>0</v>
      </c>
      <c r="E296" t="n">
        <v>0</v>
      </c>
      <c r="F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Stock</t>
        </is>
      </c>
      <c r="B297" t="inlineStr">
        <is>
          <t>6 sold Total, 8. 7 remain, 5 of them male.</t>
        </is>
      </c>
      <c r="C297" t="n">
        <v>0</v>
      </c>
      <c r="D297" t="n">
        <v>0</v>
      </c>
      <c r="E297" t="n">
        <v>0</v>
      </c>
      <c r="F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Stock</t>
        </is>
      </c>
      <c r="B298" t="inlineStr">
        <is>
          <t>Wethers: 277 remain from the previous year.</t>
        </is>
      </c>
      <c r="C298" t="n">
        <v>0</v>
      </c>
      <c r="D298" t="n">
        <v>0</v>
      </c>
      <c r="E298" t="n">
        <v>0</v>
      </c>
      <c r="F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Stock</t>
        </is>
      </c>
      <c r="B299" t="inlineStr">
        <is>
          <t>1 bought before shearing.</t>
        </is>
      </c>
      <c r="C299" t="n">
        <v>0</v>
      </c>
      <c r="D299" t="n">
        <v>0</v>
      </c>
      <c r="E299" t="n">
        <v>0</v>
      </c>
      <c r="F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Stock</t>
        </is>
      </c>
      <c r="B300" t="inlineStr">
        <is>
          <t>Total, 278. 17 sold at Martinmas.</t>
        </is>
      </c>
      <c r="C300" t="n">
        <v>0</v>
      </c>
      <c r="D300" t="n">
        <v>0</v>
      </c>
      <c r="E300" t="n">
        <v>0</v>
      </c>
      <c r="F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Stock</t>
        </is>
      </c>
      <c r="B301" t="inlineStr">
        <is>
          <t>4 in murrain before shearing, 17 after shearing.</t>
        </is>
      </c>
      <c r="C301" t="n">
        <v>0</v>
      </c>
      <c r="D301" t="n">
        <v>0</v>
      </c>
      <c r="E301" t="n">
        <v>0</v>
      </c>
      <c r="F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Stock</t>
        </is>
      </c>
      <c r="B302" t="inlineStr">
        <is>
          <t>Total, 38. 240 remain.</t>
        </is>
      </c>
      <c r="C302" t="n">
        <v>0</v>
      </c>
      <c r="D302" t="n">
        <v>0</v>
      </c>
      <c r="E302" t="n">
        <v>0</v>
      </c>
      <c r="F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Stock</t>
        </is>
      </c>
      <c r="B303" t="inlineStr">
        <is>
          <t>Sows: 1 remains from the previous year.</t>
        </is>
      </c>
      <c r="C303" t="n">
        <v>0</v>
      </c>
      <c r="D303" t="n">
        <v>0</v>
      </c>
      <c r="E303" t="n">
        <v>0</v>
      </c>
      <c r="F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Stock</t>
        </is>
      </c>
      <c r="B304" t="inlineStr">
        <is>
          <t>1 remains.</t>
        </is>
      </c>
      <c r="C304" t="n">
        <v>0</v>
      </c>
      <c r="D304" t="n">
        <v>0</v>
      </c>
      <c r="E304" t="n">
        <v>0</v>
      </c>
      <c r="F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Stock</t>
        </is>
      </c>
      <c r="B305" t="inlineStr">
        <is>
          <t>Pigs: 6 remain from the previous year.</t>
        </is>
      </c>
      <c r="C305" t="n">
        <v>0</v>
      </c>
      <c r="D305" t="n">
        <v>0</v>
      </c>
      <c r="E305" t="n">
        <v>0</v>
      </c>
      <c r="F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Stock</t>
        </is>
      </c>
      <c r="B306" t="inlineStr">
        <is>
          <t>4 sold.</t>
        </is>
      </c>
      <c r="C306" t="n">
        <v>0</v>
      </c>
      <c r="D306" t="n">
        <v>0</v>
      </c>
      <c r="E306" t="n">
        <v>0</v>
      </c>
      <c r="F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Stock</t>
        </is>
      </c>
      <c r="B307" t="inlineStr">
        <is>
          <t>2 remain, 1 of them a boar.</t>
        </is>
      </c>
      <c r="C307" t="n">
        <v>0</v>
      </c>
      <c r="D307" t="n">
        <v>0</v>
      </c>
      <c r="E307" t="n">
        <v>0</v>
      </c>
      <c r="F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Stock</t>
        </is>
      </c>
      <c r="B308" t="inlineStr">
        <is>
          <t>Hoggets: 1 remains from the previous year's piglets.</t>
        </is>
      </c>
      <c r="C308" t="n">
        <v>0</v>
      </c>
      <c r="D308" t="n">
        <v>0</v>
      </c>
      <c r="E308" t="n">
        <v>0</v>
      </c>
      <c r="F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Stock</t>
        </is>
      </c>
      <c r="B309" t="inlineStr">
        <is>
          <t>1 in murrain.</t>
        </is>
      </c>
      <c r="C309" t="n">
        <v>0</v>
      </c>
      <c r="D309" t="n">
        <v>0</v>
      </c>
      <c r="E309" t="n">
        <v>0</v>
      </c>
      <c r="F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Stock</t>
        </is>
      </c>
      <c r="B310" t="inlineStr">
        <is>
          <t>none remain.</t>
        </is>
      </c>
      <c r="C310" t="n">
        <v>0</v>
      </c>
      <c r="D310" t="n">
        <v>0</v>
      </c>
      <c r="E310" t="n">
        <v>0</v>
      </c>
      <c r="F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Stock</t>
        </is>
      </c>
      <c r="B311" t="inlineStr">
        <is>
          <t>Piglets: 8 from the offspring of the said sow this year.</t>
        </is>
      </c>
      <c r="C311" t="n">
        <v>0</v>
      </c>
      <c r="D311" t="n">
        <v>0</v>
      </c>
      <c r="E311" t="n">
        <v>0</v>
      </c>
      <c r="F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Stock</t>
        </is>
      </c>
      <c r="B312" t="inlineStr">
        <is>
          <t>8 remain.</t>
        </is>
      </c>
      <c r="C312" t="n">
        <v>0</v>
      </c>
      <c r="D312" t="n">
        <v>0</v>
      </c>
      <c r="E312" t="n">
        <v>0</v>
      </c>
      <c r="F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Stock</t>
        </is>
      </c>
      <c r="B313" t="inlineStr">
        <is>
          <t>Hens: 195 from churchscot this year. 4 in quittance of 1 reeve.</t>
        </is>
      </c>
      <c r="C313" t="n">
        <v>0</v>
      </c>
      <c r="D313" t="n">
        <v>0</v>
      </c>
      <c r="E313" t="n">
        <v>0</v>
      </c>
      <c r="F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Stock</t>
        </is>
      </c>
      <c r="B314" t="inlineStr">
        <is>
          <t>4 in default of the land of Vyel.</t>
        </is>
      </c>
      <c r="C314" t="n">
        <v>0</v>
      </c>
      <c r="D314" t="n">
        <v>0</v>
      </c>
      <c r="E314" t="n">
        <v>0</v>
      </c>
      <c r="F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Stock</t>
        </is>
      </c>
      <c r="B315" t="inlineStr">
        <is>
          <t>2 in default of the land of Gunilda le Gardenir because a widow.</t>
        </is>
      </c>
      <c r="C315" t="n">
        <v>0</v>
      </c>
      <c r="D315" t="n">
        <v>0</v>
      </c>
      <c r="E315" t="n">
        <v>0</v>
      </c>
      <c r="F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Stock</t>
        </is>
      </c>
      <c r="B316" t="inlineStr">
        <is>
          <t>2 in default of the land of Agnes Hevedman because a widow.</t>
        </is>
      </c>
      <c r="C316" t="n">
        <v>0</v>
      </c>
      <c r="D316" t="n">
        <v>0</v>
      </c>
      <c r="E316" t="n">
        <v>0</v>
      </c>
      <c r="F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Stock</t>
        </is>
      </c>
      <c r="B317" t="inlineStr">
        <is>
          <t>2 in default of the land of Lucy le Whyte because a widow.</t>
        </is>
      </c>
      <c r="C317" t="n">
        <v>0</v>
      </c>
      <c r="D317" t="n">
        <v>0</v>
      </c>
      <c r="E317" t="n">
        <v>0</v>
      </c>
      <c r="F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Stock</t>
        </is>
      </c>
      <c r="B318" t="inlineStr">
        <is>
          <t>2 in default of the land of Herbert Hevedman because he has no wife.</t>
        </is>
      </c>
      <c r="C318" t="n">
        <v>0</v>
      </c>
      <c r="D318" t="n">
        <v>0</v>
      </c>
      <c r="E318" t="n">
        <v>0</v>
      </c>
      <c r="F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Stock</t>
        </is>
      </c>
      <c r="B319" t="inlineStr">
        <is>
          <t>2 in default of the land of le Prute because a widower.</t>
        </is>
      </c>
      <c r="C319" t="n">
        <v>0</v>
      </c>
      <c r="D319" t="n">
        <v>0</v>
      </c>
      <c r="E319" t="n">
        <v>0</v>
      </c>
      <c r="F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Stock</t>
        </is>
      </c>
      <c r="B320" t="inlineStr">
        <is>
          <t>2 in default of the land of Augustine Seman because a widower.</t>
        </is>
      </c>
      <c r="C320" t="n">
        <v>0</v>
      </c>
      <c r="D320" t="n">
        <v>0</v>
      </c>
      <c r="E320" t="n">
        <v>0</v>
      </c>
      <c r="F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Stock</t>
        </is>
      </c>
      <c r="B321" t="inlineStr">
        <is>
          <t>2 in default of the land of Walter Schiphurd' because a widower.</t>
        </is>
      </c>
      <c r="C321" t="n">
        <v>0</v>
      </c>
      <c r="D321" t="n">
        <v>0</v>
      </c>
      <c r="E321" t="n">
        <v>0</v>
      </c>
      <c r="F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Stock</t>
        </is>
      </c>
      <c r="B322" t="inlineStr">
        <is>
          <t>2 in default of the land of Walter le Havekar' because a widower.</t>
        </is>
      </c>
      <c r="C322" t="n">
        <v>0</v>
      </c>
      <c r="D322" t="n">
        <v>0</v>
      </c>
      <c r="E322" t="n">
        <v>0</v>
      </c>
      <c r="F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Stock</t>
        </is>
      </c>
      <c r="B323" t="inlineStr">
        <is>
          <t>2 in default of Roger Westsyd' because a widower.</t>
        </is>
      </c>
      <c r="C323" t="n">
        <v>0</v>
      </c>
      <c r="D323" t="n">
        <v>0</v>
      </c>
      <c r="E323" t="n">
        <v>0</v>
      </c>
      <c r="F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Stock</t>
        </is>
      </c>
      <c r="B324" t="inlineStr">
        <is>
          <t>2 in default of the land of Michael le Crokker' because he has no wife.</t>
        </is>
      </c>
      <c r="C324" t="n">
        <v>0</v>
      </c>
      <c r="D324" t="n">
        <v>0</v>
      </c>
      <c r="E324" t="n">
        <v>0</v>
      </c>
      <c r="F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Stock</t>
        </is>
      </c>
      <c r="B325" t="inlineStr">
        <is>
          <t>2 in default of the land of Cukk' because a widower.</t>
        </is>
      </c>
      <c r="C325" t="n">
        <v>0</v>
      </c>
      <c r="D325" t="n">
        <v>0</v>
      </c>
      <c r="E325" t="n">
        <v>0</v>
      </c>
      <c r="F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Stock</t>
        </is>
      </c>
      <c r="B326" t="inlineStr">
        <is>
          <t>2 in default of the land of Wysdon because a widower.</t>
        </is>
      </c>
      <c r="C326" t="n">
        <v>0</v>
      </c>
      <c r="D326" t="n">
        <v>0</v>
      </c>
      <c r="E326" t="n">
        <v>0</v>
      </c>
      <c r="F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Stock</t>
        </is>
      </c>
      <c r="B327" t="inlineStr">
        <is>
          <t>2 in default of the land of John Ace because he has no wife.</t>
        </is>
      </c>
      <c r="C327" t="n">
        <v>0</v>
      </c>
      <c r="D327" t="n">
        <v>0</v>
      </c>
      <c r="E327" t="n">
        <v>0</v>
      </c>
      <c r="F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Stock</t>
        </is>
      </c>
      <c r="B328" t="inlineStr">
        <is>
          <t>2 in default of the land of William le Prute because he has no wife.</t>
        </is>
      </c>
      <c r="C328" t="n">
        <v>0</v>
      </c>
      <c r="D328" t="n">
        <v>0</v>
      </c>
      <c r="E328" t="n">
        <v>0</v>
      </c>
      <c r="F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Stock</t>
        </is>
      </c>
      <c r="B329" t="inlineStr">
        <is>
          <t>2 in default of the land of Richard Edrad because a widower.</t>
        </is>
      </c>
      <c r="C329" t="n">
        <v>0</v>
      </c>
      <c r="D329" t="n">
        <v>0</v>
      </c>
      <c r="E329" t="n">
        <v>0</v>
      </c>
      <c r="F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Stock</t>
        </is>
      </c>
      <c r="B330" t="inlineStr">
        <is>
          <t>2 in default of the land of Roger ate Clyve because a widower.</t>
        </is>
      </c>
      <c r="C330" t="n">
        <v>0</v>
      </c>
      <c r="D330" t="n">
        <v>0</v>
      </c>
      <c r="E330" t="n">
        <v>0</v>
      </c>
      <c r="F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Stock</t>
        </is>
      </c>
      <c r="B331" t="inlineStr">
        <is>
          <t>Total, 40. 155 solpence</t>
        </is>
      </c>
      <c r="C331" t="n">
        <v>0</v>
      </c>
      <c r="D331" t="n">
        <v>0</v>
      </c>
      <c r="E331" t="n">
        <v>0</v>
      </c>
      <c r="F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Stock</t>
        </is>
      </c>
      <c r="B332" t="inlineStr">
        <is>
          <t>Coarse wool: {yield of fleece 3.5pence less 1 shilling 8pence in all): 257 fleeces produced at the shearing of wethers this year.</t>
        </is>
      </c>
      <c r="C332" t="n">
        <v>0.06</v>
      </c>
      <c r="D332" t="n">
        <v>0</v>
      </c>
      <c r="E332" t="n">
        <v>1</v>
      </c>
      <c r="F332" t="n">
        <v>3.5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Stock</t>
        </is>
      </c>
      <c r="B333" t="inlineStr">
        <is>
          <t>26 in tithe.</t>
        </is>
      </c>
      <c r="C333" t="n">
        <v>0</v>
      </c>
      <c r="D333" t="n">
        <v>0</v>
      </c>
      <c r="E333" t="n">
        <v>0</v>
      </c>
      <c r="F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Stock</t>
        </is>
      </c>
      <c r="B334" t="inlineStr">
        <is>
          <t>231 sent to Wolvesey, which made 1 wey 8 cloves.</t>
        </is>
      </c>
      <c r="C334" t="n">
        <v>0</v>
      </c>
      <c r="D334" t="n">
        <v>0</v>
      </c>
      <c r="E334" t="n">
        <v>0</v>
      </c>
      <c r="F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Stock</t>
        </is>
      </c>
      <c r="B335" t="inlineStr">
        <is>
          <t>Hides: 1 from a cart-horse, 1 from a plough-horse, 1 from an ox, 2 from yearlings.</t>
        </is>
      </c>
      <c r="C335" t="n">
        <v>0</v>
      </c>
      <c r="D335" t="n">
        <v>0</v>
      </c>
      <c r="E335" t="n">
        <v>0</v>
      </c>
      <c r="F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Stock</t>
        </is>
      </c>
      <c r="B336" t="inlineStr">
        <is>
          <t>all solpence</t>
        </is>
      </c>
      <c r="C336" t="n">
        <v>0</v>
      </c>
      <c r="D336" t="n">
        <v>0</v>
      </c>
      <c r="E336" t="n">
        <v>0</v>
      </c>
      <c r="F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Stock</t>
        </is>
      </c>
      <c r="B337" t="inlineStr">
        <is>
          <t>Woolskins: 4 from wethers in murrain before shearing.</t>
        </is>
      </c>
      <c r="C337" t="n">
        <v>0</v>
      </c>
      <c r="D337" t="n">
        <v>0</v>
      </c>
      <c r="E337" t="n">
        <v>0</v>
      </c>
      <c r="F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Stock</t>
        </is>
      </c>
      <c r="B338" t="inlineStr">
        <is>
          <t>all solpence</t>
        </is>
      </c>
      <c r="C338" t="n">
        <v>0</v>
      </c>
      <c r="D338" t="n">
        <v>0</v>
      </c>
      <c r="E338" t="n">
        <v>0</v>
      </c>
      <c r="F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Stock</t>
        </is>
      </c>
      <c r="B339" t="inlineStr">
        <is>
          <t>Bare skins: 17 from wethers in murrain after shearing.</t>
        </is>
      </c>
      <c r="C339" t="n">
        <v>0</v>
      </c>
      <c r="D339" t="n">
        <v>0</v>
      </c>
      <c r="E339" t="n">
        <v>0</v>
      </c>
      <c r="F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Stock</t>
        </is>
      </c>
      <c r="B340" t="inlineStr">
        <is>
          <t>all solpence</t>
        </is>
      </c>
      <c r="C340" t="n">
        <v>0</v>
      </c>
      <c r="D340" t="n">
        <v>0</v>
      </c>
      <c r="E340" t="n">
        <v>0</v>
      </c>
      <c r="F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Stock</t>
        </is>
      </c>
      <c r="B341" t="inlineStr">
        <is>
          <t>Winter cheese: 33 made.</t>
        </is>
      </c>
      <c r="C341" t="n">
        <v>0</v>
      </c>
      <c r="D341" t="n">
        <v>0</v>
      </c>
      <c r="E341" t="n">
        <v>0</v>
      </c>
      <c r="F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Stock</t>
        </is>
      </c>
      <c r="B342" t="inlineStr">
        <is>
          <t>all solpence</t>
        </is>
      </c>
      <c r="C342" t="n">
        <v>0</v>
      </c>
      <c r="D342" t="n">
        <v>0</v>
      </c>
      <c r="E342" t="n">
        <v>0</v>
      </c>
      <c r="F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Stock</t>
        </is>
      </c>
      <c r="B343" t="inlineStr">
        <is>
          <t>Summer cheese: {yield of cow 3 shilling, because 7 cows bought at the feast of St Barnabas (11 June) were accounted as 4}: 137 cheeses made between Monday before the feast of St Dunstan (14 May) and Michaelmas (29 September), both days included.</t>
        </is>
      </c>
      <c r="C343" t="n">
        <v>0.15</v>
      </c>
      <c r="D343" t="n">
        <v>0</v>
      </c>
      <c r="E343" t="n">
        <v>3</v>
      </c>
      <c r="F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Stock</t>
        </is>
      </c>
      <c r="B344" t="inlineStr">
        <is>
          <t>13 in tithe.</t>
        </is>
      </c>
      <c r="C344" t="n">
        <v>0</v>
      </c>
      <c r="D344" t="n">
        <v>0</v>
      </c>
      <c r="E344" t="n">
        <v>0</v>
      </c>
      <c r="F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Stock</t>
        </is>
      </c>
      <c r="B345" t="inlineStr">
        <is>
          <t>124 sold, which made 4 weys 7 cloves.</t>
        </is>
      </c>
      <c r="C345" t="n">
        <v>0</v>
      </c>
      <c r="D345" t="n">
        <v>0</v>
      </c>
      <c r="E345" t="n">
        <v>0</v>
      </c>
      <c r="F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Stock</t>
        </is>
      </c>
      <c r="B346" t="inlineStr">
        <is>
          <t>Butter: 6 cloves made this year.</t>
        </is>
      </c>
      <c r="C346" t="n">
        <v>0</v>
      </c>
      <c r="D346" t="n">
        <v>0</v>
      </c>
      <c r="E346" t="n">
        <v>0</v>
      </c>
      <c r="F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Stock</t>
        </is>
      </c>
      <c r="B347" t="inlineStr">
        <is>
          <t>all solpence</t>
        </is>
      </c>
      <c r="C347" t="n">
        <v>0</v>
      </c>
      <c r="D347" t="n">
        <v>0</v>
      </c>
      <c r="E347" t="n">
        <v>0</v>
      </c>
      <c r="F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Stock</t>
        </is>
      </c>
      <c r="B348" t="inlineStr">
        <is>
          <t>Salmon: 55 from the fish-trap (hiltra') this year.</t>
        </is>
      </c>
      <c r="C348" t="n">
        <v>0</v>
      </c>
      <c r="D348" t="n">
        <v>0</v>
      </c>
      <c r="E348" t="n">
        <v>0</v>
      </c>
      <c r="F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Stock</t>
        </is>
      </c>
      <c r="B349" t="inlineStr">
        <is>
          <t>2 sent to the queen when she was in Winchester about the Invention of the Cross (3 May).</t>
        </is>
      </c>
      <c r="C349" t="n">
        <v>0</v>
      </c>
      <c r="D349" t="n">
        <v>0</v>
      </c>
      <c r="E349" t="n">
        <v>0</v>
      </c>
      <c r="F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Stock</t>
        </is>
      </c>
      <c r="B350" t="inlineStr">
        <is>
          <t>53 sold, 19 of them before Easter.</t>
        </is>
      </c>
      <c r="C350" t="n">
        <v>0</v>
      </c>
      <c r="D350" t="n">
        <v>0</v>
      </c>
      <c r="E350" t="n">
        <v>0</v>
      </c>
      <c r="F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Stock</t>
        </is>
      </c>
      <c r="B351" t="inlineStr">
        <is>
          <t>Utensils: 2 brass pots with 1 posnet, 2 ewers with 2 basins, 2 pans, 2 tubs and 1 tine remain from the previous year.</t>
        </is>
      </c>
      <c r="C351" t="n">
        <v>0</v>
      </c>
      <c r="D351" t="n">
        <v>0</v>
      </c>
      <c r="E351" t="n">
        <v>0</v>
      </c>
      <c r="F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Stock</t>
        </is>
      </c>
      <c r="B352" t="inlineStr">
        <is>
          <t>all this remains.</t>
        </is>
      </c>
      <c r="C352" t="n">
        <v>0</v>
      </c>
      <c r="D352" t="n">
        <v>0</v>
      </c>
      <c r="E352" t="n">
        <v>0</v>
      </c>
      <c r="F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Stock</t>
        </is>
      </c>
      <c r="B353" t="inlineStr">
        <is>
          <t>Carts: 2 carts with iron tyres and one wain with equipment remain from the previous year.</t>
        </is>
      </c>
      <c r="C353" t="n">
        <v>0</v>
      </c>
      <c r="D353" t="n">
        <v>0</v>
      </c>
      <c r="E353" t="n">
        <v>0</v>
      </c>
      <c r="F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Stock</t>
        </is>
      </c>
      <c r="B354" t="inlineStr">
        <is>
          <t>they remain, of which 1 cart is worn out. pavymor': 5 shilling from Pavymor.</t>
        </is>
      </c>
      <c r="C354" t="n">
        <v>0.25</v>
      </c>
      <c r="D354" t="n">
        <v>0</v>
      </c>
      <c r="E354" t="n">
        <v>5</v>
      </c>
      <c r="F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Stock</t>
        </is>
      </c>
      <c r="B355" t="inlineStr">
        <is>
          <t>all delivered to Sir Geoffrey, treasurer of Wolvesey, by 1 tally, and he is quit.</t>
        </is>
      </c>
      <c r="C355" t="n">
        <v>0</v>
      </c>
      <c r="D355" t="n">
        <v>0</v>
      </c>
      <c r="E355" t="n">
        <v>0</v>
      </c>
      <c r="F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Stock</t>
        </is>
      </c>
      <c r="B356" t="inlineStr">
        <is>
          <t>Slates: 17,000 remain from the previous year.</t>
        </is>
      </c>
      <c r="C356" t="n">
        <v>0</v>
      </c>
      <c r="D356" t="n">
        <v>0</v>
      </c>
      <c r="E356" t="n">
        <v>0</v>
      </c>
      <c r="F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Stock</t>
        </is>
      </c>
      <c r="B357" t="inlineStr">
        <is>
          <t>all usepence</t>
        </is>
      </c>
      <c r="C357" t="n">
        <v>0</v>
      </c>
      <c r="D357" t="n">
        <v>0</v>
      </c>
      <c r="E357" t="n">
        <v>0</v>
      </c>
      <c r="F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Stock</t>
        </is>
      </c>
      <c r="B358" t="inlineStr">
        <is>
          <t>Cider: 6 casks made this year.</t>
        </is>
      </c>
      <c r="C358" t="n">
        <v>0</v>
      </c>
      <c r="D358" t="n">
        <v>0</v>
      </c>
      <c r="E358" t="n">
        <v>0</v>
      </c>
      <c r="F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Stock</t>
        </is>
      </c>
      <c r="B359" t="inlineStr">
        <is>
          <t>they remain.</t>
        </is>
      </c>
      <c r="C359" t="n">
        <v>0</v>
      </c>
      <c r="D359" t="n">
        <v>0</v>
      </c>
      <c r="E359" t="n">
        <v>0</v>
      </c>
      <c r="F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62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  <c r="AI1" s="1" t="inlineStr">
        <is>
          <t>Quarters 4</t>
        </is>
      </c>
      <c r="AJ1" s="1" t="inlineStr">
        <is>
          <t>Bushels 4</t>
        </is>
      </c>
    </row>
    <row r="2">
      <c r="A2" t="inlineStr">
        <is>
          <t>And thus he owes clear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Wheat</t>
        </is>
      </c>
      <c r="B3" t="inlineStr">
        <is>
          <t>{yield: two-fold plus 1 qr 4 bushels)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Wheat</t>
        </is>
      </c>
      <c r="B4" t="inlineStr">
        <is>
          <t>The same render account for 18.5 quarters from the whole issue of wheat by struck measure.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18.5</v>
      </c>
      <c r="U4" t="n">
        <v>0</v>
      </c>
      <c r="V4" t="n">
        <v>18.5</v>
      </c>
      <c r="W4" t="n">
        <v>0</v>
      </c>
      <c r="X4" t="n">
        <v>18.5</v>
      </c>
      <c r="Y4" t="n">
        <v>0</v>
      </c>
      <c r="Z4" t="n">
        <v>18.5</v>
      </c>
      <c r="AA4" t="n">
        <v>18.5</v>
      </c>
      <c r="AB4" t="n">
        <v>0</v>
      </c>
      <c r="AC4" t="n">
        <v>18.5</v>
      </c>
      <c r="AD4" t="n">
        <v>0</v>
      </c>
    </row>
    <row r="5">
      <c r="A5" t="inlineStr">
        <is>
          <t>Wheat</t>
        </is>
      </c>
      <c r="B5" t="inlineStr">
        <is>
          <t>Sown over 68 acres as they lie in Gildewyneslond', 9.5 quarters 1 bushels.</t>
        </is>
      </c>
      <c r="C5" t="n">
        <v>0</v>
      </c>
      <c r="D5" t="n">
        <v>0</v>
      </c>
      <c r="E5" t="n">
        <v>9.5</v>
      </c>
      <c r="F5" t="n">
        <v>1</v>
      </c>
      <c r="G5" t="n">
        <v>9.625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9.5</v>
      </c>
      <c r="Y5" t="n">
        <v>1</v>
      </c>
      <c r="Z5" t="n">
        <v>9.625</v>
      </c>
      <c r="AA5" t="n">
        <v>9.625</v>
      </c>
      <c r="AB5" t="n">
        <v>0</v>
      </c>
      <c r="AC5" t="n">
        <v>9.5</v>
      </c>
      <c r="AD5" t="n">
        <v>1</v>
      </c>
    </row>
    <row r="6">
      <c r="A6" t="inlineStr">
        <is>
          <t>Wheat</t>
        </is>
      </c>
      <c r="B6" t="inlineStr">
        <is>
          <t>that is, 1 bushels an  acre, plus 1 qr 1 bushels in all.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Wheat</t>
        </is>
      </c>
      <c r="B7" t="inlineStr">
        <is>
          <t>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Wheat</t>
        </is>
      </c>
      <c r="B8" t="inlineStr">
        <is>
          <t>provision of the steward for his visits, 1 bushels Sold, 8 quarters 6 bushels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6</v>
      </c>
      <c r="P8" t="n">
        <v>8.75</v>
      </c>
      <c r="Q8" t="n">
        <v>8</v>
      </c>
      <c r="R8" t="n">
        <v>6</v>
      </c>
      <c r="S8" t="n">
        <v>8.75</v>
      </c>
      <c r="T8" t="n">
        <v>0</v>
      </c>
      <c r="U8" t="n">
        <v>0</v>
      </c>
      <c r="V8" t="n">
        <v>0</v>
      </c>
      <c r="W8" t="n">
        <v>0</v>
      </c>
      <c r="X8" t="n">
        <v>8</v>
      </c>
      <c r="Y8" t="n">
        <v>6</v>
      </c>
      <c r="Z8" t="n">
        <v>8.75</v>
      </c>
      <c r="AA8" t="n">
        <v>0.125</v>
      </c>
      <c r="AB8" t="n">
        <v>8.625</v>
      </c>
      <c r="AC8" t="n">
        <v>0</v>
      </c>
      <c r="AD8" t="n">
        <v>1</v>
      </c>
      <c r="AE8" t="n">
        <v>8</v>
      </c>
      <c r="AF8" t="n">
        <v>6</v>
      </c>
    </row>
    <row r="9">
      <c r="A9" t="inlineStr">
        <is>
          <t>Wheat</t>
        </is>
      </c>
      <c r="B9" t="inlineStr">
        <is>
          <t>Total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Curall</t>
        </is>
      </c>
      <c r="B10" t="inlineStr">
        <is>
          <t>The same render account for 8 quarters .5 bushels from the whole issue of curall from the same wheat by struck measure.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8</v>
      </c>
      <c r="W10" t="n">
        <v>0</v>
      </c>
      <c r="X10" t="n">
        <v>8</v>
      </c>
      <c r="Y10" t="n">
        <v>5</v>
      </c>
      <c r="Z10" t="n">
        <v>8.625</v>
      </c>
      <c r="AA10" t="n">
        <v>8</v>
      </c>
      <c r="AB10" t="n">
        <v>0.625</v>
      </c>
      <c r="AC10" t="n">
        <v>8</v>
      </c>
      <c r="AD10" t="n">
        <v>0</v>
      </c>
      <c r="AE10" t="n">
        <v>0</v>
      </c>
      <c r="AF10" t="n">
        <v>5</v>
      </c>
    </row>
    <row r="11">
      <c r="A11" t="inlineStr">
        <is>
          <t>Curall</t>
        </is>
      </c>
      <c r="B11" t="inlineStr">
        <is>
          <t>Mixed with barley for the liveries of the manorial servants, 3 quarters 1 bushels.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1</v>
      </c>
      <c r="P11" t="n">
        <v>3.125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1</v>
      </c>
      <c r="Z11" t="n">
        <v>3.125</v>
      </c>
      <c r="AA11" t="n">
        <v>3.125</v>
      </c>
      <c r="AB11" t="n">
        <v>0</v>
      </c>
      <c r="AC11" t="n">
        <v>3</v>
      </c>
      <c r="AD11" t="n">
        <v>1</v>
      </c>
    </row>
    <row r="12">
      <c r="A12" t="inlineStr">
        <is>
          <t>Curall</t>
        </is>
      </c>
      <c r="B12" t="inlineStr">
        <is>
          <t>supporting pigs, 1 qr 1 bushels Sold, 1 qr 2 bushels Total, 5.5 quarters.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5.5</v>
      </c>
      <c r="R12" t="n">
        <v>0</v>
      </c>
      <c r="S12" t="n">
        <v>5.5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Curall</t>
        </is>
      </c>
      <c r="B13" t="inlineStr">
        <is>
          <t>And 2.5 quarters .5 bushels remain in the granary.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2.5</v>
      </c>
      <c r="Y13" t="n">
        <v>5</v>
      </c>
      <c r="Z13" t="n">
        <v>3.125</v>
      </c>
      <c r="AA13" t="n">
        <v>2.5</v>
      </c>
      <c r="AB13" t="n">
        <v>0.625</v>
      </c>
      <c r="AC13" t="n">
        <v>2.5</v>
      </c>
      <c r="AD13" t="n">
        <v>0</v>
      </c>
      <c r="AE13" t="n">
        <v>0</v>
      </c>
      <c r="AF13" t="n">
        <v>5</v>
      </c>
    </row>
    <row r="14">
      <c r="A14" t="inlineStr">
        <is>
          <t>Curall</t>
        </is>
      </c>
      <c r="B14" t="inlineStr">
        <is>
          <t>Total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Rye</t>
        </is>
      </c>
      <c r="B15" t="inlineStr">
        <is>
          <t>{yield: two-and-a-half-fold plus .51}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Rye</t>
        </is>
      </c>
      <c r="B16" t="inlineStr">
        <is>
          <t>The same render account for 3.5 quarters from the whole issue of rye by struck measure.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3.5</v>
      </c>
      <c r="U16" t="n">
        <v>0</v>
      </c>
      <c r="V16" t="n">
        <v>3.5</v>
      </c>
      <c r="W16" t="n">
        <v>0</v>
      </c>
      <c r="X16" t="n">
        <v>3.5</v>
      </c>
      <c r="Y16" t="n">
        <v>0</v>
      </c>
      <c r="Z16" t="n">
        <v>3.5</v>
      </c>
      <c r="AA16" t="n">
        <v>3.5</v>
      </c>
      <c r="AB16" t="n">
        <v>0</v>
      </c>
      <c r="AC16" t="n">
        <v>3.5</v>
      </c>
      <c r="AD16" t="n">
        <v>0</v>
      </c>
    </row>
    <row r="17">
      <c r="A17" t="inlineStr">
        <is>
          <t>Rye</t>
        </is>
      </c>
      <c r="B17" t="inlineStr">
        <is>
          <t>Sown over 12 acres as they lie in Westbynne, 1 qr 6 bushels.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Rye</t>
        </is>
      </c>
      <c r="B18" t="inlineStr">
        <is>
          <t>that is, 1 bushels an acre, plus 2 bushels in all.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0.25</v>
      </c>
      <c r="AA18" t="n">
        <v>0.125</v>
      </c>
      <c r="AB18" t="n">
        <v>0.125</v>
      </c>
      <c r="AC18" t="n">
        <v>0</v>
      </c>
      <c r="AD18" t="n">
        <v>1</v>
      </c>
      <c r="AE18" t="n">
        <v>0</v>
      </c>
      <c r="AF18" t="n">
        <v>2</v>
      </c>
    </row>
    <row r="19">
      <c r="A19" t="inlineStr">
        <is>
          <t>Rye</t>
        </is>
      </c>
      <c r="B19" t="inlineStr">
        <is>
          <t>Mixed with barley for the liveries of the manorial servants, 1 qr 6 bushels It balances.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Rye</t>
        </is>
      </c>
      <c r="B20" t="inlineStr">
        <is>
          <t>Total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Barley</t>
        </is>
      </c>
      <c r="B21" t="inlineStr">
        <is>
          <t>{yield: two-and-a-half-fold plus 2 quarters}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2</v>
      </c>
      <c r="AA21" t="n">
        <v>2</v>
      </c>
      <c r="AB21" t="n">
        <v>0</v>
      </c>
      <c r="AC21" t="n">
        <v>2</v>
      </c>
      <c r="AD21" t="n">
        <v>0</v>
      </c>
    </row>
    <row r="22">
      <c r="A22" t="inlineStr">
        <is>
          <t>Barley</t>
        </is>
      </c>
      <c r="B22" t="inlineStr">
        <is>
          <t>The same render account for 39 quarters 1 bushels from the whole issue of barley by struck measure.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</v>
      </c>
      <c r="U22" t="n">
        <v>1</v>
      </c>
      <c r="V22" t="n">
        <v>39.125</v>
      </c>
      <c r="W22" t="n">
        <v>0</v>
      </c>
      <c r="X22" t="n">
        <v>39</v>
      </c>
      <c r="Y22" t="n">
        <v>1</v>
      </c>
      <c r="Z22" t="n">
        <v>39.125</v>
      </c>
      <c r="AA22" t="n">
        <v>39.125</v>
      </c>
      <c r="AB22" t="n">
        <v>0</v>
      </c>
      <c r="AC22" t="n">
        <v>39</v>
      </c>
      <c r="AD22" t="n">
        <v>1</v>
      </c>
    </row>
    <row r="23">
      <c r="A23" t="inlineStr">
        <is>
          <t>Barley</t>
        </is>
      </c>
      <c r="B23" t="inlineStr">
        <is>
          <t>3 quarters 1 bushels received from curall and mixed with barley for the liveries of the manorial servants.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1</v>
      </c>
      <c r="P23" t="n">
        <v>3.125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1</v>
      </c>
      <c r="Z23" t="n">
        <v>3.125</v>
      </c>
      <c r="AA23" t="n">
        <v>3.125</v>
      </c>
      <c r="AB23" t="n">
        <v>0</v>
      </c>
      <c r="AC23" t="n">
        <v>3</v>
      </c>
      <c r="AD23" t="n">
        <v>1</v>
      </c>
    </row>
    <row r="24">
      <c r="A24" t="inlineStr">
        <is>
          <t>Barley</t>
        </is>
      </c>
      <c r="B24" t="inlineStr">
        <is>
          <t>1 qr 6 bushels received from rye.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Barley</t>
        </is>
      </c>
      <c r="B25" t="inlineStr">
        <is>
          <t>4 quarters 2 bushels received from peas.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2</v>
      </c>
      <c r="Z25" t="n">
        <v>4.25</v>
      </c>
      <c r="AA25" t="n">
        <v>4.25</v>
      </c>
      <c r="AB25" t="n">
        <v>0</v>
      </c>
      <c r="AC25" t="n">
        <v>4</v>
      </c>
      <c r="AD25" t="n">
        <v>2</v>
      </c>
    </row>
    <row r="26">
      <c r="A26" t="inlineStr">
        <is>
          <t>Barley</t>
        </is>
      </c>
      <c r="B26" t="inlineStr">
        <is>
          <t>1 qr 1 bushels received from vetches and mixed for the same.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Barley</t>
        </is>
      </c>
      <c r="B27" t="inlineStr">
        <is>
          <t>Total, 49 quarters 3 bushels Sown over 75 acres as they lie in Bathardefeld', 14 quarters 2 bushels.</t>
        </is>
      </c>
      <c r="C27" t="n">
        <v>0</v>
      </c>
      <c r="D27" t="n">
        <v>0</v>
      </c>
      <c r="E27" t="n">
        <v>63</v>
      </c>
      <c r="F27" t="n">
        <v>5</v>
      </c>
      <c r="G27" t="n">
        <v>63.625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</v>
      </c>
      <c r="Y27" t="n">
        <v>2</v>
      </c>
      <c r="Z27" t="n">
        <v>14.25</v>
      </c>
      <c r="AA27" t="n">
        <v>49.375</v>
      </c>
      <c r="AB27" t="n">
        <v>-35.125</v>
      </c>
      <c r="AC27" t="n">
        <v>49</v>
      </c>
      <c r="AD27" t="n">
        <v>3</v>
      </c>
      <c r="AE27" t="n">
        <v>14</v>
      </c>
      <c r="AF27" t="n">
        <v>2</v>
      </c>
    </row>
    <row r="28">
      <c r="A28" t="inlineStr">
        <is>
          <t>Barley</t>
        </is>
      </c>
      <c r="B28" t="inlineStr">
        <is>
          <t>that is, 1.5 bushels an acre, less 1.5 bushels in all.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</v>
      </c>
      <c r="Z28" t="n">
        <v>0.1875</v>
      </c>
      <c r="AA28" t="n">
        <v>0.1875</v>
      </c>
      <c r="AB28" t="n">
        <v>0</v>
      </c>
      <c r="AC28" t="n">
        <v>0</v>
      </c>
      <c r="AD28" t="n">
        <v>1.5</v>
      </c>
      <c r="AE28" t="n">
        <v>0</v>
      </c>
      <c r="AF28" t="n">
        <v>1.5</v>
      </c>
    </row>
    <row r="29">
      <c r="A29" t="inlineStr">
        <is>
          <t>Barley</t>
        </is>
      </c>
      <c r="B29" t="inlineStr">
        <is>
          <t>Delivered to 1 carter and 2 drovers for the year, 19.5 quarters, taking a quarter every 8 weeks.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19.5</v>
      </c>
      <c r="Y29" t="n">
        <v>0</v>
      </c>
      <c r="Z29" t="n">
        <v>19.5</v>
      </c>
      <c r="AA29" t="n">
        <v>19.5</v>
      </c>
      <c r="AB29" t="n">
        <v>0</v>
      </c>
      <c r="AC29" t="n">
        <v>19.5</v>
      </c>
      <c r="AD29" t="n">
        <v>0</v>
      </c>
    </row>
    <row r="30">
      <c r="A30" t="inlineStr">
        <is>
          <t>Barley</t>
        </is>
      </c>
      <c r="B30" t="inlineStr">
        <is>
          <t>Delivered to 1 cowherd for the year, 4 quarters 2 bushels, taking a quarter every 12 weeks.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2</v>
      </c>
      <c r="Z30" t="n">
        <v>4.25</v>
      </c>
      <c r="AA30" t="n">
        <v>4.25</v>
      </c>
      <c r="AB30" t="n">
        <v>0</v>
      </c>
      <c r="AC30" t="n">
        <v>4</v>
      </c>
      <c r="AD30" t="n">
        <v>2</v>
      </c>
    </row>
    <row r="31">
      <c r="A31" t="inlineStr">
        <is>
          <t>Barley</t>
        </is>
      </c>
      <c r="B31" t="inlineStr">
        <is>
          <t>Delivered to 1 dairymaid for the year, 3 quarters 1 bushels, taking a quarter every 16 weeks.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1</v>
      </c>
      <c r="Z31" t="n">
        <v>3.125</v>
      </c>
      <c r="AA31" t="n">
        <v>3.125</v>
      </c>
      <c r="AB31" t="n">
        <v>0</v>
      </c>
      <c r="AC31" t="n">
        <v>3</v>
      </c>
      <c r="AD31" t="n">
        <v>1</v>
      </c>
    </row>
    <row r="32">
      <c r="A32" t="inlineStr">
        <is>
          <t>Barley</t>
        </is>
      </c>
      <c r="B32" t="inlineStr">
        <is>
          <t>Delivered to 1 shepherd for the year, 6.5 quarters, taking a quarter every 8 weeks.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6.5</v>
      </c>
      <c r="Y32" t="n">
        <v>0</v>
      </c>
      <c r="Z32" t="n">
        <v>6.5</v>
      </c>
      <c r="AA32" t="n">
        <v>6.5</v>
      </c>
      <c r="AB32" t="n">
        <v>0</v>
      </c>
      <c r="AC32" t="n">
        <v>6.5</v>
      </c>
      <c r="AD32" t="n">
        <v>0</v>
      </c>
    </row>
    <row r="33">
      <c r="A33" t="inlineStr">
        <is>
          <t>Barley</t>
        </is>
      </c>
      <c r="B33" t="inlineStr">
        <is>
          <t>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Barley</t>
        </is>
      </c>
      <c r="B34" t="inlineStr">
        <is>
          <t>customary payment to 1 park-keeper, 1 qr.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Barley</t>
        </is>
      </c>
      <c r="B35" t="inlineStr">
        <is>
          <t>Delivered to 1 harrower at various times at both sowings, 6 bushels It balances.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</v>
      </c>
      <c r="Z35" t="n">
        <v>0.75</v>
      </c>
      <c r="AA35" t="n">
        <v>0.75</v>
      </c>
      <c r="AB35" t="n">
        <v>0</v>
      </c>
      <c r="AC35" t="n">
        <v>0</v>
      </c>
      <c r="AD35" t="n">
        <v>6</v>
      </c>
    </row>
    <row r="36">
      <c r="A36" t="inlineStr">
        <is>
          <t>Barley</t>
        </is>
      </c>
      <c r="B36" t="inlineStr">
        <is>
          <t>Total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Dredge</t>
        </is>
      </c>
      <c r="B37" t="inlineStr">
        <is>
          <t>{yield: four-fold less .5 qr}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Dredge</t>
        </is>
      </c>
      <c r="B38" t="inlineStr">
        <is>
          <t>The same render account for 14.5 quarters from the whole issue of dredge by struck measure.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14.5</v>
      </c>
      <c r="U38" t="n">
        <v>0</v>
      </c>
      <c r="V38" t="n">
        <v>14.5</v>
      </c>
      <c r="W38" t="n">
        <v>0</v>
      </c>
      <c r="X38" t="n">
        <v>14.5</v>
      </c>
      <c r="Y38" t="n">
        <v>0</v>
      </c>
      <c r="Z38" t="n">
        <v>14.5</v>
      </c>
      <c r="AA38" t="n">
        <v>14.5</v>
      </c>
      <c r="AB38" t="n">
        <v>0</v>
      </c>
      <c r="AC38" t="n">
        <v>14.5</v>
      </c>
      <c r="AD38" t="n">
        <v>0</v>
      </c>
    </row>
    <row r="39">
      <c r="A39" t="inlineStr">
        <is>
          <t>Dredge</t>
        </is>
      </c>
      <c r="B39" t="inlineStr">
        <is>
          <t>Sown over 18 acres as they lie in Westbune, 2 quarters 5 bushels.</t>
        </is>
      </c>
      <c r="C39" t="n">
        <v>0</v>
      </c>
      <c r="D39" t="n">
        <v>0</v>
      </c>
      <c r="E39" t="n">
        <v>2</v>
      </c>
      <c r="F39" t="n">
        <v>5</v>
      </c>
      <c r="G39" t="n">
        <v>2.625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n">
        <v>2.625</v>
      </c>
      <c r="AA39" t="n">
        <v>2.625</v>
      </c>
      <c r="AB39" t="n">
        <v>0</v>
      </c>
      <c r="AC39" t="n">
        <v>2</v>
      </c>
      <c r="AD39" t="n">
        <v>5</v>
      </c>
    </row>
    <row r="40">
      <c r="A40" t="inlineStr">
        <is>
          <t>Dredge</t>
        </is>
      </c>
      <c r="B40" t="inlineStr">
        <is>
          <t>that is, 1 bushels an acre, plus 3 bushels in all.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0.375</v>
      </c>
      <c r="AA40" t="n">
        <v>0.125</v>
      </c>
      <c r="AB40" t="n">
        <v>0.25</v>
      </c>
      <c r="AC40" t="n">
        <v>0</v>
      </c>
      <c r="AD40" t="n">
        <v>1</v>
      </c>
      <c r="AE40" t="n">
        <v>0</v>
      </c>
      <c r="AF40" t="n">
        <v>3</v>
      </c>
    </row>
    <row r="41">
      <c r="A41" t="inlineStr">
        <is>
          <t>Dredge</t>
        </is>
      </c>
      <c r="B41" t="inlineStr">
        <is>
          <t>Sold, 11 quarters 7 bushels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</v>
      </c>
      <c r="R41" t="n">
        <v>7</v>
      </c>
      <c r="S41" t="n">
        <v>11.875</v>
      </c>
      <c r="T41" t="n">
        <v>0</v>
      </c>
      <c r="U41" t="n">
        <v>0</v>
      </c>
      <c r="V41" t="n">
        <v>0</v>
      </c>
      <c r="W41" t="n">
        <v>0</v>
      </c>
      <c r="X41" t="n">
        <v>11</v>
      </c>
      <c r="Y41" t="n">
        <v>7</v>
      </c>
      <c r="Z41" t="n">
        <v>11.875</v>
      </c>
      <c r="AA41" t="n">
        <v>11.875</v>
      </c>
      <c r="AB41" t="n">
        <v>0</v>
      </c>
      <c r="AC41" t="n">
        <v>11</v>
      </c>
      <c r="AD41" t="n">
        <v>7</v>
      </c>
    </row>
    <row r="42">
      <c r="A42" t="inlineStr">
        <is>
          <t>Dredge</t>
        </is>
      </c>
      <c r="B42" t="inlineStr">
        <is>
          <t>Total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Oats</t>
        </is>
      </c>
      <c r="B43" t="inlineStr">
        <is>
          <t>{yield: two-fold less 3 quarters 5 bushels}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5</v>
      </c>
      <c r="Z43" t="n">
        <v>3.625</v>
      </c>
      <c r="AA43" t="n">
        <v>3.625</v>
      </c>
      <c r="AB43" t="n">
        <v>0</v>
      </c>
      <c r="AC43" t="n">
        <v>3</v>
      </c>
      <c r="AD43" t="n">
        <v>5</v>
      </c>
    </row>
    <row r="44">
      <c r="A44" t="inlineStr">
        <is>
          <t>Oats</t>
        </is>
      </c>
      <c r="B44" t="inlineStr">
        <is>
          <t>The same render account for 20 quarters 3 bushels from the whole issue of oats by struck measure.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</v>
      </c>
      <c r="U44" t="n">
        <v>3</v>
      </c>
      <c r="V44" t="n">
        <v>20.375</v>
      </c>
      <c r="W44" t="n">
        <v>0</v>
      </c>
      <c r="X44" t="n">
        <v>20</v>
      </c>
      <c r="Y44" t="n">
        <v>3</v>
      </c>
      <c r="Z44" t="n">
        <v>20.375</v>
      </c>
      <c r="AA44" t="n">
        <v>20.375</v>
      </c>
      <c r="AB44" t="n">
        <v>0</v>
      </c>
      <c r="AC44" t="n">
        <v>20</v>
      </c>
      <c r="AD44" t="n">
        <v>3</v>
      </c>
    </row>
    <row r="45">
      <c r="A45" t="inlineStr">
        <is>
          <t>Oats</t>
        </is>
      </c>
      <c r="B45" t="inlineStr">
        <is>
          <t>4 quarters 2 bushels bought.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</v>
      </c>
      <c r="I45" t="n">
        <v>2</v>
      </c>
      <c r="J45" t="n">
        <v>4.25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2</v>
      </c>
      <c r="Z45" t="n">
        <v>4.25</v>
      </c>
      <c r="AA45" t="n">
        <v>4.25</v>
      </c>
      <c r="AB45" t="n">
        <v>0</v>
      </c>
      <c r="AC45" t="n">
        <v>4</v>
      </c>
      <c r="AD45" t="n">
        <v>2</v>
      </c>
    </row>
    <row r="46">
      <c r="A46" t="inlineStr">
        <is>
          <t>Oats</t>
        </is>
      </c>
      <c r="B46" t="inlineStr">
        <is>
          <t>Total, 24 quarters 5 bushels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</v>
      </c>
      <c r="Y46" t="n">
        <v>5</v>
      </c>
      <c r="Z46" t="n">
        <v>24.625</v>
      </c>
      <c r="AA46" t="n">
        <v>24.625</v>
      </c>
      <c r="AB46" t="n">
        <v>0</v>
      </c>
      <c r="AC46" t="n">
        <v>24</v>
      </c>
      <c r="AD46" t="n">
        <v>5</v>
      </c>
    </row>
    <row r="47">
      <c r="A47" t="inlineStr">
        <is>
          <t>Oats</t>
        </is>
      </c>
      <c r="B47" t="inlineStr">
        <is>
          <t>Sown over 57 acres as they lie in Pustukes and Bathardeslond', 14 quarters 2 bushels.</t>
        </is>
      </c>
      <c r="C47" t="n">
        <v>0</v>
      </c>
      <c r="D47" t="n">
        <v>0</v>
      </c>
      <c r="E47" t="n">
        <v>14</v>
      </c>
      <c r="F47" t="n">
        <v>2</v>
      </c>
      <c r="G47" t="n">
        <v>14.25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14</v>
      </c>
      <c r="Y47" t="n">
        <v>2</v>
      </c>
      <c r="Z47" t="n">
        <v>14.25</v>
      </c>
      <c r="AA47" t="n">
        <v>14.25</v>
      </c>
      <c r="AB47" t="n">
        <v>0</v>
      </c>
      <c r="AC47" t="n">
        <v>14</v>
      </c>
      <c r="AD47" t="n">
        <v>2</v>
      </c>
    </row>
    <row r="48">
      <c r="A48" t="inlineStr">
        <is>
          <t>Oats</t>
        </is>
      </c>
      <c r="B48" t="inlineStr">
        <is>
          <t>that is, 2 bushels an acre.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0.25</v>
      </c>
      <c r="AA48" t="n">
        <v>0.25</v>
      </c>
      <c r="AB48" t="n">
        <v>0</v>
      </c>
      <c r="AC48" t="n">
        <v>0</v>
      </c>
      <c r="AD48" t="n">
        <v>2</v>
      </c>
    </row>
    <row r="49">
      <c r="A49" t="inlineStr">
        <is>
          <t>Oats</t>
        </is>
      </c>
      <c r="B49" t="inlineStr">
        <is>
          <t>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Oats</t>
        </is>
      </c>
      <c r="B50" t="inlineStr">
        <is>
          <t>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Oats</t>
        </is>
      </c>
      <c r="B51" t="inlineStr">
        <is>
          <t>provision of the steward for his visits, 4.5 bushels.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4.5</v>
      </c>
      <c r="Z51" t="n">
        <v>0.5625</v>
      </c>
      <c r="AA51" t="n">
        <v>0.5625</v>
      </c>
      <c r="AB51" t="n">
        <v>0</v>
      </c>
      <c r="AC51" t="n">
        <v>0</v>
      </c>
      <c r="AD51" t="n">
        <v>4.5</v>
      </c>
    </row>
    <row r="52">
      <c r="A52" t="inlineStr">
        <is>
          <t>Oats</t>
        </is>
      </c>
      <c r="B52" t="inlineStr">
        <is>
          <t>fodder of the clerk's horse for his visits, 1.5 bushels.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1.5</v>
      </c>
      <c r="Z52" t="n">
        <v>0.1875</v>
      </c>
      <c r="AA52" t="n">
        <v>0.1875</v>
      </c>
      <c r="AB52" t="n">
        <v>0</v>
      </c>
      <c r="AC52" t="n">
        <v>0</v>
      </c>
      <c r="AD52" t="n">
        <v>1.5</v>
      </c>
    </row>
    <row r="53">
      <c r="A53" t="inlineStr">
        <is>
          <t>Oats</t>
        </is>
      </c>
      <c r="B53" t="inlineStr">
        <is>
          <t>fodder of 2 cart-horses for the year, 7 quarters this year.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</v>
      </c>
      <c r="O53" t="n">
        <v>0</v>
      </c>
      <c r="P53" t="n">
        <v>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7</v>
      </c>
      <c r="Y53" t="n">
        <v>0</v>
      </c>
      <c r="Z53" t="n">
        <v>7</v>
      </c>
      <c r="AA53" t="n">
        <v>7</v>
      </c>
      <c r="AB53" t="n">
        <v>0</v>
      </c>
      <c r="AC53" t="n">
        <v>7</v>
      </c>
      <c r="AD53" t="n">
        <v>0</v>
      </c>
    </row>
    <row r="54">
      <c r="A54" t="inlineStr">
        <is>
          <t>Oats</t>
        </is>
      </c>
      <c r="B54" t="inlineStr">
        <is>
          <t>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Oats</t>
        </is>
      </c>
      <c r="B55" t="inlineStr">
        <is>
          <t>.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Oats</t>
        </is>
      </c>
      <c r="B56" t="inlineStr">
        <is>
          <t>fodder of 2 plough-horses going to harrow at both sowings, 2 quarters 5 bushels this year, and this because the carts carried wood for fencing (claustr') from the park to the curia for the enclosure by order of the lorpence It balances.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5</v>
      </c>
      <c r="P56" t="n">
        <v>2.625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5</v>
      </c>
      <c r="Z56" t="n">
        <v>2.625</v>
      </c>
      <c r="AA56" t="n">
        <v>2.625</v>
      </c>
      <c r="AB56" t="n">
        <v>0</v>
      </c>
      <c r="AC56" t="n">
        <v>2</v>
      </c>
      <c r="AD56" t="n">
        <v>5</v>
      </c>
    </row>
    <row r="57">
      <c r="A57" t="inlineStr">
        <is>
          <t>Oats</t>
        </is>
      </c>
      <c r="B57" t="inlineStr">
        <is>
          <t>Total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Vetches</t>
        </is>
      </c>
      <c r="B58" t="inlineStr">
        <is>
          <t>{yield: two-fold plus .5 qr}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Vetches</t>
        </is>
      </c>
      <c r="B59" t="inlineStr">
        <is>
          <t>The same render account for 3 quarters from the whole issue of vetches by struck measure.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3</v>
      </c>
      <c r="AB59" t="n">
        <v>0</v>
      </c>
      <c r="AC59" t="n">
        <v>3</v>
      </c>
      <c r="AD59" t="n">
        <v>0</v>
      </c>
    </row>
    <row r="60">
      <c r="A60" t="inlineStr">
        <is>
          <t>Vetches</t>
        </is>
      </c>
      <c r="B60" t="inlineStr">
        <is>
          <t>Sown over 15 acres as they lie in Charelliscroft and Pollescroft, 1 qr 7 bushels.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Vetches</t>
        </is>
      </c>
      <c r="B61" t="inlineStr">
        <is>
          <t>that is, 1  bushels an acre.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Vetches</t>
        </is>
      </c>
      <c r="B62" t="inlineStr">
        <is>
          <t>Mixed with barley for the liveries of the manorial servants, 1 qr 1 bushels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8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Quarters 3</t>
        </is>
      </c>
      <c r="Z1" s="1" t="inlineStr">
        <is>
          <t>Bushels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£ a quarter 1</t>
        </is>
      </c>
      <c r="AD1" s="1" t="inlineStr">
        <is>
          <t>£ a quarter 2</t>
        </is>
      </c>
      <c r="AE1" s="1" t="inlineStr">
        <is>
          <t>£ a quarter 3</t>
        </is>
      </c>
      <c r="AF1" s="1" t="inlineStr">
        <is>
          <t>£ a quarter 4</t>
        </is>
      </c>
      <c r="AG1" s="1" t="inlineStr">
        <is>
          <t>Quarters Sold</t>
        </is>
      </c>
      <c r="AH1" s="1" t="inlineStr">
        <is>
          <t>Weighted Average Price per Quarter</t>
        </is>
      </c>
      <c r="AI1" s="1" t="inlineStr">
        <is>
          <t>Non-Weighted Average Price per Quarter</t>
        </is>
      </c>
      <c r="AJ1" s="1" t="inlineStr">
        <is>
          <t>Corn lowercase</t>
        </is>
      </c>
    </row>
    <row r="2">
      <c r="A2" t="inlineStr">
        <is>
          <t>Sale of corn</t>
        </is>
      </c>
      <c r="B2" t="inlineStr">
        <is>
          <t>The same render account for £2 12 shilling 6pence from 8 quarters 6 bushels of wheat sold, at 6 shilling a quarters.</t>
        </is>
      </c>
      <c r="C2" t="n">
        <v>2.62</v>
      </c>
      <c r="D2" t="n">
        <v>2</v>
      </c>
      <c r="E2" t="n">
        <v>12</v>
      </c>
      <c r="F2" t="n">
        <v>6</v>
      </c>
      <c r="G2" t="inlineStr">
        <is>
          <t>wheat</t>
        </is>
      </c>
      <c r="H2" t="n">
        <v>8</v>
      </c>
      <c r="I2" t="n">
        <v>6</v>
      </c>
      <c r="J2" t="n">
        <v>8.75</v>
      </c>
      <c r="K2" t="n">
        <v>8.75</v>
      </c>
      <c r="L2" t="n">
        <v>0</v>
      </c>
      <c r="M2" t="n">
        <v>8</v>
      </c>
      <c r="N2" t="n">
        <v>6</v>
      </c>
      <c r="O2" t="n">
        <v>6</v>
      </c>
      <c r="P2" t="n">
        <v>0</v>
      </c>
      <c r="AC2" t="n">
        <v>0.3</v>
      </c>
      <c r="AG2" t="n">
        <v>8.75</v>
      </c>
      <c r="AH2" t="n">
        <v>0.3</v>
      </c>
      <c r="AI2" t="n">
        <v>0.3</v>
      </c>
      <c r="AJ2" t="inlineStr">
        <is>
          <t>wheat</t>
        </is>
      </c>
    </row>
    <row r="3">
      <c r="A3" t="inlineStr">
        <is>
          <t>Sale of corn</t>
        </is>
      </c>
      <c r="B3" t="inlineStr">
        <is>
          <t>5 shilling 5pence from 1 quarters 2 bushels of curall sold, at 4 shilling 4pence a quarters.</t>
        </is>
      </c>
      <c r="C3" t="n">
        <v>0.27</v>
      </c>
      <c r="D3" t="n">
        <v>0</v>
      </c>
      <c r="E3" t="n">
        <v>5</v>
      </c>
      <c r="F3" t="n">
        <v>5</v>
      </c>
      <c r="G3" t="inlineStr">
        <is>
          <t>curall</t>
        </is>
      </c>
      <c r="H3" t="n">
        <v>1</v>
      </c>
      <c r="I3" t="n">
        <v>2</v>
      </c>
      <c r="J3" t="n">
        <v>1.25</v>
      </c>
      <c r="K3" t="n">
        <v>1.25</v>
      </c>
      <c r="L3" t="n">
        <v>0</v>
      </c>
      <c r="M3" t="n">
        <v>1</v>
      </c>
      <c r="N3" t="n">
        <v>2</v>
      </c>
      <c r="O3" t="n">
        <v>4</v>
      </c>
      <c r="P3" t="n">
        <v>4</v>
      </c>
      <c r="AC3" t="n">
        <v>0.2166666666666667</v>
      </c>
      <c r="AG3" t="n">
        <v>1.25</v>
      </c>
      <c r="AH3" t="n">
        <v>0.2166666666666667</v>
      </c>
      <c r="AI3" t="n">
        <v>0.2166666666666667</v>
      </c>
      <c r="AJ3" t="inlineStr">
        <is>
          <t>curall</t>
        </is>
      </c>
    </row>
    <row r="4">
      <c r="A4" t="inlineStr">
        <is>
          <t>Sale of corn</t>
        </is>
      </c>
      <c r="B4" t="inlineStr">
        <is>
          <t>£1 6 shilling 5pence from 11 quarters 3 bushels of dredge sold, at 2 shilling a quarters for 3 quarters 7 bushels, 2 shilling 4pence a quarters for 4 quarters, and 2 shilling 8pence a quarters for 3.5 quarters.</t>
        </is>
      </c>
      <c r="C4" t="n">
        <v>1.32</v>
      </c>
      <c r="D4" t="n">
        <v>1</v>
      </c>
      <c r="E4" t="n">
        <v>6</v>
      </c>
      <c r="F4" t="n">
        <v>5</v>
      </c>
      <c r="H4" t="n">
        <v>10.5</v>
      </c>
      <c r="I4" t="n">
        <v>7</v>
      </c>
      <c r="J4" t="n">
        <v>11.375</v>
      </c>
      <c r="K4" t="n">
        <v>11.375</v>
      </c>
      <c r="L4" t="n">
        <v>0</v>
      </c>
      <c r="M4" t="n">
        <v>11</v>
      </c>
      <c r="N4" t="n">
        <v>3</v>
      </c>
      <c r="O4" t="n">
        <v>2</v>
      </c>
      <c r="P4" t="n">
        <v>0</v>
      </c>
      <c r="Q4" t="n">
        <v>3</v>
      </c>
      <c r="R4" t="n">
        <v>7</v>
      </c>
      <c r="S4" t="n">
        <v>2</v>
      </c>
      <c r="T4" t="n">
        <v>4</v>
      </c>
      <c r="U4" t="n">
        <v>4</v>
      </c>
      <c r="V4" t="n">
        <v>0</v>
      </c>
      <c r="W4" t="n">
        <v>2</v>
      </c>
      <c r="X4" t="n">
        <v>8</v>
      </c>
      <c r="Y4" t="n">
        <v>3.5</v>
      </c>
      <c r="Z4" t="n">
        <v>0</v>
      </c>
      <c r="AC4" t="n">
        <v>0.1</v>
      </c>
      <c r="AD4" t="n">
        <v>0.1166666666666667</v>
      </c>
      <c r="AE4" t="n">
        <v>0.1333333333333333</v>
      </c>
      <c r="AG4" t="n">
        <v>11.375</v>
      </c>
      <c r="AH4" t="n">
        <v>0.1161172161172161</v>
      </c>
      <c r="AI4" t="n">
        <v>0.1166666666666667</v>
      </c>
    </row>
    <row r="5">
      <c r="A5" t="inlineStr">
        <is>
          <t>Sale of corn</t>
        </is>
      </c>
      <c r="B5" t="inlineStr">
        <is>
          <t>1 shilling from .5 quarters of dredge sold at the audit.</t>
        </is>
      </c>
      <c r="C5" t="n">
        <v>0.05</v>
      </c>
      <c r="D5" t="n">
        <v>0</v>
      </c>
      <c r="E5" t="n">
        <v>1</v>
      </c>
      <c r="F5" t="n">
        <v>0</v>
      </c>
      <c r="H5" t="n">
        <v>5</v>
      </c>
      <c r="I5" t="n">
        <v>0</v>
      </c>
      <c r="J5" t="n">
        <v>5</v>
      </c>
      <c r="K5" t="n">
        <v>5</v>
      </c>
      <c r="L5" t="n">
        <v>0</v>
      </c>
      <c r="M5" t="n">
        <v>5</v>
      </c>
      <c r="N5" t="n">
        <v>0</v>
      </c>
      <c r="AC5" t="n">
        <v>0.01</v>
      </c>
      <c r="AG5" t="n">
        <v>5</v>
      </c>
      <c r="AH5" t="n">
        <v>0.01</v>
      </c>
      <c r="AI5" t="n">
        <v>0.01</v>
      </c>
    </row>
    <row r="6">
      <c r="A6" t="inlineStr">
        <is>
          <t>Sale of corn</t>
        </is>
      </c>
      <c r="B6" t="inlineStr">
        <is>
          <t>2 shilling from 4 bushels of peas sold, at 6pence a bushels.</t>
        </is>
      </c>
      <c r="C6" t="n">
        <v>0.12</v>
      </c>
      <c r="D6" t="n">
        <v>0</v>
      </c>
      <c r="E6" t="n">
        <v>2</v>
      </c>
      <c r="F6" t="n">
        <v>6</v>
      </c>
      <c r="G6" t="inlineStr">
        <is>
          <t>peas</t>
        </is>
      </c>
      <c r="H6" t="n">
        <v>0</v>
      </c>
      <c r="I6" t="n">
        <v>4</v>
      </c>
      <c r="J6" t="n">
        <v>0.5</v>
      </c>
      <c r="K6" t="n">
        <v>0.5</v>
      </c>
      <c r="L6" t="n">
        <v>0</v>
      </c>
      <c r="M6" t="n">
        <v>0</v>
      </c>
      <c r="N6" t="n">
        <v>4</v>
      </c>
      <c r="AC6" t="n">
        <v>0.24</v>
      </c>
      <c r="AG6" t="n">
        <v>0.5</v>
      </c>
      <c r="AH6" t="n">
        <v>0.24</v>
      </c>
      <c r="AI6" t="n">
        <v>0.24</v>
      </c>
      <c r="AJ6" t="inlineStr">
        <is>
          <t>peas</t>
        </is>
      </c>
    </row>
    <row r="7">
      <c r="A7" t="inlineStr">
        <is>
          <t>Sale of corn</t>
        </is>
      </c>
      <c r="B7" t="inlineStr">
        <is>
          <t>2 shilling from 6 bushels of peas sold at the audit.</t>
        </is>
      </c>
      <c r="C7" t="n">
        <v>0.1</v>
      </c>
      <c r="D7" t="n">
        <v>0</v>
      </c>
      <c r="E7" t="n">
        <v>2</v>
      </c>
      <c r="F7" t="n">
        <v>0</v>
      </c>
      <c r="G7" t="inlineStr">
        <is>
          <t>peas</t>
        </is>
      </c>
      <c r="H7" t="n">
        <v>0</v>
      </c>
      <c r="I7" t="n">
        <v>6</v>
      </c>
      <c r="J7" t="n">
        <v>0.75</v>
      </c>
      <c r="K7" t="n">
        <v>0.75</v>
      </c>
      <c r="L7" t="n">
        <v>0</v>
      </c>
      <c r="M7" t="n">
        <v>0</v>
      </c>
      <c r="N7" t="n">
        <v>6</v>
      </c>
      <c r="AC7" t="n">
        <v>0.1333333333333333</v>
      </c>
      <c r="AG7" t="n">
        <v>0.75</v>
      </c>
      <c r="AH7" t="n">
        <v>0.1333333333333333</v>
      </c>
      <c r="AI7" t="n">
        <v>0.1333333333333333</v>
      </c>
      <c r="AJ7" t="inlineStr">
        <is>
          <t>peas</t>
        </is>
      </c>
    </row>
    <row r="8">
      <c r="A8" t="inlineStr">
        <is>
          <t>Sale of corn</t>
        </is>
      </c>
      <c r="B8" t="inlineStr">
        <is>
          <t>Total, £4 9 shilling 4pence</t>
        </is>
      </c>
      <c r="C8" t="n">
        <v>4.47</v>
      </c>
      <c r="D8" t="n">
        <v>4</v>
      </c>
      <c r="E8" t="n">
        <v>9</v>
      </c>
      <c r="F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AC8" t="inlineStr">
        <is>
          <t>inf</t>
        </is>
      </c>
      <c r="AG8" t="n">
        <v>0</v>
      </c>
      <c r="AH8" t="inlineStr">
        <is>
          <t>inf</t>
        </is>
      </c>
      <c r="AI8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2025-12-18T10:16:54Z</dcterms:modified>
  <cp:lastModifiedBy>Kowalski, Kuba</cp:lastModifiedBy>
</cp:coreProperties>
</file>
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Crawley 1301 Overview - Completed" sheetId="1" state="visible" r:id="rId1"/>
    <sheet xmlns:r="http://schemas.openxmlformats.org/officeDocument/2006/relationships" name="Issues of the Mills" sheetId="2" state="visible" r:id="rId2"/>
    <sheet xmlns:r="http://schemas.openxmlformats.org/officeDocument/2006/relationships" name="raw data" sheetId="3" state="visible" r:id="rId3"/>
    <sheet xmlns:r="http://schemas.openxmlformats.org/officeDocument/2006/relationships" name="Prices" sheetId="4" state="visible" r:id="rId4"/>
    <sheet xmlns:r="http://schemas.openxmlformats.org/officeDocument/2006/relationships" name="Labour Rents" sheetId="5" state="visible" r:id="rId5"/>
    <sheet xmlns:r="http://schemas.openxmlformats.org/officeDocument/2006/relationships" name="Crawley Overview" sheetId="6" state="visible" r:id="rId6"/>
    <sheet xmlns:r="http://schemas.openxmlformats.org/officeDocument/2006/relationships" name="Crawley Receipts" sheetId="7" state="visible" r:id="rId7"/>
    <sheet xmlns:r="http://schemas.openxmlformats.org/officeDocument/2006/relationships" name="Crawley Expenses" sheetId="8" state="visible" r:id="rId8"/>
    <sheet xmlns:r="http://schemas.openxmlformats.org/officeDocument/2006/relationships" name="Issues of the Grange" sheetId="9" state="visible" r:id="rId9"/>
    <sheet xmlns:r="http://schemas.openxmlformats.org/officeDocument/2006/relationships" name="Stock" sheetId="10" state="visible" r:id="rId10"/>
    <sheet xmlns:r="http://schemas.openxmlformats.org/officeDocument/2006/relationships" name="Assumptions" sheetId="11" state="visible" r:id="rId11"/>
  </sheets>
  <definedNames/>
  <calcPr calcId="191029" fullCalcOnLoad="1"/>
</workbook>
</file>

<file path=xl/styles.xml><?xml version="1.0" encoding="utf-8"?>
<styleSheet xmlns="http://schemas.openxmlformats.org/spreadsheetml/2006/main">
  <numFmts count="3">
    <numFmt numFmtId="164" formatCode="0.000000"/>
    <numFmt numFmtId="165" formatCode="#,##0.000000"/>
    <numFmt numFmtId="166" formatCode="0.000"/>
  </numFmts>
  <fonts count="31">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family val="2"/>
      <b val="1"/>
      <color rgb="FF000000"/>
      <sz val="14"/>
      <scheme val="minor"/>
    </font>
    <font>
      <name val="Calibri"/>
      <family val="2"/>
      <color rgb="FF000000"/>
      <sz val="14"/>
      <scheme val="minor"/>
    </font>
    <font>
      <name val="Calibri"/>
      <family val="2"/>
      <b val="1"/>
      <color rgb="FFFF0000"/>
      <sz val="14"/>
      <scheme val="minor"/>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diagonal/>
    </border>
  </borders>
  <cellStyleXfs count="1">
    <xf numFmtId="0" fontId="0" fillId="0" borderId="0"/>
  </cellStyleXfs>
  <cellXfs count="198">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28" fillId="0" borderId="0" pivotButton="0" quotePrefix="0" xfId="0"/>
    <xf numFmtId="4" fontId="28" fillId="0" borderId="0" applyAlignment="1" pivotButton="0" quotePrefix="0" xfId="0">
      <alignment horizontal="right"/>
    </xf>
    <xf numFmtId="0" fontId="28" fillId="0" borderId="0" applyAlignment="1" pivotButton="0" quotePrefix="0" xfId="0">
      <alignment horizontal="right"/>
    </xf>
    <xf numFmtId="0" fontId="29" fillId="0" borderId="0" pivotButton="0" quotePrefix="0" xfId="0"/>
    <xf numFmtId="2" fontId="29" fillId="0" borderId="0" pivotButton="0" quotePrefix="0" xfId="0"/>
    <xf numFmtId="2" fontId="28" fillId="0" borderId="0" applyAlignment="1" pivotButton="0" quotePrefix="0" xfId="0">
      <alignment horizontal="right"/>
    </xf>
    <xf numFmtId="0" fontId="30" fillId="0" borderId="0" applyAlignment="1" pivotButton="0" quotePrefix="0" xfId="0">
      <alignment horizontal="right"/>
    </xf>
    <xf numFmtId="2" fontId="16" fillId="0" borderId="0" pivotButton="0" quotePrefix="0" xfId="0"/>
    <xf numFmtId="0" fontId="16" fillId="2" borderId="0" pivotButton="0" quotePrefix="0" xfId="0"/>
    <xf numFmtId="2" fontId="16" fillId="2" borderId="0" pivotButton="0" quotePrefix="0" xfId="0"/>
    <xf numFmtId="2" fontId="16" fillId="10" borderId="0" pivotButton="0" quotePrefix="0" xfId="0"/>
    <xf numFmtId="2" fontId="16" fillId="5" borderId="0" pivotButton="0" quotePrefix="0" xfId="0"/>
    <xf numFmtId="2" fontId="17" fillId="2" borderId="0" pivotButton="0" quotePrefix="0" xfId="0"/>
    <xf numFmtId="2" fontId="8" fillId="0" borderId="0" pivotButton="0" quotePrefix="0" xfId="0"/>
    <xf numFmtId="4" fontId="8" fillId="0" borderId="0" pivotButton="0" quotePrefix="0" xfId="0"/>
    <xf numFmtId="2" fontId="16" fillId="3" borderId="0" pivotButton="0" quotePrefix="0" xfId="0"/>
    <xf numFmtId="2" fontId="6" fillId="3" borderId="0" pivotButton="0" quotePrefix="0" xfId="0"/>
    <xf numFmtId="0" fontId="16" fillId="4" borderId="0" pivotButton="0" quotePrefix="0" xfId="0"/>
    <xf numFmtId="2" fontId="16" fillId="4" borderId="0" pivotButton="0" quotePrefix="0" xfId="0"/>
    <xf numFmtId="0" fontId="13" fillId="2" borderId="0" applyAlignment="1" pivotButton="0" quotePrefix="0" xfId="0">
      <alignment horizontal="center"/>
    </xf>
    <xf numFmtId="4" fontId="13" fillId="5" borderId="0" applyAlignment="1" pivotButton="0" quotePrefix="0" xfId="0">
      <alignment horizontal="right"/>
    </xf>
    <xf numFmtId="0" fontId="13" fillId="0" borderId="0" applyAlignment="1" pivotButton="0" quotePrefix="0" xfId="0">
      <alignment horizontal="right"/>
    </xf>
    <xf numFmtId="0" fontId="16" fillId="5" borderId="0" pivotButton="0" quotePrefix="0" xfId="0"/>
    <xf numFmtId="4" fontId="13" fillId="0" borderId="0" applyAlignment="1" pivotButton="0" quotePrefix="0" xfId="0">
      <alignment horizontal="right"/>
    </xf>
    <xf numFmtId="0" fontId="13" fillId="5" borderId="0" applyAlignment="1" pivotButton="0" quotePrefix="0" xfId="0">
      <alignment horizontal="right" wrapText="1"/>
    </xf>
    <xf numFmtId="0" fontId="13" fillId="5" borderId="0" applyAlignment="1" pivotButton="0" quotePrefix="0" xfId="0">
      <alignment horizontal="right"/>
    </xf>
    <xf numFmtId="2" fontId="13" fillId="5" borderId="0" applyAlignment="1" pivotButton="0" quotePrefix="0" xfId="0">
      <alignment wrapText="1"/>
    </xf>
    <xf numFmtId="0" fontId="6" fillId="5" borderId="15" pivotButton="0" quotePrefix="0" xfId="0"/>
    <xf numFmtId="0" fontId="6" fillId="5" borderId="16" pivotButton="0" quotePrefix="0" xfId="0"/>
    <xf numFmtId="0" fontId="6" fillId="0" borderId="10" pivotButton="0" quotePrefix="0" xfId="0"/>
    <xf numFmtId="10" fontId="6" fillId="0" borderId="0" pivotButton="0" quotePrefix="0" xfId="0"/>
    <xf numFmtId="10" fontId="6" fillId="0" borderId="12" pivotButton="0" quotePrefix="0" xfId="0"/>
    <xf numFmtId="0" fontId="6" fillId="0" borderId="12" pivotButton="0" quotePrefix="0" xfId="0"/>
    <xf numFmtId="0" fontId="6" fillId="0" borderId="13" pivotButton="0" quotePrefix="0" xfId="0"/>
    <xf numFmtId="4" fontId="6" fillId="0" borderId="0" pivotButton="0" quotePrefix="0" xfId="0"/>
    <xf numFmtId="0" fontId="27" fillId="0" borderId="0" pivotButton="0" quotePrefix="0" xfId="0"/>
    <xf numFmtId="4" fontId="9" fillId="0" borderId="0" pivotButton="0" quotePrefix="0" xfId="0"/>
    <xf numFmtId="166" fontId="16" fillId="0" borderId="0" pivotButton="0" quotePrefix="0" xfId="0"/>
    <xf numFmtId="166" fontId="13" fillId="0" borderId="0" applyAlignment="1" pivotButton="0" quotePrefix="0" xfId="0">
      <alignment horizontal="center"/>
    </xf>
    <xf numFmtId="0" fontId="6" fillId="0" borderId="0" applyAlignment="1" pivotButton="0" quotePrefix="0" xfId="0">
      <alignment horizontal="right"/>
    </xf>
    <xf numFmtId="0" fontId="6" fillId="0" borderId="0" applyAlignment="1" pivotButton="0" quotePrefix="0" xfId="0">
      <alignment horizontal="center"/>
    </xf>
    <xf numFmtId="0" fontId="6" fillId="7" borderId="0" pivotButton="0" quotePrefix="0" xfId="0"/>
    <xf numFmtId="0" fontId="6" fillId="3" borderId="0" pivotButton="0" quotePrefix="0" xfId="0"/>
    <xf numFmtId="0" fontId="6" fillId="3" borderId="3" pivotButton="0" quotePrefix="0" xfId="0"/>
    <xf numFmtId="0" fontId="6" fillId="8" borderId="0" pivotButton="0" quotePrefix="0" xfId="0"/>
    <xf numFmtId="0" fontId="6" fillId="0" borderId="3" applyAlignment="1" pivotButton="0" quotePrefix="0" xfId="0">
      <alignment horizontal="right"/>
    </xf>
    <xf numFmtId="0" fontId="6" fillId="0" borderId="4" applyAlignment="1" pivotButton="0" quotePrefix="0" xfId="0">
      <alignment horizontal="right"/>
    </xf>
    <xf numFmtId="0" fontId="6" fillId="0" borderId="5" applyAlignment="1" pivotButton="0" quotePrefix="0" xfId="0">
      <alignment horizontal="right"/>
    </xf>
    <xf numFmtId="0" fontId="6" fillId="0" borderId="4" applyAlignment="1" pivotButton="0" quotePrefix="0" xfId="0">
      <alignment horizontal="center"/>
    </xf>
    <xf numFmtId="0" fontId="6" fillId="0" borderId="4" pivotButton="0" quotePrefix="0" xfId="0"/>
    <xf numFmtId="2" fontId="6" fillId="0" borderId="17" pivotButton="0" quotePrefix="0" xfId="0"/>
    <xf numFmtId="0" fontId="6" fillId="0" borderId="3" pivotButton="0" quotePrefix="0" xfId="0"/>
    <xf numFmtId="2" fontId="6" fillId="0" borderId="3" pivotButton="0" quotePrefix="0" xfId="0"/>
    <xf numFmtId="0" fontId="6" fillId="6" borderId="0" pivotButton="0" quotePrefix="0" xfId="0"/>
    <xf numFmtId="0" fontId="6" fillId="0" borderId="0" applyAlignment="1" pivotButton="0" quotePrefix="0" xfId="0">
      <alignment horizontal="right" wrapText="1"/>
    </xf>
    <xf numFmtId="0" fontId="6" fillId="0" borderId="0" applyAlignment="1" pivotButton="0" quotePrefix="0" xfId="0">
      <alignment horizontal="center" wrapText="1"/>
    </xf>
    <xf numFmtId="0" fontId="6" fillId="0" borderId="3" applyAlignment="1" pivotButton="0" quotePrefix="0" xfId="0">
      <alignment horizontal="center" wrapText="1"/>
    </xf>
    <xf numFmtId="4" fontId="6" fillId="0" borderId="0" applyAlignment="1" pivotButton="0" quotePrefix="0" xfId="0">
      <alignment horizontal="right" wrapText="1"/>
    </xf>
    <xf numFmtId="4" fontId="6" fillId="0" borderId="0" applyAlignment="1" pivotButton="0" quotePrefix="0" xfId="0">
      <alignment horizontal="right"/>
    </xf>
    <xf numFmtId="166" fontId="6" fillId="0" borderId="0" pivotButton="0" quotePrefix="0" xfId="0"/>
    <xf numFmtId="0" fontId="13" fillId="0" borderId="0" applyAlignment="1" pivotButton="0" quotePrefix="0" xfId="0">
      <alignment wrapText="1"/>
    </xf>
    <xf numFmtId="0" fontId="13" fillId="0" borderId="0" applyAlignment="1" pivotButton="0" quotePrefix="0" xfId="0">
      <alignment horizontal="right" wrapText="1"/>
    </xf>
    <xf numFmtId="2" fontId="13" fillId="0" borderId="0" applyAlignment="1" pivotButton="0" quotePrefix="0" xfId="0">
      <alignment horizontal="right" wrapText="1"/>
    </xf>
    <xf numFmtId="2" fontId="13" fillId="0" borderId="0" applyAlignment="1" pivotButton="0" quotePrefix="0" xfId="0">
      <alignment wrapText="1"/>
    </xf>
    <xf numFmtId="2" fontId="16" fillId="0" borderId="0" applyAlignment="1" pivotButton="0" quotePrefix="0" xfId="0">
      <alignment horizontal="right" wrapText="1"/>
    </xf>
    <xf numFmtId="0" fontId="16" fillId="0" borderId="0" applyAlignment="1" pivotButton="0" quotePrefix="0" xfId="0">
      <alignment horizontal="right" wrapText="1"/>
    </xf>
    <xf numFmtId="0" fontId="16" fillId="8" borderId="0" pivotButton="0" quotePrefix="0" xfId="0"/>
    <xf numFmtId="0" fontId="13" fillId="8" borderId="0" applyAlignment="1" pivotButton="0" quotePrefix="0" xfId="0">
      <alignment horizontal="right" wrapText="1"/>
    </xf>
    <xf numFmtId="2" fontId="16" fillId="8" borderId="0" pivotButton="0" quotePrefix="0" xfId="0"/>
    <xf numFmtId="0" fontId="17" fillId="0" borderId="0" pivotButton="0" quotePrefix="0" xfId="0"/>
    <xf numFmtId="4" fontId="16"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7" authorId="0" shapeId="0">
      <text>
        <t xml:space="preserve">Victoria Gierok:
from Issue of the grange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9.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CRAWLEY 1301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7.433333333333334</v>
      </c>
      <c r="D4" s="13" t="n"/>
      <c r="E4" s="13" t="n"/>
    </row>
    <row r="5">
      <c r="A5" s="15" t="inlineStr">
        <is>
          <t>Rents of assize total</t>
        </is>
      </c>
      <c r="B5" s="76" t="n">
        <v>14.07916666666667</v>
      </c>
    </row>
    <row r="6">
      <c r="A6" s="15" t="inlineStr">
        <is>
          <t>Quittances total</t>
        </is>
      </c>
      <c r="B6" s="76" t="n">
        <v>2.783333333333334</v>
      </c>
    </row>
    <row r="7">
      <c r="A7" s="15" t="inlineStr">
        <is>
          <t>Defaults of rent total</t>
        </is>
      </c>
      <c r="B7" s="76" t="n">
        <v>1.016666666666667</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0.08749999999999999</v>
      </c>
    </row>
    <row r="15">
      <c r="A15" s="15" t="inlineStr">
        <is>
          <t>Issues of the Manor total</t>
        </is>
      </c>
      <c r="B15" s="76" t="n">
        <v>19.94583333333333</v>
      </c>
    </row>
    <row r="16">
      <c r="A16" s="76" t="inlineStr">
        <is>
          <t>Issues of the tenements in the lord's hands total</t>
        </is>
      </c>
      <c r="B16" s="76" t="n"/>
    </row>
    <row r="17">
      <c r="A17" s="76" t="inlineStr">
        <is>
          <t>Sale of labour services total</t>
        </is>
      </c>
      <c r="B17" s="76" t="n"/>
    </row>
    <row r="18">
      <c r="A18" s="15" t="inlineStr">
        <is>
          <t>Sale of corn total</t>
        </is>
      </c>
      <c r="B18" s="76" t="n">
        <v>23.98333333333333</v>
      </c>
    </row>
    <row r="19">
      <c r="A19" s="15" t="inlineStr">
        <is>
          <t>Entry and marriage fines total</t>
        </is>
      </c>
      <c r="B19" s="76" t="n">
        <v>0.8666666666666667</v>
      </c>
    </row>
    <row r="20">
      <c r="A20" s="15" t="inlineStr">
        <is>
          <t>Pleas &amp; perquisites total</t>
        </is>
      </c>
      <c r="B20" s="76" t="n">
        <v>0.9958333333333332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3.553125</v>
      </c>
    </row>
    <row r="31">
      <c r="A31" s="15" t="inlineStr">
        <is>
          <t>Purchase of corn total</t>
        </is>
      </c>
      <c r="B31" t="n">
        <v>0.8416666666666667</v>
      </c>
    </row>
    <row r="32">
      <c r="A32" s="15" t="inlineStr">
        <is>
          <t>Cost of carts and wagons total</t>
        </is>
      </c>
      <c r="B32" t="n">
        <v>0.8187500000000001</v>
      </c>
    </row>
    <row r="33">
      <c r="A33" s="15" t="inlineStr">
        <is>
          <t>Cost of dairy total</t>
        </is>
      </c>
      <c r="B33" t="n">
        <v>3.972916666666666</v>
      </c>
    </row>
    <row r="34">
      <c r="A34" s="15" t="inlineStr">
        <is>
          <t>Purchase of stock total</t>
        </is>
      </c>
    </row>
    <row r="35">
      <c r="A35" s="15" t="inlineStr">
        <is>
          <t>Sheepcote total</t>
        </is>
      </c>
    </row>
    <row r="36">
      <c r="A36" s="15" t="inlineStr">
        <is>
          <t>Cost of buildings total</t>
        </is>
      </c>
      <c r="B36" s="84" t="n">
        <v>0.321875</v>
      </c>
    </row>
    <row r="37">
      <c r="A37" s="15" t="inlineStr">
        <is>
          <t>Threshing total</t>
        </is>
      </c>
      <c r="B37" t="n">
        <v>1.020833333333333</v>
      </c>
    </row>
    <row r="38">
      <c r="A38" s="15" t="inlineStr">
        <is>
          <t>Barley expenses</t>
        </is>
      </c>
    </row>
    <row r="39">
      <c r="A39" s="15" t="inlineStr">
        <is>
          <t>Expenses of the harvest total</t>
        </is>
      </c>
      <c r="B39" t="n">
        <v>1.691666666666667</v>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13.403125</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58</v>
      </c>
      <c r="F62" s="13" t="n"/>
    </row>
    <row r="63">
      <c r="A63" s="76" t="inlineStr">
        <is>
          <t>Rye</t>
        </is>
      </c>
      <c r="F63" s="13" t="n"/>
    </row>
    <row r="64">
      <c r="A64" s="76" t="inlineStr">
        <is>
          <t>Dredge</t>
        </is>
      </c>
      <c r="F64" s="13" t="n"/>
    </row>
    <row r="65">
      <c r="A65" s="76" t="inlineStr">
        <is>
          <t>Curall</t>
        </is>
      </c>
      <c r="B65" t="n">
        <v>12</v>
      </c>
      <c r="F65" s="13" t="n"/>
    </row>
    <row r="66">
      <c r="A66" s="76" t="inlineStr">
        <is>
          <t>Barley</t>
        </is>
      </c>
      <c r="B66" t="n">
        <v>91</v>
      </c>
      <c r="F66" s="13" t="n"/>
    </row>
    <row r="67">
      <c r="A67" s="76" t="inlineStr">
        <is>
          <t>Oats</t>
        </is>
      </c>
      <c r="B67" t="n">
        <v>170</v>
      </c>
      <c r="F67" s="13" t="n"/>
    </row>
    <row r="68">
      <c r="A68" s="76" t="inlineStr">
        <is>
          <t>Beans</t>
        </is>
      </c>
      <c r="F68" s="13" t="n"/>
    </row>
    <row r="69">
      <c r="A69" s="76" t="inlineStr">
        <is>
          <t>Peas</t>
        </is>
      </c>
      <c r="F69" s="13" t="n"/>
    </row>
    <row r="70">
      <c r="A70" s="76" t="inlineStr">
        <is>
          <t>Vetches</t>
        </is>
      </c>
      <c r="E70" t="n">
        <v>0.1</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v>0</v>
      </c>
      <c r="D88" s="76">
        <f>C88-B88</f>
        <v/>
      </c>
      <c r="F88" s="84">
        <f>'Stock'!K5*'Stock'!O5</f>
        <v/>
      </c>
      <c r="G88" s="84">
        <f>D88*'Stock'!O5</f>
        <v/>
      </c>
    </row>
    <row r="89">
      <c r="A89" s="15" t="inlineStr">
        <is>
          <t>Plough horses</t>
        </is>
      </c>
      <c r="B89" s="76" t="n">
        <v>5</v>
      </c>
      <c r="C89" s="76" t="n">
        <v>6</v>
      </c>
      <c r="D89" s="76" t="n">
        <v>1</v>
      </c>
      <c r="F89" s="84">
        <f>'Stock'!K6*'Stock'!O6</f>
        <v/>
      </c>
      <c r="G89" s="84">
        <f>D89*'Stock'!O6</f>
        <v/>
      </c>
    </row>
    <row r="90">
      <c r="A90" s="15" t="inlineStr">
        <is>
          <t>Colts (2 years)</t>
        </is>
      </c>
      <c r="B90" s="76" t="n"/>
      <c r="C90" s="76" t="n">
        <v>0</v>
      </c>
      <c r="D90" s="76">
        <f>C90-B90</f>
        <v/>
      </c>
      <c r="F90" s="84">
        <f>'Stock'!K8*'Stock'!O8</f>
        <v/>
      </c>
      <c r="G90" s="84">
        <f>D90*'Stock'!O8</f>
        <v/>
      </c>
    </row>
    <row r="91">
      <c r="A91" s="15" t="inlineStr">
        <is>
          <t>Colts (2 years)</t>
        </is>
      </c>
      <c r="B91" s="76" t="n"/>
      <c r="C91" s="76" t="n">
        <v>0</v>
      </c>
      <c r="D91" s="76">
        <f>C91-B91</f>
        <v/>
      </c>
      <c r="F91" s="84">
        <f>'Stock'!K8*'Stock'!O8</f>
        <v/>
      </c>
      <c r="G91" s="84">
        <f>D91*'Stock'!O8</f>
        <v/>
      </c>
    </row>
    <row r="92">
      <c r="A92" s="15" t="inlineStr">
        <is>
          <t>Colts (1 year)</t>
        </is>
      </c>
      <c r="B92" s="76" t="n"/>
      <c r="C92" s="76" t="n">
        <v>0</v>
      </c>
      <c r="D92" s="76">
        <f>C92-B92</f>
        <v/>
      </c>
      <c r="F92" s="84">
        <f>'Stock'!K9*'Stock'!O9</f>
        <v/>
      </c>
      <c r="G92" s="84">
        <f>D92*'Stock'!O9</f>
        <v/>
      </c>
    </row>
    <row r="93">
      <c r="A93" s="15" t="inlineStr">
        <is>
          <t>Foals</t>
        </is>
      </c>
      <c r="B93" s="76" t="n"/>
      <c r="C93" s="76" t="n">
        <v>0</v>
      </c>
      <c r="D93" s="76">
        <f>C93-B93</f>
        <v/>
      </c>
      <c r="F93" s="84">
        <f>'Stock'!K10*'Stock'!O10</f>
        <v/>
      </c>
      <c r="G93" s="84">
        <f>D93*'Stock'!O10</f>
        <v/>
      </c>
    </row>
    <row r="94">
      <c r="A94" s="15" t="inlineStr">
        <is>
          <t>Oxen</t>
        </is>
      </c>
      <c r="B94" s="76" t="n">
        <v>30</v>
      </c>
      <c r="C94" s="76" t="n">
        <v>35</v>
      </c>
      <c r="D94" s="76" t="n">
        <v>5</v>
      </c>
      <c r="F94" s="84">
        <f>'Stock'!K11*'Stock'!O11</f>
        <v/>
      </c>
      <c r="G94" s="84">
        <f>D94*'Stock'!O11</f>
        <v/>
      </c>
    </row>
    <row r="95">
      <c r="A95" s="15" t="inlineStr">
        <is>
          <t>Bulls</t>
        </is>
      </c>
      <c r="B95" s="76" t="n">
        <v>1</v>
      </c>
      <c r="C95" s="76" t="n">
        <v>1</v>
      </c>
      <c r="D95" s="76" t="n">
        <v>0</v>
      </c>
      <c r="F95" s="84">
        <f>'Stock'!K12*'Stock'!O12</f>
        <v/>
      </c>
      <c r="G95" s="84">
        <f>D95*'Stock'!O12</f>
        <v/>
      </c>
    </row>
    <row r="96">
      <c r="A96" s="15" t="inlineStr">
        <is>
          <t>Cows</t>
        </is>
      </c>
      <c r="B96" s="76" t="n">
        <v>17</v>
      </c>
      <c r="C96" s="76" t="n">
        <v>19</v>
      </c>
      <c r="D96" s="76" t="n">
        <v>2</v>
      </c>
      <c r="F96" s="84">
        <f>'Stock'!K13*'Stock'!O13</f>
        <v/>
      </c>
      <c r="G96" s="84">
        <f>D96*'Stock'!O13</f>
        <v/>
      </c>
    </row>
    <row r="97">
      <c r="A97" s="15" t="inlineStr">
        <is>
          <t>Steers</t>
        </is>
      </c>
      <c r="B97" s="76" t="n">
        <v>4</v>
      </c>
      <c r="C97" s="76" t="n">
        <v>0</v>
      </c>
      <c r="D97" s="76" t="n">
        <v>-4</v>
      </c>
      <c r="F97" s="84">
        <f>'Stock'!K14*'Stock'!O14</f>
        <v/>
      </c>
      <c r="G97" s="84">
        <f>D97*'Stock'!O14</f>
        <v/>
      </c>
    </row>
    <row r="98">
      <c r="A98" s="15" t="inlineStr">
        <is>
          <t>Bullocks</t>
        </is>
      </c>
      <c r="B98" s="76" t="n">
        <v>5</v>
      </c>
      <c r="C98" s="76" t="n">
        <v>4</v>
      </c>
      <c r="D98" s="76" t="n">
        <v>-1</v>
      </c>
      <c r="F98" s="84">
        <f>'Stock'!K15*'Stock'!O15</f>
        <v/>
      </c>
      <c r="G98" s="84">
        <f>D98*'Stock'!O15</f>
        <v/>
      </c>
    </row>
    <row r="99">
      <c r="A99" s="15" t="inlineStr">
        <is>
          <t>Yearlings</t>
        </is>
      </c>
      <c r="B99" s="76" t="n">
        <v>6</v>
      </c>
      <c r="C99" s="76" t="n">
        <v>5</v>
      </c>
      <c r="D99" s="76" t="n">
        <v>-1</v>
      </c>
      <c r="F99" s="84">
        <f>'Stock'!K16*'Stock'!O16</f>
        <v/>
      </c>
      <c r="G99" s="84">
        <f>D99*'Stock'!O16</f>
        <v/>
      </c>
    </row>
    <row r="100">
      <c r="A100" s="15" t="inlineStr">
        <is>
          <t>Calves</t>
        </is>
      </c>
      <c r="B100" s="76" t="n"/>
      <c r="C100" s="76" t="n">
        <v>6</v>
      </c>
      <c r="D100" s="76">
        <f>C100-B100</f>
        <v/>
      </c>
      <c r="F100" s="84">
        <f>'Stock'!K17*'Stock'!O17</f>
        <v/>
      </c>
      <c r="G100" s="84">
        <f>D100*'Stock'!O17</f>
        <v/>
      </c>
    </row>
    <row r="101">
      <c r="A101" s="15" t="inlineStr">
        <is>
          <t>Wethers</t>
        </is>
      </c>
      <c r="B101" s="76" t="n">
        <v>383</v>
      </c>
      <c r="C101" s="76" t="n">
        <v>433</v>
      </c>
      <c r="D101" s="76" t="n">
        <v>50</v>
      </c>
      <c r="F101" s="84">
        <f>'Stock'!K18*'Stock'!O18</f>
        <v/>
      </c>
      <c r="G101" s="84">
        <f>D101*'Stock'!O18</f>
        <v/>
      </c>
    </row>
    <row r="102">
      <c r="A102" s="15" t="inlineStr">
        <is>
          <t>Rams</t>
        </is>
      </c>
      <c r="B102" s="76" t="n"/>
      <c r="C102" s="76" t="n">
        <v>0</v>
      </c>
      <c r="D102" s="76">
        <f>C102-B102</f>
        <v/>
      </c>
      <c r="F102" s="84">
        <f>'Stock'!K19*'Stock'!O19</f>
        <v/>
      </c>
      <c r="G102" s="84">
        <f>D102*'Stock'!O19</f>
        <v/>
      </c>
    </row>
    <row r="103">
      <c r="A103" s="15" t="inlineStr">
        <is>
          <t>Ewes</t>
        </is>
      </c>
      <c r="B103" s="76" t="n">
        <v>536</v>
      </c>
      <c r="C103" s="76" t="n">
        <v>575</v>
      </c>
      <c r="D103" s="76" t="n">
        <v>39</v>
      </c>
      <c r="F103" s="84">
        <f>'Stock'!K20*'Stock'!O20</f>
        <v/>
      </c>
      <c r="G103" s="84">
        <f>D103*'Stock'!O20</f>
        <v/>
      </c>
    </row>
    <row r="104">
      <c r="A104" s="15" t="inlineStr">
        <is>
          <t>Hoggs</t>
        </is>
      </c>
      <c r="B104" s="76" t="n">
        <v>286</v>
      </c>
      <c r="C104" s="76" t="n">
        <v>0</v>
      </c>
      <c r="D104" s="76" t="n">
        <v>-286</v>
      </c>
      <c r="F104" s="84">
        <f>'Stock'!K21*'Stock'!O21</f>
        <v/>
      </c>
      <c r="G104" s="84">
        <f>D104*'Stock'!O21</f>
        <v/>
      </c>
    </row>
    <row r="105">
      <c r="A105" s="15" t="inlineStr">
        <is>
          <t>Lambs</t>
        </is>
      </c>
      <c r="B105" s="76" t="n"/>
      <c r="C105" s="76" t="n">
        <v>268</v>
      </c>
      <c r="D105" s="76">
        <f>C105-B105</f>
        <v/>
      </c>
      <c r="F105" s="84">
        <f>'Stock'!K22*'Stock'!O22</f>
        <v/>
      </c>
      <c r="G105" s="84">
        <f>D105*'Stock'!O22</f>
        <v/>
      </c>
    </row>
    <row r="106">
      <c r="A106" s="15" t="inlineStr">
        <is>
          <t>Boars</t>
        </is>
      </c>
      <c r="B106" s="76" t="n">
        <v>1</v>
      </c>
      <c r="C106" s="76" t="n">
        <v>1</v>
      </c>
      <c r="D106" s="76" t="n">
        <v>0</v>
      </c>
      <c r="F106" s="84">
        <f>'Stock'!K23*'Stock'!O23</f>
        <v/>
      </c>
      <c r="G106" s="84">
        <f>D106*'Stock'!O23</f>
        <v/>
      </c>
    </row>
    <row r="107">
      <c r="A107" s="15" t="inlineStr">
        <is>
          <t>Sows</t>
        </is>
      </c>
      <c r="B107" s="76" t="n"/>
      <c r="C107" s="76" t="n">
        <v>0</v>
      </c>
      <c r="D107" s="76">
        <f>C107-B107</f>
        <v/>
      </c>
      <c r="F107" s="84">
        <f>'Stock'!K24*'Stock'!O24</f>
        <v/>
      </c>
      <c r="G107" s="84">
        <f>D107*'Stock'!O24</f>
        <v/>
      </c>
    </row>
    <row r="108">
      <c r="A108" s="15" t="inlineStr">
        <is>
          <t>Pigs</t>
        </is>
      </c>
      <c r="B108" s="76" t="n">
        <v>27</v>
      </c>
      <c r="C108" s="76" t="n">
        <v>30</v>
      </c>
      <c r="D108" s="76" t="n">
        <v>3</v>
      </c>
      <c r="F108" s="84">
        <f>'Stock'!K25*'Stock'!O25</f>
        <v/>
      </c>
      <c r="G108" s="84">
        <f>D108*'Stock'!O25</f>
        <v/>
      </c>
    </row>
    <row r="109">
      <c r="A109" s="15" t="inlineStr">
        <is>
          <t>Hoggets</t>
        </is>
      </c>
      <c r="B109" s="76" t="n">
        <v>29</v>
      </c>
      <c r="C109" s="76" t="n">
        <v>0</v>
      </c>
      <c r="D109" s="76" t="n">
        <v>-29</v>
      </c>
      <c r="F109" s="84">
        <f>'Stock'!K26*'Stock'!O26</f>
        <v/>
      </c>
      <c r="G109" s="84">
        <f>D109*'Stock'!O26</f>
        <v/>
      </c>
    </row>
    <row r="110">
      <c r="A110" s="15" t="inlineStr">
        <is>
          <t>Piglets</t>
        </is>
      </c>
      <c r="B110" s="76" t="n"/>
      <c r="C110" s="76" t="n">
        <v>23</v>
      </c>
      <c r="D110" s="76">
        <f>C110-B110</f>
        <v/>
      </c>
      <c r="F110" s="84">
        <f>'Stock'!K27*'Stock'!O27</f>
        <v/>
      </c>
      <c r="G110" s="84">
        <f>D110*'Stock'!O27</f>
        <v/>
      </c>
    </row>
    <row r="111">
      <c r="A111" s="15" t="inlineStr">
        <is>
          <t>Swans</t>
        </is>
      </c>
      <c r="B111" s="76" t="n"/>
      <c r="C111" s="76" t="n">
        <v>0</v>
      </c>
      <c r="D111" s="76">
        <f>C111-B111</f>
        <v/>
      </c>
      <c r="F111" s="84">
        <f>'Stock'!K28*'Stock'!O28</f>
        <v/>
      </c>
      <c r="G111" s="84">
        <f>D111*'Stock'!O28</f>
        <v/>
      </c>
    </row>
    <row r="112">
      <c r="A112" s="15" t="inlineStr">
        <is>
          <t>Peacocks</t>
        </is>
      </c>
      <c r="B112" s="76" t="n"/>
      <c r="C112" s="76" t="n">
        <v>0</v>
      </c>
      <c r="D112" s="76">
        <f>C112-B112</f>
        <v/>
      </c>
      <c r="F112" s="84">
        <f>'Stock'!K29*'Stock'!O29</f>
        <v/>
      </c>
      <c r="G112" s="84">
        <f>D112*'Stock'!O29</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C119" t="n">
        <v>0</v>
      </c>
      <c r="F119">
        <f>C119*'Stock'!O35</f>
        <v/>
      </c>
    </row>
    <row r="120">
      <c r="A120" s="15" t="inlineStr">
        <is>
          <t>Lamb's wool</t>
        </is>
      </c>
      <c r="C120" t="n">
        <v>0</v>
      </c>
      <c r="F120">
        <f>C120*'Stock'!O36</f>
        <v/>
      </c>
    </row>
    <row r="121">
      <c r="A121" s="15" t="inlineStr">
        <is>
          <t>Wool locks</t>
        </is>
      </c>
      <c r="C121" t="n">
        <v>0</v>
      </c>
      <c r="F121">
        <f>C121*'Stock'!O37</f>
        <v/>
      </c>
    </row>
    <row r="122">
      <c r="A122" s="15" t="inlineStr">
        <is>
          <t>Wool sold at shearing</t>
        </is>
      </c>
      <c r="C122" t="n">
        <v>0</v>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f>C152*'Stock'!O68</f>
        <v/>
      </c>
    </row>
    <row r="153">
      <c r="A153" s="15" t="inlineStr">
        <is>
          <t>Capons (from chickens)</t>
        </is>
      </c>
      <c r="B153" s="76" t="n">
        <v>0</v>
      </c>
      <c r="C153" s="76" t="n">
        <v>0</v>
      </c>
      <c r="D153" s="76" t="n">
        <v>0</v>
      </c>
      <c r="F153" s="76">
        <f>C153*'Stock'!O69</f>
        <v/>
      </c>
    </row>
    <row r="154">
      <c r="A154" s="15" t="inlineStr">
        <is>
          <t>Cocks &amp; hens</t>
        </is>
      </c>
      <c r="B154" s="76" t="n">
        <v>0</v>
      </c>
      <c r="C154" s="76" t="n">
        <v>0</v>
      </c>
      <c r="D154" s="76" t="n">
        <v>0</v>
      </c>
      <c r="F154" s="76">
        <f>C154*'Stock'!O70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f>C166*'Stock'!O89</f>
        <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row r="1">
      <c r="A1" s="59" t="inlineStr">
        <is>
          <t>No mill account for Adderbury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68"/>
  <sheetViews>
    <sheetView topLeftCell="A1" workbookViewId="0">
      <selection activeCell="A1" sqref="A1"/>
    </sheetView>
  </sheetViews>
  <sheetFormatPr baseColWidth="8" defaultColWidth="8.81640625" defaultRowHeight="14.5"/>
  <cols>
    <col width="33.1796875" bestFit="1" customWidth="1" min="1" max="1"/>
    <col width="26.81640625" customWidth="1" min="2" max="2"/>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Adderbury</t>
        </is>
      </c>
      <c r="B2" t="inlineStr">
        <is>
          <t>The account2 of William Jakeman,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£6 9 shilling 6.25pence for all rents of assize at St Thomas the Apostle (21 December).</t>
        </is>
      </c>
      <c r="C4" t="n">
        <v>6.48</v>
      </c>
      <c r="D4" t="n">
        <v>6</v>
      </c>
      <c r="E4" t="n">
        <v>9</v>
      </c>
      <c r="F4" t="n">
        <v>6.25</v>
      </c>
      <c r="H4" t="n">
        <v>0</v>
      </c>
      <c r="I4" t="n">
        <v>0</v>
      </c>
      <c r="J4" t="n">
        <v>0</v>
      </c>
      <c r="K4" t="n">
        <v>0</v>
      </c>
      <c r="L4" t="n">
        <v>0</v>
      </c>
      <c r="M4" t="n">
        <v>0</v>
      </c>
      <c r="N4" t="n">
        <v>0</v>
      </c>
    </row>
    <row r="5">
      <c r="A5" t="inlineStr">
        <is>
          <t>Rents of assize</t>
        </is>
      </c>
      <c r="B5" t="inlineStr">
        <is>
          <t>£6 9 shilling 8.5pence at Easter (23 March).</t>
        </is>
      </c>
      <c r="C5" t="n">
        <v>6.49</v>
      </c>
      <c r="D5" t="n">
        <v>6</v>
      </c>
      <c r="E5" t="n">
        <v>9</v>
      </c>
      <c r="F5" t="n">
        <v>8.5</v>
      </c>
      <c r="H5" t="n">
        <v>0</v>
      </c>
      <c r="I5" t="n">
        <v>0</v>
      </c>
      <c r="J5" t="n">
        <v>0</v>
      </c>
      <c r="K5" t="n">
        <v>0</v>
      </c>
      <c r="L5" t="n">
        <v>0</v>
      </c>
      <c r="M5" t="n">
        <v>0</v>
      </c>
      <c r="N5" t="n">
        <v>0</v>
      </c>
    </row>
    <row r="6">
      <c r="A6" t="inlineStr">
        <is>
          <t>Rents of assize</t>
        </is>
      </c>
      <c r="B6" t="inlineStr">
        <is>
          <t>£6 9 shilling 6.25pence at the Nativity of St John the Baptist (24 June).</t>
        </is>
      </c>
      <c r="C6" t="n">
        <v>6.48</v>
      </c>
      <c r="D6" t="n">
        <v>6</v>
      </c>
      <c r="E6" t="n">
        <v>9</v>
      </c>
      <c r="F6" t="n">
        <v>6.25</v>
      </c>
      <c r="H6" t="n">
        <v>0</v>
      </c>
      <c r="I6" t="n">
        <v>0</v>
      </c>
      <c r="J6" t="n">
        <v>0</v>
      </c>
      <c r="K6" t="n">
        <v>0</v>
      </c>
      <c r="L6" t="n">
        <v>0</v>
      </c>
      <c r="M6" t="n">
        <v>0</v>
      </c>
      <c r="N6" t="n">
        <v>0</v>
      </c>
    </row>
    <row r="7">
      <c r="A7" t="inlineStr">
        <is>
          <t>Rents of assize</t>
        </is>
      </c>
      <c r="B7" t="inlineStr">
        <is>
          <t>£6 10 shilling 1.5pence at Michaelmas (29 September).</t>
        </is>
      </c>
      <c r="C7" t="n">
        <v>6.51</v>
      </c>
      <c r="D7" t="n">
        <v>6</v>
      </c>
      <c r="E7" t="n">
        <v>10</v>
      </c>
      <c r="F7" t="n">
        <v>1.5</v>
      </c>
      <c r="H7" t="n">
        <v>0</v>
      </c>
      <c r="I7" t="n">
        <v>0</v>
      </c>
      <c r="J7" t="n">
        <v>0</v>
      </c>
      <c r="K7" t="n">
        <v>0</v>
      </c>
      <c r="L7" t="n">
        <v>0</v>
      </c>
      <c r="M7" t="n">
        <v>0</v>
      </c>
      <c r="N7" t="n">
        <v>0</v>
      </c>
    </row>
    <row r="8">
      <c r="A8" t="inlineStr">
        <is>
          <t>Rents of assize</t>
        </is>
      </c>
      <c r="B8" t="inlineStr">
        <is>
          <t>Total, £25 18 shilling 10.5pence.</t>
        </is>
      </c>
      <c r="C8" t="n">
        <v>25.94</v>
      </c>
      <c r="D8" t="n">
        <v>25</v>
      </c>
      <c r="E8" t="n">
        <v>18</v>
      </c>
      <c r="F8" t="n">
        <v>10.5</v>
      </c>
      <c r="H8" t="n">
        <v>0</v>
      </c>
      <c r="I8" t="n">
        <v>0</v>
      </c>
      <c r="J8" t="n">
        <v>0</v>
      </c>
      <c r="K8" t="n">
        <v>0</v>
      </c>
      <c r="L8" t="n">
        <v>0</v>
      </c>
      <c r="M8" t="n">
        <v>0</v>
      </c>
      <c r="N8" t="n">
        <v>0</v>
      </c>
    </row>
    <row r="9">
      <c r="A9" t="inlineStr">
        <is>
          <t>Quittances of rent</t>
        </is>
      </c>
      <c r="B9" t="inlineStr">
        <is>
          <t>In quittance of rent of 1 reeve for the year 5 shilling.</t>
        </is>
      </c>
      <c r="C9" t="n">
        <v>0.25</v>
      </c>
      <c r="D9" t="n">
        <v>0</v>
      </c>
      <c r="E9" t="n">
        <v>5</v>
      </c>
      <c r="F9" t="n">
        <v>0</v>
      </c>
      <c r="H9" t="n">
        <v>0</v>
      </c>
      <c r="I9" t="n">
        <v>0</v>
      </c>
      <c r="J9" t="n">
        <v>0</v>
      </c>
      <c r="K9" t="n">
        <v>0</v>
      </c>
      <c r="L9" t="n">
        <v>0</v>
      </c>
      <c r="M9" t="n">
        <v>0</v>
      </c>
      <c r="N9" t="n">
        <v>0</v>
      </c>
    </row>
    <row r="10">
      <c r="A10" t="inlineStr">
        <is>
          <t>Quittances of rent</t>
        </is>
      </c>
      <c r="B10" t="inlineStr">
        <is>
          <t>nothing this year of the 4 shilling for 1 smith forging the ironwork of 2 ploughs for the year.</t>
        </is>
      </c>
      <c r="C10" t="n">
        <v>0.2</v>
      </c>
      <c r="D10" t="n">
        <v>0</v>
      </c>
      <c r="E10" t="n">
        <v>4</v>
      </c>
      <c r="F10" t="n">
        <v>0</v>
      </c>
      <c r="H10" t="n">
        <v>0</v>
      </c>
      <c r="I10" t="n">
        <v>0</v>
      </c>
      <c r="J10" t="n">
        <v>0</v>
      </c>
      <c r="K10" t="n">
        <v>0</v>
      </c>
      <c r="L10" t="n">
        <v>0</v>
      </c>
      <c r="M10" t="n">
        <v>0</v>
      </c>
      <c r="N10" t="n">
        <v>0</v>
      </c>
    </row>
    <row r="11">
      <c r="A11" t="inlineStr">
        <is>
          <t>Quittances of rent</t>
        </is>
      </c>
      <c r="B11" t="inlineStr">
        <is>
          <t>nothing this year of the 4 shilling for 1 shepherd keeping the lord's wethers for the year.</t>
        </is>
      </c>
      <c r="C11" t="n">
        <v>0.2</v>
      </c>
      <c r="D11" t="n">
        <v>0</v>
      </c>
      <c r="E11" t="n">
        <v>4</v>
      </c>
      <c r="F11" t="n">
        <v>0</v>
      </c>
      <c r="H11" t="n">
        <v>0</v>
      </c>
      <c r="I11" t="n">
        <v>0</v>
      </c>
      <c r="J11" t="n">
        <v>0</v>
      </c>
      <c r="K11" t="n">
        <v>0</v>
      </c>
      <c r="L11" t="n">
        <v>0</v>
      </c>
      <c r="M11" t="n">
        <v>0</v>
      </c>
      <c r="N11" t="n">
        <v>0</v>
      </c>
    </row>
    <row r="12">
      <c r="A12" t="inlineStr">
        <is>
          <t>Quittances of rent</t>
        </is>
      </c>
      <c r="B12" t="inlineStr">
        <is>
          <t>nothing this year of the 4 shilling for 1 swineherd for the year.</t>
        </is>
      </c>
      <c r="C12" t="n">
        <v>0.2</v>
      </c>
      <c r="D12" t="n">
        <v>0</v>
      </c>
      <c r="E12" t="n">
        <v>4</v>
      </c>
      <c r="F12" t="n">
        <v>0</v>
      </c>
      <c r="H12" t="n">
        <v>0</v>
      </c>
      <c r="I12" t="n">
        <v>0</v>
      </c>
      <c r="J12" t="n">
        <v>0</v>
      </c>
      <c r="K12" t="n">
        <v>0</v>
      </c>
      <c r="L12" t="n">
        <v>0</v>
      </c>
      <c r="M12" t="n">
        <v>0</v>
      </c>
      <c r="N12" t="n">
        <v>0</v>
      </c>
    </row>
    <row r="13">
      <c r="A13" t="inlineStr">
        <is>
          <t>Quittances of rent</t>
        </is>
      </c>
      <c r="B13" t="inlineStr">
        <is>
          <t>nothing this year of the 4 shilling for 1 cowherd for the year.</t>
        </is>
      </c>
      <c r="C13" t="n">
        <v>0.2</v>
      </c>
      <c r="D13" t="n">
        <v>0</v>
      </c>
      <c r="E13" t="n">
        <v>4</v>
      </c>
      <c r="F13" t="n">
        <v>0</v>
      </c>
      <c r="H13" t="n">
        <v>0</v>
      </c>
      <c r="I13" t="n">
        <v>0</v>
      </c>
      <c r="J13" t="n">
        <v>0</v>
      </c>
      <c r="K13" t="n">
        <v>0</v>
      </c>
      <c r="L13" t="n">
        <v>0</v>
      </c>
      <c r="M13" t="n">
        <v>0</v>
      </c>
      <c r="N13" t="n">
        <v>0</v>
      </c>
    </row>
    <row r="14">
      <c r="A14" t="inlineStr">
        <is>
          <t>Quittances of rent</t>
        </is>
      </c>
      <c r="B14" t="inlineStr">
        <is>
          <t>nothing this year of the 2 shilling 7.5pence for 1 customary tenant who was accustomed to provide all the necessaries pertaining to 1 plough, apart from iron and steel, with 1 man.</t>
        </is>
      </c>
      <c r="C14" t="n">
        <v>0.13</v>
      </c>
      <c r="D14" t="n">
        <v>0</v>
      </c>
      <c r="E14" t="n">
        <v>2</v>
      </c>
      <c r="F14" t="n">
        <v>7.5</v>
      </c>
      <c r="H14" t="n">
        <v>0</v>
      </c>
      <c r="I14" t="n">
        <v>0</v>
      </c>
      <c r="J14" t="n">
        <v>0</v>
      </c>
      <c r="K14" t="n">
        <v>0</v>
      </c>
      <c r="L14" t="n">
        <v>0</v>
      </c>
      <c r="M14" t="n">
        <v>0</v>
      </c>
      <c r="N14" t="n">
        <v>0</v>
      </c>
    </row>
    <row r="15">
      <c r="A15" t="inlineStr">
        <is>
          <t>Quittances of rent</t>
        </is>
      </c>
      <c r="B15" t="inlineStr">
        <is>
          <t>nothing this year of the 5 shilling 4pence for 2 drovers for the year.</t>
        </is>
      </c>
      <c r="C15" t="n">
        <v>0.27</v>
      </c>
      <c r="D15" t="n">
        <v>0</v>
      </c>
      <c r="E15" t="n">
        <v>5</v>
      </c>
      <c r="F15" t="n">
        <v>4</v>
      </c>
      <c r="H15" t="n">
        <v>0</v>
      </c>
      <c r="I15" t="n">
        <v>0</v>
      </c>
      <c r="J15" t="n">
        <v>0</v>
      </c>
      <c r="K15" t="n">
        <v>0</v>
      </c>
      <c r="L15" t="n">
        <v>0</v>
      </c>
      <c r="M15" t="n">
        <v>0</v>
      </c>
      <c r="N15" t="n">
        <v>0</v>
      </c>
    </row>
    <row r="16">
      <c r="A16" t="inlineStr">
        <is>
          <t>Quittances of rent</t>
        </is>
      </c>
      <c r="B16" t="inlineStr">
        <is>
          <t>37 virgaters working every other day between the Nativity of St John the Baptist and Michaelmas £1 7 shilling 9pence, or 9pence a virgate.</t>
        </is>
      </c>
      <c r="C16" t="n">
        <v>1.39</v>
      </c>
      <c r="D16" t="n">
        <v>1</v>
      </c>
      <c r="E16" t="n">
        <v>7</v>
      </c>
      <c r="F16" t="n">
        <v>9</v>
      </c>
      <c r="H16" t="n">
        <v>0</v>
      </c>
      <c r="I16" t="n">
        <v>0</v>
      </c>
      <c r="J16" t="n">
        <v>0</v>
      </c>
      <c r="K16" t="n">
        <v>0</v>
      </c>
      <c r="L16" t="n">
        <v>0</v>
      </c>
      <c r="M16" t="n">
        <v>0</v>
      </c>
      <c r="N16" t="n">
        <v>0</v>
      </c>
    </row>
    <row r="17">
      <c r="A17" t="inlineStr">
        <is>
          <t>Quittances of rent</t>
        </is>
      </c>
      <c r="B17" t="inlineStr">
        <is>
          <t>2 cotlanders holding in tenure working for the same time 1 shilling, or 6pence each, and not more because 6 cotlands are in the lord's hands.</t>
        </is>
      </c>
      <c r="C17" t="n">
        <v>0.08</v>
      </c>
      <c r="D17" t="n">
        <v>0</v>
      </c>
      <c r="E17" t="n">
        <v>1</v>
      </c>
      <c r="F17" t="n">
        <v>6</v>
      </c>
      <c r="H17" t="n">
        <v>0</v>
      </c>
      <c r="I17" t="n">
        <v>0</v>
      </c>
      <c r="J17" t="n">
        <v>0</v>
      </c>
      <c r="K17" t="n">
        <v>0</v>
      </c>
      <c r="L17" t="n">
        <v>0</v>
      </c>
      <c r="M17" t="n">
        <v>0</v>
      </c>
      <c r="N17" t="n">
        <v>0</v>
      </c>
    </row>
    <row r="18">
      <c r="A18" t="inlineStr">
        <is>
          <t>Quittances of rent</t>
        </is>
      </c>
      <c r="B18" t="inlineStr">
        <is>
          <t>And note that the aforesaid workers are to weed the lord's corn, mow the meadows, make the hay and make haycocks therefrom, clean the curia, collect dung inside the curia and carry it outside, reap and bind all the lord's corn with the hired reapers as made clear elsewhere, stack all the lord's corn, collect the stubble and do other work in the manor when it was necessary.</t>
        </is>
      </c>
      <c r="C18" t="n">
        <v>0</v>
      </c>
      <c r="D18" t="n">
        <v>0</v>
      </c>
      <c r="E18" t="n">
        <v>0</v>
      </c>
      <c r="F18" t="n">
        <v>0</v>
      </c>
      <c r="H18" t="n">
        <v>0</v>
      </c>
      <c r="I18" t="n">
        <v>0</v>
      </c>
      <c r="J18" t="n">
        <v>0</v>
      </c>
      <c r="K18" t="n">
        <v>0</v>
      </c>
      <c r="L18" t="n">
        <v>0</v>
      </c>
      <c r="M18" t="n">
        <v>0</v>
      </c>
      <c r="N18" t="n">
        <v>0</v>
      </c>
    </row>
    <row r="19">
      <c r="A19" t="inlineStr">
        <is>
          <t>Quittances of rent</t>
        </is>
      </c>
      <c r="B19" t="inlineStr">
        <is>
          <t>Total, £1 13 shilling 9pence.</t>
        </is>
      </c>
      <c r="C19" t="n">
        <v>1.69</v>
      </c>
      <c r="D19" t="n">
        <v>1</v>
      </c>
      <c r="E19" t="n">
        <v>13</v>
      </c>
      <c r="F19" t="n">
        <v>9</v>
      </c>
      <c r="H19" t="n">
        <v>0</v>
      </c>
      <c r="I19" t="n">
        <v>0</v>
      </c>
      <c r="J19" t="n">
        <v>0</v>
      </c>
      <c r="K19" t="n">
        <v>0</v>
      </c>
      <c r="L19" t="n">
        <v>0</v>
      </c>
      <c r="M19" t="n">
        <v>0</v>
      </c>
      <c r="N19" t="n">
        <v>0</v>
      </c>
    </row>
    <row r="20">
      <c r="A20" t="inlineStr">
        <is>
          <t>Defaults of rent</t>
        </is>
      </c>
      <c r="B20" t="inlineStr">
        <is>
          <t>Default of the meadow which John Bryddesthorn' held for his life drawn into demesne, 10 shilling for the year.</t>
        </is>
      </c>
      <c r="C20" t="n">
        <v>0.5</v>
      </c>
      <c r="D20" t="n">
        <v>0</v>
      </c>
      <c r="E20" t="n">
        <v>10</v>
      </c>
      <c r="F20" t="n">
        <v>0</v>
      </c>
      <c r="H20" t="n">
        <v>0</v>
      </c>
      <c r="I20" t="n">
        <v>0</v>
      </c>
      <c r="J20" t="n">
        <v>0</v>
      </c>
      <c r="K20" t="n">
        <v>0</v>
      </c>
      <c r="L20" t="n">
        <v>0</v>
      </c>
      <c r="M20" t="n">
        <v>0</v>
      </c>
      <c r="N20" t="n">
        <v>0</v>
      </c>
    </row>
    <row r="21">
      <c r="A21" t="inlineStr">
        <is>
          <t>Defaults of rent</t>
        </is>
      </c>
      <c r="B21" t="inlineStr">
        <is>
          <t>1 toft and 1 curtilage of villein land called Cokpedehall', in the lord's hands from a want of tenants because noone wished to hold it, 6pence.</t>
        </is>
      </c>
      <c r="C21" t="n">
        <v>0.03</v>
      </c>
      <c r="D21" t="n">
        <v>0</v>
      </c>
      <c r="E21" t="n">
        <v>0</v>
      </c>
      <c r="F21" t="n">
        <v>6</v>
      </c>
      <c r="H21" t="n">
        <v>0</v>
      </c>
      <c r="I21" t="n">
        <v>0</v>
      </c>
      <c r="J21" t="n">
        <v>0</v>
      </c>
      <c r="K21" t="n">
        <v>0</v>
      </c>
      <c r="L21" t="n">
        <v>0</v>
      </c>
      <c r="M21" t="n">
        <v>0</v>
      </c>
      <c r="N21" t="n">
        <v>0</v>
      </c>
    </row>
    <row r="22">
      <c r="A22" t="inlineStr">
        <is>
          <t>Defaults of rent</t>
        </is>
      </c>
      <c r="B22" t="inlineStr">
        <is>
          <t>Total, 10 shilling6pence.</t>
        </is>
      </c>
      <c r="C22" t="n">
        <v>0.53</v>
      </c>
      <c r="D22" t="n">
        <v>0</v>
      </c>
      <c r="E22" t="n">
        <v>10</v>
      </c>
      <c r="F22" t="n">
        <v>6</v>
      </c>
      <c r="H22" t="n">
        <v>0</v>
      </c>
      <c r="I22" t="n">
        <v>0</v>
      </c>
      <c r="J22" t="n">
        <v>0</v>
      </c>
      <c r="K22" t="n">
        <v>0</v>
      </c>
      <c r="L22" t="n">
        <v>0</v>
      </c>
      <c r="M22" t="n">
        <v>0</v>
      </c>
      <c r="N22" t="n">
        <v>0</v>
      </c>
    </row>
    <row r="23">
      <c r="A23" t="inlineStr">
        <is>
          <t>Defaults of rent through the pestilence</t>
        </is>
      </c>
      <c r="B23" t="inlineStr">
        <is>
          <t>In default of 1 messuage and 1 acreland formerly of Richard Bolt, in the lord's hands from a want of tenants, 4 shilling 10pence for the year, and demised at farm as made clear below.</t>
        </is>
      </c>
      <c r="C23" t="n">
        <v>0.24</v>
      </c>
      <c r="D23" t="n">
        <v>0</v>
      </c>
      <c r="E23" t="n">
        <v>4</v>
      </c>
      <c r="F23" t="n">
        <v>10</v>
      </c>
      <c r="H23" t="n">
        <v>0</v>
      </c>
      <c r="I23" t="n">
        <v>0</v>
      </c>
      <c r="J23" t="n">
        <v>0</v>
      </c>
      <c r="K23" t="n">
        <v>0</v>
      </c>
      <c r="L23" t="n">
        <v>0</v>
      </c>
      <c r="M23" t="n">
        <v>0</v>
      </c>
      <c r="N23" t="n">
        <v>0</v>
      </c>
    </row>
    <row r="24">
      <c r="A24" t="inlineStr">
        <is>
          <t>Defaults of rent through the pestilence</t>
        </is>
      </c>
      <c r="B24" t="inlineStr">
        <is>
          <t>1 messuage and 1 acreland formerly of John Stephen' and afterwards of Mabel Dawe in the lord's hands, 2 shilling 6pence for the year, and at farm as made clear below.</t>
        </is>
      </c>
      <c r="C24" t="n">
        <v>0.12</v>
      </c>
      <c r="D24" t="n">
        <v>0</v>
      </c>
      <c r="E24" t="n">
        <v>2</v>
      </c>
      <c r="F24" t="n">
        <v>6</v>
      </c>
      <c r="H24" t="n">
        <v>0</v>
      </c>
      <c r="I24" t="n">
        <v>0</v>
      </c>
      <c r="J24" t="n">
        <v>0</v>
      </c>
      <c r="K24" t="n">
        <v>0</v>
      </c>
      <c r="L24" t="n">
        <v>0</v>
      </c>
      <c r="M24" t="n">
        <v>0</v>
      </c>
      <c r="N24" t="n">
        <v>0</v>
      </c>
    </row>
    <row r="25">
      <c r="A25" t="inlineStr">
        <is>
          <t>Defaults of rent through the pestilence</t>
        </is>
      </c>
      <c r="B25" t="inlineStr">
        <is>
          <t>1 messuage and 1 acreland formerly of Richard Dolphin in the lord's hands, 2 shilling 9pence for the year, and at farm as made clear below.</t>
        </is>
      </c>
      <c r="C25" t="n">
        <v>0.14</v>
      </c>
      <c r="D25" t="n">
        <v>0</v>
      </c>
      <c r="E25" t="n">
        <v>2</v>
      </c>
      <c r="F25" t="n">
        <v>9</v>
      </c>
      <c r="H25" t="n">
        <v>0</v>
      </c>
      <c r="I25" t="n">
        <v>0</v>
      </c>
      <c r="J25" t="n">
        <v>0</v>
      </c>
      <c r="K25" t="n">
        <v>0</v>
      </c>
      <c r="L25" t="n">
        <v>0</v>
      </c>
      <c r="M25" t="n">
        <v>0</v>
      </c>
      <c r="N25" t="n">
        <v>0</v>
      </c>
    </row>
    <row r="26">
      <c r="A26" t="inlineStr">
        <is>
          <t>Defaults of rent through the pestilence</t>
        </is>
      </c>
      <c r="B26" t="inlineStr">
        <is>
          <t>1 messuage and 1 acreland formerly of Richard Acreman and afterwards of Alan Acreman in the lord's hands, 5 shilling 6pence for the year, and at farm as made clear below.</t>
        </is>
      </c>
      <c r="C26" t="n">
        <v>0.28</v>
      </c>
      <c r="D26" t="n">
        <v>0</v>
      </c>
      <c r="E26" t="n">
        <v>5</v>
      </c>
      <c r="F26" t="n">
        <v>6</v>
      </c>
      <c r="H26" t="n">
        <v>0</v>
      </c>
      <c r="I26" t="n">
        <v>0</v>
      </c>
      <c r="J26" t="n">
        <v>0</v>
      </c>
      <c r="K26" t="n">
        <v>0</v>
      </c>
      <c r="L26" t="n">
        <v>0</v>
      </c>
      <c r="M26" t="n">
        <v>0</v>
      </c>
      <c r="N26" t="n">
        <v>0</v>
      </c>
    </row>
    <row r="27">
      <c r="A27" t="inlineStr">
        <is>
          <t>Defaults of rent through the pestilence</t>
        </is>
      </c>
      <c r="B27" t="inlineStr">
        <is>
          <t>1 messuage and 1 acreland formerly of John Osbarn' and afterwards of John Dolphyn in the lord's hands, 2 shilling 6pence for the year, and at farm as made clear below.</t>
        </is>
      </c>
      <c r="C27" t="n">
        <v>0.12</v>
      </c>
      <c r="D27" t="n">
        <v>0</v>
      </c>
      <c r="E27" t="n">
        <v>2</v>
      </c>
      <c r="F27" t="n">
        <v>6</v>
      </c>
      <c r="H27" t="n">
        <v>0</v>
      </c>
      <c r="I27" t="n">
        <v>0</v>
      </c>
      <c r="J27" t="n">
        <v>0</v>
      </c>
      <c r="K27" t="n">
        <v>0</v>
      </c>
      <c r="L27" t="n">
        <v>0</v>
      </c>
      <c r="M27" t="n">
        <v>0</v>
      </c>
      <c r="N27" t="n">
        <v>0</v>
      </c>
    </row>
    <row r="28">
      <c r="A28" t="inlineStr">
        <is>
          <t>Defaults of rent through the pestilence</t>
        </is>
      </c>
      <c r="B28" t="inlineStr">
        <is>
          <t>1 messuage and 1 acreland formerly of John Buryman in the lord's hands, 2 shilling 6pence for the year, and at farm as made clear below.</t>
        </is>
      </c>
      <c r="C28" t="n">
        <v>0.12</v>
      </c>
      <c r="D28" t="n">
        <v>0</v>
      </c>
      <c r="E28" t="n">
        <v>2</v>
      </c>
      <c r="F28" t="n">
        <v>6</v>
      </c>
      <c r="H28" t="n">
        <v>0</v>
      </c>
      <c r="I28" t="n">
        <v>0</v>
      </c>
      <c r="J28" t="n">
        <v>0</v>
      </c>
      <c r="K28" t="n">
        <v>0</v>
      </c>
      <c r="L28" t="n">
        <v>0</v>
      </c>
      <c r="M28" t="n">
        <v>0</v>
      </c>
      <c r="N28" t="n">
        <v>0</v>
      </c>
    </row>
    <row r="29">
      <c r="A29" t="inlineStr">
        <is>
          <t>Defaults of rent through the pestilence</t>
        </is>
      </c>
      <c r="B29" t="inlineStr">
        <is>
          <t>1 messuage and 1 acreland formerly of John Geffray and afterwards of Richard Smyth' in the lord's hands, 2 shilling 9pence for the year, and at farm as made clear below.</t>
        </is>
      </c>
      <c r="C29" t="n">
        <v>0.14</v>
      </c>
      <c r="D29" t="n">
        <v>0</v>
      </c>
      <c r="E29" t="n">
        <v>2</v>
      </c>
      <c r="F29" t="n">
        <v>9</v>
      </c>
      <c r="H29" t="n">
        <v>0</v>
      </c>
      <c r="I29" t="n">
        <v>0</v>
      </c>
      <c r="J29" t="n">
        <v>0</v>
      </c>
      <c r="K29" t="n">
        <v>0</v>
      </c>
      <c r="L29" t="n">
        <v>0</v>
      </c>
      <c r="M29" t="n">
        <v>0</v>
      </c>
      <c r="N29" t="n">
        <v>0</v>
      </c>
    </row>
    <row r="30">
      <c r="A30" t="inlineStr">
        <is>
          <t>Cotlands</t>
        </is>
      </c>
      <c r="B30" t="inlineStr">
        <is>
          <t>In default of 1 messuage and 1 cotland formerly of Gilbert Buryman and afterwards of William Som' in the lord's hands, 4 shilling for the year, and at farm as made clear below.</t>
        </is>
      </c>
      <c r="C30" t="n">
        <v>0.2</v>
      </c>
      <c r="D30" t="n">
        <v>0</v>
      </c>
      <c r="E30" t="n">
        <v>4</v>
      </c>
      <c r="F30" t="n">
        <v>0</v>
      </c>
      <c r="H30" t="n">
        <v>0</v>
      </c>
      <c r="I30" t="n">
        <v>0</v>
      </c>
      <c r="J30" t="n">
        <v>0</v>
      </c>
      <c r="K30" t="n">
        <v>0</v>
      </c>
      <c r="L30" t="n">
        <v>0</v>
      </c>
      <c r="M30" t="n">
        <v>0</v>
      </c>
      <c r="N30" t="n">
        <v>0</v>
      </c>
    </row>
    <row r="31">
      <c r="A31" t="inlineStr">
        <is>
          <t>Cotlands</t>
        </is>
      </c>
      <c r="B31" t="inlineStr">
        <is>
          <t>1 messuage and 1 cotland formerly of Richard Janekyn and afterwards of William Smyth in the lord's hands, 4 shilling for the year,' and at farm as made clear below.</t>
        </is>
      </c>
      <c r="C31" t="n">
        <v>0.2</v>
      </c>
      <c r="D31" t="n">
        <v>0</v>
      </c>
      <c r="E31" t="n">
        <v>4</v>
      </c>
      <c r="F31" t="n">
        <v>0</v>
      </c>
      <c r="H31" t="n">
        <v>0</v>
      </c>
      <c r="I31" t="n">
        <v>0</v>
      </c>
      <c r="J31" t="n">
        <v>0</v>
      </c>
      <c r="K31" t="n">
        <v>0</v>
      </c>
      <c r="L31" t="n">
        <v>0</v>
      </c>
      <c r="M31" t="n">
        <v>0</v>
      </c>
      <c r="N31" t="n">
        <v>0</v>
      </c>
    </row>
    <row r="32">
      <c r="A32" t="inlineStr">
        <is>
          <t>Cotlands</t>
        </is>
      </c>
      <c r="B32" t="inlineStr">
        <is>
          <t>1 messuage and 1 cotland formerly of Walter Bolt and afterwards of William Bolt in the lord's hands, 4 shilling for the year, and at farm as made clear below.</t>
        </is>
      </c>
      <c r="C32" t="n">
        <v>0.2</v>
      </c>
      <c r="D32" t="n">
        <v>0</v>
      </c>
      <c r="E32" t="n">
        <v>4</v>
      </c>
      <c r="F32" t="n">
        <v>0</v>
      </c>
      <c r="H32" t="n">
        <v>0</v>
      </c>
      <c r="I32" t="n">
        <v>0</v>
      </c>
      <c r="J32" t="n">
        <v>0</v>
      </c>
      <c r="K32" t="n">
        <v>0</v>
      </c>
      <c r="L32" t="n">
        <v>0</v>
      </c>
      <c r="M32" t="n">
        <v>0</v>
      </c>
      <c r="N32" t="n">
        <v>0</v>
      </c>
    </row>
    <row r="33">
      <c r="A33" t="inlineStr">
        <is>
          <t>Cotlands</t>
        </is>
      </c>
      <c r="B33" t="inlineStr">
        <is>
          <t>1 messuage and 1 cotland formerly of Richard Skreveyn and afterwards of Richard Andrew in the lord's hands, 4 shilling for the year, and at farm as made clear below.</t>
        </is>
      </c>
      <c r="C33" t="n">
        <v>0.2</v>
      </c>
      <c r="D33" t="n">
        <v>0</v>
      </c>
      <c r="E33" t="n">
        <v>4</v>
      </c>
      <c r="F33" t="n">
        <v>0</v>
      </c>
      <c r="H33" t="n">
        <v>0</v>
      </c>
      <c r="I33" t="n">
        <v>0</v>
      </c>
      <c r="J33" t="n">
        <v>0</v>
      </c>
      <c r="K33" t="n">
        <v>0</v>
      </c>
      <c r="L33" t="n">
        <v>0</v>
      </c>
      <c r="M33" t="n">
        <v>0</v>
      </c>
      <c r="N33" t="n">
        <v>0</v>
      </c>
    </row>
    <row r="34">
      <c r="A34" t="inlineStr">
        <is>
          <t>Cotlands</t>
        </is>
      </c>
      <c r="B34" t="inlineStr">
        <is>
          <t>1 messuage and 1 cotland formerly of John Gylot and afterwards of William Gylot in the lord's hands, 4 shilling for the year, and at farm as made clear below.</t>
        </is>
      </c>
      <c r="C34" t="n">
        <v>0.2</v>
      </c>
      <c r="D34" t="n">
        <v>0</v>
      </c>
      <c r="E34" t="n">
        <v>4</v>
      </c>
      <c r="F34" t="n">
        <v>0</v>
      </c>
      <c r="H34" t="n">
        <v>0</v>
      </c>
      <c r="I34" t="n">
        <v>0</v>
      </c>
      <c r="J34" t="n">
        <v>0</v>
      </c>
      <c r="K34" t="n">
        <v>0</v>
      </c>
      <c r="L34" t="n">
        <v>0</v>
      </c>
      <c r="M34" t="n">
        <v>0</v>
      </c>
      <c r="N34" t="n">
        <v>0</v>
      </c>
    </row>
    <row r="35">
      <c r="A35" t="inlineStr">
        <is>
          <t>Cotlands</t>
        </is>
      </c>
      <c r="B35" t="inlineStr">
        <is>
          <t>1 messuage and 1 cotland formerly of Alice atte Halle and afterwards of Thomas Benne in the lord's hands, 4 shilling for the year, and at farm as made clear below.</t>
        </is>
      </c>
      <c r="C35" t="n">
        <v>0.2</v>
      </c>
      <c r="D35" t="n">
        <v>0</v>
      </c>
      <c r="E35" t="n">
        <v>4</v>
      </c>
      <c r="F35" t="n">
        <v>0</v>
      </c>
      <c r="H35" t="n">
        <v>0</v>
      </c>
      <c r="I35" t="n">
        <v>0</v>
      </c>
      <c r="J35" t="n">
        <v>0</v>
      </c>
      <c r="K35" t="n">
        <v>0</v>
      </c>
      <c r="L35" t="n">
        <v>0</v>
      </c>
      <c r="M35" t="n">
        <v>0</v>
      </c>
      <c r="N35" t="n">
        <v>0</v>
      </c>
    </row>
    <row r="36">
      <c r="A36" t="inlineStr">
        <is>
          <t>Cotlands</t>
        </is>
      </c>
      <c r="B36" t="inlineStr">
        <is>
          <t>Total, £2 7 shilling 4pence.</t>
        </is>
      </c>
      <c r="C36" t="n">
        <v>2.37</v>
      </c>
      <c r="D36" t="n">
        <v>2</v>
      </c>
      <c r="E36" t="n">
        <v>7</v>
      </c>
      <c r="F36" t="n">
        <v>4</v>
      </c>
      <c r="H36" t="n">
        <v>0</v>
      </c>
      <c r="I36" t="n">
        <v>0</v>
      </c>
      <c r="J36" t="n">
        <v>0</v>
      </c>
      <c r="K36" t="n">
        <v>0</v>
      </c>
      <c r="L36" t="n">
        <v>0</v>
      </c>
      <c r="M36" t="n">
        <v>0</v>
      </c>
      <c r="N36" t="n">
        <v>0</v>
      </c>
    </row>
    <row r="37">
      <c r="A37" t="inlineStr">
        <is>
          <t>Total of quittances and defaults of rent</t>
        </is>
      </c>
      <c r="B37" t="inlineStr">
        <is>
          <t>Total of quittances and defaults of rent, £4 11 shilling 7pence.</t>
        </is>
      </c>
      <c r="C37" t="n">
        <v>4.58</v>
      </c>
      <c r="D37" t="n">
        <v>4</v>
      </c>
      <c r="E37" t="n">
        <v>11</v>
      </c>
      <c r="F37" t="n">
        <v>7</v>
      </c>
      <c r="H37" t="n">
        <v>0</v>
      </c>
      <c r="I37" t="n">
        <v>0</v>
      </c>
      <c r="J37" t="n">
        <v>0</v>
      </c>
      <c r="K37" t="n">
        <v>0</v>
      </c>
      <c r="L37" t="n">
        <v>0</v>
      </c>
      <c r="M37" t="n">
        <v>0</v>
      </c>
      <c r="N37" t="n">
        <v>0</v>
      </c>
    </row>
    <row r="38">
      <c r="A38" t="inlineStr">
        <is>
          <t>Total of rents remaining clear</t>
        </is>
      </c>
      <c r="B38" t="inlineStr">
        <is>
          <t>Total of rents remaining clear, £21 7 shilling 3.5pence.</t>
        </is>
      </c>
      <c r="C38" t="n">
        <v>21.36</v>
      </c>
      <c r="D38" t="n">
        <v>21</v>
      </c>
      <c r="E38" t="n">
        <v>7</v>
      </c>
      <c r="F38" t="n">
        <v>3.5</v>
      </c>
      <c r="H38" t="n">
        <v>0</v>
      </c>
      <c r="I38" t="n">
        <v>0</v>
      </c>
      <c r="J38" t="n">
        <v>0</v>
      </c>
      <c r="K38" t="n">
        <v>0</v>
      </c>
      <c r="L38" t="n">
        <v>0</v>
      </c>
      <c r="M38" t="n">
        <v>0</v>
      </c>
      <c r="N38" t="n">
        <v>0</v>
      </c>
    </row>
    <row r="39">
      <c r="A39" t="inlineStr">
        <is>
          <t>Farms</t>
        </is>
      </c>
      <c r="B39" t="inlineStr">
        <is>
          <t>And for 16 shilling from William Bourton' for the farm of 15 acres of demesne land lying beside Bodicote called Goldwelleforlong', with the small pasture annexed to the said furlong (cultur') and 1.5 acres in the meadow of Sweteneye, demised to the same William for 20 years, this year being the sixth, to be paid at the four terms of the year.</t>
        </is>
      </c>
      <c r="C39" t="n">
        <v>0.8</v>
      </c>
      <c r="D39" t="n">
        <v>0</v>
      </c>
      <c r="E39" t="n">
        <v>16</v>
      </c>
      <c r="F39" t="n">
        <v>0</v>
      </c>
      <c r="H39" t="n">
        <v>0</v>
      </c>
      <c r="I39" t="n">
        <v>0</v>
      </c>
      <c r="J39" t="n">
        <v>0</v>
      </c>
      <c r="K39" t="n">
        <v>0</v>
      </c>
      <c r="L39" t="n">
        <v>0</v>
      </c>
      <c r="M39" t="n">
        <v>0</v>
      </c>
      <c r="N39" t="n">
        <v>0</v>
      </c>
    </row>
    <row r="40">
      <c r="A40" t="inlineStr">
        <is>
          <t>Farms</t>
        </is>
      </c>
      <c r="B40" t="inlineStr">
        <is>
          <t>6 shilling 8pence from John Jakeman for the farm of 6 selions in le Estfeld' and 6 selions in le Westfeld', with the small pasture annexed to the said furlong called Wyneswell , in severalty every other year whilst it pleases the lord, to be paid as before.</t>
        </is>
      </c>
      <c r="C40" t="n">
        <v>0.33</v>
      </c>
      <c r="D40" t="n">
        <v>0</v>
      </c>
      <c r="E40" t="n">
        <v>6</v>
      </c>
      <c r="F40" t="n">
        <v>8</v>
      </c>
      <c r="H40" t="n">
        <v>0</v>
      </c>
      <c r="I40" t="n">
        <v>0</v>
      </c>
      <c r="J40" t="n">
        <v>0</v>
      </c>
      <c r="K40" t="n">
        <v>0</v>
      </c>
      <c r="L40" t="n">
        <v>0</v>
      </c>
      <c r="M40" t="n">
        <v>0</v>
      </c>
      <c r="N40" t="n">
        <v>0</v>
      </c>
    </row>
    <row r="41">
      <c r="A41" t="inlineStr">
        <is>
          <t>Farms</t>
        </is>
      </c>
      <c r="B41" t="inlineStr">
        <is>
          <t>16 shilling from Robert Box, William Lemburgh' and William Malle for the farm of 13 acres of demesne land in le Westfeld' called Newelond' and 4 acres at the headland of Wyneswell' whilst it pleases the lord, to be paid as before.</t>
        </is>
      </c>
      <c r="C41" t="n">
        <v>0.8</v>
      </c>
      <c r="D41" t="n">
        <v>0</v>
      </c>
      <c r="E41" t="n">
        <v>16</v>
      </c>
      <c r="F41" t="n">
        <v>0</v>
      </c>
      <c r="H41" t="n">
        <v>0</v>
      </c>
      <c r="I41" t="n">
        <v>0</v>
      </c>
      <c r="J41" t="n">
        <v>0</v>
      </c>
      <c r="K41" t="n">
        <v>0</v>
      </c>
      <c r="L41" t="n">
        <v>0</v>
      </c>
      <c r="M41" t="n">
        <v>0</v>
      </c>
      <c r="N41" t="n">
        <v>0</v>
      </c>
    </row>
    <row r="42">
      <c r="A42" t="inlineStr">
        <is>
          <t>Farms</t>
        </is>
      </c>
      <c r="B42" t="inlineStr">
        <is>
          <t>1 shilling 10pence from William Smyth' for 1 parcel of waste land annexed to his tenement, 14 feet long and 8 feet wide, for shoeing the horses at 1 tourn whilst it pleases the lord, and also for 5 acres 1 rood of demesne land, of which 3 acres lie at Cotmannethurne beside the land of John Wyght and 2 acres 1 rood lie beside the land called Nyneacres, for 12 years, this year being the seventh, to be paid as before.</t>
        </is>
      </c>
      <c r="C42" t="n">
        <v>0.09</v>
      </c>
      <c r="D42" t="n">
        <v>0</v>
      </c>
      <c r="E42" t="n">
        <v>1</v>
      </c>
      <c r="F42" t="n">
        <v>10</v>
      </c>
      <c r="H42" t="n">
        <v>0</v>
      </c>
      <c r="I42" t="n">
        <v>0</v>
      </c>
      <c r="J42" t="n">
        <v>0</v>
      </c>
      <c r="K42" t="n">
        <v>0</v>
      </c>
      <c r="L42" t="n">
        <v>0</v>
      </c>
      <c r="M42" t="n">
        <v>0</v>
      </c>
      <c r="N42" t="n">
        <v>0</v>
      </c>
    </row>
    <row r="43">
      <c r="A43" t="inlineStr">
        <is>
          <t>Farms</t>
        </is>
      </c>
      <c r="B43" t="inlineStr">
        <is>
          <t>1 shilling from Thomas Shiperde for the farm of 3 acres of demesne land demised to him whilst it pleases the lord, to be paid as before.</t>
        </is>
      </c>
      <c r="C43" t="n">
        <v>0.05</v>
      </c>
      <c r="D43" t="n">
        <v>0</v>
      </c>
      <c r="E43" t="n">
        <v>1</v>
      </c>
      <c r="F43" t="n">
        <v>0</v>
      </c>
      <c r="H43" t="n">
        <v>0</v>
      </c>
      <c r="I43" t="n">
        <v>0</v>
      </c>
      <c r="J43" t="n">
        <v>0</v>
      </c>
      <c r="K43" t="n">
        <v>0</v>
      </c>
      <c r="L43" t="n">
        <v>0</v>
      </c>
      <c r="M43" t="n">
        <v>0</v>
      </c>
      <c r="N43" t="n">
        <v>0</v>
      </c>
    </row>
    <row r="44">
      <c r="A44" t="inlineStr">
        <is>
          <t>Farms</t>
        </is>
      </c>
      <c r="B44" t="inlineStr">
        <is>
          <t>1 shilling 8pence from John Spencer for the farm of 5 acres of demesne land lying in Middelfurlong',.</t>
        </is>
      </c>
      <c r="C44" t="n">
        <v>0.08</v>
      </c>
      <c r="D44" t="n">
        <v>0</v>
      </c>
      <c r="E44" t="n">
        <v>1</v>
      </c>
      <c r="F44" t="n">
        <v>8</v>
      </c>
      <c r="H44" t="n">
        <v>0</v>
      </c>
      <c r="I44" t="n">
        <v>0</v>
      </c>
      <c r="J44" t="n">
        <v>0</v>
      </c>
      <c r="K44" t="n">
        <v>0</v>
      </c>
      <c r="L44" t="n">
        <v>0</v>
      </c>
      <c r="M44" t="n">
        <v>0</v>
      </c>
      <c r="N44" t="n">
        <v>0</v>
      </c>
    </row>
    <row r="45">
      <c r="A45" t="inlineStr">
        <is>
          <t>Farms</t>
        </is>
      </c>
      <c r="B45" t="inlineStr">
        <is>
          <t>demised to the same for 8 years, this year being the sixth, to be paid as before.</t>
        </is>
      </c>
      <c r="C45" t="n">
        <v>0</v>
      </c>
      <c r="D45" t="n">
        <v>0</v>
      </c>
      <c r="E45" t="n">
        <v>0</v>
      </c>
      <c r="F45" t="n">
        <v>0</v>
      </c>
      <c r="H45" t="n">
        <v>0</v>
      </c>
      <c r="I45" t="n">
        <v>0</v>
      </c>
      <c r="J45" t="n">
        <v>0</v>
      </c>
      <c r="K45" t="n">
        <v>0</v>
      </c>
      <c r="L45" t="n">
        <v>0</v>
      </c>
      <c r="M45" t="n">
        <v>0</v>
      </c>
      <c r="N45" t="n">
        <v>0</v>
      </c>
    </row>
    <row r="46">
      <c r="A46" t="inlineStr">
        <is>
          <t>Farms</t>
        </is>
      </c>
      <c r="B46" t="inlineStr">
        <is>
          <t>8pence from William Webbe for the farm of 2 acres of demesne land lying in Middelfurlong', demised to him for 8 years, this year being the sixth, to be paid as before.</t>
        </is>
      </c>
      <c r="C46" t="n">
        <v>0.03</v>
      </c>
      <c r="D46" t="n">
        <v>0</v>
      </c>
      <c r="E46" t="n">
        <v>0</v>
      </c>
      <c r="F46" t="n">
        <v>8</v>
      </c>
      <c r="H46" t="n">
        <v>0</v>
      </c>
      <c r="I46" t="n">
        <v>0</v>
      </c>
      <c r="J46" t="n">
        <v>0</v>
      </c>
      <c r="K46" t="n">
        <v>0</v>
      </c>
      <c r="L46" t="n">
        <v>0</v>
      </c>
      <c r="M46" t="n">
        <v>0</v>
      </c>
      <c r="N46" t="n">
        <v>0</v>
      </c>
    </row>
    <row r="47">
      <c r="A47" t="inlineStr">
        <is>
          <t>Farms</t>
        </is>
      </c>
      <c r="B47" t="inlineStr">
        <is>
          <t>8pence from William Rundell' for the farm of 2 acres of demesne land lying in Middelfurlong' demised to him this year.</t>
        </is>
      </c>
      <c r="C47" t="n">
        <v>0.03</v>
      </c>
      <c r="D47" t="n">
        <v>0</v>
      </c>
      <c r="E47" t="n">
        <v>0</v>
      </c>
      <c r="F47" t="n">
        <v>8</v>
      </c>
      <c r="H47" t="n">
        <v>0</v>
      </c>
      <c r="I47" t="n">
        <v>0</v>
      </c>
      <c r="J47" t="n">
        <v>0</v>
      </c>
      <c r="K47" t="n">
        <v>0</v>
      </c>
      <c r="L47" t="n">
        <v>0</v>
      </c>
      <c r="M47" t="n">
        <v>0</v>
      </c>
      <c r="N47" t="n">
        <v>0</v>
      </c>
    </row>
    <row r="48">
      <c r="A48" t="inlineStr">
        <is>
          <t>Farms</t>
        </is>
      </c>
      <c r="B48" t="inlineStr">
        <is>
          <t>Total, £2 4 shilling 6pence.</t>
        </is>
      </c>
      <c r="C48" t="n">
        <v>2.23</v>
      </c>
      <c r="D48" t="n">
        <v>2</v>
      </c>
      <c r="E48" t="n">
        <v>4</v>
      </c>
      <c r="F48" t="n">
        <v>6</v>
      </c>
      <c r="H48" t="n">
        <v>0</v>
      </c>
      <c r="I48" t="n">
        <v>0</v>
      </c>
      <c r="J48" t="n">
        <v>0</v>
      </c>
      <c r="K48" t="n">
        <v>0</v>
      </c>
      <c r="L48" t="n">
        <v>0</v>
      </c>
      <c r="M48" t="n">
        <v>0</v>
      </c>
      <c r="N48" t="n">
        <v>0</v>
      </c>
    </row>
    <row r="49">
      <c r="A49" t="inlineStr">
        <is>
          <t>Annual recognizance</t>
        </is>
      </c>
      <c r="B49" t="inlineStr">
        <is>
          <t>And for 2pence from Robert Coupere so that he may dwell within the lord's liberty as long as it pleases the lord and come to the 2 tourns.</t>
        </is>
      </c>
      <c r="C49" t="n">
        <v>0.01</v>
      </c>
      <c r="D49" t="n">
        <v>0</v>
      </c>
      <c r="E49" t="n">
        <v>0</v>
      </c>
      <c r="F49" t="n">
        <v>2</v>
      </c>
      <c r="H49" t="n">
        <v>0</v>
      </c>
      <c r="I49" t="n">
        <v>0</v>
      </c>
      <c r="J49" t="n">
        <v>0</v>
      </c>
      <c r="K49" t="n">
        <v>0</v>
      </c>
      <c r="L49" t="n">
        <v>0</v>
      </c>
      <c r="M49" t="n">
        <v>0</v>
      </c>
      <c r="N49" t="n">
        <v>0</v>
      </c>
    </row>
    <row r="50">
      <c r="A50" t="inlineStr">
        <is>
          <t>Annual recognizance</t>
        </is>
      </c>
      <c r="B50" t="inlineStr">
        <is>
          <t>2pence from John Balfr' for the same, coming to the tourn of Hockday.</t>
        </is>
      </c>
      <c r="C50" t="n">
        <v>0.01</v>
      </c>
      <c r="D50" t="n">
        <v>0</v>
      </c>
      <c r="E50" t="n">
        <v>0</v>
      </c>
      <c r="F50" t="n">
        <v>2</v>
      </c>
      <c r="H50" t="n">
        <v>0</v>
      </c>
      <c r="I50" t="n">
        <v>0</v>
      </c>
      <c r="J50" t="n">
        <v>0</v>
      </c>
      <c r="K50" t="n">
        <v>0</v>
      </c>
      <c r="L50" t="n">
        <v>0</v>
      </c>
      <c r="M50" t="n">
        <v>0</v>
      </c>
      <c r="N50" t="n">
        <v>0</v>
      </c>
    </row>
    <row r="51">
      <c r="A51" t="inlineStr">
        <is>
          <t>Annual recognizance</t>
        </is>
      </c>
      <c r="B51" t="inlineStr">
        <is>
          <t>3pence from Thomas Shiperde for the same, coming to the 2 tourns for the year.</t>
        </is>
      </c>
      <c r="C51" t="n">
        <v>0.01</v>
      </c>
      <c r="D51" t="n">
        <v>0</v>
      </c>
      <c r="E51" t="n">
        <v>0</v>
      </c>
      <c r="F51" t="n">
        <v>3</v>
      </c>
      <c r="H51" t="n">
        <v>0</v>
      </c>
      <c r="I51" t="n">
        <v>0</v>
      </c>
      <c r="J51" t="n">
        <v>0</v>
      </c>
      <c r="K51" t="n">
        <v>0</v>
      </c>
      <c r="L51" t="n">
        <v>0</v>
      </c>
      <c r="M51" t="n">
        <v>0</v>
      </c>
      <c r="N51" t="n">
        <v>0</v>
      </c>
    </row>
    <row r="52">
      <c r="A52" t="inlineStr">
        <is>
          <t>Annual recognizance</t>
        </is>
      </c>
      <c r="B52" t="inlineStr">
        <is>
          <t>3pence from Philip Berners for the same.</t>
        </is>
      </c>
      <c r="C52" t="n">
        <v>0.01</v>
      </c>
      <c r="D52" t="n">
        <v>0</v>
      </c>
      <c r="E52" t="n">
        <v>0</v>
      </c>
      <c r="F52" t="n">
        <v>3</v>
      </c>
      <c r="H52" t="n">
        <v>0</v>
      </c>
      <c r="I52" t="n">
        <v>0</v>
      </c>
      <c r="J52" t="n">
        <v>0</v>
      </c>
      <c r="K52" t="n">
        <v>0</v>
      </c>
      <c r="L52" t="n">
        <v>0</v>
      </c>
      <c r="M52" t="n">
        <v>0</v>
      </c>
      <c r="N52" t="n">
        <v>0</v>
      </c>
    </row>
    <row r="53">
      <c r="A53" t="inlineStr">
        <is>
          <t>Annual recognizance</t>
        </is>
      </c>
      <c r="B53" t="inlineStr">
        <is>
          <t>2pence from Roger Grynder' for the same.</t>
        </is>
      </c>
      <c r="C53" t="n">
        <v>0.01</v>
      </c>
      <c r="D53" t="n">
        <v>0</v>
      </c>
      <c r="E53" t="n">
        <v>0</v>
      </c>
      <c r="F53" t="n">
        <v>2</v>
      </c>
      <c r="H53" t="n">
        <v>0</v>
      </c>
      <c r="I53" t="n">
        <v>0</v>
      </c>
      <c r="J53" t="n">
        <v>0</v>
      </c>
      <c r="K53" t="n">
        <v>0</v>
      </c>
      <c r="L53" t="n">
        <v>0</v>
      </c>
      <c r="M53" t="n">
        <v>0</v>
      </c>
      <c r="N53" t="n">
        <v>0</v>
      </c>
    </row>
    <row r="54">
      <c r="A54" t="inlineStr">
        <is>
          <t>Annual recognizance</t>
        </is>
      </c>
      <c r="B54" t="inlineStr">
        <is>
          <t>2pence from John Aubry for the same, coming to the tourn of Hockday for the year.</t>
        </is>
      </c>
      <c r="C54" t="n">
        <v>0.01</v>
      </c>
      <c r="D54" t="n">
        <v>0</v>
      </c>
      <c r="E54" t="n">
        <v>0</v>
      </c>
      <c r="F54" t="n">
        <v>2</v>
      </c>
      <c r="H54" t="n">
        <v>0</v>
      </c>
      <c r="I54" t="n">
        <v>0</v>
      </c>
      <c r="J54" t="n">
        <v>0</v>
      </c>
      <c r="K54" t="n">
        <v>0</v>
      </c>
      <c r="L54" t="n">
        <v>0</v>
      </c>
      <c r="M54" t="n">
        <v>0</v>
      </c>
      <c r="N54" t="n">
        <v>0</v>
      </c>
    </row>
    <row r="55">
      <c r="A55" t="inlineStr">
        <is>
          <t>Annual recognizance</t>
        </is>
      </c>
      <c r="B55" t="inlineStr">
        <is>
          <t>2pence from William Ropere, coming to the tourn of Martinmas.</t>
        </is>
      </c>
      <c r="C55" t="n">
        <v>0.01</v>
      </c>
      <c r="D55" t="n">
        <v>0</v>
      </c>
      <c r="E55" t="n">
        <v>0</v>
      </c>
      <c r="F55" t="n">
        <v>2</v>
      </c>
      <c r="H55" t="n">
        <v>0</v>
      </c>
      <c r="I55" t="n">
        <v>0</v>
      </c>
      <c r="J55" t="n">
        <v>0</v>
      </c>
      <c r="K55" t="n">
        <v>0</v>
      </c>
      <c r="L55" t="n">
        <v>0</v>
      </c>
      <c r="M55" t="n">
        <v>0</v>
      </c>
      <c r="N55" t="n">
        <v>0</v>
      </c>
    </row>
    <row r="56">
      <c r="A56" t="inlineStr">
        <is>
          <t>Annual recognizance</t>
        </is>
      </c>
      <c r="B56" t="inlineStr">
        <is>
          <t>2pence from William Carpis' for the same, coming to the tourn of Hockday.</t>
        </is>
      </c>
      <c r="C56" t="n">
        <v>0.01</v>
      </c>
      <c r="D56" t="n">
        <v>0</v>
      </c>
      <c r="E56" t="n">
        <v>0</v>
      </c>
      <c r="F56" t="n">
        <v>2</v>
      </c>
      <c r="H56" t="n">
        <v>0</v>
      </c>
      <c r="I56" t="n">
        <v>0</v>
      </c>
      <c r="J56" t="n">
        <v>0</v>
      </c>
      <c r="K56" t="n">
        <v>0</v>
      </c>
      <c r="L56" t="n">
        <v>0</v>
      </c>
      <c r="M56" t="n">
        <v>0</v>
      </c>
      <c r="N56" t="n">
        <v>0</v>
      </c>
    </row>
    <row r="57">
      <c r="A57" t="inlineStr">
        <is>
          <t>Annual recognizance</t>
        </is>
      </c>
      <c r="B57" t="inlineStr">
        <is>
          <t>2pence from Hubert Beverle for the same, coming to the tourn of Martinmas.</t>
        </is>
      </c>
      <c r="C57" t="n">
        <v>0.01</v>
      </c>
      <c r="D57" t="n">
        <v>0</v>
      </c>
      <c r="E57" t="n">
        <v>0</v>
      </c>
      <c r="F57" t="n">
        <v>2</v>
      </c>
      <c r="H57" t="n">
        <v>0</v>
      </c>
      <c r="I57" t="n">
        <v>0</v>
      </c>
      <c r="J57" t="n">
        <v>0</v>
      </c>
      <c r="K57" t="n">
        <v>0</v>
      </c>
      <c r="L57" t="n">
        <v>0</v>
      </c>
      <c r="M57" t="n">
        <v>0</v>
      </c>
      <c r="N57" t="n">
        <v>0</v>
      </c>
    </row>
    <row r="58">
      <c r="A58" t="inlineStr">
        <is>
          <t>Annual recognizance</t>
        </is>
      </c>
      <c r="B58" t="inlineStr">
        <is>
          <t>2pence from William Glovere for the same, coming to the tourn of Hockday.</t>
        </is>
      </c>
      <c r="C58" t="n">
        <v>0.01</v>
      </c>
      <c r="D58" t="n">
        <v>0</v>
      </c>
      <c r="E58" t="n">
        <v>0</v>
      </c>
      <c r="F58" t="n">
        <v>2</v>
      </c>
      <c r="H58" t="n">
        <v>0</v>
      </c>
      <c r="I58" t="n">
        <v>0</v>
      </c>
      <c r="J58" t="n">
        <v>0</v>
      </c>
      <c r="K58" t="n">
        <v>0</v>
      </c>
      <c r="L58" t="n">
        <v>0</v>
      </c>
      <c r="M58" t="n">
        <v>0</v>
      </c>
      <c r="N58" t="n">
        <v>0</v>
      </c>
    </row>
    <row r="59">
      <c r="A59" t="inlineStr">
        <is>
          <t>Annual recognizance</t>
        </is>
      </c>
      <c r="B59" t="inlineStr">
        <is>
          <t>2pence from Thomas Gentylman for the same, coming to the tourn of Hockday.</t>
        </is>
      </c>
      <c r="C59" t="n">
        <v>0.01</v>
      </c>
      <c r="D59" t="n">
        <v>0</v>
      </c>
      <c r="E59" t="n">
        <v>0</v>
      </c>
      <c r="F59" t="n">
        <v>2</v>
      </c>
      <c r="H59" t="n">
        <v>0</v>
      </c>
      <c r="I59" t="n">
        <v>0</v>
      </c>
      <c r="J59" t="n">
        <v>0</v>
      </c>
      <c r="K59" t="n">
        <v>0</v>
      </c>
      <c r="L59" t="n">
        <v>0</v>
      </c>
      <c r="M59" t="n">
        <v>0</v>
      </c>
      <c r="N59" t="n">
        <v>0</v>
      </c>
    </row>
    <row r="60">
      <c r="A60" t="inlineStr">
        <is>
          <t>Annual recognizance</t>
        </is>
      </c>
      <c r="B60" t="inlineStr">
        <is>
          <t>1 shilling from William Buryman' so that he may dwell outside the lord's liberty as long as it pleases the lord and come to the tourn of Hockday and remain the lord's villein as before.</t>
        </is>
      </c>
      <c r="C60" t="n">
        <v>0.05</v>
      </c>
      <c r="D60" t="n">
        <v>0</v>
      </c>
      <c r="E60" t="n">
        <v>1</v>
      </c>
      <c r="F60" t="n">
        <v>0</v>
      </c>
      <c r="H60" t="n">
        <v>0</v>
      </c>
      <c r="I60" t="n">
        <v>0</v>
      </c>
      <c r="J60" t="n">
        <v>0</v>
      </c>
      <c r="K60" t="n">
        <v>0</v>
      </c>
      <c r="L60" t="n">
        <v>0</v>
      </c>
      <c r="M60" t="n">
        <v>0</v>
      </c>
      <c r="N60" t="n">
        <v>0</v>
      </c>
    </row>
    <row r="61">
      <c r="A61" t="inlineStr">
        <is>
          <t>Annual recognizance</t>
        </is>
      </c>
      <c r="B61" t="inlineStr">
        <is>
          <t>1 shilling from Richard Somer for the same, remaining the lord's villein as before.</t>
        </is>
      </c>
      <c r="C61" t="n">
        <v>0.05</v>
      </c>
      <c r="D61" t="n">
        <v>0</v>
      </c>
      <c r="E61" t="n">
        <v>1</v>
      </c>
      <c r="F61" t="n">
        <v>0</v>
      </c>
      <c r="H61" t="n">
        <v>0</v>
      </c>
      <c r="I61" t="n">
        <v>0</v>
      </c>
      <c r="J61" t="n">
        <v>0</v>
      </c>
      <c r="K61" t="n">
        <v>0</v>
      </c>
      <c r="L61" t="n">
        <v>0</v>
      </c>
      <c r="M61" t="n">
        <v>0</v>
      </c>
      <c r="N61" t="n">
        <v>0</v>
      </c>
    </row>
    <row r="62">
      <c r="A62" t="inlineStr">
        <is>
          <t>Annual recognizance</t>
        </is>
      </c>
      <c r="B62" t="inlineStr">
        <is>
          <t>3pence from John Spycer so that he may dwell within the lord's liberty as long as it pleases the lord and himself and come to the tourn of Hockday for the year.</t>
        </is>
      </c>
      <c r="C62" t="n">
        <v>0.01</v>
      </c>
      <c r="D62" t="n">
        <v>0</v>
      </c>
      <c r="E62" t="n">
        <v>0</v>
      </c>
      <c r="F62" t="n">
        <v>3</v>
      </c>
      <c r="H62" t="n">
        <v>0</v>
      </c>
      <c r="I62" t="n">
        <v>0</v>
      </c>
      <c r="J62" t="n">
        <v>0</v>
      </c>
      <c r="K62" t="n">
        <v>0</v>
      </c>
      <c r="L62" t="n">
        <v>0</v>
      </c>
      <c r="M62" t="n">
        <v>0</v>
      </c>
      <c r="N62" t="n">
        <v>0</v>
      </c>
    </row>
    <row r="63">
      <c r="A63" t="inlineStr">
        <is>
          <t>Annual recognizance</t>
        </is>
      </c>
      <c r="B63" t="inlineStr">
        <is>
          <t>2pence from William Shenston for the same.</t>
        </is>
      </c>
      <c r="C63" t="n">
        <v>0.01</v>
      </c>
      <c r="D63" t="n">
        <v>0</v>
      </c>
      <c r="E63" t="n">
        <v>0</v>
      </c>
      <c r="F63" t="n">
        <v>2</v>
      </c>
      <c r="H63" t="n">
        <v>0</v>
      </c>
      <c r="I63" t="n">
        <v>0</v>
      </c>
      <c r="J63" t="n">
        <v>0</v>
      </c>
      <c r="K63" t="n">
        <v>0</v>
      </c>
      <c r="L63" t="n">
        <v>0</v>
      </c>
      <c r="M63" t="n">
        <v>0</v>
      </c>
      <c r="N63" t="n">
        <v>0</v>
      </c>
    </row>
    <row r="64">
      <c r="A64" t="inlineStr">
        <is>
          <t>Annual recognizance</t>
        </is>
      </c>
      <c r="B64" t="inlineStr">
        <is>
          <t>2pence from William Wener' for the same.</t>
        </is>
      </c>
      <c r="C64" t="n">
        <v>0.01</v>
      </c>
      <c r="D64" t="n">
        <v>0</v>
      </c>
      <c r="E64" t="n">
        <v>0</v>
      </c>
      <c r="F64" t="n">
        <v>2</v>
      </c>
      <c r="H64" t="n">
        <v>0</v>
      </c>
      <c r="I64" t="n">
        <v>0</v>
      </c>
      <c r="J64" t="n">
        <v>0</v>
      </c>
      <c r="K64" t="n">
        <v>0</v>
      </c>
      <c r="L64" t="n">
        <v>0</v>
      </c>
      <c r="M64" t="n">
        <v>0</v>
      </c>
      <c r="N64" t="n">
        <v>0</v>
      </c>
    </row>
    <row r="65">
      <c r="A65" t="inlineStr">
        <is>
          <t>Annual recognizance</t>
        </is>
      </c>
      <c r="B65" t="inlineStr">
        <is>
          <t>4pence from John Boys and Simon Bailly for the same.</t>
        </is>
      </c>
      <c r="C65" t="n">
        <v>0.02</v>
      </c>
      <c r="D65" t="n">
        <v>0</v>
      </c>
      <c r="E65" t="n">
        <v>0</v>
      </c>
      <c r="F65" t="n">
        <v>4</v>
      </c>
      <c r="H65" t="n">
        <v>0</v>
      </c>
      <c r="I65" t="n">
        <v>0</v>
      </c>
      <c r="J65" t="n">
        <v>0</v>
      </c>
      <c r="K65" t="n">
        <v>0</v>
      </c>
      <c r="L65" t="n">
        <v>0</v>
      </c>
      <c r="M65" t="n">
        <v>0</v>
      </c>
      <c r="N65" t="n">
        <v>0</v>
      </c>
    </row>
    <row r="66">
      <c r="A66" t="inlineStr">
        <is>
          <t>Annual recognizance</t>
        </is>
      </c>
      <c r="B66" t="inlineStr">
        <is>
          <t>Total, 4 shilling 11pence.</t>
        </is>
      </c>
      <c r="C66" t="n">
        <v>0.25</v>
      </c>
      <c r="D66" t="n">
        <v>0</v>
      </c>
      <c r="E66" t="n">
        <v>4</v>
      </c>
      <c r="F66" t="n">
        <v>11</v>
      </c>
      <c r="H66" t="n">
        <v>0</v>
      </c>
      <c r="I66" t="n">
        <v>0</v>
      </c>
      <c r="J66" t="n">
        <v>0</v>
      </c>
      <c r="K66" t="n">
        <v>0</v>
      </c>
      <c r="L66" t="n">
        <v>0</v>
      </c>
      <c r="M66" t="n">
        <v>0</v>
      </c>
      <c r="N66" t="n">
        <v>0</v>
      </c>
    </row>
    <row r="67">
      <c r="A67" t="inlineStr">
        <is>
          <t>Issues of the manor</t>
        </is>
      </c>
      <c r="B67" t="inlineStr">
        <is>
          <t>And for 5 shilling 6.5pence from the pannage of the pigs of the customary tenants at Martinmas.</t>
        </is>
      </c>
      <c r="C67" t="n">
        <v>0.28</v>
      </c>
      <c r="D67" t="n">
        <v>0</v>
      </c>
      <c r="E67" t="n">
        <v>5</v>
      </c>
      <c r="F67" t="n">
        <v>6.5</v>
      </c>
      <c r="H67" t="n">
        <v>0</v>
      </c>
      <c r="I67" t="n">
        <v>0</v>
      </c>
      <c r="J67" t="n">
        <v>0</v>
      </c>
      <c r="K67" t="n">
        <v>0</v>
      </c>
      <c r="L67" t="n">
        <v>0</v>
      </c>
      <c r="M67" t="n">
        <v>0</v>
      </c>
      <c r="N67" t="n">
        <v>0</v>
      </c>
    </row>
    <row r="68">
      <c r="A68" t="inlineStr">
        <is>
          <t>Issues of the manor</t>
        </is>
      </c>
      <c r="B68" t="inlineStr">
        <is>
          <t>nothing from the pasturage in le Wymore because it pertains to the farmer.</t>
        </is>
      </c>
      <c r="C68" t="n">
        <v>0</v>
      </c>
      <c r="D68" t="n">
        <v>0</v>
      </c>
      <c r="E68" t="n">
        <v>0</v>
      </c>
      <c r="F68" t="n">
        <v>0</v>
      </c>
      <c r="H68" t="n">
        <v>0</v>
      </c>
      <c r="I68" t="n">
        <v>0</v>
      </c>
      <c r="J68" t="n">
        <v>0</v>
      </c>
      <c r="K68" t="n">
        <v>0</v>
      </c>
      <c r="L68" t="n">
        <v>0</v>
      </c>
      <c r="M68" t="n">
        <v>0</v>
      </c>
      <c r="N68" t="n">
        <v>0</v>
      </c>
    </row>
    <row r="69">
      <c r="A69" t="inlineStr">
        <is>
          <t>Issues of the manor</t>
        </is>
      </c>
      <c r="B69" t="inlineStr">
        <is>
          <t>nothing from the pasturage in Mykelham, Buryhok', Halywellesturton', Fulput and Slopet for the aforesaid reason.</t>
        </is>
      </c>
      <c r="C69" t="n">
        <v>0</v>
      </c>
      <c r="D69" t="n">
        <v>0</v>
      </c>
      <c r="E69" t="n">
        <v>0</v>
      </c>
      <c r="F69" t="n">
        <v>0</v>
      </c>
      <c r="H69" t="n">
        <v>0</v>
      </c>
      <c r="I69" t="n">
        <v>0</v>
      </c>
      <c r="J69" t="n">
        <v>0</v>
      </c>
      <c r="K69" t="n">
        <v>0</v>
      </c>
      <c r="L69" t="n">
        <v>0</v>
      </c>
      <c r="M69" t="n">
        <v>0</v>
      </c>
      <c r="N69" t="n">
        <v>0</v>
      </c>
    </row>
    <row r="70">
      <c r="A70" t="inlineStr">
        <is>
          <t>Issues of the manor</t>
        </is>
      </c>
      <c r="B70" t="inlineStr">
        <is>
          <t>nothing from the agistment of cattle with the lord's cattle for the aforesaid reason.</t>
        </is>
      </c>
      <c r="C70" t="n">
        <v>0</v>
      </c>
      <c r="D70" t="n">
        <v>0</v>
      </c>
      <c r="E70" t="n">
        <v>0</v>
      </c>
      <c r="F70" t="n">
        <v>0</v>
      </c>
      <c r="H70" t="n">
        <v>0</v>
      </c>
      <c r="I70" t="n">
        <v>0</v>
      </c>
      <c r="J70" t="n">
        <v>0</v>
      </c>
      <c r="K70" t="n">
        <v>0</v>
      </c>
      <c r="L70" t="n">
        <v>0</v>
      </c>
      <c r="M70" t="n">
        <v>0</v>
      </c>
      <c r="N70" t="n">
        <v>0</v>
      </c>
    </row>
    <row r="71">
      <c r="A71" t="inlineStr">
        <is>
          <t>Issues of the manor</t>
        </is>
      </c>
      <c r="B71" t="inlineStr">
        <is>
          <t>nothing from winter and summer pasturage in Goldwellefurlong' because it is demised to William Bourton' as made clear in the farms above.</t>
        </is>
      </c>
      <c r="C71" t="n">
        <v>0</v>
      </c>
      <c r="D71" t="n">
        <v>0</v>
      </c>
      <c r="E71" t="n">
        <v>0</v>
      </c>
      <c r="F71" t="n">
        <v>0</v>
      </c>
      <c r="H71" t="n">
        <v>0</v>
      </c>
      <c r="I71" t="n">
        <v>0</v>
      </c>
      <c r="J71" t="n">
        <v>0</v>
      </c>
      <c r="K71" t="n">
        <v>0</v>
      </c>
      <c r="L71" t="n">
        <v>0</v>
      </c>
      <c r="M71" t="n">
        <v>0</v>
      </c>
      <c r="N71" t="n">
        <v>0</v>
      </c>
    </row>
    <row r="72">
      <c r="A72" t="inlineStr">
        <is>
          <t>Issues of the manor</t>
        </is>
      </c>
      <c r="B72" t="inlineStr">
        <is>
          <t>nothing of the 3 shilling for the winter pasturage in Wynesterwell' because it is demised to John Jakeman as made clear in the farms above.</t>
        </is>
      </c>
      <c r="C72" t="n">
        <v>0.15</v>
      </c>
      <c r="D72" t="n">
        <v>0</v>
      </c>
      <c r="E72" t="n">
        <v>3</v>
      </c>
      <c r="F72" t="n">
        <v>0</v>
      </c>
      <c r="H72" t="n">
        <v>0</v>
      </c>
      <c r="I72" t="n">
        <v>0</v>
      </c>
      <c r="J72" t="n">
        <v>0</v>
      </c>
      <c r="K72" t="n">
        <v>0</v>
      </c>
      <c r="L72" t="n">
        <v>0</v>
      </c>
      <c r="M72" t="n">
        <v>0</v>
      </c>
      <c r="N72" t="n">
        <v>0</v>
      </c>
    </row>
    <row r="73">
      <c r="A73" t="inlineStr">
        <is>
          <t>Issues of the manor</t>
        </is>
      </c>
      <c r="B73" t="inlineStr">
        <is>
          <t>nothing from the pasturage in Sweteneye because it pertains to the fanner.</t>
        </is>
      </c>
      <c r="C73" t="n">
        <v>0</v>
      </c>
      <c r="D73" t="n">
        <v>0</v>
      </c>
      <c r="E73" t="n">
        <v>0</v>
      </c>
      <c r="F73" t="n">
        <v>0</v>
      </c>
      <c r="H73" t="n">
        <v>0</v>
      </c>
      <c r="I73" t="n">
        <v>0</v>
      </c>
      <c r="J73" t="n">
        <v>0</v>
      </c>
      <c r="K73" t="n">
        <v>0</v>
      </c>
      <c r="L73" t="n">
        <v>0</v>
      </c>
      <c r="M73" t="n">
        <v>0</v>
      </c>
      <c r="N73" t="n">
        <v>0</v>
      </c>
    </row>
    <row r="74">
      <c r="A74" t="inlineStr">
        <is>
          <t>Issues of the manor</t>
        </is>
      </c>
      <c r="B74" t="inlineStr">
        <is>
          <t>£1 from refusals to stack this year.</t>
        </is>
      </c>
      <c r="C74" t="n">
        <v>1</v>
      </c>
      <c r="D74" t="n">
        <v>1</v>
      </c>
      <c r="E74" t="n">
        <v>0</v>
      </c>
      <c r="F74" t="n">
        <v>0</v>
      </c>
      <c r="H74" t="n">
        <v>0</v>
      </c>
      <c r="I74" t="n">
        <v>0</v>
      </c>
      <c r="J74" t="n">
        <v>0</v>
      </c>
      <c r="K74" t="n">
        <v>0</v>
      </c>
      <c r="L74" t="n">
        <v>0</v>
      </c>
      <c r="M74" t="n">
        <v>0</v>
      </c>
      <c r="N74" t="n">
        <v>0</v>
      </c>
    </row>
    <row r="75">
      <c r="A75" t="inlineStr">
        <is>
          <t>Issues of the manor</t>
        </is>
      </c>
      <c r="B75" t="inlineStr">
        <is>
          <t>nothing of the 13 shilling 4pence for the farm of the fishery in the Cherwell because it pertains to the farmer.</t>
        </is>
      </c>
      <c r="C75" t="n">
        <v>0.67</v>
      </c>
      <c r="D75" t="n">
        <v>0</v>
      </c>
      <c r="E75" t="n">
        <v>13</v>
      </c>
      <c r="F75" t="n">
        <v>4</v>
      </c>
      <c r="H75" t="n">
        <v>0</v>
      </c>
      <c r="I75" t="n">
        <v>0</v>
      </c>
      <c r="J75" t="n">
        <v>0</v>
      </c>
      <c r="K75" t="n">
        <v>0</v>
      </c>
      <c r="L75" t="n">
        <v>0</v>
      </c>
      <c r="M75" t="n">
        <v>0</v>
      </c>
      <c r="N75" t="n">
        <v>0</v>
      </c>
    </row>
    <row r="76">
      <c r="A76" t="inlineStr">
        <is>
          <t>Issues of the manor</t>
        </is>
      </c>
      <c r="B76" t="inlineStr">
        <is>
          <t>3 shilling from John Eadburbury for oven-dues.</t>
        </is>
      </c>
      <c r="C76" t="n">
        <v>0.15</v>
      </c>
      <c r="D76" t="n">
        <v>0</v>
      </c>
      <c r="E76" t="n">
        <v>3</v>
      </c>
      <c r="F76" t="n">
        <v>0</v>
      </c>
      <c r="H76" t="n">
        <v>0</v>
      </c>
      <c r="I76" t="n">
        <v>0</v>
      </c>
      <c r="J76" t="n">
        <v>0</v>
      </c>
      <c r="K76" t="n">
        <v>0</v>
      </c>
      <c r="L76" t="n">
        <v>0</v>
      </c>
      <c r="M76" t="n">
        <v>0</v>
      </c>
      <c r="N76" t="n">
        <v>0</v>
      </c>
    </row>
    <row r="77">
      <c r="A77" t="inlineStr">
        <is>
          <t>Issues of the manor</t>
        </is>
      </c>
      <c r="B77" t="inlineStr">
        <is>
          <t>nothing of the 13 shilling 4pence for the farm of the oven-dues which belonged to John Benne because that rent is discharged by council of Adam, recently lord bishop of Winchester, as is made clear at the foot of the account for the sixth year of the same Adam (1338-9).</t>
        </is>
      </c>
      <c r="C77" t="n">
        <v>0.67</v>
      </c>
      <c r="D77" t="n">
        <v>0</v>
      </c>
      <c r="E77" t="n">
        <v>13</v>
      </c>
      <c r="F77" t="n">
        <v>4</v>
      </c>
      <c r="H77" t="n">
        <v>0</v>
      </c>
      <c r="I77" t="n">
        <v>0</v>
      </c>
      <c r="J77" t="n">
        <v>0</v>
      </c>
      <c r="K77" t="n">
        <v>0</v>
      </c>
      <c r="L77" t="n">
        <v>0</v>
      </c>
      <c r="M77" t="n">
        <v>0</v>
      </c>
      <c r="N77" t="n">
        <v>0</v>
      </c>
    </row>
    <row r="78">
      <c r="A78" t="inlineStr">
        <is>
          <t>Issues of the manor</t>
        </is>
      </c>
      <c r="B78" t="inlineStr">
        <is>
          <t>nothing from the herbage in Mikelham and Longmore because it is demised to the farmer.</t>
        </is>
      </c>
      <c r="C78" t="n">
        <v>0</v>
      </c>
      <c r="D78" t="n">
        <v>0</v>
      </c>
      <c r="E78" t="n">
        <v>0</v>
      </c>
      <c r="F78" t="n">
        <v>0</v>
      </c>
      <c r="H78" t="n">
        <v>0</v>
      </c>
      <c r="I78" t="n">
        <v>0</v>
      </c>
      <c r="J78" t="n">
        <v>0</v>
      </c>
      <c r="K78" t="n">
        <v>0</v>
      </c>
      <c r="L78" t="n">
        <v>0</v>
      </c>
      <c r="M78" t="n">
        <v>0</v>
      </c>
      <c r="N78" t="n">
        <v>0</v>
      </c>
    </row>
    <row r="79">
      <c r="A79" t="inlineStr">
        <is>
          <t>Issues of the manor</t>
        </is>
      </c>
      <c r="B79" t="inlineStr">
        <is>
          <t>6 shilling from John Eadburbury for release of his labour services.</t>
        </is>
      </c>
      <c r="C79" t="n">
        <v>0.3</v>
      </c>
      <c r="D79" t="n">
        <v>0</v>
      </c>
      <c r="E79" t="n">
        <v>6</v>
      </c>
      <c r="F79" t="n">
        <v>0</v>
      </c>
      <c r="H79" t="n">
        <v>0</v>
      </c>
      <c r="I79" t="n">
        <v>0</v>
      </c>
      <c r="J79" t="n">
        <v>0</v>
      </c>
      <c r="K79" t="n">
        <v>0</v>
      </c>
      <c r="L79" t="n">
        <v>0</v>
      </c>
      <c r="M79" t="n">
        <v>0</v>
      </c>
      <c r="N79" t="n">
        <v>0</v>
      </c>
    </row>
    <row r="80">
      <c r="A80" t="inlineStr">
        <is>
          <t>Issues of the manor</t>
        </is>
      </c>
      <c r="B80" t="inlineStr">
        <is>
          <t>nothing from geese sold.</t>
        </is>
      </c>
      <c r="C80" t="n">
        <v>0</v>
      </c>
      <c r="D80" t="n">
        <v>0</v>
      </c>
      <c r="E80" t="n">
        <v>0</v>
      </c>
      <c r="F80" t="n">
        <v>0</v>
      </c>
      <c r="H80" t="n">
        <v>0</v>
      </c>
      <c r="I80" t="n">
        <v>0</v>
      </c>
      <c r="J80" t="n">
        <v>0</v>
      </c>
      <c r="K80" t="n">
        <v>0</v>
      </c>
      <c r="L80" t="n">
        <v>0</v>
      </c>
      <c r="M80" t="n">
        <v>0</v>
      </c>
      <c r="N80" t="n">
        <v>0</v>
      </c>
    </row>
    <row r="81">
      <c r="A81" t="inlineStr">
        <is>
          <t>Issues of the manor</t>
        </is>
      </c>
      <c r="B81" t="inlineStr">
        <is>
          <t>1 shilling 6pence from 61 capons sold as made clear elsewhere, at 3pence each.</t>
        </is>
      </c>
      <c r="C81" t="n">
        <v>0.08</v>
      </c>
      <c r="D81" t="n">
        <v>0</v>
      </c>
      <c r="E81" t="n">
        <v>1</v>
      </c>
      <c r="F81" t="n">
        <v>6</v>
      </c>
      <c r="H81" t="n">
        <v>0</v>
      </c>
      <c r="I81" t="n">
        <v>0</v>
      </c>
      <c r="J81" t="n">
        <v>0</v>
      </c>
      <c r="K81" t="n">
        <v>0</v>
      </c>
      <c r="L81" t="n">
        <v>0</v>
      </c>
      <c r="M81" t="n">
        <v>0</v>
      </c>
      <c r="N81" t="n">
        <v>0</v>
      </c>
    </row>
    <row r="82">
      <c r="A82" t="inlineStr">
        <is>
          <t>Issues of the manor</t>
        </is>
      </c>
      <c r="B82" t="inlineStr">
        <is>
          <t>1 shilling 8pence from 10 cocks and hens sold, at 2pence each.</t>
        </is>
      </c>
      <c r="C82" t="n">
        <v>0.08</v>
      </c>
      <c r="D82" t="n">
        <v>0</v>
      </c>
      <c r="E82" t="n">
        <v>1</v>
      </c>
      <c r="F82" t="n">
        <v>8</v>
      </c>
      <c r="H82" t="n">
        <v>0</v>
      </c>
      <c r="I82" t="n">
        <v>0</v>
      </c>
      <c r="J82" t="n">
        <v>0</v>
      </c>
      <c r="K82" t="n">
        <v>0</v>
      </c>
      <c r="L82" t="n">
        <v>0</v>
      </c>
      <c r="M82" t="n">
        <v>0</v>
      </c>
      <c r="N82" t="n">
        <v>0</v>
      </c>
    </row>
    <row r="83">
      <c r="A83" t="inlineStr">
        <is>
          <t>Issues of the manor</t>
        </is>
      </c>
      <c r="B83" t="inlineStr">
        <is>
          <t>nothing from hens' eggs sold.</t>
        </is>
      </c>
      <c r="C83" t="n">
        <v>0</v>
      </c>
      <c r="D83" t="n">
        <v>0</v>
      </c>
      <c r="E83" t="n">
        <v>0</v>
      </c>
      <c r="F83" t="n">
        <v>0</v>
      </c>
      <c r="H83" t="n">
        <v>0</v>
      </c>
      <c r="I83" t="n">
        <v>0</v>
      </c>
      <c r="J83" t="n">
        <v>0</v>
      </c>
      <c r="K83" t="n">
        <v>0</v>
      </c>
      <c r="L83" t="n">
        <v>0</v>
      </c>
      <c r="M83" t="n">
        <v>0</v>
      </c>
      <c r="N83" t="n">
        <v>0</v>
      </c>
    </row>
    <row r="84">
      <c r="A84" t="inlineStr">
        <is>
          <t>Issues of the manor</t>
        </is>
      </c>
      <c r="B84" t="inlineStr">
        <is>
          <t>nothing from the milking of cows or ewes.</t>
        </is>
      </c>
      <c r="C84" t="n">
        <v>0</v>
      </c>
      <c r="D84" t="n">
        <v>0</v>
      </c>
      <c r="E84" t="n">
        <v>0</v>
      </c>
      <c r="F84" t="n">
        <v>0</v>
      </c>
      <c r="H84" t="n">
        <v>0</v>
      </c>
      <c r="I84" t="n">
        <v>0</v>
      </c>
      <c r="J84" t="n">
        <v>0</v>
      </c>
      <c r="K84" t="n">
        <v>0</v>
      </c>
      <c r="L84" t="n">
        <v>0</v>
      </c>
      <c r="M84" t="n">
        <v>0</v>
      </c>
      <c r="N84" t="n">
        <v>0</v>
      </c>
    </row>
    <row r="85">
      <c r="A85" t="inlineStr">
        <is>
          <t>Issues of the manor</t>
        </is>
      </c>
      <c r="B85" t="inlineStr">
        <is>
          <t>nothing for the farm of the lands and tenements in the lord's hands here because they are given separately below.</t>
        </is>
      </c>
      <c r="C85" t="n">
        <v>0</v>
      </c>
      <c r="D85" t="n">
        <v>0</v>
      </c>
      <c r="E85" t="n">
        <v>0</v>
      </c>
      <c r="F85" t="n">
        <v>0</v>
      </c>
      <c r="H85" t="n">
        <v>0</v>
      </c>
      <c r="I85" t="n">
        <v>0</v>
      </c>
      <c r="J85" t="n">
        <v>0</v>
      </c>
      <c r="K85" t="n">
        <v>0</v>
      </c>
      <c r="L85" t="n">
        <v>0</v>
      </c>
      <c r="M85" t="n">
        <v>0</v>
      </c>
      <c r="N85" t="n">
        <v>0</v>
      </c>
    </row>
    <row r="86">
      <c r="A86" t="inlineStr">
        <is>
          <t>Issues of the manor</t>
        </is>
      </c>
      <c r="B86" t="inlineStr">
        <is>
          <t>nothing from wool sold this year.</t>
        </is>
      </c>
      <c r="C86" t="n">
        <v>0</v>
      </c>
      <c r="D86" t="n">
        <v>0</v>
      </c>
      <c r="E86" t="n">
        <v>0</v>
      </c>
      <c r="F86" t="n">
        <v>0</v>
      </c>
      <c r="H86" t="n">
        <v>0</v>
      </c>
      <c r="I86" t="n">
        <v>0</v>
      </c>
      <c r="J86" t="n">
        <v>0</v>
      </c>
      <c r="K86" t="n">
        <v>0</v>
      </c>
      <c r="L86" t="n">
        <v>0</v>
      </c>
      <c r="M86" t="n">
        <v>0</v>
      </c>
      <c r="N86" t="n">
        <v>0</v>
      </c>
    </row>
    <row r="87">
      <c r="A87" t="inlineStr">
        <is>
          <t>Issues of the manor</t>
        </is>
      </c>
      <c r="B87" t="inlineStr">
        <is>
          <t>nothing from hay sold this year.</t>
        </is>
      </c>
      <c r="C87" t="n">
        <v>0</v>
      </c>
      <c r="D87" t="n">
        <v>0</v>
      </c>
      <c r="E87" t="n">
        <v>0</v>
      </c>
      <c r="F87" t="n">
        <v>0</v>
      </c>
      <c r="H87" t="n">
        <v>0</v>
      </c>
      <c r="I87" t="n">
        <v>0</v>
      </c>
      <c r="J87" t="n">
        <v>0</v>
      </c>
      <c r="K87" t="n">
        <v>0</v>
      </c>
      <c r="L87" t="n">
        <v>0</v>
      </c>
      <c r="M87" t="n">
        <v>0</v>
      </c>
      <c r="N87" t="n">
        <v>0</v>
      </c>
    </row>
    <row r="88">
      <c r="A88" t="inlineStr">
        <is>
          <t>Issues of the manor</t>
        </is>
      </c>
      <c r="B88" t="inlineStr">
        <is>
          <t>1 shilling from 250 stone slates sold because unsuitable (inutil') for the use of the lord.</t>
        </is>
      </c>
      <c r="C88" t="n">
        <v>0.05</v>
      </c>
      <c r="D88" t="n">
        <v>0</v>
      </c>
      <c r="E88" t="n">
        <v>1</v>
      </c>
      <c r="F88" t="n">
        <v>0</v>
      </c>
      <c r="H88" t="n">
        <v>0</v>
      </c>
      <c r="I88" t="n">
        <v>0</v>
      </c>
      <c r="J88" t="n">
        <v>0</v>
      </c>
      <c r="K88" t="n">
        <v>0</v>
      </c>
      <c r="L88" t="n">
        <v>0</v>
      </c>
      <c r="M88" t="n">
        <v>0</v>
      </c>
      <c r="N88" t="n">
        <v>0</v>
      </c>
    </row>
    <row r="89">
      <c r="A89" t="inlineStr">
        <is>
          <t>Issues of the manor</t>
        </is>
      </c>
      <c r="B89" t="inlineStr">
        <is>
          <t>3 shilling 4pence from 400 laths sold, at 10pence a 100.</t>
        </is>
      </c>
      <c r="C89" t="n">
        <v>0.17</v>
      </c>
      <c r="D89" t="n">
        <v>0</v>
      </c>
      <c r="E89" t="n">
        <v>3</v>
      </c>
      <c r="F89" t="n">
        <v>4</v>
      </c>
      <c r="H89" t="n">
        <v>0</v>
      </c>
      <c r="I89" t="n">
        <v>0</v>
      </c>
      <c r="J89" t="n">
        <v>0</v>
      </c>
      <c r="K89" t="n">
        <v>0</v>
      </c>
      <c r="L89" t="n">
        <v>0</v>
      </c>
      <c r="M89" t="n">
        <v>0</v>
      </c>
      <c r="N89" t="n">
        <v>0</v>
      </c>
    </row>
    <row r="90">
      <c r="A90" t="inlineStr">
        <is>
          <t>Issues of the manor</t>
        </is>
      </c>
      <c r="B90" t="inlineStr">
        <is>
          <t>6pence from 6 worn out hurdles sold.</t>
        </is>
      </c>
      <c r="C90" t="n">
        <v>0.03</v>
      </c>
      <c r="D90" t="n">
        <v>0</v>
      </c>
      <c r="E90" t="n">
        <v>0</v>
      </c>
      <c r="F90" t="n">
        <v>6</v>
      </c>
      <c r="H90" t="n">
        <v>0</v>
      </c>
      <c r="I90" t="n">
        <v>0</v>
      </c>
      <c r="J90" t="n">
        <v>0</v>
      </c>
      <c r="K90" t="n">
        <v>0</v>
      </c>
      <c r="L90" t="n">
        <v>0</v>
      </c>
      <c r="M90" t="n">
        <v>0</v>
      </c>
      <c r="N90" t="n">
        <v>0</v>
      </c>
    </row>
    <row r="91">
      <c r="A91" t="inlineStr">
        <is>
          <t>Issues of the manor</t>
        </is>
      </c>
      <c r="B91" t="inlineStr">
        <is>
          <t>Total, £2 2 shilling 7.5pence.</t>
        </is>
      </c>
      <c r="C91" t="n">
        <v>2.13</v>
      </c>
      <c r="D91" t="n">
        <v>2</v>
      </c>
      <c r="E91" t="n">
        <v>2</v>
      </c>
      <c r="F91" t="n">
        <v>7.5</v>
      </c>
      <c r="H91" t="n">
        <v>0</v>
      </c>
      <c r="I91" t="n">
        <v>0</v>
      </c>
      <c r="J91" t="n">
        <v>0</v>
      </c>
      <c r="K91" t="n">
        <v>0</v>
      </c>
      <c r="L91" t="n">
        <v>0</v>
      </c>
      <c r="M91" t="n">
        <v>0</v>
      </c>
      <c r="N91" t="n">
        <v>0</v>
      </c>
    </row>
    <row r="92">
      <c r="A92" t="inlineStr">
        <is>
          <t>Issues of the tenements in the lord's hands</t>
        </is>
      </c>
      <c r="B92" t="inlineStr">
        <is>
          <t>And for 10 shilling from Richard atte Mulle for the farm of 1 toft and 1 acreland formerly of Richard Bolt in the lord's hands.</t>
        </is>
      </c>
      <c r="C92" t="n">
        <v>0.5</v>
      </c>
      <c r="D92" t="n">
        <v>0</v>
      </c>
      <c r="E92" t="n">
        <v>10</v>
      </c>
      <c r="F92" t="n">
        <v>0</v>
      </c>
      <c r="H92" t="n">
        <v>0</v>
      </c>
      <c r="I92" t="n">
        <v>0</v>
      </c>
      <c r="J92" t="n">
        <v>0</v>
      </c>
      <c r="K92" t="n">
        <v>0</v>
      </c>
      <c r="L92" t="n">
        <v>0</v>
      </c>
      <c r="M92" t="n">
        <v>0</v>
      </c>
      <c r="N92" t="n">
        <v>0</v>
      </c>
    </row>
    <row r="93">
      <c r="A93" t="inlineStr">
        <is>
          <t>Issues of the tenements in the lord's hands</t>
        </is>
      </c>
      <c r="B93" t="inlineStr">
        <is>
          <t>7 shilling 1pence from John Jakeman for the farm for the year of 1 messuage and 1 acreland formerly of John Stephen' and afterwards of Mabel Dawe in the lord's hands.</t>
        </is>
      </c>
      <c r="C93" t="n">
        <v>0.35</v>
      </c>
      <c r="D93" t="n">
        <v>0</v>
      </c>
      <c r="E93" t="n">
        <v>7</v>
      </c>
      <c r="F93" t="n">
        <v>1</v>
      </c>
      <c r="H93" t="n">
        <v>0</v>
      </c>
      <c r="I93" t="n">
        <v>0</v>
      </c>
      <c r="J93" t="n">
        <v>0</v>
      </c>
      <c r="K93" t="n">
        <v>0</v>
      </c>
      <c r="L93" t="n">
        <v>0</v>
      </c>
      <c r="M93" t="n">
        <v>0</v>
      </c>
      <c r="N93" t="n">
        <v>0</v>
      </c>
    </row>
    <row r="94">
      <c r="A94" t="inlineStr">
        <is>
          <t>Issues of the tenements in the lord's hands</t>
        </is>
      </c>
      <c r="B94" t="inlineStr">
        <is>
          <t>10 shilling 8pence from William atte Lee for the farm of 1 messuage and 1 acreland formerly of Richard Dolphin in the lord's hands.</t>
        </is>
      </c>
      <c r="C94" t="n">
        <v>0.53</v>
      </c>
      <c r="D94" t="n">
        <v>0</v>
      </c>
      <c r="E94" t="n">
        <v>10</v>
      </c>
      <c r="F94" t="n">
        <v>8</v>
      </c>
      <c r="H94" t="n">
        <v>0</v>
      </c>
      <c r="I94" t="n">
        <v>0</v>
      </c>
      <c r="J94" t="n">
        <v>0</v>
      </c>
      <c r="K94" t="n">
        <v>0</v>
      </c>
      <c r="L94" t="n">
        <v>0</v>
      </c>
      <c r="M94" t="n">
        <v>0</v>
      </c>
      <c r="N94" t="n">
        <v>0</v>
      </c>
    </row>
    <row r="95">
      <c r="A95" t="inlineStr">
        <is>
          <t>Issues of the tenements in the lord's hands</t>
        </is>
      </c>
      <c r="B95" t="inlineStr">
        <is>
          <t>19 shilling 1pence from John Andrew of Bodicote for the farm of 1 messuage and 2 acrelands formerly of Richard Acreman and afterwards of Alan Acreman demised to the same at farm.</t>
        </is>
      </c>
      <c r="C95" t="n">
        <v>0.95</v>
      </c>
      <c r="D95" t="n">
        <v>0</v>
      </c>
      <c r="E95" t="n">
        <v>19</v>
      </c>
      <c r="F95" t="n">
        <v>1</v>
      </c>
      <c r="H95" t="n">
        <v>0</v>
      </c>
      <c r="I95" t="n">
        <v>0</v>
      </c>
      <c r="J95" t="n">
        <v>0</v>
      </c>
      <c r="K95" t="n">
        <v>0</v>
      </c>
      <c r="L95" t="n">
        <v>0</v>
      </c>
      <c r="M95" t="n">
        <v>0</v>
      </c>
      <c r="N95" t="n">
        <v>0</v>
      </c>
    </row>
    <row r="96">
      <c r="A96" t="inlineStr">
        <is>
          <t>Issues of the tenements in the lord's hands</t>
        </is>
      </c>
      <c r="B96" t="inlineStr">
        <is>
          <t>12 shilling from Richard atte Mulle for the farm of 1 toft and 1 acreland formerly of John Osebam' and afterwards of John Dolphyn demised to the same.</t>
        </is>
      </c>
      <c r="C96" t="n">
        <v>0.6</v>
      </c>
      <c r="D96" t="n">
        <v>0</v>
      </c>
      <c r="E96" t="n">
        <v>12</v>
      </c>
      <c r="F96" t="n">
        <v>0</v>
      </c>
      <c r="H96" t="n">
        <v>0</v>
      </c>
      <c r="I96" t="n">
        <v>0</v>
      </c>
      <c r="J96" t="n">
        <v>0</v>
      </c>
      <c r="K96" t="n">
        <v>0</v>
      </c>
      <c r="L96" t="n">
        <v>0</v>
      </c>
      <c r="M96" t="n">
        <v>0</v>
      </c>
      <c r="N96" t="n">
        <v>0</v>
      </c>
    </row>
    <row r="97">
      <c r="A97" t="inlineStr">
        <is>
          <t>Issues of the tenements in the lord's hands</t>
        </is>
      </c>
      <c r="B97" t="inlineStr">
        <is>
          <t>12 shilling 8pence from John Stoketon' for the farm of 1 messuage and 1 acreland formerly of John Buryman in the lord's hands.</t>
        </is>
      </c>
      <c r="C97" t="n">
        <v>0.63</v>
      </c>
      <c r="D97" t="n">
        <v>0</v>
      </c>
      <c r="E97" t="n">
        <v>12</v>
      </c>
      <c r="F97" t="n">
        <v>8</v>
      </c>
      <c r="H97" t="n">
        <v>0</v>
      </c>
      <c r="I97" t="n">
        <v>0</v>
      </c>
      <c r="J97" t="n">
        <v>0</v>
      </c>
      <c r="K97" t="n">
        <v>0</v>
      </c>
      <c r="L97" t="n">
        <v>0</v>
      </c>
      <c r="M97" t="n">
        <v>0</v>
      </c>
      <c r="N97" t="n">
        <v>0</v>
      </c>
    </row>
    <row r="98">
      <c r="A98" t="inlineStr">
        <is>
          <t>Issues of the tenements in the lord's hands</t>
        </is>
      </c>
      <c r="B98" t="inlineStr">
        <is>
          <t>14 shilling from Thomas Lanure for 1 messuage and 1 acreland formerly of John Geffrey and afterwards of Richard Smyth' in the lord's hands.</t>
        </is>
      </c>
      <c r="C98" t="n">
        <v>0.7</v>
      </c>
      <c r="D98" t="n">
        <v>0</v>
      </c>
      <c r="E98" t="n">
        <v>14</v>
      </c>
      <c r="F98" t="n">
        <v>0</v>
      </c>
      <c r="H98" t="n">
        <v>0</v>
      </c>
      <c r="I98" t="n">
        <v>0</v>
      </c>
      <c r="J98" t="n">
        <v>0</v>
      </c>
      <c r="K98" t="n">
        <v>0</v>
      </c>
      <c r="L98" t="n">
        <v>0</v>
      </c>
      <c r="M98" t="n">
        <v>0</v>
      </c>
      <c r="N98" t="n">
        <v>0</v>
      </c>
    </row>
    <row r="99">
      <c r="A99" t="inlineStr">
        <is>
          <t>Cotlands</t>
        </is>
      </c>
      <c r="B99" t="inlineStr">
        <is>
          <t>And for 14 shilling from John Knyght for the farm of 1 messuage and 1 cotland formerly of Gilbert Buryman and afterwards of William Somer in the lord's hands.</t>
        </is>
      </c>
      <c r="C99" t="n">
        <v>0.7</v>
      </c>
      <c r="D99" t="n">
        <v>0</v>
      </c>
      <c r="E99" t="n">
        <v>14</v>
      </c>
      <c r="F99" t="n">
        <v>0</v>
      </c>
      <c r="H99" t="n">
        <v>0</v>
      </c>
      <c r="I99" t="n">
        <v>0</v>
      </c>
      <c r="J99" t="n">
        <v>0</v>
      </c>
      <c r="K99" t="n">
        <v>0</v>
      </c>
      <c r="L99" t="n">
        <v>0</v>
      </c>
      <c r="M99" t="n">
        <v>0</v>
      </c>
      <c r="N99" t="n">
        <v>0</v>
      </c>
    </row>
    <row r="100">
      <c r="A100" t="inlineStr">
        <is>
          <t>Cotlands</t>
        </is>
      </c>
      <c r="B100" t="inlineStr">
        <is>
          <t>13 shilling 4pence from William Rundell' for the farm of 1 messuage and 1 cotland formerly of Richard Janekyn and afterwards of William Smyth' demised to the same at farm.</t>
        </is>
      </c>
      <c r="C100" t="n">
        <v>0.67</v>
      </c>
      <c r="D100" t="n">
        <v>0</v>
      </c>
      <c r="E100" t="n">
        <v>13</v>
      </c>
      <c r="F100" t="n">
        <v>4</v>
      </c>
      <c r="H100" t="n">
        <v>0</v>
      </c>
      <c r="I100" t="n">
        <v>0</v>
      </c>
      <c r="J100" t="n">
        <v>0</v>
      </c>
      <c r="K100" t="n">
        <v>0</v>
      </c>
      <c r="L100" t="n">
        <v>0</v>
      </c>
      <c r="M100" t="n">
        <v>0</v>
      </c>
      <c r="N100" t="n">
        <v>0</v>
      </c>
    </row>
    <row r="101">
      <c r="A101" t="inlineStr">
        <is>
          <t>Cotlands</t>
        </is>
      </c>
      <c r="B101" t="inlineStr">
        <is>
          <t>12 shilling from John Berewyk for the farm of 1 messuage and 1 cotland formerly of Walter Bolt and afterwards of Thomas Bolt demised to the same at farm.</t>
        </is>
      </c>
      <c r="C101" t="n">
        <v>0.6</v>
      </c>
      <c r="D101" t="n">
        <v>0</v>
      </c>
      <c r="E101" t="n">
        <v>12</v>
      </c>
      <c r="F101" t="n">
        <v>0</v>
      </c>
      <c r="H101" t="n">
        <v>0</v>
      </c>
      <c r="I101" t="n">
        <v>0</v>
      </c>
      <c r="J101" t="n">
        <v>0</v>
      </c>
      <c r="K101" t="n">
        <v>0</v>
      </c>
      <c r="L101" t="n">
        <v>0</v>
      </c>
      <c r="M101" t="n">
        <v>0</v>
      </c>
      <c r="N101" t="n">
        <v>0</v>
      </c>
    </row>
    <row r="102">
      <c r="A102" t="inlineStr">
        <is>
          <t>Cotlands</t>
        </is>
      </c>
      <c r="B102" t="inlineStr">
        <is>
          <t>18 shilling from John Yonge for the farm of 1 messuage and 1 cotland formerly of Richard Scryveyn and afterwards of Richard Andrew demised to the same at farm.</t>
        </is>
      </c>
      <c r="C102" t="n">
        <v>0.9</v>
      </c>
      <c r="D102" t="n">
        <v>0</v>
      </c>
      <c r="E102" t="n">
        <v>18</v>
      </c>
      <c r="F102" t="n">
        <v>0</v>
      </c>
      <c r="H102" t="n">
        <v>0</v>
      </c>
      <c r="I102" t="n">
        <v>0</v>
      </c>
      <c r="J102" t="n">
        <v>0</v>
      </c>
      <c r="K102" t="n">
        <v>0</v>
      </c>
      <c r="L102" t="n">
        <v>0</v>
      </c>
      <c r="M102" t="n">
        <v>0</v>
      </c>
      <c r="N102" t="n">
        <v>0</v>
      </c>
    </row>
    <row r="103">
      <c r="A103" t="inlineStr">
        <is>
          <t>Cotlands</t>
        </is>
      </c>
      <c r="B103" t="inlineStr">
        <is>
          <t>12 shilling from Richard Clerk for the farm of 1 messuage and 1 cotland formerly of John Gylot and William Gylot demised to the same as above.</t>
        </is>
      </c>
      <c r="C103" t="n">
        <v>0.6</v>
      </c>
      <c r="D103" t="n">
        <v>0</v>
      </c>
      <c r="E103" t="n">
        <v>12</v>
      </c>
      <c r="F103" t="n">
        <v>0</v>
      </c>
      <c r="H103" t="n">
        <v>0</v>
      </c>
      <c r="I103" t="n">
        <v>0</v>
      </c>
      <c r="J103" t="n">
        <v>0</v>
      </c>
      <c r="K103" t="n">
        <v>0</v>
      </c>
      <c r="L103" t="n">
        <v>0</v>
      </c>
      <c r="M103" t="n">
        <v>0</v>
      </c>
      <c r="N103" t="n">
        <v>0</v>
      </c>
    </row>
    <row r="104">
      <c r="A104" t="inlineStr">
        <is>
          <t>Cotlands</t>
        </is>
      </c>
      <c r="B104" t="inlineStr">
        <is>
          <t>10 shilling from Henry Gille for the farm of 1 messuage and 1 cotland formerly of Alice atte Halle and afterwards of Thomas Benne demised to the same as above.</t>
        </is>
      </c>
      <c r="C104" t="n">
        <v>0.5</v>
      </c>
      <c r="D104" t="n">
        <v>0</v>
      </c>
      <c r="E104" t="n">
        <v>10</v>
      </c>
      <c r="F104" t="n">
        <v>0</v>
      </c>
      <c r="H104" t="n">
        <v>0</v>
      </c>
      <c r="I104" t="n">
        <v>0</v>
      </c>
      <c r="J104" t="n">
        <v>0</v>
      </c>
      <c r="K104" t="n">
        <v>0</v>
      </c>
      <c r="L104" t="n">
        <v>0</v>
      </c>
      <c r="M104" t="n">
        <v>0</v>
      </c>
      <c r="N104" t="n">
        <v>0</v>
      </c>
    </row>
    <row r="105">
      <c r="A105" t="inlineStr">
        <is>
          <t>Cotlands</t>
        </is>
      </c>
      <c r="B105" t="inlineStr">
        <is>
          <t>Total, £8 3 shilling 10pence.</t>
        </is>
      </c>
      <c r="C105" t="n">
        <v>8.19</v>
      </c>
      <c r="D105" t="n">
        <v>8</v>
      </c>
      <c r="E105" t="n">
        <v>3</v>
      </c>
      <c r="F105" t="n">
        <v>10</v>
      </c>
      <c r="H105" t="n">
        <v>0</v>
      </c>
      <c r="I105" t="n">
        <v>0</v>
      </c>
      <c r="J105" t="n">
        <v>0</v>
      </c>
      <c r="K105" t="n">
        <v>0</v>
      </c>
      <c r="L105" t="n">
        <v>0</v>
      </c>
      <c r="M105" t="n">
        <v>0</v>
      </c>
      <c r="N105" t="n">
        <v>0</v>
      </c>
    </row>
    <row r="106">
      <c r="A106" t="inlineStr">
        <is>
          <t>Sale of labour services</t>
        </is>
      </c>
      <c r="B106" t="inlineStr">
        <is>
          <t>And for £1 1 shilling for release of the labour services of 3.5 hides in Bodicote this year, at 6 shillinga hide.</t>
        </is>
      </c>
      <c r="C106" t="n">
        <v>1.05</v>
      </c>
      <c r="D106" t="n">
        <v>1</v>
      </c>
      <c r="E106" t="n">
        <v>1</v>
      </c>
      <c r="F106" t="n">
        <v>0</v>
      </c>
      <c r="H106" t="n">
        <v>0</v>
      </c>
      <c r="I106" t="n">
        <v>0</v>
      </c>
      <c r="J106" t="n">
        <v>0</v>
      </c>
      <c r="K106" t="n">
        <v>0</v>
      </c>
      <c r="L106" t="n">
        <v>0</v>
      </c>
      <c r="M106" t="n">
        <v>0</v>
      </c>
      <c r="N106" t="n">
        <v>0</v>
      </c>
    </row>
    <row r="107">
      <c r="A107" t="inlineStr">
        <is>
          <t>Sale of labour services</t>
        </is>
      </c>
      <c r="B107" t="inlineStr">
        <is>
          <t>£16 13 shilling for release of the labour services of 37 virgates for the year, at 9 shilling a virgate, and not more because of the 38 customary tenants to hold of the same tenure 1 is reeve and is quit by reason of his office.</t>
        </is>
      </c>
      <c r="C107" t="n">
        <v>16.65</v>
      </c>
      <c r="D107" t="n">
        <v>16</v>
      </c>
      <c r="E107" t="n">
        <v>13</v>
      </c>
      <c r="F107" t="n">
        <v>0</v>
      </c>
      <c r="H107" t="n">
        <v>0</v>
      </c>
      <c r="I107" t="n">
        <v>0</v>
      </c>
      <c r="J107" t="n">
        <v>0</v>
      </c>
      <c r="K107" t="n">
        <v>0</v>
      </c>
      <c r="L107" t="n">
        <v>0</v>
      </c>
      <c r="M107" t="n">
        <v>0</v>
      </c>
      <c r="N107" t="n">
        <v>0</v>
      </c>
    </row>
    <row r="108">
      <c r="A108" t="inlineStr">
        <is>
          <t>Sale of labour services</t>
        </is>
      </c>
      <c r="B108" t="inlineStr">
        <is>
          <t>6 shilling 8pence from 40 cottars for 40 labour services making hay sold to the same this year, at 2pence a labour service.</t>
        </is>
      </c>
      <c r="C108" t="n">
        <v>0.33</v>
      </c>
      <c r="D108" t="n">
        <v>0</v>
      </c>
      <c r="E108" t="n">
        <v>6</v>
      </c>
      <c r="F108" t="n">
        <v>8</v>
      </c>
      <c r="H108" t="n">
        <v>0</v>
      </c>
      <c r="I108" t="n">
        <v>0</v>
      </c>
      <c r="J108" t="n">
        <v>0</v>
      </c>
      <c r="K108" t="n">
        <v>0</v>
      </c>
      <c r="L108" t="n">
        <v>0</v>
      </c>
      <c r="M108" t="n">
        <v>0</v>
      </c>
      <c r="N108" t="n">
        <v>0</v>
      </c>
    </row>
    <row r="109">
      <c r="A109" t="inlineStr">
        <is>
          <t>Sale of labour services</t>
        </is>
      </c>
      <c r="B109" t="inlineStr">
        <is>
          <t>3 shilling 6pence from 21 cottars for 21 labour services weeding corn sold to the same this year, at 2pence a labour service.</t>
        </is>
      </c>
      <c r="C109" t="n">
        <v>0.17</v>
      </c>
      <c r="D109" t="n">
        <v>0</v>
      </c>
      <c r="E109" t="n">
        <v>3</v>
      </c>
      <c r="F109" t="n">
        <v>6</v>
      </c>
      <c r="H109" t="n">
        <v>0</v>
      </c>
      <c r="I109" t="n">
        <v>0</v>
      </c>
      <c r="J109" t="n">
        <v>0</v>
      </c>
      <c r="K109" t="n">
        <v>0</v>
      </c>
      <c r="L109" t="n">
        <v>0</v>
      </c>
      <c r="M109" t="n">
        <v>0</v>
      </c>
      <c r="N109" t="n">
        <v>0</v>
      </c>
    </row>
    <row r="110">
      <c r="A110" t="inlineStr">
        <is>
          <t>Sale of labour services</t>
        </is>
      </c>
      <c r="B110" t="inlineStr">
        <is>
          <t>8 shilling from 16 cottars for 32 boon-works sold to the same this year, at 3pence a labour service.</t>
        </is>
      </c>
      <c r="C110" t="n">
        <v>0.41</v>
      </c>
      <c r="D110" t="n">
        <v>0</v>
      </c>
      <c r="E110" t="n">
        <v>8</v>
      </c>
      <c r="F110" t="n">
        <v>3</v>
      </c>
      <c r="H110" t="n">
        <v>0</v>
      </c>
      <c r="I110" t="n">
        <v>0</v>
      </c>
      <c r="J110" t="n">
        <v>0</v>
      </c>
      <c r="K110" t="n">
        <v>0</v>
      </c>
      <c r="L110" t="n">
        <v>0</v>
      </c>
      <c r="M110" t="n">
        <v>0</v>
      </c>
      <c r="N110" t="n">
        <v>0</v>
      </c>
    </row>
    <row r="111">
      <c r="A111" t="inlineStr">
        <is>
          <t>Sale of labour services</t>
        </is>
      </c>
      <c r="B111" t="inlineStr">
        <is>
          <t>16 shilling for release of the labour services of 2 cotlands, at 8 shilling a cotland, and not more because of the 8 customary tenants to hold of the same tenure 6 are in the lord's hands, as made clear under the heading, issues of the tenements.</t>
        </is>
      </c>
      <c r="C111" t="n">
        <v>0.8</v>
      </c>
      <c r="D111" t="n">
        <v>0</v>
      </c>
      <c r="E111" t="n">
        <v>16</v>
      </c>
      <c r="F111" t="n">
        <v>0</v>
      </c>
      <c r="H111" t="n">
        <v>0</v>
      </c>
      <c r="I111" t="n">
        <v>0</v>
      </c>
      <c r="J111" t="n">
        <v>0</v>
      </c>
      <c r="K111" t="n">
        <v>0</v>
      </c>
      <c r="L111" t="n">
        <v>0</v>
      </c>
      <c r="M111" t="n">
        <v>0</v>
      </c>
      <c r="N111" t="n">
        <v>0</v>
      </c>
    </row>
    <row r="112">
      <c r="A112" t="inlineStr">
        <is>
          <t>Sale of labour services</t>
        </is>
      </c>
      <c r="B112" t="inlineStr">
        <is>
          <t>Total, £19 8 shilling 2pence.</t>
        </is>
      </c>
      <c r="C112" t="n">
        <v>19.41</v>
      </c>
      <c r="D112" t="n">
        <v>19</v>
      </c>
      <c r="E112" t="n">
        <v>8</v>
      </c>
      <c r="F112" t="n">
        <v>2</v>
      </c>
      <c r="H112" t="n">
        <v>0</v>
      </c>
      <c r="I112" t="n">
        <v>0</v>
      </c>
      <c r="J112" t="n">
        <v>0</v>
      </c>
      <c r="K112" t="n">
        <v>0</v>
      </c>
      <c r="L112" t="n">
        <v>0</v>
      </c>
      <c r="M112" t="n">
        <v>0</v>
      </c>
      <c r="N112" t="n">
        <v>0</v>
      </c>
    </row>
    <row r="113">
      <c r="A113" t="inlineStr">
        <is>
          <t>Sale of corn</t>
        </is>
      </c>
      <c r="B113" t="inlineStr">
        <is>
          <t>Nothing from the sale of corn for the reason made clear elsewhere.</t>
        </is>
      </c>
      <c r="C113" t="n">
        <v>0</v>
      </c>
      <c r="D113" t="n">
        <v>0</v>
      </c>
      <c r="E113" t="n">
        <v>0</v>
      </c>
      <c r="F113" t="n">
        <v>0</v>
      </c>
      <c r="H113" t="n">
        <v>0</v>
      </c>
      <c r="I113" t="n">
        <v>0</v>
      </c>
      <c r="J113" t="n">
        <v>0</v>
      </c>
      <c r="K113" t="n">
        <v>0</v>
      </c>
      <c r="L113" t="n">
        <v>0</v>
      </c>
      <c r="M113" t="n">
        <v>0</v>
      </c>
      <c r="N113" t="n">
        <v>0</v>
      </c>
    </row>
    <row r="114">
      <c r="A114" t="inlineStr">
        <is>
          <t>Sale of stock</t>
        </is>
      </c>
      <c r="B114" t="inlineStr">
        <is>
          <t>And for 10 shilling 6pence from 1 horse sold as made clear elsewhere.</t>
        </is>
      </c>
      <c r="C114" t="n">
        <v>0.53</v>
      </c>
      <c r="D114" t="n">
        <v>0</v>
      </c>
      <c r="E114" t="n">
        <v>10</v>
      </c>
      <c r="F114" t="n">
        <v>6</v>
      </c>
      <c r="H114" t="n">
        <v>0</v>
      </c>
      <c r="I114" t="n">
        <v>0</v>
      </c>
      <c r="J114" t="n">
        <v>0</v>
      </c>
      <c r="K114" t="n">
        <v>0</v>
      </c>
      <c r="L114" t="n">
        <v>0</v>
      </c>
      <c r="M114" t="n">
        <v>0</v>
      </c>
      <c r="N114" t="n">
        <v>0</v>
      </c>
    </row>
    <row r="115">
      <c r="A115" t="inlineStr">
        <is>
          <t>Sale of stock</t>
        </is>
      </c>
      <c r="B115" t="inlineStr">
        <is>
          <t>5 shilling from 1 colt sold as made clear elsewhere.</t>
        </is>
      </c>
      <c r="C115" t="n">
        <v>0.25</v>
      </c>
      <c r="D115" t="n">
        <v>0</v>
      </c>
      <c r="E115" t="n">
        <v>5</v>
      </c>
      <c r="F115" t="n">
        <v>0</v>
      </c>
      <c r="H115" t="n">
        <v>0</v>
      </c>
      <c r="I115" t="n">
        <v>0</v>
      </c>
      <c r="J115" t="n">
        <v>0</v>
      </c>
      <c r="K115" t="n">
        <v>0</v>
      </c>
      <c r="L115" t="n">
        <v>0</v>
      </c>
      <c r="M115" t="n">
        <v>0</v>
      </c>
      <c r="N115" t="n">
        <v>0</v>
      </c>
    </row>
    <row r="116">
      <c r="A116" t="inlineStr">
        <is>
          <t>Sale of stock</t>
        </is>
      </c>
      <c r="B116" t="inlineStr">
        <is>
          <t>£1 10 shilling from 3 cows sold as made clear elsewhere.</t>
        </is>
      </c>
      <c r="C116" t="n">
        <v>1.5</v>
      </c>
      <c r="D116" t="n">
        <v>1</v>
      </c>
      <c r="E116" t="n">
        <v>10</v>
      </c>
      <c r="F116" t="n">
        <v>0</v>
      </c>
      <c r="H116" t="n">
        <v>0</v>
      </c>
      <c r="I116" t="n">
        <v>0</v>
      </c>
      <c r="J116" t="n">
        <v>0</v>
      </c>
      <c r="K116" t="n">
        <v>0</v>
      </c>
      <c r="L116" t="n">
        <v>0</v>
      </c>
      <c r="M116" t="n">
        <v>0</v>
      </c>
      <c r="N116" t="n">
        <v>0</v>
      </c>
    </row>
    <row r="117">
      <c r="A117" t="inlineStr">
        <is>
          <t>Sale of stock</t>
        </is>
      </c>
      <c r="B117" t="inlineStr">
        <is>
          <t>8pence from 1 ewe sold as made clear elsewhere.</t>
        </is>
      </c>
      <c r="C117" t="n">
        <v>0.03</v>
      </c>
      <c r="D117" t="n">
        <v>0</v>
      </c>
      <c r="E117" t="n">
        <v>0</v>
      </c>
      <c r="F117" t="n">
        <v>8</v>
      </c>
      <c r="H117" t="n">
        <v>0</v>
      </c>
      <c r="I117" t="n">
        <v>0</v>
      </c>
      <c r="J117" t="n">
        <v>0</v>
      </c>
      <c r="K117" t="n">
        <v>0</v>
      </c>
      <c r="L117" t="n">
        <v>0</v>
      </c>
      <c r="M117" t="n">
        <v>0</v>
      </c>
      <c r="N117" t="n">
        <v>0</v>
      </c>
    </row>
    <row r="118">
      <c r="A118" t="inlineStr">
        <is>
          <t>Sale of stock</t>
        </is>
      </c>
      <c r="B118" t="inlineStr">
        <is>
          <t>Total, £2 6 shilling 2pence.</t>
        </is>
      </c>
      <c r="C118" t="n">
        <v>2.31</v>
      </c>
      <c r="D118" t="n">
        <v>2</v>
      </c>
      <c r="E118" t="n">
        <v>6</v>
      </c>
      <c r="F118" t="n">
        <v>2</v>
      </c>
      <c r="H118" t="n">
        <v>0</v>
      </c>
      <c r="I118" t="n">
        <v>0</v>
      </c>
      <c r="J118" t="n">
        <v>0</v>
      </c>
      <c r="K118" t="n">
        <v>0</v>
      </c>
      <c r="L118" t="n">
        <v>0</v>
      </c>
      <c r="M118" t="n">
        <v>0</v>
      </c>
      <c r="N118" t="n">
        <v>0</v>
      </c>
    </row>
    <row r="119">
      <c r="A119" t="inlineStr">
        <is>
          <t>Entry and marriage fines</t>
        </is>
      </c>
      <c r="B119" t="inlineStr">
        <is>
          <t>And for £1 from fixed payments (certus visus) and tithingpenny at Martinmas.</t>
        </is>
      </c>
      <c r="C119" t="n">
        <v>1</v>
      </c>
      <c r="D119" t="n">
        <v>1</v>
      </c>
      <c r="E119" t="n">
        <v>0</v>
      </c>
      <c r="F119" t="n">
        <v>0</v>
      </c>
      <c r="H119" t="n">
        <v>0</v>
      </c>
      <c r="I119" t="n">
        <v>0</v>
      </c>
      <c r="J119" t="n">
        <v>0</v>
      </c>
      <c r="K119" t="n">
        <v>0</v>
      </c>
      <c r="L119" t="n">
        <v>0</v>
      </c>
      <c r="M119" t="n">
        <v>0</v>
      </c>
      <c r="N119" t="n">
        <v>0</v>
      </c>
    </row>
    <row r="120">
      <c r="A120" t="inlineStr">
        <is>
          <t>Entry and marriage fines</t>
        </is>
      </c>
      <c r="B120" t="inlineStr">
        <is>
          <t>£1 from fixed payments and tithingpenny at Hockday.</t>
        </is>
      </c>
      <c r="C120" t="n">
        <v>1</v>
      </c>
      <c r="D120" t="n">
        <v>1</v>
      </c>
      <c r="E120" t="n">
        <v>0</v>
      </c>
      <c r="F120" t="n">
        <v>0</v>
      </c>
      <c r="H120" t="n">
        <v>0</v>
      </c>
      <c r="I120" t="n">
        <v>0</v>
      </c>
      <c r="J120" t="n">
        <v>0</v>
      </c>
      <c r="K120" t="n">
        <v>0</v>
      </c>
      <c r="L120" t="n">
        <v>0</v>
      </c>
      <c r="M120" t="n">
        <v>0</v>
      </c>
      <c r="N120" t="n">
        <v>0</v>
      </c>
    </row>
    <row r="121">
      <c r="A121" t="inlineStr">
        <is>
          <t>Entry and marriage fines</t>
        </is>
      </c>
      <c r="B121" t="inlineStr">
        <is>
          <t>3 shilling 4pence from Thomas Mason' to have 3.5 acres of arable land and 1 acre of meadow in Bodicote by surrender of Richard Umfray and Alice his wife, and she is examined about this in court.</t>
        </is>
      </c>
      <c r="C121" t="n">
        <v>0.17</v>
      </c>
      <c r="D121" t="n">
        <v>0</v>
      </c>
      <c r="E121" t="n">
        <v>3</v>
      </c>
      <c r="F121" t="n">
        <v>4</v>
      </c>
      <c r="H121" t="n">
        <v>0</v>
      </c>
      <c r="I121" t="n">
        <v>0</v>
      </c>
      <c r="J121" t="n">
        <v>0</v>
      </c>
      <c r="K121" t="n">
        <v>0</v>
      </c>
      <c r="L121" t="n">
        <v>0</v>
      </c>
      <c r="M121" t="n">
        <v>0</v>
      </c>
      <c r="N121" t="n">
        <v>0</v>
      </c>
    </row>
    <row r="122">
      <c r="A122" t="inlineStr">
        <is>
          <t>Entry and marriage fines</t>
        </is>
      </c>
      <c r="B122" t="inlineStr">
        <is>
          <t>£1 from Robert Clerk' to have 1 messuage with a curtilage and 1 cotland of villein land in Adderbury which belonged to William Gylot and which came into the lord's hands as his escheat because noone of the kin of the said William took steps to fine for the same although a proclamation was made according to the custom of the manor.</t>
        </is>
      </c>
      <c r="C122" t="n">
        <v>1</v>
      </c>
      <c r="D122" t="n">
        <v>1</v>
      </c>
      <c r="E122" t="n">
        <v>0</v>
      </c>
      <c r="F122" t="n">
        <v>0</v>
      </c>
      <c r="H122" t="n">
        <v>0</v>
      </c>
      <c r="I122" t="n">
        <v>0</v>
      </c>
      <c r="J122" t="n">
        <v>0</v>
      </c>
      <c r="K122" t="n">
        <v>0</v>
      </c>
      <c r="L122" t="n">
        <v>0</v>
      </c>
      <c r="M122" t="n">
        <v>0</v>
      </c>
      <c r="N122" t="n">
        <v>0</v>
      </c>
    </row>
    <row r="123">
      <c r="A123" t="inlineStr">
        <is>
          <t>Entry and marriage fines</t>
        </is>
      </c>
      <c r="B123" t="inlineStr">
        <is>
          <t>£1 6 shilling 8pence from Thomas Ingram to have 1 messuage and 1 virgate of villein land in Adderbury by surrender of Richard Asser, for which William, son and heir of the aforesaid Richard, refused to make fine in full court and remised and released all his right and claim which he had or will be able to have in the same to the aforesaid Thomas.</t>
        </is>
      </c>
      <c r="C123" t="n">
        <v>1.33</v>
      </c>
      <c r="D123" t="n">
        <v>1</v>
      </c>
      <c r="E123" t="n">
        <v>6</v>
      </c>
      <c r="F123" t="n">
        <v>8</v>
      </c>
      <c r="H123" t="n">
        <v>0</v>
      </c>
      <c r="I123" t="n">
        <v>0</v>
      </c>
      <c r="J123" t="n">
        <v>0</v>
      </c>
      <c r="K123" t="n">
        <v>0</v>
      </c>
      <c r="L123" t="n">
        <v>0</v>
      </c>
      <c r="M123" t="n">
        <v>0</v>
      </c>
      <c r="N123" t="n">
        <v>0</v>
      </c>
    </row>
    <row r="124">
      <c r="A124" t="inlineStr">
        <is>
          <t>Entry and marriage fines</t>
        </is>
      </c>
      <c r="B124" t="inlineStr">
        <is>
          <t>£2 from Richard atte Mulle to have 1 toft called Boltes and 1 other toft called Osebarnes with 2 acrelands of villein land in Adderbury which belonged to Richard Bolt and John Osbarn and which came into the lord's hands as his escheat because noone of the kin of the said Richard took steps to fine for the same although a proclamation was made according to the custom of the manor.</t>
        </is>
      </c>
      <c r="C124" t="n">
        <v>2</v>
      </c>
      <c r="D124" t="n">
        <v>2</v>
      </c>
      <c r="E124" t="n">
        <v>0</v>
      </c>
      <c r="F124" t="n">
        <v>0</v>
      </c>
      <c r="H124" t="n">
        <v>0</v>
      </c>
      <c r="I124" t="n">
        <v>0</v>
      </c>
      <c r="J124" t="n">
        <v>0</v>
      </c>
      <c r="K124" t="n">
        <v>0</v>
      </c>
      <c r="L124" t="n">
        <v>0</v>
      </c>
      <c r="M124" t="n">
        <v>0</v>
      </c>
      <c r="N124" t="n">
        <v>0</v>
      </c>
    </row>
    <row r="125">
      <c r="A125" t="inlineStr">
        <is>
          <t>Entry and marriage fines</t>
        </is>
      </c>
      <c r="B125" t="inlineStr">
        <is>
          <t>6 shilling 8pence from Amice, daughter of Thomas Hogg', for marrying herself outside.</t>
        </is>
      </c>
      <c r="C125" t="n">
        <v>0.33</v>
      </c>
      <c r="D125" t="n">
        <v>0</v>
      </c>
      <c r="E125" t="n">
        <v>6</v>
      </c>
      <c r="F125" t="n">
        <v>8</v>
      </c>
      <c r="H125" t="n">
        <v>0</v>
      </c>
      <c r="I125" t="n">
        <v>0</v>
      </c>
      <c r="J125" t="n">
        <v>0</v>
      </c>
      <c r="K125" t="n">
        <v>0</v>
      </c>
      <c r="L125" t="n">
        <v>0</v>
      </c>
      <c r="M125" t="n">
        <v>0</v>
      </c>
      <c r="N125" t="n">
        <v>0</v>
      </c>
    </row>
    <row r="126">
      <c r="A126" t="inlineStr">
        <is>
          <t>Entry and marriage fines</t>
        </is>
      </c>
      <c r="B126" t="inlineStr">
        <is>
          <t>10 shilling from William, son of Thomas Benne, to have 1 messuage and .5 virgate of villein land in Adderbury which belonged to the aforesaid Thomas his father.</t>
        </is>
      </c>
      <c r="C126" t="n">
        <v>0.5</v>
      </c>
      <c r="D126" t="n">
        <v>0</v>
      </c>
      <c r="E126" t="n">
        <v>10</v>
      </c>
      <c r="F126" t="n">
        <v>0</v>
      </c>
      <c r="H126" t="n">
        <v>0</v>
      </c>
      <c r="I126" t="n">
        <v>0</v>
      </c>
      <c r="J126" t="n">
        <v>0</v>
      </c>
      <c r="K126" t="n">
        <v>0</v>
      </c>
      <c r="L126" t="n">
        <v>0</v>
      </c>
      <c r="M126" t="n">
        <v>0</v>
      </c>
      <c r="N126" t="n">
        <v>0</v>
      </c>
    </row>
    <row r="127">
      <c r="A127" t="inlineStr">
        <is>
          <t>Entry and marriage fines</t>
        </is>
      </c>
      <c r="B127" t="inlineStr">
        <is>
          <t>£1 from William atte Lee to have 1 messuage with a curtilage and 1 acreland of villein land in Adderbury which belonged to Richard Dolphin and which came into the lord's hands as his escheat because noone of the kin of the said Richard took steps to fine for the same although a proclamation was made according to the custom of the manor.</t>
        </is>
      </c>
      <c r="C127" t="n">
        <v>1</v>
      </c>
      <c r="D127" t="n">
        <v>1</v>
      </c>
      <c r="E127" t="n">
        <v>0</v>
      </c>
      <c r="F127" t="n">
        <v>0</v>
      </c>
      <c r="H127" t="n">
        <v>0</v>
      </c>
      <c r="I127" t="n">
        <v>0</v>
      </c>
      <c r="J127" t="n">
        <v>0</v>
      </c>
      <c r="K127" t="n">
        <v>0</v>
      </c>
      <c r="L127" t="n">
        <v>0</v>
      </c>
      <c r="M127" t="n">
        <v>0</v>
      </c>
      <c r="N127" t="n">
        <v>0</v>
      </c>
    </row>
    <row r="128">
      <c r="A128" t="inlineStr">
        <is>
          <t>Entry and marriage fines</t>
        </is>
      </c>
      <c r="B128" t="inlineStr">
        <is>
          <t>£2 from Simon Holte to have 1 messuage 16 acres of land, 2 cottages, 9 acres of land and 1 acre of meadow, 1 messuage and 1 virgate of villein land and 1 water-mill in Bodicote.</t>
        </is>
      </c>
      <c r="C128" t="n">
        <v>2</v>
      </c>
      <c r="D128" t="n">
        <v>2</v>
      </c>
      <c r="E128" t="n">
        <v>0</v>
      </c>
      <c r="F128" t="n">
        <v>0</v>
      </c>
      <c r="H128" t="n">
        <v>0</v>
      </c>
      <c r="I128" t="n">
        <v>0</v>
      </c>
      <c r="J128" t="n">
        <v>0</v>
      </c>
      <c r="K128" t="n">
        <v>0</v>
      </c>
      <c r="L128" t="n">
        <v>0</v>
      </c>
      <c r="M128" t="n">
        <v>0</v>
      </c>
      <c r="N128" t="n">
        <v>0</v>
      </c>
    </row>
    <row r="129">
      <c r="A129" t="inlineStr">
        <is>
          <t>Entry and marriage fines</t>
        </is>
      </c>
      <c r="B129" t="inlineStr">
        <is>
          <t>£4 6 shilling 8pence from Richard Verdon' and Alice his wife to have 1 messuage 36 acres of land and 7 acres of meadow in the meadow of Bodicote together with common pasture for 3 cattle in the common pasture of Bodicote and 5 cattle in the several pasture of the aforesaid vill by surrender of Agnes Hammeye.</t>
        </is>
      </c>
      <c r="C129" t="n">
        <v>4.33</v>
      </c>
      <c r="D129" t="n">
        <v>4</v>
      </c>
      <c r="E129" t="n">
        <v>6</v>
      </c>
      <c r="F129" t="n">
        <v>8</v>
      </c>
      <c r="H129" t="n">
        <v>0</v>
      </c>
      <c r="I129" t="n">
        <v>0</v>
      </c>
      <c r="J129" t="n">
        <v>0</v>
      </c>
      <c r="K129" t="n">
        <v>0</v>
      </c>
      <c r="L129" t="n">
        <v>0</v>
      </c>
      <c r="M129" t="n">
        <v>0</v>
      </c>
      <c r="N129" t="n">
        <v>0</v>
      </c>
    </row>
    <row r="130">
      <c r="A130" t="inlineStr">
        <is>
          <t>Entry and marriage fines</t>
        </is>
      </c>
      <c r="B130" t="inlineStr">
        <is>
          <t>£3 6 shilling 8pence from John Appuldor, of Bodicote to have 1 messuage and 1 virgate of villein land in Bodicote by surrender of Adam Chapeleyn.</t>
        </is>
      </c>
      <c r="C130" t="n">
        <v>3.33</v>
      </c>
      <c r="D130" t="n">
        <v>3</v>
      </c>
      <c r="E130" t="n">
        <v>6</v>
      </c>
      <c r="F130" t="n">
        <v>8</v>
      </c>
      <c r="H130" t="n">
        <v>0</v>
      </c>
      <c r="I130" t="n">
        <v>0</v>
      </c>
      <c r="J130" t="n">
        <v>0</v>
      </c>
      <c r="K130" t="n">
        <v>0</v>
      </c>
      <c r="L130" t="n">
        <v>0</v>
      </c>
      <c r="M130" t="n">
        <v>0</v>
      </c>
      <c r="N130" t="n">
        <v>0</v>
      </c>
    </row>
    <row r="131">
      <c r="A131" t="inlineStr">
        <is>
          <t>Entry and marriage fines</t>
        </is>
      </c>
      <c r="B131" t="inlineStr">
        <is>
          <t>£1 from William Verneye to have the reversion of the moiety of 1 messuage 2.5 virgates of land and 6 acres of meadow in Bodicote, for which Emma, who was wife of John Whyte, had the estate for the term of her life.</t>
        </is>
      </c>
      <c r="C131" t="n">
        <v>1</v>
      </c>
      <c r="D131" t="n">
        <v>1</v>
      </c>
      <c r="E131" t="n">
        <v>0</v>
      </c>
      <c r="F131" t="n">
        <v>0</v>
      </c>
      <c r="H131" t="n">
        <v>0</v>
      </c>
      <c r="I131" t="n">
        <v>0</v>
      </c>
      <c r="J131" t="n">
        <v>0</v>
      </c>
      <c r="K131" t="n">
        <v>0</v>
      </c>
      <c r="L131" t="n">
        <v>0</v>
      </c>
      <c r="M131" t="n">
        <v>0</v>
      </c>
      <c r="N131" t="n">
        <v>0</v>
      </c>
    </row>
    <row r="132">
      <c r="A132" t="inlineStr">
        <is>
          <t>Entry and marriage fines</t>
        </is>
      </c>
      <c r="B132" t="inlineStr">
        <is>
          <t>£1 from John White to have the reversion of the moiety of 1 messuage 2.5 virgates of land and 6 acres of meadow in Bodicote by surrender of William Verneye.</t>
        </is>
      </c>
      <c r="C132" t="n">
        <v>1</v>
      </c>
      <c r="D132" t="n">
        <v>1</v>
      </c>
      <c r="E132" t="n">
        <v>0</v>
      </c>
      <c r="F132" t="n">
        <v>0</v>
      </c>
      <c r="H132" t="n">
        <v>0</v>
      </c>
      <c r="I132" t="n">
        <v>0</v>
      </c>
      <c r="J132" t="n">
        <v>0</v>
      </c>
      <c r="K132" t="n">
        <v>0</v>
      </c>
      <c r="L132" t="n">
        <v>0</v>
      </c>
      <c r="M132" t="n">
        <v>0</v>
      </c>
      <c r="N132" t="n">
        <v>0</v>
      </c>
    </row>
    <row r="133">
      <c r="A133" t="inlineStr">
        <is>
          <t>Entry and marriage fines</t>
        </is>
      </c>
      <c r="B133" t="inlineStr">
        <is>
          <t>2 shilling from William to have 1 toft with a croft and 2 acres of villein land in Adderbury by 'surrender of John Rundell' and Agnes his wife, and she is examined about this in court.</t>
        </is>
      </c>
      <c r="C133" t="n">
        <v>0.1</v>
      </c>
      <c r="D133" t="n">
        <v>0</v>
      </c>
      <c r="E133" t="n">
        <v>2</v>
      </c>
      <c r="F133" t="n">
        <v>0</v>
      </c>
      <c r="H133" t="n">
        <v>0</v>
      </c>
      <c r="I133" t="n">
        <v>0</v>
      </c>
      <c r="J133" t="n">
        <v>0</v>
      </c>
      <c r="K133" t="n">
        <v>0</v>
      </c>
      <c r="L133" t="n">
        <v>0</v>
      </c>
      <c r="M133" t="n">
        <v>0</v>
      </c>
      <c r="N133" t="n">
        <v>0</v>
      </c>
    </row>
    <row r="134">
      <c r="A134" t="inlineStr">
        <is>
          <t>Entry and marriage fines</t>
        </is>
      </c>
      <c r="B134" t="inlineStr">
        <is>
          <t>£3 6 shilling 8pence from John Whityng to have 1 messuage and 1 virgate of villein land n Adderbury which belonged to John Dicon' and about which Robert Box and Margery his wife are examined in full court, having remised and released all right and claim which they have or will be able to have in the same to the aforesaid John whytyng'.</t>
        </is>
      </c>
      <c r="C134" t="n">
        <v>3.33</v>
      </c>
      <c r="D134" t="n">
        <v>3</v>
      </c>
      <c r="E134" t="n">
        <v>6</v>
      </c>
      <c r="F134" t="n">
        <v>8</v>
      </c>
      <c r="H134" t="n">
        <v>0</v>
      </c>
      <c r="I134" t="n">
        <v>0</v>
      </c>
      <c r="J134" t="n">
        <v>0</v>
      </c>
      <c r="K134" t="n">
        <v>0</v>
      </c>
      <c r="L134" t="n">
        <v>0</v>
      </c>
      <c r="M134" t="n">
        <v>0</v>
      </c>
      <c r="N134" t="n">
        <v>0</v>
      </c>
    </row>
    <row r="135">
      <c r="A135" t="inlineStr">
        <is>
          <t>Entry and marriage fines</t>
        </is>
      </c>
      <c r="B135" t="inlineStr">
        <is>
          <t>8pence from Adam Taillour to have 1 pig-sty of purpresture in Adderbury by surrender of John Coupere.</t>
        </is>
      </c>
      <c r="C135" t="n">
        <v>0.03</v>
      </c>
      <c r="D135" t="n">
        <v>0</v>
      </c>
      <c r="E135" t="n">
        <v>0</v>
      </c>
      <c r="F135" t="n">
        <v>8</v>
      </c>
      <c r="H135" t="n">
        <v>0</v>
      </c>
      <c r="I135" t="n">
        <v>0</v>
      </c>
      <c r="J135" t="n">
        <v>0</v>
      </c>
      <c r="K135" t="n">
        <v>0</v>
      </c>
      <c r="L135" t="n">
        <v>0</v>
      </c>
      <c r="M135" t="n">
        <v>0</v>
      </c>
      <c r="N135" t="n">
        <v>0</v>
      </c>
    </row>
    <row r="136">
      <c r="A136" t="inlineStr">
        <is>
          <t>Entry and marriage fines</t>
        </is>
      </c>
      <c r="B136" t="inlineStr">
        <is>
          <t>6 shilling 8pence from Emma atte Mulle, otherwise known as Emmeline, making fine with the lord to have licence to demise to Richard atte Mulle, her son, 1 messuage and 1 virgate of land, with 1 mill with its appurtenances, and 1 cottage called Sybfordesplace in Adderbury for the next 15 years.</t>
        </is>
      </c>
      <c r="C136" t="n">
        <v>0.33</v>
      </c>
      <c r="D136" t="n">
        <v>0</v>
      </c>
      <c r="E136" t="n">
        <v>6</v>
      </c>
      <c r="F136" t="n">
        <v>8</v>
      </c>
      <c r="H136" t="n">
        <v>0</v>
      </c>
      <c r="I136" t="n">
        <v>0</v>
      </c>
      <c r="J136" t="n">
        <v>0</v>
      </c>
      <c r="K136" t="n">
        <v>0</v>
      </c>
      <c r="L136" t="n">
        <v>0</v>
      </c>
      <c r="M136" t="n">
        <v>0</v>
      </c>
      <c r="N136" t="n">
        <v>0</v>
      </c>
    </row>
    <row r="137">
      <c r="A137" t="inlineStr">
        <is>
          <t>Entry and marriage fines</t>
        </is>
      </c>
      <c r="B137" t="inlineStr">
        <is>
          <t>Total, £24 16 shilling.</t>
        </is>
      </c>
      <c r="C137" t="n">
        <v>24.8</v>
      </c>
      <c r="D137" t="n">
        <v>24</v>
      </c>
      <c r="E137" t="n">
        <v>16</v>
      </c>
      <c r="F137" t="n">
        <v>0</v>
      </c>
      <c r="H137" t="n">
        <v>0</v>
      </c>
      <c r="I137" t="n">
        <v>0</v>
      </c>
      <c r="J137" t="n">
        <v>0</v>
      </c>
      <c r="K137" t="n">
        <v>0</v>
      </c>
      <c r="L137" t="n">
        <v>0</v>
      </c>
      <c r="M137" t="n">
        <v>0</v>
      </c>
      <c r="N137" t="n">
        <v>0</v>
      </c>
    </row>
    <row r="138">
      <c r="A138" t="inlineStr">
        <is>
          <t>Perquisites</t>
        </is>
      </c>
      <c r="B138" t="inlineStr">
        <is>
          <t>And for 2 shilling 5pence from the perquisites of the tourn of Martinmas (11 November).</t>
        </is>
      </c>
      <c r="C138" t="n">
        <v>0.12</v>
      </c>
      <c r="D138" t="n">
        <v>0</v>
      </c>
      <c r="E138" t="n">
        <v>2</v>
      </c>
      <c r="F138" t="n">
        <v>5</v>
      </c>
      <c r="H138" t="n">
        <v>0</v>
      </c>
      <c r="I138" t="n">
        <v>0</v>
      </c>
      <c r="J138" t="n">
        <v>0</v>
      </c>
      <c r="K138" t="n">
        <v>0</v>
      </c>
      <c r="L138" t="n">
        <v>0</v>
      </c>
      <c r="M138" t="n">
        <v>0</v>
      </c>
      <c r="N138" t="n">
        <v>0</v>
      </c>
    </row>
    <row r="139">
      <c r="A139" t="inlineStr">
        <is>
          <t>Perquisites</t>
        </is>
      </c>
      <c r="B139" t="inlineStr">
        <is>
          <t>14 shilling 4pence from the perquisites of the courts held by the bailiff between the 2 tourns.</t>
        </is>
      </c>
      <c r="C139" t="n">
        <v>0.72</v>
      </c>
      <c r="D139" t="n">
        <v>0</v>
      </c>
      <c r="E139" t="n">
        <v>14</v>
      </c>
      <c r="F139" t="n">
        <v>4</v>
      </c>
      <c r="H139" t="n">
        <v>0</v>
      </c>
      <c r="I139" t="n">
        <v>0</v>
      </c>
      <c r="J139" t="n">
        <v>0</v>
      </c>
      <c r="K139" t="n">
        <v>0</v>
      </c>
      <c r="L139" t="n">
        <v>0</v>
      </c>
      <c r="M139" t="n">
        <v>0</v>
      </c>
      <c r="N139" t="n">
        <v>0</v>
      </c>
    </row>
    <row r="140">
      <c r="A140" t="inlineStr">
        <is>
          <t>Perquisites</t>
        </is>
      </c>
      <c r="B140" t="inlineStr">
        <is>
          <t>12 shilling 2pence from the perquisites of the tourn of Hockday (1 April).</t>
        </is>
      </c>
      <c r="C140" t="n">
        <v>0.61</v>
      </c>
      <c r="D140" t="n">
        <v>0</v>
      </c>
      <c r="E140" t="n">
        <v>12</v>
      </c>
      <c r="F140" t="n">
        <v>2</v>
      </c>
      <c r="H140" t="n">
        <v>0</v>
      </c>
      <c r="I140" t="n">
        <v>0</v>
      </c>
      <c r="J140" t="n">
        <v>0</v>
      </c>
      <c r="K140" t="n">
        <v>0</v>
      </c>
      <c r="L140" t="n">
        <v>0</v>
      </c>
      <c r="M140" t="n">
        <v>0</v>
      </c>
      <c r="N140" t="n">
        <v>0</v>
      </c>
    </row>
    <row r="141">
      <c r="A141" t="inlineStr">
        <is>
          <t>Perquisites</t>
        </is>
      </c>
      <c r="B141" t="inlineStr">
        <is>
          <t>8 shilling 1pence from the perquisites of the courts held by the bailiff after the said tourn of Hockday.</t>
        </is>
      </c>
      <c r="C141" t="n">
        <v>0.4</v>
      </c>
      <c r="D141" t="n">
        <v>0</v>
      </c>
      <c r="E141" t="n">
        <v>8</v>
      </c>
      <c r="F141" t="n">
        <v>1</v>
      </c>
      <c r="H141" t="n">
        <v>0</v>
      </c>
      <c r="I141" t="n">
        <v>0</v>
      </c>
      <c r="J141" t="n">
        <v>0</v>
      </c>
      <c r="K141" t="n">
        <v>0</v>
      </c>
      <c r="L141" t="n">
        <v>0</v>
      </c>
      <c r="M141" t="n">
        <v>0</v>
      </c>
      <c r="N141" t="n">
        <v>0</v>
      </c>
    </row>
    <row r="142">
      <c r="A142" t="inlineStr">
        <is>
          <t>Perquisites</t>
        </is>
      </c>
      <c r="B142" t="inlineStr">
        <is>
          <t>Total, £1 17 shilling.</t>
        </is>
      </c>
      <c r="C142" t="n">
        <v>1.85</v>
      </c>
      <c r="D142" t="n">
        <v>1</v>
      </c>
      <c r="E142" t="n">
        <v>17</v>
      </c>
      <c r="F142" t="n">
        <v>0</v>
      </c>
      <c r="H142" t="n">
        <v>0</v>
      </c>
      <c r="I142" t="n">
        <v>0</v>
      </c>
      <c r="J142" t="n">
        <v>0</v>
      </c>
      <c r="K142" t="n">
        <v>0</v>
      </c>
      <c r="L142" t="n">
        <v>0</v>
      </c>
      <c r="M142" t="n">
        <v>0</v>
      </c>
      <c r="N142" t="n">
        <v>0</v>
      </c>
    </row>
    <row r="143">
      <c r="A143" t="inlineStr">
        <is>
          <t>Forfeited chattels</t>
        </is>
      </c>
      <c r="B143" t="inlineStr">
        <is>
          <t>And for 3 shilling from the chattels of a waif as made clear at the tourn of Hockday.</t>
        </is>
      </c>
      <c r="C143" t="n">
        <v>0.15</v>
      </c>
      <c r="D143" t="n">
        <v>0</v>
      </c>
      <c r="E143" t="n">
        <v>3</v>
      </c>
      <c r="F143" t="n">
        <v>0</v>
      </c>
      <c r="H143" t="n">
        <v>0</v>
      </c>
      <c r="I143" t="n">
        <v>0</v>
      </c>
      <c r="J143" t="n">
        <v>0</v>
      </c>
      <c r="K143" t="n">
        <v>0</v>
      </c>
      <c r="L143" t="n">
        <v>0</v>
      </c>
      <c r="M143" t="n">
        <v>0</v>
      </c>
      <c r="N143" t="n">
        <v>0</v>
      </c>
    </row>
    <row r="144">
      <c r="A144" t="inlineStr">
        <is>
          <t>Forfeited chattels</t>
        </is>
      </c>
      <c r="B144" t="inlineStr">
        <is>
          <t>Total, 3 shilling.</t>
        </is>
      </c>
      <c r="C144" t="n">
        <v>0.15</v>
      </c>
      <c r="D144" t="n">
        <v>0</v>
      </c>
      <c r="E144" t="n">
        <v>3</v>
      </c>
      <c r="F144" t="n">
        <v>0</v>
      </c>
      <c r="H144" t="n">
        <v>0</v>
      </c>
      <c r="I144" t="n">
        <v>0</v>
      </c>
      <c r="J144" t="n">
        <v>0</v>
      </c>
      <c r="K144" t="n">
        <v>0</v>
      </c>
      <c r="L144" t="n">
        <v>0</v>
      </c>
      <c r="M144" t="n">
        <v>0</v>
      </c>
      <c r="N144" t="n">
        <v>0</v>
      </c>
    </row>
    <row r="145">
      <c r="A145" t="inlineStr">
        <is>
          <t>Farm of the demesne land</t>
        </is>
      </c>
      <c r="B145" t="inlineStr">
        <is>
          <t>And for £15 16 shilling for the farm of the demesne land demised to John Eadburbury for 12 years, this year being the fifth.</t>
        </is>
      </c>
      <c r="C145" t="n">
        <v>15.8</v>
      </c>
      <c r="D145" t="n">
        <v>15</v>
      </c>
      <c r="E145" t="n">
        <v>16</v>
      </c>
      <c r="F145" t="n">
        <v>0</v>
      </c>
      <c r="H145" t="n">
        <v>0</v>
      </c>
      <c r="I145" t="n">
        <v>0</v>
      </c>
      <c r="J145" t="n">
        <v>0</v>
      </c>
      <c r="K145" t="n">
        <v>0</v>
      </c>
      <c r="L145" t="n">
        <v>0</v>
      </c>
      <c r="M145" t="n">
        <v>0</v>
      </c>
      <c r="N145" t="n">
        <v>0</v>
      </c>
    </row>
    <row r="146">
      <c r="A146" t="inlineStr">
        <is>
          <t>Farm of the demesne land</t>
        </is>
      </c>
      <c r="B146" t="inlineStr">
        <is>
          <t>Total, £15 16 shilling.</t>
        </is>
      </c>
      <c r="C146" t="n">
        <v>15.8</v>
      </c>
      <c r="D146" t="n">
        <v>15</v>
      </c>
      <c r="E146" t="n">
        <v>16</v>
      </c>
      <c r="F146" t="n">
        <v>0</v>
      </c>
      <c r="H146" t="n">
        <v>0</v>
      </c>
      <c r="I146" t="n">
        <v>0</v>
      </c>
      <c r="J146" t="n">
        <v>0</v>
      </c>
      <c r="K146" t="n">
        <v>0</v>
      </c>
      <c r="L146" t="n">
        <v>0</v>
      </c>
      <c r="M146" t="n">
        <v>0</v>
      </c>
      <c r="N146" t="n">
        <v>0</v>
      </c>
    </row>
    <row r="147">
      <c r="A147" t="inlineStr">
        <is>
          <t>Total of all receipts</t>
        </is>
      </c>
      <c r="B147" t="inlineStr">
        <is>
          <t>Total of all receipts, £981 10 shilling 6pence.</t>
        </is>
      </c>
      <c r="C147" t="n">
        <v>981.52</v>
      </c>
      <c r="D147" t="n">
        <v>981</v>
      </c>
      <c r="E147" t="n">
        <v>10</v>
      </c>
      <c r="F147" t="n">
        <v>6</v>
      </c>
      <c r="H147" t="n">
        <v>0</v>
      </c>
      <c r="I147" t="n">
        <v>0</v>
      </c>
      <c r="J147" t="n">
        <v>0</v>
      </c>
      <c r="K147" t="n">
        <v>0</v>
      </c>
      <c r="L147" t="n">
        <v>0</v>
      </c>
      <c r="M147" t="n">
        <v>0</v>
      </c>
      <c r="N147" t="n">
        <v>0</v>
      </c>
    </row>
    <row r="148">
      <c r="A148" t="inlineStr">
        <is>
          <t>Cost of buildings</t>
        </is>
      </c>
      <c r="B148" t="inlineStr">
        <is>
          <t>In 6,200 lath-nails bought for mending and making the barn, the hall and half of the kitchen 9 shilling 4.5pence, at 1 shilling 6pence a 1,000..</t>
        </is>
      </c>
      <c r="C148" t="n">
        <v>0.47</v>
      </c>
      <c r="D148" t="n">
        <v>0</v>
      </c>
      <c r="E148" t="n">
        <v>9</v>
      </c>
      <c r="F148" t="n">
        <v>4.5</v>
      </c>
      <c r="H148" t="n">
        <v>0</v>
      </c>
      <c r="I148" t="n">
        <v>0</v>
      </c>
      <c r="J148" t="n">
        <v>0</v>
      </c>
      <c r="K148" t="n">
        <v>0</v>
      </c>
      <c r="L148" t="n">
        <v>0</v>
      </c>
      <c r="M148" t="n">
        <v>0</v>
      </c>
      <c r="N148" t="n">
        <v>0</v>
      </c>
    </row>
    <row r="149">
      <c r="A149" t="inlineStr">
        <is>
          <t>Cost of buildings</t>
        </is>
      </c>
      <c r="B149" t="inlineStr">
        <is>
          <t>board-nails and clout-nails bought for the same 1 shilling 4pence.</t>
        </is>
      </c>
      <c r="C149" t="n">
        <v>0.07000000000000001</v>
      </c>
      <c r="D149" t="n">
        <v>0</v>
      </c>
      <c r="E149" t="n">
        <v>1</v>
      </c>
      <c r="F149" t="n">
        <v>4</v>
      </c>
      <c r="H149" t="n">
        <v>0</v>
      </c>
      <c r="I149" t="n">
        <v>0</v>
      </c>
      <c r="J149" t="n">
        <v>0</v>
      </c>
      <c r="K149" t="n">
        <v>0</v>
      </c>
      <c r="L149" t="n">
        <v>0</v>
      </c>
      <c r="M149" t="n">
        <v>0</v>
      </c>
      <c r="N149" t="n">
        <v>0</v>
      </c>
    </row>
    <row r="150">
      <c r="A150" t="inlineStr">
        <is>
          <t>Cost of buildings</t>
        </is>
      </c>
      <c r="B150" t="inlineStr">
        <is>
          <t>4 quarters 4 bushels of limestone bought at Walton' 5 shilling 3pence, at 1 shilling 2pence a quarters.</t>
        </is>
      </c>
      <c r="C150" t="n">
        <v>0.26</v>
      </c>
      <c r="D150" t="n">
        <v>0</v>
      </c>
      <c r="E150" t="n">
        <v>5</v>
      </c>
      <c r="F150" t="n">
        <v>3</v>
      </c>
      <c r="H150" t="n">
        <v>4</v>
      </c>
      <c r="I150" t="n">
        <v>4</v>
      </c>
      <c r="J150" t="n">
        <v>4.5</v>
      </c>
      <c r="K150" t="n">
        <v>4.5</v>
      </c>
      <c r="L150" t="n">
        <v>0</v>
      </c>
      <c r="M150" t="n">
        <v>4</v>
      </c>
      <c r="N150" t="n">
        <v>4</v>
      </c>
      <c r="O150" t="n">
        <v>1</v>
      </c>
      <c r="P150" t="n">
        <v>2</v>
      </c>
    </row>
    <row r="151">
      <c r="A151" t="inlineStr">
        <is>
          <t>Cost of buildings</t>
        </is>
      </c>
      <c r="B151" t="inlineStr">
        <is>
          <t>carrying the same 4pence.</t>
        </is>
      </c>
      <c r="C151" t="n">
        <v>0.02</v>
      </c>
      <c r="D151" t="n">
        <v>0</v>
      </c>
      <c r="E151" t="n">
        <v>0</v>
      </c>
      <c r="F151" t="n">
        <v>4</v>
      </c>
      <c r="H151" t="n">
        <v>0</v>
      </c>
      <c r="I151" t="n">
        <v>0</v>
      </c>
      <c r="J151" t="n">
        <v>0</v>
      </c>
      <c r="K151" t="n">
        <v>0</v>
      </c>
      <c r="L151" t="n">
        <v>0</v>
      </c>
      <c r="M151" t="n">
        <v>0</v>
      </c>
      <c r="N151" t="n">
        <v>0</v>
      </c>
    </row>
    <row r="152">
      <c r="A152" t="inlineStr">
        <is>
          <t>Cost of buildings</t>
        </is>
      </c>
      <c r="B152" t="inlineStr">
        <is>
          <t>8 quarters of limestone bought at Witney 10 shilling 4pence, at 1 shilling 31 pence a quarters.</t>
        </is>
      </c>
      <c r="C152" t="n">
        <v>0.52</v>
      </c>
      <c r="D152" t="n">
        <v>0</v>
      </c>
      <c r="E152" t="n">
        <v>10</v>
      </c>
      <c r="F152" t="n">
        <v>4</v>
      </c>
      <c r="H152" t="n">
        <v>8</v>
      </c>
      <c r="I152" t="n">
        <v>0</v>
      </c>
      <c r="J152" t="n">
        <v>8</v>
      </c>
      <c r="K152" t="n">
        <v>8</v>
      </c>
      <c r="L152" t="n">
        <v>0</v>
      </c>
      <c r="M152" t="n">
        <v>8</v>
      </c>
      <c r="N152" t="n">
        <v>0</v>
      </c>
      <c r="O152" t="n">
        <v>1</v>
      </c>
      <c r="P152" t="n">
        <v>31</v>
      </c>
    </row>
    <row r="153">
      <c r="A153" t="inlineStr">
        <is>
          <t>Cost of buildings</t>
        </is>
      </c>
      <c r="B153" t="inlineStr">
        <is>
          <t>carrying the same from Witney to Adderbury 3 shilling 8pence.</t>
        </is>
      </c>
      <c r="C153" t="n">
        <v>0.18</v>
      </c>
      <c r="D153" t="n">
        <v>0</v>
      </c>
      <c r="E153" t="n">
        <v>3</v>
      </c>
      <c r="F153" t="n">
        <v>8</v>
      </c>
      <c r="H153" t="n">
        <v>0</v>
      </c>
      <c r="I153" t="n">
        <v>0</v>
      </c>
      <c r="J153" t="n">
        <v>0</v>
      </c>
      <c r="K153" t="n">
        <v>0</v>
      </c>
      <c r="L153" t="n">
        <v>0</v>
      </c>
      <c r="M153" t="n">
        <v>0</v>
      </c>
      <c r="N153" t="n">
        <v>0</v>
      </c>
    </row>
    <row r="154">
      <c r="A154" t="inlineStr">
        <is>
          <t>Cost of buildings</t>
        </is>
      </c>
      <c r="B154" t="inlineStr">
        <is>
          <t>1,500 stone slates bought 6 shilling, at 4 shilling a 1,000..</t>
        </is>
      </c>
      <c r="C154" t="n">
        <v>0.3</v>
      </c>
      <c r="D154" t="n">
        <v>0</v>
      </c>
      <c r="E154" t="n">
        <v>6</v>
      </c>
      <c r="F154" t="n">
        <v>0</v>
      </c>
      <c r="H154" t="n">
        <v>0</v>
      </c>
      <c r="I154" t="n">
        <v>0</v>
      </c>
      <c r="J154" t="n">
        <v>0</v>
      </c>
      <c r="K154" t="n">
        <v>0</v>
      </c>
      <c r="L154" t="n">
        <v>0</v>
      </c>
      <c r="M154" t="n">
        <v>0</v>
      </c>
      <c r="N154" t="n">
        <v>0</v>
      </c>
    </row>
    <row r="155">
      <c r="A155" t="inlineStr">
        <is>
          <t>Cost of buildings</t>
        </is>
      </c>
      <c r="B155" t="inlineStr">
        <is>
          <t>500 eaves-stones bought 2 shilling 6pence, at 6pence a 100..</t>
        </is>
      </c>
      <c r="C155" t="n">
        <v>0.12</v>
      </c>
      <c r="D155" t="n">
        <v>0</v>
      </c>
      <c r="E155" t="n">
        <v>2</v>
      </c>
      <c r="F155" t="n">
        <v>6</v>
      </c>
      <c r="H155" t="n">
        <v>0</v>
      </c>
      <c r="I155" t="n">
        <v>0</v>
      </c>
      <c r="J155" t="n">
        <v>0</v>
      </c>
      <c r="K155" t="n">
        <v>0</v>
      </c>
      <c r="L155" t="n">
        <v>0</v>
      </c>
      <c r="M155" t="n">
        <v>0</v>
      </c>
      <c r="N155" t="n">
        <v>0</v>
      </c>
    </row>
    <row r="156">
      <c r="A156" t="inlineStr">
        <is>
          <t>Cost of buildings</t>
        </is>
      </c>
      <c r="B156" t="inlineStr">
        <is>
          <t>6,000 pins bought 2 shilling, at 4pence a 1,000..</t>
        </is>
      </c>
      <c r="C156" t="n">
        <v>0.12</v>
      </c>
      <c r="D156" t="n">
        <v>0</v>
      </c>
      <c r="E156" t="n">
        <v>2</v>
      </c>
      <c r="F156" t="n">
        <v>4</v>
      </c>
      <c r="H156" t="n">
        <v>0</v>
      </c>
      <c r="I156" t="n">
        <v>0</v>
      </c>
      <c r="J156" t="n">
        <v>0</v>
      </c>
      <c r="K156" t="n">
        <v>0</v>
      </c>
      <c r="L156" t="n">
        <v>0</v>
      </c>
      <c r="M156" t="n">
        <v>0</v>
      </c>
      <c r="N156" t="n">
        <v>0</v>
      </c>
    </row>
    <row r="157">
      <c r="A157" t="inlineStr">
        <is>
          <t>Cost of buildings</t>
        </is>
      </c>
      <c r="B157" t="inlineStr">
        <is>
          <t>50 ridge-tiles bought 6 shilling 3pence, at 1.5pence each.</t>
        </is>
      </c>
      <c r="C157" t="n">
        <v>0.31</v>
      </c>
      <c r="D157" t="n">
        <v>0</v>
      </c>
      <c r="E157" t="n">
        <v>6</v>
      </c>
      <c r="F157" t="n">
        <v>3</v>
      </c>
      <c r="H157" t="n">
        <v>0</v>
      </c>
      <c r="I157" t="n">
        <v>0</v>
      </c>
      <c r="J157" t="n">
        <v>0</v>
      </c>
      <c r="K157" t="n">
        <v>0</v>
      </c>
      <c r="L157" t="n">
        <v>0</v>
      </c>
      <c r="M157" t="n">
        <v>0</v>
      </c>
      <c r="N157" t="n">
        <v>0</v>
      </c>
    </row>
    <row r="158">
      <c r="A158" t="inlineStr">
        <is>
          <t>Cost of buildings</t>
        </is>
      </c>
      <c r="B158" t="inlineStr">
        <is>
          <t>sand bought and dug and quarried at Tadmarton 10pence.</t>
        </is>
      </c>
      <c r="C158" t="n">
        <v>0.04</v>
      </c>
      <c r="D158" t="n">
        <v>0</v>
      </c>
      <c r="E158" t="n">
        <v>0</v>
      </c>
      <c r="F158" t="n">
        <v>10</v>
      </c>
      <c r="H158" t="n">
        <v>0</v>
      </c>
      <c r="I158" t="n">
        <v>0</v>
      </c>
      <c r="J158" t="n">
        <v>0</v>
      </c>
      <c r="K158" t="n">
        <v>0</v>
      </c>
      <c r="L158" t="n">
        <v>0</v>
      </c>
      <c r="M158" t="n">
        <v>0</v>
      </c>
      <c r="N158" t="n">
        <v>0</v>
      </c>
    </row>
    <row r="159">
      <c r="A159" t="inlineStr">
        <is>
          <t>Cost of buildings</t>
        </is>
      </c>
      <c r="B159" t="inlineStr">
        <is>
          <t>stipend of 1 man going to Walton' to quarry lime there 2pence.</t>
        </is>
      </c>
      <c r="C159" t="n">
        <v>0.01</v>
      </c>
      <c r="D159" t="n">
        <v>0</v>
      </c>
      <c r="E159" t="n">
        <v>0</v>
      </c>
      <c r="F159" t="n">
        <v>2</v>
      </c>
      <c r="H159" t="n">
        <v>0</v>
      </c>
      <c r="I159" t="n">
        <v>0</v>
      </c>
      <c r="J159" t="n">
        <v>0</v>
      </c>
      <c r="K159" t="n">
        <v>0</v>
      </c>
      <c r="L159" t="n">
        <v>0</v>
      </c>
      <c r="M159" t="n">
        <v>0</v>
      </c>
      <c r="N159" t="n">
        <v>0</v>
      </c>
    </row>
    <row r="160">
      <c r="A160" t="inlineStr">
        <is>
          <t>Cost of buildings</t>
        </is>
      </c>
      <c r="B160" t="inlineStr">
        <is>
          <t>expenses of 12 men coming for a boon-work with 6 carts to quarry sand at Newotele and carry it to Adderbury, with the digging, 2 shilling 3pence.</t>
        </is>
      </c>
      <c r="C160" t="n">
        <v>0.11</v>
      </c>
      <c r="D160" t="n">
        <v>0</v>
      </c>
      <c r="E160" t="n">
        <v>2</v>
      </c>
      <c r="F160" t="n">
        <v>3</v>
      </c>
      <c r="H160" t="n">
        <v>0</v>
      </c>
      <c r="I160" t="n">
        <v>0</v>
      </c>
      <c r="J160" t="n">
        <v>0</v>
      </c>
      <c r="K160" t="n">
        <v>0</v>
      </c>
      <c r="L160" t="n">
        <v>0</v>
      </c>
      <c r="M160" t="n">
        <v>0</v>
      </c>
      <c r="N160" t="n">
        <v>0</v>
      </c>
    </row>
    <row r="161">
      <c r="A161" t="inlineStr">
        <is>
          <t>Cost of buildings</t>
        </is>
      </c>
      <c r="B161" t="inlineStr">
        <is>
          <t>hiring 1 man to carry sand and lime from the warrener's chamber to the barn by piece-work 4pence.</t>
        </is>
      </c>
      <c r="C161" t="n">
        <v>0.02</v>
      </c>
      <c r="D161" t="n">
        <v>0</v>
      </c>
      <c r="E161" t="n">
        <v>0</v>
      </c>
      <c r="F161" t="n">
        <v>4</v>
      </c>
      <c r="H161" t="n">
        <v>0</v>
      </c>
      <c r="I161" t="n">
        <v>0</v>
      </c>
      <c r="J161" t="n">
        <v>0</v>
      </c>
      <c r="K161" t="n">
        <v>0</v>
      </c>
      <c r="L161" t="n">
        <v>0</v>
      </c>
      <c r="M161" t="n">
        <v>0</v>
      </c>
      <c r="N161" t="n">
        <v>0</v>
      </c>
    </row>
    <row r="162">
      <c r="A162" t="inlineStr">
        <is>
          <t>Cost of buildings</t>
        </is>
      </c>
      <c r="B162" t="inlineStr">
        <is>
          <t>carrying the ridge-tiles bought above 8pence.</t>
        </is>
      </c>
      <c r="C162" t="n">
        <v>0.03</v>
      </c>
      <c r="D162" t="n">
        <v>0</v>
      </c>
      <c r="E162" t="n">
        <v>0</v>
      </c>
      <c r="F162" t="n">
        <v>8</v>
      </c>
      <c r="H162" t="n">
        <v>0</v>
      </c>
      <c r="I162" t="n">
        <v>0</v>
      </c>
      <c r="J162" t="n">
        <v>0</v>
      </c>
      <c r="K162" t="n">
        <v>0</v>
      </c>
      <c r="L162" t="n">
        <v>0</v>
      </c>
      <c r="M162" t="n">
        <v>0</v>
      </c>
      <c r="N162" t="n">
        <v>0</v>
      </c>
    </row>
    <row r="163">
      <c r="A163" t="inlineStr">
        <is>
          <t>Cost of buildings</t>
        </is>
      </c>
      <c r="B163" t="inlineStr">
        <is>
          <t>expenses of various men coming for a boon-work to buy slates at Aynho and carry them to Adderbury with the expenses of 1 man there mending the said slates 2d 1 shilling 9.5pence.</t>
        </is>
      </c>
      <c r="C163" t="n">
        <v>0.09</v>
      </c>
      <c r="D163" t="n">
        <v>0</v>
      </c>
      <c r="E163" t="n">
        <v>1</v>
      </c>
      <c r="F163" t="n">
        <v>9.5</v>
      </c>
      <c r="H163" t="n">
        <v>0</v>
      </c>
      <c r="I163" t="n">
        <v>0</v>
      </c>
      <c r="J163" t="n">
        <v>0</v>
      </c>
      <c r="K163" t="n">
        <v>0</v>
      </c>
      <c r="L163" t="n">
        <v>0</v>
      </c>
      <c r="M163" t="n">
        <v>0</v>
      </c>
      <c r="N163" t="n">
        <v>0</v>
      </c>
    </row>
    <row r="164">
      <c r="A164" t="inlineStr">
        <is>
          <t>Cost of buildings</t>
        </is>
      </c>
      <c r="B164" t="inlineStr">
        <is>
          <t>1 tine bought 8pence.</t>
        </is>
      </c>
      <c r="C164" t="n">
        <v>0.03</v>
      </c>
      <c r="D164" t="n">
        <v>0</v>
      </c>
      <c r="E164" t="n">
        <v>0</v>
      </c>
      <c r="F164" t="n">
        <v>8</v>
      </c>
      <c r="H164" t="n">
        <v>0</v>
      </c>
      <c r="I164" t="n">
        <v>0</v>
      </c>
      <c r="J164" t="n">
        <v>0</v>
      </c>
      <c r="K164" t="n">
        <v>0</v>
      </c>
      <c r="L164" t="n">
        <v>0</v>
      </c>
      <c r="M164" t="n">
        <v>0</v>
      </c>
      <c r="N164" t="n">
        <v>0</v>
      </c>
    </row>
    <row r="165">
      <c r="A165" t="inlineStr">
        <is>
          <t>Cost of buildings</t>
        </is>
      </c>
      <c r="B165" t="inlineStr">
        <is>
          <t>1 bucket bought 3.5pence.</t>
        </is>
      </c>
      <c r="C165" t="n">
        <v>0.01</v>
      </c>
      <c r="D165" t="n">
        <v>0</v>
      </c>
      <c r="E165" t="n">
        <v>0</v>
      </c>
      <c r="F165" t="n">
        <v>3.5</v>
      </c>
      <c r="H165" t="n">
        <v>0</v>
      </c>
      <c r="I165" t="n">
        <v>0</v>
      </c>
      <c r="J165" t="n">
        <v>0</v>
      </c>
      <c r="K165" t="n">
        <v>0</v>
      </c>
      <c r="L165" t="n">
        <v>0</v>
      </c>
      <c r="M165" t="n">
        <v>0</v>
      </c>
      <c r="N165" t="n">
        <v>0</v>
      </c>
    </row>
    <row r="166">
      <c r="A166" t="inlineStr">
        <is>
          <t>Cost of buildings</t>
        </is>
      </c>
      <c r="B166" t="inlineStr">
        <is>
          <t>1 riddle (redell') bought 2pence.</t>
        </is>
      </c>
      <c r="C166" t="n">
        <v>0.01</v>
      </c>
      <c r="D166" t="n">
        <v>0</v>
      </c>
      <c r="E166" t="n">
        <v>0</v>
      </c>
      <c r="F166" t="n">
        <v>2</v>
      </c>
      <c r="H166" t="n">
        <v>0</v>
      </c>
      <c r="I166" t="n">
        <v>0</v>
      </c>
      <c r="J166" t="n">
        <v>0</v>
      </c>
      <c r="K166" t="n">
        <v>0</v>
      </c>
      <c r="L166" t="n">
        <v>0</v>
      </c>
      <c r="M166" t="n">
        <v>0</v>
      </c>
      <c r="N166" t="n">
        <v>0</v>
      </c>
    </row>
    <row r="167">
      <c r="A167" t="inlineStr">
        <is>
          <t>Cost of buildings</t>
        </is>
      </c>
      <c r="B167" t="inlineStr">
        <is>
          <t>1 ladder bought 1 shilling 4pence.</t>
        </is>
      </c>
      <c r="C167" t="n">
        <v>0.07000000000000001</v>
      </c>
      <c r="D167" t="n">
        <v>0</v>
      </c>
      <c r="E167" t="n">
        <v>1</v>
      </c>
      <c r="F167" t="n">
        <v>4</v>
      </c>
      <c r="H167" t="n">
        <v>0</v>
      </c>
      <c r="I167" t="n">
        <v>0</v>
      </c>
      <c r="J167" t="n">
        <v>0</v>
      </c>
      <c r="K167" t="n">
        <v>0</v>
      </c>
      <c r="L167" t="n">
        <v>0</v>
      </c>
      <c r="M167" t="n">
        <v>0</v>
      </c>
      <c r="N167" t="n">
        <v>0</v>
      </c>
    </row>
    <row r="168">
      <c r="A168" t="inlineStr">
        <is>
          <t>Cost of buildings</t>
        </is>
      </c>
      <c r="B168" t="inlineStr">
        <is>
          <t>1 table bought to make 2 hawk-boards therefrom zd n agreement made with a certain slater to mend, remove and cover with laths various defects on the corn barn, hall and half of the kitchen by piece-work £6 13 shilling 4pence.</t>
        </is>
      </c>
      <c r="C168" t="n">
        <v>6.67</v>
      </c>
      <c r="D168" t="n">
        <v>6</v>
      </c>
      <c r="E168" t="n">
        <v>13</v>
      </c>
      <c r="F168" t="n">
        <v>4</v>
      </c>
      <c r="H168" t="n">
        <v>0</v>
      </c>
      <c r="I168" t="n">
        <v>0</v>
      </c>
      <c r="J168" t="n">
        <v>0</v>
      </c>
      <c r="K168" t="n">
        <v>0</v>
      </c>
      <c r="L168" t="n">
        <v>0</v>
      </c>
      <c r="M168" t="n">
        <v>0</v>
      </c>
      <c r="N168" t="n">
        <v>0</v>
      </c>
    </row>
    <row r="169">
      <c r="A169" t="inlineStr">
        <is>
          <t>Cost of buildings</t>
        </is>
      </c>
      <c r="B169" t="inlineStr">
        <is>
          <t>Total, £9 9 shilling 1.5pence.</t>
        </is>
      </c>
      <c r="C169" t="n">
        <v>9.460000000000001</v>
      </c>
      <c r="D169" t="n">
        <v>9</v>
      </c>
      <c r="E169" t="n">
        <v>9</v>
      </c>
      <c r="F169" t="n">
        <v>1.5</v>
      </c>
      <c r="H169" t="n">
        <v>0</v>
      </c>
      <c r="I169" t="n">
        <v>0</v>
      </c>
      <c r="J169" t="n">
        <v>0</v>
      </c>
      <c r="K169" t="n">
        <v>0</v>
      </c>
      <c r="L169" t="n">
        <v>0</v>
      </c>
      <c r="M169" t="n">
        <v>0</v>
      </c>
      <c r="N169" t="n">
        <v>0</v>
      </c>
    </row>
    <row r="170">
      <c r="A170" t="inlineStr">
        <is>
          <t>Wages of the bailiff</t>
        </is>
      </c>
      <c r="B170" t="inlineStr">
        <is>
          <t>In wages of Thomas Bekyngham, bailiff, in part payment of his wages, £3 6 shilling 8pence.</t>
        </is>
      </c>
      <c r="C170" t="n">
        <v>3.33</v>
      </c>
      <c r="D170" t="n">
        <v>3</v>
      </c>
      <c r="E170" t="n">
        <v>6</v>
      </c>
      <c r="F170" t="n">
        <v>8</v>
      </c>
      <c r="H170" t="n">
        <v>0</v>
      </c>
      <c r="I170" t="n">
        <v>0</v>
      </c>
      <c r="J170" t="n">
        <v>0</v>
      </c>
      <c r="K170" t="n">
        <v>0</v>
      </c>
      <c r="L170" t="n">
        <v>0</v>
      </c>
      <c r="M170" t="n">
        <v>0</v>
      </c>
      <c r="N170" t="n">
        <v>0</v>
      </c>
    </row>
    <row r="171">
      <c r="A171" t="inlineStr">
        <is>
          <t>Wages of the bailiff</t>
        </is>
      </c>
      <c r="B171" t="inlineStr">
        <is>
          <t>Total, £3 6 shilling 8pence.</t>
        </is>
      </c>
      <c r="C171" t="n">
        <v>3.33</v>
      </c>
      <c r="D171" t="n">
        <v>3</v>
      </c>
      <c r="E171" t="n">
        <v>6</v>
      </c>
      <c r="F171" t="n">
        <v>8</v>
      </c>
      <c r="H171" t="n">
        <v>0</v>
      </c>
      <c r="I171" t="n">
        <v>0</v>
      </c>
      <c r="J171" t="n">
        <v>0</v>
      </c>
      <c r="K171" t="n">
        <v>0</v>
      </c>
      <c r="L171" t="n">
        <v>0</v>
      </c>
      <c r="M171" t="n">
        <v>0</v>
      </c>
      <c r="N171" t="n">
        <v>0</v>
      </c>
    </row>
    <row r="172">
      <c r="A172" t="inlineStr">
        <is>
          <t>Expenses of the steward</t>
        </is>
      </c>
      <c r="B172" t="inlineStr">
        <is>
          <t>In expenses of Richard Wyot', steward, coming there to hold the tourns of Martinmas and Hockday, by 2 sealed bills, 14 shilling 9pence.</t>
        </is>
      </c>
      <c r="C172" t="n">
        <v>0.74</v>
      </c>
      <c r="D172" t="n">
        <v>0</v>
      </c>
      <c r="E172" t="n">
        <v>14</v>
      </c>
      <c r="F172" t="n">
        <v>9</v>
      </c>
      <c r="H172" t="n">
        <v>0</v>
      </c>
      <c r="I172" t="n">
        <v>0</v>
      </c>
      <c r="J172" t="n">
        <v>0</v>
      </c>
      <c r="K172" t="n">
        <v>0</v>
      </c>
      <c r="L172" t="n">
        <v>0</v>
      </c>
      <c r="M172" t="n">
        <v>0</v>
      </c>
      <c r="N172" t="n">
        <v>0</v>
      </c>
    </row>
    <row r="173">
      <c r="A173" t="inlineStr">
        <is>
          <t>Annual fees</t>
        </is>
      </c>
      <c r="B173" t="inlineStr">
        <is>
          <t>Paid to John Wylkotes for the annual fee granted to him for the term of his life as made clear by the lord's letters patent and the quittance of the payment made therefor £20..</t>
        </is>
      </c>
      <c r="C173" t="n">
        <v>20</v>
      </c>
      <c r="D173" t="n">
        <v>20</v>
      </c>
      <c r="E173" t="n">
        <v>0</v>
      </c>
      <c r="F173" t="n">
        <v>0</v>
      </c>
      <c r="H173" t="n">
        <v>0</v>
      </c>
      <c r="I173" t="n">
        <v>0</v>
      </c>
      <c r="J173" t="n">
        <v>0</v>
      </c>
      <c r="K173" t="n">
        <v>0</v>
      </c>
      <c r="L173" t="n">
        <v>0</v>
      </c>
      <c r="M173" t="n">
        <v>0</v>
      </c>
      <c r="N173" t="n">
        <v>0</v>
      </c>
    </row>
    <row r="174">
      <c r="A174" t="inlineStr">
        <is>
          <t>Annual fees</t>
        </is>
      </c>
      <c r="B174" t="inlineStr">
        <is>
          <t>Total, £20..</t>
        </is>
      </c>
      <c r="C174" t="n">
        <v>20</v>
      </c>
      <c r="D174" t="n">
        <v>20</v>
      </c>
      <c r="E174" t="n">
        <v>0</v>
      </c>
      <c r="F174" t="n">
        <v>0</v>
      </c>
      <c r="H174" t="n">
        <v>0</v>
      </c>
      <c r="I174" t="n">
        <v>0</v>
      </c>
      <c r="J174" t="n">
        <v>0</v>
      </c>
      <c r="K174" t="n">
        <v>0</v>
      </c>
      <c r="L174" t="n">
        <v>0</v>
      </c>
      <c r="M174" t="n">
        <v>0</v>
      </c>
      <c r="N174" t="n">
        <v>0</v>
      </c>
    </row>
    <row r="175">
      <c r="A175" t="inlineStr">
        <is>
          <t>Total of all expenses</t>
        </is>
      </c>
      <c r="B175" t="inlineStr">
        <is>
          <t>Total of all expenses, £33 10 shilling 6.5pence.</t>
        </is>
      </c>
      <c r="C175" t="n">
        <v>33.53</v>
      </c>
      <c r="D175" t="n">
        <v>33</v>
      </c>
      <c r="E175" t="n">
        <v>10</v>
      </c>
      <c r="F175" t="n">
        <v>6.5</v>
      </c>
      <c r="H175" t="n">
        <v>0</v>
      </c>
      <c r="I175" t="n">
        <v>0</v>
      </c>
      <c r="J175" t="n">
        <v>0</v>
      </c>
      <c r="K175" t="n">
        <v>0</v>
      </c>
      <c r="L175" t="n">
        <v>0</v>
      </c>
      <c r="M175" t="n">
        <v>0</v>
      </c>
      <c r="N175" t="n">
        <v>0</v>
      </c>
    </row>
    <row r="176">
      <c r="A176" t="inlineStr">
        <is>
          <t>And he owes</t>
        </is>
      </c>
      <c r="B176" t="inlineStr">
        <is>
          <t>And he owes, £64 19 shilling 11.5pence.</t>
        </is>
      </c>
      <c r="C176" t="n">
        <v>65</v>
      </c>
      <c r="D176" t="n">
        <v>64</v>
      </c>
      <c r="E176" t="n">
        <v>19</v>
      </c>
      <c r="F176" t="n">
        <v>11.5</v>
      </c>
      <c r="H176" t="n">
        <v>0</v>
      </c>
      <c r="I176" t="n">
        <v>0</v>
      </c>
      <c r="J176" t="n">
        <v>0</v>
      </c>
      <c r="K176" t="n">
        <v>0</v>
      </c>
      <c r="L176" t="n">
        <v>0</v>
      </c>
      <c r="M176" t="n">
        <v>0</v>
      </c>
      <c r="N176" t="n">
        <v>0</v>
      </c>
    </row>
    <row r="177">
      <c r="A177" t="inlineStr">
        <is>
          <t>Allowances without writ</t>
        </is>
      </c>
      <c r="B177" t="inlineStr">
        <is>
          <t>In allowance to the reeve for 6 shilling 8pence for the reward made to the warrener for summoning the courts and raising the money from the estreat of the courts this year, which was not allowed to him above.</t>
        </is>
      </c>
      <c r="C177" t="n">
        <v>0.33</v>
      </c>
      <c r="D177" t="n">
        <v>0</v>
      </c>
      <c r="E177" t="n">
        <v>6</v>
      </c>
      <c r="F177" t="n">
        <v>8</v>
      </c>
      <c r="H177" t="n">
        <v>0</v>
      </c>
      <c r="I177" t="n">
        <v>0</v>
      </c>
      <c r="J177" t="n">
        <v>0</v>
      </c>
      <c r="K177" t="n">
        <v>0</v>
      </c>
      <c r="L177" t="n">
        <v>0</v>
      </c>
      <c r="M177" t="n">
        <v>0</v>
      </c>
      <c r="N177" t="n">
        <v>0</v>
      </c>
    </row>
    <row r="178">
      <c r="A178" t="inlineStr">
        <is>
          <t>Allowances without writ</t>
        </is>
      </c>
      <c r="B178" t="inlineStr">
        <is>
          <t>Total, 6 shilling 8pence.</t>
        </is>
      </c>
      <c r="C178" t="n">
        <v>0.33</v>
      </c>
      <c r="D178" t="n">
        <v>0</v>
      </c>
      <c r="E178" t="n">
        <v>6</v>
      </c>
      <c r="F178" t="n">
        <v>8</v>
      </c>
      <c r="H178" t="n">
        <v>0</v>
      </c>
      <c r="I178" t="n">
        <v>0</v>
      </c>
      <c r="J178" t="n">
        <v>0</v>
      </c>
      <c r="K178" t="n">
        <v>0</v>
      </c>
      <c r="L178" t="n">
        <v>0</v>
      </c>
      <c r="M178" t="n">
        <v>0</v>
      </c>
      <c r="N178" t="n">
        <v>0</v>
      </c>
    </row>
    <row r="179">
      <c r="A179" t="inlineStr">
        <is>
          <t>Cash deliveries</t>
        </is>
      </c>
      <c r="B179" t="inlineStr">
        <is>
          <t>Delivered to John Arnold', receiver of Wolvesey, by 1 tally, £64 13 shilling 3.5pence.</t>
        </is>
      </c>
      <c r="C179" t="n">
        <v>64.66</v>
      </c>
      <c r="D179" t="n">
        <v>64</v>
      </c>
      <c r="E179" t="n">
        <v>13</v>
      </c>
      <c r="F179" t="n">
        <v>3.5</v>
      </c>
      <c r="H179" t="n">
        <v>0</v>
      </c>
      <c r="I179" t="n">
        <v>0</v>
      </c>
      <c r="J179" t="n">
        <v>0</v>
      </c>
      <c r="K179" t="n">
        <v>0</v>
      </c>
      <c r="L179" t="n">
        <v>0</v>
      </c>
      <c r="M179" t="n">
        <v>0</v>
      </c>
      <c r="N179" t="n">
        <v>0</v>
      </c>
    </row>
    <row r="180">
      <c r="A180" t="inlineStr">
        <is>
          <t>Cash deliveries</t>
        </is>
      </c>
      <c r="B180" t="inlineStr">
        <is>
          <t>Total, £64 13 shilling 3.5pence.</t>
        </is>
      </c>
      <c r="C180" t="n">
        <v>64.66</v>
      </c>
      <c r="D180" t="n">
        <v>64</v>
      </c>
      <c r="E180" t="n">
        <v>13</v>
      </c>
      <c r="F180" t="n">
        <v>3.5</v>
      </c>
      <c r="H180" t="n">
        <v>0</v>
      </c>
      <c r="I180" t="n">
        <v>0</v>
      </c>
      <c r="J180" t="n">
        <v>0</v>
      </c>
      <c r="K180" t="n">
        <v>0</v>
      </c>
      <c r="L180" t="n">
        <v>0</v>
      </c>
      <c r="M180" t="n">
        <v>0</v>
      </c>
      <c r="N180" t="n">
        <v>0</v>
      </c>
    </row>
    <row r="181">
      <c r="A181" t="inlineStr">
        <is>
          <t>Total of all allowances</t>
        </is>
      </c>
      <c r="B181" t="inlineStr">
        <is>
          <t>Total of all allowances and cash deliveries, £64 19 shilling 11.5pence He is quit.</t>
        </is>
      </c>
      <c r="C181" t="n">
        <v>65</v>
      </c>
      <c r="D181" t="n">
        <v>64</v>
      </c>
      <c r="E181" t="n">
        <v>19</v>
      </c>
      <c r="F181" t="n">
        <v>11.5</v>
      </c>
      <c r="H181" t="n">
        <v>0</v>
      </c>
      <c r="I181" t="n">
        <v>0</v>
      </c>
      <c r="J181" t="n">
        <v>0</v>
      </c>
      <c r="K181" t="n">
        <v>0</v>
      </c>
      <c r="L181" t="n">
        <v>0</v>
      </c>
      <c r="M181" t="n">
        <v>0</v>
      </c>
      <c r="N181" t="n">
        <v>0</v>
      </c>
    </row>
    <row r="182">
      <c r="A182" t="inlineStr">
        <is>
          <t>Wheat</t>
        </is>
      </c>
      <c r="B182" t="inlineStr">
        <is>
          <t>William Jakeman, reeve there, answers for 3 quarters of wheat remaining..</t>
        </is>
      </c>
      <c r="C182" t="n">
        <v>0</v>
      </c>
      <c r="D182" t="n">
        <v>0</v>
      </c>
      <c r="E182" t="n">
        <v>0</v>
      </c>
      <c r="F182" t="n">
        <v>0</v>
      </c>
      <c r="G182" t="inlineStr">
        <is>
          <t>wheat</t>
        </is>
      </c>
      <c r="H182" t="n">
        <v>3</v>
      </c>
      <c r="I182" t="n">
        <v>0</v>
      </c>
      <c r="J182" t="n">
        <v>3</v>
      </c>
      <c r="K182" t="n">
        <v>3</v>
      </c>
      <c r="L182" t="n">
        <v>0</v>
      </c>
      <c r="M182" t="n">
        <v>3</v>
      </c>
      <c r="N182" t="n">
        <v>0</v>
      </c>
    </row>
    <row r="183">
      <c r="A183" t="inlineStr">
        <is>
          <t>Wheat</t>
        </is>
      </c>
      <c r="B183" t="inlineStr">
        <is>
          <t>Total, 3 quarters..</t>
        </is>
      </c>
      <c r="C183" t="n">
        <v>0</v>
      </c>
      <c r="D183" t="n">
        <v>0</v>
      </c>
      <c r="E183" t="n">
        <v>0</v>
      </c>
      <c r="F183" t="n">
        <v>0</v>
      </c>
      <c r="H183" t="n">
        <v>3</v>
      </c>
      <c r="I183" t="n">
        <v>0</v>
      </c>
      <c r="J183" t="n">
        <v>3</v>
      </c>
      <c r="K183" t="n">
        <v>3</v>
      </c>
      <c r="L183" t="n">
        <v>0</v>
      </c>
      <c r="M183" t="n">
        <v>3</v>
      </c>
      <c r="N183" t="n">
        <v>0</v>
      </c>
    </row>
    <row r="184">
      <c r="A184" t="inlineStr">
        <is>
          <t>Wheat</t>
        </is>
      </c>
      <c r="B184" t="inlineStr">
        <is>
          <t>3 quarters remain in the keeping of John Eadburbury, farmer there, to be handed back and restored at the end of his farm of 12 years, this year being the fifth.</t>
        </is>
      </c>
      <c r="C184" t="n">
        <v>0</v>
      </c>
      <c r="D184" t="n">
        <v>0</v>
      </c>
      <c r="E184" t="n">
        <v>0</v>
      </c>
      <c r="F184" t="n">
        <v>0</v>
      </c>
      <c r="H184" t="n">
        <v>3</v>
      </c>
      <c r="I184" t="n">
        <v>0</v>
      </c>
      <c r="J184" t="n">
        <v>3</v>
      </c>
      <c r="K184" t="n">
        <v>3</v>
      </c>
      <c r="L184" t="n">
        <v>0</v>
      </c>
      <c r="M184" t="n">
        <v>3</v>
      </c>
      <c r="N184" t="n">
        <v>0</v>
      </c>
    </row>
    <row r="185">
      <c r="A185" t="inlineStr">
        <is>
          <t>Rye</t>
        </is>
      </c>
      <c r="B185" t="inlineStr">
        <is>
          <t>And for 34 quarters of rye remaining..</t>
        </is>
      </c>
      <c r="C185" t="n">
        <v>0</v>
      </c>
      <c r="D185" t="n">
        <v>0</v>
      </c>
      <c r="E185" t="n">
        <v>0</v>
      </c>
      <c r="F185" t="n">
        <v>0</v>
      </c>
      <c r="G185" t="inlineStr">
        <is>
          <t>rye</t>
        </is>
      </c>
      <c r="H185" t="n">
        <v>34</v>
      </c>
      <c r="I185" t="n">
        <v>0</v>
      </c>
      <c r="J185" t="n">
        <v>34</v>
      </c>
      <c r="K185" t="n">
        <v>34</v>
      </c>
      <c r="L185" t="n">
        <v>0</v>
      </c>
      <c r="M185" t="n">
        <v>34</v>
      </c>
      <c r="N185" t="n">
        <v>0</v>
      </c>
    </row>
    <row r="186">
      <c r="A186" t="inlineStr">
        <is>
          <t>Rye</t>
        </is>
      </c>
      <c r="B186" t="inlineStr">
        <is>
          <t>Total, 34 quarters..</t>
        </is>
      </c>
      <c r="C186" t="n">
        <v>0</v>
      </c>
      <c r="D186" t="n">
        <v>0</v>
      </c>
      <c r="E186" t="n">
        <v>0</v>
      </c>
      <c r="F186" t="n">
        <v>0</v>
      </c>
      <c r="H186" t="n">
        <v>34</v>
      </c>
      <c r="I186" t="n">
        <v>0</v>
      </c>
      <c r="J186" t="n">
        <v>34</v>
      </c>
      <c r="K186" t="n">
        <v>34</v>
      </c>
      <c r="L186" t="n">
        <v>0</v>
      </c>
      <c r="M186" t="n">
        <v>34</v>
      </c>
      <c r="N186" t="n">
        <v>0</v>
      </c>
    </row>
    <row r="187">
      <c r="A187" t="inlineStr">
        <is>
          <t>Rye</t>
        </is>
      </c>
      <c r="B187" t="inlineStr">
        <is>
          <t>34 quarters remain in the keeping of the said John Eadburbury, farmer there, to be handed back and restored at the end of his farm as before.</t>
        </is>
      </c>
      <c r="C187" t="n">
        <v>0</v>
      </c>
      <c r="D187" t="n">
        <v>0</v>
      </c>
      <c r="E187" t="n">
        <v>0</v>
      </c>
      <c r="F187" t="n">
        <v>0</v>
      </c>
      <c r="H187" t="n">
        <v>34</v>
      </c>
      <c r="I187" t="n">
        <v>0</v>
      </c>
      <c r="J187" t="n">
        <v>34</v>
      </c>
      <c r="K187" t="n">
        <v>34</v>
      </c>
      <c r="L187" t="n">
        <v>0</v>
      </c>
      <c r="M187" t="n">
        <v>34</v>
      </c>
      <c r="N187" t="n">
        <v>0</v>
      </c>
    </row>
    <row r="188">
      <c r="A188" t="inlineStr">
        <is>
          <t>Dredge</t>
        </is>
      </c>
      <c r="B188" t="inlineStr">
        <is>
          <t>And for 30 quarters of dredge remaining..</t>
        </is>
      </c>
      <c r="C188" t="n">
        <v>0</v>
      </c>
      <c r="D188" t="n">
        <v>0</v>
      </c>
      <c r="E188" t="n">
        <v>0</v>
      </c>
      <c r="F188" t="n">
        <v>0</v>
      </c>
      <c r="G188" t="inlineStr">
        <is>
          <t>dredge</t>
        </is>
      </c>
      <c r="H188" t="n">
        <v>30</v>
      </c>
      <c r="I188" t="n">
        <v>0</v>
      </c>
      <c r="J188" t="n">
        <v>30</v>
      </c>
      <c r="K188" t="n">
        <v>30</v>
      </c>
      <c r="L188" t="n">
        <v>0</v>
      </c>
      <c r="M188" t="n">
        <v>30</v>
      </c>
      <c r="N188" t="n">
        <v>0</v>
      </c>
    </row>
    <row r="189">
      <c r="A189" t="inlineStr">
        <is>
          <t>Dredge</t>
        </is>
      </c>
      <c r="B189" t="inlineStr">
        <is>
          <t>Total, 30 quarters..</t>
        </is>
      </c>
      <c r="C189" t="n">
        <v>0</v>
      </c>
      <c r="D189" t="n">
        <v>0</v>
      </c>
      <c r="E189" t="n">
        <v>0</v>
      </c>
      <c r="F189" t="n">
        <v>0</v>
      </c>
      <c r="H189" t="n">
        <v>30</v>
      </c>
      <c r="I189" t="n">
        <v>0</v>
      </c>
      <c r="J189" t="n">
        <v>30</v>
      </c>
      <c r="K189" t="n">
        <v>30</v>
      </c>
      <c r="L189" t="n">
        <v>0</v>
      </c>
      <c r="M189" t="n">
        <v>30</v>
      </c>
      <c r="N189" t="n">
        <v>0</v>
      </c>
    </row>
    <row r="190">
      <c r="A190" t="inlineStr">
        <is>
          <t>Dredge</t>
        </is>
      </c>
      <c r="B190" t="inlineStr">
        <is>
          <t>30 quarters remain in the keeping of the said John Eadburbury, farmer there, to be handed back and restored as before.</t>
        </is>
      </c>
      <c r="C190" t="n">
        <v>0</v>
      </c>
      <c r="D190" t="n">
        <v>0</v>
      </c>
      <c r="E190" t="n">
        <v>0</v>
      </c>
      <c r="F190" t="n">
        <v>0</v>
      </c>
      <c r="H190" t="n">
        <v>30</v>
      </c>
      <c r="I190" t="n">
        <v>0</v>
      </c>
      <c r="J190" t="n">
        <v>30</v>
      </c>
      <c r="K190" t="n">
        <v>30</v>
      </c>
      <c r="L190" t="n">
        <v>0</v>
      </c>
      <c r="M190" t="n">
        <v>30</v>
      </c>
      <c r="N190" t="n">
        <v>0</v>
      </c>
    </row>
    <row r="191">
      <c r="A191" t="inlineStr">
        <is>
          <t>Pulses</t>
        </is>
      </c>
      <c r="B191" t="inlineStr">
        <is>
          <t>None remain.</t>
        </is>
      </c>
      <c r="C191" t="n">
        <v>0</v>
      </c>
      <c r="D191" t="n">
        <v>0</v>
      </c>
      <c r="E191" t="n">
        <v>0</v>
      </c>
      <c r="F191" t="n">
        <v>0</v>
      </c>
      <c r="H191" t="n">
        <v>0</v>
      </c>
      <c r="I191" t="n">
        <v>0</v>
      </c>
      <c r="J191" t="n">
        <v>0</v>
      </c>
      <c r="K191" t="n">
        <v>0</v>
      </c>
      <c r="L191" t="n">
        <v>0</v>
      </c>
      <c r="M191" t="n">
        <v>0</v>
      </c>
      <c r="N191" t="n">
        <v>0</v>
      </c>
    </row>
    <row r="192">
      <c r="A192" t="inlineStr">
        <is>
          <t>Oats</t>
        </is>
      </c>
      <c r="B192" t="inlineStr">
        <is>
          <t>And for 10 quarters of oats..</t>
        </is>
      </c>
      <c r="C192" t="n">
        <v>0</v>
      </c>
      <c r="D192" t="n">
        <v>0</v>
      </c>
      <c r="E192" t="n">
        <v>0</v>
      </c>
      <c r="F192" t="n">
        <v>0</v>
      </c>
      <c r="G192" t="inlineStr">
        <is>
          <t>oats</t>
        </is>
      </c>
      <c r="H192" t="n">
        <v>10</v>
      </c>
      <c r="I192" t="n">
        <v>0</v>
      </c>
      <c r="J192" t="n">
        <v>10</v>
      </c>
      <c r="K192" t="n">
        <v>10</v>
      </c>
      <c r="L192" t="n">
        <v>0</v>
      </c>
      <c r="M192" t="n">
        <v>10</v>
      </c>
      <c r="N192" t="n">
        <v>0</v>
      </c>
    </row>
    <row r="193">
      <c r="A193" t="inlineStr">
        <is>
          <t>Oats</t>
        </is>
      </c>
      <c r="B193" t="inlineStr">
        <is>
          <t>Total, 10 quarters..</t>
        </is>
      </c>
      <c r="C193" t="n">
        <v>0</v>
      </c>
      <c r="D193" t="n">
        <v>0</v>
      </c>
      <c r="E193" t="n">
        <v>0</v>
      </c>
      <c r="F193" t="n">
        <v>0</v>
      </c>
      <c r="H193" t="n">
        <v>10</v>
      </c>
      <c r="I193" t="n">
        <v>0</v>
      </c>
      <c r="J193" t="n">
        <v>10</v>
      </c>
      <c r="K193" t="n">
        <v>10</v>
      </c>
      <c r="L193" t="n">
        <v>0</v>
      </c>
      <c r="M193" t="n">
        <v>10</v>
      </c>
      <c r="N193" t="n">
        <v>0</v>
      </c>
    </row>
    <row r="194">
      <c r="A194" t="inlineStr">
        <is>
          <t>Oats</t>
        </is>
      </c>
      <c r="B194" t="inlineStr">
        <is>
          <t>10 quarters remain in the keeping of the said John Eadburbury, farmer there, to be handed back and restored as before.</t>
        </is>
      </c>
      <c r="C194" t="n">
        <v>0</v>
      </c>
      <c r="D194" t="n">
        <v>0</v>
      </c>
      <c r="E194" t="n">
        <v>0</v>
      </c>
      <c r="F194" t="n">
        <v>0</v>
      </c>
      <c r="H194" t="n">
        <v>10</v>
      </c>
      <c r="I194" t="n">
        <v>0</v>
      </c>
      <c r="J194" t="n">
        <v>10</v>
      </c>
      <c r="K194" t="n">
        <v>10</v>
      </c>
      <c r="L194" t="n">
        <v>0</v>
      </c>
      <c r="M194" t="n">
        <v>10</v>
      </c>
      <c r="N194" t="n">
        <v>0</v>
      </c>
    </row>
    <row r="195">
      <c r="A195" t="inlineStr">
        <is>
          <t>Oats</t>
        </is>
      </c>
      <c r="B195" t="inlineStr">
        <is>
          <t>Eadburbury, farmer, to be handed back and restored at the end of his farm or the value of the same as before.</t>
        </is>
      </c>
      <c r="C195" t="n">
        <v>0</v>
      </c>
      <c r="D195" t="n">
        <v>0</v>
      </c>
      <c r="E195" t="n">
        <v>0</v>
      </c>
      <c r="F195" t="n">
        <v>0</v>
      </c>
      <c r="H195" t="n">
        <v>0</v>
      </c>
      <c r="I195" t="n">
        <v>0</v>
      </c>
      <c r="J195" t="n">
        <v>0</v>
      </c>
      <c r="K195" t="n">
        <v>0</v>
      </c>
      <c r="L195" t="n">
        <v>0</v>
      </c>
      <c r="M195" t="n">
        <v>0</v>
      </c>
      <c r="N195" t="n">
        <v>0</v>
      </c>
    </row>
    <row r="196">
      <c r="A196" t="inlineStr">
        <is>
          <t>Stock</t>
        </is>
      </c>
      <c r="B196" t="inlineStr">
        <is>
          <t>Horses: 4 remain.</t>
        </is>
      </c>
      <c r="C196" t="n">
        <v>0</v>
      </c>
      <c r="D196" t="n">
        <v>0</v>
      </c>
      <c r="E196" t="n">
        <v>0</v>
      </c>
      <c r="F196" t="n">
        <v>0</v>
      </c>
      <c r="H196" t="n">
        <v>0</v>
      </c>
      <c r="I196" t="n">
        <v>0</v>
      </c>
      <c r="J196" t="n">
        <v>0</v>
      </c>
      <c r="K196" t="n">
        <v>0</v>
      </c>
      <c r="L196" t="n">
        <v>0</v>
      </c>
      <c r="M196" t="n">
        <v>0</v>
      </c>
      <c r="N196" t="n">
        <v>0</v>
      </c>
    </row>
    <row r="197">
      <c r="A197" t="inlineStr">
        <is>
          <t>Stock</t>
        </is>
      </c>
      <c r="B197" t="inlineStr">
        <is>
          <t>1 from the heriot of William Rundell'.</t>
        </is>
      </c>
      <c r="C197" t="n">
        <v>0</v>
      </c>
      <c r="D197" t="n">
        <v>0</v>
      </c>
      <c r="E197" t="n">
        <v>0</v>
      </c>
      <c r="F197" t="n">
        <v>0</v>
      </c>
      <c r="H197" t="n">
        <v>0</v>
      </c>
      <c r="I197" t="n">
        <v>0</v>
      </c>
      <c r="J197" t="n">
        <v>0</v>
      </c>
      <c r="K197" t="n">
        <v>0</v>
      </c>
      <c r="L197" t="n">
        <v>0</v>
      </c>
      <c r="M197" t="n">
        <v>0</v>
      </c>
      <c r="N197" t="n">
        <v>0</v>
      </c>
    </row>
    <row r="198">
      <c r="A198" t="inlineStr">
        <is>
          <t>Stock</t>
        </is>
      </c>
      <c r="B198" t="inlineStr">
        <is>
          <t>Total 5. 1 sold within.</t>
        </is>
      </c>
      <c r="C198" t="n">
        <v>0</v>
      </c>
      <c r="D198" t="n">
        <v>0</v>
      </c>
      <c r="E198" t="n">
        <v>0</v>
      </c>
      <c r="F198" t="n">
        <v>0</v>
      </c>
      <c r="H198" t="n">
        <v>0</v>
      </c>
      <c r="I198" t="n">
        <v>0</v>
      </c>
      <c r="J198" t="n">
        <v>0</v>
      </c>
      <c r="K198" t="n">
        <v>0</v>
      </c>
      <c r="L198" t="n">
        <v>0</v>
      </c>
      <c r="M198" t="n">
        <v>0</v>
      </c>
      <c r="N198" t="n">
        <v>0</v>
      </c>
    </row>
    <row r="199">
      <c r="A199" t="inlineStr">
        <is>
          <t>Stock</t>
        </is>
      </c>
      <c r="B199" t="inlineStr">
        <is>
          <t>4 cart-horses remain, of which 2 are worth £1 6s 8pence, 1 is worth £1, and 1 feeble one is worth 2 shilling, in the keeping of the said John Eadburbury, farmer there, to be handed back and restored at the end of his farm or the value of the same at the choice of the lord bishop or his attorney.</t>
        </is>
      </c>
      <c r="C199" t="n">
        <v>1</v>
      </c>
      <c r="D199" t="n">
        <v>1</v>
      </c>
      <c r="E199" t="n">
        <v>0</v>
      </c>
      <c r="F199" t="n">
        <v>0</v>
      </c>
      <c r="H199" t="n">
        <v>0</v>
      </c>
      <c r="I199" t="n">
        <v>0</v>
      </c>
      <c r="J199" t="n">
        <v>0</v>
      </c>
      <c r="K199" t="n">
        <v>0</v>
      </c>
      <c r="L199" t="n">
        <v>0</v>
      </c>
      <c r="M199" t="n">
        <v>0</v>
      </c>
      <c r="N199" t="n">
        <v>0</v>
      </c>
    </row>
    <row r="200">
      <c r="A200" t="inlineStr">
        <is>
          <t>Stock</t>
        </is>
      </c>
      <c r="B200" t="inlineStr">
        <is>
          <t>Plough-horses: 6 remain.</t>
        </is>
      </c>
      <c r="C200" t="n">
        <v>0</v>
      </c>
      <c r="D200" t="n">
        <v>0</v>
      </c>
      <c r="E200" t="n">
        <v>0</v>
      </c>
      <c r="F200" t="n">
        <v>0</v>
      </c>
      <c r="H200" t="n">
        <v>0</v>
      </c>
      <c r="I200" t="n">
        <v>0</v>
      </c>
      <c r="J200" t="n">
        <v>0</v>
      </c>
      <c r="K200" t="n">
        <v>0</v>
      </c>
      <c r="L200" t="n">
        <v>0</v>
      </c>
      <c r="M200" t="n">
        <v>0</v>
      </c>
      <c r="N200" t="n">
        <v>0</v>
      </c>
    </row>
    <row r="201">
      <c r="A201" t="inlineStr">
        <is>
          <t>Stock</t>
        </is>
      </c>
      <c r="B201" t="inlineStr">
        <is>
          <t>Total, 6. 6 remain, worth £2, in the keeping of John.</t>
        </is>
      </c>
      <c r="C201" t="n">
        <v>2</v>
      </c>
      <c r="D201" t="n">
        <v>2</v>
      </c>
      <c r="E201" t="n">
        <v>0</v>
      </c>
      <c r="F201" t="n">
        <v>0</v>
      </c>
      <c r="H201" t="n">
        <v>0</v>
      </c>
      <c r="I201" t="n">
        <v>0</v>
      </c>
      <c r="J201" t="n">
        <v>0</v>
      </c>
      <c r="K201" t="n">
        <v>0</v>
      </c>
      <c r="L201" t="n">
        <v>0</v>
      </c>
      <c r="M201" t="n">
        <v>0</v>
      </c>
      <c r="N201" t="n">
        <v>0</v>
      </c>
    </row>
    <row r="202">
      <c r="A202" t="inlineStr">
        <is>
          <t>Stock</t>
        </is>
      </c>
      <c r="B202" t="inlineStr">
        <is>
          <t>Colts: 1 from the heriot of John Diconurn.</t>
        </is>
      </c>
      <c r="C202" t="n">
        <v>0</v>
      </c>
      <c r="D202" t="n">
        <v>0</v>
      </c>
      <c r="E202" t="n">
        <v>0</v>
      </c>
      <c r="F202" t="n">
        <v>0</v>
      </c>
      <c r="H202" t="n">
        <v>0</v>
      </c>
      <c r="I202" t="n">
        <v>0</v>
      </c>
      <c r="J202" t="n">
        <v>0</v>
      </c>
      <c r="K202" t="n">
        <v>0</v>
      </c>
      <c r="L202" t="n">
        <v>0</v>
      </c>
      <c r="M202" t="n">
        <v>0</v>
      </c>
      <c r="N202" t="n">
        <v>0</v>
      </c>
    </row>
    <row r="203">
      <c r="A203" t="inlineStr">
        <is>
          <t>Stock</t>
        </is>
      </c>
      <c r="B203" t="inlineStr">
        <is>
          <t>sold within.</t>
        </is>
      </c>
      <c r="C203" t="n">
        <v>0</v>
      </c>
      <c r="D203" t="n">
        <v>0</v>
      </c>
      <c r="E203" t="n">
        <v>0</v>
      </c>
      <c r="F203" t="n">
        <v>0</v>
      </c>
      <c r="H203" t="n">
        <v>0</v>
      </c>
      <c r="I203" t="n">
        <v>0</v>
      </c>
      <c r="J203" t="n">
        <v>0</v>
      </c>
      <c r="K203" t="n">
        <v>0</v>
      </c>
      <c r="L203" t="n">
        <v>0</v>
      </c>
      <c r="M203" t="n">
        <v>0</v>
      </c>
      <c r="N203" t="n">
        <v>0</v>
      </c>
    </row>
    <row r="204">
      <c r="A204" t="inlineStr">
        <is>
          <t>Stock</t>
        </is>
      </c>
      <c r="B204" t="inlineStr">
        <is>
          <t>none remain.</t>
        </is>
      </c>
      <c r="C204" t="n">
        <v>0</v>
      </c>
      <c r="D204" t="n">
        <v>0</v>
      </c>
      <c r="E204" t="n">
        <v>0</v>
      </c>
      <c r="F204" t="n">
        <v>0</v>
      </c>
      <c r="H204" t="n">
        <v>0</v>
      </c>
      <c r="I204" t="n">
        <v>0</v>
      </c>
      <c r="J204" t="n">
        <v>0</v>
      </c>
      <c r="K204" t="n">
        <v>0</v>
      </c>
      <c r="L204" t="n">
        <v>0</v>
      </c>
      <c r="M204" t="n">
        <v>0</v>
      </c>
      <c r="N204" t="n">
        <v>0</v>
      </c>
    </row>
    <row r="205">
      <c r="A205" t="inlineStr">
        <is>
          <t>Stock</t>
        </is>
      </c>
      <c r="B205" t="inlineStr">
        <is>
          <t>Bulls: 2 remain.</t>
        </is>
      </c>
      <c r="C205" t="n">
        <v>0</v>
      </c>
      <c r="D205" t="n">
        <v>0</v>
      </c>
      <c r="E205" t="n">
        <v>0</v>
      </c>
      <c r="F205" t="n">
        <v>0</v>
      </c>
      <c r="H205" t="n">
        <v>0</v>
      </c>
      <c r="I205" t="n">
        <v>0</v>
      </c>
      <c r="J205" t="n">
        <v>0</v>
      </c>
      <c r="K205" t="n">
        <v>0</v>
      </c>
      <c r="L205" t="n">
        <v>0</v>
      </c>
      <c r="M205" t="n">
        <v>0</v>
      </c>
      <c r="N205" t="n">
        <v>0</v>
      </c>
    </row>
    <row r="206">
      <c r="A206" t="inlineStr">
        <is>
          <t>Stock</t>
        </is>
      </c>
      <c r="B206" t="inlineStr">
        <is>
          <t>Total, 2. 2 remain, worth 10 shilling each, in the keeping of the said John, to be handed back and restored at the end of his farm as before.</t>
        </is>
      </c>
      <c r="C206" t="n">
        <v>0.5</v>
      </c>
      <c r="D206" t="n">
        <v>0</v>
      </c>
      <c r="E206" t="n">
        <v>10</v>
      </c>
      <c r="F206" t="n">
        <v>0</v>
      </c>
      <c r="H206" t="n">
        <v>0</v>
      </c>
      <c r="I206" t="n">
        <v>0</v>
      </c>
      <c r="J206" t="n">
        <v>0</v>
      </c>
      <c r="K206" t="n">
        <v>0</v>
      </c>
      <c r="L206" t="n">
        <v>0</v>
      </c>
      <c r="M206" t="n">
        <v>0</v>
      </c>
      <c r="N206" t="n">
        <v>0</v>
      </c>
    </row>
    <row r="207">
      <c r="A207" t="inlineStr">
        <is>
          <t>Stock</t>
        </is>
      </c>
      <c r="B207" t="inlineStr">
        <is>
          <t>Oxen: none.</t>
        </is>
      </c>
      <c r="C207" t="n">
        <v>0</v>
      </c>
      <c r="D207" t="n">
        <v>0</v>
      </c>
      <c r="E207" t="n">
        <v>0</v>
      </c>
      <c r="F207" t="n">
        <v>0</v>
      </c>
      <c r="H207" t="n">
        <v>0</v>
      </c>
      <c r="I207" t="n">
        <v>0</v>
      </c>
      <c r="J207" t="n">
        <v>0</v>
      </c>
      <c r="K207" t="n">
        <v>0</v>
      </c>
      <c r="L207" t="n">
        <v>0</v>
      </c>
      <c r="M207" t="n">
        <v>0</v>
      </c>
      <c r="N207" t="n">
        <v>0</v>
      </c>
    </row>
    <row r="208">
      <c r="A208" t="inlineStr">
        <is>
          <t>Stock</t>
        </is>
      </c>
      <c r="B208" t="inlineStr">
        <is>
          <t>Cows: 19 remain.</t>
        </is>
      </c>
      <c r="C208" t="n">
        <v>0</v>
      </c>
      <c r="D208" t="n">
        <v>0</v>
      </c>
      <c r="E208" t="n">
        <v>0</v>
      </c>
      <c r="F208" t="n">
        <v>0</v>
      </c>
      <c r="H208" t="n">
        <v>0</v>
      </c>
      <c r="I208" t="n">
        <v>0</v>
      </c>
      <c r="J208" t="n">
        <v>0</v>
      </c>
      <c r="K208" t="n">
        <v>0</v>
      </c>
      <c r="L208" t="n">
        <v>0</v>
      </c>
      <c r="M208" t="n">
        <v>0</v>
      </c>
      <c r="N208" t="n">
        <v>0</v>
      </c>
    </row>
    <row r="209">
      <c r="A209" t="inlineStr">
        <is>
          <t>Stock</t>
        </is>
      </c>
      <c r="B209" t="inlineStr">
        <is>
          <t>1 from the heriot of Adam Chapeleyn.</t>
        </is>
      </c>
      <c r="C209" t="n">
        <v>0</v>
      </c>
      <c r="D209" t="n">
        <v>0</v>
      </c>
      <c r="E209" t="n">
        <v>0</v>
      </c>
      <c r="F209" t="n">
        <v>0</v>
      </c>
      <c r="H209" t="n">
        <v>0</v>
      </c>
      <c r="I209" t="n">
        <v>0</v>
      </c>
      <c r="J209" t="n">
        <v>0</v>
      </c>
      <c r="K209" t="n">
        <v>0</v>
      </c>
      <c r="L209" t="n">
        <v>0</v>
      </c>
      <c r="M209" t="n">
        <v>0</v>
      </c>
      <c r="N209" t="n">
        <v>0</v>
      </c>
    </row>
    <row r="210">
      <c r="A210" t="inlineStr">
        <is>
          <t>Stock</t>
        </is>
      </c>
      <c r="B210" t="inlineStr">
        <is>
          <t>1 from the heriot of John Rundell'.</t>
        </is>
      </c>
      <c r="C210" t="n">
        <v>0</v>
      </c>
      <c r="D210" t="n">
        <v>0</v>
      </c>
      <c r="E210" t="n">
        <v>0</v>
      </c>
      <c r="F210" t="n">
        <v>0</v>
      </c>
      <c r="H210" t="n">
        <v>0</v>
      </c>
      <c r="I210" t="n">
        <v>0</v>
      </c>
      <c r="J210" t="n">
        <v>0</v>
      </c>
      <c r="K210" t="n">
        <v>0</v>
      </c>
      <c r="L210" t="n">
        <v>0</v>
      </c>
      <c r="M210" t="n">
        <v>0</v>
      </c>
      <c r="N210" t="n">
        <v>0</v>
      </c>
    </row>
    <row r="211">
      <c r="A211" t="inlineStr">
        <is>
          <t>Stock</t>
        </is>
      </c>
      <c r="B211" t="inlineStr">
        <is>
          <t>1 from the heriot of John Forde.</t>
        </is>
      </c>
      <c r="C211" t="n">
        <v>0</v>
      </c>
      <c r="D211" t="n">
        <v>0</v>
      </c>
      <c r="E211" t="n">
        <v>0</v>
      </c>
      <c r="F211" t="n">
        <v>0</v>
      </c>
      <c r="H211" t="n">
        <v>0</v>
      </c>
      <c r="I211" t="n">
        <v>0</v>
      </c>
      <c r="J211" t="n">
        <v>0</v>
      </c>
      <c r="K211" t="n">
        <v>0</v>
      </c>
      <c r="L211" t="n">
        <v>0</v>
      </c>
      <c r="M211" t="n">
        <v>0</v>
      </c>
      <c r="N211" t="n">
        <v>0</v>
      </c>
    </row>
    <row r="212">
      <c r="A212" t="inlineStr">
        <is>
          <t>Stock</t>
        </is>
      </c>
      <c r="B212" t="inlineStr">
        <is>
          <t>Total, 22. 3 sold within.</t>
        </is>
      </c>
      <c r="C212" t="n">
        <v>0</v>
      </c>
      <c r="D212" t="n">
        <v>0</v>
      </c>
      <c r="E212" t="n">
        <v>0</v>
      </c>
      <c r="F212" t="n">
        <v>0</v>
      </c>
      <c r="H212" t="n">
        <v>0</v>
      </c>
      <c r="I212" t="n">
        <v>0</v>
      </c>
      <c r="J212" t="n">
        <v>0</v>
      </c>
      <c r="K212" t="n">
        <v>0</v>
      </c>
      <c r="L212" t="n">
        <v>0</v>
      </c>
      <c r="M212" t="n">
        <v>0</v>
      </c>
      <c r="N212" t="n">
        <v>0</v>
      </c>
    </row>
    <row r="213">
      <c r="A213" t="inlineStr">
        <is>
          <t>Stock</t>
        </is>
      </c>
      <c r="B213" t="inlineStr">
        <is>
          <t>Total, 3. 19 remain, worth 10 shilling each, in the keeping of the said John, to be handed back and restored at the end of his farm as before.</t>
        </is>
      </c>
      <c r="C213" t="n">
        <v>0.5</v>
      </c>
      <c r="D213" t="n">
        <v>0</v>
      </c>
      <c r="E213" t="n">
        <v>10</v>
      </c>
      <c r="F213" t="n">
        <v>0</v>
      </c>
      <c r="H213" t="n">
        <v>0</v>
      </c>
      <c r="I213" t="n">
        <v>0</v>
      </c>
      <c r="J213" t="n">
        <v>0</v>
      </c>
      <c r="K213" t="n">
        <v>0</v>
      </c>
      <c r="L213" t="n">
        <v>0</v>
      </c>
      <c r="M213" t="n">
        <v>0</v>
      </c>
      <c r="N213" t="n">
        <v>0</v>
      </c>
    </row>
    <row r="214">
      <c r="A214" t="inlineStr">
        <is>
          <t>Stock</t>
        </is>
      </c>
      <c r="B214" t="inlineStr">
        <is>
          <t>Yearlings: 10 remain.</t>
        </is>
      </c>
      <c r="C214" t="n">
        <v>0</v>
      </c>
      <c r="D214" t="n">
        <v>0</v>
      </c>
      <c r="E214" t="n">
        <v>0</v>
      </c>
      <c r="F214" t="n">
        <v>0</v>
      </c>
      <c r="H214" t="n">
        <v>0</v>
      </c>
      <c r="I214" t="n">
        <v>0</v>
      </c>
      <c r="J214" t="n">
        <v>0</v>
      </c>
      <c r="K214" t="n">
        <v>0</v>
      </c>
      <c r="L214" t="n">
        <v>0</v>
      </c>
      <c r="M214" t="n">
        <v>0</v>
      </c>
      <c r="N214" t="n">
        <v>0</v>
      </c>
    </row>
    <row r="215">
      <c r="A215" t="inlineStr">
        <is>
          <t>Stock</t>
        </is>
      </c>
      <c r="B215" t="inlineStr">
        <is>
          <t>Total, 10. 10 remain, worth 3 shilling 4pence each, in the keeping of the said John, farmer, to be handed back and restored at the end of his farm as before.</t>
        </is>
      </c>
      <c r="C215" t="n">
        <v>0.17</v>
      </c>
      <c r="D215" t="n">
        <v>0</v>
      </c>
      <c r="E215" t="n">
        <v>3</v>
      </c>
      <c r="F215" t="n">
        <v>4</v>
      </c>
      <c r="H215" t="n">
        <v>0</v>
      </c>
      <c r="I215" t="n">
        <v>0</v>
      </c>
      <c r="J215" t="n">
        <v>0</v>
      </c>
      <c r="K215" t="n">
        <v>0</v>
      </c>
      <c r="L215" t="n">
        <v>0</v>
      </c>
      <c r="M215" t="n">
        <v>0</v>
      </c>
      <c r="N215" t="n">
        <v>0</v>
      </c>
    </row>
    <row r="216">
      <c r="A216" t="inlineStr">
        <is>
          <t>Stock</t>
        </is>
      </c>
      <c r="B216" t="inlineStr">
        <is>
          <t>No calves this year.</t>
        </is>
      </c>
      <c r="C216" t="n">
        <v>0</v>
      </c>
      <c r="D216" t="n">
        <v>0</v>
      </c>
      <c r="E216" t="n">
        <v>0</v>
      </c>
      <c r="F216" t="n">
        <v>0</v>
      </c>
      <c r="H216" t="n">
        <v>0</v>
      </c>
      <c r="I216" t="n">
        <v>0</v>
      </c>
      <c r="J216" t="n">
        <v>0</v>
      </c>
      <c r="K216" t="n">
        <v>0</v>
      </c>
      <c r="L216" t="n">
        <v>0</v>
      </c>
      <c r="M216" t="n">
        <v>0</v>
      </c>
      <c r="N216" t="n">
        <v>0</v>
      </c>
    </row>
    <row r="217">
      <c r="A217" t="inlineStr">
        <is>
          <t>Stock</t>
        </is>
      </c>
      <c r="B217" t="inlineStr">
        <is>
          <t>No wethers.</t>
        </is>
      </c>
      <c r="C217" t="n">
        <v>0</v>
      </c>
      <c r="D217" t="n">
        <v>0</v>
      </c>
      <c r="E217" t="n">
        <v>0</v>
      </c>
      <c r="F217" t="n">
        <v>0</v>
      </c>
      <c r="H217" t="n">
        <v>0</v>
      </c>
      <c r="I217" t="n">
        <v>0</v>
      </c>
      <c r="J217" t="n">
        <v>0</v>
      </c>
      <c r="K217" t="n">
        <v>0</v>
      </c>
      <c r="L217" t="n">
        <v>0</v>
      </c>
      <c r="M217" t="n">
        <v>0</v>
      </c>
      <c r="N217" t="n">
        <v>0</v>
      </c>
    </row>
    <row r="218">
      <c r="A218" t="inlineStr">
        <is>
          <t>Stock</t>
        </is>
      </c>
      <c r="B218" t="inlineStr">
        <is>
          <t>No rams.</t>
        </is>
      </c>
      <c r="C218" t="n">
        <v>0</v>
      </c>
      <c r="D218" t="n">
        <v>0</v>
      </c>
      <c r="E218" t="n">
        <v>0</v>
      </c>
      <c r="F218" t="n">
        <v>0</v>
      </c>
      <c r="H218" t="n">
        <v>0</v>
      </c>
      <c r="I218" t="n">
        <v>0</v>
      </c>
      <c r="J218" t="n">
        <v>0</v>
      </c>
      <c r="K218" t="n">
        <v>0</v>
      </c>
      <c r="L218" t="n">
        <v>0</v>
      </c>
      <c r="M218" t="n">
        <v>0</v>
      </c>
      <c r="N218" t="n">
        <v>0</v>
      </c>
    </row>
    <row r="219">
      <c r="A219" t="inlineStr">
        <is>
          <t>Stock</t>
        </is>
      </c>
      <c r="B219" t="inlineStr">
        <is>
          <t>Ewes: 1 from the heriot of Richard Asser.</t>
        </is>
      </c>
      <c r="C219" t="n">
        <v>0</v>
      </c>
      <c r="D219" t="n">
        <v>0</v>
      </c>
      <c r="E219" t="n">
        <v>0</v>
      </c>
      <c r="F219" t="n">
        <v>0</v>
      </c>
      <c r="H219" t="n">
        <v>0</v>
      </c>
      <c r="I219" t="n">
        <v>0</v>
      </c>
      <c r="J219" t="n">
        <v>0</v>
      </c>
      <c r="K219" t="n">
        <v>0</v>
      </c>
      <c r="L219" t="n">
        <v>0</v>
      </c>
      <c r="M219" t="n">
        <v>0</v>
      </c>
      <c r="N219" t="n">
        <v>0</v>
      </c>
    </row>
    <row r="220">
      <c r="A220" t="inlineStr">
        <is>
          <t>Stock</t>
        </is>
      </c>
      <c r="B220" t="inlineStr">
        <is>
          <t>sold within.</t>
        </is>
      </c>
      <c r="C220" t="n">
        <v>0</v>
      </c>
      <c r="D220" t="n">
        <v>0</v>
      </c>
      <c r="E220" t="n">
        <v>0</v>
      </c>
      <c r="F220" t="n">
        <v>0</v>
      </c>
      <c r="H220" t="n">
        <v>0</v>
      </c>
      <c r="I220" t="n">
        <v>0</v>
      </c>
      <c r="J220" t="n">
        <v>0</v>
      </c>
      <c r="K220" t="n">
        <v>0</v>
      </c>
      <c r="L220" t="n">
        <v>0</v>
      </c>
      <c r="M220" t="n">
        <v>0</v>
      </c>
      <c r="N220" t="n">
        <v>0</v>
      </c>
    </row>
    <row r="221">
      <c r="A221" t="inlineStr">
        <is>
          <t>Stock</t>
        </is>
      </c>
      <c r="B221" t="inlineStr">
        <is>
          <t>none remain.</t>
        </is>
      </c>
      <c r="C221" t="n">
        <v>0</v>
      </c>
      <c r="D221" t="n">
        <v>0</v>
      </c>
      <c r="E221" t="n">
        <v>0</v>
      </c>
      <c r="F221" t="n">
        <v>0</v>
      </c>
      <c r="H221" t="n">
        <v>0</v>
      </c>
      <c r="I221" t="n">
        <v>0</v>
      </c>
      <c r="J221" t="n">
        <v>0</v>
      </c>
      <c r="K221" t="n">
        <v>0</v>
      </c>
      <c r="L221" t="n">
        <v>0</v>
      </c>
      <c r="M221" t="n">
        <v>0</v>
      </c>
      <c r="N221" t="n">
        <v>0</v>
      </c>
    </row>
    <row r="222">
      <c r="A222" t="inlineStr">
        <is>
          <t>Stock</t>
        </is>
      </c>
      <c r="B222" t="inlineStr">
        <is>
          <t>None: No hoggs.</t>
        </is>
      </c>
      <c r="C222" t="n">
        <v>0</v>
      </c>
      <c r="D222" t="n">
        <v>0</v>
      </c>
      <c r="E222" t="n">
        <v>0</v>
      </c>
      <c r="F222" t="n">
        <v>0</v>
      </c>
      <c r="H222" t="n">
        <v>0</v>
      </c>
      <c r="I222" t="n">
        <v>0</v>
      </c>
      <c r="J222" t="n">
        <v>0</v>
      </c>
      <c r="K222" t="n">
        <v>0</v>
      </c>
      <c r="L222" t="n">
        <v>0</v>
      </c>
      <c r="M222" t="n">
        <v>0</v>
      </c>
      <c r="N222" t="n">
        <v>0</v>
      </c>
    </row>
    <row r="223">
      <c r="A223" t="inlineStr">
        <is>
          <t>Stock</t>
        </is>
      </c>
      <c r="B223" t="inlineStr">
        <is>
          <t>No lambs.</t>
        </is>
      </c>
      <c r="C223" t="n">
        <v>0</v>
      </c>
      <c r="D223" t="n">
        <v>0</v>
      </c>
      <c r="E223" t="n">
        <v>0</v>
      </c>
      <c r="F223" t="n">
        <v>0</v>
      </c>
      <c r="H223" t="n">
        <v>0</v>
      </c>
      <c r="I223" t="n">
        <v>0</v>
      </c>
      <c r="J223" t="n">
        <v>0</v>
      </c>
      <c r="K223" t="n">
        <v>0</v>
      </c>
      <c r="L223" t="n">
        <v>0</v>
      </c>
      <c r="M223" t="n">
        <v>0</v>
      </c>
      <c r="N223" t="n">
        <v>0</v>
      </c>
    </row>
    <row r="224">
      <c r="A224" t="inlineStr">
        <is>
          <t>Stock</t>
        </is>
      </c>
      <c r="B224" t="inlineStr">
        <is>
          <t>No boars.</t>
        </is>
      </c>
      <c r="C224" t="n">
        <v>0</v>
      </c>
      <c r="D224" t="n">
        <v>0</v>
      </c>
      <c r="E224" t="n">
        <v>0</v>
      </c>
      <c r="F224" t="n">
        <v>0</v>
      </c>
      <c r="H224" t="n">
        <v>0</v>
      </c>
      <c r="I224" t="n">
        <v>0</v>
      </c>
      <c r="J224" t="n">
        <v>0</v>
      </c>
      <c r="K224" t="n">
        <v>0</v>
      </c>
      <c r="L224" t="n">
        <v>0</v>
      </c>
      <c r="M224" t="n">
        <v>0</v>
      </c>
      <c r="N224" t="n">
        <v>0</v>
      </c>
    </row>
    <row r="225">
      <c r="A225" t="inlineStr">
        <is>
          <t>Stock</t>
        </is>
      </c>
      <c r="B225" t="inlineStr">
        <is>
          <t>No sows.</t>
        </is>
      </c>
      <c r="C225" t="n">
        <v>0</v>
      </c>
      <c r="D225" t="n">
        <v>0</v>
      </c>
      <c r="E225" t="n">
        <v>0</v>
      </c>
      <c r="F225" t="n">
        <v>0</v>
      </c>
      <c r="H225" t="n">
        <v>0</v>
      </c>
      <c r="I225" t="n">
        <v>0</v>
      </c>
      <c r="J225" t="n">
        <v>0</v>
      </c>
      <c r="K225" t="n">
        <v>0</v>
      </c>
      <c r="L225" t="n">
        <v>0</v>
      </c>
      <c r="M225" t="n">
        <v>0</v>
      </c>
      <c r="N225" t="n">
        <v>0</v>
      </c>
    </row>
    <row r="226">
      <c r="A226" t="inlineStr">
        <is>
          <t>Stock</t>
        </is>
      </c>
      <c r="B226" t="inlineStr">
        <is>
          <t>No pigs.</t>
        </is>
      </c>
      <c r="C226" t="n">
        <v>0</v>
      </c>
      <c r="D226" t="n">
        <v>0</v>
      </c>
      <c r="E226" t="n">
        <v>0</v>
      </c>
      <c r="F226" t="n">
        <v>0</v>
      </c>
      <c r="H226" t="n">
        <v>0</v>
      </c>
      <c r="I226" t="n">
        <v>0</v>
      </c>
      <c r="J226" t="n">
        <v>0</v>
      </c>
      <c r="K226" t="n">
        <v>0</v>
      </c>
      <c r="L226" t="n">
        <v>0</v>
      </c>
      <c r="M226" t="n">
        <v>0</v>
      </c>
      <c r="N226" t="n">
        <v>0</v>
      </c>
    </row>
    <row r="227">
      <c r="A227" t="inlineStr">
        <is>
          <t>Stock</t>
        </is>
      </c>
      <c r="B227" t="inlineStr">
        <is>
          <t>No hoggets.</t>
        </is>
      </c>
      <c r="C227" t="n">
        <v>0</v>
      </c>
      <c r="D227" t="n">
        <v>0</v>
      </c>
      <c r="E227" t="n">
        <v>0</v>
      </c>
      <c r="F227" t="n">
        <v>0</v>
      </c>
      <c r="H227" t="n">
        <v>0</v>
      </c>
      <c r="I227" t="n">
        <v>0</v>
      </c>
      <c r="J227" t="n">
        <v>0</v>
      </c>
      <c r="K227" t="n">
        <v>0</v>
      </c>
      <c r="L227" t="n">
        <v>0</v>
      </c>
      <c r="M227" t="n">
        <v>0</v>
      </c>
      <c r="N227" t="n">
        <v>0</v>
      </c>
    </row>
    <row r="228">
      <c r="A228" t="inlineStr">
        <is>
          <t>Stock</t>
        </is>
      </c>
      <c r="B228" t="inlineStr">
        <is>
          <t>No piglets.</t>
        </is>
      </c>
      <c r="C228" t="n">
        <v>0</v>
      </c>
      <c r="D228" t="n">
        <v>0</v>
      </c>
      <c r="E228" t="n">
        <v>0</v>
      </c>
      <c r="F228" t="n">
        <v>0</v>
      </c>
      <c r="H228" t="n">
        <v>0</v>
      </c>
      <c r="I228" t="n">
        <v>0</v>
      </c>
      <c r="J228" t="n">
        <v>0</v>
      </c>
      <c r="K228" t="n">
        <v>0</v>
      </c>
      <c r="L228" t="n">
        <v>0</v>
      </c>
      <c r="M228" t="n">
        <v>0</v>
      </c>
      <c r="N228" t="n">
        <v>0</v>
      </c>
    </row>
    <row r="229">
      <c r="A229" t="inlineStr">
        <is>
          <t>Stock</t>
        </is>
      </c>
      <c r="B229" t="inlineStr">
        <is>
          <t>No hides.</t>
        </is>
      </c>
      <c r="C229" t="n">
        <v>0</v>
      </c>
      <c r="D229" t="n">
        <v>0</v>
      </c>
      <c r="E229" t="n">
        <v>0</v>
      </c>
      <c r="F229" t="n">
        <v>0</v>
      </c>
      <c r="H229" t="n">
        <v>0</v>
      </c>
      <c r="I229" t="n">
        <v>0</v>
      </c>
      <c r="J229" t="n">
        <v>0</v>
      </c>
      <c r="K229" t="n">
        <v>0</v>
      </c>
      <c r="L229" t="n">
        <v>0</v>
      </c>
      <c r="M229" t="n">
        <v>0</v>
      </c>
      <c r="N229" t="n">
        <v>0</v>
      </c>
    </row>
    <row r="230">
      <c r="A230" t="inlineStr">
        <is>
          <t>Stock</t>
        </is>
      </c>
      <c r="B230" t="inlineStr">
        <is>
          <t>No wool.</t>
        </is>
      </c>
      <c r="C230" t="n">
        <v>0</v>
      </c>
      <c r="D230" t="n">
        <v>0</v>
      </c>
      <c r="E230" t="n">
        <v>0</v>
      </c>
      <c r="F230" t="n">
        <v>0</v>
      </c>
      <c r="H230" t="n">
        <v>0</v>
      </c>
      <c r="I230" t="n">
        <v>0</v>
      </c>
      <c r="J230" t="n">
        <v>0</v>
      </c>
      <c r="K230" t="n">
        <v>0</v>
      </c>
      <c r="L230" t="n">
        <v>0</v>
      </c>
      <c r="M230" t="n">
        <v>0</v>
      </c>
      <c r="N230" t="n">
        <v>0</v>
      </c>
    </row>
    <row r="231">
      <c r="A231" t="inlineStr">
        <is>
          <t>Stock</t>
        </is>
      </c>
      <c r="B231" t="inlineStr">
        <is>
          <t>No skins.</t>
        </is>
      </c>
      <c r="C231" t="n">
        <v>0</v>
      </c>
      <c r="D231" t="n">
        <v>0</v>
      </c>
      <c r="E231" t="n">
        <v>0</v>
      </c>
      <c r="F231" t="n">
        <v>0</v>
      </c>
      <c r="H231" t="n">
        <v>0</v>
      </c>
      <c r="I231" t="n">
        <v>0</v>
      </c>
      <c r="J231" t="n">
        <v>0</v>
      </c>
      <c r="K231" t="n">
        <v>0</v>
      </c>
      <c r="L231" t="n">
        <v>0</v>
      </c>
      <c r="M231" t="n">
        <v>0</v>
      </c>
      <c r="N231" t="n">
        <v>0</v>
      </c>
    </row>
    <row r="232">
      <c r="A232" t="inlineStr">
        <is>
          <t>Stock</t>
        </is>
      </c>
      <c r="B232" t="inlineStr">
        <is>
          <t>No milking.</t>
        </is>
      </c>
      <c r="C232" t="n">
        <v>0</v>
      </c>
      <c r="D232" t="n">
        <v>0</v>
      </c>
      <c r="E232" t="n">
        <v>0</v>
      </c>
      <c r="F232" t="n">
        <v>0</v>
      </c>
      <c r="H232" t="n">
        <v>0</v>
      </c>
      <c r="I232" t="n">
        <v>0</v>
      </c>
      <c r="J232" t="n">
        <v>0</v>
      </c>
      <c r="K232" t="n">
        <v>0</v>
      </c>
      <c r="L232" t="n">
        <v>0</v>
      </c>
      <c r="M232" t="n">
        <v>0</v>
      </c>
      <c r="N232" t="n">
        <v>0</v>
      </c>
    </row>
    <row r="233">
      <c r="A233" t="inlineStr">
        <is>
          <t>Stock</t>
        </is>
      </c>
      <c r="B233" t="inlineStr">
        <is>
          <t>No geese.</t>
        </is>
      </c>
      <c r="C233" t="n">
        <v>0</v>
      </c>
      <c r="D233" t="n">
        <v>0</v>
      </c>
      <c r="E233" t="n">
        <v>0</v>
      </c>
      <c r="F233" t="n">
        <v>0</v>
      </c>
      <c r="H233" t="n">
        <v>0</v>
      </c>
      <c r="I233" t="n">
        <v>0</v>
      </c>
      <c r="J233" t="n">
        <v>0</v>
      </c>
      <c r="K233" t="n">
        <v>0</v>
      </c>
      <c r="L233" t="n">
        <v>0</v>
      </c>
      <c r="M233" t="n">
        <v>0</v>
      </c>
      <c r="N233" t="n">
        <v>0</v>
      </c>
    </row>
    <row r="234">
      <c r="A234" t="inlineStr">
        <is>
          <t>Stock</t>
        </is>
      </c>
      <c r="B234" t="inlineStr">
        <is>
          <t>Capons: none from stock.</t>
        </is>
      </c>
      <c r="C234" t="n">
        <v>0</v>
      </c>
      <c r="D234" t="n">
        <v>0</v>
      </c>
      <c r="E234" t="n">
        <v>0</v>
      </c>
      <c r="F234" t="n">
        <v>0</v>
      </c>
      <c r="H234" t="n">
        <v>0</v>
      </c>
      <c r="I234" t="n">
        <v>0</v>
      </c>
      <c r="J234" t="n">
        <v>0</v>
      </c>
      <c r="K234" t="n">
        <v>0</v>
      </c>
      <c r="L234" t="n">
        <v>0</v>
      </c>
      <c r="M234" t="n">
        <v>0</v>
      </c>
      <c r="N234" t="n">
        <v>0</v>
      </c>
    </row>
    <row r="235">
      <c r="A235" t="inlineStr">
        <is>
          <t>Stock</t>
        </is>
      </c>
      <c r="B235" t="inlineStr">
        <is>
          <t>6 for the rent of Emma atte Mulle.</t>
        </is>
      </c>
      <c r="C235" t="n">
        <v>0</v>
      </c>
      <c r="D235" t="n">
        <v>0</v>
      </c>
      <c r="E235" t="n">
        <v>0</v>
      </c>
      <c r="F235" t="n">
        <v>0</v>
      </c>
      <c r="H235" t="n">
        <v>0</v>
      </c>
      <c r="I235" t="n">
        <v>0</v>
      </c>
      <c r="J235" t="n">
        <v>0</v>
      </c>
      <c r="K235" t="n">
        <v>0</v>
      </c>
      <c r="L235" t="n">
        <v>0</v>
      </c>
      <c r="M235" t="n">
        <v>0</v>
      </c>
      <c r="N235" t="n">
        <v>0</v>
      </c>
    </row>
    <row r="236">
      <c r="A236" t="inlineStr">
        <is>
          <t>Stock</t>
        </is>
      </c>
      <c r="B236" t="inlineStr">
        <is>
          <t>Total, 6. Sold within.</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Cocks and hens: none from stock.</t>
        </is>
      </c>
      <c r="C238" t="n">
        <v>0</v>
      </c>
      <c r="D238" t="n">
        <v>0</v>
      </c>
      <c r="E238" t="n">
        <v>0</v>
      </c>
      <c r="F238" t="n">
        <v>0</v>
      </c>
      <c r="H238" t="n">
        <v>0</v>
      </c>
      <c r="I238" t="n">
        <v>0</v>
      </c>
      <c r="J238" t="n">
        <v>0</v>
      </c>
      <c r="K238" t="n">
        <v>0</v>
      </c>
      <c r="L238" t="n">
        <v>0</v>
      </c>
      <c r="M238" t="n">
        <v>0</v>
      </c>
      <c r="N238" t="n">
        <v>0</v>
      </c>
    </row>
    <row r="239">
      <c r="A239" t="inlineStr">
        <is>
          <t>Stock</t>
        </is>
      </c>
      <c r="B239" t="inlineStr">
        <is>
          <t>28 from churchscot at Martinmas, of which 4 are from William Prew, 3 from William Tut, 4 from Richard Smyth' and John Buryman, 6 from Alice Aylon, and 4 from Alan Acreman for 2 cotlands.</t>
        </is>
      </c>
      <c r="C239" t="n">
        <v>0</v>
      </c>
      <c r="D239" t="n">
        <v>0</v>
      </c>
      <c r="E239" t="n">
        <v>0</v>
      </c>
      <c r="F239" t="n">
        <v>0</v>
      </c>
      <c r="H239" t="n">
        <v>0</v>
      </c>
      <c r="I239" t="n">
        <v>0</v>
      </c>
      <c r="J239" t="n">
        <v>0</v>
      </c>
      <c r="K239" t="n">
        <v>0</v>
      </c>
      <c r="L239" t="n">
        <v>0</v>
      </c>
      <c r="M239" t="n">
        <v>0</v>
      </c>
      <c r="N239" t="n">
        <v>0</v>
      </c>
    </row>
    <row r="240">
      <c r="A240" t="inlineStr">
        <is>
          <t>Stock</t>
        </is>
      </c>
      <c r="B240" t="inlineStr">
        <is>
          <t>Total, 28. 4 in default of the churchscot of 1 cotland of John Dawe which formerly belonged to William Gilot and William Gille because their tenements are in the lord's hands and at farm as made clear within.</t>
        </is>
      </c>
      <c r="C240" t="n">
        <v>0</v>
      </c>
      <c r="D240" t="n">
        <v>0</v>
      </c>
      <c r="E240" t="n">
        <v>0</v>
      </c>
      <c r="F240" t="n">
        <v>0</v>
      </c>
      <c r="H240" t="n">
        <v>0</v>
      </c>
      <c r="I240" t="n">
        <v>0</v>
      </c>
      <c r="J240" t="n">
        <v>0</v>
      </c>
      <c r="K240" t="n">
        <v>0</v>
      </c>
      <c r="L240" t="n">
        <v>0</v>
      </c>
      <c r="M240" t="n">
        <v>0</v>
      </c>
      <c r="N240" t="n">
        <v>0</v>
      </c>
    </row>
    <row r="241">
      <c r="A241" t="inlineStr">
        <is>
          <t>Stock</t>
        </is>
      </c>
      <c r="B241" t="inlineStr">
        <is>
          <t>1 in default of 1 messuage and 1 acreland, containing 12 acres of land, and 1 acre of meadow formerly of Richard Smyth' and now of Gregory Benet, because he pays a fixed rent this year.</t>
        </is>
      </c>
      <c r="C241" t="n">
        <v>0</v>
      </c>
      <c r="D241" t="n">
        <v>0</v>
      </c>
      <c r="E241" t="n">
        <v>0</v>
      </c>
      <c r="F241" t="n">
        <v>0</v>
      </c>
      <c r="H241" t="n">
        <v>0</v>
      </c>
      <c r="I241" t="n">
        <v>0</v>
      </c>
      <c r="J241" t="n">
        <v>0</v>
      </c>
      <c r="K241" t="n">
        <v>0</v>
      </c>
      <c r="L241" t="n">
        <v>0</v>
      </c>
      <c r="M241" t="n">
        <v>0</v>
      </c>
      <c r="N241" t="n">
        <v>0</v>
      </c>
    </row>
    <row r="242">
      <c r="A242" t="inlineStr">
        <is>
          <t>Stock</t>
        </is>
      </c>
      <c r="B242" t="inlineStr">
        <is>
          <t>6 in default of the churchscot of 2 acrelands formerly of Richard Bolt, Mabel Dawe and John Dolphyn and now of Richard White, Alice Wylot and Richard atte Mulle for the aforesaid reason.</t>
        </is>
      </c>
      <c r="C242" t="n">
        <v>0</v>
      </c>
      <c r="D242" t="n">
        <v>0</v>
      </c>
      <c r="E242" t="n">
        <v>0</v>
      </c>
      <c r="F242" t="n">
        <v>0</v>
      </c>
      <c r="H242" t="n">
        <v>0</v>
      </c>
      <c r="I242" t="n">
        <v>0</v>
      </c>
      <c r="J242" t="n">
        <v>0</v>
      </c>
      <c r="K242" t="n">
        <v>0</v>
      </c>
      <c r="L242" t="n">
        <v>0</v>
      </c>
      <c r="M242" t="n">
        <v>0</v>
      </c>
      <c r="N242" t="n">
        <v>0</v>
      </c>
    </row>
    <row r="243">
      <c r="A243" t="inlineStr">
        <is>
          <t>Stock</t>
        </is>
      </c>
      <c r="B243" t="inlineStr">
        <is>
          <t>4 in default of 2 acrelands formerly of Alan Acreman and now of William Jakeman and Robert atte Style for the aforesaid reason.</t>
        </is>
      </c>
      <c r="C243" t="n">
        <v>0</v>
      </c>
      <c r="D243" t="n">
        <v>0</v>
      </c>
      <c r="E243" t="n">
        <v>0</v>
      </c>
      <c r="F243" t="n">
        <v>0</v>
      </c>
      <c r="H243" t="n">
        <v>0</v>
      </c>
      <c r="I243" t="n">
        <v>0</v>
      </c>
      <c r="J243" t="n">
        <v>0</v>
      </c>
      <c r="K243" t="n">
        <v>0</v>
      </c>
      <c r="L243" t="n">
        <v>0</v>
      </c>
      <c r="M243" t="n">
        <v>0</v>
      </c>
      <c r="N243" t="n">
        <v>0</v>
      </c>
    </row>
    <row r="244">
      <c r="A244" t="inlineStr">
        <is>
          <t>Stock</t>
        </is>
      </c>
      <c r="B244" t="inlineStr">
        <is>
          <t>1 in default of 1 acreland formerly of Richard Buryman and now of John Scot for the aforesaid reason.</t>
        </is>
      </c>
      <c r="C244" t="n">
        <v>0</v>
      </c>
      <c r="D244" t="n">
        <v>0</v>
      </c>
      <c r="E244" t="n">
        <v>0</v>
      </c>
      <c r="F244" t="n">
        <v>0</v>
      </c>
      <c r="H244" t="n">
        <v>0</v>
      </c>
      <c r="I244" t="n">
        <v>0</v>
      </c>
      <c r="J244" t="n">
        <v>0</v>
      </c>
      <c r="K244" t="n">
        <v>0</v>
      </c>
      <c r="L244" t="n">
        <v>0</v>
      </c>
      <c r="M244" t="n">
        <v>0</v>
      </c>
      <c r="N244" t="n">
        <v>0</v>
      </c>
    </row>
    <row r="245">
      <c r="A245" t="inlineStr">
        <is>
          <t>Stock</t>
        </is>
      </c>
      <c r="B245" t="inlineStr">
        <is>
          <t>2 in default of 1 cotland formerly of Alice Aylon and now of Henry Gille for the aforesaid reason.</t>
        </is>
      </c>
      <c r="C245" t="n">
        <v>0</v>
      </c>
      <c r="D245" t="n">
        <v>0</v>
      </c>
      <c r="E245" t="n">
        <v>0</v>
      </c>
      <c r="F245" t="n">
        <v>0</v>
      </c>
      <c r="H245" t="n">
        <v>0</v>
      </c>
      <c r="I245" t="n">
        <v>0</v>
      </c>
      <c r="J245" t="n">
        <v>0</v>
      </c>
      <c r="K245" t="n">
        <v>0</v>
      </c>
      <c r="L245" t="n">
        <v>0</v>
      </c>
      <c r="M245" t="n">
        <v>0</v>
      </c>
      <c r="N245" t="n">
        <v>0</v>
      </c>
    </row>
    <row r="246">
      <c r="A246" t="inlineStr">
        <is>
          <t>Stock</t>
        </is>
      </c>
      <c r="B246" t="inlineStr">
        <is>
          <t>10 sold within.</t>
        </is>
      </c>
      <c r="C246" t="n">
        <v>0</v>
      </c>
      <c r="D246" t="n">
        <v>0</v>
      </c>
      <c r="E246" t="n">
        <v>0</v>
      </c>
      <c r="F246" t="n">
        <v>0</v>
      </c>
      <c r="H246" t="n">
        <v>0</v>
      </c>
      <c r="I246" t="n">
        <v>0</v>
      </c>
      <c r="J246" t="n">
        <v>0</v>
      </c>
      <c r="K246" t="n">
        <v>0</v>
      </c>
      <c r="L246" t="n">
        <v>0</v>
      </c>
      <c r="M246" t="n">
        <v>0</v>
      </c>
      <c r="N246" t="n">
        <v>0</v>
      </c>
    </row>
    <row r="247">
      <c r="A247" t="inlineStr">
        <is>
          <t>Stock</t>
        </is>
      </c>
      <c r="B247" t="inlineStr">
        <is>
          <t>Total as before.</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Laths: 2,700 laths remain.</t>
        </is>
      </c>
      <c r="C249" t="n">
        <v>0</v>
      </c>
      <c r="D249" t="n">
        <v>0</v>
      </c>
      <c r="E249" t="n">
        <v>0</v>
      </c>
      <c r="F249" t="n">
        <v>0</v>
      </c>
      <c r="H249" t="n">
        <v>0</v>
      </c>
      <c r="I249" t="n">
        <v>0</v>
      </c>
      <c r="J249" t="n">
        <v>0</v>
      </c>
      <c r="K249" t="n">
        <v>0</v>
      </c>
      <c r="L249" t="n">
        <v>0</v>
      </c>
      <c r="M249" t="n">
        <v>0</v>
      </c>
      <c r="N249" t="n">
        <v>0</v>
      </c>
    </row>
    <row r="250">
      <c r="A250" t="inlineStr">
        <is>
          <t>Stock</t>
        </is>
      </c>
      <c r="B250" t="inlineStr">
        <is>
          <t>Total, 2,700. 2,000 used to repair the lord's barn, hall and kitchen.</t>
        </is>
      </c>
      <c r="C250" t="n">
        <v>0</v>
      </c>
      <c r="D250" t="n">
        <v>0</v>
      </c>
      <c r="E250" t="n">
        <v>0</v>
      </c>
      <c r="F250" t="n">
        <v>0</v>
      </c>
      <c r="H250" t="n">
        <v>0</v>
      </c>
      <c r="I250" t="n">
        <v>0</v>
      </c>
      <c r="J250" t="n">
        <v>0</v>
      </c>
      <c r="K250" t="n">
        <v>0</v>
      </c>
      <c r="L250" t="n">
        <v>0</v>
      </c>
      <c r="M250" t="n">
        <v>0</v>
      </c>
      <c r="N250" t="n">
        <v>0</v>
      </c>
    </row>
    <row r="251">
      <c r="A251" t="inlineStr">
        <is>
          <t>Stock</t>
        </is>
      </c>
      <c r="B251" t="inlineStr">
        <is>
          <t>400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2,400. 300 remain.</t>
        </is>
      </c>
      <c r="C252" t="n">
        <v>0</v>
      </c>
      <c r="D252" t="n">
        <v>0</v>
      </c>
      <c r="E252" t="n">
        <v>0</v>
      </c>
      <c r="F252" t="n">
        <v>0</v>
      </c>
      <c r="H252" t="n">
        <v>0</v>
      </c>
      <c r="I252" t="n">
        <v>0</v>
      </c>
      <c r="J252" t="n">
        <v>0</v>
      </c>
      <c r="K252" t="n">
        <v>0</v>
      </c>
      <c r="L252" t="n">
        <v>0</v>
      </c>
      <c r="M252" t="n">
        <v>0</v>
      </c>
      <c r="N252" t="n">
        <v>0</v>
      </c>
    </row>
    <row r="253">
      <c r="A253" t="inlineStr">
        <is>
          <t>Stock</t>
        </is>
      </c>
      <c r="B253" t="inlineStr">
        <is>
          <t>Lime: 6 quarters of limestone remain.</t>
        </is>
      </c>
      <c r="C253" t="n">
        <v>0</v>
      </c>
      <c r="D253" t="n">
        <v>0</v>
      </c>
      <c r="E253" t="n">
        <v>0</v>
      </c>
      <c r="F253" t="n">
        <v>0</v>
      </c>
      <c r="H253" t="n">
        <v>6</v>
      </c>
      <c r="I253" t="n">
        <v>0</v>
      </c>
      <c r="J253" t="n">
        <v>6</v>
      </c>
      <c r="K253" t="n">
        <v>6</v>
      </c>
      <c r="L253" t="n">
        <v>0</v>
      </c>
      <c r="M253" t="n">
        <v>6</v>
      </c>
      <c r="N253" t="n">
        <v>0</v>
      </c>
    </row>
    <row r="254">
      <c r="A254" t="inlineStr">
        <is>
          <t>Stock</t>
        </is>
      </c>
      <c r="B254" t="inlineStr">
        <is>
          <t>4 quarters 4 bushels bought at Walton'.</t>
        </is>
      </c>
      <c r="C254" t="n">
        <v>0</v>
      </c>
      <c r="D254" t="n">
        <v>0</v>
      </c>
      <c r="E254" t="n">
        <v>0</v>
      </c>
      <c r="F254" t="n">
        <v>0</v>
      </c>
      <c r="H254" t="n">
        <v>4</v>
      </c>
      <c r="I254" t="n">
        <v>4</v>
      </c>
      <c r="J254" t="n">
        <v>4.5</v>
      </c>
      <c r="K254" t="n">
        <v>4.5</v>
      </c>
      <c r="L254" t="n">
        <v>0</v>
      </c>
      <c r="M254" t="n">
        <v>4</v>
      </c>
      <c r="N254" t="n">
        <v>4</v>
      </c>
    </row>
    <row r="255">
      <c r="A255" t="inlineStr">
        <is>
          <t>Stock</t>
        </is>
      </c>
      <c r="B255" t="inlineStr">
        <is>
          <t>8 quarters bought at wi.t ney.</t>
        </is>
      </c>
      <c r="C255" t="n">
        <v>0</v>
      </c>
      <c r="D255" t="n">
        <v>0</v>
      </c>
      <c r="E255" t="n">
        <v>0</v>
      </c>
      <c r="F255" t="n">
        <v>0</v>
      </c>
      <c r="H255" t="n">
        <v>8</v>
      </c>
      <c r="I255" t="n">
        <v>0</v>
      </c>
      <c r="J255" t="n">
        <v>8</v>
      </c>
      <c r="K255" t="n">
        <v>8</v>
      </c>
      <c r="L255" t="n">
        <v>0</v>
      </c>
      <c r="M255" t="n">
        <v>8</v>
      </c>
      <c r="N255" t="n">
        <v>0</v>
      </c>
    </row>
    <row r="256">
      <c r="A256" t="inlineStr">
        <is>
          <t>Stock</t>
        </is>
      </c>
      <c r="B256" t="inlineStr">
        <is>
          <t>Total, 18 quarters 4 bushels Used to repair the lord's barn, hall and kitchen.</t>
        </is>
      </c>
      <c r="C256" t="n">
        <v>0</v>
      </c>
      <c r="D256" t="n">
        <v>0</v>
      </c>
      <c r="E256" t="n">
        <v>0</v>
      </c>
      <c r="F256" t="n">
        <v>0</v>
      </c>
      <c r="H256" t="n">
        <v>18</v>
      </c>
      <c r="I256" t="n">
        <v>4</v>
      </c>
      <c r="J256" t="n">
        <v>18.5</v>
      </c>
      <c r="K256" t="n">
        <v>18.5</v>
      </c>
      <c r="L256" t="n">
        <v>0</v>
      </c>
      <c r="M256" t="n">
        <v>18</v>
      </c>
      <c r="N256" t="n">
        <v>4</v>
      </c>
    </row>
    <row r="257">
      <c r="A257" t="inlineStr">
        <is>
          <t>Stock</t>
        </is>
      </c>
      <c r="B257" t="inlineStr">
        <is>
          <t>none remains.</t>
        </is>
      </c>
      <c r="C257" t="n">
        <v>0</v>
      </c>
      <c r="D257" t="n">
        <v>0</v>
      </c>
      <c r="E257" t="n">
        <v>0</v>
      </c>
      <c r="F257" t="n">
        <v>0</v>
      </c>
      <c r="H257" t="n">
        <v>0</v>
      </c>
      <c r="I257" t="n">
        <v>0</v>
      </c>
      <c r="J257" t="n">
        <v>0</v>
      </c>
      <c r="K257" t="n">
        <v>0</v>
      </c>
      <c r="L257" t="n">
        <v>0</v>
      </c>
      <c r="M257" t="n">
        <v>0</v>
      </c>
      <c r="N257" t="n">
        <v>0</v>
      </c>
    </row>
    <row r="258">
      <c r="A258" t="inlineStr">
        <is>
          <t>Stock</t>
        </is>
      </c>
      <c r="B258" t="inlineStr">
        <is>
          <t>Stone slates: 3,000 stone slates remain.</t>
        </is>
      </c>
      <c r="C258" t="n">
        <v>0</v>
      </c>
      <c r="D258" t="n">
        <v>0</v>
      </c>
      <c r="E258" t="n">
        <v>0</v>
      </c>
      <c r="F258" t="n">
        <v>0</v>
      </c>
      <c r="H258" t="n">
        <v>0</v>
      </c>
      <c r="I258" t="n">
        <v>0</v>
      </c>
      <c r="J258" t="n">
        <v>0</v>
      </c>
      <c r="K258" t="n">
        <v>0</v>
      </c>
      <c r="L258" t="n">
        <v>0</v>
      </c>
      <c r="M258" t="n">
        <v>0</v>
      </c>
      <c r="N258" t="n">
        <v>0</v>
      </c>
    </row>
    <row r="259">
      <c r="A259" t="inlineStr">
        <is>
          <t>Stock</t>
        </is>
      </c>
      <c r="B259" t="inlineStr">
        <is>
          <t>200 large stones remain.</t>
        </is>
      </c>
      <c r="C259" t="n">
        <v>0</v>
      </c>
      <c r="D259" t="n">
        <v>0</v>
      </c>
      <c r="E259" t="n">
        <v>0</v>
      </c>
      <c r="F259" t="n">
        <v>0</v>
      </c>
      <c r="H259" t="n">
        <v>0</v>
      </c>
      <c r="I259" t="n">
        <v>0</v>
      </c>
      <c r="J259" t="n">
        <v>0</v>
      </c>
      <c r="K259" t="n">
        <v>0</v>
      </c>
      <c r="L259" t="n">
        <v>0</v>
      </c>
      <c r="M259" t="n">
        <v>0</v>
      </c>
      <c r="N259" t="n">
        <v>0</v>
      </c>
    </row>
    <row r="260">
      <c r="A260" t="inlineStr">
        <is>
          <t>Stock</t>
        </is>
      </c>
      <c r="B260" t="inlineStr">
        <is>
          <t>1,500 stone slates bought.</t>
        </is>
      </c>
      <c r="C260" t="n">
        <v>0</v>
      </c>
      <c r="D260" t="n">
        <v>0</v>
      </c>
      <c r="E260" t="n">
        <v>0</v>
      </c>
      <c r="F260" t="n">
        <v>0</v>
      </c>
      <c r="H260" t="n">
        <v>0</v>
      </c>
      <c r="I260" t="n">
        <v>0</v>
      </c>
      <c r="J260" t="n">
        <v>0</v>
      </c>
      <c r="K260" t="n">
        <v>0</v>
      </c>
      <c r="L260" t="n">
        <v>0</v>
      </c>
      <c r="M260" t="n">
        <v>0</v>
      </c>
      <c r="N260" t="n">
        <v>0</v>
      </c>
    </row>
    <row r="261">
      <c r="A261" t="inlineStr">
        <is>
          <t>Stock</t>
        </is>
      </c>
      <c r="B261" t="inlineStr">
        <is>
          <t>500 eaves-stones bought.</t>
        </is>
      </c>
      <c r="C261" t="n">
        <v>0</v>
      </c>
      <c r="D261" t="n">
        <v>0</v>
      </c>
      <c r="E261" t="n">
        <v>0</v>
      </c>
      <c r="F261" t="n">
        <v>0</v>
      </c>
      <c r="H261" t="n">
        <v>0</v>
      </c>
      <c r="I261" t="n">
        <v>0</v>
      </c>
      <c r="J261" t="n">
        <v>0</v>
      </c>
      <c r="K261" t="n">
        <v>0</v>
      </c>
      <c r="L261" t="n">
        <v>0</v>
      </c>
      <c r="M261" t="n">
        <v>0</v>
      </c>
      <c r="N261" t="n">
        <v>0</v>
      </c>
    </row>
    <row r="262">
      <c r="A262" t="inlineStr">
        <is>
          <t>Stock</t>
        </is>
      </c>
      <c r="B262" t="inlineStr">
        <is>
          <t>Total, 5,200. 250 sold within because unsuitable for the use of the lord.</t>
        </is>
      </c>
      <c r="C262" t="n">
        <v>0</v>
      </c>
      <c r="D262" t="n">
        <v>0</v>
      </c>
      <c r="E262" t="n">
        <v>0</v>
      </c>
      <c r="F262" t="n">
        <v>0</v>
      </c>
      <c r="H262" t="n">
        <v>0</v>
      </c>
      <c r="I262" t="n">
        <v>0</v>
      </c>
      <c r="J262" t="n">
        <v>0</v>
      </c>
      <c r="K262" t="n">
        <v>0</v>
      </c>
      <c r="L262" t="n">
        <v>0</v>
      </c>
      <c r="M262" t="n">
        <v>0</v>
      </c>
      <c r="N262" t="n">
        <v>0</v>
      </c>
    </row>
    <row r="263">
      <c r="A263" t="inlineStr">
        <is>
          <t>Stock</t>
        </is>
      </c>
      <c r="B263" t="inlineStr">
        <is>
          <t>4,950 used in mending the lord's barn, hall and kitchen.</t>
        </is>
      </c>
      <c r="C263" t="n">
        <v>0</v>
      </c>
      <c r="D263" t="n">
        <v>0</v>
      </c>
      <c r="E263" t="n">
        <v>0</v>
      </c>
      <c r="F263" t="n">
        <v>0</v>
      </c>
      <c r="H263" t="n">
        <v>0</v>
      </c>
      <c r="I263" t="n">
        <v>0</v>
      </c>
      <c r="J263" t="n">
        <v>0</v>
      </c>
      <c r="K263" t="n">
        <v>0</v>
      </c>
      <c r="L263" t="n">
        <v>0</v>
      </c>
      <c r="M263" t="n">
        <v>0</v>
      </c>
      <c r="N263" t="n">
        <v>0</v>
      </c>
    </row>
    <row r="264">
      <c r="A264" t="inlineStr">
        <is>
          <t>Stock</t>
        </is>
      </c>
      <c r="B264" t="inlineStr">
        <is>
          <t>Total as before.</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Hurdles: 6 remain.</t>
        </is>
      </c>
      <c r="C266" t="n">
        <v>0</v>
      </c>
      <c r="D266" t="n">
        <v>0</v>
      </c>
      <c r="E266" t="n">
        <v>0</v>
      </c>
      <c r="F266" t="n">
        <v>0</v>
      </c>
      <c r="H266" t="n">
        <v>0</v>
      </c>
      <c r="I266" t="n">
        <v>0</v>
      </c>
      <c r="J266" t="n">
        <v>0</v>
      </c>
      <c r="K266" t="n">
        <v>0</v>
      </c>
      <c r="L266" t="n">
        <v>0</v>
      </c>
      <c r="M266" t="n">
        <v>0</v>
      </c>
      <c r="N266" t="n">
        <v>0</v>
      </c>
    </row>
    <row r="267">
      <c r="A267" t="inlineStr">
        <is>
          <t>Stock</t>
        </is>
      </c>
      <c r="B267" t="inlineStr">
        <is>
          <t>Total, 6. Sold because useless for the stock.</t>
        </is>
      </c>
      <c r="C267" t="n">
        <v>0</v>
      </c>
      <c r="D267" t="n">
        <v>0</v>
      </c>
      <c r="E267" t="n">
        <v>0</v>
      </c>
      <c r="F267" t="n">
        <v>0</v>
      </c>
      <c r="H267" t="n">
        <v>0</v>
      </c>
      <c r="I267" t="n">
        <v>0</v>
      </c>
      <c r="J267" t="n">
        <v>0</v>
      </c>
      <c r="K267" t="n">
        <v>0</v>
      </c>
      <c r="L267" t="n">
        <v>0</v>
      </c>
      <c r="M267" t="n">
        <v>0</v>
      </c>
      <c r="N267" t="n">
        <v>0</v>
      </c>
    </row>
    <row r="268">
      <c r="A268" t="inlineStr">
        <is>
          <t>Stock</t>
        </is>
      </c>
      <c r="B268" t="inlineStr">
        <is>
          <t>none remain. mid.</t>
        </is>
      </c>
      <c r="C268" t="n">
        <v>0</v>
      </c>
      <c r="D268" t="n">
        <v>0</v>
      </c>
      <c r="E268" t="n">
        <v>0</v>
      </c>
      <c r="F268" t="n">
        <v>0</v>
      </c>
      <c r="H268" t="n">
        <v>0</v>
      </c>
      <c r="I268" t="n">
        <v>0</v>
      </c>
      <c r="J268" t="n">
        <v>0</v>
      </c>
      <c r="K268" t="n">
        <v>0</v>
      </c>
      <c r="L268" t="n">
        <v>0</v>
      </c>
      <c r="M268" t="n">
        <v>0</v>
      </c>
      <c r="N26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0"/>
  <sheetViews>
    <sheetView topLeftCell="A1" workbookViewId="0">
      <selection activeCell="A1" sqref="A1"/>
    </sheetView>
  </sheetViews>
  <sheetFormatPr baseColWidth="8" defaultRowHeight="15"/>
  <cols>
    <col width="78.33203125" customWidth="1" min="1" max="1"/>
    <col width="10.83203125" customWidth="1" min="6" max="6"/>
    <col width="17.1640625" customWidth="1" min="7" max="7"/>
  </cols>
  <sheetData>
    <row r="1" ht="19" customHeight="1">
      <c r="A1" s="127" t="inlineStr">
        <is>
          <t>CRAWLEY</t>
        </is>
      </c>
      <c r="B1" s="128" t="inlineStr">
        <is>
          <t>£</t>
        </is>
      </c>
      <c r="C1" s="129" t="inlineStr">
        <is>
          <t xml:space="preserve">s </t>
        </is>
      </c>
      <c r="D1" s="129" t="inlineStr">
        <is>
          <t>d</t>
        </is>
      </c>
      <c r="E1" s="130" t="n"/>
      <c r="F1" s="131" t="n"/>
      <c r="G1" s="132" t="inlineStr">
        <is>
          <t>Total in £</t>
        </is>
      </c>
      <c r="H1" s="133" t="inlineStr">
        <is>
          <t>Error</t>
        </is>
      </c>
    </row>
    <row r="2">
      <c r="A2" s="15" t="n"/>
      <c r="B2" s="15" t="n"/>
      <c r="C2" s="15" t="n"/>
      <c r="D2" s="15" t="n"/>
      <c r="E2" s="15" t="n"/>
      <c r="F2" s="134" t="n"/>
      <c r="G2" s="134" t="n"/>
      <c r="H2" s="10" t="n"/>
    </row>
    <row r="3">
      <c r="A3" s="8" t="inlineStr">
        <is>
          <t>CASH ACCOUNT</t>
        </is>
      </c>
      <c r="B3" s="15" t="n"/>
      <c r="C3" s="15" t="n"/>
      <c r="D3" s="15" t="n"/>
      <c r="E3" s="15" t="n"/>
      <c r="F3" s="134" t="n"/>
      <c r="G3" s="134" t="n"/>
      <c r="H3" s="10" t="n"/>
    </row>
    <row r="4">
      <c r="A4" s="16" t="inlineStr">
        <is>
          <t>RECEIPTS</t>
        </is>
      </c>
      <c r="B4" s="135" t="n"/>
      <c r="C4" s="135" t="n"/>
      <c r="D4" s="135" t="n"/>
      <c r="E4" s="135" t="n"/>
      <c r="F4" s="136" t="n"/>
      <c r="G4" s="137" t="n"/>
      <c r="H4" s="10" t="n"/>
    </row>
    <row r="5">
      <c r="A5" s="15" t="inlineStr">
        <is>
          <t>Arrears total</t>
        </is>
      </c>
      <c r="C5" s="15" t="n"/>
      <c r="D5" s="15" t="n"/>
      <c r="E5" s="15" t="n"/>
      <c r="F5" s="134" t="n"/>
      <c r="G5" s="138">
        <f>IF(INDEX('Crawley Receipts'!$A$4:$F$110,MATCH('Crawley Overview'!$A5,'Crawley Receipts'!$A$4:$A$110,0),6)=0,"",INDEX('Crawley Receipts'!$A$4:$F$110,MATCH('Crawley Overview'!$A5,'Crawley Receipts'!$A$4:$A$110,0),6))</f>
        <v/>
      </c>
      <c r="H5" s="10" t="n"/>
    </row>
    <row r="6">
      <c r="A6" s="15" t="inlineStr">
        <is>
          <t>Rents of assize total</t>
        </is>
      </c>
      <c r="B6" s="15" t="n"/>
      <c r="C6" s="15" t="n"/>
      <c r="D6" s="15" t="n"/>
      <c r="E6" s="15" t="n"/>
      <c r="F6" s="134" t="n"/>
      <c r="G6" s="138">
        <f>IF(INDEX('Crawley Receipts'!$A$4:$F$110,MATCH('Crawley Overview'!$A6,'Crawley Receipts'!$A$4:$A$110,0),6)=0,"",INDEX('Crawley Receipts'!$A$4:$F$110,MATCH('Crawley Overview'!$A6,'Crawley Receipts'!$A$4:$A$110,0),6))</f>
        <v/>
      </c>
      <c r="H6" s="10" t="n"/>
    </row>
    <row r="7">
      <c r="A7" s="15" t="inlineStr">
        <is>
          <t>Quittances total</t>
        </is>
      </c>
      <c r="B7" s="15" t="n"/>
      <c r="C7" s="15" t="n"/>
      <c r="D7" s="15" t="n"/>
      <c r="E7" s="15" t="n"/>
      <c r="F7" s="134" t="n"/>
      <c r="G7" s="138">
        <f>IF(INDEX('Crawley Receipts'!$A$4:$F$110,MATCH('Crawley Overview'!$A7,'Crawley Receipts'!$A$4:$A$110,0),6)=0,"",INDEX('Crawley Receipts'!$A$4:$F$110,MATCH('Crawley Overview'!$A7,'Crawley Receipts'!$A$4:$A$110,0),6))</f>
        <v/>
      </c>
      <c r="H7" s="10" t="n"/>
    </row>
    <row r="8">
      <c r="A8" s="15" t="inlineStr">
        <is>
          <t>Defaults of rent total</t>
        </is>
      </c>
      <c r="B8" s="15" t="n"/>
      <c r="C8" s="15" t="n"/>
      <c r="D8" s="15" t="n"/>
      <c r="E8" s="15" t="n"/>
      <c r="F8" s="134" t="n"/>
      <c r="G8" s="138">
        <f>IF(INDEX('Crawley Receipts'!$A$4:$F$110,MATCH('Crawley Overview'!$A8,'Crawley Receipts'!$A$4:$A$110,0),6)=0,"",INDEX('Crawley Receipts'!$A$4:$F$110,MATCH('Crawley Overview'!$A8,'Crawley Receipts'!$A$4:$A$110,0),6))</f>
        <v/>
      </c>
      <c r="H8" s="10" t="n"/>
    </row>
    <row r="9">
      <c r="A9" s="15" t="inlineStr">
        <is>
          <t>Total of rents remaining</t>
        </is>
      </c>
      <c r="B9" s="15" t="n"/>
      <c r="C9" s="15" t="n"/>
      <c r="D9" s="15" t="n"/>
      <c r="E9" s="15" t="n"/>
      <c r="F9" s="134" t="n"/>
      <c r="G9" s="138">
        <f>'Crawley Receipts'!F36</f>
        <v/>
      </c>
      <c r="H9" s="10" t="n"/>
    </row>
    <row r="10">
      <c r="A10" s="15" t="inlineStr">
        <is>
          <t>Annual recognizances total</t>
        </is>
      </c>
      <c r="B10" s="15" t="n"/>
      <c r="C10" s="15" t="n"/>
      <c r="D10" s="15" t="n"/>
      <c r="E10" s="15" t="n"/>
      <c r="F10" s="134" t="n"/>
      <c r="G10" s="138">
        <f>IF(INDEX('Crawley Receipts'!$A$4:$F$110,MATCH('Crawley Overview'!$A10,'Crawley Receipts'!$A$4:$A$110,0),6)=0,"",INDEX('Crawley Receipts'!$A$4:$F$110,MATCH('Crawley Overview'!$A10,'Crawley Receipts'!$A$4:$A$110,0),6))</f>
        <v/>
      </c>
      <c r="H10" s="10" t="n"/>
    </row>
    <row r="11">
      <c r="A11" s="15" t="inlineStr">
        <is>
          <t>Issues of the Manor total</t>
        </is>
      </c>
      <c r="B11" s="15" t="n"/>
      <c r="C11" s="15" t="n"/>
      <c r="D11" s="15" t="n"/>
      <c r="E11" s="15" t="n"/>
      <c r="F11" s="134" t="n"/>
      <c r="G11" s="138">
        <f>IF(INDEX('Crawley Receipts'!$A$4:$F$110,MATCH('Crawley Overview'!$A11,'Crawley Receipts'!$A$4:$A$110,0),6)=0,"",INDEX('Crawley Receipts'!$A$4:$F$110,MATCH('Crawley Overview'!$A11,'Crawley Receipts'!$A$4:$A$110,0),6))</f>
        <v/>
      </c>
      <c r="H11" s="10" t="n"/>
    </row>
    <row r="12">
      <c r="A12" s="15" t="inlineStr">
        <is>
          <t>Sale of corn total</t>
        </is>
      </c>
      <c r="B12" s="15" t="n"/>
      <c r="C12" s="15" t="n"/>
      <c r="D12" s="15" t="n"/>
      <c r="E12" s="15" t="n"/>
      <c r="F12" s="134" t="n"/>
      <c r="G12" s="138">
        <f>IF(INDEX('Crawley Receipts'!$A$4:$F$110,MATCH('Crawley Overview'!$A12,'Crawley Receipts'!$A$4:$A$110,0),6)=0,"",INDEX('Crawley Receipts'!$A$4:$F$110,MATCH('Crawley Overview'!$A12,'Crawley Receipts'!$A$4:$A$110,0),6))</f>
        <v/>
      </c>
      <c r="H12" s="10" t="n"/>
    </row>
    <row r="13">
      <c r="A13" s="15" t="inlineStr">
        <is>
          <t>Entry and marriage fines total</t>
        </is>
      </c>
      <c r="B13" s="15" t="n"/>
      <c r="C13" s="15" t="n"/>
      <c r="D13" s="15" t="n"/>
      <c r="E13" s="15" t="n"/>
      <c r="F13" s="134" t="n"/>
      <c r="G13" s="138">
        <f>IF(INDEX('Crawley Receipts'!$A$4:$F$110,MATCH('Crawley Overview'!$A13,'Crawley Receipts'!$A$4:$A$110,0),6)=0,"",INDEX('Crawley Receipts'!$A$4:$F$110,MATCH('Crawley Overview'!$A13,'Crawley Receipts'!$A$4:$A$110,0),6))</f>
        <v/>
      </c>
      <c r="H13" s="10" t="n"/>
    </row>
    <row r="14">
      <c r="A14" s="15" t="inlineStr">
        <is>
          <t>Pleas &amp; perquisites total</t>
        </is>
      </c>
      <c r="B14" s="15" t="n"/>
      <c r="C14" s="15" t="n"/>
      <c r="D14" s="15" t="n"/>
      <c r="E14" s="15" t="n"/>
      <c r="F14" s="134" t="n"/>
      <c r="G14" s="138">
        <f>IF(INDEX('Crawley Receipts'!$A$4:$F$110,MATCH('Crawley Overview'!$A14,'Crawley Receipts'!$A$4:$A$110,0),6)=0,"",INDEX('Crawley Receipts'!$A$4:$F$110,MATCH('Crawley Overview'!$A14,'Crawley Receipts'!$A$4:$A$110,0),6))</f>
        <v/>
      </c>
      <c r="H14" s="10" t="n"/>
    </row>
    <row r="15">
      <c r="A15" s="17" t="inlineStr">
        <is>
          <t>Sum of the above (incl. arrears)</t>
        </is>
      </c>
      <c r="B15" s="17" t="n"/>
      <c r="C15" s="17" t="n"/>
      <c r="D15" s="17" t="n"/>
      <c r="E15" s="17" t="n"/>
      <c r="F15" s="139" t="n"/>
      <c r="G15" s="139">
        <f>G5+G9+G10+G11+G12+G13+G14</f>
        <v/>
      </c>
      <c r="H15" s="140" t="n"/>
    </row>
    <row r="16">
      <c r="A16" s="17" t="inlineStr">
        <is>
          <t>Total recorded in the accounts excl. arrears</t>
        </is>
      </c>
      <c r="B16" s="17" t="n"/>
      <c r="C16" s="17" t="n"/>
      <c r="D16" s="17" t="n"/>
      <c r="E16" s="17" t="n"/>
      <c r="F16" s="139" t="n"/>
      <c r="G16" s="139">
        <f>'Crawley Receipts'!F110</f>
        <v/>
      </c>
      <c r="H16" s="141" t="inlineStr">
        <is>
          <t>matches excl. arrear sum</t>
        </is>
      </c>
      <c r="I16" s="40" t="n"/>
    </row>
    <row r="17">
      <c r="A17" s="17" t="inlineStr">
        <is>
          <t>Total recorded in the accounts incl. arrears</t>
        </is>
      </c>
      <c r="B17" s="17" t="n"/>
      <c r="C17" s="17" t="n"/>
      <c r="D17" s="17" t="n"/>
      <c r="E17" s="17" t="n"/>
      <c r="F17" s="139" t="n"/>
      <c r="G17" s="139" t="n"/>
      <c r="H17" s="141" t="n"/>
    </row>
    <row r="18">
      <c r="A18" s="15" t="n"/>
      <c r="B18" s="15" t="n"/>
      <c r="C18" s="15" t="n"/>
      <c r="D18" s="15" t="n"/>
      <c r="E18" s="15" t="n"/>
      <c r="F18" s="134" t="n"/>
      <c r="G18" s="134" t="n"/>
      <c r="H18" s="10" t="n"/>
    </row>
    <row r="19">
      <c r="A19" s="15" t="n"/>
      <c r="B19" s="15" t="n"/>
      <c r="C19" s="15" t="n"/>
      <c r="D19" s="15" t="n"/>
      <c r="E19" s="15" t="n"/>
      <c r="F19" s="134" t="n"/>
      <c r="G19" s="134" t="n"/>
      <c r="H19" s="10" t="n"/>
    </row>
    <row r="20">
      <c r="A20" s="16" t="inlineStr">
        <is>
          <t>EXPENSES</t>
        </is>
      </c>
      <c r="B20" s="135" t="n"/>
      <c r="C20" s="135" t="n"/>
      <c r="D20" s="135" t="n"/>
      <c r="E20" s="135" t="n"/>
      <c r="F20" s="136" t="n"/>
      <c r="G20" s="137" t="n"/>
      <c r="H20" s="10" t="n"/>
    </row>
    <row r="21">
      <c r="A21" s="15" t="inlineStr">
        <is>
          <t>Cost of ploughs total</t>
        </is>
      </c>
      <c r="C21" s="15" t="n"/>
      <c r="D21" s="15" t="n"/>
      <c r="E21" s="15" t="n"/>
      <c r="F21" s="134" t="n"/>
      <c r="G21" s="138">
        <f>IF(INDEX('Crawley Expenses'!$A$2:$F$108,MATCH('Crawley Overview'!$A21,'Crawley Expenses'!$A$2:$A$108,0),6)=0,"",INDEX('Crawley Expenses'!$A$2:$F$108,MATCH('Crawley Overview'!$A21,'Crawley Expenses'!$A$2:$A$108,0),6))</f>
        <v/>
      </c>
      <c r="H21" s="10" t="n"/>
    </row>
    <row r="22">
      <c r="A22" s="15" t="inlineStr">
        <is>
          <t>Purchase of corn total</t>
        </is>
      </c>
      <c r="B22" s="15" t="n"/>
      <c r="C22" s="15" t="n"/>
      <c r="D22" s="15" t="n"/>
      <c r="E22" s="15" t="n"/>
      <c r="F22" s="134" t="n"/>
      <c r="G22" s="138">
        <f>IF(INDEX('Crawley Expenses'!$A$2:$F$108,MATCH('Crawley Overview'!$A22,'Crawley Expenses'!$A$2:$A$108,0),6)=0,"",INDEX('Crawley Expenses'!$A$2:$F$108,MATCH('Crawley Overview'!$A22,'Crawley Expenses'!$A$2:$A$108,0),6))</f>
        <v/>
      </c>
      <c r="H22" s="10" t="n"/>
    </row>
    <row r="23">
      <c r="A23" s="15" t="inlineStr">
        <is>
          <t>Cost of carts and wagons total</t>
        </is>
      </c>
      <c r="B23" s="15" t="n"/>
      <c r="C23" s="15" t="n"/>
      <c r="D23" s="15" t="n"/>
      <c r="E23" s="15" t="n"/>
      <c r="F23" s="134" t="n"/>
      <c r="G23" s="138">
        <f>IF(INDEX('Crawley Expenses'!$A$2:$F$108,MATCH('Crawley Overview'!$A23,'Crawley Expenses'!$A$2:$A$108,0),6)=0,"",INDEX('Crawley Expenses'!$A$2:$F$108,MATCH('Crawley Overview'!$A23,'Crawley Expenses'!$A$2:$A$108,0),6))</f>
        <v/>
      </c>
      <c r="H23" s="10" t="n"/>
    </row>
    <row r="24">
      <c r="A24" s="15" t="inlineStr">
        <is>
          <t>Cost of dairy total</t>
        </is>
      </c>
      <c r="B24" s="15" t="n"/>
      <c r="C24" s="15" t="n"/>
      <c r="D24" s="15" t="n"/>
      <c r="E24" s="15" t="n"/>
      <c r="F24" s="134" t="n"/>
      <c r="G24" s="138">
        <f>IF(INDEX('Crawley Expenses'!$A$2:$F$108,MATCH('Crawley Overview'!$A24,'Crawley Expenses'!$A$2:$A$108,0),6)=0,"",INDEX('Crawley Expenses'!$A$2:$F$108,MATCH('Crawley Overview'!$A24,'Crawley Expenses'!$A$2:$A$108,0),6))</f>
        <v/>
      </c>
      <c r="H24" s="10" t="n"/>
    </row>
    <row r="25">
      <c r="A25" s="15" t="inlineStr">
        <is>
          <t>Cost of buildings total</t>
        </is>
      </c>
      <c r="B25" s="15" t="n"/>
      <c r="C25" s="15" t="n"/>
      <c r="D25" s="15" t="n"/>
      <c r="E25" s="15" t="n"/>
      <c r="F25" s="134" t="n"/>
      <c r="G25" s="138">
        <f>IF(INDEX('Crawley Expenses'!$A$2:$F$108,MATCH('Crawley Overview'!$A25,'Crawley Expenses'!$A$2:$A$108,0),6)=0,"",INDEX('Crawley Expenses'!$A$2:$F$108,MATCH('Crawley Overview'!$A25,'Crawley Expenses'!$A$2:$A$108,0),6))</f>
        <v/>
      </c>
      <c r="H25" s="10" t="n"/>
    </row>
    <row r="26">
      <c r="A26" s="15" t="inlineStr">
        <is>
          <t>Threshing total</t>
        </is>
      </c>
      <c r="B26" s="15" t="n"/>
      <c r="C26" s="15" t="n"/>
      <c r="D26" s="15" t="n"/>
      <c r="E26" s="15" t="n"/>
      <c r="F26" s="134" t="n"/>
      <c r="G26" s="138">
        <f>IF(INDEX('Crawley Expenses'!$A$2:$F$108,MATCH('Crawley Overview'!$A26,'Crawley Expenses'!$A$2:$A$108,0),6)=0,"",INDEX('Crawley Expenses'!$A$2:$F$108,MATCH('Crawley Overview'!$A26,'Crawley Expenses'!$A$2:$A$108,0),6))</f>
        <v/>
      </c>
      <c r="H26" s="10" t="n"/>
    </row>
    <row r="27">
      <c r="A27" s="15" t="inlineStr">
        <is>
          <t>Expenses of the harvest total</t>
        </is>
      </c>
      <c r="B27" s="15" t="n"/>
      <c r="C27" s="15" t="n"/>
      <c r="D27" s="15" t="n"/>
      <c r="E27" s="15" t="n"/>
      <c r="F27" s="134" t="n"/>
      <c r="G27" s="138">
        <f>IF(INDEX('Crawley Expenses'!$A$2:$F$108,MATCH('Crawley Overview'!$A27,'Crawley Expenses'!$A$2:$A$108,0),6)=0,"",INDEX('Crawley Expenses'!$A$2:$F$108,MATCH('Crawley Overview'!$A27,'Crawley Expenses'!$A$2:$A$108,0),6))</f>
        <v/>
      </c>
      <c r="H27" s="10" t="n"/>
    </row>
    <row r="28">
      <c r="A28" s="15" t="inlineStr">
        <is>
          <t>Steward's expenses total</t>
        </is>
      </c>
      <c r="B28" s="15" t="n"/>
      <c r="C28" s="15" t="n"/>
      <c r="D28" s="15" t="n"/>
      <c r="E28" s="15" t="n"/>
      <c r="F28" s="134" t="n"/>
      <c r="G28" s="138">
        <f>IF(INDEX('Crawley Expenses'!$A$2:$F$108,MATCH('Crawley Overview'!$A28,'Crawley Expenses'!$A$2:$A$108,0),6)=0,"",INDEX('Crawley Expenses'!$A$2:$F$108,MATCH('Crawley Overview'!$A28,'Crawley Expenses'!$A$2:$A$108,0),6))</f>
        <v/>
      </c>
      <c r="H28" s="10" t="n"/>
    </row>
    <row r="29">
      <c r="A29" s="17" t="inlineStr">
        <is>
          <t>Sum of the above</t>
        </is>
      </c>
      <c r="B29" s="135" t="n"/>
      <c r="C29" s="135" t="n"/>
      <c r="D29" s="135" t="n"/>
      <c r="E29" s="135" t="n"/>
      <c r="F29" s="136" t="n"/>
      <c r="G29" s="136">
        <f>SUM(G21:G28)</f>
        <v/>
      </c>
      <c r="H29" s="10" t="n"/>
    </row>
    <row r="30">
      <c r="A30" s="17" t="inlineStr">
        <is>
          <t>Total of all expenses</t>
        </is>
      </c>
      <c r="B30" s="135" t="n"/>
      <c r="C30" s="135" t="n"/>
      <c r="D30" s="135" t="n"/>
      <c r="E30" s="135" t="n"/>
      <c r="F30" s="136" t="n"/>
      <c r="G30" s="136">
        <f>'Crawley Expenses'!F103</f>
        <v/>
      </c>
      <c r="H30" s="141">
        <f>G29-G30</f>
        <v/>
      </c>
    </row>
    <row r="31">
      <c r="A31" s="17" t="inlineStr">
        <is>
          <t>Total Demesne fixed investment</t>
        </is>
      </c>
      <c r="B31" s="135" t="n"/>
      <c r="C31" s="135" t="n"/>
      <c r="D31" s="135" t="n"/>
      <c r="E31" s="135" t="n"/>
      <c r="F31" s="136" t="n"/>
      <c r="G31" s="136">
        <f>'Crawley Expenses'!F108</f>
        <v/>
      </c>
      <c r="H31" s="10" t="n"/>
    </row>
    <row r="32">
      <c r="A32" s="15" t="n"/>
      <c r="B32" s="15" t="n"/>
      <c r="C32" s="15" t="n"/>
      <c r="D32" s="15" t="n"/>
      <c r="E32" s="15" t="n"/>
      <c r="F32" s="134" t="n"/>
      <c r="G32" s="134" t="n"/>
      <c r="H32" s="10" t="n"/>
    </row>
    <row r="33">
      <c r="A33" s="18" t="inlineStr">
        <is>
          <t>Owed by the reeve</t>
        </is>
      </c>
      <c r="B33" s="18" t="n"/>
      <c r="C33" s="18" t="n"/>
      <c r="D33" s="18" t="n"/>
      <c r="E33" s="18" t="n"/>
      <c r="F33" s="142" t="n"/>
      <c r="G33" s="142">
        <f>'Crawley Expenses'!F105</f>
        <v/>
      </c>
      <c r="H33" s="10" t="n"/>
    </row>
    <row r="34">
      <c r="A34" s="18" t="inlineStr">
        <is>
          <t>From accounts</t>
        </is>
      </c>
      <c r="B34" s="18" t="n"/>
      <c r="C34" s="18" t="n"/>
      <c r="D34" s="18" t="n"/>
      <c r="E34" s="18" t="n"/>
      <c r="F34" s="142" t="n"/>
      <c r="G34" s="142" t="n"/>
      <c r="H34" s="141" t="n"/>
    </row>
    <row r="35">
      <c r="A35" s="15" t="n"/>
      <c r="B35" s="15" t="n"/>
      <c r="C35" s="15" t="n"/>
      <c r="D35" s="15" t="n"/>
      <c r="E35" s="15" t="n"/>
      <c r="F35" s="134" t="n"/>
      <c r="G35" s="134" t="n"/>
      <c r="H35" s="10" t="n"/>
    </row>
    <row r="36">
      <c r="A36" s="18" t="inlineStr">
        <is>
          <t>Cash deliveries</t>
        </is>
      </c>
      <c r="B36" s="18" t="n"/>
      <c r="C36" s="18" t="n"/>
      <c r="D36" s="18" t="n"/>
      <c r="E36" s="18" t="n"/>
      <c r="F36" s="142" t="n"/>
      <c r="G36" s="143">
        <f>'Crawley Expenses'!F106</f>
        <v/>
      </c>
      <c r="H36" s="10" t="n"/>
    </row>
    <row r="37">
      <c r="A37" s="20" t="inlineStr">
        <is>
          <t>Total of all allowances and cash deliveries in accounts</t>
        </is>
      </c>
      <c r="B37" s="144" t="inlineStr">
        <is>
          <t>n/a</t>
        </is>
      </c>
      <c r="C37" s="144" t="n"/>
      <c r="D37" s="144" t="n"/>
      <c r="E37" s="144" t="n"/>
      <c r="F37" s="145" t="n"/>
      <c r="G37" s="145" t="n"/>
      <c r="H37" s="10" t="n"/>
    </row>
    <row r="38">
      <c r="A38" s="15" t="n"/>
      <c r="B38" s="15" t="n"/>
      <c r="C38" s="15" t="n"/>
      <c r="D38" s="15" t="n"/>
      <c r="E38" s="15" t="n"/>
      <c r="F38" s="134" t="n"/>
      <c r="G38" s="134" t="n"/>
      <c r="H38" s="10" t="n"/>
    </row>
    <row r="39">
      <c r="A39" s="18" t="inlineStr">
        <is>
          <t>Net amount owed</t>
        </is>
      </c>
      <c r="B39" s="18" t="n"/>
      <c r="C39" s="18" t="n"/>
      <c r="D39" s="18" t="n"/>
      <c r="E39" s="18" t="n"/>
      <c r="F39" s="142" t="n"/>
      <c r="G39" s="143">
        <f>G33-G36</f>
        <v/>
      </c>
      <c r="H39" s="10" t="n"/>
    </row>
    <row r="40">
      <c r="A40" s="18" t="inlineStr">
        <is>
          <t>Net amount owed in accounts</t>
        </is>
      </c>
      <c r="B40" s="18" t="n"/>
      <c r="C40" s="18" t="n"/>
      <c r="D40" s="18" t="n"/>
      <c r="E40" s="18" t="n"/>
      <c r="F40" s="142" t="n"/>
      <c r="G40" s="143">
        <f>'Crawley Expenses'!F107</f>
        <v/>
      </c>
      <c r="H40" s="141">
        <f>G39-G40</f>
        <v/>
      </c>
    </row>
    <row r="41">
      <c r="A41" s="15" t="n"/>
      <c r="B41" s="15" t="n"/>
      <c r="C41" s="15" t="n"/>
      <c r="D41" s="15" t="n"/>
      <c r="E41" s="15" t="n"/>
      <c r="F41" s="134" t="n"/>
      <c r="G41" s="134" t="n"/>
      <c r="H41" s="10" t="n"/>
    </row>
    <row r="42">
      <c r="A42" s="16" t="inlineStr">
        <is>
          <t xml:space="preserve">GRANGE ACCOUNT </t>
        </is>
      </c>
      <c r="B42" s="146" t="inlineStr">
        <is>
          <t>Net Production</t>
        </is>
      </c>
      <c r="D42" s="135" t="n"/>
      <c r="E42" s="135" t="n"/>
      <c r="F42" s="136" t="n"/>
      <c r="G42" s="136" t="n"/>
      <c r="H42" s="10" t="n"/>
    </row>
    <row r="43">
      <c r="A43" s="8" t="inlineStr">
        <is>
          <t>Grange</t>
        </is>
      </c>
      <c r="B43" s="147" t="inlineStr">
        <is>
          <t>qrs</t>
        </is>
      </c>
      <c r="C43" s="148" t="n"/>
      <c r="D43" s="15" t="n"/>
      <c r="E43" s="15" t="n"/>
      <c r="F43" s="134" t="n"/>
      <c r="G43" s="91" t="inlineStr">
        <is>
          <t>£</t>
        </is>
      </c>
      <c r="H43" s="10" t="n"/>
      <c r="I43" t="inlineStr">
        <is>
          <t>Note: Columns indexed are hardcoded, do not alter number of columns in issues of grange</t>
        </is>
      </c>
    </row>
    <row r="44">
      <c r="A44" t="inlineStr">
        <is>
          <t>Net wheat</t>
        </is>
      </c>
      <c r="B44" s="149">
        <f>IF(INDEX('Issues of the Grange'!$A$2:$P$26,MATCH('Crawley Overview'!$A44,'Issues of the Grange'!$A$2:$A$26,0),10)=0,"",INDEX('Issues of the Grange'!$A$2:$P$26,MATCH('Crawley Overview'!$A44,'Issues of the Grange'!$A$2:$A$26,0),10))</f>
        <v/>
      </c>
      <c r="C44" s="15" t="n"/>
      <c r="D44" s="15" t="n"/>
      <c r="E44" s="15" t="n"/>
      <c r="F44" s="134" t="n"/>
      <c r="G44" s="138">
        <f>IF(INDEX('Issues of the Grange'!$A$2:$P$26,MATCH('Crawley Overview'!$A44,'Issues of the Grange'!$A$2:$A$26,0),13)=0,"",INDEX('Issues of the Grange'!$A$2:$P$26,MATCH('Crawley Overview'!$A44,'Issues of the Grange'!$A$2:$A$26,0),13))</f>
        <v/>
      </c>
      <c r="H44" s="10" t="n"/>
    </row>
    <row r="45">
      <c r="A45" t="inlineStr">
        <is>
          <t>Net curall</t>
        </is>
      </c>
      <c r="B45" s="149">
        <f>IF(INDEX('Issues of the Grange'!$A$2:$P$26,MATCH('Crawley Overview'!$A45,'Issues of the Grange'!$A$2:$A$26,0),10)=0,"",INDEX('Issues of the Grange'!$A$2:$P$26,MATCH('Crawley Overview'!$A45,'Issues of the Grange'!$A$2:$A$26,0),10))</f>
        <v/>
      </c>
      <c r="C45" s="15" t="n"/>
      <c r="D45" s="15" t="n"/>
      <c r="E45" s="15" t="n"/>
      <c r="F45" s="134" t="n"/>
      <c r="G45" s="138">
        <f>IF(INDEX('Issues of the Grange'!$A$2:$P$26,MATCH('Crawley Overview'!$A45,'Issues of the Grange'!$A$2:$A$26,0),13)=0,"",INDEX('Issues of the Grange'!$A$2:$P$26,MATCH('Crawley Overview'!$A45,'Issues of the Grange'!$A$2:$A$26,0),13))</f>
        <v/>
      </c>
      <c r="H45" s="10" t="n"/>
    </row>
    <row r="46">
      <c r="A46" t="inlineStr">
        <is>
          <t>Net Bere</t>
        </is>
      </c>
      <c r="B46" s="149">
        <f>IF(INDEX('Issues of the Grange'!$A$2:$P$26,MATCH('Crawley Overview'!$A46,'Issues of the Grange'!$A$2:$A$26,0),10)=0,"",INDEX('Issues of the Grange'!$A$2:$P$26,MATCH('Crawley Overview'!$A46,'Issues of the Grange'!$A$2:$A$26,0),10))</f>
        <v/>
      </c>
      <c r="C46" s="15" t="n"/>
      <c r="D46" s="15" t="n"/>
      <c r="E46" s="15" t="n"/>
      <c r="F46" s="134" t="n"/>
      <c r="G46" s="138">
        <f>IF(INDEX('Issues of the Grange'!$A$2:$P$26,MATCH('Crawley Overview'!$A46,'Issues of the Grange'!$A$2:$A$26,0),13)=0,"",INDEX('Issues of the Grange'!$A$2:$P$26,MATCH('Crawley Overview'!$A46,'Issues of the Grange'!$A$2:$A$26,0),13))</f>
        <v/>
      </c>
      <c r="H46" s="10" t="n"/>
    </row>
    <row r="47">
      <c r="A47" t="inlineStr">
        <is>
          <t>Net barley</t>
        </is>
      </c>
      <c r="B47" s="149">
        <f>IF(INDEX('Issues of the Grange'!$A$2:$P$26,MATCH('Crawley Overview'!$A47,'Issues of the Grange'!$A$2:$A$26,0),10)=0,"",INDEX('Issues of the Grange'!$A$2:$P$26,MATCH('Crawley Overview'!$A47,'Issues of the Grange'!$A$2:$A$26,0),10))</f>
        <v/>
      </c>
      <c r="C47" s="15" t="n"/>
      <c r="D47" s="15" t="n"/>
      <c r="E47" s="15" t="n"/>
      <c r="F47" s="134" t="n"/>
      <c r="G47" s="138">
        <f>IF(INDEX('Issues of the Grange'!$A$2:$P$26,MATCH('Crawley Overview'!$A47,'Issues of the Grange'!$A$2:$A$26,0),13)=0,"",INDEX('Issues of the Grange'!$A$2:$P$26,MATCH('Crawley Overview'!$A47,'Issues of the Grange'!$A$2:$A$26,0),13))</f>
        <v/>
      </c>
      <c r="H47" s="10" t="n"/>
    </row>
    <row r="48">
      <c r="A48" t="inlineStr">
        <is>
          <t>Net oats</t>
        </is>
      </c>
      <c r="B48" s="149">
        <f>IF(INDEX('Issues of the Grange'!$A$2:$P$26,MATCH('Crawley Overview'!$A48,'Issues of the Grange'!$A$2:$A$26,0),10)=0,"",INDEX('Issues of the Grange'!$A$2:$P$26,MATCH('Crawley Overview'!$A48,'Issues of the Grange'!$A$2:$A$26,0),10))</f>
        <v/>
      </c>
      <c r="C48" s="15" t="n"/>
      <c r="D48" s="15" t="n"/>
      <c r="E48" s="15" t="n"/>
      <c r="F48" s="134" t="n"/>
      <c r="G48" s="138">
        <f>IF(INDEX('Issues of the Grange'!$A$2:$P$26,MATCH('Crawley Overview'!$A48,'Issues of the Grange'!$A$2:$A$26,0),13)=0,"",INDEX('Issues of the Grange'!$A$2:$P$26,MATCH('Crawley Overview'!$A48,'Issues of the Grange'!$A$2:$A$26,0),13))</f>
        <v/>
      </c>
      <c r="H48" s="10" t="n"/>
    </row>
    <row r="49">
      <c r="A49" t="inlineStr">
        <is>
          <t>Net peas</t>
        </is>
      </c>
      <c r="B49" s="149">
        <f>IF(INDEX('Issues of the Grange'!$A$2:$P$26,MATCH('Crawley Overview'!$A49,'Issues of the Grange'!$A$2:$A$26,0),10)=0,"",INDEX('Issues of the Grange'!$A$2:$P$26,MATCH('Crawley Overview'!$A49,'Issues of the Grange'!$A$2:$A$26,0),10))</f>
        <v/>
      </c>
      <c r="C49" s="15" t="n"/>
      <c r="D49" s="15" t="n"/>
      <c r="E49" s="15" t="n"/>
      <c r="F49" s="134" t="n"/>
      <c r="G49" s="138">
        <f>IF(INDEX('Issues of the Grange'!$A$2:$P$26,MATCH('Crawley Overview'!$A49,'Issues of the Grange'!$A$2:$A$26,0),13)=0,"",INDEX('Issues of the Grange'!$A$2:$P$26,MATCH('Crawley Overview'!$A49,'Issues of the Grange'!$A$2:$A$26,0),13))</f>
        <v/>
      </c>
      <c r="H49" s="10" t="n"/>
    </row>
    <row r="50">
      <c r="A50" t="inlineStr">
        <is>
          <t>Net vetches</t>
        </is>
      </c>
      <c r="B50" s="149">
        <f>IF(INDEX('Issues of the Grange'!$A$2:$P$26,MATCH('Crawley Overview'!$A50,'Issues of the Grange'!$A$2:$A$26,0),10)=0,"",INDEX('Issues of the Grange'!$A$2:$P$26,MATCH('Crawley Overview'!$A50,'Issues of the Grange'!$A$2:$A$26,0),10))</f>
        <v/>
      </c>
      <c r="C50" s="15" t="n"/>
      <c r="D50" s="15" t="n"/>
      <c r="E50" s="15" t="n"/>
      <c r="F50" s="134" t="n"/>
      <c r="G50" s="138">
        <f>IF(INDEX('Issues of the Grange'!$A$2:$P$26,MATCH('Crawley Overview'!$A50,'Issues of the Grange'!$A$2:$A$26,0),13)=0,"",INDEX('Issues of the Grange'!$A$2:$P$26,MATCH('Crawley Overview'!$A50,'Issues of the Grange'!$A$2:$A$26,0),13))</f>
        <v/>
      </c>
      <c r="H50" s="10" t="n"/>
    </row>
    <row r="51">
      <c r="A51" s="17" t="inlineStr">
        <is>
          <t>Net value of production (sum of the above)</t>
        </is>
      </c>
      <c r="B51" s="135" t="n"/>
      <c r="C51" s="135" t="n"/>
      <c r="D51" s="135" t="n"/>
      <c r="E51" s="135" t="n"/>
      <c r="F51" s="136" t="n"/>
      <c r="G51" s="137">
        <f>SUM(G44:G50)</f>
        <v/>
      </c>
      <c r="H51" s="10" t="n"/>
    </row>
    <row r="52">
      <c r="A52" s="17" t="inlineStr">
        <is>
          <t>Value of sales</t>
        </is>
      </c>
      <c r="B52" s="135" t="n"/>
      <c r="C52" s="135" t="n"/>
      <c r="D52" s="135" t="n"/>
      <c r="E52" s="135" t="n"/>
      <c r="F52" s="136" t="n"/>
      <c r="G52" s="136">
        <f>'Issues of the Grange'!N26</f>
        <v/>
      </c>
      <c r="H52" s="10" t="n"/>
    </row>
    <row r="53">
      <c r="A53" s="15" t="n"/>
      <c r="B53" s="15" t="n"/>
      <c r="C53" s="15" t="n"/>
      <c r="D53" s="15" t="n"/>
      <c r="E53" s="15" t="n"/>
      <c r="F53" s="134" t="n"/>
      <c r="G53" s="134" t="n"/>
      <c r="H53" s="10" t="n"/>
    </row>
    <row r="54">
      <c r="A54" s="16" t="inlineStr">
        <is>
          <t>MILL ACCOUNT</t>
        </is>
      </c>
      <c r="B54" s="135" t="n"/>
      <c r="C54" s="135" t="n"/>
      <c r="D54" s="135" t="n"/>
      <c r="E54" s="135" t="n"/>
      <c r="F54" s="136" t="n"/>
      <c r="G54" s="136" t="n"/>
      <c r="H54" s="10" t="n"/>
    </row>
    <row r="55">
      <c r="A55" s="8" t="inlineStr">
        <is>
          <t>Issues of the mill</t>
        </is>
      </c>
      <c r="B55" s="150" t="inlineStr">
        <is>
          <t>qrs</t>
        </is>
      </c>
      <c r="C55" s="148" t="inlineStr">
        <is>
          <t>bus</t>
        </is>
      </c>
      <c r="D55" s="15" t="n"/>
      <c r="E55" s="15" t="n"/>
      <c r="F55" s="134" t="n"/>
      <c r="G55" s="77" t="inlineStr">
        <is>
          <t>£</t>
        </is>
      </c>
      <c r="H55" s="10" t="n"/>
      <c r="I55" t="inlineStr">
        <is>
          <t>no mill account</t>
        </is>
      </c>
    </row>
    <row r="56">
      <c r="A56" s="15" t="inlineStr">
        <is>
          <t>Wheat</t>
        </is>
      </c>
      <c r="B56" s="15" t="n"/>
      <c r="C56" s="15" t="n"/>
      <c r="D56" s="15" t="n"/>
      <c r="E56" s="15" t="n"/>
      <c r="F56" s="134" t="n"/>
      <c r="G56" s="134" t="n"/>
      <c r="H56" s="10" t="n"/>
    </row>
    <row r="57">
      <c r="A57" s="15" t="inlineStr">
        <is>
          <t>Oatmeal</t>
        </is>
      </c>
      <c r="B57" s="15" t="n"/>
      <c r="C57" s="15" t="n"/>
      <c r="D57" s="15" t="n"/>
      <c r="E57" s="15" t="n"/>
      <c r="F57" s="134" t="n"/>
      <c r="G57" s="134" t="n"/>
      <c r="H57" s="10" t="n"/>
    </row>
    <row r="58">
      <c r="A58" s="15" t="inlineStr">
        <is>
          <t>1st grade malt</t>
        </is>
      </c>
      <c r="B58" s="15" t="n"/>
      <c r="C58" s="15" t="n"/>
      <c r="D58" s="15" t="n"/>
      <c r="E58" s="15" t="n"/>
      <c r="F58" s="134" t="n"/>
      <c r="G58" s="134" t="n"/>
      <c r="H58" s="10" t="n"/>
    </row>
    <row r="59">
      <c r="A59" s="15" t="inlineStr">
        <is>
          <t>2nd grade malt</t>
        </is>
      </c>
      <c r="B59" s="15" t="n"/>
      <c r="C59" s="15" t="n"/>
      <c r="D59" s="15" t="n"/>
      <c r="E59" s="15" t="n"/>
      <c r="F59" s="134" t="n"/>
      <c r="G59" s="134" t="n"/>
      <c r="H59" s="10" t="n"/>
    </row>
    <row r="60">
      <c r="A60" s="15" t="inlineStr">
        <is>
          <t>Maslin</t>
        </is>
      </c>
      <c r="B60" s="15" t="n"/>
      <c r="C60" s="15" t="n"/>
      <c r="D60" s="15" t="n"/>
      <c r="E60" s="15" t="n"/>
      <c r="F60" s="134" t="n"/>
      <c r="G60" s="134" t="n"/>
      <c r="H60" s="10" t="n"/>
    </row>
    <row r="61">
      <c r="A61" s="17" t="inlineStr">
        <is>
          <t>Total value of production (sum of the above)</t>
        </is>
      </c>
      <c r="B61" s="135" t="n"/>
      <c r="C61" s="135" t="n"/>
      <c r="D61" s="135" t="n"/>
      <c r="E61" s="135" t="n"/>
      <c r="F61" s="136" t="n"/>
      <c r="G61" s="137" t="n"/>
      <c r="H61" s="10" t="n"/>
    </row>
    <row r="62">
      <c r="A62" s="17" t="inlineStr">
        <is>
          <t>Value of sales</t>
        </is>
      </c>
      <c r="B62" s="135" t="n"/>
      <c r="C62" s="135" t="n"/>
      <c r="D62" s="135" t="n"/>
      <c r="E62" s="135" t="n"/>
      <c r="F62" s="136" t="n"/>
      <c r="G62" s="137" t="n"/>
      <c r="H62" s="10" t="n"/>
    </row>
    <row r="63">
      <c r="A63" s="15" t="n"/>
      <c r="B63" s="15" t="n"/>
      <c r="C63" s="15" t="n"/>
      <c r="D63" s="15" t="n"/>
      <c r="E63" s="15" t="n"/>
      <c r="F63" s="134" t="n"/>
      <c r="G63" s="134" t="n"/>
      <c r="H63" s="10" t="n"/>
    </row>
    <row r="64">
      <c r="A64" s="16" t="inlineStr">
        <is>
          <t>STOCK ACCOUNT</t>
        </is>
      </c>
      <c r="B64" s="135" t="n"/>
      <c r="C64" s="135" t="n"/>
      <c r="D64" s="135" t="n"/>
      <c r="E64" s="135" t="n"/>
      <c r="F64" s="136" t="n"/>
      <c r="G64" s="136" t="n"/>
      <c r="H64" s="10" t="n"/>
    </row>
    <row r="65" ht="51" customHeight="1">
      <c r="A65" s="21" t="inlineStr">
        <is>
          <t>Livestock</t>
        </is>
      </c>
      <c r="B65" s="151" t="inlineStr">
        <is>
          <t>Inherited stock</t>
        </is>
      </c>
      <c r="C65" s="151" t="inlineStr">
        <is>
          <t>End-period  stock</t>
        </is>
      </c>
      <c r="D65" s="152" t="inlineStr">
        <is>
          <t>Stockbuilding</t>
        </is>
      </c>
      <c r="E65" s="149" t="n"/>
      <c r="F65" s="153" t="inlineStr">
        <is>
          <t>Sales in (£)</t>
        </is>
      </c>
      <c r="G65" s="153" t="inlineStr">
        <is>
          <t>Value of production (£) at sales prices</t>
        </is>
      </c>
      <c r="H65" s="10" t="n"/>
    </row>
    <row r="66" ht="17" customHeight="1">
      <c r="A66" s="22" t="inlineStr">
        <is>
          <t>Cart-horses</t>
        </is>
      </c>
      <c r="B66" s="149">
        <f>IFERROR(INDEX(Stock!$A$3:$T$92,MATCH('Crawley Overview'!$A66,Stock!$A$3:$A$92,0),MATCH('Crawley Overview'!B$65,Stock!$A$3:$T$3,0)),0)</f>
        <v/>
      </c>
      <c r="C66" s="149">
        <f>IFERROR(INDEX(Stock!$A$3:$T$92,MATCH('Crawley Overview'!$A66,Stock!$A$3:$A$92,0),MATCH('Crawley Overview'!C$65,Stock!$A$3:$T$3,0)),0)</f>
        <v/>
      </c>
      <c r="D66" s="149">
        <f>C66-B66</f>
        <v/>
      </c>
      <c r="E66" s="134" t="n"/>
      <c r="F66" s="138">
        <f>IFERROR(INDEX(Stock!$A$3:$T$92,MATCH('Crawley Overview'!$A66,Stock!$A$3:$A$92,0),MATCH('Crawley Overview'!F$65,Stock!$A$3:$T$3,0)),0)</f>
        <v/>
      </c>
      <c r="G66" s="138">
        <f>IFERROR(INDEX(Stock!$A$3:$T$92,MATCH('Crawley Overview'!$A66,Stock!$A$3:$A$92,0),MATCH('Crawley Overview'!G$65,Stock!$A$3:$T$3,0)),0)</f>
        <v/>
      </c>
      <c r="H66" s="10" t="n"/>
    </row>
    <row r="67" ht="17" customHeight="1">
      <c r="A67" s="22" t="inlineStr">
        <is>
          <t>Mares</t>
        </is>
      </c>
      <c r="B67" s="149">
        <f>IFERROR(INDEX(Stock!$A$3:$T$92,MATCH('Crawley Overview'!$A67,Stock!$A$3:$A$92,0),MATCH('Crawley Overview'!B$65,Stock!$A$3:$T$3,0)),0)</f>
        <v/>
      </c>
      <c r="C67" s="149">
        <f>IFERROR(INDEX(Stock!$A$3:$T$92,MATCH('Crawley Overview'!$A67,Stock!$A$3:$A$92,0),MATCH('Crawley Overview'!C$65,Stock!$A$3:$T$3,0)),0)</f>
        <v/>
      </c>
      <c r="D67" s="149">
        <f>C67-B67</f>
        <v/>
      </c>
      <c r="E67" s="134" t="n"/>
      <c r="F67" s="138">
        <f>IFERROR(INDEX(Stock!$A$3:$T$92,MATCH('Crawley Overview'!$A67,Stock!$A$3:$A$92,0),MATCH('Crawley Overview'!F$65,Stock!$A$3:$T$3,0)),0)</f>
        <v/>
      </c>
      <c r="G67" s="138">
        <f>IFERROR(INDEX(Stock!$A$3:$T$92,MATCH('Crawley Overview'!$A67,Stock!$A$3:$A$92,0),MATCH('Crawley Overview'!G$65,Stock!$A$3:$T$3,0)),0)</f>
        <v/>
      </c>
      <c r="H67" s="10" t="n"/>
    </row>
    <row r="68">
      <c r="A68" s="15" t="inlineStr">
        <is>
          <t>Plough horses</t>
        </is>
      </c>
      <c r="B68" s="149">
        <f>IFERROR(INDEX(Stock!$A$3:$T$92,MATCH('Crawley Overview'!$A68,Stock!$A$3:$A$92,0),MATCH('Crawley Overview'!B$65,Stock!$A$3:$T$3,0)),0)</f>
        <v/>
      </c>
      <c r="C68" s="149">
        <f>IFERROR(INDEX(Stock!$A$3:$T$92,MATCH('Crawley Overview'!$A68,Stock!$A$3:$A$92,0),MATCH('Crawley Overview'!C$65,Stock!$A$3:$T$3,0)),0)</f>
        <v/>
      </c>
      <c r="D68" s="149">
        <f>C68-B68</f>
        <v/>
      </c>
      <c r="E68" s="134" t="n"/>
      <c r="F68" s="138">
        <f>IFERROR(INDEX(Stock!$A$3:$T$92,MATCH('Crawley Overview'!$A68,Stock!$A$3:$A$92,0),MATCH('Crawley Overview'!F$65,Stock!$A$3:$T$3,0)),0)</f>
        <v/>
      </c>
      <c r="G68" s="138">
        <f>IFERROR(INDEX(Stock!$A$3:$T$92,MATCH('Crawley Overview'!$A68,Stock!$A$3:$A$92,0),MATCH('Crawley Overview'!G$65,Stock!$A$3:$T$3,0)),0)</f>
        <v/>
      </c>
      <c r="H68" s="10" t="n"/>
    </row>
    <row r="69">
      <c r="A69" s="15" t="inlineStr">
        <is>
          <t>Colts (2 years)</t>
        </is>
      </c>
      <c r="B69" s="149">
        <f>IFERROR(INDEX(Stock!$A$3:$T$92,MATCH('Crawley Overview'!$A69,Stock!$A$3:$A$92,0),MATCH('Crawley Overview'!B$65,Stock!$A$3:$T$3,0)),0)</f>
        <v/>
      </c>
      <c r="C69" s="149">
        <f>IFERROR(INDEX(Stock!$A$3:$T$92,MATCH('Crawley Overview'!$A69,Stock!$A$3:$A$92,0),MATCH('Crawley Overview'!C$65,Stock!$A$3:$T$3,0)),0)</f>
        <v/>
      </c>
      <c r="D69" s="149">
        <f>C69-B69</f>
        <v/>
      </c>
      <c r="E69" s="134" t="n"/>
      <c r="F69" s="138">
        <f>IFERROR(INDEX(Stock!$A$3:$T$92,MATCH('Crawley Overview'!$A69,Stock!$A$3:$A$92,0),MATCH('Crawley Overview'!F$65,Stock!$A$3:$T$3,0)),0)</f>
        <v/>
      </c>
      <c r="G69" s="138">
        <f>IFERROR(INDEX(Stock!$A$3:$T$92,MATCH('Crawley Overview'!$A69,Stock!$A$3:$A$92,0),MATCH('Crawley Overview'!G$65,Stock!$A$3:$T$3,0)),0)</f>
        <v/>
      </c>
      <c r="H69" s="10" t="n"/>
    </row>
    <row r="70">
      <c r="A70" s="15" t="inlineStr">
        <is>
          <t>Colts (2 years)</t>
        </is>
      </c>
      <c r="B70" s="149">
        <f>IFERROR(INDEX(Stock!$A$3:$T$92,MATCH('Crawley Overview'!$A70,Stock!$A$3:$A$92,0),MATCH('Crawley Overview'!B$65,Stock!$A$3:$T$3,0)),0)</f>
        <v/>
      </c>
      <c r="C70" s="149">
        <f>IFERROR(INDEX(Stock!$A$3:$T$92,MATCH('Crawley Overview'!$A70,Stock!$A$3:$A$92,0),MATCH('Crawley Overview'!C$65,Stock!$A$3:$T$3,0)),0)</f>
        <v/>
      </c>
      <c r="D70" s="149">
        <f>C70-B70</f>
        <v/>
      </c>
      <c r="E70" s="134" t="n"/>
      <c r="F70" s="138">
        <f>IFERROR(INDEX(Stock!$A$3:$T$92,MATCH('Crawley Overview'!$A70,Stock!$A$3:$A$92,0),MATCH('Crawley Overview'!F$65,Stock!$A$3:$T$3,0)),0)</f>
        <v/>
      </c>
      <c r="G70" s="138">
        <f>IFERROR(INDEX(Stock!$A$3:$T$92,MATCH('Crawley Overview'!$A70,Stock!$A$3:$A$92,0),MATCH('Crawley Overview'!G$65,Stock!$A$3:$T$3,0)),0)</f>
        <v/>
      </c>
      <c r="H70" s="10" t="n"/>
    </row>
    <row r="71">
      <c r="A71" s="15" t="inlineStr">
        <is>
          <t>Colts (1 year)</t>
        </is>
      </c>
      <c r="B71" s="149">
        <f>IFERROR(INDEX(Stock!$A$3:$T$92,MATCH('Crawley Overview'!$A71,Stock!$A$3:$A$92,0),MATCH('Crawley Overview'!B$65,Stock!$A$3:$T$3,0)),0)</f>
        <v/>
      </c>
      <c r="C71" s="149">
        <f>IFERROR(INDEX(Stock!$A$3:$T$92,MATCH('Crawley Overview'!$A71,Stock!$A$3:$A$92,0),MATCH('Crawley Overview'!C$65,Stock!$A$3:$T$3,0)),0)</f>
        <v/>
      </c>
      <c r="D71" s="149">
        <f>C71-B71</f>
        <v/>
      </c>
      <c r="E71" s="134" t="n"/>
      <c r="F71" s="138">
        <f>IFERROR(INDEX(Stock!$A$3:$T$92,MATCH('Crawley Overview'!$A71,Stock!$A$3:$A$92,0),MATCH('Crawley Overview'!F$65,Stock!$A$3:$T$3,0)),0)</f>
        <v/>
      </c>
      <c r="G71" s="138">
        <f>IFERROR(INDEX(Stock!$A$3:$T$92,MATCH('Crawley Overview'!$A71,Stock!$A$3:$A$92,0),MATCH('Crawley Overview'!G$65,Stock!$A$3:$T$3,0)),0)</f>
        <v/>
      </c>
      <c r="H71" s="10" t="n"/>
    </row>
    <row r="72">
      <c r="A72" s="15" t="inlineStr">
        <is>
          <t>Foals</t>
        </is>
      </c>
      <c r="B72" s="149">
        <f>IFERROR(INDEX(Stock!$A$3:$T$92,MATCH('Crawley Overview'!$A72,Stock!$A$3:$A$92,0),MATCH('Crawley Overview'!B$65,Stock!$A$3:$T$3,0)),0)</f>
        <v/>
      </c>
      <c r="C72" s="149">
        <f>IFERROR(INDEX(Stock!$A$3:$T$92,MATCH('Crawley Overview'!$A72,Stock!$A$3:$A$92,0),MATCH('Crawley Overview'!C$65,Stock!$A$3:$T$3,0)),0)</f>
        <v/>
      </c>
      <c r="D72" s="149">
        <f>C72-B72</f>
        <v/>
      </c>
      <c r="E72" s="134" t="n"/>
      <c r="F72" s="138">
        <f>IFERROR(INDEX(Stock!$A$3:$T$92,MATCH('Crawley Overview'!$A72,Stock!$A$3:$A$92,0),MATCH('Crawley Overview'!F$65,Stock!$A$3:$T$3,0)),0)</f>
        <v/>
      </c>
      <c r="G72" s="138">
        <f>IFERROR(INDEX(Stock!$A$3:$T$92,MATCH('Crawley Overview'!$A72,Stock!$A$3:$A$92,0),MATCH('Crawley Overview'!G$65,Stock!$A$3:$T$3,0)),0)</f>
        <v/>
      </c>
      <c r="H72" s="10" t="n"/>
    </row>
    <row r="73">
      <c r="A73" s="15" t="inlineStr">
        <is>
          <t>Oxen</t>
        </is>
      </c>
      <c r="B73" s="149">
        <f>IFERROR(INDEX(Stock!$A$3:$T$92,MATCH('Crawley Overview'!$A73,Stock!$A$3:$A$92,0),MATCH('Crawley Overview'!B$65,Stock!$A$3:$T$3,0)),0)</f>
        <v/>
      </c>
      <c r="C73" s="149">
        <f>IFERROR(INDEX(Stock!$A$3:$T$92,MATCH('Crawley Overview'!$A73,Stock!$A$3:$A$92,0),MATCH('Crawley Overview'!C$65,Stock!$A$3:$T$3,0)),0)</f>
        <v/>
      </c>
      <c r="D73" s="149">
        <f>C73-B73</f>
        <v/>
      </c>
      <c r="E73" s="134" t="n"/>
      <c r="F73" s="138">
        <f>IFERROR(INDEX(Stock!$A$3:$T$92,MATCH('Crawley Overview'!$A73,Stock!$A$3:$A$92,0),MATCH('Crawley Overview'!F$65,Stock!$A$3:$T$3,0)),0)</f>
        <v/>
      </c>
      <c r="G73" s="138">
        <f>IFERROR(INDEX(Stock!$A$3:$T$92,MATCH('Crawley Overview'!$A73,Stock!$A$3:$A$92,0),MATCH('Crawley Overview'!G$65,Stock!$A$3:$T$3,0)),0)</f>
        <v/>
      </c>
      <c r="H73" s="10" t="n"/>
    </row>
    <row r="74">
      <c r="A74" s="15" t="inlineStr">
        <is>
          <t>Bulls</t>
        </is>
      </c>
      <c r="B74" s="149">
        <f>IFERROR(INDEX(Stock!$A$3:$T$92,MATCH('Crawley Overview'!$A74,Stock!$A$3:$A$92,0),MATCH('Crawley Overview'!B$65,Stock!$A$3:$T$3,0)),0)</f>
        <v/>
      </c>
      <c r="C74" s="149">
        <f>IFERROR(INDEX(Stock!$A$3:$T$92,MATCH('Crawley Overview'!$A74,Stock!$A$3:$A$92,0),MATCH('Crawley Overview'!C$65,Stock!$A$3:$T$3,0)),0)</f>
        <v/>
      </c>
      <c r="D74" s="149">
        <f>C74-B74</f>
        <v/>
      </c>
      <c r="E74" s="134" t="n"/>
      <c r="F74" s="138">
        <f>IFERROR(INDEX(Stock!$A$3:$T$92,MATCH('Crawley Overview'!$A74,Stock!$A$3:$A$92,0),MATCH('Crawley Overview'!F$65,Stock!$A$3:$T$3,0)),0)</f>
        <v/>
      </c>
      <c r="G74" s="138">
        <f>IFERROR(INDEX(Stock!$A$3:$T$92,MATCH('Crawley Overview'!$A74,Stock!$A$3:$A$92,0),MATCH('Crawley Overview'!G$65,Stock!$A$3:$T$3,0)),0)</f>
        <v/>
      </c>
      <c r="H74" s="10" t="n"/>
    </row>
    <row r="75">
      <c r="A75" s="15" t="inlineStr">
        <is>
          <t>Cows</t>
        </is>
      </c>
      <c r="B75" s="149">
        <f>IFERROR(INDEX(Stock!$A$3:$T$92,MATCH('Crawley Overview'!$A75,Stock!$A$3:$A$92,0),MATCH('Crawley Overview'!B$65,Stock!$A$3:$T$3,0)),0)</f>
        <v/>
      </c>
      <c r="C75" s="149">
        <f>IFERROR(INDEX(Stock!$A$3:$T$92,MATCH('Crawley Overview'!$A75,Stock!$A$3:$A$92,0),MATCH('Crawley Overview'!C$65,Stock!$A$3:$T$3,0)),0)</f>
        <v/>
      </c>
      <c r="D75" s="149">
        <f>C75-B75</f>
        <v/>
      </c>
      <c r="E75" s="134" t="n"/>
      <c r="F75" s="138">
        <f>IFERROR(INDEX(Stock!$A$3:$T$92,MATCH('Crawley Overview'!$A75,Stock!$A$3:$A$92,0),MATCH('Crawley Overview'!F$65,Stock!$A$3:$T$3,0)),0)</f>
        <v/>
      </c>
      <c r="G75" s="138">
        <f>IFERROR(INDEX(Stock!$A$3:$T$92,MATCH('Crawley Overview'!$A75,Stock!$A$3:$A$92,0),MATCH('Crawley Overview'!G$65,Stock!$A$3:$T$3,0)),0)</f>
        <v/>
      </c>
      <c r="H75" s="10" t="n"/>
    </row>
    <row r="76">
      <c r="A76" s="15" t="inlineStr">
        <is>
          <t>Steers</t>
        </is>
      </c>
      <c r="B76" s="149">
        <f>IFERROR(INDEX(Stock!$A$3:$T$92,MATCH('Crawley Overview'!$A76,Stock!$A$3:$A$92,0),MATCH('Crawley Overview'!B$65,Stock!$A$3:$T$3,0)),0)</f>
        <v/>
      </c>
      <c r="C76" s="149">
        <f>IFERROR(INDEX(Stock!$A$3:$T$92,MATCH('Crawley Overview'!$A76,Stock!$A$3:$A$92,0),MATCH('Crawley Overview'!C$65,Stock!$A$3:$T$3,0)),0)</f>
        <v/>
      </c>
      <c r="D76" s="149">
        <f>C76-B76</f>
        <v/>
      </c>
      <c r="E76" s="134" t="n"/>
      <c r="F76" s="138">
        <f>IFERROR(INDEX(Stock!$A$3:$T$92,MATCH('Crawley Overview'!$A76,Stock!$A$3:$A$92,0),MATCH('Crawley Overview'!F$65,Stock!$A$3:$T$3,0)),0)</f>
        <v/>
      </c>
      <c r="G76" s="138">
        <f>IFERROR(INDEX(Stock!$A$3:$T$92,MATCH('Crawley Overview'!$A76,Stock!$A$3:$A$92,0),MATCH('Crawley Overview'!G$65,Stock!$A$3:$T$3,0)),0)</f>
        <v/>
      </c>
      <c r="H76" s="10" t="n"/>
    </row>
    <row r="77">
      <c r="A77" s="15" t="inlineStr">
        <is>
          <t>Bullocks</t>
        </is>
      </c>
      <c r="B77" s="149">
        <f>IFERROR(INDEX(Stock!$A$3:$T$92,MATCH('Crawley Overview'!$A77,Stock!$A$3:$A$92,0),MATCH('Crawley Overview'!B$65,Stock!$A$3:$T$3,0)),0)</f>
        <v/>
      </c>
      <c r="C77" s="149">
        <f>IFERROR(INDEX(Stock!$A$3:$T$92,MATCH('Crawley Overview'!$A77,Stock!$A$3:$A$92,0),MATCH('Crawley Overview'!C$65,Stock!$A$3:$T$3,0)),0)</f>
        <v/>
      </c>
      <c r="D77" s="149">
        <f>C77-B77</f>
        <v/>
      </c>
      <c r="E77" s="134" t="n"/>
      <c r="F77" s="138">
        <f>IFERROR(INDEX(Stock!$A$3:$T$92,MATCH('Crawley Overview'!$A77,Stock!$A$3:$A$92,0),MATCH('Crawley Overview'!F$65,Stock!$A$3:$T$3,0)),0)</f>
        <v/>
      </c>
      <c r="G77" s="138">
        <f>IFERROR(INDEX(Stock!$A$3:$T$92,MATCH('Crawley Overview'!$A77,Stock!$A$3:$A$92,0),MATCH('Crawley Overview'!G$65,Stock!$A$3:$T$3,0)),0)</f>
        <v/>
      </c>
      <c r="H77" s="10" t="n"/>
    </row>
    <row r="78">
      <c r="A78" s="15" t="inlineStr">
        <is>
          <t>Yearlings</t>
        </is>
      </c>
      <c r="B78" s="149">
        <f>IFERROR(INDEX(Stock!$A$3:$T$92,MATCH('Crawley Overview'!$A78,Stock!$A$3:$A$92,0),MATCH('Crawley Overview'!B$65,Stock!$A$3:$T$3,0)),0)</f>
        <v/>
      </c>
      <c r="C78" s="149">
        <f>IFERROR(INDEX(Stock!$A$3:$T$92,MATCH('Crawley Overview'!$A78,Stock!$A$3:$A$92,0),MATCH('Crawley Overview'!C$65,Stock!$A$3:$T$3,0)),0)</f>
        <v/>
      </c>
      <c r="D78" s="149">
        <f>C78-B78</f>
        <v/>
      </c>
      <c r="E78" s="134" t="n"/>
      <c r="F78" s="138">
        <f>IFERROR(INDEX(Stock!$A$3:$T$92,MATCH('Crawley Overview'!$A78,Stock!$A$3:$A$92,0),MATCH('Crawley Overview'!F$65,Stock!$A$3:$T$3,0)),0)</f>
        <v/>
      </c>
      <c r="G78" s="138">
        <f>IFERROR(INDEX(Stock!$A$3:$T$92,MATCH('Crawley Overview'!$A78,Stock!$A$3:$A$92,0),MATCH('Crawley Overview'!G$65,Stock!$A$3:$T$3,0)),0)</f>
        <v/>
      </c>
      <c r="H78" s="10" t="n"/>
    </row>
    <row r="79">
      <c r="A79" s="15" t="inlineStr">
        <is>
          <t>Calves</t>
        </is>
      </c>
      <c r="B79" s="149">
        <f>IFERROR(INDEX(Stock!$A$3:$T$92,MATCH('Crawley Overview'!$A79,Stock!$A$3:$A$92,0),MATCH('Crawley Overview'!B$65,Stock!$A$3:$T$3,0)),0)</f>
        <v/>
      </c>
      <c r="C79" s="149">
        <f>IFERROR(INDEX(Stock!$A$3:$T$92,MATCH('Crawley Overview'!$A79,Stock!$A$3:$A$92,0),MATCH('Crawley Overview'!C$65,Stock!$A$3:$T$3,0)),0)</f>
        <v/>
      </c>
      <c r="D79" s="149">
        <f>C79-B79</f>
        <v/>
      </c>
      <c r="E79" s="134" t="n"/>
      <c r="F79" s="138">
        <f>IFERROR(INDEX(Stock!$A$3:$T$92,MATCH('Crawley Overview'!$A79,Stock!$A$3:$A$92,0),MATCH('Crawley Overview'!F$65,Stock!$A$3:$T$3,0)),0)</f>
        <v/>
      </c>
      <c r="G79" s="138">
        <f>IFERROR(INDEX(Stock!$A$3:$T$92,MATCH('Crawley Overview'!$A79,Stock!$A$3:$A$92,0),MATCH('Crawley Overview'!G$65,Stock!$A$3:$T$3,0)),0)</f>
        <v/>
      </c>
      <c r="H79" s="10" t="n"/>
    </row>
    <row r="80">
      <c r="A80" s="15" t="inlineStr">
        <is>
          <t>Wethers</t>
        </is>
      </c>
      <c r="B80" s="149">
        <f>IFERROR(INDEX(Stock!$A$3:$T$92,MATCH('Crawley Overview'!$A80,Stock!$A$3:$A$92,0),MATCH('Crawley Overview'!B$65,Stock!$A$3:$T$3,0)),0)</f>
        <v/>
      </c>
      <c r="C80" s="149">
        <f>IFERROR(INDEX(Stock!$A$3:$T$92,MATCH('Crawley Overview'!$A80,Stock!$A$3:$A$92,0),MATCH('Crawley Overview'!C$65,Stock!$A$3:$T$3,0)),0)</f>
        <v/>
      </c>
      <c r="D80" s="149">
        <f>C80-B80</f>
        <v/>
      </c>
      <c r="E80" s="134" t="n"/>
      <c r="F80" s="138">
        <f>IFERROR(INDEX(Stock!$A$3:$T$92,MATCH('Crawley Overview'!$A80,Stock!$A$3:$A$92,0),MATCH('Crawley Overview'!F$65,Stock!$A$3:$T$3,0)),0)</f>
        <v/>
      </c>
      <c r="G80" s="138">
        <f>IFERROR(INDEX(Stock!$A$3:$T$92,MATCH('Crawley Overview'!$A80,Stock!$A$3:$A$92,0),MATCH('Crawley Overview'!G$65,Stock!$A$3:$T$3,0)),0)</f>
        <v/>
      </c>
      <c r="H80" s="10" t="n"/>
    </row>
    <row r="81">
      <c r="A81" s="15" t="inlineStr">
        <is>
          <t>Rams</t>
        </is>
      </c>
      <c r="B81" s="149">
        <f>IFERROR(INDEX(Stock!$A$3:$T$92,MATCH('Crawley Overview'!$A81,Stock!$A$3:$A$92,0),MATCH('Crawley Overview'!B$65,Stock!$A$3:$T$3,0)),0)</f>
        <v/>
      </c>
      <c r="C81" s="149">
        <f>IFERROR(INDEX(Stock!$A$3:$T$92,MATCH('Crawley Overview'!$A81,Stock!$A$3:$A$92,0),MATCH('Crawley Overview'!C$65,Stock!$A$3:$T$3,0)),0)</f>
        <v/>
      </c>
      <c r="D81" s="149">
        <f>C81-B81</f>
        <v/>
      </c>
      <c r="E81" s="134" t="n"/>
      <c r="F81" s="138">
        <f>IFERROR(INDEX(Stock!$A$3:$T$92,MATCH('Crawley Overview'!$A81,Stock!$A$3:$A$92,0),MATCH('Crawley Overview'!F$65,Stock!$A$3:$T$3,0)),0)</f>
        <v/>
      </c>
      <c r="G81" s="138">
        <f>IFERROR(INDEX(Stock!$A$3:$T$92,MATCH('Crawley Overview'!$A81,Stock!$A$3:$A$92,0),MATCH('Crawley Overview'!G$65,Stock!$A$3:$T$3,0)),0)</f>
        <v/>
      </c>
      <c r="H81" s="10" t="n"/>
    </row>
    <row r="82">
      <c r="A82" s="15" t="inlineStr">
        <is>
          <t>Ewes</t>
        </is>
      </c>
      <c r="B82" s="149">
        <f>IFERROR(INDEX(Stock!$A$3:$T$92,MATCH('Crawley Overview'!$A82,Stock!$A$3:$A$92,0),MATCH('Crawley Overview'!B$65,Stock!$A$3:$T$3,0)),0)</f>
        <v/>
      </c>
      <c r="C82" s="149">
        <f>IFERROR(INDEX(Stock!$A$3:$T$92,MATCH('Crawley Overview'!$A82,Stock!$A$3:$A$92,0),MATCH('Crawley Overview'!C$65,Stock!$A$3:$T$3,0)),0)</f>
        <v/>
      </c>
      <c r="D82" s="149">
        <f>C82-B82</f>
        <v/>
      </c>
      <c r="E82" s="134" t="n"/>
      <c r="F82" s="138">
        <f>IFERROR(INDEX(Stock!$A$3:$T$92,MATCH('Crawley Overview'!$A82,Stock!$A$3:$A$92,0),MATCH('Crawley Overview'!F$65,Stock!$A$3:$T$3,0)),0)</f>
        <v/>
      </c>
      <c r="G82" s="138">
        <f>IFERROR(INDEX(Stock!$A$3:$T$92,MATCH('Crawley Overview'!$A82,Stock!$A$3:$A$92,0),MATCH('Crawley Overview'!G$65,Stock!$A$3:$T$3,0)),0)</f>
        <v/>
      </c>
      <c r="H82" s="10" t="n"/>
    </row>
    <row r="83">
      <c r="A83" s="15" t="inlineStr">
        <is>
          <t>Hoggs</t>
        </is>
      </c>
      <c r="B83" s="149">
        <f>IFERROR(INDEX(Stock!$A$3:$T$92,MATCH('Crawley Overview'!$A83,Stock!$A$3:$A$92,0),MATCH('Crawley Overview'!B$65,Stock!$A$3:$T$3,0)),0)</f>
        <v/>
      </c>
      <c r="C83" s="149">
        <f>IFERROR(INDEX(Stock!$A$3:$T$92,MATCH('Crawley Overview'!$A83,Stock!$A$3:$A$92,0),MATCH('Crawley Overview'!C$65,Stock!$A$3:$T$3,0)),0)</f>
        <v/>
      </c>
      <c r="D83" s="149">
        <f>C83-B83</f>
        <v/>
      </c>
      <c r="E83" s="134" t="n"/>
      <c r="F83" s="138">
        <f>IFERROR(INDEX(Stock!$A$3:$T$92,MATCH('Crawley Overview'!$A83,Stock!$A$3:$A$92,0),MATCH('Crawley Overview'!F$65,Stock!$A$3:$T$3,0)),0)</f>
        <v/>
      </c>
      <c r="G83" s="138">
        <f>IFERROR(INDEX(Stock!$A$3:$T$92,MATCH('Crawley Overview'!$A83,Stock!$A$3:$A$92,0),MATCH('Crawley Overview'!G$65,Stock!$A$3:$T$3,0)),0)</f>
        <v/>
      </c>
      <c r="H83" s="10" t="n"/>
    </row>
    <row r="84">
      <c r="A84" s="15" t="inlineStr">
        <is>
          <t>Lambs</t>
        </is>
      </c>
      <c r="B84" s="149">
        <f>IFERROR(INDEX(Stock!$A$3:$T$92,MATCH('Crawley Overview'!$A84,Stock!$A$3:$A$92,0),MATCH('Crawley Overview'!B$65,Stock!$A$3:$T$3,0)),0)</f>
        <v/>
      </c>
      <c r="C84" s="149">
        <f>IFERROR(INDEX(Stock!$A$3:$T$92,MATCH('Crawley Overview'!$A84,Stock!$A$3:$A$92,0),MATCH('Crawley Overview'!C$65,Stock!$A$3:$T$3,0)),0)</f>
        <v/>
      </c>
      <c r="D84" s="149">
        <f>C84-B84</f>
        <v/>
      </c>
      <c r="E84" s="134" t="n"/>
      <c r="F84" s="138">
        <f>IFERROR(INDEX(Stock!$A$3:$T$92,MATCH('Crawley Overview'!$A84,Stock!$A$3:$A$92,0),MATCH('Crawley Overview'!F$65,Stock!$A$3:$T$3,0)),0)</f>
        <v/>
      </c>
      <c r="G84" s="138">
        <f>IFERROR(INDEX(Stock!$A$3:$T$92,MATCH('Crawley Overview'!$A84,Stock!$A$3:$A$92,0),MATCH('Crawley Overview'!G$65,Stock!$A$3:$T$3,0)),0)</f>
        <v/>
      </c>
      <c r="H84" s="10" t="n"/>
    </row>
    <row r="85">
      <c r="A85" s="15" t="inlineStr">
        <is>
          <t>Boars</t>
        </is>
      </c>
      <c r="B85" s="149">
        <f>IFERROR(INDEX(Stock!$A$3:$T$92,MATCH('Crawley Overview'!$A85,Stock!$A$3:$A$92,0),MATCH('Crawley Overview'!B$65,Stock!$A$3:$T$3,0)),0)</f>
        <v/>
      </c>
      <c r="C85" s="149">
        <f>IFERROR(INDEX(Stock!$A$3:$T$92,MATCH('Crawley Overview'!$A85,Stock!$A$3:$A$92,0),MATCH('Crawley Overview'!C$65,Stock!$A$3:$T$3,0)),0)</f>
        <v/>
      </c>
      <c r="D85" s="149">
        <f>C85-B85</f>
        <v/>
      </c>
      <c r="E85" s="134" t="n"/>
      <c r="F85" s="138">
        <f>IFERROR(INDEX(Stock!$A$3:$T$92,MATCH('Crawley Overview'!$A85,Stock!$A$3:$A$92,0),MATCH('Crawley Overview'!F$65,Stock!$A$3:$T$3,0)),0)</f>
        <v/>
      </c>
      <c r="G85" s="138">
        <f>IFERROR(INDEX(Stock!$A$3:$T$92,MATCH('Crawley Overview'!$A85,Stock!$A$3:$A$92,0),MATCH('Crawley Overview'!G$65,Stock!$A$3:$T$3,0)),0)</f>
        <v/>
      </c>
      <c r="H85" s="10" t="n"/>
    </row>
    <row r="86">
      <c r="A86" s="15" t="inlineStr">
        <is>
          <t>Sows</t>
        </is>
      </c>
      <c r="B86" s="149">
        <f>IFERROR(INDEX(Stock!$A$3:$T$92,MATCH('Crawley Overview'!$A86,Stock!$A$3:$A$92,0),MATCH('Crawley Overview'!B$65,Stock!$A$3:$T$3,0)),0)</f>
        <v/>
      </c>
      <c r="C86" s="149">
        <f>IFERROR(INDEX(Stock!$A$3:$T$92,MATCH('Crawley Overview'!$A86,Stock!$A$3:$A$92,0),MATCH('Crawley Overview'!C$65,Stock!$A$3:$T$3,0)),0)</f>
        <v/>
      </c>
      <c r="D86" s="149">
        <f>C86-B86</f>
        <v/>
      </c>
      <c r="E86" s="134" t="n"/>
      <c r="F86" s="138">
        <f>IFERROR(INDEX(Stock!$A$3:$T$92,MATCH('Crawley Overview'!$A86,Stock!$A$3:$A$92,0),MATCH('Crawley Overview'!F$65,Stock!$A$3:$T$3,0)),0)</f>
        <v/>
      </c>
      <c r="G86" s="138">
        <f>IFERROR(INDEX(Stock!$A$3:$T$92,MATCH('Crawley Overview'!$A86,Stock!$A$3:$A$92,0),MATCH('Crawley Overview'!G$65,Stock!$A$3:$T$3,0)),0)</f>
        <v/>
      </c>
      <c r="H86" s="10" t="n"/>
    </row>
    <row r="87">
      <c r="A87" s="15" t="inlineStr">
        <is>
          <t>Pigs</t>
        </is>
      </c>
      <c r="B87" s="149">
        <f>IFERROR(INDEX(Stock!$A$3:$T$92,MATCH('Crawley Overview'!$A87,Stock!$A$3:$A$92,0),MATCH('Crawley Overview'!B$65,Stock!$A$3:$T$3,0)),0)</f>
        <v/>
      </c>
      <c r="C87" s="149">
        <f>IFERROR(INDEX(Stock!$A$3:$T$92,MATCH('Crawley Overview'!$A87,Stock!$A$3:$A$92,0),MATCH('Crawley Overview'!C$65,Stock!$A$3:$T$3,0)),0)</f>
        <v/>
      </c>
      <c r="D87" s="149">
        <f>C87-B87</f>
        <v/>
      </c>
      <c r="E87" s="134" t="n"/>
      <c r="F87" s="138">
        <f>IFERROR(INDEX(Stock!$A$3:$T$92,MATCH('Crawley Overview'!$A87,Stock!$A$3:$A$92,0),MATCH('Crawley Overview'!F$65,Stock!$A$3:$T$3,0)),0)</f>
        <v/>
      </c>
      <c r="G87" s="138">
        <f>IFERROR(INDEX(Stock!$A$3:$T$92,MATCH('Crawley Overview'!$A87,Stock!$A$3:$A$92,0),MATCH('Crawley Overview'!G$65,Stock!$A$3:$T$3,0)),0)</f>
        <v/>
      </c>
      <c r="H87" s="10" t="n"/>
    </row>
    <row r="88">
      <c r="A88" s="15" t="inlineStr">
        <is>
          <t>Hoggets</t>
        </is>
      </c>
      <c r="B88" s="149">
        <f>IFERROR(INDEX(Stock!$A$3:$T$92,MATCH('Crawley Overview'!$A88,Stock!$A$3:$A$92,0),MATCH('Crawley Overview'!B$65,Stock!$A$3:$T$3,0)),0)</f>
        <v/>
      </c>
      <c r="C88" s="149">
        <f>IFERROR(INDEX(Stock!$A$3:$T$92,MATCH('Crawley Overview'!$A88,Stock!$A$3:$A$92,0),MATCH('Crawley Overview'!C$65,Stock!$A$3:$T$3,0)),0)</f>
        <v/>
      </c>
      <c r="D88" s="149">
        <f>C88-B88</f>
        <v/>
      </c>
      <c r="E88" s="134" t="n"/>
      <c r="F88" s="138">
        <f>IFERROR(INDEX(Stock!$A$3:$T$92,MATCH('Crawley Overview'!$A88,Stock!$A$3:$A$92,0),MATCH('Crawley Overview'!F$65,Stock!$A$3:$T$3,0)),0)</f>
        <v/>
      </c>
      <c r="G88" s="138">
        <f>IFERROR(INDEX(Stock!$A$3:$T$92,MATCH('Crawley Overview'!$A88,Stock!$A$3:$A$92,0),MATCH('Crawley Overview'!G$65,Stock!$A$3:$T$3,0)),0)</f>
        <v/>
      </c>
      <c r="H88" s="10" t="n"/>
    </row>
    <row r="89">
      <c r="A89" s="15" t="inlineStr">
        <is>
          <t>Piglets</t>
        </is>
      </c>
      <c r="B89" s="149">
        <f>IFERROR(INDEX(Stock!$A$3:$T$92,MATCH('Crawley Overview'!$A89,Stock!$A$3:$A$92,0),MATCH('Crawley Overview'!B$65,Stock!$A$3:$T$3,0)),0)</f>
        <v/>
      </c>
      <c r="C89" s="149">
        <f>IFERROR(INDEX(Stock!$A$3:$T$92,MATCH('Crawley Overview'!$A89,Stock!$A$3:$A$92,0),MATCH('Crawley Overview'!C$65,Stock!$A$3:$T$3,0)),0)</f>
        <v/>
      </c>
      <c r="D89" s="149">
        <f>C89-B89</f>
        <v/>
      </c>
      <c r="E89" s="134" t="n"/>
      <c r="F89" s="138">
        <f>IFERROR(INDEX(Stock!$A$3:$T$92,MATCH('Crawley Overview'!$A89,Stock!$A$3:$A$92,0),MATCH('Crawley Overview'!F$65,Stock!$A$3:$T$3,0)),0)</f>
        <v/>
      </c>
      <c r="G89" s="138">
        <f>IFERROR(INDEX(Stock!$A$3:$T$92,MATCH('Crawley Overview'!$A89,Stock!$A$3:$A$92,0),MATCH('Crawley Overview'!G$65,Stock!$A$3:$T$3,0)),0)</f>
        <v/>
      </c>
      <c r="H89" s="10" t="n"/>
    </row>
    <row r="90">
      <c r="A90" s="15" t="inlineStr">
        <is>
          <t>Swans</t>
        </is>
      </c>
      <c r="B90" s="149">
        <f>IFERROR(INDEX(Stock!$A$3:$T$92,MATCH('Crawley Overview'!$A90,Stock!$A$3:$A$92,0),MATCH('Crawley Overview'!B$65,Stock!$A$3:$T$3,0)),0)</f>
        <v/>
      </c>
      <c r="C90" s="149">
        <f>IFERROR(INDEX(Stock!$A$3:$T$92,MATCH('Crawley Overview'!$A90,Stock!$A$3:$A$92,0),MATCH('Crawley Overview'!C$65,Stock!$A$3:$T$3,0)),0)</f>
        <v/>
      </c>
      <c r="D90" s="149">
        <f>C90-B90</f>
        <v/>
      </c>
      <c r="E90" s="134" t="n"/>
      <c r="F90" s="138">
        <f>IFERROR(INDEX(Stock!$A$3:$T$92,MATCH('Crawley Overview'!$A90,Stock!$A$3:$A$92,0),MATCH('Crawley Overview'!F$65,Stock!$A$3:$T$3,0)),0)</f>
        <v/>
      </c>
      <c r="G90" s="138">
        <f>IFERROR(INDEX(Stock!$A$3:$T$92,MATCH('Crawley Overview'!$A90,Stock!$A$3:$A$92,0),MATCH('Crawley Overview'!G$65,Stock!$A$3:$T$3,0)),0)</f>
        <v/>
      </c>
      <c r="H90" s="10" t="n"/>
    </row>
    <row r="91">
      <c r="A91" s="15" t="inlineStr">
        <is>
          <t>Peacocks</t>
        </is>
      </c>
      <c r="B91" s="149">
        <f>IFERROR(INDEX(Stock!$A$3:$T$92,MATCH('Crawley Overview'!$A91,Stock!$A$3:$A$92,0),MATCH('Crawley Overview'!B$65,Stock!$A$3:$T$3,0)),0)</f>
        <v/>
      </c>
      <c r="C91" s="149">
        <f>IFERROR(INDEX(Stock!$A$3:$T$92,MATCH('Crawley Overview'!$A91,Stock!$A$3:$A$92,0),MATCH('Crawley Overview'!C$65,Stock!$A$3:$T$3,0)),0)</f>
        <v/>
      </c>
      <c r="D91" s="149">
        <f>C91-B91</f>
        <v/>
      </c>
      <c r="E91" s="134" t="n"/>
      <c r="F91" s="138">
        <f>IFERROR(INDEX(Stock!$A$3:$T$92,MATCH('Crawley Overview'!$A91,Stock!$A$3:$A$92,0),MATCH('Crawley Overview'!F$65,Stock!$A$3:$T$3,0)),0)</f>
        <v/>
      </c>
      <c r="G91" s="138">
        <f>IFERROR(INDEX(Stock!$A$3:$T$92,MATCH('Crawley Overview'!$A91,Stock!$A$3:$A$92,0),MATCH('Crawley Overview'!G$65,Stock!$A$3:$T$3,0)),0)</f>
        <v/>
      </c>
      <c r="H91" s="10" t="n"/>
    </row>
    <row r="92">
      <c r="A92" s="17" t="inlineStr">
        <is>
          <t>Total</t>
        </is>
      </c>
      <c r="B92" s="135" t="n"/>
      <c r="C92" s="135" t="n"/>
      <c r="D92" s="135" t="n"/>
      <c r="E92" s="135" t="n"/>
      <c r="F92" s="136" t="n"/>
      <c r="G92" s="136">
        <f>SUM(G66:G91)</f>
        <v/>
      </c>
      <c r="H92" s="10" t="n"/>
    </row>
    <row r="93">
      <c r="A93" s="17" t="inlineStr">
        <is>
          <t>Value of sales</t>
        </is>
      </c>
      <c r="B93" s="135" t="n"/>
      <c r="C93" s="135" t="n"/>
      <c r="D93" s="135" t="n"/>
      <c r="E93" s="135" t="n"/>
      <c r="F93" s="136" t="n"/>
      <c r="G93" s="136">
        <f>SUM(F66:F91)</f>
        <v/>
      </c>
      <c r="H93" s="10" t="n"/>
    </row>
    <row r="94">
      <c r="A94" s="15" t="n"/>
      <c r="B94" s="15" t="n"/>
      <c r="C94" s="15" t="n"/>
      <c r="D94" s="15" t="n"/>
      <c r="E94" s="15" t="n"/>
      <c r="F94" s="134" t="n"/>
      <c r="G94" s="134" t="n"/>
      <c r="H94" s="10" t="n"/>
    </row>
    <row r="95" ht="51" customHeight="1">
      <c r="A95" s="16" t="inlineStr">
        <is>
          <t>Wool</t>
        </is>
      </c>
      <c r="B95" s="151" t="inlineStr">
        <is>
          <t>Inherited stock</t>
        </is>
      </c>
      <c r="C95" s="151" t="inlineStr">
        <is>
          <t>End-period  stock</t>
        </is>
      </c>
      <c r="D95" s="152" t="inlineStr">
        <is>
          <t>Stockbuilding</t>
        </is>
      </c>
      <c r="E95" s="149" t="n"/>
      <c r="F95" s="153" t="inlineStr">
        <is>
          <t>Sales in (£)</t>
        </is>
      </c>
      <c r="G95" s="153" t="inlineStr">
        <is>
          <t>Value of production (£) at sales prices</t>
        </is>
      </c>
      <c r="H95" s="10" t="n"/>
    </row>
    <row r="96" ht="17" customHeight="1">
      <c r="A96" s="22" t="inlineStr">
        <is>
          <t>Fleeces</t>
        </is>
      </c>
      <c r="B96" s="149">
        <f>IFERROR(INDEX(Stock!$A$3:$T$92,MATCH('Crawley Overview'!$A96,Stock!$A$3:$A$92,0),MATCH('Crawley Overview'!B$65,Stock!$A$3:$T$3,0)),0)</f>
        <v/>
      </c>
      <c r="C96" s="149">
        <f>IFERROR(INDEX(Stock!$A$3:$T$92,MATCH('Crawley Overview'!$A96,Stock!$A$3:$A$92,0),MATCH('Crawley Overview'!C$65,Stock!$A$3:$T$3,0)),0)</f>
        <v/>
      </c>
      <c r="D96" s="149">
        <f>C96-B96</f>
        <v/>
      </c>
      <c r="F96" s="138">
        <f>IFERROR(INDEX(Stock!$A$3:$T$92,MATCH('Crawley Overview'!$A96,Stock!$A$3:$A$92,0),MATCH('Crawley Overview'!F$65,Stock!$A$3:$T$3,0)),0)</f>
        <v/>
      </c>
      <c r="G96" s="138">
        <f>IFERROR(INDEX(Stock!$A$3:$T$92,MATCH('Crawley Overview'!$A96,Stock!$A$3:$A$92,0),MATCH('Crawley Overview'!G$65,Stock!$A$3:$T$3,0)),0)</f>
        <v/>
      </c>
      <c r="H96" s="10" t="n"/>
    </row>
    <row r="97">
      <c r="A97" s="15" t="inlineStr">
        <is>
          <t>Coarse wool</t>
        </is>
      </c>
      <c r="B97" s="149">
        <f>IFERROR(INDEX(Stock!$A$3:$T$92,MATCH('Crawley Overview'!$A97,Stock!$A$3:$A$92,0),MATCH('Crawley Overview'!B$65,Stock!$A$3:$T$3,0)),0)</f>
        <v/>
      </c>
      <c r="C97" s="149">
        <f>IFERROR(INDEX(Stock!$A$3:$T$92,MATCH('Crawley Overview'!$A97,Stock!$A$3:$A$92,0),MATCH('Crawley Overview'!C$65,Stock!$A$3:$T$3,0)),0)</f>
        <v/>
      </c>
      <c r="D97" s="149">
        <f>C97-B97</f>
        <v/>
      </c>
      <c r="F97" s="138">
        <f>IFERROR(INDEX(Stock!$A$3:$T$92,MATCH('Crawley Overview'!$A97,Stock!$A$3:$A$92,0),MATCH('Crawley Overview'!F$65,Stock!$A$3:$T$3,0)),0)</f>
        <v/>
      </c>
      <c r="G97" s="138">
        <f>IFERROR(INDEX(Stock!$A$3:$T$92,MATCH('Crawley Overview'!$A97,Stock!$A$3:$A$92,0),MATCH('Crawley Overview'!G$65,Stock!$A$3:$T$3,0)),0)</f>
        <v/>
      </c>
      <c r="H97" s="10" t="n"/>
    </row>
    <row r="98">
      <c r="A98" s="15" t="inlineStr">
        <is>
          <t>Lamb's wool</t>
        </is>
      </c>
      <c r="B98" s="149">
        <f>IFERROR(INDEX(Stock!$A$3:$T$92,MATCH('Crawley Overview'!$A98,Stock!$A$3:$A$92,0),MATCH('Crawley Overview'!B$65,Stock!$A$3:$T$3,0)),0)</f>
        <v/>
      </c>
      <c r="C98" s="149">
        <f>IFERROR(INDEX(Stock!$A$3:$T$92,MATCH('Crawley Overview'!$A98,Stock!$A$3:$A$92,0),MATCH('Crawley Overview'!C$65,Stock!$A$3:$T$3,0)),0)</f>
        <v/>
      </c>
      <c r="D98" s="149">
        <f>C98-B98</f>
        <v/>
      </c>
      <c r="F98" s="138">
        <f>IFERROR(INDEX(Stock!$A$3:$T$92,MATCH('Crawley Overview'!$A98,Stock!$A$3:$A$92,0),MATCH('Crawley Overview'!F$65,Stock!$A$3:$T$3,0)),0)</f>
        <v/>
      </c>
      <c r="G98" s="138">
        <f>IFERROR(INDEX(Stock!$A$3:$T$92,MATCH('Crawley Overview'!$A98,Stock!$A$3:$A$92,0),MATCH('Crawley Overview'!G$65,Stock!$A$3:$T$3,0)),0)</f>
        <v/>
      </c>
      <c r="H98" s="10" t="n"/>
    </row>
    <row r="99">
      <c r="A99" s="15" t="inlineStr">
        <is>
          <t>Wool locks</t>
        </is>
      </c>
      <c r="B99" s="149">
        <f>IFERROR(INDEX(Stock!$A$3:$T$92,MATCH('Crawley Overview'!$A99,Stock!$A$3:$A$92,0),MATCH('Crawley Overview'!B$65,Stock!$A$3:$T$3,0)),0)</f>
        <v/>
      </c>
      <c r="C99" s="149">
        <f>IFERROR(INDEX(Stock!$A$3:$T$92,MATCH('Crawley Overview'!$A99,Stock!$A$3:$A$92,0),MATCH('Crawley Overview'!C$65,Stock!$A$3:$T$3,0)),0)</f>
        <v/>
      </c>
      <c r="D99" s="149">
        <f>C99-B99</f>
        <v/>
      </c>
      <c r="F99" s="138">
        <f>IFERROR(INDEX(Stock!$A$3:$T$92,MATCH('Crawley Overview'!$A99,Stock!$A$3:$A$92,0),MATCH('Crawley Overview'!F$65,Stock!$A$3:$T$3,0)),0)</f>
        <v/>
      </c>
      <c r="G99" s="138">
        <f>IFERROR(INDEX(Stock!$A$3:$T$92,MATCH('Crawley Overview'!$A99,Stock!$A$3:$A$92,0),MATCH('Crawley Overview'!G$65,Stock!$A$3:$T$3,0)),0)</f>
        <v/>
      </c>
      <c r="H99" s="10" t="n"/>
    </row>
    <row r="100">
      <c r="A100" s="15" t="inlineStr">
        <is>
          <t>Wool sold at shearing</t>
        </is>
      </c>
      <c r="B100" s="149">
        <f>IFERROR(INDEX(Stock!$A$3:$T$92,MATCH('Crawley Overview'!$A100,Stock!$A$3:$A$92,0),MATCH('Crawley Overview'!B$65,Stock!$A$3:$T$3,0)),0)</f>
        <v/>
      </c>
      <c r="C100" s="149">
        <f>IFERROR(INDEX(Stock!$A$3:$T$92,MATCH('Crawley Overview'!$A100,Stock!$A$3:$A$92,0),MATCH('Crawley Overview'!C$65,Stock!$A$3:$T$3,0)),0)</f>
        <v/>
      </c>
      <c r="D100" s="149">
        <f>C100-B100</f>
        <v/>
      </c>
      <c r="F100" s="138">
        <f>IFERROR(INDEX(Stock!$A$3:$T$92,MATCH('Crawley Overview'!$A100,Stock!$A$3:$A$92,0),MATCH('Crawley Overview'!F$65,Stock!$A$3:$T$3,0)),0)</f>
        <v/>
      </c>
      <c r="G100" s="138">
        <f>IFERROR(INDEX(Stock!$A$3:$T$92,MATCH('Crawley Overview'!$A100,Stock!$A$3:$A$92,0),MATCH('Crawley Overview'!G$65,Stock!$A$3:$T$3,0)),0)</f>
        <v/>
      </c>
      <c r="H100" s="10" t="n"/>
    </row>
    <row r="101">
      <c r="A101" s="17" t="inlineStr">
        <is>
          <t>Total value of production (sum of the above)</t>
        </is>
      </c>
      <c r="B101" s="135" t="n"/>
      <c r="C101" s="135" t="n"/>
      <c r="D101" s="135" t="n"/>
      <c r="E101" s="135" t="n"/>
      <c r="F101" s="136" t="n"/>
      <c r="G101" s="136">
        <f>SUM(G96:G100)</f>
        <v/>
      </c>
      <c r="H101" s="10" t="n"/>
    </row>
    <row r="102">
      <c r="A102" s="17" t="inlineStr">
        <is>
          <t>Value of sales</t>
        </is>
      </c>
      <c r="B102" s="135" t="n"/>
      <c r="C102" s="135" t="n"/>
      <c r="D102" s="135" t="n"/>
      <c r="E102" s="135" t="n"/>
      <c r="F102" s="136" t="n"/>
      <c r="G102" s="136">
        <f>SUM(F96:F100)</f>
        <v/>
      </c>
      <c r="H102" s="10" t="n"/>
    </row>
    <row r="103">
      <c r="A103" s="8" t="n"/>
      <c r="B103" s="15" t="n"/>
      <c r="C103" s="15" t="n"/>
      <c r="D103" s="15" t="n"/>
      <c r="E103" s="15" t="n"/>
      <c r="F103" s="134" t="n"/>
      <c r="G103" s="134" t="n"/>
      <c r="H103" s="10" t="n"/>
    </row>
    <row r="104" ht="51" customHeight="1">
      <c r="A104" s="16" t="inlineStr">
        <is>
          <t>Hides</t>
        </is>
      </c>
      <c r="B104" s="151" t="inlineStr">
        <is>
          <t>Inherited stock</t>
        </is>
      </c>
      <c r="C104" s="151" t="inlineStr">
        <is>
          <t>End-period  stock</t>
        </is>
      </c>
      <c r="D104" s="152" t="inlineStr">
        <is>
          <t>Stockbuilding</t>
        </is>
      </c>
      <c r="E104" s="149" t="n"/>
      <c r="F104" s="153" t="inlineStr">
        <is>
          <t>Sales in (£)</t>
        </is>
      </c>
      <c r="G104" s="153" t="inlineStr">
        <is>
          <t>Value of production (£) at sales prices</t>
        </is>
      </c>
      <c r="H104" s="10" t="n"/>
    </row>
    <row r="105">
      <c r="A105" s="15" t="inlineStr">
        <is>
          <t>Ox hides</t>
        </is>
      </c>
      <c r="B105" s="149">
        <f>IFERROR(INDEX(Stock!$A$3:$T$92,MATCH('Crawley Overview'!$A105,Stock!$A$3:$A$92,0),MATCH('Crawley Overview'!B$65,Stock!$A$3:$T$3,0)),0)</f>
        <v/>
      </c>
      <c r="C105" s="149">
        <f>IFERROR(INDEX(Stock!$A$3:$T$92,MATCH('Crawley Overview'!$A105,Stock!$A$3:$A$92,0),MATCH('Crawley Overview'!C$65,Stock!$A$3:$T$3,0)),0)</f>
        <v/>
      </c>
      <c r="D105" s="149">
        <f>C105-B105</f>
        <v/>
      </c>
      <c r="E105" s="15" t="n"/>
      <c r="F105" s="138">
        <f>IFERROR(INDEX(Stock!$A$3:$T$92,MATCH('Crawley Overview'!$A105,Stock!$A$3:$A$92,0),MATCH('Crawley Overview'!F$65,Stock!$A$3:$T$3,0)),0)</f>
        <v/>
      </c>
      <c r="G105" s="138">
        <f>IFERROR(INDEX(Stock!$A$3:$T$92,MATCH('Crawley Overview'!$A105,Stock!$A$3:$A$92,0),MATCH('Crawley Overview'!G$65,Stock!$A$3:$T$3,0)),0)</f>
        <v/>
      </c>
      <c r="H105" s="10" t="n"/>
    </row>
    <row r="106">
      <c r="A106" s="15" t="inlineStr">
        <is>
          <t>Cow hides</t>
        </is>
      </c>
      <c r="B106" s="149">
        <f>IFERROR(INDEX(Stock!$A$3:$T$92,MATCH('Crawley Overview'!$A106,Stock!$A$3:$A$92,0),MATCH('Crawley Overview'!B$65,Stock!$A$3:$T$3,0)),0)</f>
        <v/>
      </c>
      <c r="C106" s="149">
        <f>IFERROR(INDEX(Stock!$A$3:$T$92,MATCH('Crawley Overview'!$A106,Stock!$A$3:$A$92,0),MATCH('Crawley Overview'!C$65,Stock!$A$3:$T$3,0)),0)</f>
        <v/>
      </c>
      <c r="D106" s="149">
        <f>C106-B106</f>
        <v/>
      </c>
      <c r="E106" s="15" t="n"/>
      <c r="F106" s="138">
        <f>IFERROR(INDEX(Stock!$A$3:$T$92,MATCH('Crawley Overview'!$A106,Stock!$A$3:$A$92,0),MATCH('Crawley Overview'!F$65,Stock!$A$3:$T$3,0)),0)</f>
        <v/>
      </c>
      <c r="G106" s="138">
        <f>IFERROR(INDEX(Stock!$A$3:$T$92,MATCH('Crawley Overview'!$A106,Stock!$A$3:$A$92,0),MATCH('Crawley Overview'!G$65,Stock!$A$3:$T$3,0)),0)</f>
        <v/>
      </c>
      <c r="H106" s="10" t="n"/>
    </row>
    <row r="107">
      <c r="A107" s="15" t="inlineStr">
        <is>
          <t>Mare hides</t>
        </is>
      </c>
      <c r="B107" s="149">
        <f>IFERROR(INDEX(Stock!$A$3:$T$92,MATCH('Crawley Overview'!$A107,Stock!$A$3:$A$92,0),MATCH('Crawley Overview'!B$65,Stock!$A$3:$T$3,0)),0)</f>
        <v/>
      </c>
      <c r="C107" s="149">
        <f>IFERROR(INDEX(Stock!$A$3:$T$92,MATCH('Crawley Overview'!$A107,Stock!$A$3:$A$92,0),MATCH('Crawley Overview'!C$65,Stock!$A$3:$T$3,0)),0)</f>
        <v/>
      </c>
      <c r="D107" s="149">
        <f>C107-B107</f>
        <v/>
      </c>
      <c r="E107" s="15" t="n"/>
      <c r="F107" s="138">
        <f>IFERROR(INDEX(Stock!$A$3:$T$92,MATCH('Crawley Overview'!$A107,Stock!$A$3:$A$92,0),MATCH('Crawley Overview'!F$65,Stock!$A$3:$T$3,0)),0)</f>
        <v/>
      </c>
      <c r="G107" s="138">
        <f>IFERROR(INDEX(Stock!$A$3:$T$92,MATCH('Crawley Overview'!$A107,Stock!$A$3:$A$92,0),MATCH('Crawley Overview'!G$65,Stock!$A$3:$T$3,0)),0)</f>
        <v/>
      </c>
      <c r="H107" s="10" t="n"/>
    </row>
    <row r="108">
      <c r="A108" s="15" t="inlineStr">
        <is>
          <t>Steer hides</t>
        </is>
      </c>
      <c r="B108" s="149">
        <f>IFERROR(INDEX(Stock!$A$3:$T$92,MATCH('Crawley Overview'!$A108,Stock!$A$3:$A$92,0),MATCH('Crawley Overview'!B$65,Stock!$A$3:$T$3,0)),0)</f>
        <v/>
      </c>
      <c r="C108" s="149">
        <f>IFERROR(INDEX(Stock!$A$3:$T$92,MATCH('Crawley Overview'!$A108,Stock!$A$3:$A$92,0),MATCH('Crawley Overview'!C$65,Stock!$A$3:$T$3,0)),0)</f>
        <v/>
      </c>
      <c r="D108" s="149">
        <f>C108-B108</f>
        <v/>
      </c>
      <c r="E108" s="15" t="n"/>
      <c r="F108" s="138">
        <f>IFERROR(INDEX(Stock!$A$3:$T$92,MATCH('Crawley Overview'!$A108,Stock!$A$3:$A$92,0),MATCH('Crawley Overview'!F$65,Stock!$A$3:$T$3,0)),0)</f>
        <v/>
      </c>
      <c r="G108" s="138">
        <f>IFERROR(INDEX(Stock!$A$3:$T$92,MATCH('Crawley Overview'!$A108,Stock!$A$3:$A$92,0),MATCH('Crawley Overview'!G$65,Stock!$A$3:$T$3,0)),0)</f>
        <v/>
      </c>
      <c r="H108" s="10" t="n"/>
    </row>
    <row r="109">
      <c r="A109" s="15" t="inlineStr">
        <is>
          <t>Yearling Calf hides</t>
        </is>
      </c>
      <c r="B109" s="149">
        <f>IFERROR(INDEX(Stock!$A$3:$T$92,MATCH('Crawley Overview'!$A109,Stock!$A$3:$A$92,0),MATCH('Crawley Overview'!B$65,Stock!$A$3:$T$3,0)),0)</f>
        <v/>
      </c>
      <c r="C109" s="149">
        <f>IFERROR(INDEX(Stock!$A$3:$T$92,MATCH('Crawley Overview'!$A109,Stock!$A$3:$A$92,0),MATCH('Crawley Overview'!C$65,Stock!$A$3:$T$3,0)),0)</f>
        <v/>
      </c>
      <c r="D109" s="149">
        <f>C109-B109</f>
        <v/>
      </c>
      <c r="E109" s="15" t="n"/>
      <c r="F109" s="138">
        <f>IFERROR(INDEX(Stock!$A$3:$T$92,MATCH('Crawley Overview'!$A109,Stock!$A$3:$A$92,0),MATCH('Crawley Overview'!F$65,Stock!$A$3:$T$3,0)),0)</f>
        <v/>
      </c>
      <c r="G109" s="138">
        <f>IFERROR(INDEX(Stock!$A$3:$T$92,MATCH('Crawley Overview'!$A109,Stock!$A$3:$A$92,0),MATCH('Crawley Overview'!G$65,Stock!$A$3:$T$3,0)),0)</f>
        <v/>
      </c>
      <c r="H109" s="10" t="n"/>
    </row>
    <row r="110">
      <c r="A110" s="15" t="inlineStr">
        <is>
          <t>Calf hides</t>
        </is>
      </c>
      <c r="B110" s="149">
        <f>IFERROR(INDEX(Stock!$A$3:$T$92,MATCH('Crawley Overview'!$A110,Stock!$A$3:$A$92,0),MATCH('Crawley Overview'!B$65,Stock!$A$3:$T$3,0)),0)</f>
        <v/>
      </c>
      <c r="C110" s="149">
        <f>IFERROR(INDEX(Stock!$A$3:$T$92,MATCH('Crawley Overview'!$A110,Stock!$A$3:$A$92,0),MATCH('Crawley Overview'!C$65,Stock!$A$3:$T$3,0)),0)</f>
        <v/>
      </c>
      <c r="D110" s="149">
        <f>C110-B110</f>
        <v/>
      </c>
      <c r="E110" s="15" t="n"/>
      <c r="F110" s="138">
        <f>IFERROR(INDEX(Stock!$A$3:$T$92,MATCH('Crawley Overview'!$A110,Stock!$A$3:$A$92,0),MATCH('Crawley Overview'!F$65,Stock!$A$3:$T$3,0)),0)</f>
        <v/>
      </c>
      <c r="G110" s="138">
        <f>IFERROR(INDEX(Stock!$A$3:$T$92,MATCH('Crawley Overview'!$A110,Stock!$A$3:$A$92,0),MATCH('Crawley Overview'!G$65,Stock!$A$3:$T$3,0)),0)</f>
        <v/>
      </c>
      <c r="H110" s="10" t="n"/>
    </row>
    <row r="111">
      <c r="A111" s="23" t="inlineStr">
        <is>
          <t>Pig hides</t>
        </is>
      </c>
      <c r="B111" s="149">
        <f>IFERROR(INDEX(Stock!$A$3:$T$92,MATCH('Crawley Overview'!$A111,Stock!$A$3:$A$92,0),MATCH('Crawley Overview'!B$65,Stock!$A$3:$T$3,0)),0)</f>
        <v/>
      </c>
      <c r="C111" s="149">
        <f>IFERROR(INDEX(Stock!$A$3:$T$92,MATCH('Crawley Overview'!$A111,Stock!$A$3:$A$92,0),MATCH('Crawley Overview'!C$65,Stock!$A$3:$T$3,0)),0)</f>
        <v/>
      </c>
      <c r="D111" s="149">
        <f>C111-B111</f>
        <v/>
      </c>
      <c r="E111" s="15" t="n"/>
      <c r="F111" s="138">
        <f>IFERROR(INDEX(Stock!$A$3:$T$92,MATCH('Crawley Overview'!$A111,Stock!$A$3:$A$92,0),MATCH('Crawley Overview'!F$65,Stock!$A$3:$T$3,0)),0)</f>
        <v/>
      </c>
      <c r="G111" s="138">
        <f>IFERROR(INDEX(Stock!$A$3:$T$92,MATCH('Crawley Overview'!$A111,Stock!$A$3:$A$92,0),MATCH('Crawley Overview'!G$65,Stock!$A$3:$T$3,0)),0)</f>
        <v/>
      </c>
      <c r="H111" s="10" t="n"/>
    </row>
    <row r="112">
      <c r="A112" s="24" t="inlineStr">
        <is>
          <t>Weather woolskins</t>
        </is>
      </c>
      <c r="B112" s="149">
        <f>IFERROR(INDEX(Stock!$A$3:$T$92,MATCH('Crawley Overview'!$A112,Stock!$A$3:$A$92,0),MATCH('Crawley Overview'!B$65,Stock!$A$3:$T$3,0)),0)</f>
        <v/>
      </c>
      <c r="C112" s="149">
        <f>IFERROR(INDEX(Stock!$A$3:$T$92,MATCH('Crawley Overview'!$A112,Stock!$A$3:$A$92,0),MATCH('Crawley Overview'!C$65,Stock!$A$3:$T$3,0)),0)</f>
        <v/>
      </c>
      <c r="D112" s="149">
        <f>C112-B112</f>
        <v/>
      </c>
      <c r="E112" s="15" t="n"/>
      <c r="F112" s="138">
        <f>IFERROR(INDEX(Stock!$A$3:$T$92,MATCH('Crawley Overview'!$A112,Stock!$A$3:$A$92,0),MATCH('Crawley Overview'!F$65,Stock!$A$3:$T$3,0)),0)</f>
        <v/>
      </c>
      <c r="G112" s="138">
        <f>IFERROR(INDEX(Stock!$A$3:$T$92,MATCH('Crawley Overview'!$A112,Stock!$A$3:$A$92,0),MATCH('Crawley Overview'!G$65,Stock!$A$3:$T$3,0)),0)</f>
        <v/>
      </c>
      <c r="H112" s="10" t="n"/>
    </row>
    <row r="113">
      <c r="A113" s="24" t="inlineStr">
        <is>
          <t>Ram woolskins</t>
        </is>
      </c>
      <c r="B113" s="149">
        <f>IFERROR(INDEX(Stock!$A$3:$T$92,MATCH('Crawley Overview'!$A113,Stock!$A$3:$A$92,0),MATCH('Crawley Overview'!B$65,Stock!$A$3:$T$3,0)),0)</f>
        <v/>
      </c>
      <c r="C113" s="149">
        <f>IFERROR(INDEX(Stock!$A$3:$T$92,MATCH('Crawley Overview'!$A113,Stock!$A$3:$A$92,0),MATCH('Crawley Overview'!C$65,Stock!$A$3:$T$3,0)),0)</f>
        <v/>
      </c>
      <c r="D113" s="149">
        <f>C113-B113</f>
        <v/>
      </c>
      <c r="E113" s="15" t="n"/>
      <c r="F113" s="138">
        <f>IFERROR(INDEX(Stock!$A$3:$T$92,MATCH('Crawley Overview'!$A113,Stock!$A$3:$A$92,0),MATCH('Crawley Overview'!F$65,Stock!$A$3:$T$3,0)),0)</f>
        <v/>
      </c>
      <c r="G113" s="138">
        <f>IFERROR(INDEX(Stock!$A$3:$T$92,MATCH('Crawley Overview'!$A113,Stock!$A$3:$A$92,0),MATCH('Crawley Overview'!G$65,Stock!$A$3:$T$3,0)),0)</f>
        <v/>
      </c>
      <c r="H113" s="10" t="n"/>
    </row>
    <row r="114">
      <c r="A114" s="24" t="inlineStr">
        <is>
          <t>Ewe woolskins</t>
        </is>
      </c>
      <c r="B114" s="149">
        <f>IFERROR(INDEX(Stock!$A$3:$T$92,MATCH('Crawley Overview'!$A114,Stock!$A$3:$A$92,0),MATCH('Crawley Overview'!B$65,Stock!$A$3:$T$3,0)),0)</f>
        <v/>
      </c>
      <c r="C114" s="149">
        <f>IFERROR(INDEX(Stock!$A$3:$T$92,MATCH('Crawley Overview'!$A114,Stock!$A$3:$A$92,0),MATCH('Crawley Overview'!C$65,Stock!$A$3:$T$3,0)),0)</f>
        <v/>
      </c>
      <c r="D114" s="149">
        <f>C114-B114</f>
        <v/>
      </c>
      <c r="E114" s="15" t="n"/>
      <c r="F114" s="138">
        <f>IFERROR(INDEX(Stock!$A$3:$T$92,MATCH('Crawley Overview'!$A114,Stock!$A$3:$A$92,0),MATCH('Crawley Overview'!F$65,Stock!$A$3:$T$3,0)),0)</f>
        <v/>
      </c>
      <c r="G114" s="138">
        <f>IFERROR(INDEX(Stock!$A$3:$T$92,MATCH('Crawley Overview'!$A114,Stock!$A$3:$A$92,0),MATCH('Crawley Overview'!G$65,Stock!$A$3:$T$3,0)),0)</f>
        <v/>
      </c>
      <c r="H114" s="10" t="n"/>
    </row>
    <row r="115">
      <c r="A115" s="24" t="inlineStr">
        <is>
          <t>Hogg woolskins</t>
        </is>
      </c>
      <c r="B115" s="149">
        <f>IFERROR(INDEX(Stock!$A$3:$T$92,MATCH('Crawley Overview'!$A115,Stock!$A$3:$A$92,0),MATCH('Crawley Overview'!B$65,Stock!$A$3:$T$3,0)),0)</f>
        <v/>
      </c>
      <c r="C115" s="149">
        <f>IFERROR(INDEX(Stock!$A$3:$T$92,MATCH('Crawley Overview'!$A115,Stock!$A$3:$A$92,0),MATCH('Crawley Overview'!C$65,Stock!$A$3:$T$3,0)),0)</f>
        <v/>
      </c>
      <c r="D115" s="149">
        <f>C115-B115</f>
        <v/>
      </c>
      <c r="E115" s="15" t="n"/>
      <c r="F115" s="138">
        <f>IFERROR(INDEX(Stock!$A$3:$T$92,MATCH('Crawley Overview'!$A115,Stock!$A$3:$A$92,0),MATCH('Crawley Overview'!F$65,Stock!$A$3:$T$3,0)),0)</f>
        <v/>
      </c>
      <c r="G115" s="138">
        <f>IFERROR(INDEX(Stock!$A$3:$T$92,MATCH('Crawley Overview'!$A115,Stock!$A$3:$A$92,0),MATCH('Crawley Overview'!G$65,Stock!$A$3:$T$3,0)),0)</f>
        <v/>
      </c>
      <c r="H115" s="10" t="n"/>
    </row>
    <row r="116">
      <c r="A116" s="25" t="inlineStr">
        <is>
          <t>Woolskins (total)</t>
        </is>
      </c>
      <c r="B116" s="149">
        <f>IFERROR(INDEX(Stock!$A$3:$T$92,MATCH('Crawley Overview'!$A116,Stock!$A$3:$A$92,0),MATCH('Crawley Overview'!B$65,Stock!$A$3:$T$3,0)),0)</f>
        <v/>
      </c>
      <c r="C116" s="149">
        <f>IFERROR(INDEX(Stock!$A$3:$T$92,MATCH('Crawley Overview'!$A116,Stock!$A$3:$A$92,0),MATCH('Crawley Overview'!C$65,Stock!$A$3:$T$3,0)),0)</f>
        <v/>
      </c>
      <c r="D116" s="149">
        <f>C116-B116</f>
        <v/>
      </c>
      <c r="E116" s="15" t="n"/>
      <c r="F116" s="138">
        <f>IFERROR(INDEX(Stock!$A$3:$T$92,MATCH('Crawley Overview'!$A116,Stock!$A$3:$A$92,0),MATCH('Crawley Overview'!F$65,Stock!$A$3:$T$3,0)),0)</f>
        <v/>
      </c>
      <c r="G116" s="138">
        <f>IFERROR(INDEX(Stock!$A$3:$T$92,MATCH('Crawley Overview'!$A116,Stock!$A$3:$A$92,0),MATCH('Crawley Overview'!G$65,Stock!$A$3:$T$3,0)),0)</f>
        <v/>
      </c>
      <c r="H116" s="10" t="n"/>
    </row>
    <row r="117">
      <c r="A117" s="24" t="inlineStr">
        <is>
          <t>Wether bareskins</t>
        </is>
      </c>
      <c r="B117" s="149">
        <f>IFERROR(INDEX(Stock!$A$3:$T$92,MATCH('Crawley Overview'!$A117,Stock!$A$3:$A$92,0),MATCH('Crawley Overview'!B$65,Stock!$A$3:$T$3,0)),0)</f>
        <v/>
      </c>
      <c r="C117" s="149">
        <f>IFERROR(INDEX(Stock!$A$3:$T$92,MATCH('Crawley Overview'!$A117,Stock!$A$3:$A$92,0),MATCH('Crawley Overview'!C$65,Stock!$A$3:$T$3,0)),0)</f>
        <v/>
      </c>
      <c r="D117" s="149">
        <f>C117-B117</f>
        <v/>
      </c>
      <c r="E117" s="15" t="n"/>
      <c r="F117" s="138">
        <f>IFERROR(INDEX(Stock!$A$3:$T$92,MATCH('Crawley Overview'!$A117,Stock!$A$3:$A$92,0),MATCH('Crawley Overview'!F$65,Stock!$A$3:$T$3,0)),0)</f>
        <v/>
      </c>
      <c r="G117" s="138">
        <f>IFERROR(INDEX(Stock!$A$3:$T$92,MATCH('Crawley Overview'!$A117,Stock!$A$3:$A$92,0),MATCH('Crawley Overview'!G$65,Stock!$A$3:$T$3,0)),0)</f>
        <v/>
      </c>
      <c r="H117" s="10" t="n"/>
    </row>
    <row r="118">
      <c r="A118" s="24" t="inlineStr">
        <is>
          <t>Ram bareskins</t>
        </is>
      </c>
      <c r="B118" s="149">
        <f>IFERROR(INDEX(Stock!$A$3:$T$92,MATCH('Crawley Overview'!$A118,Stock!$A$3:$A$92,0),MATCH('Crawley Overview'!B$65,Stock!$A$3:$T$3,0)),0)</f>
        <v/>
      </c>
      <c r="C118" s="149">
        <f>IFERROR(INDEX(Stock!$A$3:$T$92,MATCH('Crawley Overview'!$A118,Stock!$A$3:$A$92,0),MATCH('Crawley Overview'!C$65,Stock!$A$3:$T$3,0)),0)</f>
        <v/>
      </c>
      <c r="D118" s="149">
        <f>C118-B118</f>
        <v/>
      </c>
      <c r="E118" s="15" t="n"/>
      <c r="F118" s="138">
        <f>IFERROR(INDEX(Stock!$A$3:$T$92,MATCH('Crawley Overview'!$A118,Stock!$A$3:$A$92,0),MATCH('Crawley Overview'!F$65,Stock!$A$3:$T$3,0)),0)</f>
        <v/>
      </c>
      <c r="G118" s="138">
        <f>IFERROR(INDEX(Stock!$A$3:$T$92,MATCH('Crawley Overview'!$A118,Stock!$A$3:$A$92,0),MATCH('Crawley Overview'!G$65,Stock!$A$3:$T$3,0)),0)</f>
        <v/>
      </c>
      <c r="H118" s="10" t="n"/>
    </row>
    <row r="119">
      <c r="A119" s="24" t="inlineStr">
        <is>
          <t>Ewe bareskins</t>
        </is>
      </c>
      <c r="B119" s="149">
        <f>IFERROR(INDEX(Stock!$A$3:$T$92,MATCH('Crawley Overview'!$A119,Stock!$A$3:$A$92,0),MATCH('Crawley Overview'!B$65,Stock!$A$3:$T$3,0)),0)</f>
        <v/>
      </c>
      <c r="C119" s="149">
        <f>IFERROR(INDEX(Stock!$A$3:$T$92,MATCH('Crawley Overview'!$A119,Stock!$A$3:$A$92,0),MATCH('Crawley Overview'!C$65,Stock!$A$3:$T$3,0)),0)</f>
        <v/>
      </c>
      <c r="D119" s="149">
        <f>C119-B119</f>
        <v/>
      </c>
      <c r="E119" s="15" t="n"/>
      <c r="F119" s="138">
        <f>IFERROR(INDEX(Stock!$A$3:$T$92,MATCH('Crawley Overview'!$A119,Stock!$A$3:$A$92,0),MATCH('Crawley Overview'!F$65,Stock!$A$3:$T$3,0)),0)</f>
        <v/>
      </c>
      <c r="G119" s="138">
        <f>IFERROR(INDEX(Stock!$A$3:$T$92,MATCH('Crawley Overview'!$A119,Stock!$A$3:$A$92,0),MATCH('Crawley Overview'!G$65,Stock!$A$3:$T$3,0)),0)</f>
        <v/>
      </c>
      <c r="H119" s="10" t="n"/>
    </row>
    <row r="120">
      <c r="A120" s="24" t="inlineStr">
        <is>
          <t>Hogg bareskins</t>
        </is>
      </c>
      <c r="B120" s="149">
        <f>IFERROR(INDEX(Stock!$A$3:$T$92,MATCH('Crawley Overview'!$A120,Stock!$A$3:$A$92,0),MATCH('Crawley Overview'!B$65,Stock!$A$3:$T$3,0)),0)</f>
        <v/>
      </c>
      <c r="C120" s="149">
        <f>IFERROR(INDEX(Stock!$A$3:$T$92,MATCH('Crawley Overview'!$A120,Stock!$A$3:$A$92,0),MATCH('Crawley Overview'!C$65,Stock!$A$3:$T$3,0)),0)</f>
        <v/>
      </c>
      <c r="D120" s="149">
        <f>C120-B120</f>
        <v/>
      </c>
      <c r="E120" s="15" t="n"/>
      <c r="F120" s="138">
        <f>IFERROR(INDEX(Stock!$A$3:$T$92,MATCH('Crawley Overview'!$A120,Stock!$A$3:$A$92,0),MATCH('Crawley Overview'!F$65,Stock!$A$3:$T$3,0)),0)</f>
        <v/>
      </c>
      <c r="G120" s="138">
        <f>IFERROR(INDEX(Stock!$A$3:$T$92,MATCH('Crawley Overview'!$A120,Stock!$A$3:$A$92,0),MATCH('Crawley Overview'!G$65,Stock!$A$3:$T$3,0)),0)</f>
        <v/>
      </c>
      <c r="H120" s="10" t="n"/>
    </row>
    <row r="121">
      <c r="A121" s="25" t="inlineStr">
        <is>
          <t>Bareskins (total)</t>
        </is>
      </c>
      <c r="B121" s="149">
        <f>IFERROR(INDEX(Stock!$A$3:$T$92,MATCH('Crawley Overview'!$A121,Stock!$A$3:$A$92,0),MATCH('Crawley Overview'!B$65,Stock!$A$3:$T$3,0)),0)</f>
        <v/>
      </c>
      <c r="C121" s="149">
        <f>IFERROR(INDEX(Stock!$A$3:$T$92,MATCH('Crawley Overview'!$A121,Stock!$A$3:$A$92,0),MATCH('Crawley Overview'!C$65,Stock!$A$3:$T$3,0)),0)</f>
        <v/>
      </c>
      <c r="D121" s="149">
        <f>C121-B121</f>
        <v/>
      </c>
      <c r="E121" s="15" t="n"/>
      <c r="F121" s="138">
        <f>IFERROR(INDEX(Stock!$A$3:$T$92,MATCH('Crawley Overview'!$A121,Stock!$A$3:$A$92,0),MATCH('Crawley Overview'!F$65,Stock!$A$3:$T$3,0)),0)</f>
        <v/>
      </c>
      <c r="G121" s="138">
        <f>IFERROR(INDEX(Stock!$A$3:$T$92,MATCH('Crawley Overview'!$A121,Stock!$A$3:$A$92,0),MATCH('Crawley Overview'!G$65,Stock!$A$3:$T$3,0)),0)</f>
        <v/>
      </c>
      <c r="H121" s="10" t="n"/>
    </row>
    <row r="122">
      <c r="A122" s="15" t="inlineStr">
        <is>
          <t>Lambskins</t>
        </is>
      </c>
      <c r="B122" s="149">
        <f>IFERROR(INDEX(Stock!$A$3:$T$92,MATCH('Crawley Overview'!$A122,Stock!$A$3:$A$92,0),MATCH('Crawley Overview'!B$65,Stock!$A$3:$T$3,0)),0)</f>
        <v/>
      </c>
      <c r="C122" s="149">
        <f>IFERROR(INDEX(Stock!$A$3:$T$92,MATCH('Crawley Overview'!$A122,Stock!$A$3:$A$92,0),MATCH('Crawley Overview'!C$65,Stock!$A$3:$T$3,0)),0)</f>
        <v/>
      </c>
      <c r="D122" s="149">
        <f>C122-B122</f>
        <v/>
      </c>
      <c r="E122" s="15" t="n"/>
      <c r="F122" s="138">
        <f>IFERROR(INDEX(Stock!$A$3:$T$92,MATCH('Crawley Overview'!$A122,Stock!$A$3:$A$92,0),MATCH('Crawley Overview'!F$65,Stock!$A$3:$T$3,0)),0)</f>
        <v/>
      </c>
      <c r="G122" s="138">
        <f>IFERROR(INDEX(Stock!$A$3:$T$92,MATCH('Crawley Overview'!$A122,Stock!$A$3:$A$92,0),MATCH('Crawley Overview'!G$65,Stock!$A$3:$T$3,0)),0)</f>
        <v/>
      </c>
      <c r="H122" s="10" t="n"/>
    </row>
    <row r="123">
      <c r="A123" s="15" t="inlineStr">
        <is>
          <t>Rotted skins</t>
        </is>
      </c>
      <c r="B123" s="149">
        <f>IFERROR(INDEX(Stock!$A$3:$T$92,MATCH('Crawley Overview'!$A123,Stock!$A$3:$A$92,0),MATCH('Crawley Overview'!B$65,Stock!$A$3:$T$3,0)),0)</f>
        <v/>
      </c>
      <c r="C123" s="149">
        <f>IFERROR(INDEX(Stock!$A$3:$T$92,MATCH('Crawley Overview'!$A123,Stock!$A$3:$A$92,0),MATCH('Crawley Overview'!C$65,Stock!$A$3:$T$3,0)),0)</f>
        <v/>
      </c>
      <c r="D123" s="149">
        <f>C123-B123</f>
        <v/>
      </c>
      <c r="E123" s="15" t="n"/>
      <c r="F123" s="138">
        <f>IFERROR(INDEX(Stock!$A$3:$T$92,MATCH('Crawley Overview'!$A123,Stock!$A$3:$A$92,0),MATCH('Crawley Overview'!F$65,Stock!$A$3:$T$3,0)),0)</f>
        <v/>
      </c>
      <c r="G123" s="138">
        <f>IFERROR(INDEX(Stock!$A$3:$T$92,MATCH('Crawley Overview'!$A123,Stock!$A$3:$A$92,0),MATCH('Crawley Overview'!G$65,Stock!$A$3:$T$3,0)),0)</f>
        <v/>
      </c>
      <c r="H123" s="10" t="n"/>
    </row>
    <row r="124">
      <c r="A124" s="15" t="inlineStr">
        <is>
          <t>Shorn skins</t>
        </is>
      </c>
      <c r="B124" s="149">
        <f>IFERROR(INDEX(Stock!$A$3:$T$92,MATCH('Crawley Overview'!$A124,Stock!$A$3:$A$92,0),MATCH('Crawley Overview'!B$65,Stock!$A$3:$T$3,0)),0)</f>
        <v/>
      </c>
      <c r="C124" s="149">
        <f>IFERROR(INDEX(Stock!$A$3:$T$92,MATCH('Crawley Overview'!$A124,Stock!$A$3:$A$92,0),MATCH('Crawley Overview'!C$65,Stock!$A$3:$T$3,0)),0)</f>
        <v/>
      </c>
      <c r="D124" s="149">
        <f>C124-B124</f>
        <v/>
      </c>
      <c r="E124" s="15" t="n"/>
      <c r="F124" s="138">
        <f>IFERROR(INDEX(Stock!$A$3:$T$92,MATCH('Crawley Overview'!$A124,Stock!$A$3:$A$92,0),MATCH('Crawley Overview'!F$65,Stock!$A$3:$T$3,0)),0)</f>
        <v/>
      </c>
      <c r="G124" s="138">
        <f>IFERROR(INDEX(Stock!$A$3:$T$92,MATCH('Crawley Overview'!$A124,Stock!$A$3:$A$92,0),MATCH('Crawley Overview'!G$65,Stock!$A$3:$T$3,0)),0)</f>
        <v/>
      </c>
      <c r="H124" s="10" t="n"/>
    </row>
    <row r="125">
      <c r="A125" s="17" t="inlineStr">
        <is>
          <t>Total value of production (sum of the above)</t>
        </is>
      </c>
      <c r="B125" s="135" t="n"/>
      <c r="C125" s="135" t="n"/>
      <c r="D125" s="135" t="n"/>
      <c r="E125" s="135" t="n"/>
      <c r="F125" s="136" t="n"/>
      <c r="G125" s="136">
        <f>SUM(G105:G124)</f>
        <v/>
      </c>
      <c r="H125" s="10" t="n"/>
    </row>
    <row r="126">
      <c r="A126" s="17" t="inlineStr">
        <is>
          <t>Value of sales</t>
        </is>
      </c>
      <c r="B126" s="135" t="n"/>
      <c r="C126" s="135" t="n"/>
      <c r="D126" s="135" t="n"/>
      <c r="E126" s="135" t="n"/>
      <c r="F126" s="136" t="n"/>
      <c r="G126" s="136">
        <f>SUM(F105:F124)</f>
        <v/>
      </c>
      <c r="H126" s="10" t="n"/>
    </row>
    <row r="127">
      <c r="A127" s="15" t="n"/>
      <c r="B127" s="15" t="n"/>
      <c r="C127" s="15" t="n"/>
      <c r="D127" s="15" t="n"/>
      <c r="E127" s="15" t="n"/>
      <c r="F127" s="134" t="n"/>
      <c r="G127" s="134" t="n"/>
      <c r="H127" s="10" t="n"/>
    </row>
    <row r="128" ht="51" customHeight="1">
      <c r="A128" s="16" t="inlineStr">
        <is>
          <t>Poultry stock</t>
        </is>
      </c>
      <c r="B128" s="151" t="inlineStr">
        <is>
          <t>Inherited stock</t>
        </is>
      </c>
      <c r="C128" s="151" t="inlineStr">
        <is>
          <t>End-period  stock</t>
        </is>
      </c>
      <c r="D128" s="152" t="inlineStr">
        <is>
          <t>Stockbuilding</t>
        </is>
      </c>
      <c r="E128" s="149" t="n"/>
      <c r="F128" s="153" t="inlineStr">
        <is>
          <t>Sales in (£)</t>
        </is>
      </c>
      <c r="G128" s="153" t="inlineStr">
        <is>
          <t>Value of production (£) at sales prices</t>
        </is>
      </c>
      <c r="H128" s="10" t="n"/>
    </row>
    <row r="129" ht="17" customHeight="1">
      <c r="A129" s="22" t="inlineStr">
        <is>
          <t>Hens</t>
        </is>
      </c>
      <c r="B129" s="149">
        <f>IFERROR(INDEX(Stock!$A$3:$T$92,MATCH('Crawley Overview'!$A129,Stock!$A$3:$A$92,0),MATCH('Crawley Overview'!B$65,Stock!$A$3:$T$3,0)),0)</f>
        <v/>
      </c>
      <c r="C129" s="149">
        <f>IFERROR(INDEX(Stock!$A$3:$T$92,MATCH('Crawley Overview'!$A129,Stock!$A$3:$A$92,0),MATCH('Crawley Overview'!C$65,Stock!$A$3:$T$3,0)),0)</f>
        <v/>
      </c>
      <c r="D129" s="149">
        <f>C129-B129</f>
        <v/>
      </c>
      <c r="E129" s="15" t="n"/>
      <c r="F129" s="138">
        <f>IFERROR(INDEX(Stock!$A$3:$T$92,MATCH('Crawley Overview'!$A129,Stock!$A$3:$A$92,0),MATCH('Crawley Overview'!F$65,Stock!$A$3:$T$3,0)),0)</f>
        <v/>
      </c>
      <c r="G129" s="138">
        <f>IFERROR(INDEX(Stock!$A$3:$T$92,MATCH('Crawley Overview'!$A129,Stock!$A$3:$A$92,0),MATCH('Crawley Overview'!G$65,Stock!$A$3:$T$3,0)),0)</f>
        <v/>
      </c>
      <c r="H129" s="10" t="n"/>
    </row>
    <row r="130">
      <c r="A130" s="15" t="inlineStr">
        <is>
          <t>Geese</t>
        </is>
      </c>
      <c r="B130" s="149">
        <f>IFERROR(INDEX(Stock!$A$3:$T$92,MATCH('Crawley Overview'!$A130,Stock!$A$3:$A$92,0),MATCH('Crawley Overview'!B$65,Stock!$A$3:$T$3,0)),0)</f>
        <v/>
      </c>
      <c r="C130" s="149">
        <f>IFERROR(INDEX(Stock!$A$3:$T$92,MATCH('Crawley Overview'!$A130,Stock!$A$3:$A$92,0),MATCH('Crawley Overview'!C$65,Stock!$A$3:$T$3,0)),0)</f>
        <v/>
      </c>
      <c r="D130" s="149">
        <f>C130-B130</f>
        <v/>
      </c>
      <c r="E130" s="15" t="n"/>
      <c r="F130" s="138">
        <f>IFERROR(INDEX(Stock!$A$3:$T$92,MATCH('Crawley Overview'!$A130,Stock!$A$3:$A$92,0),MATCH('Crawley Overview'!F$65,Stock!$A$3:$T$3,0)),0)</f>
        <v/>
      </c>
      <c r="G130" s="138">
        <f>IFERROR(INDEX(Stock!$A$3:$T$92,MATCH('Crawley Overview'!$A130,Stock!$A$3:$A$92,0),MATCH('Crawley Overview'!G$65,Stock!$A$3:$T$3,0)),0)</f>
        <v/>
      </c>
      <c r="H130" s="10" t="n"/>
    </row>
    <row r="131">
      <c r="A131" s="15" t="inlineStr">
        <is>
          <t>Capons (from chickens)</t>
        </is>
      </c>
      <c r="B131" s="149">
        <f>IFERROR(INDEX(Stock!$A$3:$T$92,MATCH('Crawley Overview'!$A131,Stock!$A$3:$A$92,0),MATCH('Crawley Overview'!B$65,Stock!$A$3:$T$3,0)),0)</f>
        <v/>
      </c>
      <c r="C131" s="149">
        <f>IFERROR(INDEX(Stock!$A$3:$T$92,MATCH('Crawley Overview'!$A131,Stock!$A$3:$A$92,0),MATCH('Crawley Overview'!C$65,Stock!$A$3:$T$3,0)),0)</f>
        <v/>
      </c>
      <c r="D131" s="149">
        <f>C131-B131</f>
        <v/>
      </c>
      <c r="E131" s="15" t="n"/>
      <c r="F131" s="138">
        <f>IFERROR(INDEX(Stock!$A$3:$T$92,MATCH('Crawley Overview'!$A131,Stock!$A$3:$A$92,0),MATCH('Crawley Overview'!F$65,Stock!$A$3:$T$3,0)),0)</f>
        <v/>
      </c>
      <c r="G131" s="138">
        <f>IFERROR(INDEX(Stock!$A$3:$T$92,MATCH('Crawley Overview'!$A131,Stock!$A$3:$A$92,0),MATCH('Crawley Overview'!G$65,Stock!$A$3:$T$3,0)),0)</f>
        <v/>
      </c>
      <c r="H131" s="10" t="n"/>
    </row>
    <row r="132">
      <c r="A132" s="15" t="inlineStr">
        <is>
          <t>Cocks &amp; hens</t>
        </is>
      </c>
      <c r="B132" s="149">
        <f>IFERROR(INDEX(Stock!$A$3:$T$92,MATCH('Crawley Overview'!$A132,Stock!$A$3:$A$92,0),MATCH('Crawley Overview'!B$65,Stock!$A$3:$T$3,0)),0)</f>
        <v/>
      </c>
      <c r="C132" s="149">
        <f>IFERROR(INDEX(Stock!$A$3:$T$92,MATCH('Crawley Overview'!$A132,Stock!$A$3:$A$92,0),MATCH('Crawley Overview'!C$65,Stock!$A$3:$T$3,0)),0)</f>
        <v/>
      </c>
      <c r="D132" s="149">
        <f>C132-B132</f>
        <v/>
      </c>
      <c r="E132" s="15" t="n"/>
      <c r="F132" s="138">
        <f>IFERROR(INDEX(Stock!$A$3:$T$92,MATCH('Crawley Overview'!$A132,Stock!$A$3:$A$92,0),MATCH('Crawley Overview'!F$65,Stock!$A$3:$T$3,0)),0)</f>
        <v/>
      </c>
      <c r="G132" s="138">
        <f>IFERROR(INDEX(Stock!$A$3:$T$92,MATCH('Crawley Overview'!$A132,Stock!$A$3:$A$92,0),MATCH('Crawley Overview'!G$65,Stock!$A$3:$T$3,0)),0)</f>
        <v/>
      </c>
      <c r="H132" s="10" t="n"/>
    </row>
    <row r="133">
      <c r="A133" s="17" t="inlineStr">
        <is>
          <t>Total value of production (sum of the above)</t>
        </is>
      </c>
      <c r="B133" s="135" t="n"/>
      <c r="C133" s="135" t="n"/>
      <c r="D133" s="135" t="n"/>
      <c r="E133" s="135" t="n"/>
      <c r="F133" s="136" t="n"/>
      <c r="G133" s="136">
        <f>SUM(G129:G132)</f>
        <v/>
      </c>
      <c r="H133" s="10" t="n"/>
    </row>
    <row r="134">
      <c r="A134" s="17" t="inlineStr">
        <is>
          <t>Value of sales</t>
        </is>
      </c>
      <c r="B134" s="135" t="n"/>
      <c r="C134" s="135" t="n"/>
      <c r="D134" s="135" t="n"/>
      <c r="E134" s="135" t="n"/>
      <c r="F134" s="136" t="n"/>
      <c r="G134" s="136">
        <f>SUM(F129:F132)</f>
        <v/>
      </c>
      <c r="H134" s="10" t="n"/>
    </row>
    <row r="135">
      <c r="A135" s="15" t="n"/>
      <c r="B135" s="15" t="n"/>
      <c r="C135" s="15" t="n"/>
      <c r="D135" s="15" t="n"/>
      <c r="E135" s="15" t="n"/>
      <c r="F135" s="134" t="n"/>
      <c r="G135" s="134" t="n"/>
      <c r="H135" s="10" t="n"/>
    </row>
    <row r="136" ht="51" customHeight="1">
      <c r="A136" s="16" t="inlineStr">
        <is>
          <t>Poultry production</t>
        </is>
      </c>
      <c r="B136" s="151" t="inlineStr">
        <is>
          <t>Inherited stock</t>
        </is>
      </c>
      <c r="C136" s="151" t="inlineStr">
        <is>
          <t>End-period  stock</t>
        </is>
      </c>
      <c r="D136" s="152" t="inlineStr">
        <is>
          <t>Stockbuilding</t>
        </is>
      </c>
      <c r="E136" s="149" t="n"/>
      <c r="F136" s="153" t="inlineStr">
        <is>
          <t>Sales in (£)</t>
        </is>
      </c>
      <c r="G136" s="153" t="inlineStr">
        <is>
          <t>Value of production (£) at sales prices</t>
        </is>
      </c>
      <c r="H136" s="10" t="n"/>
    </row>
    <row r="137">
      <c r="A137" s="15" t="inlineStr">
        <is>
          <t>Eggs</t>
        </is>
      </c>
      <c r="B137" s="149">
        <f>IFERROR(INDEX(Stock!$A$3:$T$92,MATCH('Crawley Overview'!$A137,Stock!$A$3:$A$92,0),MATCH('Crawley Overview'!B$65,Stock!$A$3:$T$3,0)),0)</f>
        <v/>
      </c>
      <c r="C137" s="149">
        <f>IFERROR(INDEX(Stock!$A$3:$T$92,MATCH('Crawley Overview'!$A137,Stock!$A$3:$A$92,0),MATCH('Crawley Overview'!C$65,Stock!$A$3:$T$3,0)),0)</f>
        <v/>
      </c>
      <c r="D137" s="149">
        <f>C137-B137</f>
        <v/>
      </c>
      <c r="E137" s="15" t="n"/>
      <c r="F137" s="138">
        <f>IFERROR(INDEX(Stock!$A$3:$T$92,MATCH('Crawley Overview'!$A137,Stock!$A$3:$A$92,0),MATCH('Crawley Overview'!F$65,Stock!$A$3:$T$3,0)),0)</f>
        <v/>
      </c>
      <c r="G137" s="138">
        <f>IFERROR(INDEX(Stock!$A$3:$T$92,MATCH('Crawley Overview'!$A137,Stock!$A$3:$A$92,0),MATCH('Crawley Overview'!G$65,Stock!$A$3:$T$3,0)),0)</f>
        <v/>
      </c>
      <c r="H137" s="10" t="n"/>
    </row>
    <row r="138">
      <c r="A138" s="15" t="inlineStr">
        <is>
          <t>Cocks &amp; hens from churchscot of customary tenants</t>
        </is>
      </c>
      <c r="B138" s="149">
        <f>IFERROR(INDEX(Stock!$A$3:$T$92,MATCH('Crawley Overview'!$A138,Stock!$A$3:$A$92,0),MATCH('Crawley Overview'!B$65,Stock!$A$3:$T$3,0)),0)</f>
        <v/>
      </c>
      <c r="C138" s="149">
        <f>IFERROR(INDEX(Stock!$A$3:$T$92,MATCH('Crawley Overview'!$A138,Stock!$A$3:$A$92,0),MATCH('Crawley Overview'!C$65,Stock!$A$3:$T$3,0)),0)</f>
        <v/>
      </c>
      <c r="D138" s="149">
        <f>C138-B138</f>
        <v/>
      </c>
      <c r="E138" s="15" t="n"/>
      <c r="F138" s="138">
        <f>IFERROR(INDEX(Stock!$A$3:$T$92,MATCH('Crawley Overview'!$A138,Stock!$A$3:$A$92,0),MATCH('Crawley Overview'!F$65,Stock!$A$3:$T$3,0)),0)</f>
        <v/>
      </c>
      <c r="G138" s="138">
        <f>IFERROR(INDEX(Stock!$A$3:$T$92,MATCH('Crawley Overview'!$A138,Stock!$A$3:$A$92,0),MATCH('Crawley Overview'!G$65,Stock!$A$3:$T$3,0)),0)</f>
        <v/>
      </c>
      <c r="H138" s="10" t="n"/>
    </row>
    <row r="139">
      <c r="A139" s="15" t="inlineStr">
        <is>
          <t>Sum of above</t>
        </is>
      </c>
      <c r="B139" s="149">
        <f>SUM(B137:B138)</f>
        <v/>
      </c>
      <c r="C139" s="149">
        <f>SUM(C137:C138)</f>
        <v/>
      </c>
      <c r="D139" s="149">
        <f>SUM(D137:D138)</f>
        <v/>
      </c>
      <c r="E139" s="15" t="n"/>
      <c r="F139" s="138">
        <f>IFERROR(INDEX(Stock!$A$3:$T$92,MATCH('Crawley Overview'!$A139,Stock!$A$3:$A$92,0),MATCH('Crawley Overview'!F$65,Stock!$A$3:$T$3,0)),0)</f>
        <v/>
      </c>
      <c r="G139" s="138">
        <f>IFERROR(INDEX(Stock!$A$3:$T$92,MATCH('Crawley Overview'!$A139,Stock!$A$3:$A$92,0),MATCH('Crawley Overview'!G$65,Stock!$A$3:$T$3,0)),0)</f>
        <v/>
      </c>
      <c r="H139" s="10" t="n"/>
    </row>
    <row r="140">
      <c r="A140" s="17" t="inlineStr">
        <is>
          <t>Total value of stock</t>
        </is>
      </c>
      <c r="B140" s="135" t="n"/>
      <c r="C140" s="135" t="n"/>
      <c r="D140" s="135" t="n"/>
      <c r="E140" s="135" t="n"/>
      <c r="F140" s="136" t="n"/>
      <c r="G140" s="136">
        <f>SUM(G137:G139)</f>
        <v/>
      </c>
      <c r="H140" s="10" t="n"/>
    </row>
    <row r="141">
      <c r="A141" s="17" t="inlineStr">
        <is>
          <t>Value of sales</t>
        </is>
      </c>
      <c r="B141" s="135" t="n"/>
      <c r="C141" s="135" t="n"/>
      <c r="D141" s="135" t="n"/>
      <c r="E141" s="135" t="n"/>
      <c r="F141" s="136" t="n"/>
      <c r="G141" s="136">
        <f>SUM(F137:F139)</f>
        <v/>
      </c>
      <c r="H141" s="10" t="n"/>
    </row>
    <row r="142">
      <c r="A142" s="15" t="n"/>
      <c r="B142" s="15" t="n"/>
      <c r="C142" s="15" t="n"/>
      <c r="D142" s="15" t="n"/>
      <c r="E142" s="15" t="n"/>
      <c r="F142" s="134" t="n"/>
      <c r="G142" s="134" t="n"/>
      <c r="H142" s="10" t="n"/>
    </row>
    <row r="143" ht="51" customHeight="1">
      <c r="A143" s="16" t="inlineStr">
        <is>
          <t>Dairy Production</t>
        </is>
      </c>
      <c r="B143" s="151" t="inlineStr">
        <is>
          <t>Inherited stock</t>
        </is>
      </c>
      <c r="C143" s="151" t="inlineStr">
        <is>
          <t>End-period  stock</t>
        </is>
      </c>
      <c r="D143" s="152" t="inlineStr">
        <is>
          <t>Stockbuilding</t>
        </is>
      </c>
      <c r="E143" s="149" t="n"/>
      <c r="F143" s="153" t="inlineStr">
        <is>
          <t>Sales in (£)</t>
        </is>
      </c>
      <c r="G143" s="153" t="inlineStr">
        <is>
          <t>Value of production (£) at sales prices</t>
        </is>
      </c>
      <c r="H143" s="10" t="n"/>
    </row>
    <row r="144">
      <c r="A144" s="15" t="inlineStr">
        <is>
          <t>Butter</t>
        </is>
      </c>
      <c r="B144" s="149">
        <f>IFERROR(INDEX(Stock!$A$3:$T$92,MATCH('Crawley Overview'!$A144,Stock!$A$3:$A$92,0),MATCH('Crawley Overview'!B$65,Stock!$A$3:$T$3,0)),0)</f>
        <v/>
      </c>
      <c r="C144" s="149">
        <f>IFERROR(INDEX(Stock!$A$3:$T$92,MATCH('Crawley Overview'!$A144,Stock!$A$3:$A$92,0),MATCH('Crawley Overview'!C$65,Stock!$A$3:$T$3,0)),0)</f>
        <v/>
      </c>
      <c r="D144" s="149">
        <f>C144-B144</f>
        <v/>
      </c>
      <c r="E144" s="15" t="n"/>
      <c r="F144" s="138">
        <f>IFERROR(INDEX(Stock!$A$3:$T$92,MATCH('Crawley Overview'!$A144,Stock!$A$3:$A$92,0),MATCH('Crawley Overview'!F$65,Stock!$A$3:$T$3,0)),0)</f>
        <v/>
      </c>
      <c r="G144" s="138">
        <f>IFERROR(INDEX(Stock!$A$3:$T$92,MATCH('Crawley Overview'!$A144,Stock!$A$3:$A$92,0),MATCH('Crawley Overview'!G$65,Stock!$A$3:$T$3,0)),0)</f>
        <v/>
      </c>
      <c r="H144" s="10" t="n"/>
    </row>
    <row r="145">
      <c r="A145" s="15" t="inlineStr">
        <is>
          <t>Winter Cheese</t>
        </is>
      </c>
      <c r="B145" s="149">
        <f>IFERROR(INDEX(Stock!$A$3:$T$92,MATCH('Crawley Overview'!$A145,Stock!$A$3:$A$92,0),MATCH('Crawley Overview'!B$65,Stock!$A$3:$T$3,0)),0)</f>
        <v/>
      </c>
      <c r="C145" s="149">
        <f>IFERROR(INDEX(Stock!$A$3:$T$92,MATCH('Crawley Overview'!$A145,Stock!$A$3:$A$92,0),MATCH('Crawley Overview'!C$65,Stock!$A$3:$T$3,0)),0)</f>
        <v/>
      </c>
      <c r="D145" s="149">
        <f>C145-B145</f>
        <v/>
      </c>
      <c r="E145" s="15" t="n"/>
      <c r="F145" s="138">
        <f>IFERROR(INDEX(Stock!$A$3:$T$92,MATCH('Crawley Overview'!$A145,Stock!$A$3:$A$92,0),MATCH('Crawley Overview'!F$65,Stock!$A$3:$T$3,0)),0)</f>
        <v/>
      </c>
      <c r="G145" s="138">
        <f>IFERROR(INDEX(Stock!$A$3:$T$92,MATCH('Crawley Overview'!$A145,Stock!$A$3:$A$92,0),MATCH('Crawley Overview'!G$65,Stock!$A$3:$T$3,0)),0)</f>
        <v/>
      </c>
      <c r="H145" s="10" t="n"/>
    </row>
    <row r="146">
      <c r="A146" s="15" t="inlineStr">
        <is>
          <t>Summer Cheese</t>
        </is>
      </c>
      <c r="B146" s="149">
        <f>IFERROR(INDEX(Stock!$A$3:$T$92,MATCH('Crawley Overview'!$A146,Stock!$A$3:$A$92,0),MATCH('Crawley Overview'!B$65,Stock!$A$3:$T$3,0)),0)</f>
        <v/>
      </c>
      <c r="C146" s="149">
        <f>IFERROR(INDEX(Stock!$A$3:$T$92,MATCH('Crawley Overview'!$A146,Stock!$A$3:$A$92,0),MATCH('Crawley Overview'!C$65,Stock!$A$3:$T$3,0)),0)</f>
        <v/>
      </c>
      <c r="D146" s="149">
        <f>C146-B146</f>
        <v/>
      </c>
      <c r="E146" s="15" t="n"/>
      <c r="F146" s="138">
        <f>IFERROR(INDEX(Stock!$A$3:$T$92,MATCH('Crawley Overview'!$A146,Stock!$A$3:$A$92,0),MATCH('Crawley Overview'!F$65,Stock!$A$3:$T$3,0)),0)</f>
        <v/>
      </c>
      <c r="G146" s="138">
        <f>IFERROR(INDEX(Stock!$A$3:$T$92,MATCH('Crawley Overview'!$A146,Stock!$A$3:$A$92,0),MATCH('Crawley Overview'!G$65,Stock!$A$3:$T$3,0)),0)</f>
        <v/>
      </c>
      <c r="H146" s="10" t="n"/>
    </row>
    <row r="147">
      <c r="A147" s="17" t="inlineStr">
        <is>
          <t>Total value of production (sum of the above)</t>
        </is>
      </c>
      <c r="B147" s="135" t="n"/>
      <c r="C147" s="135" t="n"/>
      <c r="D147" s="135" t="n"/>
      <c r="E147" s="135" t="n"/>
      <c r="F147" s="136" t="n"/>
      <c r="G147" s="136">
        <f>SUM(G144:G146)</f>
        <v/>
      </c>
      <c r="H147" s="10" t="n"/>
    </row>
    <row r="148">
      <c r="A148" s="17" t="inlineStr">
        <is>
          <t>Value of sales</t>
        </is>
      </c>
      <c r="B148" s="135" t="n"/>
      <c r="C148" s="135" t="n"/>
      <c r="D148" s="135" t="n"/>
      <c r="E148" s="135" t="n"/>
      <c r="F148" s="136" t="n"/>
      <c r="G148" s="136">
        <f>SUM(F144:F146)</f>
        <v/>
      </c>
      <c r="H148" s="10" t="n"/>
    </row>
    <row r="149">
      <c r="A149" s="15" t="n"/>
      <c r="B149" s="15" t="n"/>
      <c r="C149" s="15" t="n"/>
      <c r="D149" s="15" t="n"/>
      <c r="E149" s="15" t="n"/>
      <c r="F149" s="134" t="n"/>
      <c r="G149" s="134" t="n"/>
      <c r="H149" s="10" t="n"/>
    </row>
    <row r="150" ht="17" customHeight="1">
      <c r="A150" s="15" t="n"/>
      <c r="B150" s="15" t="n"/>
      <c r="C150" s="15" t="n"/>
      <c r="D150" s="15" t="n"/>
      <c r="E150" s="15" t="n"/>
      <c r="F150" s="134" t="n"/>
      <c r="G150" s="134" t="n"/>
      <c r="H150" s="10" t="n"/>
    </row>
    <row r="151" ht="17" customHeight="1">
      <c r="A151" s="103" t="n"/>
      <c r="B151" s="104" t="inlineStr">
        <is>
          <t>Total in £</t>
        </is>
      </c>
      <c r="C151" s="105" t="n"/>
      <c r="D151" s="154" t="n"/>
      <c r="E151" s="155" t="n"/>
      <c r="F151" s="134" t="n"/>
      <c r="G151" s="134" t="n"/>
      <c r="H151" s="10" t="n"/>
    </row>
    <row r="152">
      <c r="A152" s="97" t="inlineStr">
        <is>
          <t>Total Production Value of all Output (Grange, Dairy, Livestock Sales, Wools, Skins - NO Mill)</t>
        </is>
      </c>
      <c r="B152" s="26">
        <f>G147+G140+G125+G101+G51</f>
        <v/>
      </c>
      <c r="C152" s="10" t="n"/>
      <c r="D152" s="9" t="n"/>
      <c r="E152" s="156" t="n"/>
      <c r="F152" s="134" t="n"/>
      <c r="G152" s="140" t="n"/>
      <c r="H152" s="10" t="n"/>
    </row>
    <row r="153">
      <c r="A153" s="98" t="inlineStr">
        <is>
          <t>Total Sales Value of all Output as defined above</t>
        </is>
      </c>
      <c r="B153" s="26">
        <f>G148+G141+G126+G102+G52</f>
        <v/>
      </c>
      <c r="C153" s="10" t="n"/>
      <c r="D153" s="9" t="n"/>
      <c r="E153" s="156" t="n"/>
      <c r="F153" s="134" t="n"/>
      <c r="G153" s="140" t="n"/>
      <c r="H153" s="10" t="n"/>
    </row>
    <row r="154">
      <c r="A154" s="98" t="inlineStr">
        <is>
          <t>Total Sales of Corn + Issues of the Manor as recorded in account</t>
        </is>
      </c>
      <c r="B154" s="26">
        <f>G11+G12</f>
        <v/>
      </c>
      <c r="C154" s="10" t="n"/>
      <c r="D154" s="9" t="n"/>
      <c r="E154" s="156" t="n"/>
      <c r="F154" s="134" t="n"/>
      <c r="G154" s="140" t="n"/>
      <c r="H154" s="10" t="n"/>
    </row>
    <row r="155">
      <c r="A155" s="98" t="inlineStr">
        <is>
          <t>Production Value + Cash Receipts (excl. Arrears, Issues, Corn and Mill)</t>
        </is>
      </c>
      <c r="B155" s="26">
        <f>B152+G9+G10+G13+G14</f>
        <v/>
      </c>
      <c r="C155" s="10" t="n"/>
      <c r="D155" s="9" t="n"/>
      <c r="E155" s="156" t="n"/>
      <c r="F155" s="134" t="n"/>
      <c r="G155" s="134" t="n"/>
      <c r="H155" s="10" t="n"/>
    </row>
    <row r="156">
      <c r="A156" s="99" t="n"/>
      <c r="B156" s="9" t="n"/>
      <c r="C156" s="10" t="n"/>
      <c r="D156" s="9" t="n"/>
      <c r="E156" s="156" t="n"/>
      <c r="F156" s="134" t="n"/>
      <c r="G156" s="134" t="n"/>
      <c r="H156" s="10" t="n"/>
    </row>
    <row r="157">
      <c r="A157" s="100" t="inlineStr">
        <is>
          <t>% of capital expenses in terms of total production</t>
        </is>
      </c>
      <c r="B157" s="157">
        <f>G31/B152</f>
        <v/>
      </c>
      <c r="C157" s="40" t="n"/>
      <c r="D157" s="9" t="n"/>
      <c r="E157" s="156" t="n"/>
      <c r="F157" s="134" t="n"/>
      <c r="G157" s="140" t="n"/>
      <c r="H157" s="10" t="n"/>
    </row>
    <row r="158">
      <c r="A158" s="98" t="inlineStr">
        <is>
          <t>% of capital expenses in terms of total production + cash receipts</t>
        </is>
      </c>
      <c r="B158" s="157">
        <f>G31/B155</f>
        <v/>
      </c>
      <c r="C158" s="10" t="n"/>
      <c r="D158" s="9" t="n"/>
      <c r="E158" s="156" t="n"/>
      <c r="F158" s="134" t="n"/>
      <c r="G158" s="134" t="n"/>
      <c r="H158" s="10" t="n"/>
    </row>
    <row r="159">
      <c r="A159" s="99" t="n"/>
      <c r="B159" s="157" t="n"/>
      <c r="C159" s="10" t="n"/>
      <c r="D159" s="9" t="n"/>
      <c r="E159" s="156" t="n"/>
      <c r="F159" s="134" t="n"/>
      <c r="G159" s="140" t="n"/>
      <c r="H159" s="10" t="n"/>
    </row>
    <row r="160" ht="17" customHeight="1">
      <c r="A160" s="101" t="inlineStr">
        <is>
          <t>% of capital expenses as calculated previously</t>
        </is>
      </c>
      <c r="B160" s="158" t="n">
        <v>0.04802</v>
      </c>
      <c r="C160" s="102" t="n"/>
      <c r="D160" s="159" t="n"/>
      <c r="E160" s="160" t="n"/>
    </row>
  </sheetData>
  <mergeCells count="1">
    <mergeCell ref="B42:C4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0"/>
  <sheetViews>
    <sheetView topLeftCell="A1" workbookViewId="0">
      <selection activeCell="A1" sqref="A1"/>
    </sheetView>
  </sheetViews>
  <sheetFormatPr baseColWidth="8" defaultRowHeight="15"/>
  <cols>
    <col width="41.5" customWidth="1" min="1" max="1"/>
    <col width="10.83203125" customWidth="1" min="7" max="7"/>
  </cols>
  <sheetData>
    <row r="1">
      <c r="A1" t="inlineStr">
        <is>
          <t>CRAWLEY RECEIPTS</t>
        </is>
      </c>
      <c r="F1" s="161" t="n"/>
      <c r="H1" s="10" t="n"/>
    </row>
    <row r="2">
      <c r="B2" s="89" t="inlineStr">
        <is>
          <t>£</t>
        </is>
      </c>
      <c r="C2" s="90" t="inlineStr">
        <is>
          <t xml:space="preserve">s </t>
        </is>
      </c>
      <c r="D2" s="90" t="inlineStr">
        <is>
          <t>d</t>
        </is>
      </c>
      <c r="E2" s="12" t="n"/>
      <c r="F2" s="5" t="inlineStr">
        <is>
          <t>Total in £</t>
        </is>
      </c>
      <c r="G2" s="162" t="inlineStr">
        <is>
          <t>Error</t>
        </is>
      </c>
      <c r="H2" s="12" t="inlineStr">
        <is>
          <t>Notes</t>
        </is>
      </c>
    </row>
    <row r="3">
      <c r="F3" s="161" t="n"/>
      <c r="H3" s="10" t="n"/>
    </row>
    <row r="4">
      <c r="A4" s="12" t="inlineStr">
        <is>
          <t>Arrears</t>
        </is>
      </c>
      <c r="F4" s="161" t="n"/>
      <c r="H4" s="10" t="n"/>
    </row>
    <row r="5">
      <c r="A5" t="inlineStr">
        <is>
          <t>Arrears total</t>
        </is>
      </c>
      <c r="B5" t="n">
        <v>7</v>
      </c>
      <c r="C5" t="n">
        <v>8</v>
      </c>
      <c r="D5" t="n">
        <v>8</v>
      </c>
      <c r="F5" s="163">
        <f>B5+C5/20+D5/240</f>
        <v/>
      </c>
      <c r="H5" s="10" t="n"/>
    </row>
    <row r="6">
      <c r="A6" t="inlineStr">
        <is>
          <t>of which delivered to treasurer of Wolvesey</t>
        </is>
      </c>
      <c r="B6" t="n">
        <v>7</v>
      </c>
      <c r="C6" t="n">
        <v>8</v>
      </c>
      <c r="D6" t="n">
        <v>8</v>
      </c>
      <c r="F6" s="163">
        <f>B6+C6/20+D6/240</f>
        <v/>
      </c>
      <c r="H6" s="10" t="n"/>
    </row>
    <row r="7"/>
    <row r="8">
      <c r="A8" s="12" t="inlineStr">
        <is>
          <t>Rents of assize</t>
        </is>
      </c>
    </row>
    <row r="9">
      <c r="A9" t="inlineStr">
        <is>
          <t>Christmas</t>
        </is>
      </c>
      <c r="B9" t="n">
        <v>3</v>
      </c>
      <c r="C9" t="n">
        <v>1</v>
      </c>
      <c r="D9" t="n">
        <v>4</v>
      </c>
      <c r="F9" s="163">
        <f>B9+C9/20+D9/240</f>
        <v/>
      </c>
    </row>
    <row r="10">
      <c r="A10" t="inlineStr">
        <is>
          <t>Easter</t>
        </is>
      </c>
      <c r="B10" t="n">
        <v>3</v>
      </c>
      <c r="C10" t="n">
        <v>1</v>
      </c>
      <c r="D10" t="n">
        <v>4</v>
      </c>
      <c r="F10" s="163">
        <f>B10+C10/20+D10/240</f>
        <v/>
      </c>
    </row>
    <row r="11">
      <c r="A11" t="inlineStr">
        <is>
          <t>John the Baptist</t>
        </is>
      </c>
      <c r="B11" t="n">
        <v>3</v>
      </c>
      <c r="C11" t="n">
        <v>1</v>
      </c>
      <c r="D11" t="n">
        <v>4</v>
      </c>
      <c r="F11" s="163">
        <f>B11+C11/20+D11/240</f>
        <v/>
      </c>
    </row>
    <row r="12">
      <c r="A12" t="inlineStr">
        <is>
          <t>Michaelmas</t>
        </is>
      </c>
      <c r="B12" t="n">
        <v>4</v>
      </c>
      <c r="C12" t="n">
        <v>17</v>
      </c>
      <c r="D12" t="n">
        <v>7</v>
      </c>
      <c r="F12" s="163">
        <f>B12+C12/20+D12/240</f>
        <v/>
      </c>
    </row>
    <row r="13">
      <c r="A13" s="12" t="inlineStr">
        <is>
          <t>Total recorded in accounts</t>
        </is>
      </c>
      <c r="B13" t="n">
        <v>14</v>
      </c>
      <c r="C13" t="n">
        <v>1</v>
      </c>
      <c r="D13" t="n">
        <v>7</v>
      </c>
      <c r="F13" s="163">
        <f>B13+C13/20+D13/240</f>
        <v/>
      </c>
    </row>
    <row r="14">
      <c r="A14" s="12" t="inlineStr">
        <is>
          <t>Rents of assize total</t>
        </is>
      </c>
      <c r="B14">
        <f>SUM(B9:B12)</f>
        <v/>
      </c>
      <c r="C14">
        <f>SUM(C9:C12)</f>
        <v/>
      </c>
      <c r="D14">
        <f>SUM(D9:D12)</f>
        <v/>
      </c>
      <c r="F14" s="163">
        <f>B14+C14/20+D14/240</f>
        <v/>
      </c>
      <c r="G14" s="141">
        <f>F14-F13</f>
        <v/>
      </c>
    </row>
    <row r="15"/>
    <row r="16">
      <c r="A16" s="12" t="inlineStr">
        <is>
          <t>Quittances</t>
        </is>
      </c>
    </row>
    <row r="17">
      <c r="A17" t="inlineStr">
        <is>
          <t>1 reeve for the year</t>
        </is>
      </c>
      <c r="C17" t="n">
        <v>5</v>
      </c>
      <c r="F17" s="163">
        <f>B17+C17/20+D17/240</f>
        <v/>
      </c>
    </row>
    <row r="18">
      <c r="A18" t="inlineStr">
        <is>
          <t>6 ploughmen 1 smith for the year</t>
        </is>
      </c>
      <c r="C18" t="n">
        <v>18</v>
      </c>
      <c r="D18" t="n">
        <v>8</v>
      </c>
      <c r="F18" s="163">
        <f>B18+C18/20+D18/240</f>
        <v/>
      </c>
    </row>
    <row r="19">
      <c r="A19" t="inlineStr">
        <is>
          <t>2 shepherds for the year</t>
        </is>
      </c>
      <c r="C19" t="n">
        <v>5</v>
      </c>
      <c r="D19" t="n">
        <v>4</v>
      </c>
      <c r="F19" s="163">
        <f>B19+C19/20+D19/240</f>
        <v/>
      </c>
    </row>
    <row r="20">
      <c r="A20" t="inlineStr">
        <is>
          <t>8 workers</t>
        </is>
      </c>
      <c r="B20" t="n">
        <v>1</v>
      </c>
      <c r="C20" t="n">
        <v>1</v>
      </c>
      <c r="D20" t="n">
        <v>4</v>
      </c>
      <c r="F20" s="163">
        <f>B20+C20/20+D20/240</f>
        <v/>
      </c>
    </row>
    <row r="21">
      <c r="A21" t="inlineStr">
        <is>
          <t>1 swineherd and 1 cowherd</t>
        </is>
      </c>
      <c r="C21" t="n">
        <v>5</v>
      </c>
      <c r="D21" t="n">
        <v>4</v>
      </c>
      <c r="F21" s="163">
        <f>B21+C21/20+D21/240</f>
        <v/>
      </c>
    </row>
    <row r="22">
      <c r="A22" s="12" t="inlineStr">
        <is>
          <t>Total recorded in accounts</t>
        </is>
      </c>
      <c r="B22" t="n">
        <v>2</v>
      </c>
      <c r="C22" t="n">
        <v>15</v>
      </c>
      <c r="D22" t="n">
        <v>8</v>
      </c>
      <c r="F22" s="163">
        <f>B22+C22/20+D22/240</f>
        <v/>
      </c>
    </row>
    <row r="23">
      <c r="A23" s="12" t="inlineStr">
        <is>
          <t>Quittances total</t>
        </is>
      </c>
      <c r="B23">
        <f>SUM(B17:B21)</f>
        <v/>
      </c>
      <c r="C23">
        <f>SUM(C17:C21)</f>
        <v/>
      </c>
      <c r="D23">
        <f>SUM(D17:D21)</f>
        <v/>
      </c>
      <c r="F23" s="163">
        <f>B23+C23/20+D23/240</f>
        <v/>
      </c>
      <c r="G23" s="141">
        <f>F23-F22</f>
        <v/>
      </c>
    </row>
    <row r="24"/>
    <row r="25">
      <c r="A25" s="12" t="inlineStr">
        <is>
          <t>Defaults of rent</t>
        </is>
      </c>
    </row>
    <row r="26">
      <c r="A26" t="inlineStr">
        <is>
          <t>in default of le stronge into demesne</t>
        </is>
      </c>
      <c r="C26" t="n">
        <v>2</v>
      </c>
      <c r="F26" s="163">
        <f>B26+C26/20+D26/240</f>
        <v/>
      </c>
    </row>
    <row r="27">
      <c r="A27" t="inlineStr">
        <is>
          <t>land of william</t>
        </is>
      </c>
      <c r="C27" t="n">
        <v>2</v>
      </c>
      <c r="D27" t="n">
        <v>8</v>
      </c>
      <c r="F27" s="163">
        <f>B27+C27/20+D27/240</f>
        <v/>
      </c>
    </row>
    <row r="28">
      <c r="A28" t="inlineStr">
        <is>
          <t>land of Alebrok</t>
        </is>
      </c>
      <c r="C28" t="n">
        <v>5</v>
      </c>
      <c r="F28" s="163">
        <f>B28+C28/20+D28/240</f>
        <v/>
      </c>
    </row>
    <row r="29">
      <c r="A29" t="inlineStr">
        <is>
          <t>land of Robert</t>
        </is>
      </c>
      <c r="C29" t="n">
        <v>2</v>
      </c>
      <c r="D29" t="n">
        <v>8</v>
      </c>
      <c r="F29" s="163">
        <f>B29+C29/20+D29/240</f>
        <v/>
      </c>
    </row>
    <row r="30">
      <c r="A30" t="inlineStr">
        <is>
          <t>land of Robert Coye</t>
        </is>
      </c>
      <c r="C30" t="n">
        <v>2</v>
      </c>
      <c r="D30" t="n">
        <v>8</v>
      </c>
      <c r="F30" s="163">
        <f>B30+C30/20+D30/240</f>
        <v/>
      </c>
    </row>
    <row r="31">
      <c r="A31" t="inlineStr">
        <is>
          <t>land of Roger le Pokyr</t>
        </is>
      </c>
      <c r="C31" t="n">
        <v>2</v>
      </c>
      <c r="D31" t="n">
        <v>8</v>
      </c>
      <c r="F31" s="163">
        <f>B31+C31/20+D31/240</f>
        <v/>
      </c>
    </row>
    <row r="32">
      <c r="A32" t="inlineStr">
        <is>
          <t>land of Richard Vaccar</t>
        </is>
      </c>
      <c r="C32" t="n">
        <v>2</v>
      </c>
      <c r="D32" t="n">
        <v>8</v>
      </c>
      <c r="F32" s="163">
        <f>B32+C32/20+D32/240</f>
        <v/>
      </c>
    </row>
    <row r="33">
      <c r="A33" s="12" t="inlineStr">
        <is>
          <t>Total recorded in accounts</t>
        </is>
      </c>
      <c r="B33" t="n">
        <v>1</v>
      </c>
      <c r="D33" t="n">
        <v>4</v>
      </c>
      <c r="F33" s="163">
        <f>B33+C33/20+D33/240</f>
        <v/>
      </c>
    </row>
    <row r="34">
      <c r="A34" s="12" t="inlineStr">
        <is>
          <t>Defaults of rent total</t>
        </is>
      </c>
      <c r="B34">
        <f>SUM(B26:B32)</f>
        <v/>
      </c>
      <c r="C34">
        <f>SUM(C26:C32)</f>
        <v/>
      </c>
      <c r="D34">
        <f>SUM(D26:D32)</f>
        <v/>
      </c>
      <c r="F34" s="163">
        <f>B34+C34/20+D34/240</f>
        <v/>
      </c>
      <c r="G34" s="141">
        <f>F34-F33</f>
        <v/>
      </c>
    </row>
    <row r="35"/>
    <row r="36">
      <c r="A36" s="12" t="inlineStr">
        <is>
          <t>Total of rents remaining</t>
        </is>
      </c>
      <c r="B36" t="n">
        <v>10</v>
      </c>
      <c r="C36" t="n">
        <v>5</v>
      </c>
      <c r="D36" t="n">
        <v>7</v>
      </c>
      <c r="F36" s="163">
        <f>B36+C36/20+D36/240</f>
        <v/>
      </c>
      <c r="H36" t="inlineStr">
        <is>
          <t>not included in receipts</t>
        </is>
      </c>
    </row>
    <row r="37">
      <c r="A37" s="12" t="n"/>
      <c r="F37" s="163" t="n"/>
    </row>
    <row r="38">
      <c r="A38" s="12" t="inlineStr">
        <is>
          <t>Annual recognizances</t>
        </is>
      </c>
    </row>
    <row r="39">
      <c r="A39" t="inlineStr">
        <is>
          <t>from Walter</t>
        </is>
      </c>
      <c r="D39" t="n">
        <v>6</v>
      </c>
      <c r="F39" s="163">
        <f>B39+C39/20+D39/240</f>
        <v/>
      </c>
    </row>
    <row r="40">
      <c r="A40" t="inlineStr">
        <is>
          <t>from Robert</t>
        </is>
      </c>
      <c r="D40" t="n">
        <v>6</v>
      </c>
      <c r="F40" s="163">
        <f>B40+C40/20+D40/240</f>
        <v/>
      </c>
    </row>
    <row r="41">
      <c r="A41" t="inlineStr">
        <is>
          <t>from Robert le Pottere</t>
        </is>
      </c>
      <c r="D41" t="n">
        <v>6</v>
      </c>
      <c r="F41" s="163">
        <f>B41+C41/20+D41/240</f>
        <v/>
      </c>
    </row>
    <row r="42">
      <c r="A42" t="inlineStr">
        <is>
          <t>from John</t>
        </is>
      </c>
      <c r="D42" t="n">
        <v>3</v>
      </c>
      <c r="F42" s="163">
        <f>B42+C42/20+D42/240</f>
        <v/>
      </c>
    </row>
    <row r="43">
      <c r="A43" s="12" t="inlineStr">
        <is>
          <t>Total recorded in accounts</t>
        </is>
      </c>
      <c r="C43" t="n">
        <v>1</v>
      </c>
      <c r="D43" t="n">
        <v>9</v>
      </c>
      <c r="F43" s="163">
        <f>B43+C43/20+D43/240</f>
        <v/>
      </c>
    </row>
    <row r="44">
      <c r="A44" s="12" t="inlineStr">
        <is>
          <t>Annual recognizances total</t>
        </is>
      </c>
      <c r="B44">
        <f>SUM(B39:B42)</f>
        <v/>
      </c>
      <c r="C44">
        <f>SUM(C39:C42)</f>
        <v/>
      </c>
      <c r="D44">
        <f>SUM(D39:D42)</f>
        <v/>
      </c>
      <c r="F44" s="163">
        <f>B44+C44/20+D44/240</f>
        <v/>
      </c>
      <c r="G44" s="141">
        <f>F44-F43</f>
        <v/>
      </c>
    </row>
    <row r="45">
      <c r="A45" s="161" t="n"/>
    </row>
    <row r="46">
      <c r="A46" s="12" t="inlineStr">
        <is>
          <t>Issues of the manor</t>
        </is>
      </c>
    </row>
    <row r="47">
      <c r="A47" t="inlineStr">
        <is>
          <t>panage of pigs</t>
        </is>
      </c>
      <c r="C47" t="n">
        <v>6</v>
      </c>
      <c r="D47" t="n">
        <v>2.5</v>
      </c>
      <c r="F47" s="163">
        <f>B47+C47/20+D47/240</f>
        <v/>
      </c>
    </row>
    <row r="48">
      <c r="A48" t="inlineStr">
        <is>
          <t>panage of 77 cows, 8 steers, 21 bullocks and 16 calves</t>
        </is>
      </c>
      <c r="B48" t="n">
        <v>2</v>
      </c>
      <c r="C48" t="n">
        <v>5</v>
      </c>
      <c r="D48" t="n">
        <v>4</v>
      </c>
      <c r="F48" s="163">
        <f>B48+C48/20+D48/240</f>
        <v/>
      </c>
    </row>
    <row r="49">
      <c r="A49" t="inlineStr">
        <is>
          <t>for 97 more of the mens sheep than the 25 maintained at the fold</t>
        </is>
      </c>
      <c r="C49" t="n">
        <v>2</v>
      </c>
      <c r="D49" t="n">
        <v>8</v>
      </c>
      <c r="F49" s="163">
        <f>B49+C49/20+D49/240</f>
        <v/>
      </c>
    </row>
    <row r="50">
      <c r="A50" t="inlineStr">
        <is>
          <t>from pasturage of 44 lambs sold</t>
        </is>
      </c>
      <c r="D50" t="n">
        <v>11</v>
      </c>
      <c r="F50" s="163">
        <f>B50+C50/20+D50/240</f>
        <v/>
      </c>
    </row>
    <row r="51">
      <c r="A51" t="inlineStr">
        <is>
          <t>from the pasturage of Trendly sold</t>
        </is>
      </c>
      <c r="C51" t="n">
        <v>8</v>
      </c>
      <c r="F51" s="163">
        <f>B51+C51/20+D51/240</f>
        <v/>
      </c>
    </row>
    <row r="52">
      <c r="A52" t="inlineStr">
        <is>
          <t>from pasturage of Lokfurlang sold</t>
        </is>
      </c>
      <c r="C52" t="n">
        <v>1</v>
      </c>
      <c r="D52" t="n">
        <v>6</v>
      </c>
      <c r="F52" s="163">
        <f>B52+C52/20+D52/240</f>
        <v/>
      </c>
    </row>
    <row r="53">
      <c r="A53" t="inlineStr">
        <is>
          <t>from the pasturage of Shret sold</t>
        </is>
      </c>
      <c r="C53" t="n">
        <v>1</v>
      </c>
      <c r="D53" t="n">
        <v>4</v>
      </c>
      <c r="F53" s="163">
        <f>B53+C53/20+D53/240</f>
        <v/>
      </c>
    </row>
    <row r="54">
      <c r="A54" t="inlineStr">
        <is>
          <t>from 5 feeble late born calves</t>
        </is>
      </c>
      <c r="C54" t="n">
        <v>5</v>
      </c>
      <c r="F54" s="163">
        <f>B54+C54/20+D54/240</f>
        <v/>
      </c>
    </row>
    <row r="55">
      <c r="A55" t="inlineStr">
        <is>
          <t>from 47 wethers</t>
        </is>
      </c>
      <c r="B55" t="n">
        <v>2</v>
      </c>
      <c r="C55" t="n">
        <v>14</v>
      </c>
      <c r="D55" t="n">
        <v>10</v>
      </c>
      <c r="F55" s="163">
        <f>B55+C55/20+D55/240</f>
        <v/>
      </c>
    </row>
    <row r="56">
      <c r="A56" t="inlineStr">
        <is>
          <t>from 55 ewes sold</t>
        </is>
      </c>
      <c r="B56" t="n">
        <v>2</v>
      </c>
      <c r="C56" t="n">
        <v>5</v>
      </c>
      <c r="D56" t="n">
        <v>10</v>
      </c>
      <c r="F56" s="163">
        <f>B56+C56/20+D56/240</f>
        <v/>
      </c>
    </row>
    <row r="57">
      <c r="A57" t="inlineStr">
        <is>
          <t>from 26 pigs sold</t>
        </is>
      </c>
      <c r="B57" t="n">
        <v>3</v>
      </c>
      <c r="C57" t="n">
        <v>7</v>
      </c>
      <c r="D57" t="n">
        <v>4</v>
      </c>
      <c r="F57" s="163">
        <f>B57+C57/20+D57/240</f>
        <v/>
      </c>
    </row>
    <row r="58">
      <c r="A58" t="inlineStr">
        <is>
          <t>from the hide sold of 1 plough-horse in murrain</t>
        </is>
      </c>
      <c r="D58" t="n">
        <v>11</v>
      </c>
      <c r="F58" s="163">
        <f>B58+C58/20+D58/240</f>
        <v/>
      </c>
    </row>
    <row r="59">
      <c r="A59" t="inlineStr">
        <is>
          <t>from the hides sold of 2 oxen dead from murrain</t>
        </is>
      </c>
      <c r="C59" t="n">
        <v>4</v>
      </c>
      <c r="D59" t="n">
        <v>6.5</v>
      </c>
      <c r="F59" s="163">
        <f>B59+C59/20+D59/240</f>
        <v/>
      </c>
    </row>
    <row r="60">
      <c r="A60" t="inlineStr">
        <is>
          <t>from the hide and flesh sold of 1 steer in murrain</t>
        </is>
      </c>
      <c r="C60" t="n">
        <v>2</v>
      </c>
      <c r="D60" t="n">
        <v>8</v>
      </c>
      <c r="F60" s="163">
        <f>B60+C60/20+D60/240</f>
        <v/>
      </c>
    </row>
    <row r="61">
      <c r="A61" t="inlineStr">
        <is>
          <t>from the hide sold of 1 bullock in murrain</t>
        </is>
      </c>
      <c r="D61" t="n">
        <v>6</v>
      </c>
      <c r="F61" s="163">
        <f>B61+C61/20+D61/240</f>
        <v/>
      </c>
    </row>
    <row r="62">
      <c r="A62" t="inlineStr">
        <is>
          <t>fro the hide sold of 1 yearling in murrain</t>
        </is>
      </c>
      <c r="D62" t="n">
        <v>1.5</v>
      </c>
      <c r="F62" s="163">
        <f>B62+C62/20+D62/240</f>
        <v/>
      </c>
    </row>
    <row r="63">
      <c r="A63" t="inlineStr">
        <is>
          <t>from the hide sold of 1 calf in murrain</t>
        </is>
      </c>
      <c r="D63" t="n">
        <v>1</v>
      </c>
      <c r="F63" s="163">
        <f>B63+C63/20+D63/240</f>
        <v/>
      </c>
    </row>
    <row r="64">
      <c r="A64" t="inlineStr">
        <is>
          <t>from the skins sold of 21 wethers, 24 ewes, and 23 hoggs in murrain before shearing</t>
        </is>
      </c>
      <c r="C64" t="n">
        <v>18</v>
      </c>
      <c r="D64" t="n">
        <v>10</v>
      </c>
      <c r="F64" s="163">
        <f>B64+C64/20+D64/240</f>
        <v/>
      </c>
    </row>
    <row r="65">
      <c r="A65" t="inlineStr">
        <is>
          <t>from the skins sold of 14 wethers and 13 ewes in murrain after shearing</t>
        </is>
      </c>
      <c r="C65" t="n">
        <v>4</v>
      </c>
      <c r="D65" t="n">
        <v>6</v>
      </c>
      <c r="F65" s="163">
        <f>B65+C65/20+D65/240</f>
        <v/>
      </c>
    </row>
    <row r="66">
      <c r="A66" t="inlineStr">
        <is>
          <t>from skins sold of 62 lambs in murrain before weaning</t>
        </is>
      </c>
      <c r="C66" t="n">
        <v>5</v>
      </c>
      <c r="D66" t="n">
        <v>2</v>
      </c>
      <c r="F66" s="163">
        <f>B66+C66/20+D66/240</f>
        <v/>
      </c>
    </row>
    <row r="67">
      <c r="A67" t="inlineStr">
        <is>
          <t>from the skins sold of 20 rotted sheep in murrain</t>
        </is>
      </c>
      <c r="D67" t="n">
        <v>10</v>
      </c>
      <c r="F67" s="163">
        <f>B67+C67/20+D67/240</f>
        <v/>
      </c>
    </row>
    <row r="68">
      <c r="A68" t="inlineStr">
        <is>
          <t>from 5 cloves 1 lb of winter cheese sold</t>
        </is>
      </c>
      <c r="C68" t="n">
        <v>1</v>
      </c>
      <c r="D68" t="n">
        <v>6</v>
      </c>
      <c r="F68" s="163">
        <f>B68+C68/20+D68/240</f>
        <v/>
      </c>
    </row>
    <row r="69">
      <c r="A69" t="inlineStr">
        <is>
          <t>from 7.5 weys 12 cloves of summer cheese sold</t>
        </is>
      </c>
      <c r="B69" t="n">
        <v>3</v>
      </c>
      <c r="C69" t="n">
        <v>6</v>
      </c>
      <c r="D69" t="n">
        <v>1</v>
      </c>
      <c r="F69" s="163">
        <f>B69+C69/20+D69/240</f>
        <v/>
      </c>
    </row>
    <row r="70">
      <c r="A70" t="inlineStr">
        <is>
          <t>from 15 cloves 5 lb of butter sold</t>
        </is>
      </c>
      <c r="C70" t="n">
        <v>4</v>
      </c>
      <c r="D70" t="n">
        <v>8</v>
      </c>
      <c r="F70" s="163">
        <f>B70+C70/20+D70/240</f>
        <v/>
      </c>
    </row>
    <row r="71">
      <c r="A71" t="inlineStr">
        <is>
          <t>from 95 hens at churchscot sold</t>
        </is>
      </c>
      <c r="C71" t="n">
        <v>7</v>
      </c>
      <c r="D71" t="n">
        <v>11</v>
      </c>
      <c r="F71" s="163">
        <f>B71+C71/20+D71/240</f>
        <v/>
      </c>
    </row>
    <row r="72">
      <c r="A72" t="inlineStr">
        <is>
          <t>from richard for release from the labour service</t>
        </is>
      </c>
      <c r="C72" t="n">
        <v>2</v>
      </c>
      <c r="F72" s="163">
        <f>B72+C72/20+D72/240</f>
        <v/>
      </c>
    </row>
    <row r="73">
      <c r="A73" t="inlineStr">
        <is>
          <t>from a curtilage which was hired to roger</t>
        </is>
      </c>
      <c r="C73" t="n">
        <v>1</v>
      </c>
      <c r="F73" s="163">
        <f>B73+C73/20+D73/240</f>
        <v/>
      </c>
    </row>
    <row r="74">
      <c r="A74" t="inlineStr">
        <is>
          <t>from 23 acres of the lords land hired now accounted for in defaults of rent above</t>
        </is>
      </c>
      <c r="C74" t="n">
        <v>12</v>
      </c>
      <c r="F74" s="163">
        <f>B74+C74/20+D74/240</f>
        <v/>
      </c>
      <c r="H74" t="inlineStr">
        <is>
          <t>Accounted for in defaults of rent already?</t>
        </is>
      </c>
    </row>
    <row r="75">
      <c r="A75" t="inlineStr">
        <is>
          <t>from curtilage which belongs to Robert Couch</t>
        </is>
      </c>
      <c r="C75" t="n">
        <v>2</v>
      </c>
      <c r="F75" s="163">
        <f>B75+C75/20+D75/240</f>
        <v/>
      </c>
    </row>
    <row r="76">
      <c r="A76" t="inlineStr">
        <is>
          <t>from 5 cloves of wool locks sold</t>
        </is>
      </c>
      <c r="C76" t="n">
        <v>4</v>
      </c>
      <c r="D76" t="n">
        <v>4.5</v>
      </c>
      <c r="F76" s="163">
        <f>B76+C76/20+D76/240</f>
        <v/>
      </c>
    </row>
    <row r="77">
      <c r="A77" t="inlineStr">
        <is>
          <t>from dairy produce sold at the audit</t>
        </is>
      </c>
      <c r="B77" t="n">
        <v>1</v>
      </c>
      <c r="D77" t="n">
        <v>3</v>
      </c>
      <c r="F77" s="163">
        <f>B77+C77/20+D77/240</f>
        <v/>
      </c>
    </row>
    <row r="78">
      <c r="A78" s="12" t="inlineStr">
        <is>
          <t>Total recorded in accounts</t>
        </is>
      </c>
      <c r="B78" t="n">
        <v>19</v>
      </c>
      <c r="C78" t="n">
        <v>19</v>
      </c>
      <c r="F78" s="163">
        <f>B78+C78/20+D78/240</f>
        <v/>
      </c>
    </row>
    <row r="79">
      <c r="A79" s="12" t="inlineStr">
        <is>
          <t>Issues of the manor total</t>
        </is>
      </c>
      <c r="B79">
        <f>SUM(B47:B77)</f>
        <v/>
      </c>
      <c r="C79">
        <f>SUM(C47:C77)</f>
        <v/>
      </c>
      <c r="D79">
        <f>SUM(D47:D77)</f>
        <v/>
      </c>
      <c r="F79" s="163">
        <f>B79+C79/20+D79/240</f>
        <v/>
      </c>
      <c r="G79" s="141">
        <f>F79-F78</f>
        <v/>
      </c>
    </row>
    <row r="80"/>
    <row r="81">
      <c r="A81" s="12" t="inlineStr">
        <is>
          <t>Sale of corn</t>
        </is>
      </c>
    </row>
    <row r="82">
      <c r="A82" t="inlineStr">
        <is>
          <t>from 40 qrs of wheat sold</t>
        </is>
      </c>
      <c r="B82" t="n">
        <v>11</v>
      </c>
      <c r="C82" t="n">
        <v>18</v>
      </c>
      <c r="D82" t="n">
        <v>2</v>
      </c>
      <c r="F82" s="163">
        <f>B82+C82/20+D82/240</f>
        <v/>
      </c>
    </row>
    <row r="83">
      <c r="A83" t="inlineStr">
        <is>
          <t>from 12 wrs 0.5 bus of curall sold</t>
        </is>
      </c>
      <c r="B83" t="n">
        <v>2</v>
      </c>
      <c r="C83" t="n">
        <v>5</v>
      </c>
      <c r="D83" t="n">
        <v>6.5</v>
      </c>
      <c r="F83" s="163">
        <f>B83+C83/20+D83/240</f>
        <v/>
      </c>
    </row>
    <row r="84">
      <c r="A84" t="inlineStr">
        <is>
          <t>from 21 qrs 6 bus of barley sold</t>
        </is>
      </c>
      <c r="B84" t="n">
        <v>4</v>
      </c>
      <c r="C84" t="n">
        <v>7</v>
      </c>
      <c r="D84" t="n">
        <v>11</v>
      </c>
      <c r="F84" s="163">
        <f>B84+C84/20+D84/240</f>
        <v/>
      </c>
    </row>
    <row r="85">
      <c r="A85" t="inlineStr">
        <is>
          <t>from 43 qrs of oats sold</t>
        </is>
      </c>
      <c r="B85" t="n">
        <v>4</v>
      </c>
      <c r="C85" t="n">
        <v>7</v>
      </c>
      <c r="D85" t="n">
        <v>8</v>
      </c>
      <c r="F85" s="163">
        <f>B85+C85/20+D85/240</f>
        <v/>
      </c>
    </row>
    <row r="86">
      <c r="A86" t="inlineStr">
        <is>
          <t>from 3 qrs 1 bus of peas sold</t>
        </is>
      </c>
      <c r="C86" t="n">
        <v>9</v>
      </c>
      <c r="D86" t="n">
        <v>4.5</v>
      </c>
      <c r="F86" s="163">
        <f>B86+C86/20+D86/240</f>
        <v/>
      </c>
    </row>
    <row r="87">
      <c r="A87" t="inlineStr">
        <is>
          <t>from 4.5 qrs of vetches sold</t>
        </is>
      </c>
      <c r="C87" t="n">
        <v>9</v>
      </c>
      <c r="F87" s="163">
        <f>B87+C87/20+D87/240</f>
        <v/>
      </c>
    </row>
    <row r="88">
      <c r="A88" t="inlineStr">
        <is>
          <t>from 4 bus of barley sold at the audit</t>
        </is>
      </c>
      <c r="C88" t="n">
        <v>2</v>
      </c>
      <c r="F88" s="163">
        <f>B88+C88/20+D88/240</f>
        <v/>
      </c>
    </row>
    <row r="89">
      <c r="A89" s="12" t="inlineStr">
        <is>
          <t>Total recorded in accounts</t>
        </is>
      </c>
      <c r="B89" t="n">
        <v>23</v>
      </c>
      <c r="C89" t="n">
        <v>19</v>
      </c>
      <c r="D89" t="n">
        <v>8</v>
      </c>
      <c r="F89" s="163">
        <f>B89+C89/20+D89/240</f>
        <v/>
      </c>
    </row>
    <row r="90">
      <c r="A90" s="12" t="inlineStr">
        <is>
          <t>Sale of corn total</t>
        </is>
      </c>
      <c r="B90">
        <f>SUM(B82:B88)</f>
        <v/>
      </c>
      <c r="C90">
        <f>SUM(C82:C88)</f>
        <v/>
      </c>
      <c r="D90">
        <f>SUM(D82:D88)</f>
        <v/>
      </c>
      <c r="F90" s="163">
        <f>B90+C90/20+D90/240</f>
        <v/>
      </c>
      <c r="G90" s="141">
        <f>F90-F89</f>
        <v/>
      </c>
    </row>
    <row r="91"/>
    <row r="92">
      <c r="A92" s="12" t="inlineStr">
        <is>
          <t>Entry and marriage fines</t>
        </is>
      </c>
    </row>
    <row r="93">
      <c r="A93" t="inlineStr">
        <is>
          <t>from tithing of tithingpenny at martinmas</t>
        </is>
      </c>
      <c r="C93" t="n">
        <v>6</v>
      </c>
      <c r="D93" t="n">
        <v>8</v>
      </c>
      <c r="F93" s="163">
        <f>B93+C93/20+D93/240</f>
        <v/>
      </c>
    </row>
    <row r="94">
      <c r="A94" t="inlineStr">
        <is>
          <t>from the same at hockday</t>
        </is>
      </c>
      <c r="C94" t="n">
        <v>6</v>
      </c>
      <c r="D94" t="n">
        <v>8</v>
      </c>
      <c r="F94" s="163">
        <f>B94+C94/20+D94/240</f>
        <v/>
      </c>
    </row>
    <row r="95">
      <c r="A95" t="inlineStr">
        <is>
          <t>from Matilda for marrying her daughter outside</t>
        </is>
      </c>
      <c r="C95" t="n">
        <v>2</v>
      </c>
      <c r="F95" s="163">
        <f>B95+C95/20+D95/240</f>
        <v/>
      </c>
    </row>
    <row r="96">
      <c r="A96" t="inlineStr">
        <is>
          <t>from Stephen for marrying his daughter outside</t>
        </is>
      </c>
      <c r="C96" t="n">
        <v>2</v>
      </c>
      <c r="F96" s="163">
        <f>B96+C96/20+D96/240</f>
        <v/>
      </c>
    </row>
    <row r="97">
      <c r="A97" s="12" t="inlineStr">
        <is>
          <t>Total recorded in accounts</t>
        </is>
      </c>
      <c r="C97" t="n">
        <v>17</v>
      </c>
      <c r="D97" t="n">
        <v>4</v>
      </c>
      <c r="F97" s="163">
        <f>B97+C97/20+D97/240</f>
        <v/>
      </c>
    </row>
    <row r="98">
      <c r="A98" s="12" t="inlineStr">
        <is>
          <t>Entry and marriage fines total</t>
        </is>
      </c>
      <c r="B98">
        <f>SUM(B93:B96)</f>
        <v/>
      </c>
      <c r="C98">
        <f>SUM(C93:C96)</f>
        <v/>
      </c>
      <c r="D98">
        <f>SUM(D93:D96)</f>
        <v/>
      </c>
      <c r="F98" s="163">
        <f>B98+C98/20+D98/240</f>
        <v/>
      </c>
      <c r="G98" s="141">
        <f>F98-F97</f>
        <v/>
      </c>
    </row>
    <row r="99"/>
    <row r="100">
      <c r="A100" s="12" t="inlineStr">
        <is>
          <t>Pleas and perquisites</t>
        </is>
      </c>
    </row>
    <row r="101">
      <c r="A101" t="inlineStr">
        <is>
          <t>from tithing of Crawley for concealment</t>
        </is>
      </c>
      <c r="C101" t="n">
        <v>2</v>
      </c>
      <c r="F101" s="163">
        <f>B101+C101/20+D101/240</f>
        <v/>
      </c>
    </row>
    <row r="102">
      <c r="A102" t="inlineStr">
        <is>
          <t>from the tithing of  Crawley for not producing in court</t>
        </is>
      </c>
      <c r="C102" t="n">
        <v>2</v>
      </c>
      <c r="F102" s="163">
        <f>B102+C102/20+D102/240</f>
        <v/>
      </c>
    </row>
    <row r="103">
      <c r="A103" t="inlineStr">
        <is>
          <t>from various transgressions of various men in various courts</t>
        </is>
      </c>
      <c r="C103" t="n">
        <v>15</v>
      </c>
      <c r="D103" t="n">
        <v>11</v>
      </c>
      <c r="F103" s="163">
        <f>B103+C103/20+D103/240</f>
        <v/>
      </c>
    </row>
    <row r="104">
      <c r="A104" s="12" t="inlineStr">
        <is>
          <t>Total recorded in accounts</t>
        </is>
      </c>
      <c r="C104" t="n">
        <v>19</v>
      </c>
      <c r="D104" t="n">
        <v>11</v>
      </c>
      <c r="F104" s="163">
        <f>B104+C104/20+D104/240</f>
        <v/>
      </c>
    </row>
    <row r="105">
      <c r="A105" s="12" t="inlineStr">
        <is>
          <t>Pleas &amp; perquisites total</t>
        </is>
      </c>
      <c r="B105">
        <f>SUM(B101:B103)</f>
        <v/>
      </c>
      <c r="C105">
        <f>SUM(C101:C103)</f>
        <v/>
      </c>
      <c r="D105">
        <f>SUM(D101:D103)</f>
        <v/>
      </c>
      <c r="F105" s="163">
        <f>B105+C105/20+D105/240</f>
        <v/>
      </c>
    </row>
    <row r="106"/>
    <row r="107">
      <c r="A107" s="8" t="inlineStr">
        <is>
          <t>Total of all receipts (sum of above excl. arrears)</t>
        </is>
      </c>
      <c r="B107">
        <f>SUM(B105,B98,B90,B79,B44,B34,B23,B14)</f>
        <v/>
      </c>
      <c r="C107">
        <f>SUM(C105,C98,C90,C79,C44,C34,C23,C14)</f>
        <v/>
      </c>
      <c r="D107">
        <f>SUM(D105,D98,D90,D79,D44,D34,D23,D14)</f>
        <v/>
      </c>
      <c r="F107" s="163">
        <f>B107+C107/20+D107/240</f>
        <v/>
      </c>
    </row>
    <row r="108">
      <c r="A108" s="8" t="inlineStr">
        <is>
          <t>Total of all receipts (sum of above incl. arrears)</t>
        </is>
      </c>
      <c r="B108">
        <f>SUM(B105,B98,B90,B79,B44,B34,B23,B14,B5)</f>
        <v/>
      </c>
      <c r="C108">
        <f>SUM(C105,C98,C90,C79,C44,C34,C23,C14,C5)</f>
        <v/>
      </c>
      <c r="D108">
        <f>SUM(D105,D98,D90,D79,D44,D34,D23,D14,D5)</f>
        <v/>
      </c>
      <c r="F108" s="163">
        <f>B108+C108/20+D108/240</f>
        <v/>
      </c>
    </row>
    <row r="109">
      <c r="A109" s="8" t="inlineStr">
        <is>
          <t>Total of all receipts in account excl.  arrears</t>
        </is>
      </c>
      <c r="F109" s="163">
        <f>B109+C109/20+D109/240</f>
        <v/>
      </c>
      <c r="G109" s="141">
        <f>F109-F107</f>
        <v/>
      </c>
    </row>
    <row r="110">
      <c r="A110" s="8" t="inlineStr">
        <is>
          <t>Total of all receipts in account incl. arrears</t>
        </is>
      </c>
      <c r="B110" t="n">
        <v>56</v>
      </c>
      <c r="C110" t="n">
        <v>3</v>
      </c>
      <c r="D110" t="n">
        <v>3</v>
      </c>
      <c r="F110" s="163">
        <f>B110+C110/20+D110/240</f>
        <v/>
      </c>
      <c r="G110" s="141">
        <f>F110-F108</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08"/>
  <sheetViews>
    <sheetView topLeftCell="A1" workbookViewId="0">
      <selection activeCell="A1" sqref="A1"/>
    </sheetView>
  </sheetViews>
  <sheetFormatPr baseColWidth="8" defaultRowHeight="15"/>
  <cols>
    <col width="39" customWidth="1" min="1" max="1"/>
    <col width="10.83203125" customWidth="1" min="7" max="7"/>
  </cols>
  <sheetData>
    <row r="1">
      <c r="A1" s="15" t="inlineStr">
        <is>
          <t>CRAWLEY EXPENSES</t>
        </is>
      </c>
      <c r="B1" s="15" t="n"/>
      <c r="C1" s="15" t="n"/>
      <c r="D1" s="15" t="n"/>
      <c r="E1" s="15" t="n"/>
      <c r="F1" s="164" t="n"/>
      <c r="H1" s="10" t="n"/>
    </row>
    <row r="2">
      <c r="A2" s="15" t="n"/>
      <c r="B2" s="150" t="inlineStr">
        <is>
          <t>£</t>
        </is>
      </c>
      <c r="C2" s="148" t="inlineStr">
        <is>
          <t xml:space="preserve">s </t>
        </is>
      </c>
      <c r="D2" s="148" t="inlineStr">
        <is>
          <t>d</t>
        </is>
      </c>
      <c r="E2" s="8" t="n"/>
      <c r="F2" s="165" t="inlineStr">
        <is>
          <t>Total in £</t>
        </is>
      </c>
      <c r="G2" s="162" t="inlineStr">
        <is>
          <t>Error</t>
        </is>
      </c>
      <c r="H2" s="12" t="inlineStr">
        <is>
          <t>Notes</t>
        </is>
      </c>
    </row>
    <row r="3">
      <c r="A3" s="12" t="inlineStr">
        <is>
          <t>Cost of Ploughs</t>
        </is>
      </c>
    </row>
    <row r="4">
      <c r="A4" t="inlineStr">
        <is>
          <t>in iron and steel bought for 4 ploughs</t>
        </is>
      </c>
      <c r="C4" t="n">
        <v>9</v>
      </c>
      <c r="F4" s="161">
        <f>B4+C4/20+D4/240</f>
        <v/>
      </c>
    </row>
    <row r="5">
      <c r="A5" t="inlineStr">
        <is>
          <t>in 2 ploughshares bought</t>
        </is>
      </c>
      <c r="C5" t="n">
        <v>1</v>
      </c>
      <c r="D5" t="n">
        <v>8</v>
      </c>
      <c r="F5" s="161">
        <f>B5+C5/20+D5/240</f>
        <v/>
      </c>
    </row>
    <row r="6">
      <c r="A6" t="inlineStr">
        <is>
          <t>in 1 coulter mended</t>
        </is>
      </c>
      <c r="D6" t="n">
        <v>2</v>
      </c>
      <c r="F6" s="161">
        <f>B6+C6/20+D6/240</f>
        <v/>
      </c>
    </row>
    <row r="7">
      <c r="A7" t="inlineStr">
        <is>
          <t>in 2 plough feet bought</t>
        </is>
      </c>
      <c r="D7" t="n">
        <v>7.5</v>
      </c>
      <c r="F7" s="161">
        <f>B7+C7/20+D7/240</f>
        <v/>
      </c>
    </row>
    <row r="8">
      <c r="A8" t="inlineStr">
        <is>
          <t>in 4 pairs of wheels bought</t>
        </is>
      </c>
      <c r="C8" t="n">
        <v>1</v>
      </c>
      <c r="D8" t="n">
        <v>4</v>
      </c>
      <c r="F8" s="161">
        <f>B8+C8/20+D8/240</f>
        <v/>
      </c>
    </row>
    <row r="9">
      <c r="A9" t="inlineStr">
        <is>
          <t>in 2 ploughs made anew and other mending</t>
        </is>
      </c>
      <c r="C9" t="n">
        <v>1</v>
      </c>
      <c r="D9" t="n">
        <v>3</v>
      </c>
      <c r="F9" s="161">
        <f>B9+C9/20+D9/240</f>
        <v/>
      </c>
    </row>
    <row r="10">
      <c r="A10" t="inlineStr">
        <is>
          <t>in fitting ploughs with iron tyres</t>
        </is>
      </c>
      <c r="D10" t="n">
        <v>2.5</v>
      </c>
      <c r="F10" s="161">
        <f>B10+C10/20+D10/240</f>
        <v/>
      </c>
    </row>
    <row r="11">
      <c r="A11" t="inlineStr">
        <is>
          <t>in shoeing 6 plough-horses</t>
        </is>
      </c>
      <c r="C11" t="n">
        <v>3</v>
      </c>
      <c r="D11" t="n">
        <v>11</v>
      </c>
      <c r="F11" s="161">
        <f>B11+C11/20+D11/240</f>
        <v/>
      </c>
    </row>
    <row r="12">
      <c r="A12" t="inlineStr">
        <is>
          <t>in boon-works of 9 ploughmen</t>
        </is>
      </c>
      <c r="D12" t="n">
        <v>9</v>
      </c>
      <c r="F12" s="161">
        <f>B12+C12/20+D12/240</f>
        <v/>
      </c>
    </row>
    <row r="13">
      <c r="A13" t="inlineStr">
        <is>
          <t>in 5 halters made from the horeses own hair</t>
        </is>
      </c>
      <c r="D13" t="n">
        <v>1.75</v>
      </c>
      <c r="F13" s="161">
        <f>B13+C13/20+D13/240</f>
        <v/>
      </c>
    </row>
    <row r="14">
      <c r="A14" t="inlineStr">
        <is>
          <t>in stipend of 2 ploughmen for the year</t>
        </is>
      </c>
      <c r="C14" t="n">
        <v>6</v>
      </c>
      <c r="F14" s="161">
        <f>B14+C14/20+D14/240</f>
        <v/>
      </c>
    </row>
    <row r="15">
      <c r="A15" t="inlineStr">
        <is>
          <t>in 5 oxen bought</t>
        </is>
      </c>
      <c r="B15" t="n">
        <v>2</v>
      </c>
      <c r="C15" t="n">
        <v>6</v>
      </c>
      <c r="F15" s="161">
        <f>B15+C15/20+D15/240</f>
        <v/>
      </c>
    </row>
    <row r="16">
      <c r="A16" s="12" t="inlineStr">
        <is>
          <t>Total recorded in accounts</t>
        </is>
      </c>
      <c r="B16" t="n">
        <v>3</v>
      </c>
      <c r="C16" t="n">
        <v>11</v>
      </c>
      <c r="D16" t="n">
        <v>0.25</v>
      </c>
      <c r="F16" s="163">
        <f>B16+C16/20+D16/240</f>
        <v/>
      </c>
    </row>
    <row r="17">
      <c r="A17" s="12" t="inlineStr">
        <is>
          <t>Cost of ploughs total</t>
        </is>
      </c>
      <c r="B17">
        <f>SUM(B4:B15)</f>
        <v/>
      </c>
      <c r="C17">
        <f>SUM(C4:C15)</f>
        <v/>
      </c>
      <c r="D17">
        <f>SUM(D4:D15)</f>
        <v/>
      </c>
      <c r="F17" s="163">
        <f>B17+C17/20+D17/240</f>
        <v/>
      </c>
      <c r="G17" s="141">
        <f>F17-F16</f>
        <v/>
      </c>
    </row>
    <row r="18">
      <c r="A18" s="12" t="inlineStr">
        <is>
          <t>Total capital expenses</t>
        </is>
      </c>
      <c r="B18">
        <f>SUM(B15,B13,B4:B11)</f>
        <v/>
      </c>
      <c r="C18">
        <f>SUM(C15,C13,C4:C11)</f>
        <v/>
      </c>
      <c r="D18">
        <f>SUM(D15,D13,D4:D11)</f>
        <v/>
      </c>
      <c r="F18" s="163">
        <f>B18+C18/20+D18/240</f>
        <v/>
      </c>
      <c r="G18" s="141" t="n"/>
    </row>
    <row r="19"/>
    <row r="20">
      <c r="A20" s="12" t="inlineStr">
        <is>
          <t>Purchase of Corn</t>
        </is>
      </c>
    </row>
    <row r="21">
      <c r="A21" t="inlineStr">
        <is>
          <t>in 6 bus of wheat bought for sowing</t>
        </is>
      </c>
      <c r="C21" t="n">
        <v>4</v>
      </c>
      <c r="D21" t="n">
        <v>6</v>
      </c>
      <c r="F21" s="163">
        <f>B21+C21/20+D21/240</f>
        <v/>
      </c>
    </row>
    <row r="22">
      <c r="A22" t="inlineStr">
        <is>
          <t>in 3 qrs 6 bus of barley bought</t>
        </is>
      </c>
      <c r="C22" t="n">
        <v>12</v>
      </c>
      <c r="D22" t="n">
        <v>4</v>
      </c>
      <c r="F22" s="163">
        <f>B22+C22/20+D22/240</f>
        <v/>
      </c>
    </row>
    <row r="23">
      <c r="A23" s="12" t="inlineStr">
        <is>
          <t>Total recorded in accounts</t>
        </is>
      </c>
      <c r="C23" t="n">
        <v>16</v>
      </c>
      <c r="D23" t="n">
        <v>10</v>
      </c>
      <c r="F23" s="163">
        <f>B23+C23/20+D23/240</f>
        <v/>
      </c>
    </row>
    <row r="24">
      <c r="A24" s="12" t="inlineStr">
        <is>
          <t>Purchase of corn total</t>
        </is>
      </c>
      <c r="B24">
        <f>SUM(B21:B22)</f>
        <v/>
      </c>
      <c r="C24">
        <f>SUM(C21:C22)</f>
        <v/>
      </c>
      <c r="D24">
        <f>SUM(D21:D22)</f>
        <v/>
      </c>
      <c r="F24" s="163">
        <f>B24+C24/20+D24/240</f>
        <v/>
      </c>
      <c r="G24" s="141">
        <f>F24-F23</f>
        <v/>
      </c>
    </row>
    <row r="25"/>
    <row r="26">
      <c r="A26" s="12" t="inlineStr">
        <is>
          <t>Cost of Carts and Wagons</t>
        </is>
      </c>
    </row>
    <row r="27">
      <c r="A27" t="inlineStr">
        <is>
          <t>in 1 pair of wheels bought</t>
        </is>
      </c>
      <c r="C27" t="n">
        <v>3</v>
      </c>
      <c r="D27" t="n">
        <v>4</v>
      </c>
      <c r="F27" s="161">
        <f>B27+C27/20+D27/240</f>
        <v/>
      </c>
    </row>
    <row r="28">
      <c r="A28" t="inlineStr">
        <is>
          <t>in 1 old binding renewed and fitted</t>
        </is>
      </c>
      <c r="C28" t="n">
        <v>3</v>
      </c>
      <c r="F28" s="161">
        <f>B28+C28/20+D28/240</f>
        <v/>
      </c>
    </row>
    <row r="29">
      <c r="A29" t="inlineStr">
        <is>
          <t>in fitting the cart with axles</t>
        </is>
      </c>
      <c r="D29" t="n">
        <v>8</v>
      </c>
      <c r="F29" s="161">
        <f>B29+C29/20+D29/240</f>
        <v/>
      </c>
    </row>
    <row r="30">
      <c r="A30" t="inlineStr">
        <is>
          <t>in clouts nails and grease bought for the same</t>
        </is>
      </c>
      <c r="C30" t="n">
        <v>1</v>
      </c>
      <c r="F30" s="161">
        <f>B30+C30/20+D30/240</f>
        <v/>
      </c>
    </row>
    <row r="31">
      <c r="A31" t="inlineStr">
        <is>
          <t>in 1 pair of traces bought</t>
        </is>
      </c>
      <c r="D31" t="n">
        <v>5.5</v>
      </c>
      <c r="F31" s="161">
        <f>B31+C31/20+D31/240</f>
        <v/>
      </c>
    </row>
    <row r="32">
      <c r="A32" t="inlineStr">
        <is>
          <t>in 1 rope bought</t>
        </is>
      </c>
      <c r="D32" t="n">
        <v>2</v>
      </c>
      <c r="F32" s="161">
        <f>B32+C32/20+D32/240</f>
        <v/>
      </c>
    </row>
    <row r="33">
      <c r="A33" t="inlineStr">
        <is>
          <t>in shoeing 2 cart horses</t>
        </is>
      </c>
      <c r="C33" t="n">
        <v>2</v>
      </c>
      <c r="D33" t="n">
        <v>6</v>
      </c>
      <c r="F33" s="161">
        <f>B33+C33/20+D33/240</f>
        <v/>
      </c>
    </row>
    <row r="34">
      <c r="A34" t="inlineStr">
        <is>
          <t>in white leather bought</t>
        </is>
      </c>
      <c r="D34" t="n">
        <v>4</v>
      </c>
      <c r="F34" s="161">
        <f>B34+C34/20+D34/240</f>
        <v/>
      </c>
    </row>
    <row r="35">
      <c r="A35" t="inlineStr">
        <is>
          <t>in mending old harnesses</t>
        </is>
      </c>
      <c r="D35" t="n">
        <v>2</v>
      </c>
      <c r="F35" s="161">
        <f>B35+C35/20+D35/240</f>
        <v/>
      </c>
    </row>
    <row r="36">
      <c r="A36" t="inlineStr">
        <is>
          <t>in 1 collar bought</t>
        </is>
      </c>
      <c r="D36" t="n">
        <v>7</v>
      </c>
      <c r="F36" s="161">
        <f>B36+C36/20+D36/240</f>
        <v/>
      </c>
    </row>
    <row r="37">
      <c r="A37" t="inlineStr">
        <is>
          <t>in stipend of 1 carter</t>
        </is>
      </c>
      <c r="C37" t="n">
        <v>3</v>
      </c>
      <c r="F37" s="161">
        <f>B37+C37/20+D37/240</f>
        <v/>
      </c>
    </row>
    <row r="38">
      <c r="A38" t="inlineStr">
        <is>
          <t>in mending the cart at various times</t>
        </is>
      </c>
      <c r="D38" t="n">
        <v>2</v>
      </c>
      <c r="F38" s="161">
        <f>B38+C38/20+D38/240</f>
        <v/>
      </c>
    </row>
    <row r="39">
      <c r="A39" t="inlineStr">
        <is>
          <t>in 1 new cart-body bought</t>
        </is>
      </c>
      <c r="C39" t="n">
        <v>1</v>
      </c>
      <c r="F39" s="161">
        <f>B39+C39/20+D39/240</f>
        <v/>
      </c>
    </row>
    <row r="40">
      <c r="A40" s="12" t="inlineStr">
        <is>
          <t>Total recorded in accounts</t>
        </is>
      </c>
      <c r="C40" t="n">
        <v>16</v>
      </c>
      <c r="D40" t="n">
        <v>4.5</v>
      </c>
      <c r="F40" s="163">
        <f>B40+C40/20+D40/240</f>
        <v/>
      </c>
    </row>
    <row r="41">
      <c r="A41" s="12" t="inlineStr">
        <is>
          <t>Cost of carts and wagons total</t>
        </is>
      </c>
      <c r="B41">
        <f>SUM(B27:B39)</f>
        <v/>
      </c>
      <c r="C41">
        <f>SUM(C27:C39)</f>
        <v/>
      </c>
      <c r="D41">
        <f>SUM(D27:D39)</f>
        <v/>
      </c>
      <c r="F41" s="163">
        <f>B41+C41/20+D41/240</f>
        <v/>
      </c>
      <c r="G41" s="141">
        <f>F41-F40</f>
        <v/>
      </c>
    </row>
    <row r="42">
      <c r="A42" s="12" t="inlineStr">
        <is>
          <t>Total capital expenses</t>
        </is>
      </c>
      <c r="B42">
        <f>SUM(B38:B39,B27:B36)</f>
        <v/>
      </c>
      <c r="C42">
        <f>SUM(C38:C39,C27:C36)</f>
        <v/>
      </c>
      <c r="D42">
        <f>SUM(D38:D39,D27:D36)</f>
        <v/>
      </c>
      <c r="F42" s="163">
        <f>B42+C42/20+D42/240</f>
        <v/>
      </c>
      <c r="G42" s="141" t="n"/>
    </row>
    <row r="43"/>
    <row r="44">
      <c r="A44" s="12" t="inlineStr">
        <is>
          <t>Cost of Dairy</t>
        </is>
      </c>
    </row>
    <row r="45">
      <c r="A45" t="inlineStr">
        <is>
          <t>in woollen and linen cloth bought</t>
        </is>
      </c>
      <c r="D45" t="n">
        <v>6</v>
      </c>
      <c r="F45" s="161">
        <f>B45+C45/20+D45/240</f>
        <v/>
      </c>
    </row>
    <row r="46">
      <c r="A46" t="inlineStr">
        <is>
          <t>in 6 bus of salt bought</t>
        </is>
      </c>
      <c r="C46" t="n">
        <v>1</v>
      </c>
      <c r="D46" t="n">
        <v>11</v>
      </c>
      <c r="F46" s="161">
        <f>B46+C46/20+D46/240</f>
        <v/>
      </c>
    </row>
    <row r="47">
      <c r="A47" t="inlineStr">
        <is>
          <t>in a press bought</t>
        </is>
      </c>
      <c r="D47" t="n">
        <v>4.5</v>
      </c>
      <c r="F47" s="161">
        <f>B47+C47/20+D47/240</f>
        <v/>
      </c>
    </row>
    <row r="48">
      <c r="A48" t="inlineStr">
        <is>
          <t>in earthenware pots and pans bought</t>
        </is>
      </c>
      <c r="D48" t="n">
        <v>2.5</v>
      </c>
      <c r="F48" s="161">
        <f>B48+C48/20+D48/240</f>
        <v/>
      </c>
    </row>
    <row r="49">
      <c r="A49" t="inlineStr">
        <is>
          <t>in mending the utensils of the dairy</t>
        </is>
      </c>
      <c r="D49" t="n">
        <v>1.5</v>
      </c>
      <c r="F49" s="161">
        <f>B49+C49/20+D49/240</f>
        <v/>
      </c>
    </row>
    <row r="50">
      <c r="A50" t="inlineStr">
        <is>
          <t>in 1 mould bought</t>
        </is>
      </c>
      <c r="D50" t="n">
        <v>7.5</v>
      </c>
      <c r="F50" s="161">
        <f>B50+C50/20+D50/240</f>
        <v/>
      </c>
    </row>
    <row r="51">
      <c r="A51" t="inlineStr">
        <is>
          <t>in 20 ells of canvas bought for packing wool</t>
        </is>
      </c>
      <c r="C51" t="n">
        <v>5</v>
      </c>
      <c r="D51" t="n">
        <v>2</v>
      </c>
      <c r="F51" s="161">
        <f>B51+C51/20+D51/240</f>
        <v/>
      </c>
    </row>
    <row r="52">
      <c r="A52" t="inlineStr">
        <is>
          <t>in making the said sacks</t>
        </is>
      </c>
      <c r="D52" t="n">
        <v>4</v>
      </c>
      <c r="F52" s="161">
        <f>B52+C52/20+D52/240</f>
        <v/>
      </c>
    </row>
    <row r="53">
      <c r="A53" t="inlineStr">
        <is>
          <t>in packing the said wool</t>
        </is>
      </c>
      <c r="D53" t="n">
        <v>8</v>
      </c>
      <c r="F53" s="161">
        <f>B53+C53/20+D53/240</f>
        <v/>
      </c>
    </row>
    <row r="54">
      <c r="A54" t="inlineStr">
        <is>
          <t>in grease bought for greasing sheep</t>
        </is>
      </c>
      <c r="B54" t="n">
        <v>2</v>
      </c>
      <c r="D54" t="n">
        <v>9</v>
      </c>
      <c r="F54" s="161">
        <f>B54+C54/20+D54/240</f>
        <v/>
      </c>
    </row>
    <row r="55">
      <c r="A55" t="inlineStr">
        <is>
          <t>in re-roofing the ewe house</t>
        </is>
      </c>
      <c r="C55" t="n">
        <v>2</v>
      </c>
      <c r="D55" t="n">
        <v>6</v>
      </c>
      <c r="F55" s="161">
        <f>B55+C55/20+D55/240</f>
        <v/>
      </c>
    </row>
    <row r="56">
      <c r="A56" t="inlineStr">
        <is>
          <t>in collecting stubble for the same</t>
        </is>
      </c>
      <c r="C56" t="n">
        <v>1</v>
      </c>
      <c r="D56" t="n">
        <v>0.5</v>
      </c>
      <c r="F56" s="161">
        <f>B56+C56/20+D56/240</f>
        <v/>
      </c>
    </row>
    <row r="57">
      <c r="A57" t="inlineStr">
        <is>
          <t>in 40 hurdles bought for the fold</t>
        </is>
      </c>
      <c r="C57" t="n">
        <v>5</v>
      </c>
      <c r="F57" s="161">
        <f>B57+C57/20+D57/240</f>
        <v/>
      </c>
    </row>
    <row r="58">
      <c r="A58" t="inlineStr">
        <is>
          <t>in hay bought for the sheep in lent</t>
        </is>
      </c>
      <c r="C58" t="n">
        <v>17</v>
      </c>
      <c r="D58" t="n">
        <v>11</v>
      </c>
      <c r="F58" s="161">
        <f>B58+C58/20+D58/240</f>
        <v/>
      </c>
    </row>
    <row r="59">
      <c r="A59" t="inlineStr">
        <is>
          <t>in stipend of 1 dairymaid for the year</t>
        </is>
      </c>
      <c r="C59" t="n">
        <v>2</v>
      </c>
      <c r="F59" s="161">
        <f>B59+C59/20+D59/240</f>
        <v/>
      </c>
    </row>
    <row r="60">
      <c r="A60" t="inlineStr">
        <is>
          <t>in 1 tub bought for the dairy</t>
        </is>
      </c>
      <c r="D60" t="n">
        <v>4</v>
      </c>
      <c r="F60" s="161">
        <f>B60+C60/20+D60/240</f>
        <v/>
      </c>
    </row>
    <row r="61">
      <c r="A61" s="12" t="inlineStr">
        <is>
          <t>Total recorded in accounts</t>
        </is>
      </c>
      <c r="B61" t="n">
        <v>3</v>
      </c>
      <c r="C61" t="n">
        <v>19</v>
      </c>
      <c r="D61" t="n">
        <v>5.5</v>
      </c>
      <c r="F61" s="163">
        <f>B61+C61/20+D61/240</f>
        <v/>
      </c>
    </row>
    <row r="62">
      <c r="A62" s="12" t="inlineStr">
        <is>
          <t>Cost of dairy total</t>
        </is>
      </c>
      <c r="B62">
        <f>SUM(B45:B60)</f>
        <v/>
      </c>
      <c r="C62">
        <f>SUM(C45:C60)</f>
        <v/>
      </c>
      <c r="D62">
        <f>SUM(D45:D60)</f>
        <v/>
      </c>
      <c r="F62" s="163">
        <f>B62+C62/20+D62/240</f>
        <v/>
      </c>
      <c r="G62" s="141">
        <f>F62-F61</f>
        <v/>
      </c>
    </row>
    <row r="63">
      <c r="A63" s="12" t="inlineStr">
        <is>
          <t>Total capital expenses</t>
        </is>
      </c>
      <c r="B63">
        <f>SUM(B60,B54:B58,B45:B52)</f>
        <v/>
      </c>
      <c r="C63">
        <f>SUM(C60,C54:C58,C45:C52)</f>
        <v/>
      </c>
      <c r="D63">
        <f>SUM(D60,D54:D58,D45:D52)</f>
        <v/>
      </c>
      <c r="F63" s="163">
        <f>B63+C63/20+D63/240</f>
        <v/>
      </c>
      <c r="G63" s="141" t="n"/>
    </row>
    <row r="64"/>
    <row r="65">
      <c r="A65" s="12" t="inlineStr">
        <is>
          <t>Cost of Buildings</t>
        </is>
      </c>
    </row>
    <row r="66">
      <c r="A66" t="inlineStr">
        <is>
          <t>in wattling and reroofing the old barn</t>
        </is>
      </c>
      <c r="C66" t="n">
        <v>2</v>
      </c>
      <c r="D66" t="n">
        <v>9</v>
      </c>
      <c r="F66" s="161">
        <f>B66+C66/20+D66/240</f>
        <v/>
      </c>
    </row>
    <row r="67">
      <c r="A67" t="inlineStr">
        <is>
          <t>in plastering and mending the walls</t>
        </is>
      </c>
      <c r="D67" t="n">
        <v>10</v>
      </c>
      <c r="F67" s="161">
        <f>B67+C67/20+D67/240</f>
        <v/>
      </c>
    </row>
    <row r="68">
      <c r="A68" t="inlineStr">
        <is>
          <t>in recovering the stack of vetches</t>
        </is>
      </c>
      <c r="C68" t="n">
        <v>1</v>
      </c>
      <c r="D68" t="n">
        <v>3</v>
      </c>
      <c r="F68" s="161">
        <f>B68+C68/20+D68/240</f>
        <v/>
      </c>
    </row>
    <row r="69">
      <c r="A69" t="inlineStr">
        <is>
          <t>in mending 1 cooking pot and 1 pan</t>
        </is>
      </c>
      <c r="D69" t="n">
        <v>1.25</v>
      </c>
      <c r="F69" s="161">
        <f>B69+C69/20+D69/240</f>
        <v/>
      </c>
    </row>
    <row r="70">
      <c r="A70" t="inlineStr">
        <is>
          <t>in wattling and re-roofing the wheat barn</t>
        </is>
      </c>
      <c r="D70" t="n">
        <v>9</v>
      </c>
      <c r="F70" s="161">
        <f>B70+C70/20+D70/240</f>
        <v/>
      </c>
    </row>
    <row r="71">
      <c r="A71" t="inlineStr">
        <is>
          <t>in 1 bushel measure bought</t>
        </is>
      </c>
      <c r="D71" t="n">
        <v>5</v>
      </c>
      <c r="F71" s="161">
        <f>B71+C71/20+D71/240</f>
        <v/>
      </c>
    </row>
    <row r="72">
      <c r="A72" t="inlineStr">
        <is>
          <t>in castrating piglets</t>
        </is>
      </c>
      <c r="D72" t="n">
        <v>4</v>
      </c>
      <c r="F72" s="161">
        <f>B72+C72/20+D72/240</f>
        <v/>
      </c>
    </row>
    <row r="73">
      <c r="A73" s="12" t="inlineStr">
        <is>
          <t>Total recorded in accounts</t>
        </is>
      </c>
      <c r="C73" t="n">
        <v>6</v>
      </c>
      <c r="D73" t="n">
        <v>5.25</v>
      </c>
      <c r="F73" s="163">
        <f>B73+C73/20+D73/240</f>
        <v/>
      </c>
    </row>
    <row r="74">
      <c r="A74" s="12" t="inlineStr">
        <is>
          <t>Cost of buildings total</t>
        </is>
      </c>
      <c r="B74">
        <f>SUM(B66:B72)</f>
        <v/>
      </c>
      <c r="C74">
        <f>SUM(C66:C72)</f>
        <v/>
      </c>
      <c r="D74">
        <f>SUM(D66:D72)</f>
        <v/>
      </c>
      <c r="F74" s="163">
        <f>B74+C74/20+D74/240</f>
        <v/>
      </c>
      <c r="G74" s="141">
        <f>F74-F73</f>
        <v/>
      </c>
    </row>
    <row r="75">
      <c r="A75" s="12" t="inlineStr">
        <is>
          <t>Total capital expenses</t>
        </is>
      </c>
      <c r="B75">
        <f>SUM(B66:B71)</f>
        <v/>
      </c>
      <c r="C75">
        <f>SUM(C66:C71)</f>
        <v/>
      </c>
      <c r="D75">
        <f>SUM(D66:D71)</f>
        <v/>
      </c>
      <c r="F75" s="163">
        <f>B75+C75/20+D75/240</f>
        <v/>
      </c>
      <c r="G75" s="141" t="n"/>
    </row>
    <row r="76"/>
    <row r="77">
      <c r="A77" s="12" t="inlineStr">
        <is>
          <t>Threshing</t>
        </is>
      </c>
    </row>
    <row r="78">
      <c r="A78" t="inlineStr">
        <is>
          <t>in threshing and winnowing 40 qrs of wheat</t>
        </is>
      </c>
      <c r="C78" t="n">
        <v>6</v>
      </c>
      <c r="D78" t="n">
        <v>8</v>
      </c>
      <c r="F78" s="161">
        <f>B78+C78/20+D78/240</f>
        <v/>
      </c>
    </row>
    <row r="79">
      <c r="A79" t="inlineStr">
        <is>
          <t>in threshing and winnowing 45 qrs of barley</t>
        </is>
      </c>
      <c r="C79" t="n">
        <v>5</v>
      </c>
      <c r="D79" t="n">
        <v>7.5</v>
      </c>
      <c r="F79" s="161">
        <f>B79+C79/20+D79/240</f>
        <v/>
      </c>
    </row>
    <row r="80">
      <c r="A80" t="inlineStr">
        <is>
          <t>in threshing and winnowing 60 qrs of oats</t>
        </is>
      </c>
      <c r="C80" t="n">
        <v>4</v>
      </c>
      <c r="F80" s="161">
        <f>B80+C80/20+D80/240</f>
        <v/>
      </c>
    </row>
    <row r="81">
      <c r="A81" t="inlineStr">
        <is>
          <t>in wages of William Kryre for carrying out issue of the grange</t>
        </is>
      </c>
      <c r="C81" t="n">
        <v>3</v>
      </c>
      <c r="D81" t="n">
        <v>1.5</v>
      </c>
      <c r="F81" s="161">
        <f>B81+C81/20+D81/240</f>
        <v/>
      </c>
    </row>
    <row r="82">
      <c r="A82" t="inlineStr">
        <is>
          <t>in stipend of the same</t>
        </is>
      </c>
      <c r="C82" t="n">
        <v>1</v>
      </c>
      <c r="F82" s="161">
        <f>B82+C82/20+D82/240</f>
        <v/>
      </c>
    </row>
    <row r="83">
      <c r="A83" s="12" t="inlineStr">
        <is>
          <t>Total recorded in accounts</t>
        </is>
      </c>
      <c r="B83" t="n">
        <v>1</v>
      </c>
      <c r="D83" t="n">
        <v>5</v>
      </c>
      <c r="F83" s="163">
        <f>B83+C83/20+D83/240</f>
        <v/>
      </c>
    </row>
    <row r="84">
      <c r="A84" s="12" t="inlineStr">
        <is>
          <t>Threshing total</t>
        </is>
      </c>
      <c r="B84">
        <f>SUM(B78:B82)</f>
        <v/>
      </c>
      <c r="C84">
        <f>SUM(C78:C82)</f>
        <v/>
      </c>
      <c r="D84">
        <f>SUM(D78:D82)</f>
        <v/>
      </c>
      <c r="F84" s="163">
        <f>B84+C84/20+D84/240</f>
        <v/>
      </c>
      <c r="G84" s="141">
        <f>F84-F83</f>
        <v/>
      </c>
    </row>
    <row r="85"/>
    <row r="86">
      <c r="A86" s="12" t="inlineStr">
        <is>
          <t>Expenses of the Harvest</t>
        </is>
      </c>
      <c r="H86" t="inlineStr">
        <is>
          <t>Have included provision of household servants at harvest time as expenses of harvest time although separate in accounts</t>
        </is>
      </c>
    </row>
    <row r="87">
      <c r="A87" t="inlineStr">
        <is>
          <t>in weeding corn</t>
        </is>
      </c>
      <c r="C87" t="n">
        <v>4</v>
      </c>
      <c r="D87" t="n">
        <v>6</v>
      </c>
      <c r="F87" s="161">
        <f>B87+C87/20+D87/240</f>
        <v/>
      </c>
    </row>
    <row r="88">
      <c r="A88" t="inlineStr">
        <is>
          <t>in 1000 herrings bought for 3 boonworks of 300 men</t>
        </is>
      </c>
      <c r="C88" t="n">
        <v>6</v>
      </c>
      <c r="D88" t="n">
        <v>4</v>
      </c>
      <c r="F88" s="161">
        <f>B88+C88/20+D88/240</f>
        <v/>
      </c>
    </row>
    <row r="89">
      <c r="A89" t="inlineStr">
        <is>
          <t>in provisioning group that helped with harvest</t>
        </is>
      </c>
      <c r="B89" t="n">
        <v>1</v>
      </c>
      <c r="F89" s="161">
        <f>B89+C89/20+D89/240</f>
        <v/>
      </c>
    </row>
    <row r="90">
      <c r="A90" t="inlineStr">
        <is>
          <t>in stipend of 1 man keeping the corn in the fields</t>
        </is>
      </c>
      <c r="C90" t="n">
        <v>3</v>
      </c>
      <c r="F90" s="161">
        <f>B90+C90/20+D90/240</f>
        <v/>
      </c>
    </row>
    <row r="91">
      <c r="A91" s="12" t="inlineStr">
        <is>
          <t>Total recorded in accounts</t>
        </is>
      </c>
      <c r="B91" t="n">
        <v>1</v>
      </c>
      <c r="C91" t="n">
        <v>13</v>
      </c>
      <c r="D91" t="n">
        <v>10</v>
      </c>
      <c r="F91" s="163">
        <f>B91+C91/20+D91/240</f>
        <v/>
      </c>
    </row>
    <row r="92">
      <c r="A92" s="12" t="inlineStr">
        <is>
          <t>Expenses of the harvest total</t>
        </is>
      </c>
      <c r="B92">
        <f>SUM(B87:B90)</f>
        <v/>
      </c>
      <c r="C92">
        <f>SUM(C87:C90)</f>
        <v/>
      </c>
      <c r="D92">
        <f>SUM(D87:D90)</f>
        <v/>
      </c>
      <c r="F92" s="163">
        <f>B92+C92/20+D92/240</f>
        <v/>
      </c>
      <c r="G92" s="141">
        <f>F92-F91</f>
        <v/>
      </c>
    </row>
    <row r="93"/>
    <row r="94">
      <c r="A94" s="12" t="inlineStr">
        <is>
          <t>Steward's Expenses</t>
        </is>
      </c>
    </row>
    <row r="95">
      <c r="A95" t="inlineStr">
        <is>
          <t>in expenses of simon clerk at martinmas</t>
        </is>
      </c>
      <c r="C95" t="n">
        <v>3</v>
      </c>
      <c r="D95" t="n">
        <v>3</v>
      </c>
      <c r="F95" s="161">
        <f>B95+C95/20+D95/240</f>
        <v/>
      </c>
    </row>
    <row r="96">
      <c r="A96" t="inlineStr">
        <is>
          <t>in expenses of simon at hockday</t>
        </is>
      </c>
      <c r="C96" t="n">
        <v>1</v>
      </c>
      <c r="D96" t="n">
        <v>6</v>
      </c>
      <c r="F96" s="161">
        <f>B96+C96/20+D96/240</f>
        <v/>
      </c>
    </row>
    <row r="97">
      <c r="A97" t="inlineStr">
        <is>
          <t>in expenses of the same for 1 visit</t>
        </is>
      </c>
      <c r="D97" t="n">
        <v>9.25</v>
      </c>
      <c r="F97" s="161">
        <f>B97+C97/20+D97/240</f>
        <v/>
      </c>
    </row>
    <row r="98">
      <c r="A98" t="inlineStr">
        <is>
          <t>in expenses of the bailiff for his visits</t>
        </is>
      </c>
      <c r="C98" t="n">
        <v>12</v>
      </c>
      <c r="D98" t="n">
        <v>2</v>
      </c>
      <c r="F98" s="161">
        <f>B98+C98/20+D98/240</f>
        <v/>
      </c>
    </row>
    <row r="99">
      <c r="A99" t="inlineStr">
        <is>
          <t>given by order of the steward and treasurer for the lord's business in the hundred of buddlesgate</t>
        </is>
      </c>
      <c r="C99" t="n">
        <v>6</v>
      </c>
      <c r="D99" t="n">
        <v>8</v>
      </c>
      <c r="F99" s="161">
        <f>B99+C99/20+D99/240</f>
        <v/>
      </c>
    </row>
    <row r="100">
      <c r="A100" s="12" t="inlineStr">
        <is>
          <t>Total recorded in accounts</t>
        </is>
      </c>
      <c r="B100" t="n">
        <v>1</v>
      </c>
      <c r="C100" t="n">
        <v>4</v>
      </c>
      <c r="D100" t="n">
        <v>4.25</v>
      </c>
      <c r="F100" s="163">
        <f>B100+C100/20+D100/240</f>
        <v/>
      </c>
    </row>
    <row r="101">
      <c r="A101" s="12" t="inlineStr">
        <is>
          <t>Steward's expenses total</t>
        </is>
      </c>
      <c r="B101">
        <f>SUM(B95:B99)</f>
        <v/>
      </c>
      <c r="C101">
        <f>SUM(C95:C99)</f>
        <v/>
      </c>
      <c r="D101">
        <f>SUM(D95:D99)</f>
        <v/>
      </c>
      <c r="F101" s="163">
        <f>B101+C101/20+D101/240</f>
        <v/>
      </c>
      <c r="G101" s="141">
        <f>F101-F100</f>
        <v/>
      </c>
    </row>
    <row r="102"/>
    <row r="103">
      <c r="A103" t="inlineStr">
        <is>
          <t>Total of all Expenses</t>
        </is>
      </c>
      <c r="B103" t="n">
        <v>13</v>
      </c>
      <c r="C103" t="n">
        <v>8</v>
      </c>
      <c r="D103" t="n">
        <v>0.75</v>
      </c>
      <c r="F103" s="161">
        <f>B103+C103/20+D103/240</f>
        <v/>
      </c>
    </row>
    <row r="104">
      <c r="A104" t="inlineStr">
        <is>
          <t>Total of all Expenses (calculated)</t>
        </is>
      </c>
      <c r="B104">
        <f>SUM(B101,B92,B84,B74,,B62,B41,B24,B17)</f>
        <v/>
      </c>
      <c r="C104">
        <f>SUM(C101,C92,C84,C74,,C62,C41,C24,C17)</f>
        <v/>
      </c>
      <c r="D104">
        <f>SUM(D101,D92,D84,D74,,D62,D41,D24,D17)</f>
        <v/>
      </c>
      <c r="F104" s="161">
        <f>B104+C104/20+D104/240</f>
        <v/>
      </c>
      <c r="G104" s="141">
        <f>F104-F103</f>
        <v/>
      </c>
    </row>
    <row r="105">
      <c r="A105" t="inlineStr">
        <is>
          <t>And thus he owes</t>
        </is>
      </c>
      <c r="B105" t="n">
        <v>42</v>
      </c>
      <c r="C105" t="n">
        <v>14</v>
      </c>
      <c r="D105" t="n">
        <v>6.25</v>
      </c>
      <c r="F105" s="161">
        <f>B105+C105/20+D105/240</f>
        <v/>
      </c>
    </row>
    <row r="106">
      <c r="A106" t="inlineStr">
        <is>
          <t>Delivered to Sir Geoffrey, treasurer of Wolvesey</t>
        </is>
      </c>
      <c r="B106" t="n">
        <v>27</v>
      </c>
      <c r="C106" t="n">
        <v>14</v>
      </c>
      <c r="D106" t="n">
        <v>4</v>
      </c>
      <c r="F106" s="161">
        <f>B106+C106/20+D106/240</f>
        <v/>
      </c>
    </row>
    <row r="107">
      <c r="A107" t="inlineStr">
        <is>
          <t>and thus he owes clear</t>
        </is>
      </c>
      <c r="B107" t="n">
        <v>15</v>
      </c>
      <c r="D107" t="n">
        <v>2.25</v>
      </c>
      <c r="F107" s="161">
        <f>B107+C107/20+D107/240</f>
        <v/>
      </c>
    </row>
    <row r="108">
      <c r="A108" t="inlineStr">
        <is>
          <t>Total capital expenses</t>
        </is>
      </c>
      <c r="B108">
        <f>SUM(B18,B42,B63,B75,B24)</f>
        <v/>
      </c>
      <c r="C108">
        <f>SUM(C18,C42,C63,C75,C24)</f>
        <v/>
      </c>
      <c r="D108">
        <f>SUM(D18,D42,D63,D75,D24)</f>
        <v/>
      </c>
      <c r="F108" s="161">
        <f>B108+C108/20+D108/240</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6"/>
  <sheetViews>
    <sheetView topLeftCell="A1" workbookViewId="0">
      <selection activeCell="A1" sqref="A1"/>
    </sheetView>
  </sheetViews>
  <sheetFormatPr baseColWidth="8" defaultRowHeight="15"/>
  <sheetData>
    <row r="1">
      <c r="A1" s="38" t="n"/>
      <c r="B1" s="40" t="inlineStr">
        <is>
          <t>The issue of the grange account gives the total "yield" at the top of each heading in curly brackets, measurements used: fold, qrs, bus</t>
        </is>
      </c>
      <c r="I1" s="166" t="n"/>
      <c r="J1" s="166" t="n"/>
      <c r="O1" s="167" t="n"/>
      <c r="P1" s="167" t="n"/>
      <c r="Q1" s="167" t="n"/>
    </row>
    <row r="2">
      <c r="A2" s="38" t="n"/>
      <c r="B2" s="168" t="inlineStr">
        <is>
          <t>In "Issues of the grange" (p.xx)</t>
        </is>
      </c>
      <c r="C2" s="168" t="n"/>
      <c r="D2" s="168" t="n"/>
      <c r="E2" s="168" t="n"/>
      <c r="F2" s="168" t="n"/>
      <c r="G2" s="169" t="inlineStr">
        <is>
          <t>In "Sale of Corn" (p.x)</t>
        </is>
      </c>
      <c r="H2" s="169" t="n"/>
      <c r="I2" s="169" t="n"/>
      <c r="J2" s="169" t="n"/>
      <c r="K2" s="169" t="n"/>
      <c r="L2" s="169" t="n"/>
      <c r="M2" s="169" t="n"/>
      <c r="N2" s="169" t="n"/>
      <c r="O2" s="170" t="n"/>
      <c r="P2" s="171" t="inlineStr">
        <is>
          <t>Value of Total Production</t>
        </is>
      </c>
      <c r="Q2" s="171" t="n"/>
    </row>
    <row r="3">
      <c r="A3" s="38" t="inlineStr">
        <is>
          <t>Gross output</t>
        </is>
      </c>
      <c r="B3" s="167" t="inlineStr">
        <is>
          <t>Quantity</t>
        </is>
      </c>
      <c r="D3" s="167" t="inlineStr">
        <is>
          <t>Additional bought-in</t>
        </is>
      </c>
      <c r="F3" s="172" t="inlineStr">
        <is>
          <t>Quantity</t>
        </is>
      </c>
      <c r="G3" s="167" t="inlineStr">
        <is>
          <t>Quantity noted as sold</t>
        </is>
      </c>
      <c r="J3" s="167" t="inlineStr">
        <is>
          <t>Difference Produced vs. Sold</t>
        </is>
      </c>
      <c r="K3" s="166" t="inlineStr">
        <is>
          <t>Price 1</t>
        </is>
      </c>
      <c r="L3" s="166" t="inlineStr">
        <is>
          <t>Quantity 1</t>
        </is>
      </c>
      <c r="M3" s="166" t="inlineStr">
        <is>
          <t>Price 2</t>
        </is>
      </c>
      <c r="N3" s="166" t="inlineStr">
        <is>
          <t>Quantity 2</t>
        </is>
      </c>
      <c r="O3" s="172" t="inlineStr">
        <is>
          <t>Unit price</t>
        </is>
      </c>
      <c r="P3" s="167" t="inlineStr">
        <is>
          <t>Value</t>
        </is>
      </c>
    </row>
    <row r="4">
      <c r="B4" s="173" t="inlineStr">
        <is>
          <t>qrs</t>
        </is>
      </c>
      <c r="C4" s="173" t="inlineStr">
        <is>
          <t>bus</t>
        </is>
      </c>
      <c r="D4" s="173" t="inlineStr">
        <is>
          <t>qrs</t>
        </is>
      </c>
      <c r="E4" s="173" t="inlineStr">
        <is>
          <t>bus</t>
        </is>
      </c>
      <c r="F4" s="174" t="inlineStr">
        <is>
          <t>qrs</t>
        </is>
      </c>
      <c r="G4" s="173" t="inlineStr">
        <is>
          <t>qrs</t>
        </is>
      </c>
      <c r="H4" s="173" t="inlineStr">
        <is>
          <t>bus</t>
        </is>
      </c>
      <c r="I4" s="173" t="inlineStr">
        <is>
          <t>qrs</t>
        </is>
      </c>
      <c r="J4" s="173" t="n"/>
      <c r="K4" s="173" t="inlineStr">
        <is>
          <t>£</t>
        </is>
      </c>
      <c r="L4" s="173" t="inlineStr">
        <is>
          <t>qrs</t>
        </is>
      </c>
      <c r="M4" s="173" t="inlineStr">
        <is>
          <t>£</t>
        </is>
      </c>
      <c r="N4" s="173" t="inlineStr">
        <is>
          <t>qrs</t>
        </is>
      </c>
      <c r="O4" s="174" t="inlineStr">
        <is>
          <t>£ per qr</t>
        </is>
      </c>
      <c r="P4" s="175" t="inlineStr">
        <is>
          <t>£</t>
        </is>
      </c>
      <c r="Q4" s="176" t="n"/>
    </row>
    <row r="5">
      <c r="A5" t="inlineStr">
        <is>
          <t>Wheat</t>
        </is>
      </c>
      <c r="B5" t="n">
        <v>58</v>
      </c>
      <c r="C5" t="n">
        <v>6</v>
      </c>
      <c r="E5" t="n">
        <v>6</v>
      </c>
      <c r="F5" s="177">
        <f>B5+D5+C5/8+E5/8</f>
        <v/>
      </c>
      <c r="G5" t="n">
        <v>40</v>
      </c>
      <c r="I5">
        <f>G5+H5/8</f>
        <v/>
      </c>
      <c r="J5" s="26">
        <f>F5-I5</f>
        <v/>
      </c>
      <c r="K5" s="161">
        <f>'Crawley Receipts'!F82</f>
        <v/>
      </c>
      <c r="L5" t="n">
        <v>40</v>
      </c>
      <c r="O5" s="178">
        <f>IFERROR((K5+M5)/(L5+N5),0)</f>
        <v/>
      </c>
      <c r="P5" s="26">
        <f>O5*F5</f>
        <v/>
      </c>
    </row>
    <row r="6">
      <c r="A6" t="inlineStr">
        <is>
          <t>Curall</t>
        </is>
      </c>
      <c r="B6" t="n">
        <v>12</v>
      </c>
      <c r="C6" t="n">
        <v>0.5</v>
      </c>
      <c r="F6" s="179">
        <f>B6+D6+C6/8+E6/8</f>
        <v/>
      </c>
      <c r="G6" t="n">
        <v>12</v>
      </c>
      <c r="H6" t="n">
        <v>0.5</v>
      </c>
      <c r="I6">
        <f>G6+H6/8</f>
        <v/>
      </c>
      <c r="J6" s="26">
        <f>F6-I6</f>
        <v/>
      </c>
      <c r="K6" s="161">
        <f>'Crawley Receipts'!F83</f>
        <v/>
      </c>
      <c r="L6">
        <f>I6</f>
        <v/>
      </c>
      <c r="O6" s="178">
        <f>IFERROR((K6+M6)/(L6+N6),0)</f>
        <v/>
      </c>
      <c r="P6" s="26">
        <f>O6*F6</f>
        <v/>
      </c>
    </row>
    <row r="7">
      <c r="A7" t="inlineStr">
        <is>
          <t>Bere</t>
        </is>
      </c>
      <c r="B7" t="n">
        <v>4</v>
      </c>
      <c r="C7" t="n">
        <v>2</v>
      </c>
      <c r="F7" s="179">
        <f>B7+D7+C7/8+E7/8</f>
        <v/>
      </c>
      <c r="I7">
        <f>G7+H7/8</f>
        <v/>
      </c>
      <c r="J7" s="26">
        <f>F7-I7</f>
        <v/>
      </c>
      <c r="O7" s="178">
        <f>IFERROR((K7+M7)/(L7+N7),0)</f>
        <v/>
      </c>
      <c r="P7" s="26">
        <f>O7*F7</f>
        <v/>
      </c>
    </row>
    <row r="8">
      <c r="A8" t="inlineStr">
        <is>
          <t>Barley</t>
        </is>
      </c>
      <c r="B8" t="n">
        <v>91</v>
      </c>
      <c r="C8" t="n">
        <v>5</v>
      </c>
      <c r="D8" t="n">
        <v>3</v>
      </c>
      <c r="E8" t="n">
        <v>6</v>
      </c>
      <c r="F8" s="179">
        <f>B8+D8+C8/8+E8/8</f>
        <v/>
      </c>
      <c r="G8" t="n">
        <v>21.5</v>
      </c>
      <c r="H8" t="n">
        <v>6</v>
      </c>
      <c r="I8">
        <f>G8+H8/8</f>
        <v/>
      </c>
      <c r="J8" s="26">
        <f>F8-I8</f>
        <v/>
      </c>
      <c r="K8" s="161">
        <f>'Crawley Receipts'!F84</f>
        <v/>
      </c>
      <c r="L8">
        <f>21+6/8</f>
        <v/>
      </c>
      <c r="M8" s="161">
        <f>'Crawley Receipts'!F88</f>
        <v/>
      </c>
      <c r="N8" t="n">
        <v>0.5</v>
      </c>
      <c r="O8" s="178">
        <f>IFERROR((K8+M8)/(L8+N8),0)</f>
        <v/>
      </c>
      <c r="P8" s="26">
        <f>O8*F8</f>
        <v/>
      </c>
      <c r="R8" s="10" t="n"/>
    </row>
    <row r="9">
      <c r="A9" t="inlineStr">
        <is>
          <t>Oats</t>
        </is>
      </c>
      <c r="B9" t="n">
        <v>170</v>
      </c>
      <c r="F9" s="179">
        <f>B9+D9+C9/8+E9/8</f>
        <v/>
      </c>
      <c r="G9" t="n">
        <v>43</v>
      </c>
      <c r="I9">
        <f>G9+H9/8</f>
        <v/>
      </c>
      <c r="J9" s="26">
        <f>F9-I9</f>
        <v/>
      </c>
      <c r="K9" s="161">
        <f>'Crawley Receipts'!F85</f>
        <v/>
      </c>
      <c r="L9" t="n">
        <v>43</v>
      </c>
      <c r="O9" s="178">
        <f>IFERROR((K9+M9)/(L9+N9),0)</f>
        <v/>
      </c>
      <c r="P9" s="26">
        <f>O9*F9</f>
        <v/>
      </c>
    </row>
    <row r="10">
      <c r="A10" t="inlineStr">
        <is>
          <t>Peas</t>
        </is>
      </c>
      <c r="B10" t="n">
        <v>6.5</v>
      </c>
      <c r="F10" s="179">
        <f>B10+D10+C10/8+E10/8</f>
        <v/>
      </c>
      <c r="G10" t="n">
        <v>3</v>
      </c>
      <c r="H10" t="n">
        <v>1</v>
      </c>
      <c r="I10">
        <f>G10+H10/8</f>
        <v/>
      </c>
      <c r="J10" s="26">
        <f>F10-I10</f>
        <v/>
      </c>
      <c r="K10" s="161">
        <f>'Crawley Receipts'!F86</f>
        <v/>
      </c>
      <c r="L10">
        <f>I10</f>
        <v/>
      </c>
      <c r="O10" s="178">
        <f>IFERROR((K10+M10)/(L10+N10),0)</f>
        <v/>
      </c>
      <c r="P10" s="26">
        <f>O10*F10</f>
        <v/>
      </c>
    </row>
    <row r="11">
      <c r="A11" t="inlineStr">
        <is>
          <t>Vetches</t>
        </is>
      </c>
      <c r="B11" t="n">
        <v>7</v>
      </c>
      <c r="C11" t="n">
        <v>6</v>
      </c>
      <c r="F11" s="179">
        <f>B11+D11+C11/8+E11/8</f>
        <v/>
      </c>
      <c r="G11" t="n">
        <v>4.5</v>
      </c>
      <c r="I11">
        <f>G11+H11/8</f>
        <v/>
      </c>
      <c r="J11" s="26">
        <f>F11-I11</f>
        <v/>
      </c>
      <c r="K11" s="161">
        <f>'Crawley Receipts'!F87</f>
        <v/>
      </c>
      <c r="L11" t="n">
        <v>4.5</v>
      </c>
      <c r="O11" s="178">
        <f>IFERROR((K11+M11)/(L11+N11),0)</f>
        <v/>
      </c>
      <c r="P11" s="26">
        <f>O11*F11</f>
        <v/>
      </c>
    </row>
    <row r="12"/>
    <row r="13">
      <c r="A13" s="180" t="inlineStr">
        <is>
          <t>Total Production</t>
        </is>
      </c>
      <c r="B13" s="54" t="n"/>
      <c r="C13" s="54" t="n"/>
      <c r="D13" s="54" t="n"/>
      <c r="E13" s="54" t="n"/>
      <c r="F13" s="55">
        <f>SUM(F5:F11)</f>
        <v/>
      </c>
      <c r="G13" s="54" t="n"/>
      <c r="H13" s="54" t="n"/>
      <c r="I13" s="54" t="n"/>
      <c r="J13" s="54" t="n"/>
      <c r="K13" s="54" t="n"/>
      <c r="L13" s="54" t="n"/>
      <c r="M13" s="54" t="n"/>
      <c r="N13" s="54" t="n"/>
      <c r="O13" s="54" t="n"/>
      <c r="P13" s="55">
        <f>SUM(P5:P11)</f>
        <v/>
      </c>
      <c r="Q13" s="67" t="inlineStr">
        <is>
          <t>Production value is significantly more, as much less was sold than what was produced</t>
        </is>
      </c>
    </row>
    <row r="14">
      <c r="A14" s="180" t="inlineStr">
        <is>
          <t>Sales of corn (as recorded in accounts)</t>
        </is>
      </c>
      <c r="B14" s="54" t="n"/>
      <c r="C14" s="54" t="n"/>
      <c r="D14" s="54" t="n"/>
      <c r="E14" s="54" t="n"/>
      <c r="F14" s="54">
        <f>SUM(I5:I11)</f>
        <v/>
      </c>
      <c r="G14" s="54" t="n"/>
      <c r="H14" s="54" t="n"/>
      <c r="I14" s="54" t="n"/>
      <c r="J14" s="54" t="n"/>
      <c r="K14" s="54" t="n"/>
      <c r="L14" s="54" t="n"/>
      <c r="M14" s="54" t="n"/>
      <c r="N14" s="54" t="n"/>
      <c r="O14" s="54" t="n"/>
      <c r="P14" s="55">
        <f>SUM(K5:K11,M5:M11)</f>
        <v/>
      </c>
      <c r="Q14" s="54" t="n"/>
    </row>
    <row r="15"/>
    <row r="16"/>
    <row r="17" ht="102" customHeight="1">
      <c r="A17" s="38" t="inlineStr">
        <is>
          <t>Net output</t>
        </is>
      </c>
      <c r="B17" s="181" t="inlineStr">
        <is>
          <t>Gross output</t>
        </is>
      </c>
      <c r="C17" s="182" t="inlineStr">
        <is>
          <t>Seed</t>
        </is>
      </c>
      <c r="F17" t="inlineStr">
        <is>
          <t>tithe</t>
        </is>
      </c>
      <c r="G17" s="183" t="inlineStr">
        <is>
          <t>to manorial servants &amp; livestock</t>
        </is>
      </c>
      <c r="J17" s="181" t="inlineStr">
        <is>
          <t>Output net of tithe &amp; seed &amp; liveries to manorial servants</t>
        </is>
      </c>
      <c r="K17" t="inlineStr">
        <is>
          <t>in stock from last year</t>
        </is>
      </c>
      <c r="L17" s="184" t="inlineStr">
        <is>
          <t xml:space="preserve">Price </t>
        </is>
      </c>
      <c r="M17" s="181" t="inlineStr">
        <is>
          <t>Value of net output</t>
        </is>
      </c>
      <c r="N17" s="181" t="inlineStr">
        <is>
          <t>Value of sales (in "Sale of Corn")</t>
        </is>
      </c>
    </row>
    <row r="18">
      <c r="B18" s="166" t="inlineStr">
        <is>
          <t>qrs</t>
        </is>
      </c>
      <c r="C18" s="166" t="inlineStr">
        <is>
          <t>qrs</t>
        </is>
      </c>
      <c r="D18" t="inlineStr">
        <is>
          <t>bus</t>
        </is>
      </c>
      <c r="E18" t="inlineStr">
        <is>
          <t>qrs</t>
        </is>
      </c>
      <c r="F18" t="inlineStr">
        <is>
          <t>qrs</t>
        </is>
      </c>
      <c r="G18" t="inlineStr">
        <is>
          <t>qrs</t>
        </is>
      </c>
      <c r="H18" t="inlineStr">
        <is>
          <t>bus</t>
        </is>
      </c>
      <c r="I18" s="178" t="inlineStr">
        <is>
          <t>qrs</t>
        </is>
      </c>
      <c r="J18" s="166" t="inlineStr">
        <is>
          <t>qrs</t>
        </is>
      </c>
      <c r="K18" s="178" t="inlineStr">
        <is>
          <t>qrs</t>
        </is>
      </c>
      <c r="L18" s="185" t="inlineStr">
        <is>
          <t>£ per qr</t>
        </is>
      </c>
      <c r="M18" s="166" t="inlineStr">
        <is>
          <t>£</t>
        </is>
      </c>
      <c r="N18" s="166" t="inlineStr">
        <is>
          <t>£</t>
        </is>
      </c>
    </row>
    <row r="19">
      <c r="A19" t="inlineStr">
        <is>
          <t>Net wheat</t>
        </is>
      </c>
      <c r="B19" s="26">
        <f>F5</f>
        <v/>
      </c>
      <c r="C19" t="n">
        <v>16</v>
      </c>
      <c r="D19" t="n">
        <v>5</v>
      </c>
      <c r="E19">
        <f>C19+D19/8</f>
        <v/>
      </c>
      <c r="G19" t="n">
        <v>2</v>
      </c>
      <c r="H19" t="n">
        <v>7</v>
      </c>
      <c r="I19" s="178">
        <f>G19+H19/8</f>
        <v/>
      </c>
      <c r="J19" s="26">
        <f>B19-(E19+F19+I19)</f>
        <v/>
      </c>
      <c r="K19" s="178" t="n"/>
      <c r="L19" s="186">
        <f>O5</f>
        <v/>
      </c>
      <c r="M19" s="26">
        <f>L19*J19</f>
        <v/>
      </c>
      <c r="N19" s="26">
        <f>O5*I5</f>
        <v/>
      </c>
    </row>
    <row r="20">
      <c r="A20" t="inlineStr">
        <is>
          <t>Net curall</t>
        </is>
      </c>
      <c r="B20" s="26">
        <f>F6</f>
        <v/>
      </c>
      <c r="E20">
        <f>C20+D20/8</f>
        <v/>
      </c>
      <c r="I20" s="178">
        <f>G20+H20/8</f>
        <v/>
      </c>
      <c r="J20" s="26">
        <f>B20-(E20+F20+I20)</f>
        <v/>
      </c>
      <c r="K20" s="178" t="n"/>
      <c r="L20" s="186">
        <f>O6</f>
        <v/>
      </c>
      <c r="M20" s="26">
        <f>L20*J20</f>
        <v/>
      </c>
      <c r="N20" s="26">
        <f>O6*I6</f>
        <v/>
      </c>
    </row>
    <row r="21">
      <c r="A21" t="inlineStr">
        <is>
          <t>Net Bere</t>
        </is>
      </c>
      <c r="B21" s="26">
        <f>F7</f>
        <v/>
      </c>
      <c r="E21">
        <f>C21+D21/8</f>
        <v/>
      </c>
      <c r="G21" t="n">
        <v>4</v>
      </c>
      <c r="H21" t="n">
        <v>2</v>
      </c>
      <c r="I21" s="178">
        <f>G21+H21/8</f>
        <v/>
      </c>
      <c r="J21" s="26">
        <f>B21-(E21+F21+I21)</f>
        <v/>
      </c>
      <c r="K21" s="178" t="n"/>
      <c r="L21" s="186">
        <f>O7</f>
        <v/>
      </c>
      <c r="M21" s="26">
        <f>L21*J21</f>
        <v/>
      </c>
      <c r="N21" s="26">
        <f>O7*I7</f>
        <v/>
      </c>
    </row>
    <row r="22">
      <c r="A22" t="inlineStr">
        <is>
          <t>Net barley</t>
        </is>
      </c>
      <c r="B22" s="26">
        <f>F8</f>
        <v/>
      </c>
      <c r="C22" t="n">
        <v>43</v>
      </c>
      <c r="D22" t="n">
        <v>2</v>
      </c>
      <c r="E22">
        <f>C22+D22/8</f>
        <v/>
      </c>
      <c r="G22">
        <f>19.5+0.5+2+3+2+0.5</f>
        <v/>
      </c>
      <c r="H22">
        <f>6.5+6+7</f>
        <v/>
      </c>
      <c r="I22" s="178">
        <f>G22+H22/8</f>
        <v/>
      </c>
      <c r="J22" s="26">
        <f>B22-(E22+F22+I22)</f>
        <v/>
      </c>
      <c r="K22" s="178" t="n"/>
      <c r="L22" s="186">
        <f>O8</f>
        <v/>
      </c>
      <c r="M22" s="26">
        <f>L22*J22</f>
        <v/>
      </c>
      <c r="N22" s="26">
        <f>O8*I8</f>
        <v/>
      </c>
    </row>
    <row r="23">
      <c r="A23" t="inlineStr">
        <is>
          <t>Net oats</t>
        </is>
      </c>
      <c r="B23" s="26">
        <f>F9</f>
        <v/>
      </c>
      <c r="C23" t="n">
        <v>83</v>
      </c>
      <c r="D23" t="n">
        <v>3</v>
      </c>
      <c r="E23">
        <f>C23+D23/8</f>
        <v/>
      </c>
      <c r="G23">
        <f>6+4+12+20</f>
        <v/>
      </c>
      <c r="H23">
        <f>6+2+5</f>
        <v/>
      </c>
      <c r="I23" s="178">
        <f>G23+H23/8</f>
        <v/>
      </c>
      <c r="J23" s="26">
        <f>B23-(E23+F23+I23)</f>
        <v/>
      </c>
      <c r="K23" s="178" t="n"/>
      <c r="L23" s="186">
        <f>O9</f>
        <v/>
      </c>
      <c r="M23" s="26">
        <f>L23*J23</f>
        <v/>
      </c>
      <c r="N23" s="26">
        <f>O9*I9</f>
        <v/>
      </c>
    </row>
    <row r="24">
      <c r="A24" t="inlineStr">
        <is>
          <t>Net peas</t>
        </is>
      </c>
      <c r="B24" s="26">
        <f>F10</f>
        <v/>
      </c>
      <c r="C24" t="n">
        <v>3</v>
      </c>
      <c r="E24">
        <f>C24+D24/8</f>
        <v/>
      </c>
      <c r="H24" t="n">
        <v>3</v>
      </c>
      <c r="I24" s="178">
        <f>G24+H24/8</f>
        <v/>
      </c>
      <c r="J24" s="26">
        <f>B24-(E24+F24+I24)</f>
        <v/>
      </c>
      <c r="K24" s="178" t="n"/>
      <c r="L24" s="186">
        <f>O10</f>
        <v/>
      </c>
      <c r="M24" s="26">
        <f>L24*J24</f>
        <v/>
      </c>
      <c r="N24" s="26">
        <f>O10*I10</f>
        <v/>
      </c>
    </row>
    <row r="25">
      <c r="A25" t="inlineStr">
        <is>
          <t>Net vetches</t>
        </is>
      </c>
      <c r="B25" s="26">
        <f>F11</f>
        <v/>
      </c>
      <c r="C25" t="n">
        <v>3</v>
      </c>
      <c r="D25" t="n">
        <v>2</v>
      </c>
      <c r="E25">
        <f>C25+D25/8</f>
        <v/>
      </c>
      <c r="I25" s="178">
        <f>G25+H25/8</f>
        <v/>
      </c>
      <c r="J25" s="26">
        <f>B25-(E25+F25+I25)</f>
        <v/>
      </c>
      <c r="K25" s="178" t="n"/>
      <c r="L25" s="186">
        <f>O11</f>
        <v/>
      </c>
      <c r="M25" s="26">
        <f>L25*J25</f>
        <v/>
      </c>
      <c r="N25" s="26">
        <f>O11*I11</f>
        <v/>
      </c>
    </row>
    <row r="26">
      <c r="A26" s="180" t="inlineStr">
        <is>
          <t>Total</t>
        </is>
      </c>
      <c r="B26" s="55">
        <f>SUM(B19:B25)</f>
        <v/>
      </c>
      <c r="C26" s="54" t="n"/>
      <c r="D26" s="54" t="n"/>
      <c r="E26" s="54">
        <f>SUM(E19:E25)</f>
        <v/>
      </c>
      <c r="F26" s="54" t="n"/>
      <c r="G26" s="54" t="n"/>
      <c r="H26" s="54" t="n"/>
      <c r="I26" s="54" t="n"/>
      <c r="J26" s="55">
        <f>SUM(J19:J25)</f>
        <v/>
      </c>
      <c r="K26" s="54" t="n"/>
      <c r="L26" s="54" t="n"/>
      <c r="M26" s="55">
        <f>SUM(M19:M25)</f>
        <v/>
      </c>
      <c r="N26" s="55">
        <f>SUM(N19:N25)</f>
        <v/>
      </c>
    </row>
  </sheetData>
  <mergeCells count="5">
    <mergeCell ref="B3:C3"/>
    <mergeCell ref="C17:E17"/>
    <mergeCell ref="G17:I17"/>
    <mergeCell ref="G3:I3"/>
    <mergeCell ref="D3:E3"/>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T98"/>
  <sheetViews>
    <sheetView topLeftCell="A1" workbookViewId="0">
      <selection activeCell="A1" sqref="A1"/>
    </sheetView>
  </sheetViews>
  <sheetFormatPr baseColWidth="8" defaultRowHeight="15"/>
  <cols>
    <col width="31.83203125" customWidth="1" min="1" max="1"/>
    <col width="11.6640625" customWidth="1" min="14" max="14"/>
    <col width="10.83203125" customWidth="1" min="17" max="17"/>
  </cols>
  <sheetData>
    <row r="1">
      <c r="A1" s="8" t="inlineStr">
        <is>
          <t>EAST KNOYLE STOCK ACCOUNT</t>
        </is>
      </c>
      <c r="B1" s="15" t="n"/>
      <c r="C1" s="15" t="n"/>
      <c r="D1" s="15" t="n"/>
      <c r="E1" s="15" t="n"/>
      <c r="F1" s="15" t="n"/>
      <c r="G1" s="15" t="n"/>
      <c r="H1" s="15" t="n"/>
      <c r="I1" s="15" t="n"/>
      <c r="J1" s="15" t="n"/>
      <c r="K1" s="15" t="n"/>
      <c r="L1" s="134" t="n"/>
      <c r="M1" s="134" t="n"/>
      <c r="N1" s="15" t="n"/>
      <c r="O1" s="15" t="n"/>
      <c r="P1" s="15" t="n"/>
      <c r="Q1" s="134" t="n"/>
      <c r="R1" s="134" t="n"/>
      <c r="S1" s="134" t="n"/>
      <c r="T1" s="15" t="n"/>
    </row>
    <row r="2">
      <c r="A2" s="22" t="n"/>
      <c r="B2" s="15" t="n"/>
      <c r="C2" s="15" t="n"/>
      <c r="D2" s="15" t="n"/>
      <c r="E2" s="15" t="n"/>
      <c r="F2" s="15" t="n"/>
      <c r="G2" s="15" t="n"/>
      <c r="H2" s="15" t="n"/>
      <c r="I2" s="15" t="n"/>
      <c r="J2" s="15" t="n"/>
      <c r="K2" s="15" t="n"/>
      <c r="L2" s="134" t="n"/>
      <c r="M2" s="134" t="n"/>
      <c r="N2" s="15" t="n"/>
      <c r="O2" s="15" t="n"/>
      <c r="P2" s="15" t="n"/>
      <c r="Q2" s="134" t="n"/>
      <c r="R2" s="134" t="n"/>
      <c r="S2" s="134" t="n"/>
      <c r="T2" s="15" t="n"/>
    </row>
    <row r="3" ht="68" customHeight="1">
      <c r="A3" s="187" t="inlineStr">
        <is>
          <t>Livestock</t>
        </is>
      </c>
      <c r="B3" s="188" t="inlineStr">
        <is>
          <t>Inherited stock</t>
        </is>
      </c>
      <c r="C3" s="188" t="inlineStr">
        <is>
          <t>Bought</t>
        </is>
      </c>
      <c r="D3" s="188" t="inlineStr">
        <is>
          <t>Produced</t>
        </is>
      </c>
      <c r="E3" s="8" t="inlineStr">
        <is>
          <t>strays</t>
        </is>
      </c>
      <c r="F3" s="8" t="inlineStr">
        <is>
          <t>herbage</t>
        </is>
      </c>
      <c r="G3" s="188" t="inlineStr">
        <is>
          <t>sold</t>
        </is>
      </c>
      <c r="H3" s="188" t="inlineStr">
        <is>
          <t>in murrain</t>
        </is>
      </c>
      <c r="I3" s="188" t="inlineStr">
        <is>
          <t>accounted for elsewhere</t>
        </is>
      </c>
      <c r="J3" s="188" t="inlineStr">
        <is>
          <t>End-period  stock</t>
        </is>
      </c>
      <c r="K3" s="188" t="inlineStr">
        <is>
          <t>cross-check</t>
        </is>
      </c>
      <c r="L3" s="189" t="inlineStr">
        <is>
          <t>price 1</t>
        </is>
      </c>
      <c r="M3" s="189" t="inlineStr">
        <is>
          <t>units 1</t>
        </is>
      </c>
      <c r="N3" s="188" t="inlineStr">
        <is>
          <t>price 2</t>
        </is>
      </c>
      <c r="O3" s="188" t="inlineStr">
        <is>
          <t>units 2</t>
        </is>
      </c>
      <c r="P3" s="188" t="inlineStr">
        <is>
          <t>Weight (weys)</t>
        </is>
      </c>
      <c r="Q3" s="189" t="inlineStr">
        <is>
          <t>Unit price (£)</t>
        </is>
      </c>
      <c r="R3" s="190" t="inlineStr">
        <is>
          <t>Value of production (£) at sales prices</t>
        </is>
      </c>
      <c r="S3" s="190" t="inlineStr">
        <is>
          <t>Sales in (£)</t>
        </is>
      </c>
      <c r="T3" s="188" t="inlineStr">
        <is>
          <t>Details</t>
        </is>
      </c>
    </row>
    <row r="4" ht="17" customHeight="1">
      <c r="A4" s="22" t="inlineStr">
        <is>
          <t>Cart-horses</t>
        </is>
      </c>
      <c r="B4" s="15" t="n">
        <v>2</v>
      </c>
      <c r="C4" s="15" t="n"/>
      <c r="D4" s="15" t="n"/>
      <c r="E4" s="15" t="n"/>
      <c r="F4" s="15" t="n"/>
      <c r="G4" s="15" t="n"/>
      <c r="H4" s="15" t="n"/>
      <c r="I4" s="15" t="n"/>
      <c r="J4" s="15" t="n">
        <v>2</v>
      </c>
      <c r="K4" s="188">
        <f>B4+C4+D4+E4-F4-G4-H4-I4</f>
        <v/>
      </c>
      <c r="Q4" s="134">
        <f>IFERROR((L4+N4)/(M4+O4),"")</f>
        <v/>
      </c>
      <c r="R4" s="134">
        <f>IFERROR(D4*Q4,"")</f>
        <v/>
      </c>
      <c r="S4" s="134">
        <f>IFERROR(Q4*G4,"")</f>
        <v/>
      </c>
      <c r="T4" s="15" t="n"/>
    </row>
    <row r="5" ht="17" customHeight="1">
      <c r="A5" s="22" t="inlineStr">
        <is>
          <t>Mares</t>
        </is>
      </c>
      <c r="B5" s="15" t="n"/>
      <c r="C5" s="15" t="n"/>
      <c r="D5" s="15" t="n"/>
      <c r="E5" s="15" t="n"/>
      <c r="F5" s="15" t="n"/>
      <c r="G5" s="15" t="n"/>
      <c r="H5" s="15" t="n"/>
      <c r="I5" s="15" t="n"/>
      <c r="J5" s="15" t="n"/>
      <c r="K5" s="188">
        <f>B5+C5+D5+E5-F5-G5-H5-I5</f>
        <v/>
      </c>
      <c r="L5" s="189" t="n"/>
      <c r="M5" s="189" t="n"/>
      <c r="N5" s="188" t="n"/>
      <c r="O5" s="188" t="n"/>
      <c r="P5" s="188" t="n"/>
      <c r="Q5" s="134">
        <f>IFERROR((L5+N5)/(M5+O5),"")</f>
        <v/>
      </c>
      <c r="R5" s="134">
        <f>IFERROR(D5*Q5,"")</f>
        <v/>
      </c>
      <c r="S5" s="134">
        <f>IFERROR(Q5*G5,"")</f>
        <v/>
      </c>
      <c r="T5" s="15" t="n"/>
    </row>
    <row r="6">
      <c r="A6" s="15" t="inlineStr">
        <is>
          <t>Plough horses</t>
        </is>
      </c>
      <c r="B6" s="15" t="n">
        <v>5</v>
      </c>
      <c r="C6" s="15" t="n">
        <v>1</v>
      </c>
      <c r="D6" s="15" t="n">
        <v>1</v>
      </c>
      <c r="E6" s="15" t="n"/>
      <c r="F6" s="15" t="n"/>
      <c r="G6" s="15" t="n"/>
      <c r="H6" s="15" t="n">
        <v>1</v>
      </c>
      <c r="I6" s="15" t="n"/>
      <c r="J6" s="15" t="n">
        <v>6</v>
      </c>
      <c r="K6" s="188">
        <f>B6+C6+D6+E6-F6-G6-H6-I6</f>
        <v/>
      </c>
      <c r="L6" s="189" t="n"/>
      <c r="M6" s="189" t="n"/>
      <c r="N6" s="188" t="n"/>
      <c r="O6" s="188" t="n"/>
      <c r="P6" s="188" t="n"/>
      <c r="Q6" s="134">
        <f>IFERROR((L6+N6)/(M6+O6),"")</f>
        <v/>
      </c>
      <c r="R6" s="134">
        <f>IFERROR(D6*Q6,"")</f>
        <v/>
      </c>
      <c r="S6" s="134">
        <f>IFERROR(Q6*G6,"")</f>
        <v/>
      </c>
      <c r="T6" s="15" t="n"/>
    </row>
    <row r="7">
      <c r="A7" s="15" t="inlineStr">
        <is>
          <t>Colts (2 years)</t>
        </is>
      </c>
      <c r="B7" s="15" t="n"/>
      <c r="C7" s="15" t="n"/>
      <c r="D7" s="15" t="n"/>
      <c r="E7" s="15" t="n"/>
      <c r="F7" s="15" t="n"/>
      <c r="G7" s="15" t="n"/>
      <c r="H7" s="15" t="n"/>
      <c r="I7" s="15" t="n"/>
      <c r="J7" s="15" t="n"/>
      <c r="K7" s="188">
        <f>B7+C7+D7+E7-F7-G7-H7-I7</f>
        <v/>
      </c>
      <c r="L7" s="189" t="n"/>
      <c r="M7" s="189" t="n"/>
      <c r="N7" s="188" t="n"/>
      <c r="O7" s="188" t="n"/>
      <c r="P7" s="188" t="n"/>
      <c r="Q7" s="134">
        <f>IFERROR((L7+N7)/(M7+O7),"")</f>
        <v/>
      </c>
      <c r="R7" s="134">
        <f>IFERROR(D7*Q7,"")</f>
        <v/>
      </c>
      <c r="S7" s="134">
        <f>IFERROR(Q7*G7,"")</f>
        <v/>
      </c>
      <c r="T7" s="15" t="n"/>
    </row>
    <row r="8">
      <c r="A8" s="15" t="inlineStr">
        <is>
          <t>Colts (2 years)</t>
        </is>
      </c>
      <c r="B8" s="15" t="n"/>
      <c r="C8" s="15" t="n"/>
      <c r="D8" s="15" t="n"/>
      <c r="E8" s="15" t="n"/>
      <c r="F8" s="15" t="n"/>
      <c r="G8" s="15" t="n"/>
      <c r="H8" s="15" t="n"/>
      <c r="I8" s="15" t="n"/>
      <c r="J8" s="15" t="n"/>
      <c r="K8" s="188">
        <f>B8+C8+D8+E8-F8-G8-H8-I8</f>
        <v/>
      </c>
      <c r="L8" s="189" t="n"/>
      <c r="M8" s="189" t="n"/>
      <c r="N8" s="188" t="n"/>
      <c r="O8" s="188" t="n"/>
      <c r="P8" s="188" t="n"/>
      <c r="Q8" s="134">
        <f>IFERROR((L8+N8)/(M8+O8),"")</f>
        <v/>
      </c>
      <c r="R8" s="134">
        <f>IFERROR(D8*Q8,"")</f>
        <v/>
      </c>
      <c r="S8" s="134">
        <f>IFERROR(Q8*G8,"")</f>
        <v/>
      </c>
      <c r="T8" s="15" t="n"/>
    </row>
    <row r="9">
      <c r="A9" s="15" t="inlineStr">
        <is>
          <t>Colts (1 year)</t>
        </is>
      </c>
      <c r="B9" s="15" t="n"/>
      <c r="C9" s="15" t="n"/>
      <c r="D9" s="15" t="n"/>
      <c r="E9" s="15" t="n"/>
      <c r="F9" s="15" t="n"/>
      <c r="G9" s="15" t="n"/>
      <c r="H9" s="15" t="n"/>
      <c r="I9" s="15" t="n"/>
      <c r="J9" s="15" t="n"/>
      <c r="K9" s="188">
        <f>B9+C9+D9+E9-F9-G9-H9-I9</f>
        <v/>
      </c>
      <c r="L9" s="189" t="n"/>
      <c r="M9" s="189" t="n"/>
      <c r="N9" s="188" t="n"/>
      <c r="O9" s="188" t="n"/>
      <c r="P9" s="188" t="n"/>
      <c r="Q9" s="134">
        <f>IFERROR((L9+N9)/(M9+O9),"")</f>
        <v/>
      </c>
      <c r="R9" s="134">
        <f>IFERROR(D9*Q9,"")</f>
        <v/>
      </c>
      <c r="S9" s="134">
        <f>IFERROR(Q9*G9,"")</f>
        <v/>
      </c>
      <c r="T9" s="15" t="n"/>
    </row>
    <row r="10">
      <c r="A10" s="15" t="inlineStr">
        <is>
          <t>Foals</t>
        </is>
      </c>
      <c r="B10" s="15" t="n"/>
      <c r="C10" s="15" t="n"/>
      <c r="D10" s="15" t="n"/>
      <c r="E10" s="15" t="n"/>
      <c r="F10" s="15" t="n"/>
      <c r="G10" s="15" t="n"/>
      <c r="H10" s="15" t="n"/>
      <c r="I10" s="15" t="n"/>
      <c r="J10" s="15" t="n"/>
      <c r="K10" s="188">
        <f>B10+C10+D10+E10-F10-G10-H10-I10</f>
        <v/>
      </c>
      <c r="L10" s="189" t="n"/>
      <c r="M10" s="189" t="n"/>
      <c r="N10" s="188" t="n"/>
      <c r="O10" s="188" t="n"/>
      <c r="P10" s="188" t="n"/>
      <c r="Q10" s="134">
        <f>IFERROR((L10+N10)/(M10+O10),"")</f>
        <v/>
      </c>
      <c r="R10" s="134">
        <f>IFERROR(D10*Q10,"")</f>
        <v/>
      </c>
      <c r="S10" s="134">
        <f>IFERROR(Q10*G10,"")</f>
        <v/>
      </c>
      <c r="T10" s="15" t="n"/>
    </row>
    <row r="11">
      <c r="A11" s="15" t="inlineStr">
        <is>
          <t>Oxen</t>
        </is>
      </c>
      <c r="B11" s="15" t="n">
        <v>30</v>
      </c>
      <c r="C11" s="15" t="n">
        <v>5</v>
      </c>
      <c r="D11" s="15" t="n">
        <v>1</v>
      </c>
      <c r="E11" s="15" t="n">
        <v>1</v>
      </c>
      <c r="F11" s="15" t="n"/>
      <c r="G11" s="15" t="n"/>
      <c r="H11" s="15" t="n">
        <v>2</v>
      </c>
      <c r="I11" s="15" t="n"/>
      <c r="J11" s="15" t="n">
        <v>35</v>
      </c>
      <c r="K11" s="188">
        <f>B11+C11+D11+E11-F11-G11-H11-I11</f>
        <v/>
      </c>
      <c r="L11" s="191" t="n"/>
      <c r="M11" s="191" t="n"/>
      <c r="N11" s="192" t="n"/>
      <c r="O11" s="192" t="n"/>
      <c r="P11" s="192" t="n"/>
      <c r="Q11" s="134">
        <f>IFERROR((L11+N11)/(M11+O11),"")</f>
        <v/>
      </c>
      <c r="R11" s="134">
        <f>IFERROR(D11*Q11,"")</f>
        <v/>
      </c>
      <c r="S11" s="134">
        <f>IFERROR(Q11*G11,"")</f>
        <v/>
      </c>
      <c r="T11" s="15" t="n"/>
    </row>
    <row r="12">
      <c r="A12" s="15" t="inlineStr">
        <is>
          <t>Bulls</t>
        </is>
      </c>
      <c r="B12" s="15" t="n">
        <v>1</v>
      </c>
      <c r="C12" s="15" t="n"/>
      <c r="D12" s="15" t="n"/>
      <c r="E12" s="15" t="n"/>
      <c r="F12" s="15" t="n"/>
      <c r="G12" s="15" t="n"/>
      <c r="H12" s="15" t="n"/>
      <c r="I12" s="15" t="n"/>
      <c r="J12" s="15" t="n">
        <v>1</v>
      </c>
      <c r="K12" s="188">
        <f>B12+C12+D12+E12-F12-G12-H12-I12</f>
        <v/>
      </c>
      <c r="L12" s="191" t="n"/>
      <c r="M12" s="191" t="n"/>
      <c r="N12" s="192" t="n"/>
      <c r="O12" s="192" t="n"/>
      <c r="P12" s="192" t="n"/>
      <c r="Q12" s="134">
        <f>IFERROR((L12+N12)/(M12+O12),"")</f>
        <v/>
      </c>
      <c r="R12" s="134">
        <f>IFERROR(D12*Q12,"")</f>
        <v/>
      </c>
      <c r="S12" s="134">
        <f>IFERROR(Q12*G12,"")</f>
        <v/>
      </c>
      <c r="T12" s="15" t="n"/>
    </row>
    <row r="13">
      <c r="A13" s="15" t="inlineStr">
        <is>
          <t>Cows</t>
        </is>
      </c>
      <c r="B13" s="15" t="n">
        <v>17</v>
      </c>
      <c r="C13" s="15" t="n"/>
      <c r="D13" s="15" t="n">
        <v>2</v>
      </c>
      <c r="E13" s="15" t="n"/>
      <c r="F13" s="15" t="n"/>
      <c r="G13" s="15" t="n"/>
      <c r="H13" s="15" t="n"/>
      <c r="I13" s="15" t="n"/>
      <c r="J13" s="15" t="n">
        <v>19</v>
      </c>
      <c r="K13" s="188">
        <f>B13+C13+D13+E13-F13-G13-H13-I13</f>
        <v/>
      </c>
      <c r="L13" s="191" t="n"/>
      <c r="M13" s="191" t="n"/>
      <c r="N13" s="192" t="n"/>
      <c r="O13" s="192" t="n"/>
      <c r="P13" s="192" t="n"/>
      <c r="Q13" s="134">
        <f>IFERROR((L13+N13)/(M13+O13),"")</f>
        <v/>
      </c>
      <c r="R13" s="134">
        <f>IFERROR(D13*Q13,"")</f>
        <v/>
      </c>
      <c r="S13" s="134">
        <f>IFERROR(Q13*G13,"")</f>
        <v/>
      </c>
      <c r="T13" s="15" t="n"/>
    </row>
    <row r="14">
      <c r="A14" s="15" t="inlineStr">
        <is>
          <t>Steers</t>
        </is>
      </c>
      <c r="B14" s="15" t="n">
        <v>4</v>
      </c>
      <c r="C14" s="15" t="n"/>
      <c r="D14" s="15" t="n"/>
      <c r="E14" s="15" t="n"/>
      <c r="F14" s="15" t="n"/>
      <c r="G14" s="15" t="n"/>
      <c r="H14" s="15" t="n">
        <v>1</v>
      </c>
      <c r="I14" s="15" t="n">
        <v>3</v>
      </c>
      <c r="J14" s="15" t="n">
        <v>0</v>
      </c>
      <c r="K14" s="188">
        <f>B14+C14+D14+E14-F14-G14-H14-I14</f>
        <v/>
      </c>
      <c r="L14" s="191" t="n"/>
      <c r="M14" s="191" t="n"/>
      <c r="N14" s="192" t="n"/>
      <c r="O14" s="192" t="n"/>
      <c r="P14" s="192" t="n"/>
      <c r="Q14" s="134">
        <f>IFERROR((L14+N14)/(M14+O14),"")</f>
        <v/>
      </c>
      <c r="R14" s="134">
        <f>IFERROR(D14*Q14,"")</f>
        <v/>
      </c>
      <c r="S14" s="134">
        <f>IFERROR(Q14*G14,"")</f>
        <v/>
      </c>
      <c r="T14" s="15" t="n"/>
    </row>
    <row r="15">
      <c r="A15" s="15" t="inlineStr">
        <is>
          <t>Bullocks</t>
        </is>
      </c>
      <c r="B15" s="15" t="n">
        <v>5</v>
      </c>
      <c r="C15" s="15" t="n"/>
      <c r="D15" s="15" t="n"/>
      <c r="E15" s="15" t="n"/>
      <c r="F15" s="15" t="n"/>
      <c r="G15" s="15" t="n"/>
      <c r="H15" s="15" t="n">
        <v>1</v>
      </c>
      <c r="I15" s="15" t="n"/>
      <c r="J15" s="15" t="n">
        <v>4</v>
      </c>
      <c r="K15" s="188">
        <f>B15+C15+D15+E15-F15-G15-H15-I15</f>
        <v/>
      </c>
      <c r="L15" s="191" t="n"/>
      <c r="M15" s="191" t="n"/>
      <c r="N15" s="192" t="n"/>
      <c r="O15" s="192" t="n"/>
      <c r="P15" s="192" t="n"/>
      <c r="Q15" s="134">
        <f>IFERROR((L15+N15)/(M15+O15),"")</f>
        <v/>
      </c>
      <c r="R15" s="134">
        <f>IFERROR(D15*Q15,"")</f>
        <v/>
      </c>
      <c r="S15" s="134">
        <f>IFERROR(Q15*G15,"")</f>
        <v/>
      </c>
      <c r="T15" s="15" t="n"/>
    </row>
    <row r="16">
      <c r="A16" s="15" t="inlineStr">
        <is>
          <t>Yearlings</t>
        </is>
      </c>
      <c r="B16" s="15" t="n">
        <v>6</v>
      </c>
      <c r="C16" s="15" t="n"/>
      <c r="D16" s="15" t="n"/>
      <c r="E16" s="15" t="n"/>
      <c r="F16" s="15" t="n"/>
      <c r="G16" s="15" t="n"/>
      <c r="H16" s="15" t="n">
        <v>1</v>
      </c>
      <c r="I16" s="15" t="n"/>
      <c r="J16" s="15" t="n">
        <v>5</v>
      </c>
      <c r="K16" s="188">
        <f>B16+C16+D16+E16-F16-G16-H16-I16</f>
        <v/>
      </c>
      <c r="L16" s="191" t="n"/>
      <c r="M16" s="191" t="n"/>
      <c r="N16" s="192" t="n"/>
      <c r="O16" s="192" t="n"/>
      <c r="P16" s="192" t="n"/>
      <c r="Q16" s="134">
        <f>IFERROR((L16+N16)/(M16+O16),"")</f>
        <v/>
      </c>
      <c r="R16" s="134">
        <f>IFERROR(D16*Q16,"")</f>
        <v/>
      </c>
      <c r="S16" s="134">
        <f>IFERROR(Q16*G16,"")</f>
        <v/>
      </c>
      <c r="T16" s="15" t="n"/>
    </row>
    <row r="17">
      <c r="A17" s="15" t="inlineStr">
        <is>
          <t>Calves</t>
        </is>
      </c>
      <c r="B17" s="15" t="n"/>
      <c r="C17" s="15" t="n"/>
      <c r="D17" s="15" t="n">
        <v>13</v>
      </c>
      <c r="E17" s="15" t="n"/>
      <c r="F17" s="15" t="n"/>
      <c r="G17" s="15" t="n">
        <v>5</v>
      </c>
      <c r="H17" s="15" t="n">
        <v>1</v>
      </c>
      <c r="I17" s="15" t="n">
        <v>1</v>
      </c>
      <c r="J17" s="15" t="n">
        <v>6</v>
      </c>
      <c r="K17" s="188">
        <f>B17+C17+D17+E17-F17-G17-H17-I17</f>
        <v/>
      </c>
      <c r="L17" s="191">
        <f>'Crawley Receipts'!F54</f>
        <v/>
      </c>
      <c r="M17" s="191" t="n">
        <v>5</v>
      </c>
      <c r="N17" s="192" t="n"/>
      <c r="O17" s="192" t="n"/>
      <c r="P17" s="192" t="n"/>
      <c r="Q17" s="134">
        <f>IFERROR((L17+N17)/(M17+O17),"")</f>
        <v/>
      </c>
      <c r="R17" s="134">
        <f>IFERROR(D17*Q17,"")</f>
        <v/>
      </c>
      <c r="S17" s="134">
        <f>IFERROR(Q17*G17,"")</f>
        <v/>
      </c>
      <c r="T17" s="15" t="n"/>
    </row>
    <row r="18">
      <c r="A18" s="15" t="inlineStr">
        <is>
          <t>Wethers</t>
        </is>
      </c>
      <c r="B18" s="15" t="n">
        <v>383</v>
      </c>
      <c r="C18" s="15" t="n"/>
      <c r="D18" s="15" t="n">
        <v>132</v>
      </c>
      <c r="E18" s="15" t="n"/>
      <c r="F18" s="15" t="n"/>
      <c r="G18" s="15" t="n">
        <v>47</v>
      </c>
      <c r="H18" s="15" t="n">
        <v>35</v>
      </c>
      <c r="I18" s="15" t="n"/>
      <c r="J18" s="15" t="n">
        <v>433</v>
      </c>
      <c r="K18" s="188">
        <f>B18+C18+D18+E18-F18-G18-H18-I18</f>
        <v/>
      </c>
      <c r="L18" s="191">
        <f>'Crawley Receipts'!F55</f>
        <v/>
      </c>
      <c r="M18" s="191" t="n">
        <v>47</v>
      </c>
      <c r="N18" s="192" t="n"/>
      <c r="O18" s="192" t="n"/>
      <c r="P18" s="192" t="n"/>
      <c r="Q18" s="134">
        <f>IFERROR((L18+N18)/(M18+O18),"")</f>
        <v/>
      </c>
      <c r="R18" s="134">
        <f>IFERROR(D18*Q18,"")</f>
        <v/>
      </c>
      <c r="S18" s="134">
        <f>IFERROR(Q18*G18,"")</f>
        <v/>
      </c>
      <c r="T18" s="15" t="n"/>
    </row>
    <row r="19">
      <c r="A19" s="15" t="inlineStr">
        <is>
          <t>Rams</t>
        </is>
      </c>
      <c r="B19" s="15" t="n"/>
      <c r="C19" s="15" t="n"/>
      <c r="D19" s="15" t="n"/>
      <c r="E19" s="15" t="n"/>
      <c r="F19" s="15" t="n"/>
      <c r="G19" s="15" t="n"/>
      <c r="H19" s="15" t="n"/>
      <c r="I19" s="15" t="n"/>
      <c r="J19" s="15" t="n"/>
      <c r="K19" s="188">
        <f>B19+C19+D19+E19-F19-G19-H19-I19</f>
        <v/>
      </c>
      <c r="L19" s="191" t="n"/>
      <c r="M19" s="191" t="n"/>
      <c r="N19" s="192" t="n"/>
      <c r="O19" s="192" t="n"/>
      <c r="P19" s="192" t="n"/>
      <c r="Q19" s="134">
        <f>IFERROR((L19+N19)/(M19+O19),"")</f>
        <v/>
      </c>
      <c r="R19" s="134">
        <f>IFERROR(D19*Q19,"")</f>
        <v/>
      </c>
      <c r="S19" s="134">
        <f>IFERROR(Q19*G19,"")</f>
        <v/>
      </c>
      <c r="T19" s="15" t="n"/>
    </row>
    <row r="20">
      <c r="A20" s="15" t="inlineStr">
        <is>
          <t>Ewes</t>
        </is>
      </c>
      <c r="B20" s="15" t="n">
        <v>536</v>
      </c>
      <c r="C20" s="15" t="n"/>
      <c r="D20" s="15" t="n">
        <v>131</v>
      </c>
      <c r="E20" s="15" t="n"/>
      <c r="F20" s="15" t="n"/>
      <c r="G20" s="15" t="n">
        <v>55</v>
      </c>
      <c r="H20" s="15" t="n">
        <v>37</v>
      </c>
      <c r="I20" s="15" t="n"/>
      <c r="J20" s="15" t="n">
        <v>575</v>
      </c>
      <c r="K20" s="188">
        <f>B20+C20+D20+E20-F20-G20-H20-I20</f>
        <v/>
      </c>
      <c r="L20" s="191">
        <f>'Crawley Receipts'!F56</f>
        <v/>
      </c>
      <c r="M20" s="191" t="n">
        <v>55</v>
      </c>
      <c r="N20" s="192" t="n"/>
      <c r="O20" s="192" t="n"/>
      <c r="P20" s="192" t="n"/>
      <c r="Q20" s="134">
        <f>IFERROR((L20+N20)/(M20+O20),"")</f>
        <v/>
      </c>
      <c r="R20" s="134">
        <f>IFERROR(D20*Q20,"")</f>
        <v/>
      </c>
      <c r="S20" s="134">
        <f>IFERROR(Q20*G20,"")</f>
        <v/>
      </c>
      <c r="T20" s="15" t="n"/>
    </row>
    <row r="21">
      <c r="A21" s="15" t="inlineStr">
        <is>
          <t>Hoggs</t>
        </is>
      </c>
      <c r="B21" s="15" t="n">
        <v>286</v>
      </c>
      <c r="C21" s="15" t="n"/>
      <c r="D21" s="15" t="n"/>
      <c r="E21" s="15" t="n"/>
      <c r="F21" s="15" t="n"/>
      <c r="G21" s="15" t="n"/>
      <c r="H21" s="15" t="n">
        <v>23</v>
      </c>
      <c r="I21" s="15" t="n">
        <v>263</v>
      </c>
      <c r="J21" s="15" t="n">
        <v>0</v>
      </c>
      <c r="K21" s="188">
        <f>B21+C21+D21+E21-F21-G21-H21-I21</f>
        <v/>
      </c>
      <c r="L21" s="191" t="n"/>
      <c r="M21" s="191" t="n"/>
      <c r="N21" s="192" t="n"/>
      <c r="O21" s="192" t="n"/>
      <c r="P21" s="192" t="n"/>
      <c r="Q21" s="134">
        <f>IFERROR((L21+N21)/(M21+O21),"")</f>
        <v/>
      </c>
      <c r="R21" s="134">
        <f>IFERROR(D21*Q21,"")</f>
        <v/>
      </c>
      <c r="S21" s="134">
        <f>IFERROR(Q21*G21,"")</f>
        <v/>
      </c>
      <c r="T21" s="15" t="n"/>
    </row>
    <row r="22">
      <c r="A22" s="15" t="inlineStr">
        <is>
          <t>Lambs</t>
        </is>
      </c>
      <c r="B22" s="15" t="n"/>
      <c r="C22" s="15" t="n"/>
      <c r="D22" s="15" t="n">
        <v>392</v>
      </c>
      <c r="E22" s="15" t="n"/>
      <c r="F22" s="15" t="n"/>
      <c r="G22" s="15" t="n"/>
      <c r="H22" s="15" t="n">
        <v>88</v>
      </c>
      <c r="I22" s="15" t="n">
        <v>36</v>
      </c>
      <c r="J22" s="15" t="n">
        <v>268</v>
      </c>
      <c r="K22" s="188">
        <f>B22+C22+D22+E22-F22-G22-H22-I22</f>
        <v/>
      </c>
      <c r="L22" s="191" t="n"/>
      <c r="M22" s="191" t="n"/>
      <c r="N22" s="192" t="n"/>
      <c r="O22" s="192" t="n"/>
      <c r="P22" s="192" t="n"/>
      <c r="Q22" s="134">
        <f>IFERROR((L22+N22)/(M22+O22),"")</f>
        <v/>
      </c>
      <c r="R22" s="134">
        <f>IFERROR(D22*Q22,"")</f>
        <v/>
      </c>
      <c r="S22" s="134">
        <f>IFERROR(Q22*G22,"")</f>
        <v/>
      </c>
      <c r="T22" s="15" t="inlineStr">
        <is>
          <t>Accounted for elsewhere is tithe</t>
        </is>
      </c>
    </row>
    <row r="23">
      <c r="A23" s="15" t="inlineStr">
        <is>
          <t>Boars</t>
        </is>
      </c>
      <c r="B23" s="15" t="n">
        <v>1</v>
      </c>
      <c r="C23" s="15" t="n"/>
      <c r="D23" s="15" t="n"/>
      <c r="E23" s="15" t="n"/>
      <c r="F23" s="15" t="n"/>
      <c r="G23" s="15" t="n"/>
      <c r="H23" s="15" t="n"/>
      <c r="I23" s="15" t="n"/>
      <c r="J23" s="15" t="n">
        <v>1</v>
      </c>
      <c r="K23" s="188">
        <f>B23+C23+D23+E23-F23-G23-H23-I23</f>
        <v/>
      </c>
      <c r="L23" s="191" t="n"/>
      <c r="M23" s="191" t="n"/>
      <c r="N23" s="192" t="n"/>
      <c r="O23" s="192" t="n"/>
      <c r="P23" s="192" t="n"/>
      <c r="Q23" s="134">
        <f>IFERROR((L23+N23)/(M23+O23),"")</f>
        <v/>
      </c>
      <c r="R23" s="134">
        <f>IFERROR(D23*Q23,"")</f>
        <v/>
      </c>
      <c r="S23" s="134">
        <f>IFERROR(Q23*G23,"")</f>
        <v/>
      </c>
      <c r="T23" s="15" t="n"/>
    </row>
    <row r="24">
      <c r="A24" s="15" t="inlineStr">
        <is>
          <t>Sows</t>
        </is>
      </c>
      <c r="B24" s="15" t="n"/>
      <c r="C24" s="15" t="n"/>
      <c r="D24" s="15" t="n"/>
      <c r="E24" s="15" t="n"/>
      <c r="F24" s="15" t="n"/>
      <c r="G24" s="15" t="n"/>
      <c r="H24" s="15" t="n"/>
      <c r="I24" s="15" t="n"/>
      <c r="J24" s="15" t="n"/>
      <c r="K24" s="188">
        <f>B24+C24+D24+E24-F24-G24-H24-I24</f>
        <v/>
      </c>
      <c r="L24" s="191" t="n"/>
      <c r="M24" s="191" t="n"/>
      <c r="N24" s="192" t="n"/>
      <c r="O24" s="192" t="n"/>
      <c r="P24" s="192" t="n"/>
      <c r="Q24" s="134">
        <f>IFERROR((L24+N24)/(M24+O24),"")</f>
        <v/>
      </c>
      <c r="R24" s="134">
        <f>IFERROR(D24*Q24,"")</f>
        <v/>
      </c>
      <c r="S24" s="134">
        <f>IFERROR(Q24*G24,"")</f>
        <v/>
      </c>
      <c r="T24" s="15" t="n"/>
    </row>
    <row r="25">
      <c r="A25" s="15" t="inlineStr">
        <is>
          <t>Pigs</t>
        </is>
      </c>
      <c r="B25" s="15" t="n">
        <v>27</v>
      </c>
      <c r="C25" s="15" t="n"/>
      <c r="D25" s="15" t="n">
        <v>29</v>
      </c>
      <c r="E25" s="15" t="n"/>
      <c r="F25" s="15" t="n"/>
      <c r="G25" s="15" t="n">
        <v>26</v>
      </c>
      <c r="H25" s="15" t="n"/>
      <c r="I25" s="15" t="n"/>
      <c r="J25" s="15" t="n">
        <v>30</v>
      </c>
      <c r="K25" s="188">
        <f>B25+C25+D25+E25-F25-G25-H25-I25</f>
        <v/>
      </c>
      <c r="L25" s="191">
        <f>'Crawley Receipts'!F57</f>
        <v/>
      </c>
      <c r="M25" s="191" t="n">
        <v>26</v>
      </c>
      <c r="N25" s="192" t="n"/>
      <c r="O25" s="192" t="n"/>
      <c r="P25" s="192" t="n"/>
      <c r="Q25" s="134">
        <f>IFERROR((L25+N25)/(M25+O25),"")</f>
        <v/>
      </c>
      <c r="R25" s="134">
        <f>IFERROR(D25*Q25,"")</f>
        <v/>
      </c>
      <c r="S25" s="134">
        <f>IFERROR(Q25*G25,"")</f>
        <v/>
      </c>
      <c r="T25" s="15" t="n"/>
    </row>
    <row r="26">
      <c r="A26" s="15" t="inlineStr">
        <is>
          <t>Hoggets</t>
        </is>
      </c>
      <c r="B26" s="15" t="n">
        <v>29</v>
      </c>
      <c r="C26" s="15" t="n"/>
      <c r="D26" s="15" t="n"/>
      <c r="E26" s="15" t="n"/>
      <c r="F26" s="15" t="n"/>
      <c r="G26" s="15" t="n"/>
      <c r="H26" s="15" t="n"/>
      <c r="I26" s="15" t="n">
        <v>29</v>
      </c>
      <c r="J26" s="15" t="n">
        <v>0</v>
      </c>
      <c r="K26" s="188">
        <f>B26+C26+D26+E26-F26-G26-H26-I26</f>
        <v/>
      </c>
      <c r="L26" s="191" t="n"/>
      <c r="M26" s="191" t="n"/>
      <c r="N26" s="192" t="n"/>
      <c r="O26" s="192" t="n"/>
      <c r="P26" s="192" t="n"/>
      <c r="Q26" s="134">
        <f>IFERROR((L26+N26)/(M26+O26),"")</f>
        <v/>
      </c>
      <c r="R26" s="134">
        <f>IFERROR(D26*Q26,"")</f>
        <v/>
      </c>
      <c r="S26" s="134">
        <f>IFERROR(Q26*G26,"")</f>
        <v/>
      </c>
      <c r="T26" s="15" t="n"/>
    </row>
    <row r="27">
      <c r="A27" s="15" t="inlineStr">
        <is>
          <t>Piglets</t>
        </is>
      </c>
      <c r="B27" s="15" t="n"/>
      <c r="C27" s="15" t="n"/>
      <c r="D27" s="15" t="n">
        <v>32</v>
      </c>
      <c r="E27" s="15" t="n">
        <v>2</v>
      </c>
      <c r="F27" s="15" t="n"/>
      <c r="G27" s="15" t="n"/>
      <c r="H27" s="15" t="n">
        <v>8</v>
      </c>
      <c r="I27" s="15" t="n">
        <v>3</v>
      </c>
      <c r="J27" s="15" t="n">
        <v>23</v>
      </c>
      <c r="K27" s="188">
        <f>B27+C27+D27+E27-F27-G27-H27-I27</f>
        <v/>
      </c>
      <c r="L27" s="191" t="n"/>
      <c r="M27" s="191" t="n"/>
      <c r="N27" s="192" t="n"/>
      <c r="O27" s="192" t="n"/>
      <c r="P27" s="192" t="n"/>
      <c r="Q27" s="134">
        <f>IFERROR((L27+N27)/(M27+O27),"")</f>
        <v/>
      </c>
      <c r="R27" s="134">
        <f>IFERROR(D27*Q27,"")</f>
        <v/>
      </c>
      <c r="S27" s="134">
        <f>IFERROR(Q27*G27,"")</f>
        <v/>
      </c>
      <c r="T27" s="15" t="inlineStr">
        <is>
          <t>Accounted for elsewhere is tithe</t>
        </is>
      </c>
    </row>
    <row r="28">
      <c r="A28" s="15" t="inlineStr">
        <is>
          <t>Swans</t>
        </is>
      </c>
      <c r="B28" s="15" t="n"/>
      <c r="C28" s="15" t="n"/>
      <c r="D28" s="15" t="n"/>
      <c r="E28" s="15" t="n"/>
      <c r="F28" s="15" t="n"/>
      <c r="G28" s="15" t="n"/>
      <c r="H28" s="15" t="n"/>
      <c r="I28" s="15" t="n"/>
      <c r="J28" s="15" t="n"/>
      <c r="K28" s="188">
        <f>B28+C28+D28+E28-F28-G28-H28-I28</f>
        <v/>
      </c>
      <c r="L28" s="191" t="n"/>
      <c r="M28" s="191" t="n"/>
      <c r="N28" s="192" t="n"/>
      <c r="O28" s="192" t="n"/>
      <c r="P28" s="192" t="n"/>
      <c r="Q28" s="134">
        <f>IFERROR((L28+N28)/(M28+O28),"")</f>
        <v/>
      </c>
      <c r="R28" s="134">
        <f>IFERROR(D28*Q28,"")</f>
        <v/>
      </c>
      <c r="S28" s="134">
        <f>IFERROR(Q28*G28,"")</f>
        <v/>
      </c>
      <c r="T28" s="15" t="n"/>
    </row>
    <row r="29">
      <c r="A29" s="15" t="inlineStr">
        <is>
          <t>Peacocks</t>
        </is>
      </c>
      <c r="B29" s="15" t="n"/>
      <c r="C29" s="15" t="n"/>
      <c r="D29" s="15" t="n"/>
      <c r="E29" s="15" t="n"/>
      <c r="F29" s="15" t="n"/>
      <c r="G29" s="15" t="n"/>
      <c r="H29" s="15" t="n"/>
      <c r="I29" s="15" t="n"/>
      <c r="J29" s="15" t="n"/>
      <c r="K29" s="188">
        <f>B29+C29+D29+E29-F29-G29-H29-I29</f>
        <v/>
      </c>
      <c r="L29" s="134" t="n"/>
      <c r="M29" s="134" t="n"/>
      <c r="N29" s="15" t="n"/>
      <c r="O29" s="15" t="n"/>
      <c r="P29" s="15" t="n"/>
      <c r="Q29" s="134">
        <f>IFERROR((L29+N29)/(M29+O29),"")</f>
        <v/>
      </c>
      <c r="R29" s="134">
        <f>IFERROR(D29*Q29,"")</f>
        <v/>
      </c>
      <c r="S29" s="134">
        <f>IFERROR(Q29*G29,"")</f>
        <v/>
      </c>
      <c r="T29" s="15" t="n"/>
    </row>
    <row r="30">
      <c r="A30" s="193" t="inlineStr">
        <is>
          <t>Total</t>
        </is>
      </c>
      <c r="B30" s="193" t="n"/>
      <c r="C30" s="193" t="n"/>
      <c r="D30" s="193" t="n"/>
      <c r="E30" s="193" t="n"/>
      <c r="F30" s="193" t="n"/>
      <c r="G30" s="193" t="n"/>
      <c r="H30" s="193" t="n"/>
      <c r="I30" s="193" t="n"/>
      <c r="J30" s="193" t="n"/>
      <c r="K30" s="194" t="n"/>
      <c r="L30" s="195" t="n"/>
      <c r="M30" s="195" t="n"/>
      <c r="N30" s="193" t="n"/>
      <c r="O30" s="193" t="n"/>
      <c r="P30" s="193" t="n"/>
      <c r="Q30" s="195" t="n"/>
      <c r="R30" s="195" t="n"/>
      <c r="S30" s="195">
        <f>SUM(S4:S29)</f>
        <v/>
      </c>
      <c r="T30" s="193" t="n"/>
    </row>
    <row r="31">
      <c r="A31" s="15" t="n"/>
      <c r="B31" s="15" t="n"/>
      <c r="C31" s="15" t="n"/>
      <c r="D31" s="15" t="n"/>
      <c r="E31" s="15" t="n"/>
      <c r="F31" s="15" t="n"/>
      <c r="G31" s="15" t="n"/>
      <c r="H31" s="15" t="n"/>
      <c r="I31" s="15" t="n"/>
      <c r="J31" s="15" t="n"/>
      <c r="K31" s="188">
        <f>B31+C31+D31+E31-F31-G31-H31-I31</f>
        <v/>
      </c>
      <c r="L31" s="134" t="n"/>
      <c r="M31" s="134" t="n"/>
      <c r="N31" s="15" t="n"/>
      <c r="O31" s="15" t="n"/>
      <c r="P31" s="15" t="n"/>
      <c r="Q31" s="134">
        <f>IFERROR((L31+N31)/(M31+O31),"")</f>
        <v/>
      </c>
      <c r="R31" s="134">
        <f>IFERROR(D31*Q31,"")</f>
        <v/>
      </c>
      <c r="S31" s="134">
        <f>IFERROR(Q31*G31,"")</f>
        <v/>
      </c>
      <c r="T31" s="15" t="n"/>
    </row>
    <row r="32">
      <c r="A32" s="15" t="n"/>
      <c r="B32" s="15" t="n"/>
      <c r="C32" s="15" t="n"/>
      <c r="D32" s="15" t="n"/>
      <c r="E32" s="15" t="n"/>
      <c r="F32" s="15" t="n"/>
      <c r="G32" s="15" t="n"/>
      <c r="H32" s="15" t="n"/>
      <c r="I32" s="15" t="n"/>
      <c r="J32" s="15" t="n"/>
      <c r="K32" s="188">
        <f>B32+C32+D32+E32-F32-G32-H32-I32</f>
        <v/>
      </c>
      <c r="L32" s="134" t="n"/>
      <c r="M32" s="134" t="n"/>
      <c r="N32" s="15" t="n"/>
      <c r="O32" s="15" t="n"/>
      <c r="P32" s="15" t="n"/>
      <c r="Q32" s="134">
        <f>IFERROR((L32+N32)/(M32+O32),"")</f>
        <v/>
      </c>
      <c r="R32" s="134">
        <f>IFERROR(D32*Q32,"")</f>
        <v/>
      </c>
      <c r="S32" s="134">
        <f>IFERROR(Q32*G32,"")</f>
        <v/>
      </c>
      <c r="T32" s="15" t="n"/>
    </row>
    <row r="33" ht="17" customHeight="1">
      <c r="A33" s="187" t="inlineStr">
        <is>
          <t>Wool</t>
        </is>
      </c>
      <c r="B33" s="196" t="n"/>
      <c r="C33" s="196" t="n"/>
      <c r="D33" s="196" t="n"/>
      <c r="E33" s="196" t="n"/>
      <c r="F33" s="15" t="n"/>
      <c r="G33" s="15" t="n"/>
      <c r="H33" s="15" t="n"/>
      <c r="I33" s="15" t="n"/>
      <c r="J33" s="15" t="n"/>
      <c r="K33" s="188">
        <f>B33+C33+D33+E33-F33-G33-H33-I33</f>
        <v/>
      </c>
      <c r="L33" s="134" t="n"/>
      <c r="M33" s="134" t="n"/>
      <c r="N33" s="15" t="n"/>
      <c r="O33" s="15" t="n"/>
      <c r="P33" s="15" t="n"/>
      <c r="Q33" s="134">
        <f>IFERROR((L33+N33)/(M33+O33),"")</f>
        <v/>
      </c>
      <c r="R33" s="134">
        <f>IFERROR(D33*Q33,"")</f>
        <v/>
      </c>
      <c r="S33" s="134">
        <f>IFERROR(Q33*G33,"")</f>
        <v/>
      </c>
      <c r="T33" s="15" t="n"/>
    </row>
    <row r="34" ht="17" customHeight="1">
      <c r="A34" s="22" t="inlineStr">
        <is>
          <t>Fleeces</t>
        </is>
      </c>
      <c r="B34" s="15" t="n"/>
      <c r="C34" s="15" t="n"/>
      <c r="D34" s="15" t="n"/>
      <c r="E34" s="15" t="n"/>
      <c r="F34" s="15" t="n"/>
      <c r="G34" s="15" t="n"/>
      <c r="H34" s="15" t="n"/>
      <c r="I34" s="15" t="n"/>
      <c r="J34" s="15" t="n"/>
      <c r="K34" s="188">
        <f>B34+C34+D34+E34-F34-G34-H34-I34</f>
        <v/>
      </c>
      <c r="L34" s="134" t="n"/>
      <c r="M34" s="134" t="n"/>
      <c r="N34" s="15" t="n"/>
      <c r="O34" s="15" t="n"/>
      <c r="P34" s="15" t="n"/>
      <c r="Q34" s="134">
        <f>IFERROR((L34+N34)/(M34+O34),"")</f>
        <v/>
      </c>
      <c r="R34" s="134">
        <f>IFERROR(D34*Q34,"")</f>
        <v/>
      </c>
      <c r="S34" s="134">
        <f>IFERROR(Q34*G34,"")</f>
        <v/>
      </c>
      <c r="T34" s="15" t="n"/>
    </row>
    <row r="35">
      <c r="A35" s="15" t="inlineStr">
        <is>
          <t>Coarse wool</t>
        </is>
      </c>
      <c r="B35" s="15" t="n"/>
      <c r="C35" s="15" t="n"/>
      <c r="D35" s="15" t="n">
        <v>1035</v>
      </c>
      <c r="E35" s="15" t="n"/>
      <c r="F35" s="15" t="n"/>
      <c r="G35" s="15" t="n">
        <v>929</v>
      </c>
      <c r="H35" s="15" t="n"/>
      <c r="I35" s="15" t="n">
        <v>106</v>
      </c>
      <c r="J35" s="15" t="n">
        <v>0</v>
      </c>
      <c r="K35" s="188">
        <f>B35+C35+D35+E35-F35-G35-H35-I35</f>
        <v/>
      </c>
      <c r="L35" s="134" t="n">
        <v>0</v>
      </c>
      <c r="M35" s="134" t="n"/>
      <c r="N35" s="15" t="n"/>
      <c r="O35" s="15" t="n"/>
      <c r="P35" s="15">
        <f>6.5+3*0.04</f>
        <v/>
      </c>
      <c r="Q35" s="26" t="n">
        <v>0.02</v>
      </c>
      <c r="R35" s="134">
        <f>IFERROR(D35*Q35,"")</f>
        <v/>
      </c>
      <c r="S35" s="134">
        <f>IFERROR(Q35*G35,"")</f>
        <v/>
      </c>
      <c r="T35" t="inlineStr">
        <is>
          <t>unit price from overview sheet (UnitPricesStocks_averages)</t>
        </is>
      </c>
    </row>
    <row r="36">
      <c r="A36" s="15" t="inlineStr">
        <is>
          <t>Lamb's wool</t>
        </is>
      </c>
      <c r="B36" s="15" t="n"/>
      <c r="C36" s="15" t="n"/>
      <c r="D36" s="15" t="n">
        <v>283</v>
      </c>
      <c r="E36" s="15" t="n"/>
      <c r="F36" s="15" t="n"/>
      <c r="G36" s="15" t="n">
        <v>283</v>
      </c>
      <c r="H36" s="15" t="n"/>
      <c r="I36" s="15" t="n"/>
      <c r="J36" s="15" t="n">
        <v>0</v>
      </c>
      <c r="K36" s="188">
        <f>B36+C36+D36+E36-F36-G36-H36-I36</f>
        <v/>
      </c>
      <c r="L36" s="134" t="n">
        <v>0</v>
      </c>
      <c r="M36" s="134" t="n"/>
      <c r="N36" s="15" t="n"/>
      <c r="O36" s="15" t="n"/>
      <c r="P36" s="15">
        <f>15*0.04</f>
        <v/>
      </c>
      <c r="Q36" s="26" t="n">
        <v>0.01</v>
      </c>
      <c r="R36" s="134">
        <f>IFERROR(D36*Q36,"")</f>
        <v/>
      </c>
      <c r="S36" s="134">
        <f>IFERROR(Q36*G36,"")</f>
        <v/>
      </c>
      <c r="T36" t="inlineStr">
        <is>
          <t>unit price from overview sheet (UnitPricesStocks_averages)</t>
        </is>
      </c>
    </row>
    <row r="37">
      <c r="A37" s="15" t="inlineStr">
        <is>
          <t>Wool locks</t>
        </is>
      </c>
      <c r="B37" s="15" t="n"/>
      <c r="C37" s="15" t="n"/>
      <c r="D37" s="15">
        <f>5*0.04</f>
        <v/>
      </c>
      <c r="E37" s="15" t="n"/>
      <c r="F37" s="15" t="n"/>
      <c r="G37" s="15">
        <f>5*0.04</f>
        <v/>
      </c>
      <c r="H37" s="15" t="n"/>
      <c r="I37" s="15" t="n"/>
      <c r="J37" s="15" t="n"/>
      <c r="K37" s="188">
        <f>B37+C37+D37+E37-F37-G37-H37-I37</f>
        <v/>
      </c>
      <c r="L37" s="134">
        <f>'Crawley Receipts'!F76</f>
        <v/>
      </c>
      <c r="M37" s="15">
        <f>5*0.04</f>
        <v/>
      </c>
      <c r="N37" s="15" t="n"/>
      <c r="O37" s="15" t="n"/>
      <c r="P37" s="15">
        <f>5*0.04</f>
        <v/>
      </c>
      <c r="Q37" s="134">
        <f>IFERROR((L37+N37)/(M37+O37),"")</f>
        <v/>
      </c>
      <c r="R37" s="134">
        <f>IFERROR(D37*Q37,"")</f>
        <v/>
      </c>
      <c r="S37" s="134">
        <f>IFERROR(Q37*G37,"")</f>
        <v/>
      </c>
      <c r="T37" s="15" t="n"/>
    </row>
    <row r="38">
      <c r="A38" s="15" t="inlineStr">
        <is>
          <t>Wool sold at shearing</t>
        </is>
      </c>
      <c r="B38" s="15" t="n"/>
      <c r="C38" s="15" t="n"/>
      <c r="D38" s="15" t="n"/>
      <c r="E38" s="15" t="n"/>
      <c r="F38" s="15" t="n"/>
      <c r="G38" s="15" t="n"/>
      <c r="H38" s="15" t="n"/>
      <c r="I38" s="15" t="n"/>
      <c r="J38" s="15" t="n"/>
      <c r="K38" s="188">
        <f>B38+C38+D38+E38-F38-G38-H38-I38</f>
        <v/>
      </c>
      <c r="L38" s="134" t="n"/>
      <c r="M38" s="134" t="n"/>
      <c r="N38" s="15" t="n"/>
      <c r="O38" s="15" t="n"/>
      <c r="P38" s="15" t="n"/>
      <c r="Q38" s="134">
        <f>IFERROR((L38+N38)/(M38+O38),"")</f>
        <v/>
      </c>
      <c r="R38" s="134">
        <f>IFERROR(D38*Q38,"")</f>
        <v/>
      </c>
      <c r="S38" s="134">
        <f>IFERROR(Q38*G38,"")</f>
        <v/>
      </c>
      <c r="T38" s="15" t="n"/>
    </row>
    <row r="39">
      <c r="A39" s="193" t="inlineStr">
        <is>
          <t>Total</t>
        </is>
      </c>
      <c r="B39" s="193" t="n"/>
      <c r="C39" s="193" t="n"/>
      <c r="D39" s="193" t="n"/>
      <c r="E39" s="193" t="n"/>
      <c r="F39" s="193" t="n"/>
      <c r="G39" s="193" t="n"/>
      <c r="H39" s="193" t="n"/>
      <c r="I39" s="193" t="n"/>
      <c r="J39" s="193" t="n"/>
      <c r="K39" s="194">
        <f>B39+C39+D39+E39-F39-G39-H39-I39</f>
        <v/>
      </c>
      <c r="L39" s="195" t="n"/>
      <c r="M39" s="195" t="n"/>
      <c r="N39" s="193" t="n"/>
      <c r="O39" s="193" t="n"/>
      <c r="P39" s="193" t="n"/>
      <c r="Q39" s="195">
        <f>IFERROR((L39+N39)/(M39+O39),"")</f>
        <v/>
      </c>
      <c r="R39" s="195">
        <f>IFERROR(D39*Q39,"")</f>
        <v/>
      </c>
      <c r="S39" s="195">
        <f>SUM(S35:S38)</f>
        <v/>
      </c>
      <c r="T39" s="193" t="n"/>
    </row>
    <row r="40">
      <c r="A40" s="15" t="n"/>
      <c r="B40" s="15" t="n"/>
      <c r="C40" s="15" t="n"/>
      <c r="D40" s="15" t="n"/>
      <c r="E40" s="15" t="n"/>
      <c r="F40" s="15" t="n"/>
      <c r="G40" s="15" t="n"/>
      <c r="H40" s="15" t="n"/>
      <c r="I40" s="15" t="n"/>
      <c r="J40" s="15" t="n"/>
      <c r="K40" s="188">
        <f>B40+C40+D40+E40-F40-G40-H40-I40</f>
        <v/>
      </c>
      <c r="L40" s="134" t="n"/>
      <c r="M40" s="134" t="n"/>
      <c r="N40" s="15" t="n"/>
      <c r="O40" s="15" t="n"/>
      <c r="P40" s="15" t="n"/>
      <c r="Q40" s="134">
        <f>IFERROR((L40+N40)/(M40+O40),"")</f>
        <v/>
      </c>
      <c r="R40" s="134">
        <f>IFERROR(D40*Q40,"")</f>
        <v/>
      </c>
      <c r="S40" s="134">
        <f>IFERROR(Q40*G40,"")</f>
        <v/>
      </c>
      <c r="T40" s="15" t="n"/>
    </row>
    <row r="41">
      <c r="A41" s="15" t="n"/>
      <c r="B41" s="15" t="n"/>
      <c r="C41" s="15" t="n"/>
      <c r="D41" s="15" t="n"/>
      <c r="E41" s="15" t="n"/>
      <c r="F41" s="15" t="n"/>
      <c r="G41" s="15" t="n"/>
      <c r="H41" s="15" t="n"/>
      <c r="I41" s="15" t="n"/>
      <c r="J41" s="15" t="n"/>
      <c r="K41" s="188">
        <f>B41+C41+D41+E41-F41-G41-H41-I41</f>
        <v/>
      </c>
      <c r="L41" s="134" t="n"/>
      <c r="M41" s="134" t="n"/>
      <c r="N41" s="15" t="n"/>
      <c r="O41" s="15" t="n"/>
      <c r="P41" s="15" t="n"/>
      <c r="Q41" s="134">
        <f>IFERROR((L41+N41)/(M41+O41),"")</f>
        <v/>
      </c>
      <c r="R41" s="134">
        <f>IFERROR(D41*Q41,"")</f>
        <v/>
      </c>
      <c r="S41" s="134">
        <f>IFERROR(Q41*G41,"")</f>
        <v/>
      </c>
      <c r="T41" s="15" t="n"/>
    </row>
    <row r="42" ht="17" customHeight="1">
      <c r="A42" s="187" t="inlineStr">
        <is>
          <t>Hides</t>
        </is>
      </c>
      <c r="B42" s="196" t="n"/>
      <c r="C42" s="196" t="n"/>
      <c r="D42" s="15" t="n"/>
      <c r="E42" s="15" t="n"/>
      <c r="F42" s="15" t="n"/>
      <c r="G42" s="15" t="n"/>
      <c r="H42" s="15" t="n"/>
      <c r="I42" s="15" t="n"/>
      <c r="J42" s="15" t="n"/>
      <c r="K42" s="188">
        <f>B42+C42+D42+E42-F42-G42-H42-I42</f>
        <v/>
      </c>
      <c r="L42" s="134" t="n"/>
      <c r="M42" s="134" t="n"/>
      <c r="N42" s="15" t="n"/>
      <c r="O42" s="15" t="n"/>
      <c r="P42" s="15" t="n"/>
      <c r="Q42" s="134">
        <f>IFERROR((L42+N42)/(M42+O42),"")</f>
        <v/>
      </c>
      <c r="R42" s="134">
        <f>IFERROR(D42*Q42,"")</f>
        <v/>
      </c>
      <c r="S42" s="134">
        <f>IFERROR(Q42*G42,"")</f>
        <v/>
      </c>
      <c r="T42" s="15" t="n"/>
    </row>
    <row r="43">
      <c r="A43" s="15" t="inlineStr">
        <is>
          <t>Ox hides</t>
        </is>
      </c>
      <c r="B43" s="15" t="n"/>
      <c r="C43" s="15" t="n"/>
      <c r="D43" s="15" t="n">
        <v>2</v>
      </c>
      <c r="E43" s="15" t="n"/>
      <c r="F43" s="15" t="n"/>
      <c r="G43" s="15" t="n">
        <v>2</v>
      </c>
      <c r="H43" s="15" t="n"/>
      <c r="I43" s="15" t="n"/>
      <c r="J43" s="15" t="n">
        <v>0</v>
      </c>
      <c r="K43" s="188">
        <f>B43+C43+D43+E43-F43-G43-H43-I43</f>
        <v/>
      </c>
      <c r="L43" s="134">
        <f>'Crawley Receipts'!F59</f>
        <v/>
      </c>
      <c r="M43" s="134" t="n">
        <v>2</v>
      </c>
      <c r="N43" s="15" t="n"/>
      <c r="O43" s="134" t="n"/>
      <c r="P43" s="134" t="n"/>
      <c r="Q43" s="134">
        <f>IFERROR((L43+N43)/(M43+O43),"")</f>
        <v/>
      </c>
      <c r="R43" s="134">
        <f>IFERROR(D43*Q43,"")</f>
        <v/>
      </c>
      <c r="S43" s="134">
        <f>IFERROR(Q43*G43,"")</f>
        <v/>
      </c>
      <c r="T43" s="15" t="n"/>
    </row>
    <row r="44">
      <c r="A44" s="15" t="inlineStr">
        <is>
          <t>Cow hides</t>
        </is>
      </c>
      <c r="B44" s="15" t="n"/>
      <c r="C44" s="15" t="n"/>
      <c r="D44" s="15" t="n"/>
      <c r="F44" s="15" t="n"/>
      <c r="G44" s="15" t="n"/>
      <c r="H44" s="15" t="n"/>
      <c r="I44" s="15" t="n"/>
      <c r="J44" s="15" t="n"/>
      <c r="K44" s="188">
        <f>B44+C44+D44+E44-F44-G44-H44-I44</f>
        <v/>
      </c>
      <c r="L44" s="134" t="n"/>
      <c r="M44" s="134" t="n"/>
      <c r="N44" s="15" t="n"/>
      <c r="O44" s="134" t="n"/>
      <c r="P44" s="134" t="n"/>
      <c r="Q44" s="134">
        <f>IFERROR((L44+N44)/(M44+O44),"")</f>
        <v/>
      </c>
      <c r="R44" s="134">
        <f>IFERROR(D44*Q44,"")</f>
        <v/>
      </c>
      <c r="S44" s="134">
        <f>IFERROR(Q44*G44,"")</f>
        <v/>
      </c>
      <c r="T44" s="15" t="n"/>
    </row>
    <row r="45">
      <c r="A45" s="15" t="inlineStr">
        <is>
          <t>Mare hides</t>
        </is>
      </c>
      <c r="B45" s="15" t="n"/>
      <c r="C45" s="15" t="n"/>
      <c r="D45" s="15" t="n">
        <v>1</v>
      </c>
      <c r="E45" s="15" t="n"/>
      <c r="F45" s="15" t="n"/>
      <c r="G45" s="15" t="n">
        <v>1</v>
      </c>
      <c r="H45" s="15" t="n"/>
      <c r="I45" s="15" t="n"/>
      <c r="J45" s="15" t="n">
        <v>0</v>
      </c>
      <c r="K45" s="188">
        <f>B45+C45+D45+E45-F45-G45-H45-I45</f>
        <v/>
      </c>
      <c r="L45" s="134">
        <f>'Crawley Receipts'!F58</f>
        <v/>
      </c>
      <c r="M45" s="134" t="n">
        <v>1</v>
      </c>
      <c r="N45" s="15" t="n"/>
      <c r="O45" s="15" t="n"/>
      <c r="P45" s="15" t="n"/>
      <c r="Q45" s="134">
        <f>IFERROR((L45+N45)/(M45+O45),"")</f>
        <v/>
      </c>
      <c r="R45" s="134">
        <f>IFERROR(D45*Q45,"")</f>
        <v/>
      </c>
      <c r="S45" s="134">
        <f>IFERROR(Q45*G45,"")</f>
        <v/>
      </c>
      <c r="T45" s="15" t="n"/>
    </row>
    <row r="46">
      <c r="A46" s="15" t="inlineStr">
        <is>
          <t>Steer hides</t>
        </is>
      </c>
      <c r="B46" s="15" t="n"/>
      <c r="C46" s="15" t="n"/>
      <c r="D46" s="15" t="n">
        <v>2</v>
      </c>
      <c r="F46" s="15" t="n"/>
      <c r="G46" s="15" t="n">
        <v>2</v>
      </c>
      <c r="H46" s="15" t="n"/>
      <c r="I46" s="15" t="n"/>
      <c r="J46" s="15" t="n">
        <v>0</v>
      </c>
      <c r="K46" s="188">
        <f>B46+C46+D46+E46-F46-G46-H46-I46</f>
        <v/>
      </c>
      <c r="L46" s="134">
        <f>'Crawley Receipts'!F61</f>
        <v/>
      </c>
      <c r="M46" s="134" t="n">
        <v>1</v>
      </c>
      <c r="N46" s="197">
        <f>'Crawley Receipts'!F61</f>
        <v/>
      </c>
      <c r="O46" s="15" t="n">
        <v>1</v>
      </c>
      <c r="P46" s="15" t="n"/>
      <c r="Q46" s="134">
        <f>IFERROR((L46+N46)/(M46+O46),"")</f>
        <v/>
      </c>
      <c r="R46" s="134">
        <f>IFERROR(D46*Q46,"")</f>
        <v/>
      </c>
      <c r="S46" s="134">
        <f>IFERROR(Q46*G46,"")</f>
        <v/>
      </c>
      <c r="T46" s="15" t="n"/>
    </row>
    <row r="47">
      <c r="A47" s="15" t="inlineStr">
        <is>
          <t>Yearling Calf hides</t>
        </is>
      </c>
      <c r="B47" s="15" t="n"/>
      <c r="C47" s="15" t="n"/>
      <c r="D47" s="15" t="n">
        <v>1</v>
      </c>
      <c r="E47" s="15" t="n"/>
      <c r="F47" s="15" t="n"/>
      <c r="G47" s="15" t="n">
        <v>1</v>
      </c>
      <c r="H47" s="15" t="n"/>
      <c r="I47" s="15" t="n"/>
      <c r="J47" s="15" t="n">
        <v>0</v>
      </c>
      <c r="K47" s="188">
        <f>B47+C47+D47+E47-F47-G47-H47-I47</f>
        <v/>
      </c>
      <c r="L47" s="134">
        <f>'Crawley Receipts'!F62</f>
        <v/>
      </c>
      <c r="M47" s="134" t="n">
        <v>1</v>
      </c>
      <c r="N47" s="15" t="n"/>
      <c r="O47" s="15" t="n"/>
      <c r="P47" s="15" t="n"/>
      <c r="Q47" s="134">
        <f>IFERROR((L47+N47)/(M47+O47),"")</f>
        <v/>
      </c>
      <c r="R47" s="134">
        <f>IFERROR(D47*Q47,"")</f>
        <v/>
      </c>
      <c r="S47" s="134">
        <f>IFERROR(Q47*G47,"")</f>
        <v/>
      </c>
      <c r="T47" s="15" t="n"/>
    </row>
    <row r="48">
      <c r="A48" s="15" t="inlineStr">
        <is>
          <t>Calf hides</t>
        </is>
      </c>
      <c r="B48" s="15" t="n"/>
      <c r="C48" s="15" t="n"/>
      <c r="D48" s="15" t="n">
        <v>1</v>
      </c>
      <c r="E48" s="15" t="n"/>
      <c r="F48" s="15" t="n"/>
      <c r="G48" s="15" t="n">
        <v>1</v>
      </c>
      <c r="H48" s="15" t="n"/>
      <c r="I48" s="15" t="n"/>
      <c r="J48" s="15" t="n">
        <v>0</v>
      </c>
      <c r="K48" s="188">
        <f>B48+C48+D48+E48-F48-G48-H48-I48</f>
        <v/>
      </c>
      <c r="L48" s="134">
        <f>'Crawley Receipts'!F63</f>
        <v/>
      </c>
      <c r="M48" s="134" t="n">
        <v>1</v>
      </c>
      <c r="N48" s="15" t="n"/>
      <c r="O48" s="15" t="n"/>
      <c r="P48" s="15" t="n"/>
      <c r="Q48" s="134">
        <f>IFERROR((L48+N48)/(M48+O48),"")</f>
        <v/>
      </c>
      <c r="R48" s="134">
        <f>IFERROR(D48*Q48,"")</f>
        <v/>
      </c>
      <c r="S48" s="134">
        <f>IFERROR(Q48*G48,"")</f>
        <v/>
      </c>
      <c r="T48" s="15" t="n"/>
    </row>
    <row r="49">
      <c r="A49" s="23" t="inlineStr">
        <is>
          <t>Pig hides</t>
        </is>
      </c>
      <c r="B49" s="15" t="n"/>
      <c r="C49" s="15" t="n"/>
      <c r="D49" s="15" t="n"/>
      <c r="E49" s="15" t="n"/>
      <c r="F49" s="15" t="n"/>
      <c r="G49" s="15" t="n"/>
      <c r="H49" s="15" t="n"/>
      <c r="I49" s="15" t="n"/>
      <c r="J49" s="15" t="n"/>
      <c r="K49" s="188">
        <f>B49+C49+D49+E49-F49-G49-H49-I49</f>
        <v/>
      </c>
      <c r="L49" s="134" t="n"/>
      <c r="M49" s="134" t="n"/>
      <c r="N49" s="15" t="n"/>
      <c r="O49" s="15" t="n"/>
      <c r="P49" s="15" t="n"/>
      <c r="Q49" s="134">
        <f>IFERROR((L49+N49)/(M49+O49),"")</f>
        <v/>
      </c>
      <c r="R49" s="134">
        <f>IFERROR(D49*Q49,"")</f>
        <v/>
      </c>
      <c r="S49" s="134">
        <f>IFERROR(Q49*G49,"")</f>
        <v/>
      </c>
      <c r="T49" s="15" t="n"/>
    </row>
    <row r="50">
      <c r="A50" s="24" t="inlineStr">
        <is>
          <t>Weather woolskins</t>
        </is>
      </c>
      <c r="B50" s="15" t="n"/>
      <c r="C50" s="15" t="n"/>
      <c r="D50" s="15" t="n">
        <v>21</v>
      </c>
      <c r="E50" s="15" t="n"/>
      <c r="F50" s="15" t="n"/>
      <c r="G50" s="15" t="n">
        <v>21</v>
      </c>
      <c r="H50" s="15" t="n"/>
      <c r="I50" s="15" t="n"/>
      <c r="J50" s="15" t="n">
        <v>0</v>
      </c>
      <c r="K50" s="188">
        <f>B50+C50+D50+E50-F50-G50-H50-I50</f>
        <v/>
      </c>
      <c r="L50" s="134" t="n"/>
      <c r="M50" s="134" t="n"/>
      <c r="N50" s="15" t="n"/>
      <c r="O50" s="15" t="n"/>
      <c r="P50" s="15" t="n"/>
      <c r="Q50" s="134">
        <f>IFERROR((L50+N50)/(M50+O50),"")</f>
        <v/>
      </c>
      <c r="R50" s="134">
        <f>IFERROR(D50*Q50,"")</f>
        <v/>
      </c>
      <c r="S50" s="134">
        <f>IFERROR(Q50*G50,"")</f>
        <v/>
      </c>
      <c r="T50" s="15" t="n"/>
    </row>
    <row r="51">
      <c r="A51" s="24" t="inlineStr">
        <is>
          <t>Ram woolskins</t>
        </is>
      </c>
      <c r="B51" s="15" t="n"/>
      <c r="C51" s="15" t="n"/>
      <c r="D51" s="15" t="n"/>
      <c r="E51" s="15" t="n"/>
      <c r="F51" s="15" t="n"/>
      <c r="G51" s="15" t="n"/>
      <c r="H51" s="15" t="n"/>
      <c r="I51" s="15" t="n"/>
      <c r="J51" s="15" t="n"/>
      <c r="K51" s="188">
        <f>B51+C51+D51+E51-F51-G51-H51-I51</f>
        <v/>
      </c>
      <c r="L51" s="134" t="n"/>
      <c r="M51" s="134" t="n"/>
      <c r="N51" s="15" t="n"/>
      <c r="O51" s="15" t="n"/>
      <c r="P51" s="15" t="n"/>
      <c r="Q51" s="134">
        <f>IFERROR((L51+N51)/(M51+O51),"")</f>
        <v/>
      </c>
      <c r="R51" s="134">
        <f>IFERROR(D51*Q51,"")</f>
        <v/>
      </c>
      <c r="S51" s="134">
        <f>IFERROR(Q51*G51,"")</f>
        <v/>
      </c>
      <c r="T51" s="15" t="n"/>
    </row>
    <row r="52">
      <c r="A52" s="24" t="inlineStr">
        <is>
          <t>Ewe woolskins</t>
        </is>
      </c>
      <c r="B52" s="15" t="n"/>
      <c r="C52" s="15" t="n"/>
      <c r="D52" s="15" t="n">
        <v>24</v>
      </c>
      <c r="E52" s="15" t="n"/>
      <c r="F52" s="15" t="n"/>
      <c r="G52" s="15" t="n">
        <v>24</v>
      </c>
      <c r="H52" s="15" t="n"/>
      <c r="I52" s="15" t="n"/>
      <c r="J52" s="15" t="n">
        <v>0</v>
      </c>
      <c r="K52" s="188">
        <f>B52+C52+D52+E52-F52-G52-H52-I52</f>
        <v/>
      </c>
      <c r="L52" s="134" t="n"/>
      <c r="M52" s="134" t="n"/>
      <c r="N52" s="15" t="n"/>
      <c r="O52" s="15" t="n"/>
      <c r="P52" s="15" t="n"/>
      <c r="Q52" s="134">
        <f>IFERROR((L52+N52)/(M52+O52),"")</f>
        <v/>
      </c>
      <c r="R52" s="134">
        <f>IFERROR(D52*Q52,"")</f>
        <v/>
      </c>
      <c r="S52" s="134">
        <f>IFERROR(Q52*G52,"")</f>
        <v/>
      </c>
      <c r="T52" s="15" t="n"/>
    </row>
    <row r="53">
      <c r="A53" s="24" t="inlineStr">
        <is>
          <t>Hogg woolskins</t>
        </is>
      </c>
      <c r="B53" s="15" t="n"/>
      <c r="C53" s="15" t="n"/>
      <c r="D53" s="15" t="n">
        <v>23</v>
      </c>
      <c r="E53" s="15" t="n"/>
      <c r="F53" s="15" t="n"/>
      <c r="G53" s="15" t="n">
        <v>23</v>
      </c>
      <c r="H53" s="15" t="n"/>
      <c r="I53" s="15" t="n"/>
      <c r="J53" s="15" t="n">
        <v>0</v>
      </c>
      <c r="K53" s="188">
        <f>B53+C53+D53+E53-F53-G53-H53-I53</f>
        <v/>
      </c>
      <c r="L53" s="134" t="n"/>
      <c r="M53" s="134" t="n"/>
      <c r="N53" s="15" t="n"/>
      <c r="O53" s="15" t="n"/>
      <c r="P53" s="15" t="n"/>
      <c r="Q53" s="134">
        <f>IFERROR((L53+N53)/(M53+O53),"")</f>
        <v/>
      </c>
      <c r="R53" s="134">
        <f>IFERROR(D53*Q53,"")</f>
        <v/>
      </c>
      <c r="S53" s="134">
        <f>IFERROR(Q53*G53,"")</f>
        <v/>
      </c>
      <c r="T53" s="15" t="n"/>
    </row>
    <row r="54">
      <c r="A54" s="25" t="inlineStr">
        <is>
          <t>Woolskins (total)</t>
        </is>
      </c>
      <c r="B54" s="15" t="n"/>
      <c r="C54" s="15" t="n"/>
      <c r="D54" s="15">
        <f>SUM(D50:D53)</f>
        <v/>
      </c>
      <c r="E54" s="15" t="n"/>
      <c r="F54" s="15" t="n"/>
      <c r="G54" s="15">
        <f>SUM(G50:G53)</f>
        <v/>
      </c>
      <c r="H54" s="15" t="n"/>
      <c r="I54" s="15" t="n"/>
      <c r="J54" s="15" t="n">
        <v>0</v>
      </c>
      <c r="K54" s="188">
        <f>B54+C54+D54+E54-F54-G54-H54-I54</f>
        <v/>
      </c>
      <c r="L54" s="134">
        <f>'Crawley Receipts'!F64</f>
        <v/>
      </c>
      <c r="M54" s="134" t="n">
        <v>68</v>
      </c>
      <c r="N54" s="15" t="n"/>
      <c r="O54" s="15" t="n"/>
      <c r="P54" s="15" t="n"/>
      <c r="Q54" s="134">
        <f>IFERROR((L54+N54)/(M54+O54),"")</f>
        <v/>
      </c>
      <c r="R54" s="134">
        <f>IFERROR(D54*Q54,"")</f>
        <v/>
      </c>
      <c r="S54" s="134">
        <f>IFERROR(Q54*G54,"")</f>
        <v/>
      </c>
      <c r="T54" s="15" t="n"/>
    </row>
    <row r="55">
      <c r="A55" s="24" t="inlineStr">
        <is>
          <t>Wether bareskins</t>
        </is>
      </c>
      <c r="B55" s="15" t="n"/>
      <c r="C55" s="15" t="n"/>
      <c r="D55" s="15" t="n">
        <v>14</v>
      </c>
      <c r="E55" s="15" t="n"/>
      <c r="F55" s="15" t="n"/>
      <c r="G55" s="15" t="n">
        <v>14</v>
      </c>
      <c r="H55" s="15" t="n"/>
      <c r="I55" s="15" t="n"/>
      <c r="J55" s="15" t="n">
        <v>0</v>
      </c>
      <c r="K55" s="188">
        <f>B55+C55+D55+E55-F55-G55-H55-I55</f>
        <v/>
      </c>
      <c r="L55" s="134" t="n"/>
      <c r="M55" s="134" t="n"/>
      <c r="N55" s="15" t="n"/>
      <c r="O55" s="15" t="n"/>
      <c r="P55" s="15" t="n"/>
      <c r="Q55" s="134">
        <f>IFERROR((L55+N55)/(M55+O55),"")</f>
        <v/>
      </c>
      <c r="R55" s="134">
        <f>IFERROR(D55*Q55,"")</f>
        <v/>
      </c>
      <c r="S55" s="134">
        <f>IFERROR(Q55*G55,"")</f>
        <v/>
      </c>
      <c r="T55" s="15" t="n"/>
    </row>
    <row r="56">
      <c r="A56" s="24" t="inlineStr">
        <is>
          <t>Ram bareskins</t>
        </is>
      </c>
      <c r="B56" s="15" t="n"/>
      <c r="C56" s="15" t="n"/>
      <c r="D56" s="15" t="n"/>
      <c r="E56" s="15" t="n"/>
      <c r="F56" s="15" t="n"/>
      <c r="G56" s="15" t="n"/>
      <c r="H56" s="15" t="n"/>
      <c r="I56" s="15" t="n"/>
      <c r="J56" s="15" t="n"/>
      <c r="K56" s="188">
        <f>B56+C56+D56+E56-F56-G56-H56-I56</f>
        <v/>
      </c>
      <c r="L56" s="134" t="n"/>
      <c r="M56" s="134" t="n"/>
      <c r="N56" s="15" t="n"/>
      <c r="O56" s="15" t="n"/>
      <c r="P56" s="15" t="n"/>
      <c r="Q56" s="134">
        <f>IFERROR((L56+N56)/(M56+O56),"")</f>
        <v/>
      </c>
      <c r="R56" s="134">
        <f>IFERROR(D56*Q56,"")</f>
        <v/>
      </c>
      <c r="S56" s="134">
        <f>IFERROR(Q56*G56,"")</f>
        <v/>
      </c>
      <c r="T56" s="15" t="n"/>
    </row>
    <row r="57">
      <c r="A57" s="24" t="inlineStr">
        <is>
          <t>Ewe bareskins</t>
        </is>
      </c>
      <c r="B57" s="15" t="n"/>
      <c r="C57" s="15" t="n"/>
      <c r="D57" s="15" t="n">
        <v>13</v>
      </c>
      <c r="E57" s="15" t="n"/>
      <c r="F57" s="15" t="n"/>
      <c r="G57" s="15" t="n">
        <v>13</v>
      </c>
      <c r="H57" s="15" t="n"/>
      <c r="I57" s="15" t="n"/>
      <c r="J57" s="15" t="n">
        <v>0</v>
      </c>
      <c r="K57" s="188">
        <f>B57+C57+D57+E57-F57-G57-H57-I57</f>
        <v/>
      </c>
      <c r="L57" s="134" t="n"/>
      <c r="M57" s="134" t="n"/>
      <c r="N57" s="15" t="n"/>
      <c r="O57" s="15" t="n"/>
      <c r="P57" s="15" t="n"/>
      <c r="Q57" s="134">
        <f>IFERROR((L57+N57)/(M57+O57),"")</f>
        <v/>
      </c>
      <c r="R57" s="134">
        <f>IFERROR(D57*Q57,"")</f>
        <v/>
      </c>
      <c r="S57" s="134">
        <f>IFERROR(Q57*G57,"")</f>
        <v/>
      </c>
      <c r="T57" s="15" t="n"/>
    </row>
    <row r="58">
      <c r="A58" s="24" t="inlineStr">
        <is>
          <t>Hogg bareskins</t>
        </is>
      </c>
      <c r="B58" s="15" t="n"/>
      <c r="C58" s="15" t="n"/>
      <c r="D58" s="15" t="n"/>
      <c r="E58" s="15" t="n"/>
      <c r="F58" s="15" t="n"/>
      <c r="G58" s="15" t="n"/>
      <c r="H58" s="15" t="n"/>
      <c r="I58" s="15" t="n"/>
      <c r="J58" s="15" t="n"/>
      <c r="K58" s="188">
        <f>B58+C58+D58+E58-F58-G58-H58-I58</f>
        <v/>
      </c>
      <c r="L58" s="134" t="n"/>
      <c r="M58" s="134" t="n"/>
      <c r="N58" s="15" t="n"/>
      <c r="O58" s="15" t="n"/>
      <c r="P58" s="15" t="n"/>
      <c r="Q58" s="134">
        <f>IFERROR((L58+N58)/(M58+O58),"")</f>
        <v/>
      </c>
      <c r="R58" s="134">
        <f>IFERROR(D58*Q58,"")</f>
        <v/>
      </c>
      <c r="S58" s="134">
        <f>IFERROR(Q58*G58,"")</f>
        <v/>
      </c>
      <c r="T58" s="15" t="n"/>
    </row>
    <row r="59">
      <c r="A59" s="25" t="inlineStr">
        <is>
          <t>Bareskins (total)</t>
        </is>
      </c>
      <c r="B59" s="15" t="n"/>
      <c r="C59" s="15" t="n"/>
      <c r="D59" s="15" t="n">
        <v>27</v>
      </c>
      <c r="E59" s="15" t="n"/>
      <c r="F59" s="15" t="n"/>
      <c r="G59" s="15" t="n">
        <v>27</v>
      </c>
      <c r="H59" s="15" t="n"/>
      <c r="I59" s="15" t="n"/>
      <c r="J59" s="15" t="n">
        <v>0</v>
      </c>
      <c r="K59" s="188">
        <f>B59+C59+D59+E59-F59-G59-H59-I59</f>
        <v/>
      </c>
      <c r="L59" s="134">
        <f>'Crawley Receipts'!$F$65</f>
        <v/>
      </c>
      <c r="M59" s="134" t="n">
        <v>27</v>
      </c>
      <c r="N59" s="15" t="n"/>
      <c r="O59" s="15" t="n"/>
      <c r="P59" s="15" t="n"/>
      <c r="Q59" s="134">
        <f>IFERROR((L59+N59)/(M59+O59),"")</f>
        <v/>
      </c>
      <c r="R59" s="134">
        <f>IFERROR(D59*Q59,"")</f>
        <v/>
      </c>
      <c r="S59" s="134">
        <f>IFERROR(Q59*G59,"")</f>
        <v/>
      </c>
      <c r="T59" s="15" t="n"/>
    </row>
    <row r="60">
      <c r="A60" s="15" t="inlineStr">
        <is>
          <t>Lambskins</t>
        </is>
      </c>
      <c r="B60" s="15" t="n"/>
      <c r="C60" s="15" t="n"/>
      <c r="D60" s="15" t="n">
        <v>88</v>
      </c>
      <c r="E60" s="15" t="n"/>
      <c r="F60" s="15" t="n"/>
      <c r="G60" s="15" t="n">
        <v>82</v>
      </c>
      <c r="H60" s="15" t="n"/>
      <c r="I60" s="15" t="n">
        <v>6</v>
      </c>
      <c r="J60" s="15" t="n"/>
      <c r="K60" s="188">
        <f>B60+C60+D60+E60-F60-G60-H60-I60</f>
        <v/>
      </c>
      <c r="L60" s="134">
        <f>'Crawley Receipts'!F66</f>
        <v/>
      </c>
      <c r="M60" s="134" t="n">
        <v>62</v>
      </c>
      <c r="N60" s="197">
        <f>'Crawley Receipts'!F67</f>
        <v/>
      </c>
      <c r="O60" s="15" t="n">
        <v>20</v>
      </c>
      <c r="P60" s="15" t="n"/>
      <c r="Q60" s="134">
        <f>IFERROR((L60+N60)/(M60+O60),"")</f>
        <v/>
      </c>
      <c r="R60" s="134">
        <f>IFERROR(D60*Q60,"")</f>
        <v/>
      </c>
      <c r="S60" s="134">
        <f>IFERROR(Q60*G60,"")</f>
        <v/>
      </c>
      <c r="T60" s="15" t="inlineStr">
        <is>
          <t>Accounted for elsewhere is tithe</t>
        </is>
      </c>
    </row>
    <row r="61">
      <c r="A61" s="15" t="inlineStr">
        <is>
          <t>Rotted skins</t>
        </is>
      </c>
      <c r="B61" s="15" t="n"/>
      <c r="C61" s="15" t="n"/>
      <c r="D61" s="15" t="n"/>
      <c r="E61" s="15" t="n"/>
      <c r="F61" s="15" t="n"/>
      <c r="G61" s="15" t="n"/>
      <c r="H61" s="15" t="n"/>
      <c r="I61" s="15" t="n"/>
      <c r="J61" s="15" t="n"/>
      <c r="K61" s="188">
        <f>B61+C61+D61+E61-F61-G61-H61-I61</f>
        <v/>
      </c>
      <c r="L61" s="134" t="n"/>
      <c r="M61" s="134" t="n"/>
      <c r="N61" s="15" t="n"/>
      <c r="O61" s="15" t="n"/>
      <c r="P61" s="15" t="n"/>
      <c r="Q61" s="134">
        <f>IFERROR((L61+N61)/(M61+O61),"")</f>
        <v/>
      </c>
      <c r="R61" s="134">
        <f>IFERROR(D61*Q61,"")</f>
        <v/>
      </c>
      <c r="S61" s="134">
        <f>IFERROR(Q61*G61,"")</f>
        <v/>
      </c>
      <c r="T61" s="15" t="n"/>
    </row>
    <row r="62">
      <c r="A62" s="15" t="inlineStr">
        <is>
          <t>Shorn skins</t>
        </is>
      </c>
      <c r="B62" s="15" t="n"/>
      <c r="C62" s="15" t="n"/>
      <c r="D62" s="15" t="n"/>
      <c r="E62" s="15" t="n"/>
      <c r="F62" s="15" t="n"/>
      <c r="G62" s="15" t="n"/>
      <c r="H62" s="15" t="n"/>
      <c r="I62" s="15" t="n"/>
      <c r="J62" s="15" t="n"/>
      <c r="K62" s="188">
        <f>B62+C62+D62+E62-F62-G62-H62-I62</f>
        <v/>
      </c>
      <c r="L62" s="134" t="n"/>
      <c r="M62" s="134" t="n"/>
      <c r="N62" s="15" t="n"/>
      <c r="O62" s="15" t="n"/>
      <c r="P62" s="15" t="n"/>
      <c r="Q62" s="134">
        <f>IFERROR((L62+N62)/(M62+O62),"")</f>
        <v/>
      </c>
      <c r="R62" s="134">
        <f>IFERROR(D62*Q62,"")</f>
        <v/>
      </c>
      <c r="S62" s="134">
        <f>IFERROR(Q62*G62,"")</f>
        <v/>
      </c>
      <c r="T62" s="15" t="n"/>
    </row>
    <row r="63">
      <c r="A63" s="193" t="inlineStr">
        <is>
          <t>Total</t>
        </is>
      </c>
      <c r="B63" s="193" t="n"/>
      <c r="C63" s="193" t="n"/>
      <c r="D63" s="193" t="n"/>
      <c r="E63" s="193" t="n"/>
      <c r="F63" s="193" t="n"/>
      <c r="G63" s="193" t="n"/>
      <c r="H63" s="193" t="n"/>
      <c r="I63" s="193" t="n"/>
      <c r="J63" s="193" t="n"/>
      <c r="K63" s="194" t="n"/>
      <c r="L63" s="195" t="n"/>
      <c r="M63" s="195" t="n"/>
      <c r="N63" s="193" t="n"/>
      <c r="O63" s="193" t="n"/>
      <c r="P63" s="193" t="n"/>
      <c r="Q63" s="195" t="n"/>
      <c r="R63" s="195" t="n"/>
      <c r="S63" s="195">
        <f>SUM(S43:S62)</f>
        <v/>
      </c>
      <c r="T63" s="193" t="n"/>
    </row>
    <row r="64">
      <c r="A64" s="15" t="n"/>
      <c r="B64" s="15" t="n"/>
      <c r="C64" s="15" t="n"/>
      <c r="D64" s="15" t="n"/>
      <c r="E64" s="15" t="n"/>
      <c r="F64" s="15" t="n"/>
      <c r="G64" s="15" t="n"/>
      <c r="H64" s="15" t="n"/>
      <c r="I64" s="15" t="n"/>
      <c r="J64" s="15" t="n"/>
      <c r="K64" s="188">
        <f>B64+C64+D64+E64-F64-G64-H64-I64</f>
        <v/>
      </c>
      <c r="L64" s="134" t="n"/>
      <c r="M64" s="134" t="n"/>
      <c r="N64" s="15" t="n"/>
      <c r="O64" s="15" t="n"/>
      <c r="P64" s="15" t="n"/>
      <c r="Q64" s="134">
        <f>IFERROR((L64+N64)/(M64+O64),"")</f>
        <v/>
      </c>
      <c r="R64" s="134">
        <f>IFERROR(D64*Q64,"")</f>
        <v/>
      </c>
      <c r="S64" s="134">
        <f>IFERROR(Q64*G64,"")</f>
        <v/>
      </c>
      <c r="T64" s="15" t="n"/>
    </row>
    <row r="65">
      <c r="A65" s="15" t="n"/>
      <c r="B65" s="15" t="n"/>
      <c r="C65" s="15" t="n"/>
      <c r="D65" s="15" t="n"/>
      <c r="E65" s="15" t="n"/>
      <c r="F65" s="15" t="n"/>
      <c r="G65" s="15" t="n"/>
      <c r="H65" s="15" t="n"/>
      <c r="I65" s="15" t="n"/>
      <c r="J65" s="15" t="n"/>
      <c r="K65" s="188">
        <f>B65+C65+D65+E65-F65-G65-H65-I65</f>
        <v/>
      </c>
      <c r="L65" s="134" t="n"/>
      <c r="M65" s="134" t="n"/>
      <c r="N65" s="15" t="n"/>
      <c r="O65" s="15" t="n"/>
      <c r="P65" s="15" t="n"/>
      <c r="Q65" s="134">
        <f>IFERROR((L65+N65)/(M65+O65),"")</f>
        <v/>
      </c>
      <c r="R65" s="134">
        <f>IFERROR(D65*Q65,"")</f>
        <v/>
      </c>
      <c r="S65" s="134">
        <f>IFERROR(Q65*G65,"")</f>
        <v/>
      </c>
      <c r="T65" s="15" t="n"/>
    </row>
    <row r="66" ht="17" customHeight="1">
      <c r="A66" s="187" t="inlineStr">
        <is>
          <t>Poultry stock</t>
        </is>
      </c>
      <c r="B66" s="196" t="n"/>
      <c r="C66" s="196" t="n"/>
      <c r="D66" s="15" t="n"/>
      <c r="E66" s="15" t="n"/>
      <c r="F66" s="15" t="n"/>
      <c r="G66" s="15" t="n"/>
      <c r="H66" s="15" t="n"/>
      <c r="I66" s="15" t="n"/>
      <c r="J66" s="15" t="n"/>
      <c r="K66" s="188">
        <f>B66+C66+D66+E66-F66-G66-H66-I66</f>
        <v/>
      </c>
      <c r="L66" s="134" t="n"/>
      <c r="M66" s="134" t="n"/>
      <c r="N66" s="15" t="n"/>
      <c r="O66" s="15" t="n"/>
      <c r="P66" s="15" t="n"/>
      <c r="Q66" s="134">
        <f>IFERROR((L66+N66)/(M66+O66),"")</f>
        <v/>
      </c>
      <c r="R66" s="134">
        <f>IFERROR(D66*Q66,"")</f>
        <v/>
      </c>
      <c r="S66" s="134">
        <f>IFERROR(Q66*G66,"")</f>
        <v/>
      </c>
      <c r="T66" s="15" t="n"/>
    </row>
    <row r="67" ht="17" customHeight="1">
      <c r="A67" s="22" t="inlineStr">
        <is>
          <t>Hens</t>
        </is>
      </c>
      <c r="B67" s="15" t="n"/>
      <c r="C67" s="15" t="n"/>
      <c r="D67" s="15" t="n">
        <v>125</v>
      </c>
      <c r="E67" s="15" t="n"/>
      <c r="F67" s="15" t="n"/>
      <c r="G67" s="15" t="n">
        <v>95</v>
      </c>
      <c r="H67" s="15" t="n"/>
      <c r="I67" s="15" t="n">
        <v>30</v>
      </c>
      <c r="J67" s="15" t="n"/>
      <c r="K67" s="188">
        <f>B67+C67+D67+E67-F67-G67-H67-I67</f>
        <v/>
      </c>
      <c r="L67" s="134">
        <f>'Crawley Receipts'!F71</f>
        <v/>
      </c>
      <c r="M67" s="134" t="n">
        <v>95</v>
      </c>
      <c r="N67" s="15" t="n"/>
      <c r="O67" s="15" t="n"/>
      <c r="P67" s="15" t="n"/>
      <c r="Q67" s="134">
        <f>IFERROR((L67+N67)/(M67+O67),"")</f>
        <v/>
      </c>
      <c r="R67" s="134">
        <f>IFERROR(D67*Q67,"")</f>
        <v/>
      </c>
      <c r="S67" s="134">
        <f>IFERROR(Q67*G67,"")</f>
        <v/>
      </c>
      <c r="T67" s="15" t="inlineStr">
        <is>
          <t>Accounted for elsewhere is tithe</t>
        </is>
      </c>
    </row>
    <row r="68">
      <c r="A68" s="15" t="inlineStr">
        <is>
          <t>Geese</t>
        </is>
      </c>
      <c r="B68" s="15" t="n"/>
      <c r="C68" s="15" t="n"/>
      <c r="D68" s="15" t="n"/>
      <c r="E68" s="15" t="n"/>
      <c r="F68" s="15" t="n"/>
      <c r="G68" s="15" t="n"/>
      <c r="H68" s="15" t="n"/>
      <c r="I68" s="15" t="n"/>
      <c r="J68" s="15" t="n"/>
      <c r="K68" s="188">
        <f>B68+C68+D68+E68-F68-G68-H68-I68</f>
        <v/>
      </c>
      <c r="L68" s="134" t="n"/>
      <c r="M68" s="134" t="n"/>
      <c r="N68" s="15" t="n"/>
      <c r="O68" s="15" t="n"/>
      <c r="P68" s="15" t="n"/>
      <c r="Q68" s="134">
        <f>IFERROR((L68+N68)/(M68+O68),"")</f>
        <v/>
      </c>
      <c r="R68" s="134">
        <f>IFERROR(D68*Q68,"")</f>
        <v/>
      </c>
      <c r="S68" s="134">
        <f>IFERROR(Q68*G68,"")</f>
        <v/>
      </c>
      <c r="T68" s="15" t="n"/>
    </row>
    <row r="69">
      <c r="A69" s="15" t="inlineStr">
        <is>
          <t>Capons (from chickens)</t>
        </is>
      </c>
      <c r="B69" s="15" t="n"/>
      <c r="C69" s="15" t="n"/>
      <c r="D69" s="15" t="n"/>
      <c r="E69" s="15" t="n"/>
      <c r="F69" s="15" t="n"/>
      <c r="G69" s="15" t="n"/>
      <c r="H69" s="15" t="n"/>
      <c r="I69" s="15" t="n"/>
      <c r="J69" s="15" t="n"/>
      <c r="K69" s="188">
        <f>B69+C69+D69+E69-F69-G69-H69-I69</f>
        <v/>
      </c>
      <c r="L69" s="134" t="n"/>
      <c r="M69" s="134" t="n"/>
      <c r="N69" s="15" t="n"/>
      <c r="O69" s="15" t="n"/>
      <c r="P69" s="15" t="n"/>
      <c r="Q69" s="134">
        <f>IFERROR((L69+N69)/(M69+O69),"")</f>
        <v/>
      </c>
      <c r="R69" s="134">
        <f>IFERROR(D69*Q69,"")</f>
        <v/>
      </c>
      <c r="S69" s="134">
        <f>IFERROR(Q69*G69,"")</f>
        <v/>
      </c>
      <c r="T69" s="15" t="n"/>
    </row>
    <row r="70">
      <c r="A70" s="15" t="inlineStr">
        <is>
          <t>Cocks &amp; hens</t>
        </is>
      </c>
      <c r="B70" s="15" t="n"/>
      <c r="C70" s="15" t="n"/>
      <c r="D70" s="15" t="n"/>
      <c r="E70" s="15" t="n"/>
      <c r="F70" s="15" t="n"/>
      <c r="G70" s="15" t="n"/>
      <c r="H70" s="15" t="n"/>
      <c r="I70" s="15" t="n"/>
      <c r="J70" s="15" t="n"/>
      <c r="K70" s="188">
        <f>B70+C70+D70+E70-F70-G70-H70-I70</f>
        <v/>
      </c>
      <c r="L70" s="134" t="n"/>
      <c r="M70" s="134" t="n"/>
      <c r="N70" s="15" t="n"/>
      <c r="O70" s="15" t="n"/>
      <c r="P70" s="15" t="n"/>
      <c r="Q70" s="134">
        <f>IFERROR((L70+N70)/(M70+O70),"")</f>
        <v/>
      </c>
      <c r="R70" s="134">
        <f>IFERROR(D70*Q70,"")</f>
        <v/>
      </c>
      <c r="S70" s="134">
        <f>IFERROR(Q70*G70,"")</f>
        <v/>
      </c>
      <c r="T70" s="15" t="n"/>
    </row>
    <row r="71">
      <c r="A71" s="193" t="inlineStr">
        <is>
          <t>Total</t>
        </is>
      </c>
      <c r="B71" s="193" t="n"/>
      <c r="C71" s="193" t="n"/>
      <c r="D71" s="193" t="n"/>
      <c r="E71" s="193" t="n"/>
      <c r="F71" s="193" t="n"/>
      <c r="G71" s="193" t="n"/>
      <c r="H71" s="193" t="n"/>
      <c r="I71" s="193" t="n"/>
      <c r="J71" s="193" t="n"/>
      <c r="K71" s="194">
        <f>B71+C71+D71+E71-F71-G71-H71-I71</f>
        <v/>
      </c>
      <c r="L71" s="195" t="n"/>
      <c r="M71" s="195" t="n"/>
      <c r="N71" s="193" t="n"/>
      <c r="O71" s="193" t="n"/>
      <c r="P71" s="193" t="n"/>
      <c r="Q71" s="195">
        <f>IFERROR((L71+N71)/(M71+O71),"")</f>
        <v/>
      </c>
      <c r="R71" s="195">
        <f>IFERROR(D71*Q71,"")</f>
        <v/>
      </c>
      <c r="S71" s="195">
        <f>SUM(S67:S70)</f>
        <v/>
      </c>
      <c r="T71" s="193" t="n"/>
    </row>
    <row r="72">
      <c r="A72" s="15" t="n"/>
      <c r="B72" s="15" t="n"/>
      <c r="C72" s="15" t="n"/>
      <c r="D72" s="15" t="n"/>
      <c r="E72" s="15" t="n"/>
      <c r="F72" s="15" t="n"/>
      <c r="G72" s="15" t="n"/>
      <c r="H72" s="15" t="n"/>
      <c r="I72" s="15" t="n"/>
      <c r="J72" s="15" t="n"/>
      <c r="K72" s="188">
        <f>B72+C72+D72+E72-F72-G72-H72-I72</f>
        <v/>
      </c>
      <c r="L72" s="134" t="n"/>
      <c r="M72" s="134" t="n"/>
      <c r="N72" s="15" t="n"/>
      <c r="O72" s="15" t="n"/>
      <c r="P72" s="15" t="n"/>
      <c r="Q72" s="134">
        <f>IFERROR((L72+N72)/(M72+O72),"")</f>
        <v/>
      </c>
      <c r="R72" s="134">
        <f>IFERROR(D72*Q72,"")</f>
        <v/>
      </c>
      <c r="S72" s="134">
        <f>IFERROR(Q72*G72,"")</f>
        <v/>
      </c>
      <c r="T72" s="15" t="n"/>
    </row>
    <row r="73">
      <c r="A73" s="8" t="inlineStr">
        <is>
          <t>Poultry production</t>
        </is>
      </c>
      <c r="B73" s="196" t="n"/>
      <c r="C73" s="196" t="n"/>
      <c r="D73" s="15" t="n"/>
      <c r="E73" s="15" t="n"/>
      <c r="F73" s="15" t="n"/>
      <c r="G73" s="15" t="n"/>
      <c r="H73" s="15" t="n"/>
      <c r="I73" s="15" t="n"/>
      <c r="J73" s="15" t="n"/>
      <c r="K73" s="188">
        <f>B73+C73+D73+E73-F73-G73-H73-I73</f>
        <v/>
      </c>
      <c r="L73" s="134" t="n"/>
      <c r="M73" s="134" t="n"/>
      <c r="N73" s="15" t="n"/>
      <c r="O73" s="15" t="n"/>
      <c r="P73" s="15" t="n"/>
      <c r="Q73" s="134">
        <f>IFERROR((L73+N73)/(M73+O73),"")</f>
        <v/>
      </c>
      <c r="R73" s="134">
        <f>IFERROR(D73*Q73,"")</f>
        <v/>
      </c>
      <c r="S73" s="134">
        <f>IFERROR(Q73*G73,"")</f>
        <v/>
      </c>
      <c r="T73" s="15" t="n"/>
    </row>
    <row r="74">
      <c r="A74" s="15" t="inlineStr">
        <is>
          <t>Eggs</t>
        </is>
      </c>
      <c r="B74" s="15" t="n"/>
      <c r="C74" s="15" t="n"/>
      <c r="D74" s="15" t="n"/>
      <c r="E74" s="15" t="n"/>
      <c r="F74" s="15" t="n"/>
      <c r="G74" s="15" t="n"/>
      <c r="H74" s="15" t="n"/>
      <c r="I74" s="15" t="n"/>
      <c r="J74" s="15" t="n"/>
      <c r="K74" s="188">
        <f>B74+C74+D74+E74-F74-G74-H74-I74</f>
        <v/>
      </c>
      <c r="L74" s="134" t="n"/>
      <c r="M74" s="134" t="n"/>
      <c r="N74" s="15" t="n"/>
      <c r="O74" s="15" t="n"/>
      <c r="P74" s="15" t="n"/>
      <c r="Q74" s="134">
        <f>IFERROR((L74+N74)/(M74+O74),"")</f>
        <v/>
      </c>
      <c r="R74" s="134">
        <f>IFERROR(D74*Q74,"")</f>
        <v/>
      </c>
      <c r="S74" s="134">
        <f>IFERROR(Q74*G74,"")</f>
        <v/>
      </c>
      <c r="T74" s="15" t="n"/>
    </row>
    <row r="75">
      <c r="A75" s="15" t="inlineStr">
        <is>
          <t>Cocks &amp; hens from churchscot of customary tenants</t>
        </is>
      </c>
      <c r="B75" s="15" t="n"/>
      <c r="C75" s="15" t="n"/>
      <c r="D75" s="15" t="n"/>
      <c r="E75" s="15" t="n"/>
      <c r="F75" s="15" t="n"/>
      <c r="G75" s="15" t="n"/>
      <c r="H75" s="15" t="n"/>
      <c r="I75" s="15" t="n"/>
      <c r="J75" s="15" t="n"/>
      <c r="K75" s="188">
        <f>B75+C75+D75+E75-F75-G75-H75-I75</f>
        <v/>
      </c>
      <c r="L75" s="134" t="n"/>
      <c r="M75" s="134" t="n"/>
      <c r="N75" s="15" t="n"/>
      <c r="O75" s="15" t="n"/>
      <c r="P75" s="15" t="n"/>
      <c r="Q75" s="134">
        <f>IFERROR((L75+N75)/(M75+O75),"")</f>
        <v/>
      </c>
      <c r="R75" s="134">
        <f>IFERROR(D75*Q75,"")</f>
        <v/>
      </c>
      <c r="S75" s="134">
        <f>IFERROR(Q75*G75,"")</f>
        <v/>
      </c>
      <c r="T75" s="15" t="n"/>
    </row>
    <row r="76">
      <c r="A76" s="15" t="n"/>
      <c r="B76" s="15" t="n"/>
      <c r="C76" s="15" t="n"/>
      <c r="D76" s="15" t="n"/>
      <c r="E76" s="15" t="n"/>
      <c r="F76" s="15" t="n"/>
      <c r="G76" s="15" t="n"/>
      <c r="H76" s="15" t="n"/>
      <c r="I76" s="15" t="n"/>
      <c r="J76" s="15" t="n"/>
      <c r="K76" s="188">
        <f>B76+C76+D76+E76-F76-G76-H76-I76</f>
        <v/>
      </c>
      <c r="L76" s="134" t="n"/>
      <c r="M76" s="134" t="n"/>
      <c r="N76" s="15" t="n"/>
      <c r="O76" s="15" t="n"/>
      <c r="P76" s="15" t="n"/>
      <c r="Q76" s="134">
        <f>IFERROR((L76+N76)/(M76+O76),"")</f>
        <v/>
      </c>
      <c r="R76" s="134">
        <f>IFERROR(D76*Q76,"")</f>
        <v/>
      </c>
      <c r="S76" s="134">
        <f>IFERROR(Q76*G76,"")</f>
        <v/>
      </c>
      <c r="T76" s="15" t="n"/>
    </row>
    <row r="77">
      <c r="A77" s="15" t="n"/>
      <c r="B77" s="15" t="n"/>
      <c r="C77" s="15" t="n"/>
      <c r="D77" s="15" t="n"/>
      <c r="E77" s="15" t="n"/>
      <c r="F77" s="15" t="n"/>
      <c r="G77" s="15" t="n"/>
      <c r="H77" s="15" t="n"/>
      <c r="I77" s="15" t="n"/>
      <c r="J77" s="15" t="n"/>
      <c r="K77" s="188">
        <f>B77+C77+D77+E77-F77-G77-H77-I77</f>
        <v/>
      </c>
      <c r="L77" s="134" t="n"/>
      <c r="M77" s="134" t="n"/>
      <c r="N77" s="15" t="n"/>
      <c r="O77" s="15" t="n"/>
      <c r="P77" s="15" t="n"/>
      <c r="Q77" s="134">
        <f>IFERROR((L77+N77)/(M77+O77),"")</f>
        <v/>
      </c>
      <c r="R77" s="134">
        <f>IFERROR(D77*Q77,"")</f>
        <v/>
      </c>
      <c r="S77" s="134">
        <f>IFERROR(Q77*G77,"")</f>
        <v/>
      </c>
      <c r="T77" s="15" t="n"/>
    </row>
    <row r="78">
      <c r="A78" s="8" t="inlineStr">
        <is>
          <t>Meat</t>
        </is>
      </c>
      <c r="B78" s="15" t="n"/>
      <c r="C78" s="15" t="n"/>
      <c r="D78" s="15" t="n"/>
      <c r="E78" s="15" t="n"/>
      <c r="F78" s="15" t="n"/>
      <c r="G78" s="15" t="n"/>
      <c r="H78" s="15" t="n"/>
      <c r="I78" s="15" t="n"/>
      <c r="J78" s="15" t="n"/>
      <c r="K78" s="188">
        <f>B78+C78+D78+E78-F78-G78-H78-I78</f>
        <v/>
      </c>
      <c r="L78" s="134" t="n"/>
      <c r="M78" s="134" t="n"/>
      <c r="N78" s="15" t="n"/>
      <c r="O78" s="15" t="n"/>
      <c r="P78" s="15" t="n"/>
      <c r="Q78" s="134">
        <f>IFERROR((L78+N78)/(M78+O78),"")</f>
        <v/>
      </c>
      <c r="R78" s="134">
        <f>IFERROR(D78*Q78,"")</f>
        <v/>
      </c>
      <c r="S78" s="134">
        <f>IFERROR(Q78*G78,"")</f>
        <v/>
      </c>
      <c r="T78" s="15" t="n"/>
    </row>
    <row r="79">
      <c r="A79" s="15" t="inlineStr">
        <is>
          <t>Beef</t>
        </is>
      </c>
      <c r="B79" s="15" t="n"/>
      <c r="C79" s="15" t="n"/>
      <c r="D79" s="15" t="n"/>
      <c r="E79" s="15" t="n"/>
      <c r="F79" s="15" t="n"/>
      <c r="G79" s="15" t="n"/>
      <c r="H79" s="15" t="n"/>
      <c r="I79" s="15" t="n"/>
      <c r="J79" s="15" t="n"/>
      <c r="K79" s="188">
        <f>B79+C79+D79+E79-F79-G79-H79-I79</f>
        <v/>
      </c>
      <c r="L79" s="134" t="n"/>
      <c r="M79" s="134" t="n"/>
      <c r="N79" s="15" t="n"/>
      <c r="O79" s="15" t="n"/>
      <c r="P79" s="15" t="n"/>
      <c r="Q79" s="134">
        <f>IFERROR((L79+N79)/(M79+O79),"")</f>
        <v/>
      </c>
      <c r="R79" s="134">
        <f>IFERROR(D79*Q79,"")</f>
        <v/>
      </c>
      <c r="S79" s="134">
        <f>IFERROR(Q79*G79,"")</f>
        <v/>
      </c>
      <c r="T79" s="15" t="n"/>
    </row>
    <row r="80">
      <c r="A80" s="15" t="inlineStr">
        <is>
          <t>Mutton</t>
        </is>
      </c>
      <c r="B80" s="15" t="n"/>
      <c r="C80" s="15" t="n"/>
      <c r="D80" s="15" t="n"/>
      <c r="E80" s="15" t="n"/>
      <c r="F80" s="15" t="n"/>
      <c r="G80" s="15" t="n"/>
      <c r="H80" s="15" t="n"/>
      <c r="I80" s="15" t="n"/>
      <c r="J80" s="15" t="n"/>
      <c r="K80" s="188">
        <f>B80+C80+D80+E80-F80-G80-H80-I80</f>
        <v/>
      </c>
      <c r="L80" s="134" t="n"/>
      <c r="M80" s="134" t="n"/>
      <c r="N80" s="15" t="n"/>
      <c r="O80" s="15" t="n"/>
      <c r="P80" s="15" t="n"/>
      <c r="Q80" s="134">
        <f>IFERROR((L80+N80)/(M80+O80),"")</f>
        <v/>
      </c>
      <c r="R80" s="134">
        <f>IFERROR(D80*Q80,"")</f>
        <v/>
      </c>
      <c r="S80" s="134">
        <f>IFERROR(Q80*G80,"")</f>
        <v/>
      </c>
      <c r="T80" s="15" t="n"/>
    </row>
    <row r="81">
      <c r="A81" s="15" t="inlineStr">
        <is>
          <t>Pork</t>
        </is>
      </c>
      <c r="B81" s="15" t="n"/>
      <c r="C81" s="15" t="n"/>
      <c r="D81" s="15" t="n"/>
      <c r="E81" s="15" t="n"/>
      <c r="F81" s="15" t="n"/>
      <c r="G81" s="15" t="n"/>
      <c r="H81" s="15" t="n"/>
      <c r="I81" s="15" t="n"/>
      <c r="J81" s="15" t="n"/>
      <c r="K81" s="188">
        <f>B81+C81+D81+E81-F81-G81-H81-I81</f>
        <v/>
      </c>
      <c r="L81" s="134" t="n"/>
      <c r="M81" s="134" t="n"/>
      <c r="N81" s="15" t="n"/>
      <c r="O81" s="15" t="n"/>
      <c r="P81" s="15" t="n"/>
      <c r="Q81" s="134">
        <f>IFERROR((L81+N81)/(M81+O81),"")</f>
        <v/>
      </c>
      <c r="R81" s="134">
        <f>IFERROR(D81*Q81,"")</f>
        <v/>
      </c>
      <c r="S81" s="134">
        <f>IFERROR(Q81*G81,"")</f>
        <v/>
      </c>
      <c r="T81" s="15" t="n"/>
    </row>
    <row r="82">
      <c r="A82" s="15" t="n"/>
      <c r="B82" s="15" t="n"/>
      <c r="C82" s="15" t="n"/>
      <c r="D82" s="15" t="n"/>
      <c r="E82" s="15" t="n"/>
      <c r="F82" s="15" t="n"/>
      <c r="G82" s="15" t="n"/>
      <c r="H82" s="15" t="n"/>
      <c r="I82" s="15" t="n"/>
      <c r="J82" s="15" t="n"/>
      <c r="K82" s="188">
        <f>B82+C82+D82+E82-F82-G82-H82-I82</f>
        <v/>
      </c>
      <c r="L82" s="134" t="n"/>
      <c r="M82" s="134" t="n"/>
      <c r="N82" s="15" t="n"/>
      <c r="O82" s="15" t="n"/>
      <c r="P82" s="15" t="n"/>
      <c r="Q82" s="134">
        <f>IFERROR((L82+N82)/(M82+O82),"")</f>
        <v/>
      </c>
      <c r="R82" s="134">
        <f>IFERROR(D82*Q82,"")</f>
        <v/>
      </c>
      <c r="S82" s="134">
        <f>IFERROR(Q82*G82,"")</f>
        <v/>
      </c>
      <c r="T82" s="15" t="n"/>
    </row>
    <row r="83">
      <c r="A83" s="15" t="n"/>
      <c r="B83" s="15" t="n"/>
      <c r="C83" s="15" t="n"/>
      <c r="D83" s="15" t="n"/>
      <c r="E83" s="15" t="n"/>
      <c r="F83" s="15" t="n"/>
      <c r="G83" s="15" t="n"/>
      <c r="H83" s="15" t="n"/>
      <c r="I83" s="15" t="n"/>
      <c r="J83" s="15" t="n"/>
      <c r="K83" s="188">
        <f>B83+C83+D83+E83-F83-G83-H83-I83</f>
        <v/>
      </c>
      <c r="L83" s="134" t="n"/>
      <c r="M83" s="134" t="n"/>
      <c r="N83" s="15" t="n"/>
      <c r="O83" s="15" t="n"/>
      <c r="P83" s="15" t="n"/>
      <c r="Q83" s="134">
        <f>IFERROR((L83+N83)/(M83+O83),"")</f>
        <v/>
      </c>
      <c r="R83" s="134">
        <f>IFERROR(D83*Q83,"")</f>
        <v/>
      </c>
      <c r="S83" s="134">
        <f>IFERROR(Q83*G83,"")</f>
        <v/>
      </c>
      <c r="T83" s="15" t="n"/>
    </row>
    <row r="84">
      <c r="A84" s="8" t="inlineStr">
        <is>
          <t>Cheese</t>
        </is>
      </c>
      <c r="B84" s="196" t="n"/>
      <c r="C84" s="196" t="n"/>
      <c r="D84" s="15" t="n"/>
      <c r="E84" s="15" t="n"/>
      <c r="F84" s="15" t="n"/>
      <c r="G84" s="15" t="n"/>
      <c r="H84" s="15" t="n"/>
      <c r="I84" s="15" t="n"/>
      <c r="J84" s="15" t="n"/>
      <c r="K84" s="188">
        <f>B84+C84+D84+E84-F84-G84-H84-I84</f>
        <v/>
      </c>
      <c r="L84" s="134" t="n"/>
      <c r="M84" s="134" t="n"/>
      <c r="N84" s="15" t="n"/>
      <c r="O84" s="15" t="n"/>
      <c r="P84" s="15" t="n"/>
      <c r="Q84" s="134">
        <f>IFERROR((L84+N84)/(M84+O84),"")</f>
        <v/>
      </c>
      <c r="R84" s="134">
        <f>IFERROR(D84*Q84,"")</f>
        <v/>
      </c>
      <c r="S84" s="134">
        <f>IFERROR(Q84*G84,"")</f>
        <v/>
      </c>
      <c r="T84" s="15" t="n"/>
    </row>
    <row r="85">
      <c r="A85" s="15" t="inlineStr">
        <is>
          <t>Winter cheese</t>
        </is>
      </c>
      <c r="B85" s="15" t="n"/>
      <c r="C85" s="15" t="n"/>
      <c r="D85" s="15">
        <f>5*0.04+1*Assumptions!$E$4</f>
        <v/>
      </c>
      <c r="E85" s="15" t="n"/>
      <c r="F85" s="15" t="n"/>
      <c r="G85" s="15">
        <f>5*0.04+1*Assumptions!$E$4</f>
        <v/>
      </c>
      <c r="H85" s="15" t="n"/>
      <c r="I85" s="15" t="n"/>
      <c r="J85" s="15" t="n"/>
      <c r="K85" s="188">
        <f>B85+C85+D85+E85-F85-G85-H85-I85</f>
        <v/>
      </c>
      <c r="L85" s="134">
        <f>'Crawley Receipts'!F68</f>
        <v/>
      </c>
      <c r="M85" s="15">
        <f>5*0.04+1*Assumptions!$E$4</f>
        <v/>
      </c>
      <c r="N85" s="15" t="n"/>
      <c r="O85" s="15" t="n"/>
      <c r="P85" s="15">
        <f>5*0.04+1*Assumptions!$E$4</f>
        <v/>
      </c>
      <c r="Q85" s="134">
        <f>IFERROR((L85+N85)/(M85+O85),"")</f>
        <v/>
      </c>
      <c r="R85" s="134">
        <f>IFERROR(D85*Q85,"")</f>
        <v/>
      </c>
      <c r="S85" s="134">
        <f>IFERROR(Q85*G85,"")</f>
        <v/>
      </c>
      <c r="T85" s="15" t="n"/>
    </row>
    <row r="86">
      <c r="A86" s="15" t="inlineStr">
        <is>
          <t>Summer cheese</t>
        </is>
      </c>
      <c r="B86" s="15" t="n"/>
      <c r="C86" s="15" t="n"/>
      <c r="D86" s="15" t="n">
        <v>168</v>
      </c>
      <c r="E86" s="15" t="n"/>
      <c r="F86" s="15" t="n"/>
      <c r="G86" s="15" t="n">
        <v>148</v>
      </c>
      <c r="H86" s="15" t="n"/>
      <c r="I86" s="15" t="n">
        <v>20</v>
      </c>
      <c r="J86" s="15" t="n"/>
      <c r="K86" s="188">
        <f>B86+C86+D86+E86-F86-G86-H86-I86</f>
        <v/>
      </c>
      <c r="L86" s="134">
        <f>'Crawley Receipts'!F69</f>
        <v/>
      </c>
      <c r="M86" s="134">
        <f>P86</f>
        <v/>
      </c>
      <c r="N86" s="15" t="n"/>
      <c r="O86" s="15" t="n"/>
      <c r="P86" s="15">
        <f>7.5+12*0.04</f>
        <v/>
      </c>
      <c r="Q86" s="134">
        <f>IFERROR((L86+N86)/(M86+O86),"")</f>
        <v/>
      </c>
      <c r="R86" s="134">
        <f>IFERROR(D86*Q86,"")</f>
        <v/>
      </c>
      <c r="S86" s="134">
        <f>IFERROR(Q86*G86,"")</f>
        <v/>
      </c>
      <c r="T86" s="15" t="n"/>
    </row>
    <row r="87">
      <c r="A87" s="193" t="inlineStr">
        <is>
          <t>Total</t>
        </is>
      </c>
      <c r="B87" s="193" t="n"/>
      <c r="C87" s="193" t="n"/>
      <c r="D87" s="193" t="n"/>
      <c r="E87" s="193" t="n"/>
      <c r="F87" s="193" t="n"/>
      <c r="G87" s="193" t="n"/>
      <c r="H87" s="193" t="n"/>
      <c r="I87" s="193" t="n"/>
      <c r="J87" s="193" t="n"/>
      <c r="K87" s="194">
        <f>B87+C87+D87+E87-F87-G87-H87-I87</f>
        <v/>
      </c>
      <c r="L87" s="195" t="n"/>
      <c r="M87" s="195" t="n"/>
      <c r="N87" s="193" t="n"/>
      <c r="O87" s="193" t="n"/>
      <c r="P87" s="193" t="n"/>
      <c r="Q87" s="195">
        <f>IFERROR((L87+N87)/(M87+O87),"")</f>
        <v/>
      </c>
      <c r="R87" s="195">
        <f>IFERROR(D87*Q87,"")</f>
        <v/>
      </c>
      <c r="S87" s="195">
        <f>SUM(S85:S86)</f>
        <v/>
      </c>
      <c r="T87" s="193" t="n"/>
    </row>
    <row r="88">
      <c r="A88" s="15" t="n"/>
      <c r="B88" s="15" t="n"/>
      <c r="C88" s="15" t="n"/>
      <c r="D88" s="15" t="n"/>
      <c r="E88" s="15" t="n"/>
      <c r="F88" s="15" t="n"/>
      <c r="G88" s="15" t="n"/>
      <c r="H88" s="15" t="n"/>
      <c r="I88" s="15" t="n"/>
      <c r="J88" s="15" t="n"/>
      <c r="K88" s="188">
        <f>B88+C88+D88+E88-F88-G88-H88-I88</f>
        <v/>
      </c>
      <c r="L88" s="134" t="n"/>
      <c r="M88" s="134" t="n"/>
      <c r="N88" s="15" t="n"/>
      <c r="O88" s="15" t="n"/>
      <c r="P88" s="15" t="n"/>
      <c r="Q88" s="134">
        <f>IFERROR((L88+N88)/(M88+O88),"")</f>
        <v/>
      </c>
      <c r="R88" s="134">
        <f>IFERROR(D88*Q88,"")</f>
        <v/>
      </c>
      <c r="S88" s="134">
        <f>IFERROR(Q88*G88,"")</f>
        <v/>
      </c>
      <c r="T88" s="15" t="n"/>
    </row>
    <row r="89">
      <c r="A89" s="8" t="inlineStr">
        <is>
          <t>Butter</t>
        </is>
      </c>
      <c r="B89" s="196" t="n"/>
      <c r="C89" s="196" t="n"/>
      <c r="D89" s="15">
        <f>15*0.04+5*Assumptions!$E$4</f>
        <v/>
      </c>
      <c r="E89" s="15" t="n"/>
      <c r="F89" s="15" t="n"/>
      <c r="G89" s="15">
        <f>15*0.04+5*Assumptions!$E$4</f>
        <v/>
      </c>
      <c r="H89" s="15" t="n"/>
      <c r="I89" s="15" t="n"/>
      <c r="J89" s="15" t="n"/>
      <c r="K89" s="188">
        <f>B89+C89+D89+E89-F89-G89-H89-I89</f>
        <v/>
      </c>
      <c r="L89" s="134" t="n"/>
      <c r="M89" s="15">
        <f>15*0.04+5*Assumptions!$E$4</f>
        <v/>
      </c>
      <c r="N89" s="15" t="n"/>
      <c r="P89" s="15">
        <f>15*0.04+5*Assumptions!$E$4</f>
        <v/>
      </c>
      <c r="Q89" s="134">
        <f>IFERROR((L89+N89)/(M89+O89),"")</f>
        <v/>
      </c>
      <c r="R89" s="134">
        <f>IFERROR(D89*Q89,"")</f>
        <v/>
      </c>
      <c r="S89" s="134">
        <f>IFERROR(Q89*G89,"")</f>
        <v/>
      </c>
      <c r="T89" s="15" t="n"/>
    </row>
    <row r="90">
      <c r="A90" s="193" t="inlineStr">
        <is>
          <t>Total</t>
        </is>
      </c>
      <c r="B90" s="193" t="n"/>
      <c r="C90" s="193" t="n"/>
      <c r="D90" s="193" t="n"/>
      <c r="E90" s="193" t="n"/>
      <c r="F90" s="193" t="n"/>
      <c r="G90" s="193" t="n"/>
      <c r="H90" s="193" t="n"/>
      <c r="I90" s="193" t="n"/>
      <c r="J90" s="193" t="n"/>
      <c r="K90" s="194">
        <f>B90+C90+D90+E90-F90-G90-H90-I90</f>
        <v/>
      </c>
      <c r="L90" s="195" t="n"/>
      <c r="M90" s="195" t="n"/>
      <c r="N90" s="193" t="n"/>
      <c r="O90" s="193" t="n"/>
      <c r="P90" s="193" t="n"/>
      <c r="Q90" s="195">
        <f>IFERROR((L90+N90)/(M90+O90),"")</f>
        <v/>
      </c>
      <c r="R90" s="195">
        <f>IFERROR(D90*Q90,"")</f>
        <v/>
      </c>
      <c r="S90" s="195">
        <f>SUM(S89)</f>
        <v/>
      </c>
      <c r="T90" s="193" t="n"/>
    </row>
    <row r="91">
      <c r="A91" s="15" t="n"/>
      <c r="B91" s="15" t="n"/>
      <c r="C91" s="15" t="n"/>
      <c r="D91" s="15" t="n"/>
      <c r="E91" s="15" t="n"/>
      <c r="F91" s="15" t="n"/>
      <c r="G91" s="15" t="n"/>
      <c r="H91" s="15" t="n"/>
      <c r="I91" s="15" t="n"/>
      <c r="J91" s="15" t="n"/>
      <c r="K91" s="188">
        <f>B91+C91+D91+E91-F91-G91-H91-I91</f>
        <v/>
      </c>
      <c r="L91" s="134" t="n"/>
      <c r="M91" s="134" t="n"/>
      <c r="N91" s="15" t="n"/>
      <c r="O91" s="15" t="n"/>
      <c r="P91" s="15" t="n"/>
      <c r="Q91" s="134">
        <f>IFERROR((L91+N91)/(M91+O91),"")</f>
        <v/>
      </c>
      <c r="R91" s="134">
        <f>IFERROR(D91*Q91,"")</f>
        <v/>
      </c>
      <c r="S91" s="134">
        <f>IFERROR(Q91*G91,"")</f>
        <v/>
      </c>
      <c r="T91" s="15" t="n"/>
    </row>
    <row r="92">
      <c r="A92" s="8" t="inlineStr">
        <is>
          <t>Cider</t>
        </is>
      </c>
      <c r="B92" s="15" t="n"/>
      <c r="C92" s="15" t="n"/>
      <c r="D92" s="15" t="n"/>
      <c r="E92" s="15" t="n"/>
      <c r="F92" s="15" t="n"/>
      <c r="G92" s="15" t="n"/>
      <c r="H92" s="15" t="n"/>
      <c r="I92" s="15" t="n"/>
      <c r="J92" s="15" t="n"/>
      <c r="K92" s="188">
        <f>B92+C92+D92+E92-F92-G92-H92-I92</f>
        <v/>
      </c>
      <c r="L92" s="134" t="n"/>
      <c r="M92" s="134" t="n"/>
      <c r="N92" s="15" t="n"/>
      <c r="O92" s="15" t="n"/>
      <c r="P92" s="15" t="n"/>
      <c r="Q92" s="134">
        <f>IFERROR((L92+N92)/(M92+O92),"")</f>
        <v/>
      </c>
      <c r="R92" s="134">
        <f>IFERROR(D92*Q92,"")</f>
        <v/>
      </c>
      <c r="S92" s="134">
        <f>IFERROR(Q92*G92,"")</f>
        <v/>
      </c>
      <c r="T92" s="15" t="n"/>
    </row>
    <row r="93">
      <c r="A93" s="15" t="n"/>
      <c r="B93" s="15" t="n"/>
      <c r="C93" s="15" t="n"/>
      <c r="D93" s="15" t="n"/>
      <c r="E93" s="15" t="n"/>
      <c r="F93" s="15" t="n"/>
      <c r="G93" s="15" t="n"/>
      <c r="H93" s="15" t="n"/>
      <c r="I93" s="15" t="n"/>
      <c r="J93" s="15" t="n"/>
      <c r="K93" s="188">
        <f>B93+C93+D93+E93-F93-G93-H93-I93</f>
        <v/>
      </c>
      <c r="L93" s="134" t="n"/>
      <c r="M93" s="134" t="n"/>
      <c r="N93" s="15" t="n"/>
      <c r="O93" s="15" t="n"/>
      <c r="P93" s="15" t="n"/>
      <c r="Q93" s="134">
        <f>IFERROR((L93+N93)/(M93+O93),"")</f>
        <v/>
      </c>
      <c r="R93" s="134">
        <f>IFERROR(D93*Q93,"")</f>
        <v/>
      </c>
      <c r="S93" s="134">
        <f>IFERROR(Q93*G93,"")</f>
        <v/>
      </c>
      <c r="T93" s="15" t="n"/>
    </row>
    <row r="94">
      <c r="A94" s="15" t="n"/>
      <c r="B94" s="15" t="n"/>
      <c r="C94" s="15" t="n"/>
      <c r="D94" s="15" t="n"/>
      <c r="E94" s="15" t="n"/>
      <c r="F94" s="15" t="n"/>
      <c r="G94" s="15" t="n"/>
      <c r="H94" s="15" t="n"/>
      <c r="I94" s="15" t="n"/>
      <c r="J94" s="15" t="n"/>
      <c r="K94" s="188">
        <f>B94+C94+D94+E94-F94-G94-H94-I94</f>
        <v/>
      </c>
      <c r="L94" s="134" t="n"/>
      <c r="M94" s="134" t="n"/>
      <c r="N94" s="15" t="n"/>
      <c r="O94" s="15" t="n"/>
      <c r="P94" s="15" t="n"/>
      <c r="Q94" s="134">
        <f>IFERROR((L94+N94)/(M94+O94),"")</f>
        <v/>
      </c>
      <c r="R94" s="134">
        <f>IFERROR(D94*Q94,"")</f>
        <v/>
      </c>
      <c r="S94" s="134">
        <f>IFERROR(Q94*G94,"")</f>
        <v/>
      </c>
      <c r="T94" s="15" t="n"/>
    </row>
    <row r="95">
      <c r="A95" s="15" t="n"/>
      <c r="B95" s="15" t="n"/>
      <c r="C95" s="15" t="n"/>
      <c r="D95" s="15" t="n"/>
      <c r="E95" s="15" t="n"/>
      <c r="F95" s="15" t="n"/>
      <c r="G95" s="15" t="n"/>
      <c r="H95" s="15" t="n"/>
      <c r="I95" s="15" t="n"/>
      <c r="J95" s="15" t="n"/>
      <c r="K95" s="188">
        <f>B95+C95+D95+E95-F95-G95-H95-I95</f>
        <v/>
      </c>
      <c r="L95" s="134" t="n"/>
      <c r="M95" s="134" t="n"/>
      <c r="N95" s="15" t="n"/>
      <c r="O95" s="15" t="n"/>
      <c r="P95" s="15" t="n"/>
      <c r="Q95" s="134">
        <f>IFERROR((L95+N95)/(M95+O95),"")</f>
        <v/>
      </c>
      <c r="R95" s="134">
        <f>IFERROR(D95*Q95,"")</f>
        <v/>
      </c>
      <c r="S95" s="134">
        <f>IFERROR(Q95*G95,"")</f>
        <v/>
      </c>
      <c r="T95" s="15" t="n"/>
    </row>
    <row r="96">
      <c r="B96" s="196" t="n"/>
      <c r="C96" s="196" t="n"/>
      <c r="D96" s="15" t="n"/>
      <c r="E96" s="15" t="n"/>
      <c r="F96" s="15" t="n"/>
      <c r="G96" s="15" t="n"/>
      <c r="H96" s="15" t="n"/>
      <c r="I96" s="15" t="n"/>
      <c r="J96" s="15" t="n"/>
      <c r="K96" s="188" t="n"/>
      <c r="L96" s="134" t="n"/>
      <c r="M96" s="134" t="n"/>
      <c r="N96" s="15" t="n"/>
      <c r="O96" s="15" t="n"/>
      <c r="P96" s="15" t="n"/>
      <c r="Q96" s="134">
        <f>IFERROR((L96+N96)/(M96+O96),"")</f>
        <v/>
      </c>
      <c r="R96" s="134">
        <f>IFERROR(D96*Q96,"")</f>
        <v/>
      </c>
      <c r="S96" s="134">
        <f>IFERROR(Q96*G96,"")</f>
        <v/>
      </c>
      <c r="T96" s="15" t="n"/>
    </row>
    <row r="97">
      <c r="Q97" s="134">
        <f>IFERROR((L97+N97)/(M97+O97),"")</f>
        <v/>
      </c>
      <c r="R97" s="134">
        <f>IFERROR(D97*Q97,"")</f>
        <v/>
      </c>
      <c r="S97" s="134">
        <f>IFERROR(Q97*G97,"")</f>
        <v/>
      </c>
    </row>
    <row r="98">
      <c r="A98" s="12"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7"/>
  <sheetViews>
    <sheetView topLeftCell="A1" workbookViewId="0">
      <selection activeCell="A1" sqref="A1"/>
    </sheetView>
  </sheetViews>
  <sheetFormatPr baseColWidth="8" defaultRowHeight="15"/>
  <sheetData>
    <row r="1">
      <c r="A1" t="inlineStr">
        <is>
          <t>ASSUMPTIONS</t>
        </is>
      </c>
    </row>
    <row r="2"/>
    <row r="3">
      <c r="B3" s="12" t="inlineStr">
        <is>
          <t>Weights</t>
        </is>
      </c>
      <c r="C3" s="12" t="inlineStr">
        <is>
          <t>Value (in lbs)</t>
        </is>
      </c>
      <c r="D3" s="12" t="inlineStr">
        <is>
          <t>Value (in cloves)</t>
        </is>
      </c>
      <c r="E3" s="12" t="inlineStr">
        <is>
          <t>Value (in weys)</t>
        </is>
      </c>
      <c r="F3" s="12" t="inlineStr">
        <is>
          <t>Value (in stone)</t>
        </is>
      </c>
    </row>
    <row r="4">
      <c r="B4" s="12" t="inlineStr">
        <is>
          <t>Lbs</t>
        </is>
      </c>
      <c r="C4" t="n">
        <v>1</v>
      </c>
      <c r="D4">
        <f>C4/C5</f>
        <v/>
      </c>
      <c r="E4">
        <f>C4/C6</f>
        <v/>
      </c>
      <c r="F4">
        <f>C4/C7</f>
        <v/>
      </c>
    </row>
    <row r="5">
      <c r="B5" s="12" t="inlineStr">
        <is>
          <t>Cloves</t>
        </is>
      </c>
      <c r="C5" t="n">
        <v>7</v>
      </c>
      <c r="D5" t="n">
        <v>1</v>
      </c>
      <c r="E5">
        <f>C5/C6</f>
        <v/>
      </c>
      <c r="F5">
        <f>C7/C5</f>
        <v/>
      </c>
    </row>
    <row r="6">
      <c r="B6" s="12" t="inlineStr">
        <is>
          <t>Wey</t>
        </is>
      </c>
      <c r="C6" t="n">
        <v>175</v>
      </c>
      <c r="D6">
        <f>C6/C5</f>
        <v/>
      </c>
      <c r="E6">
        <f>C6/C6</f>
        <v/>
      </c>
      <c r="F6">
        <f>C7/C6</f>
        <v/>
      </c>
    </row>
    <row r="7">
      <c r="B7" s="12" t="inlineStr">
        <is>
          <t>Stone</t>
        </is>
      </c>
      <c r="C7">
        <f>175/14</f>
        <v/>
      </c>
      <c r="D7">
        <f>C5/C7</f>
        <v/>
      </c>
      <c r="E7">
        <f>C7/C6</f>
        <v/>
      </c>
      <c r="F7"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2025-12-18T10:16:59Z</dcterms:modified>
  <cp:lastModifiedBy>Kowalski, Kuba</cp:lastModifiedBy>
</cp:coreProperties>
</file>
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Harwell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color rgb="FFFF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9" fillId="0" borderId="0" pivotButton="0" quotePrefix="0" xfId="0"/>
    <xf numFmtId="2" fontId="0" fillId="5" borderId="0" pivotButton="0" quotePrefix="0" xfId="0"/>
    <xf numFmtId="0" fontId="28" fillId="5" borderId="0" pivotButton="0" quotePrefix="0" xfId="0"/>
    <xf numFmtId="0" fontId="20" fillId="5" borderId="0" pivotButton="0" quotePrefix="0" xfId="0"/>
    <xf numFmtId="0" fontId="0" fillId="0" borderId="17" pivotButton="0" quotePrefix="0" xfId="0"/>
    <xf numFmtId="2" fontId="0" fillId="0" borderId="18" pivotButton="0" quotePrefix="0" xfId="0"/>
    <xf numFmtId="0" fontId="0" fillId="0" borderId="18" pivotButton="0" quotePrefix="0" xfId="0"/>
    <xf numFmtId="10" fontId="0" fillId="0" borderId="18" pivotButton="0" quotePrefix="0" xfId="0"/>
    <xf numFmtId="0" fontId="0" fillId="0" borderId="19" pivotButton="0" quotePrefix="0" xfId="0"/>
    <xf numFmtId="2" fontId="9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top"/>
    </xf>
    <xf numFmtId="2" fontId="29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30" fillId="0" borderId="0" pivotButton="0" quotePrefix="0" xfId="0"/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0" fontId="31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0" fontId="0" fillId="0" borderId="3" pivotButton="0" quotePrefix="0" xfId="0"/>
    <xf numFmtId="2" fontId="9" fillId="0" borderId="0" applyAlignment="1" pivotButton="0" quotePrefix="0" xfId="0">
      <alignment horizontal="right" wrapText="1"/>
    </xf>
    <xf numFmtId="2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2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HARWELL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27.17</v>
      </c>
      <c r="D4" s="13" t="n"/>
      <c r="E4" s="13" t="n"/>
    </row>
    <row r="5">
      <c r="A5" s="15" t="inlineStr">
        <is>
          <t>Rents of assize total</t>
        </is>
      </c>
      <c r="B5" s="76" t="n">
        <v>16.62</v>
      </c>
    </row>
    <row r="6">
      <c r="A6" s="15" t="inlineStr">
        <is>
          <t>Quittances total</t>
        </is>
      </c>
      <c r="B6" s="76" t="n">
        <v>0.85</v>
      </c>
    </row>
    <row r="7">
      <c r="A7" s="15" t="inlineStr">
        <is>
          <t>Defaults of rent total</t>
        </is>
      </c>
      <c r="B7" s="76" t="n">
        <v>0.15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1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0.06</v>
      </c>
    </row>
    <row r="15">
      <c r="A15" s="15" t="inlineStr">
        <is>
          <t>Issues of the Manor total</t>
        </is>
      </c>
      <c r="B15" s="76" t="n">
        <v>6.164166666666667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27.22</v>
      </c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/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1.89</v>
      </c>
    </row>
    <row r="31">
      <c r="A31" s="15" t="inlineStr">
        <is>
          <t>Purchase of corn total</t>
        </is>
      </c>
      <c r="B31" t="n">
        <v>0.44875</v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>
        <v>1.18625</v>
      </c>
    </row>
    <row r="37">
      <c r="A37" s="15" t="inlineStr">
        <is>
          <t>Threshing total</t>
        </is>
      </c>
      <c r="B37" t="n">
        <v>1.449375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14.29</v>
      </c>
    </row>
    <row r="45">
      <c r="A45" s="82" t="inlineStr">
        <is>
          <t>Total of all expenses (calculated here)</t>
        </is>
      </c>
      <c r="B45" s="84" t="n">
        <v>14.07395833333333</v>
      </c>
    </row>
    <row r="46">
      <c r="A46" s="82" t="inlineStr">
        <is>
          <t>Total fixed investment</t>
        </is>
      </c>
      <c r="B46" s="84" t="n">
        <v>3.355416666666667</v>
      </c>
    </row>
    <row r="47">
      <c r="A47" s="82" t="inlineStr">
        <is>
          <t>Total Demesne fixed investment</t>
        </is>
      </c>
      <c r="B47" s="84" t="n">
        <v>3.030416666666667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14.29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33.5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95.875</v>
      </c>
      <c r="E62" t="n">
        <v>19.39493212669684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B64" t="n">
        <v>54.625</v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B66" t="n">
        <v>49.75</v>
      </c>
      <c r="E66" t="n">
        <v>2.655186721991702</v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B68" t="n">
        <v>5.25</v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  <c r="B70" t="n">
        <v>4.375</v>
      </c>
      <c r="E70" t="n">
        <v>0.03125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2</v>
      </c>
      <c r="C87" s="76" t="n">
        <v>2</v>
      </c>
      <c r="D87" s="76" t="n">
        <v>0</v>
      </c>
      <c r="F87" s="84" t="n">
        <v>1.8</v>
      </c>
      <c r="G87" s="84" t="n">
        <v>0</v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/>
      <c r="C89" s="76" t="n"/>
      <c r="D89" s="76">
        <f>C89-B89</f>
        <v/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24</v>
      </c>
      <c r="C94" s="76" t="n">
        <v>24</v>
      </c>
      <c r="D94" s="76" t="n">
        <v>0</v>
      </c>
      <c r="F94" s="84" t="n">
        <v>9.600000000000001</v>
      </c>
      <c r="G94" s="84" t="n">
        <v>0</v>
      </c>
    </row>
    <row r="95">
      <c r="A95" s="15" t="inlineStr">
        <is>
          <t>Bulls</t>
        </is>
      </c>
      <c r="B95" s="76" t="n"/>
      <c r="C95" s="76" t="n"/>
      <c r="D95" s="76">
        <f>C95-B95</f>
        <v/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/>
      <c r="C96" s="76" t="n"/>
      <c r="D96" s="76">
        <f>C96-B96</f>
        <v/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/>
      <c r="C97" s="76" t="n"/>
      <c r="D97" s="76">
        <f>C97-B97</f>
        <v/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/>
      <c r="C98" s="76" t="n"/>
      <c r="D98" s="76">
        <f>C98-B98</f>
        <v/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/>
      <c r="C99" s="76" t="n"/>
      <c r="D99" s="76">
        <f>C99-B99</f>
        <v/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/>
      <c r="C100" s="76" t="n"/>
      <c r="D100" s="76">
        <f>C100-B100</f>
        <v/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>
        <v>1</v>
      </c>
      <c r="D108" s="76">
        <f>C108-B108</f>
        <v/>
      </c>
      <c r="F108" s="84" t="n">
        <v>0.15</v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>
        <v>8</v>
      </c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3</v>
      </c>
      <c r="C112" s="76" t="n">
        <v>2</v>
      </c>
      <c r="D112" s="76" t="n">
        <v>-1</v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  <c r="F119">
        <f>C119*'Stock'!O35</f>
        <v/>
      </c>
    </row>
    <row r="120">
      <c r="A120" s="15" t="inlineStr">
        <is>
          <t>Lamb's wool</t>
        </is>
      </c>
      <c r="F120">
        <f>C120*'Stock'!O36</f>
        <v/>
      </c>
    </row>
    <row r="121">
      <c r="A121" s="15" t="inlineStr">
        <is>
          <t>Wool locks</t>
        </is>
      </c>
      <c r="F121">
        <f>C121*'Stock'!O37</f>
        <v/>
      </c>
    </row>
    <row r="122">
      <c r="A122" s="15" t="inlineStr">
        <is>
          <t>Wool sold at shearing</t>
        </is>
      </c>
      <c r="F122">
        <f>C122*'Stock'!O38</f>
        <v/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 t="n">
        <v>0</v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>
        <f>C152*'Stock'!O68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>
        <f>C153*'Stock'!O69</f>
        <v/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>
        <f>C154*'Stock'!O70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>
        <f>C160*'Stock'!O76</f>
        <v/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>
        <f>C166*'Stock'!O93</f>
        <v/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>
        <f>C167*'Stock'!O88</f>
        <v/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>
        <f>C168*'Stock'!O89</f>
        <v/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30.83203125" customWidth="1" min="5" max="5"/>
    <col width="29.33203125" customWidth="1" min="6" max="6"/>
  </cols>
  <sheetData>
    <row r="1">
      <c r="A1" s="8" t="inlineStr">
        <is>
          <t>HARWELL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  <c r="B23" s="72">
        <f>Receipts!F70</f>
        <v/>
      </c>
    </row>
    <row r="24">
      <c r="A24" s="82" t="inlineStr">
        <is>
          <t>Total of all receipts (calculated here) incl arrears</t>
        </is>
      </c>
      <c r="B24" s="72">
        <f>Receipts!F71</f>
        <v/>
      </c>
    </row>
    <row r="25">
      <c r="A25" s="83" t="inlineStr">
        <is>
          <t>Total recorded in the accounts excl. arrears</t>
        </is>
      </c>
      <c r="D25" t="inlineStr">
        <is>
          <t>no total given in accounts</t>
        </is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  <c r="B44" s="72">
        <f>Expenses!F112</f>
        <v/>
      </c>
    </row>
    <row r="45">
      <c r="A45" s="82" t="inlineStr">
        <is>
          <t>Total of all expenses (calculated here)</t>
        </is>
      </c>
      <c r="B45" s="72">
        <f>Expenses!F113</f>
        <v/>
      </c>
    </row>
    <row r="46">
      <c r="A46" s="82" t="inlineStr">
        <is>
          <t>Total fixed investment</t>
        </is>
      </c>
      <c r="B46" s="72">
        <f>Expenses!F114</f>
        <v/>
      </c>
    </row>
    <row r="47">
      <c r="A47" s="82" t="inlineStr">
        <is>
          <t>Total Demesne fixed investment</t>
        </is>
      </c>
      <c r="B47" s="72">
        <f>Expenses!F115</f>
        <v/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54" t="n"/>
      <c r="E60" s="54" t="n"/>
      <c r="F60" s="55" t="n"/>
    </row>
    <row r="61">
      <c r="A61" s="8" t="inlineStr">
        <is>
          <t>Grange</t>
        </is>
      </c>
      <c r="B61" s="89" t="inlineStr">
        <is>
          <t>qrs</t>
        </is>
      </c>
      <c r="C61" s="90" t="n"/>
      <c r="D61" s="9" t="n"/>
      <c r="E61" s="127" t="inlineStr">
        <is>
          <t>Value of total gross production in £</t>
        </is>
      </c>
      <c r="F61" s="127" t="inlineStr">
        <is>
          <t>Value of total net production in £</t>
        </is>
      </c>
    </row>
    <row r="62" ht="15" customHeight="1">
      <c r="A62" t="inlineStr">
        <is>
          <t>wheat</t>
        </is>
      </c>
      <c r="B62" s="72">
        <f>'Issues of the Grange'!B2</f>
        <v/>
      </c>
      <c r="E62" s="72">
        <f>'Issues of the Grange'!I2</f>
        <v/>
      </c>
      <c r="F62" s="72">
        <f>'Issues of the Grange'!O13</f>
        <v/>
      </c>
    </row>
    <row r="63" ht="15" customHeight="1">
      <c r="A63" t="inlineStr">
        <is>
          <t>barley</t>
        </is>
      </c>
      <c r="B63" s="72">
        <f>'Issues of the Grange'!B3</f>
        <v/>
      </c>
      <c r="E63" s="72">
        <f>'Issues of the Grange'!I3</f>
        <v/>
      </c>
      <c r="F63" s="72">
        <f>'Issues of the Grange'!O14</f>
        <v/>
      </c>
    </row>
    <row r="64" ht="15" customHeight="1">
      <c r="A64" t="inlineStr">
        <is>
          <t>dredge</t>
        </is>
      </c>
      <c r="B64" s="72">
        <f>'Issues of the Grange'!B4</f>
        <v/>
      </c>
      <c r="E64" s="72">
        <f>'Issues of the Grange'!I4</f>
        <v/>
      </c>
      <c r="F64" s="72">
        <f>'Issues of the Grange'!O15</f>
        <v/>
      </c>
    </row>
    <row r="65" ht="15" customHeight="1">
      <c r="A65" t="inlineStr">
        <is>
          <t>vetches</t>
        </is>
      </c>
      <c r="B65" s="72">
        <f>'Issues of the Grange'!B5</f>
        <v/>
      </c>
      <c r="E65" s="72">
        <f>'Issues of the Grange'!I5</f>
        <v/>
      </c>
      <c r="F65" s="72">
        <f>'Issues of the Grange'!O16</f>
        <v/>
      </c>
    </row>
    <row r="66" ht="15" customHeight="1">
      <c r="A66" t="inlineStr">
        <is>
          <t>beans</t>
        </is>
      </c>
      <c r="B66" s="72">
        <f>'Issues of the Grange'!B6</f>
        <v/>
      </c>
      <c r="E66" s="72">
        <f>'Issues of the Grange'!I6</f>
        <v/>
      </c>
      <c r="F66" s="72">
        <f>'Issues of the Grange'!O17</f>
        <v/>
      </c>
    </row>
    <row r="67">
      <c r="A67" s="17" t="inlineStr">
        <is>
          <t>Total value of gross production (sum of the above)</t>
        </is>
      </c>
      <c r="B67" s="128">
        <f>SUM(E62:E66)</f>
        <v/>
      </c>
      <c r="C67" s="129" t="n"/>
      <c r="D67" s="70" t="n"/>
      <c r="E67" s="70" t="n"/>
      <c r="F67" s="70" t="n"/>
    </row>
    <row r="68">
      <c r="A68" s="17" t="inlineStr">
        <is>
          <t>Total value of net production</t>
        </is>
      </c>
      <c r="B68" s="128">
        <f>SUM(F62:F66)</f>
        <v/>
      </c>
      <c r="C68" s="129" t="n"/>
      <c r="D68" s="70" t="n"/>
      <c r="E68" s="70" t="n"/>
      <c r="F68" s="70" t="n"/>
    </row>
    <row r="69">
      <c r="A69" s="17" t="inlineStr">
        <is>
          <t>Value of sales</t>
        </is>
      </c>
      <c r="B69" s="128">
        <f>Receipts!F57</f>
        <v/>
      </c>
      <c r="C69" s="129" t="n"/>
      <c r="D69" s="70" t="n"/>
      <c r="E69" s="70" t="n"/>
      <c r="F69" s="70" t="n"/>
    </row>
    <row r="70">
      <c r="A70" s="15" t="n"/>
    </row>
    <row r="71">
      <c r="A71" s="16" t="inlineStr">
        <is>
          <t>MILL ACCOUNT</t>
        </is>
      </c>
    </row>
    <row r="72">
      <c r="A72" s="8" t="inlineStr">
        <is>
          <t>Issues of the mill</t>
        </is>
      </c>
    </row>
    <row r="73">
      <c r="A73" s="15" t="inlineStr">
        <is>
          <t>Wheat</t>
        </is>
      </c>
    </row>
    <row r="74">
      <c r="A74" s="15" t="inlineStr">
        <is>
          <t>Oatmeal</t>
        </is>
      </c>
    </row>
    <row r="75">
      <c r="A75" s="15" t="inlineStr">
        <is>
          <t>1st grade malt</t>
        </is>
      </c>
    </row>
    <row r="76">
      <c r="A76" s="15" t="inlineStr">
        <is>
          <t>2nd grade malt</t>
        </is>
      </c>
    </row>
    <row r="77">
      <c r="A77" s="15" t="inlineStr">
        <is>
          <t>Maslin</t>
        </is>
      </c>
    </row>
    <row r="78">
      <c r="A78" s="17" t="inlineStr">
        <is>
          <t>Total value of production (sum of the above)</t>
        </is>
      </c>
    </row>
    <row r="79">
      <c r="A79" s="17" t="inlineStr">
        <is>
          <t>Value of sales</t>
        </is>
      </c>
    </row>
    <row r="80">
      <c r="A80" s="15" t="n"/>
    </row>
    <row r="81">
      <c r="A81" s="92" t="inlineStr">
        <is>
          <t>STOCK ACCOUNT</t>
        </is>
      </c>
      <c r="B81" s="70" t="n"/>
    </row>
    <row r="82">
      <c r="A82" s="21" t="inlineStr">
        <is>
          <t>Livestock</t>
        </is>
      </c>
      <c r="B82" s="130" t="inlineStr">
        <is>
          <t>Sales value in £</t>
        </is>
      </c>
    </row>
    <row r="83" ht="17" customHeight="1">
      <c r="A83" s="22" t="inlineStr">
        <is>
          <t>Cart-horses</t>
        </is>
      </c>
      <c r="B83" s="72">
        <f>Stock!R5</f>
        <v/>
      </c>
    </row>
    <row r="84" ht="17" customHeight="1">
      <c r="A84" s="22" t="inlineStr">
        <is>
          <t>Mares</t>
        </is>
      </c>
      <c r="B84" s="72">
        <f>Stock!R6</f>
        <v/>
      </c>
    </row>
    <row r="85">
      <c r="A85" s="15" t="inlineStr">
        <is>
          <t>Plough horses</t>
        </is>
      </c>
      <c r="B85" s="72">
        <f>Stock!R7</f>
        <v/>
      </c>
    </row>
    <row r="86">
      <c r="A86" s="15" t="inlineStr">
        <is>
          <t>Colts (2 years)</t>
        </is>
      </c>
      <c r="B86" s="72">
        <f>Stock!R8</f>
        <v/>
      </c>
    </row>
    <row r="87">
      <c r="A87" s="15" t="inlineStr">
        <is>
          <t>Colts (2 years)</t>
        </is>
      </c>
      <c r="B87" s="72">
        <f>Stock!R9</f>
        <v/>
      </c>
    </row>
    <row r="88">
      <c r="A88" s="15" t="inlineStr">
        <is>
          <t>Colts (1 year)</t>
        </is>
      </c>
      <c r="B88" s="72">
        <f>Stock!R10</f>
        <v/>
      </c>
    </row>
    <row r="89">
      <c r="A89" s="15" t="inlineStr">
        <is>
          <t>Foals</t>
        </is>
      </c>
      <c r="B89" s="72">
        <f>Stock!R11</f>
        <v/>
      </c>
    </row>
    <row r="90">
      <c r="A90" s="15" t="inlineStr">
        <is>
          <t>Oxen</t>
        </is>
      </c>
      <c r="B90" s="72">
        <f>Stock!R12</f>
        <v/>
      </c>
    </row>
    <row r="91">
      <c r="A91" s="15" t="inlineStr">
        <is>
          <t>Bulls</t>
        </is>
      </c>
      <c r="B91" s="72">
        <f>Stock!R13</f>
        <v/>
      </c>
    </row>
    <row r="92">
      <c r="A92" s="15" t="inlineStr">
        <is>
          <t>Cows</t>
        </is>
      </c>
      <c r="B92" s="72">
        <f>Stock!R14</f>
        <v/>
      </c>
    </row>
    <row r="93">
      <c r="A93" s="15" t="inlineStr">
        <is>
          <t>Steers</t>
        </is>
      </c>
      <c r="B93" s="72">
        <f>Stock!R15</f>
        <v/>
      </c>
    </row>
    <row r="94">
      <c r="A94" s="15" t="inlineStr">
        <is>
          <t>Bullocks</t>
        </is>
      </c>
      <c r="B94" s="72">
        <f>Stock!R16</f>
        <v/>
      </c>
    </row>
    <row r="95">
      <c r="A95" s="15" t="inlineStr">
        <is>
          <t>Yearlings</t>
        </is>
      </c>
      <c r="B95" s="72">
        <f>Stock!R17</f>
        <v/>
      </c>
    </row>
    <row r="96">
      <c r="A96" s="15" t="inlineStr">
        <is>
          <t>Calves</t>
        </is>
      </c>
      <c r="B96" s="72">
        <f>Stock!R18</f>
        <v/>
      </c>
    </row>
    <row r="97">
      <c r="A97" s="15" t="inlineStr">
        <is>
          <t>Wethers</t>
        </is>
      </c>
      <c r="B97" s="72">
        <f>Stock!R19</f>
        <v/>
      </c>
    </row>
    <row r="98">
      <c r="A98" s="15" t="inlineStr">
        <is>
          <t>Rams</t>
        </is>
      </c>
      <c r="B98" s="72">
        <f>Stock!R20</f>
        <v/>
      </c>
    </row>
    <row r="99">
      <c r="A99" s="15" t="inlineStr">
        <is>
          <t>Ewes</t>
        </is>
      </c>
      <c r="B99" s="72">
        <f>Stock!R21</f>
        <v/>
      </c>
    </row>
    <row r="100">
      <c r="A100" s="15" t="inlineStr">
        <is>
          <t>Hoggs</t>
        </is>
      </c>
      <c r="B100" s="72">
        <f>Stock!R22</f>
        <v/>
      </c>
    </row>
    <row r="101">
      <c r="A101" s="15" t="inlineStr">
        <is>
          <t>Lambs</t>
        </is>
      </c>
      <c r="B101" s="72">
        <f>Stock!R23</f>
        <v/>
      </c>
    </row>
    <row r="102">
      <c r="A102" s="15" t="inlineStr">
        <is>
          <t>Boars</t>
        </is>
      </c>
      <c r="B102" s="72">
        <f>Stock!R24</f>
        <v/>
      </c>
    </row>
    <row r="103">
      <c r="A103" s="15" t="inlineStr">
        <is>
          <t>Sows</t>
        </is>
      </c>
      <c r="B103" s="72">
        <f>Stock!R25</f>
        <v/>
      </c>
    </row>
    <row r="104">
      <c r="A104" s="15" t="inlineStr">
        <is>
          <t>Pigs</t>
        </is>
      </c>
      <c r="B104" s="72">
        <f>Stock!R26</f>
        <v/>
      </c>
    </row>
    <row r="105">
      <c r="A105" s="15" t="inlineStr">
        <is>
          <t>Hoggets</t>
        </is>
      </c>
      <c r="B105" s="72">
        <f>Stock!R27</f>
        <v/>
      </c>
    </row>
    <row r="106">
      <c r="A106" s="15" t="inlineStr">
        <is>
          <t>Piglets</t>
        </is>
      </c>
      <c r="B106" s="72">
        <f>Stock!R28</f>
        <v/>
      </c>
    </row>
    <row r="107">
      <c r="A107" s="15" t="inlineStr">
        <is>
          <t>Swans</t>
        </is>
      </c>
      <c r="B107" s="72">
        <f>Stock!R29</f>
        <v/>
      </c>
    </row>
    <row r="108">
      <c r="A108" s="15" t="inlineStr">
        <is>
          <t>Peacocks</t>
        </is>
      </c>
      <c r="B108" s="72">
        <f>Stock!R30</f>
        <v/>
      </c>
    </row>
    <row r="109">
      <c r="A109" s="17" t="inlineStr">
        <is>
          <t>Total value of stock (sum of the above)</t>
        </is>
      </c>
      <c r="B109" s="70" t="n"/>
    </row>
    <row r="110">
      <c r="A110" s="17" t="inlineStr">
        <is>
          <t>Total value of production</t>
        </is>
      </c>
      <c r="B110" s="70" t="n"/>
    </row>
    <row r="111">
      <c r="A111" s="17" t="inlineStr">
        <is>
          <t>Value of sales</t>
        </is>
      </c>
      <c r="B111" s="128">
        <f>Stock!R31</f>
        <v/>
      </c>
    </row>
    <row r="112">
      <c r="A112" s="15" t="n"/>
    </row>
    <row r="113">
      <c r="A113" s="16" t="inlineStr">
        <is>
          <t>Wool</t>
        </is>
      </c>
      <c r="B113" s="130" t="inlineStr">
        <is>
          <t>Value of production at sales prices £</t>
        </is>
      </c>
    </row>
    <row r="114" ht="17" customHeight="1">
      <c r="A114" s="22" t="inlineStr">
        <is>
          <t>Fleeces</t>
        </is>
      </c>
      <c r="B114">
        <f>Stock!T35</f>
        <v/>
      </c>
    </row>
    <row r="115">
      <c r="A115" s="15" t="inlineStr">
        <is>
          <t>Coarse wool</t>
        </is>
      </c>
      <c r="B115">
        <f>Stock!T36</f>
        <v/>
      </c>
    </row>
    <row r="116">
      <c r="A116" s="15" t="inlineStr">
        <is>
          <t>Lamb's wool</t>
        </is>
      </c>
      <c r="B116">
        <f>Stock!T37</f>
        <v/>
      </c>
    </row>
    <row r="117">
      <c r="A117" s="15" t="inlineStr">
        <is>
          <t>Wool locks</t>
        </is>
      </c>
      <c r="B117">
        <f>Stock!T38</f>
        <v/>
      </c>
    </row>
    <row r="118">
      <c r="A118" s="15" t="inlineStr">
        <is>
          <t>Wool sold at shearing</t>
        </is>
      </c>
      <c r="B118">
        <f>Stock!T39</f>
        <v/>
      </c>
    </row>
    <row r="119">
      <c r="A119" s="119" t="inlineStr">
        <is>
          <t>Total value of production (sum of the above)</t>
        </is>
      </c>
      <c r="B119" s="70">
        <f>Stock!T40</f>
        <v/>
      </c>
    </row>
    <row r="120">
      <c r="A120" s="119" t="inlineStr">
        <is>
          <t>Value of sales</t>
        </is>
      </c>
      <c r="B120" s="70">
        <f>Stock!T41</f>
        <v/>
      </c>
    </row>
    <row r="121">
      <c r="A121" s="8" t="n"/>
    </row>
    <row r="122">
      <c r="A122" s="16" t="inlineStr">
        <is>
          <t>Hides</t>
        </is>
      </c>
      <c r="B122" s="130" t="inlineStr">
        <is>
          <t>Value of production at sales prices £</t>
        </is>
      </c>
    </row>
    <row r="123">
      <c r="A123" s="15" t="inlineStr">
        <is>
          <t>Ox hides</t>
        </is>
      </c>
      <c r="B123">
        <f>Stock!T43</f>
        <v/>
      </c>
    </row>
    <row r="124">
      <c r="A124" s="15" t="inlineStr">
        <is>
          <t>Cow hides</t>
        </is>
      </c>
      <c r="B124">
        <f>Stock!T44</f>
        <v/>
      </c>
    </row>
    <row r="125">
      <c r="A125" s="15" t="inlineStr">
        <is>
          <t>Mare hides</t>
        </is>
      </c>
      <c r="B125">
        <f>Stock!T45</f>
        <v/>
      </c>
    </row>
    <row r="126">
      <c r="A126" s="15" t="inlineStr">
        <is>
          <t>Steer hides</t>
        </is>
      </c>
      <c r="B126">
        <f>Stock!T46</f>
        <v/>
      </c>
    </row>
    <row r="127">
      <c r="A127" s="15" t="inlineStr">
        <is>
          <t>Yearling Calf hides</t>
        </is>
      </c>
      <c r="B127">
        <f>Stock!T47</f>
        <v/>
      </c>
    </row>
    <row r="128">
      <c r="A128" s="15" t="inlineStr">
        <is>
          <t>Calf hides</t>
        </is>
      </c>
      <c r="B128">
        <f>Stock!T48</f>
        <v/>
      </c>
    </row>
    <row r="129">
      <c r="A129" s="23" t="inlineStr">
        <is>
          <t>Pig hides</t>
        </is>
      </c>
      <c r="B129">
        <f>Stock!T49</f>
        <v/>
      </c>
    </row>
    <row r="130">
      <c r="A130" s="24" t="inlineStr">
        <is>
          <t>Wether woolskins</t>
        </is>
      </c>
      <c r="B130">
        <f>Stock!T50</f>
        <v/>
      </c>
    </row>
    <row r="131">
      <c r="A131" s="24" t="inlineStr">
        <is>
          <t>Ram woolskins</t>
        </is>
      </c>
      <c r="B131">
        <f>Stock!T51</f>
        <v/>
      </c>
    </row>
    <row r="132">
      <c r="A132" s="24" t="inlineStr">
        <is>
          <t>Ewe woolskins</t>
        </is>
      </c>
      <c r="B132">
        <f>Stock!T52</f>
        <v/>
      </c>
    </row>
    <row r="133">
      <c r="A133" s="24" t="inlineStr">
        <is>
          <t>Hogg woolskins</t>
        </is>
      </c>
      <c r="B133">
        <f>Stock!T53</f>
        <v/>
      </c>
    </row>
    <row r="134">
      <c r="A134" s="25" t="inlineStr">
        <is>
          <t>Woolskins (total)</t>
        </is>
      </c>
      <c r="B134">
        <f>Stock!T54</f>
        <v/>
      </c>
    </row>
    <row r="135">
      <c r="A135" s="24" t="inlineStr">
        <is>
          <t>Wether bareskins</t>
        </is>
      </c>
      <c r="B135">
        <f>Stock!T55</f>
        <v/>
      </c>
    </row>
    <row r="136">
      <c r="A136" s="24" t="inlineStr">
        <is>
          <t>Ram bareskins</t>
        </is>
      </c>
      <c r="B136">
        <f>Stock!T56</f>
        <v/>
      </c>
    </row>
    <row r="137">
      <c r="A137" s="24" t="inlineStr">
        <is>
          <t>Ewe bareskins</t>
        </is>
      </c>
      <c r="B137">
        <f>Stock!T57</f>
        <v/>
      </c>
    </row>
    <row r="138">
      <c r="A138" s="24" t="inlineStr">
        <is>
          <t>Hogg bareskins</t>
        </is>
      </c>
      <c r="B138">
        <f>Stock!T58</f>
        <v/>
      </c>
    </row>
    <row r="139">
      <c r="A139" s="25" t="inlineStr">
        <is>
          <t>Bareskins (total)</t>
        </is>
      </c>
      <c r="B139">
        <f>Stock!T59</f>
        <v/>
      </c>
    </row>
    <row r="140">
      <c r="A140" s="15" t="inlineStr">
        <is>
          <t>Lambskins</t>
        </is>
      </c>
      <c r="B140">
        <f>Stock!T60</f>
        <v/>
      </c>
    </row>
    <row r="141">
      <c r="A141" s="15" t="inlineStr">
        <is>
          <t>Rotted skins</t>
        </is>
      </c>
      <c r="B141">
        <f>Stock!T61</f>
        <v/>
      </c>
    </row>
    <row r="142">
      <c r="A142" s="15" t="inlineStr">
        <is>
          <t>Shorn skins</t>
        </is>
      </c>
      <c r="B142">
        <f>Stock!T62</f>
        <v/>
      </c>
    </row>
    <row r="143">
      <c r="A143" s="17" t="inlineStr">
        <is>
          <t>Total value of production (sum of the above)</t>
        </is>
      </c>
      <c r="B143" s="70">
        <f>Stock!T63</f>
        <v/>
      </c>
    </row>
    <row r="144">
      <c r="A144" s="17" t="inlineStr">
        <is>
          <t>Value of sales</t>
        </is>
      </c>
      <c r="B144" s="70">
        <f>Stock!T64</f>
        <v/>
      </c>
    </row>
    <row r="145">
      <c r="A145" s="15" t="n"/>
    </row>
    <row r="146">
      <c r="A146" s="16" t="inlineStr">
        <is>
          <t>Poultry stock</t>
        </is>
      </c>
      <c r="B146" s="130" t="inlineStr">
        <is>
          <t>Value of production at sales prices £</t>
        </is>
      </c>
    </row>
    <row r="147" ht="17" customHeight="1">
      <c r="A147" s="22" t="inlineStr">
        <is>
          <t>Hens</t>
        </is>
      </c>
      <c r="B147">
        <f>Stock!T67</f>
        <v/>
      </c>
    </row>
    <row r="148">
      <c r="A148" s="15" t="inlineStr">
        <is>
          <t>Geese</t>
        </is>
      </c>
    </row>
    <row r="149">
      <c r="A149" s="15" t="inlineStr">
        <is>
          <t>Capons (from chickens)</t>
        </is>
      </c>
    </row>
    <row r="150">
      <c r="A150" s="15" t="inlineStr">
        <is>
          <t>Cocks &amp; hens</t>
        </is>
      </c>
    </row>
    <row r="151">
      <c r="A151" s="119" t="inlineStr">
        <is>
          <t>Total value of production (sum of the above)</t>
        </is>
      </c>
      <c r="B151" s="70">
        <f>Stock!T71</f>
        <v/>
      </c>
    </row>
    <row r="152">
      <c r="A152" s="119" t="inlineStr">
        <is>
          <t>Value of sales</t>
        </is>
      </c>
      <c r="B152" s="128">
        <f>Stock!R71</f>
        <v/>
      </c>
    </row>
    <row r="153">
      <c r="A153" s="15" t="n"/>
    </row>
    <row r="154">
      <c r="A154" s="16" t="inlineStr">
        <is>
          <t>Poultry production</t>
        </is>
      </c>
      <c r="B154" s="130" t="inlineStr">
        <is>
          <t>Value of production at sales prices £</t>
        </is>
      </c>
    </row>
    <row r="155">
      <c r="A155" s="15" t="inlineStr">
        <is>
          <t>Eggs</t>
        </is>
      </c>
      <c r="B155">
        <f>Stock!T76</f>
        <v/>
      </c>
    </row>
    <row r="156">
      <c r="A156" s="15" t="inlineStr">
        <is>
          <t>Cocks &amp; hens from churchscot of customary tenants</t>
        </is>
      </c>
      <c r="B156">
        <f>Stock!T77</f>
        <v/>
      </c>
    </row>
    <row r="157">
      <c r="A157" s="15" t="inlineStr">
        <is>
          <t>Sum of above</t>
        </is>
      </c>
      <c r="B157">
        <f>Stock!T78</f>
        <v/>
      </c>
    </row>
    <row r="158">
      <c r="A158" s="17" t="inlineStr">
        <is>
          <t>Total value of stock</t>
        </is>
      </c>
      <c r="B158" s="70">
        <f>Stock!T79</f>
        <v/>
      </c>
    </row>
    <row r="159">
      <c r="A159" s="17" t="inlineStr">
        <is>
          <t>Value of sales</t>
        </is>
      </c>
      <c r="B159" s="70">
        <f>Stock!T80</f>
        <v/>
      </c>
    </row>
    <row r="160">
      <c r="A160" s="15" t="n"/>
    </row>
    <row r="161">
      <c r="A161" s="16" t="inlineStr">
        <is>
          <t>Dairy Production</t>
        </is>
      </c>
      <c r="B161" s="130" t="inlineStr">
        <is>
          <t>Value of production at sales prices £</t>
        </is>
      </c>
    </row>
    <row r="162">
      <c r="A162" s="15" t="inlineStr">
        <is>
          <t>Butter</t>
        </is>
      </c>
    </row>
    <row r="163">
      <c r="A163" s="15" t="inlineStr">
        <is>
          <t>Winter Cheese</t>
        </is>
      </c>
    </row>
    <row r="164">
      <c r="A164" s="15" t="inlineStr">
        <is>
          <t>Summer Cheese</t>
        </is>
      </c>
    </row>
    <row r="165">
      <c r="A165" s="17" t="inlineStr">
        <is>
          <t>Total value of production (sum of the above)</t>
        </is>
      </c>
    </row>
    <row r="166">
      <c r="A166" s="17" t="inlineStr">
        <is>
          <t>Value of sales</t>
        </is>
      </c>
    </row>
    <row r="167">
      <c r="A167" s="15" t="n"/>
    </row>
    <row r="168">
      <c r="A168" s="15" t="n"/>
    </row>
    <row r="169" ht="17" customHeight="1"/>
    <row r="170" ht="17" customHeight="1">
      <c r="A170" s="103" t="n"/>
      <c r="B170" s="131" t="n"/>
    </row>
    <row r="171">
      <c r="A171" s="97" t="inlineStr">
        <is>
          <t>Total Production Value of all Output (Grange, Dairy, Livestock Sales, Wools, Skins - NO Mill)</t>
        </is>
      </c>
      <c r="B171" s="132">
        <f>B151+B143+B119+B111+B68</f>
        <v/>
      </c>
    </row>
    <row r="172">
      <c r="A172" s="98" t="inlineStr">
        <is>
          <t>Total Sales Value of all Output as defined above</t>
        </is>
      </c>
      <c r="B172" s="132">
        <f>B166+B159+B152+B144+B120+B111+B69</f>
        <v/>
      </c>
    </row>
    <row r="173">
      <c r="A173" s="98" t="inlineStr">
        <is>
          <t>Total Sales of Corn + Issues of the Manor as recorded in account</t>
        </is>
      </c>
      <c r="B173" s="132">
        <f>Receipts!F57+Receipts!F47</f>
        <v/>
      </c>
    </row>
    <row r="174">
      <c r="A174" s="98" t="inlineStr">
        <is>
          <t>Production Value + Cash Receipts (excl. Arrears, Issues, Corn and Mill)</t>
        </is>
      </c>
      <c r="B174" s="132">
        <f>B171+Receipts!F68+Receipts!F30+Receipts!F25</f>
        <v/>
      </c>
    </row>
    <row r="175">
      <c r="A175" s="99" t="n"/>
      <c r="B175" s="133" t="n"/>
    </row>
    <row r="176">
      <c r="A176" s="100" t="inlineStr">
        <is>
          <t>% of capital expenses in terms of total production</t>
        </is>
      </c>
      <c r="B176" s="134">
        <f>B47/B171</f>
        <v/>
      </c>
    </row>
    <row r="177">
      <c r="A177" s="98" t="inlineStr">
        <is>
          <t>% of capital expenses in terms of total production + cash receipts</t>
        </is>
      </c>
      <c r="B177" s="134">
        <f>B47/B174</f>
        <v/>
      </c>
    </row>
    <row r="178">
      <c r="A178" s="99" t="n"/>
      <c r="B178" s="133" t="n"/>
    </row>
    <row r="179" ht="17" customHeight="1">
      <c r="A179" s="101" t="inlineStr">
        <is>
          <t>% of capital expenses as calculated previously</t>
        </is>
      </c>
      <c r="B179" s="135" t="n"/>
    </row>
  </sheetData>
  <mergeCells count="1">
    <mergeCell ref="B60:C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topLeftCell="A1" workbookViewId="0">
      <selection activeCell="A1" sqref="A1"/>
    </sheetView>
  </sheetViews>
  <sheetFormatPr baseColWidth="8" defaultRowHeight="15"/>
  <cols>
    <col width="32.83203125" customWidth="1" min="1" max="1"/>
    <col width="8.83203125" customWidth="1" min="6" max="6"/>
    <col width="8.83203125" customWidth="1" min="7" max="7"/>
  </cols>
  <sheetData>
    <row r="1" ht="16" customHeight="1">
      <c r="A1" s="2" t="inlineStr">
        <is>
          <t>HARWELL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6" t="inlineStr">
        <is>
          <t>Total in £</t>
        </is>
      </c>
      <c r="G2" s="137" t="inlineStr">
        <is>
          <t>Error</t>
        </is>
      </c>
      <c r="H2" s="7" t="inlineStr">
        <is>
          <t>Notes</t>
        </is>
      </c>
      <c r="I2" s="14" t="inlineStr">
        <is>
          <t>Own notes</t>
        </is>
      </c>
    </row>
    <row r="3">
      <c r="A3" t="inlineStr">
        <is>
          <t>Arrears</t>
        </is>
      </c>
      <c r="B3" t="n">
        <v>27</v>
      </c>
      <c r="C3" t="n">
        <v>3</v>
      </c>
      <c r="D3" t="n">
        <v>6</v>
      </c>
      <c r="F3" s="72" t="n">
        <v>27.17</v>
      </c>
      <c r="H3" t="inlineStr">
        <is>
          <t>Roginald de Lynham, bailiff, and John Leyrmonger', reeve, render account for £27 3 shilling 6pence of arrears from the last account.</t>
        </is>
      </c>
    </row>
    <row r="4">
      <c r="A4" t="inlineStr">
        <is>
          <t>Arrears</t>
        </is>
      </c>
      <c r="B4" t="n">
        <v>27</v>
      </c>
      <c r="C4" t="n">
        <v>3</v>
      </c>
      <c r="D4" t="n">
        <v>6</v>
      </c>
      <c r="F4" s="72" t="n">
        <v>27.17</v>
      </c>
      <c r="H4" t="inlineStr">
        <is>
          <t>Delivered to Sir Geoffrey, treasurer of Wolvesey, £27 3 shilling 6pence by 1 tally.</t>
        </is>
      </c>
    </row>
    <row r="5">
      <c r="A5" t="inlineStr">
        <is>
          <t>Arrears</t>
        </is>
      </c>
      <c r="B5" t="n">
        <v>0</v>
      </c>
      <c r="C5" t="n">
        <v>0</v>
      </c>
      <c r="D5" t="n">
        <v>0</v>
      </c>
      <c r="F5" s="72" t="n">
        <v>0</v>
      </c>
      <c r="H5" t="inlineStr">
        <is>
          <t>They are quit.</t>
        </is>
      </c>
    </row>
    <row r="6">
      <c r="A6" t="inlineStr">
        <is>
          <t>Arrears</t>
        </is>
      </c>
      <c r="F6" s="72" t="n">
        <v>27.17</v>
      </c>
      <c r="G6" s="138">
        <f>F6-F4</f>
        <v/>
      </c>
      <c r="H6" t="inlineStr">
        <is>
          <t>Total</t>
        </is>
      </c>
    </row>
    <row r="7"/>
    <row r="8">
      <c r="A8" t="inlineStr">
        <is>
          <t>Rents of assize</t>
        </is>
      </c>
      <c r="B8" t="n">
        <v>16</v>
      </c>
      <c r="C8" t="n">
        <v>12</v>
      </c>
      <c r="D8" t="n">
        <v>6</v>
      </c>
      <c r="F8" s="72" t="n">
        <v>16.62</v>
      </c>
      <c r="H8" t="inlineStr">
        <is>
          <t>The same render account for £16 12 shilling 6pence for rents of assize for the whole year at Michaelmas (29 September).</t>
        </is>
      </c>
    </row>
    <row r="9">
      <c r="A9" t="inlineStr">
        <is>
          <t>Rents of assize</t>
        </is>
      </c>
      <c r="B9" t="n">
        <v>16</v>
      </c>
      <c r="C9" t="n">
        <v>12</v>
      </c>
      <c r="D9" t="n">
        <v>6</v>
      </c>
      <c r="F9" s="72" t="n">
        <v>16.62</v>
      </c>
      <c r="H9" t="inlineStr">
        <is>
          <t>Total, £16 12 shilling 6pence</t>
        </is>
      </c>
    </row>
    <row r="10">
      <c r="A10" t="inlineStr">
        <is>
          <t>Rents of assize</t>
        </is>
      </c>
      <c r="F10" s="72" t="n">
        <v>16.62</v>
      </c>
      <c r="G10" s="138" t="n">
        <v>0</v>
      </c>
      <c r="H10" t="inlineStr">
        <is>
          <t>Total</t>
        </is>
      </c>
    </row>
    <row r="11"/>
    <row r="12">
      <c r="A12" t="inlineStr">
        <is>
          <t>Quittances</t>
        </is>
      </c>
      <c r="B12" t="n">
        <v>0</v>
      </c>
      <c r="C12" t="n">
        <v>5</v>
      </c>
      <c r="D12" t="n">
        <v>0</v>
      </c>
      <c r="F12" s="72" t="n">
        <v>0.25</v>
      </c>
      <c r="H12" t="inlineStr">
        <is>
          <t>In quittance of 1 reeve for the year 5 shilling.</t>
        </is>
      </c>
    </row>
    <row r="13">
      <c r="A13" t="inlineStr">
        <is>
          <t>Quittances</t>
        </is>
      </c>
      <c r="B13" t="n">
        <v>0</v>
      </c>
      <c r="C13" t="n">
        <v>12</v>
      </c>
      <c r="D13" t="n">
        <v>0</v>
      </c>
      <c r="F13" s="72" t="n">
        <v>0.6</v>
      </c>
      <c r="H13" t="inlineStr">
        <is>
          <t>4 ploughmen for the year 12 shilling, or 3 shilling each.</t>
        </is>
      </c>
    </row>
    <row r="14">
      <c r="A14" t="inlineStr">
        <is>
          <t>Quittances</t>
        </is>
      </c>
      <c r="B14" t="n">
        <v>0</v>
      </c>
      <c r="C14" t="n">
        <v>17</v>
      </c>
      <c r="D14" t="n">
        <v>0</v>
      </c>
      <c r="F14" s="72" t="n">
        <v>0.85</v>
      </c>
      <c r="H14" t="inlineStr">
        <is>
          <t>Total, 17 shilling</t>
        </is>
      </c>
    </row>
    <row r="15">
      <c r="A15" t="inlineStr">
        <is>
          <t>Quittances</t>
        </is>
      </c>
      <c r="F15" s="72" t="n">
        <v>0.85</v>
      </c>
      <c r="G15" s="138" t="n">
        <v>0</v>
      </c>
      <c r="H15" t="inlineStr">
        <is>
          <t>Total</t>
        </is>
      </c>
    </row>
    <row r="16"/>
    <row r="17">
      <c r="A17" t="inlineStr">
        <is>
          <t>Defaults of rent</t>
        </is>
      </c>
      <c r="B17" t="n">
        <v>0</v>
      </c>
      <c r="C17" t="n">
        <v>3</v>
      </c>
      <c r="D17" t="n">
        <v>0</v>
      </c>
      <c r="F17" s="72" t="n">
        <v>0.15</v>
      </c>
      <c r="H17" t="inlineStr">
        <is>
          <t xml:space="preserve">In default of the rent of 1 croft which Roger Gunth' held drawn into demesne 3 shilling </t>
        </is>
      </c>
    </row>
    <row r="18">
      <c r="A18" t="inlineStr">
        <is>
          <t>Defaults of rent</t>
        </is>
      </c>
      <c r="B18" t="n">
        <v>0</v>
      </c>
      <c r="C18" t="n">
        <v>3</v>
      </c>
      <c r="D18" t="n">
        <v>0</v>
      </c>
      <c r="F18" s="72" t="n">
        <v>0.15</v>
      </c>
      <c r="H18" t="inlineStr">
        <is>
          <t>Total, 3 shilling</t>
        </is>
      </c>
    </row>
    <row r="19">
      <c r="A19" t="inlineStr">
        <is>
          <t>Defaults of rent</t>
        </is>
      </c>
      <c r="F19" s="72" t="n">
        <v>0.15</v>
      </c>
      <c r="G19" s="138" t="n">
        <v>0</v>
      </c>
      <c r="H19" t="inlineStr">
        <is>
          <t>Total</t>
        </is>
      </c>
    </row>
    <row r="20"/>
    <row r="21">
      <c r="A21" t="inlineStr">
        <is>
          <t>Total of quittances and defaults of rent</t>
        </is>
      </c>
      <c r="B21" t="n">
        <v>1</v>
      </c>
      <c r="C21" t="n">
        <v>0</v>
      </c>
      <c r="D21" t="n">
        <v>0</v>
      </c>
      <c r="F21" s="72" t="n">
        <v>1</v>
      </c>
      <c r="H21" t="inlineStr">
        <is>
          <t>Total of quittances and defaults of rent, £1.</t>
        </is>
      </c>
    </row>
    <row r="22">
      <c r="A22" t="inlineStr">
        <is>
          <t>Total of quittances and defaults of rent</t>
        </is>
      </c>
      <c r="F22" s="72" t="n">
        <v>1</v>
      </c>
      <c r="G22" s="138">
        <f>F22-F21</f>
        <v/>
      </c>
      <c r="H22" t="inlineStr">
        <is>
          <t>Total</t>
        </is>
      </c>
    </row>
    <row r="23"/>
    <row r="24">
      <c r="A24" t="inlineStr">
        <is>
          <t>Total of rents remaining</t>
        </is>
      </c>
      <c r="B24" t="n">
        <v>15</v>
      </c>
      <c r="C24" t="n">
        <v>12</v>
      </c>
      <c r="D24" t="n">
        <v>6</v>
      </c>
      <c r="F24" s="72" t="n">
        <v>15.62</v>
      </c>
      <c r="H24" t="inlineStr">
        <is>
          <t>Total of rents remaining, £15 12 shilling 6pence</t>
        </is>
      </c>
    </row>
    <row r="25">
      <c r="A25" t="inlineStr">
        <is>
          <t>Total of rents remaining</t>
        </is>
      </c>
      <c r="F25" s="72" t="n">
        <v>15.62</v>
      </c>
      <c r="G25" s="138">
        <f>F25-F24</f>
        <v/>
      </c>
      <c r="H25" t="inlineStr">
        <is>
          <t>Total</t>
        </is>
      </c>
    </row>
    <row r="26"/>
    <row r="27">
      <c r="A27" t="inlineStr">
        <is>
          <t>Annual recognizance</t>
        </is>
      </c>
      <c r="B27" t="n">
        <v>0</v>
      </c>
      <c r="C27" t="n">
        <v>0</v>
      </c>
      <c r="D27" t="n">
        <v>6</v>
      </c>
      <c r="F27" s="72" t="n">
        <v>0.03</v>
      </c>
      <c r="H27" t="inlineStr">
        <is>
          <t>The same render account for 6pence from Walter, son of Walter Edward, for annual recognizance.</t>
        </is>
      </c>
    </row>
    <row r="28">
      <c r="A28" t="inlineStr">
        <is>
          <t>Annual recognizance</t>
        </is>
      </c>
      <c r="B28" t="n">
        <v>0</v>
      </c>
      <c r="C28" t="n">
        <v>0</v>
      </c>
      <c r="D28" t="n">
        <v>6</v>
      </c>
      <c r="F28" s="72" t="n">
        <v>0.03</v>
      </c>
      <c r="H28" t="inlineStr">
        <is>
          <t>6pence from Thomas in Angle so that he may remain where he pleases, and nonetheless pay suit for his tithing and pay tithingpenny.</t>
        </is>
      </c>
    </row>
    <row r="29">
      <c r="A29" t="inlineStr">
        <is>
          <t>Annual recognizance</t>
        </is>
      </c>
      <c r="B29" t="n">
        <v>0</v>
      </c>
      <c r="C29" t="n">
        <v>1</v>
      </c>
      <c r="D29" t="n">
        <v>0</v>
      </c>
      <c r="F29" s="72" t="n">
        <v>0.05</v>
      </c>
      <c r="H29" t="inlineStr">
        <is>
          <t>Total, 1 shilling</t>
        </is>
      </c>
    </row>
    <row r="30">
      <c r="A30" t="inlineStr">
        <is>
          <t>Annual recognizance</t>
        </is>
      </c>
      <c r="F30" s="72" t="n">
        <v>0.06</v>
      </c>
      <c r="G30" s="138" t="n">
        <v>0.009999999999999995</v>
      </c>
      <c r="H30" t="inlineStr">
        <is>
          <t>Total</t>
        </is>
      </c>
    </row>
    <row r="31"/>
    <row r="32">
      <c r="A32" t="inlineStr">
        <is>
          <t>Issues of the manor</t>
        </is>
      </c>
      <c r="B32" t="n">
        <v>0</v>
      </c>
      <c r="C32" t="n">
        <v>7</v>
      </c>
      <c r="D32" t="n">
        <v>4</v>
      </c>
      <c r="F32" s="72" t="n">
        <v>0.37</v>
      </c>
      <c r="H32" t="inlineStr">
        <is>
          <t>The same render account for 7 shilling 4pence from pannage of pigs at Martinmas (11 November).</t>
        </is>
      </c>
    </row>
    <row r="33">
      <c r="A33" t="inlineStr">
        <is>
          <t>Issues of the manor</t>
        </is>
      </c>
      <c r="B33" t="n">
        <v>0</v>
      </c>
      <c r="C33" t="n">
        <v>5</v>
      </c>
      <c r="D33" t="n">
        <v>5</v>
      </c>
      <c r="F33" s="72" t="n">
        <v>0.27</v>
      </c>
      <c r="H33" t="inlineStr">
        <is>
          <t>5 shilling 5pence from tolls on inns.</t>
        </is>
      </c>
    </row>
    <row r="34">
      <c r="A34" t="inlineStr">
        <is>
          <t>Issues of the manor</t>
        </is>
      </c>
      <c r="B34" t="n">
        <v>0</v>
      </c>
      <c r="C34" t="n">
        <v>5</v>
      </c>
      <c r="D34" t="n">
        <v>0</v>
      </c>
      <c r="F34" s="72" t="n">
        <v>0.25</v>
      </c>
      <c r="H34" t="inlineStr">
        <is>
          <t>5 shilling from winter pasturage sold.</t>
        </is>
      </c>
    </row>
    <row r="35">
      <c r="A35" t="inlineStr">
        <is>
          <t>Issues of the manor</t>
        </is>
      </c>
      <c r="B35" t="n">
        <v>0</v>
      </c>
      <c r="C35" t="n">
        <v>5</v>
      </c>
      <c r="D35" t="n">
        <v>6</v>
      </c>
      <c r="F35" s="72" t="n">
        <v>0.28</v>
      </c>
      <c r="H35" t="inlineStr">
        <is>
          <t>5 shilling 6pence from 66 cocks and hens from churchscot at Martinmas.</t>
        </is>
      </c>
    </row>
    <row r="36">
      <c r="A36" t="inlineStr">
        <is>
          <t>Issues of the manor</t>
        </is>
      </c>
      <c r="B36" t="n">
        <v>0</v>
      </c>
      <c r="C36" t="n">
        <v>1</v>
      </c>
      <c r="D36" t="n">
        <v>3</v>
      </c>
      <c r="F36" s="72" t="n">
        <v>0.06</v>
      </c>
      <c r="H36" t="inlineStr">
        <is>
          <t>1 shilling 3pence from the heriot of John Miles for 1.5 virgates of land which he held of the lord, and note that noone will give more for 0.5 virgate for a heriot even if he has 1 beast.</t>
        </is>
      </c>
    </row>
    <row r="37">
      <c r="A37" t="inlineStr">
        <is>
          <t>Issues of the manor</t>
        </is>
      </c>
      <c r="B37" t="n">
        <v>0</v>
      </c>
      <c r="C37" t="n">
        <v>4</v>
      </c>
      <c r="D37" t="n">
        <v>0</v>
      </c>
      <c r="F37" s="72" t="n">
        <v>0.2</v>
      </c>
      <c r="H37" t="inlineStr">
        <is>
          <t>4 shilling from the herbage in the garden sold.</t>
        </is>
      </c>
    </row>
    <row r="38">
      <c r="A38" t="inlineStr">
        <is>
          <t>Issues of the manor</t>
        </is>
      </c>
      <c r="B38" t="n">
        <v>0</v>
      </c>
      <c r="C38" t="n">
        <v>8</v>
      </c>
      <c r="D38" t="n">
        <v>0</v>
      </c>
      <c r="F38" s="72" t="n">
        <v>0.4</v>
      </c>
      <c r="H38" t="inlineStr">
        <is>
          <t>8 shilling from 1 feeble cart-horse sold.</t>
        </is>
      </c>
    </row>
    <row r="39">
      <c r="A39" t="inlineStr">
        <is>
          <t>Issues of the manor</t>
        </is>
      </c>
      <c r="B39" t="n">
        <v>1</v>
      </c>
      <c r="C39" t="n">
        <v>17</v>
      </c>
      <c r="D39" t="n">
        <v>0</v>
      </c>
      <c r="F39" s="72" t="n">
        <v>1.85</v>
      </c>
      <c r="H39" t="inlineStr">
        <is>
          <t>£1 17 shilling from 1 cart-horse sold.</t>
        </is>
      </c>
    </row>
    <row r="40">
      <c r="A40" t="inlineStr">
        <is>
          <t>Issues of the manor</t>
        </is>
      </c>
      <c r="B40" t="n">
        <v>1</v>
      </c>
      <c r="C40" t="n">
        <v>7</v>
      </c>
      <c r="D40" t="n">
        <v>0</v>
      </c>
      <c r="F40" s="72">
        <f>B40+C40/20+D40/240</f>
        <v/>
      </c>
      <c r="H40" t="inlineStr">
        <is>
          <t>£1 7shilling 6pence from 2 horses from the heriot of John Miles for 2 virgates of land which he held of the bishop sold to the relict of the same John.</t>
        </is>
      </c>
    </row>
    <row r="41">
      <c r="A41" t="inlineStr">
        <is>
          <t>Issues of the manor</t>
        </is>
      </c>
      <c r="B41" t="n">
        <v>0</v>
      </c>
      <c r="C41" t="n">
        <v>8</v>
      </c>
      <c r="D41" t="n">
        <v>0</v>
      </c>
      <c r="F41" s="72" t="n">
        <v>0.4</v>
      </c>
      <c r="H41" t="inlineStr">
        <is>
          <t>8 shilling from 1 ox sold to Richard Tockesmal because rotten.</t>
        </is>
      </c>
    </row>
    <row r="42">
      <c r="A42" t="inlineStr">
        <is>
          <t>Issues of the manor</t>
        </is>
      </c>
      <c r="B42" t="n">
        <v>0</v>
      </c>
      <c r="C42" t="n">
        <v>7</v>
      </c>
      <c r="D42" t="n">
        <v>0</v>
      </c>
      <c r="F42" s="72" t="n">
        <v>0.35</v>
      </c>
      <c r="H42" t="inlineStr">
        <is>
          <t>7 shilling from 1 sterile cow from the heriot of Walter Roed sold.</t>
        </is>
      </c>
    </row>
    <row r="43">
      <c r="A43" t="inlineStr">
        <is>
          <t>Issues of the manor</t>
        </is>
      </c>
      <c r="B43" t="n">
        <v>0</v>
      </c>
      <c r="C43" t="n">
        <v>6</v>
      </c>
      <c r="D43" t="n">
        <v>0</v>
      </c>
      <c r="F43" s="72" t="n">
        <v>0.3</v>
      </c>
      <c r="H43" t="inlineStr">
        <is>
          <t>6 shilling from 2 pigs sold.</t>
        </is>
      </c>
    </row>
    <row r="44">
      <c r="A44" t="inlineStr">
        <is>
          <t>Issues of the manor</t>
        </is>
      </c>
      <c r="B44" t="n">
        <v>0</v>
      </c>
      <c r="C44" t="n">
        <v>1</v>
      </c>
      <c r="D44" t="n">
        <v>6</v>
      </c>
      <c r="F44" s="72" t="n">
        <v>0.08</v>
      </c>
      <c r="H44" t="inlineStr">
        <is>
          <t>1 shilling 6pence from stubble sold.</t>
        </is>
      </c>
    </row>
    <row r="45">
      <c r="A45" t="inlineStr">
        <is>
          <t>Issues of the manor</t>
        </is>
      </c>
      <c r="B45" t="n">
        <v>0</v>
      </c>
      <c r="C45" t="n">
        <v>0</v>
      </c>
      <c r="D45" t="n">
        <v>1</v>
      </c>
      <c r="F45" s="72">
        <f>B45+C45/20+D45/240</f>
        <v/>
      </c>
      <c r="H45" t="inlineStr">
        <is>
          <t>1 pence from the tail of 1 peacock sold</t>
        </is>
      </c>
    </row>
    <row r="46">
      <c r="A46" t="inlineStr">
        <is>
          <t>Issues of the manor</t>
        </is>
      </c>
      <c r="B46" t="n">
        <v>6</v>
      </c>
      <c r="C46" t="n">
        <v>3</v>
      </c>
      <c r="D46" t="n">
        <v>7</v>
      </c>
      <c r="F46" s="72" t="n">
        <v>6.18</v>
      </c>
      <c r="H46" t="inlineStr">
        <is>
          <t>Total, £6 3 shilling 7pence</t>
        </is>
      </c>
    </row>
    <row r="47">
      <c r="A47" t="inlineStr">
        <is>
          <t>Issues of the manor</t>
        </is>
      </c>
      <c r="F47" s="72">
        <f>SUM(F32:F45)</f>
        <v/>
      </c>
      <c r="G47" s="138">
        <f>F47-F46</f>
        <v/>
      </c>
      <c r="H47" t="inlineStr">
        <is>
          <t>Total</t>
        </is>
      </c>
    </row>
    <row r="48"/>
    <row r="49">
      <c r="A49" t="inlineStr">
        <is>
          <t>Sale of corn</t>
        </is>
      </c>
      <c r="B49" t="n">
        <v>19</v>
      </c>
      <c r="C49" t="n">
        <v>7</v>
      </c>
      <c r="D49" t="n">
        <v>7.5</v>
      </c>
      <c r="F49" s="72" t="n">
        <v>19.38</v>
      </c>
      <c r="H49" t="inlineStr">
        <is>
          <t>The same render account for £19 7 shilling 7.5pence from 68 quarters 7 bushels of wheat sold, at 5 shilling a qr for 4 quarters, and 5 shilling 8pence a qr for 64 quarters 7 bushels.</t>
        </is>
      </c>
    </row>
    <row r="50">
      <c r="A50" t="inlineStr">
        <is>
          <t>Sale of corn</t>
        </is>
      </c>
      <c r="B50" t="n">
        <v>2</v>
      </c>
      <c r="C50" t="n">
        <v>10</v>
      </c>
      <c r="D50" t="n">
        <v>3.75</v>
      </c>
      <c r="F50" s="72" t="n">
        <v>2.52</v>
      </c>
      <c r="H50" t="inlineStr">
        <is>
          <t>£2 10 shilling 3.75pence from 14 quarters 3 bushels of barley sold, at 3 shilling 6pence a qr.</t>
        </is>
      </c>
    </row>
    <row r="51">
      <c r="A51" t="inlineStr">
        <is>
          <t>Sale of corn</t>
        </is>
      </c>
      <c r="B51" t="n">
        <v>4</v>
      </c>
      <c r="C51" t="n">
        <v>12</v>
      </c>
      <c r="D51" t="n">
        <v>3</v>
      </c>
      <c r="F51" s="72" t="n">
        <v>4.61</v>
      </c>
      <c r="H51" t="inlineStr">
        <is>
          <t>£4 12 shilling 3pence from 30 quarters 6 bushels of dredge sold, at 3 shilling a qr.</t>
        </is>
      </c>
    </row>
    <row r="52">
      <c r="A52" t="inlineStr">
        <is>
          <t>Sale of corn</t>
        </is>
      </c>
      <c r="B52" t="n">
        <v>0</v>
      </c>
      <c r="C52" t="n">
        <v>0</v>
      </c>
      <c r="D52" t="n">
        <v>7.5</v>
      </c>
      <c r="F52" s="72" t="n">
        <v>0.03</v>
      </c>
      <c r="H52" t="inlineStr">
        <is>
          <t>7.5pence from 5 bushels of vetches sold, at 1.5pence a bushels.</t>
        </is>
      </c>
    </row>
    <row r="53">
      <c r="A53" t="inlineStr">
        <is>
          <t>Sale of corn</t>
        </is>
      </c>
      <c r="B53" t="n">
        <v>0</v>
      </c>
      <c r="C53" t="n">
        <v>0</v>
      </c>
      <c r="D53" t="n">
        <v>7.5</v>
      </c>
      <c r="F53" s="72" t="n">
        <v>0.03</v>
      </c>
      <c r="H53" t="inlineStr">
        <is>
          <t>7.5pence from 1.5 bushels of wheat sold at the audit.</t>
        </is>
      </c>
    </row>
    <row r="54">
      <c r="A54" t="inlineStr">
        <is>
          <t>Sale of corn</t>
        </is>
      </c>
      <c r="B54" t="n">
        <v>0</v>
      </c>
      <c r="C54" t="n">
        <v>2</v>
      </c>
      <c r="D54" t="n">
        <v>4.25</v>
      </c>
      <c r="F54" s="72" t="n">
        <v>0.12</v>
      </c>
      <c r="H54" t="inlineStr">
        <is>
          <t>2 shilling 4.25pence from 5.5 bushels of barley sold at the audit.</t>
        </is>
      </c>
    </row>
    <row r="55">
      <c r="A55" t="inlineStr">
        <is>
          <t>Sale of corn</t>
        </is>
      </c>
      <c r="B55" t="n">
        <v>0</v>
      </c>
      <c r="C55" t="n">
        <v>10</v>
      </c>
      <c r="D55" t="n">
        <v>6</v>
      </c>
      <c r="F55" s="72" t="n">
        <v>0.53</v>
      </c>
      <c r="H55" t="inlineStr">
        <is>
          <t>10 shilling 6pence from 3.5 quarters of dredge sold at the audit, at 3 shilling a qr.</t>
        </is>
      </c>
    </row>
    <row r="56">
      <c r="A56" t="inlineStr">
        <is>
          <t>Sale of corn</t>
        </is>
      </c>
      <c r="B56" t="n">
        <v>27</v>
      </c>
      <c r="C56" t="n">
        <v>4</v>
      </c>
      <c r="D56" t="n">
        <v>4</v>
      </c>
      <c r="F56" s="72" t="n">
        <v>27.22</v>
      </c>
      <c r="H56" t="inlineStr">
        <is>
          <t>Total, £27 4 shilling 4pence</t>
        </is>
      </c>
    </row>
    <row r="57">
      <c r="A57" t="inlineStr">
        <is>
          <t>Sale of corn</t>
        </is>
      </c>
      <c r="F57" s="72" t="n">
        <v>27.22</v>
      </c>
      <c r="G57" s="138" t="n">
        <v>0</v>
      </c>
      <c r="H57" t="inlineStr">
        <is>
          <t>Total</t>
        </is>
      </c>
    </row>
    <row r="58"/>
    <row r="59">
      <c r="A59" t="inlineStr">
        <is>
          <t>Perquisites</t>
        </is>
      </c>
      <c r="B59" t="n">
        <v>0</v>
      </c>
      <c r="C59" t="n">
        <v>4</v>
      </c>
      <c r="D59" t="n">
        <v>9</v>
      </c>
      <c r="F59" s="72" t="n">
        <v>0.24</v>
      </c>
      <c r="H59" t="inlineStr">
        <is>
          <t>The same render account for 4 shilling 9pence from the small amercements of the court held on the Saturday of Martinmas (11 November).</t>
        </is>
      </c>
    </row>
    <row r="60">
      <c r="A60" t="inlineStr">
        <is>
          <t>Perquisites</t>
        </is>
      </c>
      <c r="B60" t="n">
        <v>0</v>
      </c>
      <c r="C60" t="n">
        <v>11</v>
      </c>
      <c r="D60" t="n">
        <v>2</v>
      </c>
      <c r="F60" s="72" t="n">
        <v>0.5600000000000001</v>
      </c>
      <c r="H60" t="inlineStr">
        <is>
          <t>11 shilling 2pence from the small amercements of the hundred-court of Martinmas held on Thursday the morrow of St Lucy the Virgin (14 December).</t>
        </is>
      </c>
    </row>
    <row r="61">
      <c r="A61" t="inlineStr">
        <is>
          <t>Perquisites</t>
        </is>
      </c>
      <c r="B61" t="n">
        <v>0</v>
      </c>
      <c r="C61" t="n">
        <v>5</v>
      </c>
      <c r="D61" t="n">
        <v>9</v>
      </c>
      <c r="F61" s="72" t="n">
        <v>0.29</v>
      </c>
      <c r="H61" t="inlineStr">
        <is>
          <t>5 shilling 9pence from the perquisites of the court held on Thursday after Epiphany (11 January).</t>
        </is>
      </c>
    </row>
    <row r="62">
      <c r="A62" t="inlineStr">
        <is>
          <t>Perquisites</t>
        </is>
      </c>
      <c r="B62" t="n">
        <v>0</v>
      </c>
      <c r="C62" t="n">
        <v>3</v>
      </c>
      <c r="D62" t="n">
        <v>6</v>
      </c>
      <c r="F62" s="72" t="n">
        <v>0.17</v>
      </c>
      <c r="H62" t="inlineStr">
        <is>
          <t>3 shilling 6pence from the perquisites of the court on Tuesday before the feast of St Peter's Chair (20 February).</t>
        </is>
      </c>
    </row>
    <row r="63">
      <c r="A63" t="inlineStr">
        <is>
          <t>Perquisites</t>
        </is>
      </c>
      <c r="B63" t="n">
        <v>0</v>
      </c>
      <c r="C63" t="n">
        <v>9</v>
      </c>
      <c r="D63" t="n">
        <v>2</v>
      </c>
      <c r="F63" s="72" t="n">
        <v>0.46</v>
      </c>
      <c r="H63" t="inlineStr">
        <is>
          <t>9 shilling 2pence from the perquisites of the court held on Tuesday before the feast of St Dunstan (15 May).</t>
        </is>
      </c>
    </row>
    <row r="64">
      <c r="A64" t="inlineStr">
        <is>
          <t>Perquisites</t>
        </is>
      </c>
      <c r="B64" t="n">
        <v>0</v>
      </c>
      <c r="C64" t="n">
        <v>17</v>
      </c>
      <c r="D64" t="n">
        <v>10</v>
      </c>
      <c r="F64" s="72" t="n">
        <v>0.89</v>
      </c>
      <c r="H64" t="inlineStr">
        <is>
          <t>17 shilling 10pence from the small amercements of the hundred-court of Hockday held on the eve of the Nativity of the blessed John (23 June).</t>
        </is>
      </c>
    </row>
    <row r="65">
      <c r="A65" t="inlineStr">
        <is>
          <t>Perquisites</t>
        </is>
      </c>
      <c r="B65" t="n">
        <v>0</v>
      </c>
      <c r="C65" t="n">
        <v>9</v>
      </c>
      <c r="D65" t="n">
        <v>9</v>
      </c>
      <c r="F65" s="72" t="n">
        <v>0.49</v>
      </c>
      <c r="H65" t="inlineStr">
        <is>
          <t>9 shilling 9pence from the perquisites of the court held on Sunday before the Assumption (12 August).</t>
        </is>
      </c>
    </row>
    <row r="66">
      <c r="A66" t="inlineStr">
        <is>
          <t>Perquisites</t>
        </is>
      </c>
      <c r="B66" t="n">
        <v>0</v>
      </c>
      <c r="C66" t="n">
        <v>13</v>
      </c>
      <c r="D66" t="n">
        <v>0</v>
      </c>
      <c r="F66" s="72" t="n">
        <v>0.65</v>
      </c>
      <c r="H66" t="inlineStr">
        <is>
          <t>13 shilling from the perquisites of the court held on Sunday before Michaelmas (23 September).</t>
        </is>
      </c>
    </row>
    <row r="67">
      <c r="A67" t="inlineStr">
        <is>
          <t>Perquisites</t>
        </is>
      </c>
      <c r="B67" t="n">
        <v>3</v>
      </c>
      <c r="C67" t="n">
        <v>14</v>
      </c>
      <c r="D67" t="n">
        <v>11</v>
      </c>
      <c r="F67" s="72" t="n">
        <v>3.75</v>
      </c>
      <c r="H67" t="inlineStr">
        <is>
          <t>Total, £3 14 shilling 11pence</t>
        </is>
      </c>
    </row>
    <row r="68">
      <c r="F68" s="72">
        <f>SUM(F59:F66)</f>
        <v/>
      </c>
      <c r="G68" s="138">
        <f>F68-F67</f>
        <v/>
      </c>
      <c r="H68" t="inlineStr">
        <is>
          <t>Total</t>
        </is>
      </c>
    </row>
    <row r="69">
      <c r="A69" s="38" t="inlineStr">
        <is>
          <t>Total of all receipts recorded in accounts</t>
        </is>
      </c>
    </row>
    <row r="70" ht="16" customHeight="1">
      <c r="A70" s="9" t="inlineStr">
        <is>
          <t>Total cross-check without arrears</t>
        </is>
      </c>
      <c r="F70" s="72">
        <f>F68+F57+F47+F30+F25</f>
        <v/>
      </c>
    </row>
    <row r="71" ht="16" customHeight="1">
      <c r="A71" s="9" t="inlineStr">
        <is>
          <t>Total cross-check with arrears</t>
        </is>
      </c>
      <c r="F71" s="72">
        <f>F70+F6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"/>
  <sheetViews>
    <sheetView topLeftCell="A1" workbookViewId="0">
      <selection activeCell="A1" sqref="A1"/>
    </sheetView>
  </sheetViews>
  <sheetFormatPr baseColWidth="8" defaultRowHeight="15"/>
  <cols>
    <col width="33.1640625" customWidth="1" min="1" max="1"/>
    <col width="8.83203125" customWidth="1" min="6" max="6"/>
    <col width="8.83203125" customWidth="1" min="7" max="7"/>
    <col width="36.6640625" customWidth="1" min="8" max="8"/>
    <col width="21.6640625" customWidth="1" min="11" max="11"/>
    <col width="20.6640625" customWidth="1" min="12" max="12"/>
  </cols>
  <sheetData>
    <row r="1" ht="16" customHeight="1">
      <c r="A1" s="2" t="inlineStr">
        <is>
          <t>HARWELL EXPENSES</t>
        </is>
      </c>
    </row>
    <row r="2" ht="34" customHeight="1">
      <c r="A2" s="30" t="inlineStr">
        <is>
          <t>Heading</t>
        </is>
      </c>
      <c r="B2" s="33" t="inlineStr">
        <is>
          <t>£</t>
        </is>
      </c>
      <c r="C2" s="34" t="inlineStr">
        <is>
          <t xml:space="preserve">s </t>
        </is>
      </c>
      <c r="D2" s="34" t="inlineStr">
        <is>
          <t>d</t>
        </is>
      </c>
      <c r="F2" s="35" t="inlineStr">
        <is>
          <t>Total in £</t>
        </is>
      </c>
      <c r="G2" s="51" t="inlineStr">
        <is>
          <t>Error</t>
        </is>
      </c>
      <c r="H2" s="30" t="inlineStr">
        <is>
          <t>Notes</t>
        </is>
      </c>
      <c r="I2" s="31" t="inlineStr">
        <is>
          <t>Own notes</t>
        </is>
      </c>
      <c r="K2" s="52" t="inlineStr">
        <is>
          <t>Fixed investment</t>
        </is>
      </c>
      <c r="L2" s="52" t="inlineStr">
        <is>
          <t>Demesne fixed investment</t>
        </is>
      </c>
    </row>
    <row r="3">
      <c r="A3" t="inlineStr">
        <is>
          <t>Cost of ploughs</t>
        </is>
      </c>
      <c r="B3" t="n">
        <v>0</v>
      </c>
      <c r="C3" t="n">
        <v>3</v>
      </c>
      <c r="D3" t="n">
        <v>7.5</v>
      </c>
      <c r="F3" s="72" t="n">
        <v>0.18</v>
      </c>
      <c r="H3" t="inlineStr">
        <is>
          <t>In 4 pieces of steel bought for 3 ploughs for the year 3 shilling 7.5pence.</t>
        </is>
      </c>
      <c r="K3" s="72">
        <f>F3</f>
        <v/>
      </c>
      <c r="L3" s="72">
        <f>K3</f>
        <v/>
      </c>
    </row>
    <row r="4">
      <c r="A4" t="inlineStr">
        <is>
          <t>Cost of ploughs</t>
        </is>
      </c>
      <c r="B4" t="n">
        <v>0</v>
      </c>
      <c r="C4" t="n">
        <v>3</v>
      </c>
      <c r="D4" t="n">
        <v>2</v>
      </c>
      <c r="F4" s="72" t="n">
        <v>0.16</v>
      </c>
      <c r="H4" t="inlineStr">
        <is>
          <t>stipend of the smith forging the said steel for the said ploughs 3 shilling 2pence.</t>
        </is>
      </c>
      <c r="K4" s="72">
        <f>F4</f>
        <v/>
      </c>
      <c r="L4">
        <f>K4/2</f>
        <v/>
      </c>
    </row>
    <row r="5">
      <c r="A5" t="inlineStr">
        <is>
          <t>Cost of ploughs</t>
        </is>
      </c>
      <c r="B5" t="n">
        <v>0</v>
      </c>
      <c r="C5" t="n">
        <v>0</v>
      </c>
      <c r="D5" t="n">
        <v>6</v>
      </c>
      <c r="F5" s="72" t="n">
        <v>0.03</v>
      </c>
      <c r="H5" t="inlineStr">
        <is>
          <t>stipend of the smith repairing the said ploughs with the demesne's iron 6pence.</t>
        </is>
      </c>
      <c r="K5" s="72">
        <f>F5</f>
        <v/>
      </c>
      <c r="L5" s="72">
        <f>K5</f>
        <v/>
      </c>
    </row>
    <row r="6">
      <c r="A6" t="inlineStr">
        <is>
          <t>Cost of ploughs</t>
        </is>
      </c>
      <c r="B6" t="n">
        <v>0</v>
      </c>
      <c r="C6" t="n">
        <v>2</v>
      </c>
      <c r="D6" t="n">
        <v>0</v>
      </c>
      <c r="F6" s="72" t="n">
        <v>0.1</v>
      </c>
      <c r="H6" t="inlineStr">
        <is>
          <t>5 ploughs made anew, 3 of them for winter, and other old ploughs mended 2 shilling.</t>
        </is>
      </c>
      <c r="K6" s="72">
        <f>F6</f>
        <v/>
      </c>
      <c r="L6">
        <f>K6/2</f>
        <v/>
      </c>
    </row>
    <row r="7">
      <c r="A7" t="inlineStr">
        <is>
          <t>Cost of ploughs</t>
        </is>
      </c>
      <c r="B7" t="n">
        <v>0</v>
      </c>
      <c r="C7" t="n">
        <v>0</v>
      </c>
      <c r="D7" t="n">
        <v>6</v>
      </c>
      <c r="F7" s="72" t="n">
        <v>0.03</v>
      </c>
      <c r="H7" t="inlineStr">
        <is>
          <t>hooping 3 ploughs around the holes for the coulters with the demesne's iron 6pence.</t>
        </is>
      </c>
      <c r="K7" s="72">
        <f>F7</f>
        <v/>
      </c>
      <c r="L7" s="72">
        <f>K7</f>
        <v/>
      </c>
    </row>
    <row r="8">
      <c r="A8" t="inlineStr">
        <is>
          <t>Cost of ploughs</t>
        </is>
      </c>
      <c r="B8" t="n">
        <v>0</v>
      </c>
      <c r="C8" t="n">
        <v>2</v>
      </c>
      <c r="D8" t="n">
        <v>10</v>
      </c>
      <c r="F8" s="72" t="n">
        <v>0.14</v>
      </c>
      <c r="H8" t="inlineStr">
        <is>
          <t>1 ploughshare and 2 coulters bought new for the ploughs with repairs to the same 2 shilling 10pence.</t>
        </is>
      </c>
      <c r="K8" s="72">
        <f>F8</f>
        <v/>
      </c>
      <c r="L8">
        <f>K8/2</f>
        <v/>
      </c>
    </row>
    <row r="9">
      <c r="A9" t="inlineStr">
        <is>
          <t>Cost of ploughs</t>
        </is>
      </c>
      <c r="B9" t="n">
        <v>0</v>
      </c>
      <c r="C9" t="n">
        <v>0</v>
      </c>
      <c r="D9" t="n">
        <v>9</v>
      </c>
      <c r="F9" s="72" t="n">
        <v>0.04</v>
      </c>
      <c r="H9" t="inlineStr">
        <is>
          <t>4 ox-yokes bought 9pence.</t>
        </is>
      </c>
      <c r="K9" s="72">
        <f>F9</f>
        <v/>
      </c>
      <c r="L9" s="72">
        <f>K9</f>
        <v/>
      </c>
    </row>
    <row r="10">
      <c r="A10" t="inlineStr">
        <is>
          <t>Cost of ploughs</t>
        </is>
      </c>
      <c r="B10" t="n">
        <v>0</v>
      </c>
      <c r="C10" t="n">
        <v>0</v>
      </c>
      <c r="D10" t="n">
        <v>11</v>
      </c>
      <c r="F10" s="72" t="n">
        <v>0.05</v>
      </c>
      <c r="H10" t="inlineStr">
        <is>
          <t>15 ox-bows bought for the same 11pence.</t>
        </is>
      </c>
      <c r="K10" s="72">
        <f>F10</f>
        <v/>
      </c>
      <c r="L10">
        <f>K10/2</f>
        <v/>
      </c>
    </row>
    <row r="11">
      <c r="A11" t="inlineStr">
        <is>
          <t>Cost of ploughs</t>
        </is>
      </c>
      <c r="B11" t="n">
        <v>0</v>
      </c>
      <c r="C11" t="n">
        <v>0</v>
      </c>
      <c r="D11" t="n">
        <v>4</v>
      </c>
      <c r="F11" s="72" t="n">
        <v>0.02</v>
      </c>
      <c r="H11" t="inlineStr">
        <is>
          <t>2 plough feet bought for ploughs 4pence.</t>
        </is>
      </c>
      <c r="K11" s="72">
        <f>F11</f>
        <v/>
      </c>
      <c r="L11" s="72">
        <f>K11</f>
        <v/>
      </c>
    </row>
    <row r="12">
      <c r="A12" t="inlineStr">
        <is>
          <t>Cost of ploughs</t>
        </is>
      </c>
      <c r="B12" t="n">
        <v>0</v>
      </c>
      <c r="C12" t="n">
        <v>0</v>
      </c>
      <c r="D12" t="n">
        <v>4</v>
      </c>
      <c r="F12" s="72" t="n">
        <v>0.02</v>
      </c>
      <c r="H12" t="inlineStr">
        <is>
          <t>2 wheels bought for the same 4pence.</t>
        </is>
      </c>
      <c r="K12" s="72">
        <f>F12</f>
        <v/>
      </c>
      <c r="L12">
        <f>K12/2</f>
        <v/>
      </c>
    </row>
    <row r="13">
      <c r="A13" t="inlineStr">
        <is>
          <t>Cost of ploughs</t>
        </is>
      </c>
      <c r="B13" t="n">
        <v>0</v>
      </c>
      <c r="C13" t="n">
        <v>1</v>
      </c>
      <c r="D13" t="n">
        <v>1</v>
      </c>
      <c r="F13" s="72" t="n">
        <v>0.05</v>
      </c>
      <c r="H13" t="inlineStr">
        <is>
          <t>oak withies bought for ploughs, for making the draught-chains (hart') therefrom, 1 shilling 1 pence.</t>
        </is>
      </c>
      <c r="K13" s="72">
        <f>F13</f>
        <v/>
      </c>
      <c r="L13" s="72">
        <f>K13</f>
        <v/>
      </c>
    </row>
    <row r="14">
      <c r="A14" t="inlineStr">
        <is>
          <t>Cost of ploughs</t>
        </is>
      </c>
      <c r="B14" t="n">
        <v>0</v>
      </c>
      <c r="C14" t="n">
        <v>0</v>
      </c>
      <c r="D14" t="n">
        <v>5</v>
      </c>
      <c r="F14" s="72" t="n">
        <v>0.02</v>
      </c>
      <c r="H14" t="inlineStr">
        <is>
          <t>1 wheelbarrow bought 5pence.</t>
        </is>
      </c>
      <c r="K14" s="72">
        <f>F14</f>
        <v/>
      </c>
      <c r="L14">
        <f>K14/2</f>
        <v/>
      </c>
    </row>
    <row r="15">
      <c r="A15" t="inlineStr">
        <is>
          <t>Cost of ploughs</t>
        </is>
      </c>
      <c r="B15" t="n">
        <v>0</v>
      </c>
      <c r="C15" t="n">
        <v>0</v>
      </c>
      <c r="D15" t="n">
        <v>2</v>
      </c>
      <c r="F15" s="72" t="n">
        <v>0.01</v>
      </c>
      <c r="H15" t="inlineStr">
        <is>
          <t>fitting 1 plough with a share-beam together with buying the share-beam 2pence.</t>
        </is>
      </c>
      <c r="K15" s="72">
        <f>F15</f>
        <v/>
      </c>
      <c r="L15" s="72">
        <f>K15</f>
        <v/>
      </c>
    </row>
    <row r="16">
      <c r="A16" t="inlineStr">
        <is>
          <t>Cost of ploughs</t>
        </is>
      </c>
      <c r="B16" t="n">
        <v>0</v>
      </c>
      <c r="C16" t="n">
        <v>6</v>
      </c>
      <c r="D16" t="n">
        <v>10</v>
      </c>
      <c r="F16" s="72" t="n">
        <v>0.34</v>
      </c>
      <c r="H16" t="inlineStr">
        <is>
          <t>customary payment to 1 reeve and 4 ploughmen for their corrodies at Christmas and Easter 10pence Paid to 2 ploughmen and 1 carter for their pease pottage for the year 6 shilling 6pence, or .5pence each a week.</t>
        </is>
      </c>
    </row>
    <row r="17">
      <c r="A17" t="inlineStr">
        <is>
          <t>Cost of ploughs</t>
        </is>
      </c>
      <c r="B17" t="n">
        <v>0</v>
      </c>
      <c r="C17" t="n">
        <v>14</v>
      </c>
      <c r="D17" t="n">
        <v>0</v>
      </c>
      <c r="F17" s="72">
        <f>B17+C17/20+D17/240</f>
        <v/>
      </c>
      <c r="H17" t="inlineStr">
        <is>
          <t xml:space="preserve">1 ox bought for ploughs 14 shilling </t>
        </is>
      </c>
    </row>
    <row r="18">
      <c r="A18" t="inlineStr">
        <is>
          <t>Cost of ploughs</t>
        </is>
      </c>
      <c r="B18" t="n">
        <v>1</v>
      </c>
      <c r="C18" t="n">
        <v>17</v>
      </c>
      <c r="D18" t="n">
        <v>11.5</v>
      </c>
      <c r="F18" s="72" t="n">
        <v>1.9</v>
      </c>
      <c r="H18" t="inlineStr">
        <is>
          <t>Total, £1 17 shilling 11.5pence</t>
        </is>
      </c>
    </row>
    <row r="19">
      <c r="A19" t="inlineStr">
        <is>
          <t>Cost of ploughs</t>
        </is>
      </c>
      <c r="F19" s="72">
        <f>SUM(F3:F17)</f>
        <v/>
      </c>
      <c r="G19" s="138">
        <f>F19-F18</f>
        <v/>
      </c>
      <c r="H19" t="inlineStr">
        <is>
          <t>Total</t>
        </is>
      </c>
    </row>
    <row r="20"/>
    <row r="21">
      <c r="A21" t="inlineStr">
        <is>
          <t>Cost of carts, wains and ironwork</t>
        </is>
      </c>
      <c r="B21" t="n">
        <v>1</v>
      </c>
      <c r="C21" t="n">
        <v>4</v>
      </c>
      <c r="D21" t="n">
        <v>0</v>
      </c>
      <c r="F21" t="n">
        <v>1.2</v>
      </c>
      <c r="H21" t="inlineStr">
        <is>
          <t>In 1 cart-horse bought £1 4 shilling.</t>
        </is>
      </c>
    </row>
    <row r="22">
      <c r="A22" t="inlineStr">
        <is>
          <t>Cost of carts, wains and ironwork</t>
        </is>
      </c>
      <c r="B22" t="n">
        <v>1</v>
      </c>
      <c r="C22" t="n">
        <v>6</v>
      </c>
      <c r="D22" t="n">
        <v>0</v>
      </c>
      <c r="F22" t="n">
        <v>1.3</v>
      </c>
      <c r="H22" t="inlineStr">
        <is>
          <t>1 cart-horse bought at Abingdon £1 6 shilling.</t>
        </is>
      </c>
    </row>
    <row r="23">
      <c r="A23" t="inlineStr">
        <is>
          <t>Cost of carts, wains and ironwork</t>
        </is>
      </c>
      <c r="B23" t="n">
        <v>0</v>
      </c>
      <c r="C23" t="n">
        <v>2</v>
      </c>
      <c r="D23" t="n">
        <v>5.25</v>
      </c>
      <c r="F23" t="n">
        <v>0.12</v>
      </c>
      <c r="H23" t="inlineStr">
        <is>
          <t>1 pair of new wheels bought for clearing dung 2 shilling 5.25pence.</t>
        </is>
      </c>
      <c r="K23">
        <f>F23</f>
        <v/>
      </c>
      <c r="L23">
        <f>K23</f>
        <v/>
      </c>
    </row>
    <row r="24">
      <c r="A24" t="inlineStr">
        <is>
          <t>Cost of carts, wains and ironwork</t>
        </is>
      </c>
      <c r="B24" t="n">
        <v>0</v>
      </c>
      <c r="C24" t="n">
        <v>0</v>
      </c>
      <c r="D24" t="n">
        <v>10.75</v>
      </c>
      <c r="F24" t="n">
        <v>0.04</v>
      </c>
      <c r="H24" t="inlineStr">
        <is>
          <t>1 new cart saddle with 1 pair of new saddle-pads bought 10.75pence.</t>
        </is>
      </c>
      <c r="K24">
        <f>F24</f>
        <v/>
      </c>
      <c r="L24">
        <f>K24</f>
        <v/>
      </c>
    </row>
    <row r="25">
      <c r="A25" t="inlineStr">
        <is>
          <t>Cost of carts, wains and ironwork</t>
        </is>
      </c>
      <c r="B25" t="n">
        <v>0</v>
      </c>
      <c r="C25" t="n">
        <v>1</v>
      </c>
      <c r="D25" t="n">
        <v>4</v>
      </c>
      <c r="F25" t="n">
        <v>0.07000000000000001</v>
      </c>
      <c r="H25" t="inlineStr">
        <is>
          <t>2 new horse-collars bought 1 shilling 4pence.</t>
        </is>
      </c>
      <c r="K25">
        <f>F25</f>
        <v/>
      </c>
      <c r="L25">
        <f>K25</f>
        <v/>
      </c>
    </row>
    <row r="26">
      <c r="A26" t="inlineStr">
        <is>
          <t>Cost of carts, wains and ironwork</t>
        </is>
      </c>
      <c r="B26" t="n">
        <v>0</v>
      </c>
      <c r="C26" t="n">
        <v>0</v>
      </c>
      <c r="D26" t="n">
        <v>10</v>
      </c>
      <c r="F26" t="n">
        <v>0.04</v>
      </c>
      <c r="H26" t="inlineStr">
        <is>
          <t>clouts, nails, grease, and fitting the cart with axles at various times, 10pence.</t>
        </is>
      </c>
      <c r="K26">
        <f>F26</f>
        <v/>
      </c>
      <c r="L26">
        <f>K26</f>
        <v/>
      </c>
    </row>
    <row r="27">
      <c r="A27" t="inlineStr">
        <is>
          <t>Cost of carts, wains and ironwork</t>
        </is>
      </c>
      <c r="B27" t="n">
        <v>0</v>
      </c>
      <c r="C27" t="n">
        <v>0</v>
      </c>
      <c r="D27" t="n">
        <v>3</v>
      </c>
      <c r="F27" t="n">
        <v>0.01</v>
      </c>
      <c r="H27" t="inlineStr">
        <is>
          <t>white leather bought for harnesses 3pence.</t>
        </is>
      </c>
      <c r="K27">
        <f>F27</f>
        <v/>
      </c>
      <c r="L27">
        <f>K27</f>
        <v/>
      </c>
    </row>
    <row r="28">
      <c r="A28" t="inlineStr">
        <is>
          <t>Cost of carts, wains and ironwork</t>
        </is>
      </c>
      <c r="B28" t="n">
        <v>0</v>
      </c>
      <c r="C28" t="n">
        <v>0</v>
      </c>
      <c r="D28" t="n">
        <v>2</v>
      </c>
      <c r="F28" t="n">
        <v>0.01</v>
      </c>
      <c r="H28" t="inlineStr">
        <is>
          <t>1 hame bought 2pence.</t>
        </is>
      </c>
      <c r="K28">
        <f>F28</f>
        <v/>
      </c>
      <c r="L28">
        <f>K28</f>
        <v/>
      </c>
    </row>
    <row r="29">
      <c r="A29" t="inlineStr">
        <is>
          <t>Cost of carts, wains and ironwork</t>
        </is>
      </c>
      <c r="B29" t="n">
        <v>0</v>
      </c>
      <c r="C29" t="n">
        <v>0</v>
      </c>
      <c r="D29" t="n">
        <v>8</v>
      </c>
      <c r="F29" t="n">
        <v>0.03</v>
      </c>
      <c r="H29" t="inlineStr">
        <is>
          <t>1 tumbrel for dung bought 8pence.</t>
        </is>
      </c>
      <c r="K29">
        <f>F29</f>
        <v/>
      </c>
      <c r="L29">
        <f>K29</f>
        <v/>
      </c>
    </row>
    <row r="30">
      <c r="A30" t="inlineStr">
        <is>
          <t>Cost of carts, wains and ironwork</t>
        </is>
      </c>
      <c r="B30" t="n">
        <v>0</v>
      </c>
      <c r="C30" t="n">
        <v>0</v>
      </c>
      <c r="D30" t="n">
        <v>3</v>
      </c>
      <c r="F30" t="n">
        <v>0.01</v>
      </c>
      <c r="H30" t="inlineStr">
        <is>
          <t>1 leather halter bought 3pence.</t>
        </is>
      </c>
      <c r="K30">
        <f>F30</f>
        <v/>
      </c>
      <c r="L30">
        <f>K30</f>
        <v/>
      </c>
    </row>
    <row r="31">
      <c r="A31" t="inlineStr">
        <is>
          <t>Cost of carts, wains and ironwork</t>
        </is>
      </c>
      <c r="B31" t="n">
        <v>0</v>
      </c>
      <c r="C31" t="n">
        <v>1</v>
      </c>
      <c r="D31" t="n">
        <v>7</v>
      </c>
      <c r="F31" s="72">
        <f>B31+C31/20+D31/240</f>
        <v/>
      </c>
      <c r="H31" t="inlineStr">
        <is>
          <t xml:space="preserve">shoeing 2 cart-horses for the year 1 shilling 7pence </t>
        </is>
      </c>
      <c r="K31" s="72">
        <f>F31</f>
        <v/>
      </c>
      <c r="L31" s="72">
        <f>K31</f>
        <v/>
      </c>
    </row>
    <row r="32">
      <c r="A32" t="inlineStr">
        <is>
          <t>Cost of carts, wains and ironwork</t>
        </is>
      </c>
      <c r="B32" t="n">
        <v>2</v>
      </c>
      <c r="C32" t="n">
        <v>18</v>
      </c>
      <c r="D32" t="n">
        <v>5</v>
      </c>
      <c r="F32" t="n">
        <v>2.92</v>
      </c>
      <c r="H32" t="inlineStr">
        <is>
          <t>Total, £2 18 shilling 5pence</t>
        </is>
      </c>
    </row>
    <row r="33">
      <c r="A33" t="inlineStr">
        <is>
          <t>Cost of carts, wains and ironwork</t>
        </is>
      </c>
      <c r="F33" s="72">
        <f>SUM(F21:F31)</f>
        <v/>
      </c>
      <c r="G33" s="138">
        <f>F33-F32</f>
        <v/>
      </c>
      <c r="H33" t="inlineStr">
        <is>
          <t>Total</t>
        </is>
      </c>
    </row>
    <row r="34"/>
    <row r="35">
      <c r="A35" t="inlineStr">
        <is>
          <t>Cost of wagons</t>
        </is>
      </c>
      <c r="B35" t="n">
        <v>0</v>
      </c>
      <c r="C35" t="n">
        <v>7</v>
      </c>
      <c r="D35" t="n">
        <v>11</v>
      </c>
      <c r="F35" t="n">
        <v>0.4</v>
      </c>
      <c r="H35" t="inlineStr">
        <is>
          <t>In 2 pairs of wheels bought for wagons 7 shilling 11pence.</t>
        </is>
      </c>
      <c r="K35">
        <f>F35</f>
        <v/>
      </c>
      <c r="L35">
        <f>F35</f>
        <v/>
      </c>
    </row>
    <row r="36">
      <c r="A36" t="inlineStr">
        <is>
          <t>Cost of wagons</t>
        </is>
      </c>
      <c r="B36" t="n">
        <v>0</v>
      </c>
      <c r="C36" t="n">
        <v>0</v>
      </c>
      <c r="D36" t="n">
        <v>11</v>
      </c>
      <c r="F36" t="n">
        <v>0.05</v>
      </c>
      <c r="H36" t="inlineStr">
        <is>
          <t>clouts, nails, grease bought for wagons 11pence.</t>
        </is>
      </c>
      <c r="K36">
        <f>F36</f>
        <v/>
      </c>
      <c r="L36">
        <f>F36</f>
        <v/>
      </c>
    </row>
    <row r="37">
      <c r="A37" t="inlineStr">
        <is>
          <t>Cost of wagons</t>
        </is>
      </c>
      <c r="B37" t="n">
        <v>0</v>
      </c>
      <c r="C37" t="n">
        <v>0</v>
      </c>
      <c r="D37" t="n">
        <v>6</v>
      </c>
      <c r="F37" t="n">
        <v>0.03</v>
      </c>
      <c r="H37" t="inlineStr">
        <is>
          <t>fitting the said 2 wagons with axles 6pence.</t>
        </is>
      </c>
      <c r="K37">
        <f>F37</f>
        <v/>
      </c>
      <c r="L37">
        <f>F37</f>
        <v/>
      </c>
    </row>
    <row r="38">
      <c r="A38" t="inlineStr">
        <is>
          <t>Cost of wagons</t>
        </is>
      </c>
      <c r="B38" t="n">
        <v>0</v>
      </c>
      <c r="C38" t="n">
        <v>1</v>
      </c>
      <c r="D38" t="n">
        <v>0</v>
      </c>
      <c r="F38">
        <f>B38+C38/20+D38/240</f>
        <v/>
      </c>
      <c r="H38" t="inlineStr">
        <is>
          <t xml:space="preserve">hiring 1 carpenter to repair the bodies of wagons and to make 8 new frets for the abovesaid wheels for 5 days 1 shilling </t>
        </is>
      </c>
      <c r="K38">
        <f>F38</f>
        <v/>
      </c>
      <c r="L38">
        <f>F38</f>
        <v/>
      </c>
    </row>
    <row r="39">
      <c r="A39" t="inlineStr">
        <is>
          <t>Cost of wagons</t>
        </is>
      </c>
      <c r="B39" t="n">
        <v>0</v>
      </c>
      <c r="C39" t="n">
        <v>10</v>
      </c>
      <c r="D39" t="n">
        <v>4</v>
      </c>
      <c r="F39" s="72">
        <f>B39+C39/20+D387249</f>
        <v/>
      </c>
      <c r="H39" t="inlineStr">
        <is>
          <t>Total, 10 shilling 4pence</t>
        </is>
      </c>
    </row>
    <row r="40">
      <c r="A40" t="inlineStr">
        <is>
          <t>Cost of wagons</t>
        </is>
      </c>
      <c r="F40" s="72">
        <f>SUM(F35:F38)</f>
        <v/>
      </c>
      <c r="G40" s="138">
        <f>F40-F39</f>
        <v/>
      </c>
      <c r="H40" t="inlineStr">
        <is>
          <t>Total</t>
        </is>
      </c>
    </row>
    <row r="41"/>
    <row r="42">
      <c r="A42" t="inlineStr">
        <is>
          <t>Small necessaries</t>
        </is>
      </c>
      <c r="B42" t="n">
        <v>0</v>
      </c>
      <c r="C42" t="n">
        <v>1</v>
      </c>
      <c r="D42" t="n">
        <v>4</v>
      </c>
      <c r="F42" s="72" t="n">
        <v>0.07000000000000001</v>
      </c>
      <c r="H42" t="inlineStr">
        <is>
          <t>In 2 sacks bought for carrying corn 1 shilling 4pence.</t>
        </is>
      </c>
      <c r="K42" s="72">
        <f>F42</f>
        <v/>
      </c>
      <c r="L42" s="72">
        <f>K42</f>
        <v/>
      </c>
    </row>
    <row r="43">
      <c r="A43" t="inlineStr">
        <is>
          <t>Small necessaries</t>
        </is>
      </c>
      <c r="B43" t="n">
        <v>0</v>
      </c>
      <c r="C43" t="n">
        <v>2</v>
      </c>
      <c r="D43" t="n">
        <v>8</v>
      </c>
      <c r="F43" s="72" t="n">
        <v>0.13</v>
      </c>
      <c r="H43" t="inlineStr">
        <is>
          <t>1 linen sheet for winnowing (bintheamine ventator') bought 2 shilling 8pence.</t>
        </is>
      </c>
      <c r="K43" s="72">
        <f>F43</f>
        <v/>
      </c>
      <c r="L43" s="72">
        <f>K43</f>
        <v/>
      </c>
    </row>
    <row r="44">
      <c r="A44" t="inlineStr">
        <is>
          <t>Small necessaries</t>
        </is>
      </c>
      <c r="B44" t="n">
        <v>0</v>
      </c>
      <c r="C44" t="n">
        <v>0</v>
      </c>
      <c r="D44" t="n">
        <v>3</v>
      </c>
      <c r="F44" s="72" t="n">
        <v>0.01</v>
      </c>
      <c r="H44" t="inlineStr">
        <is>
          <t>improving the vines 3pence.</t>
        </is>
      </c>
      <c r="K44" s="72">
        <f>F44</f>
        <v/>
      </c>
      <c r="L44" s="72">
        <f>K44</f>
        <v/>
      </c>
    </row>
    <row r="45">
      <c r="A45" t="inlineStr">
        <is>
          <t>Small necessaries</t>
        </is>
      </c>
      <c r="B45" t="n">
        <v>0</v>
      </c>
      <c r="C45" t="n">
        <v>0</v>
      </c>
      <c r="D45" t="n">
        <v>2</v>
      </c>
      <c r="F45" s="72" t="n">
        <v>0.01</v>
      </c>
      <c r="H45" t="inlineStr">
        <is>
          <t>castrating 8 piglets 2pence.</t>
        </is>
      </c>
      <c r="L45" s="72">
        <f>K45</f>
        <v/>
      </c>
    </row>
    <row r="46">
      <c r="A46" t="inlineStr">
        <is>
          <t>Small necessaries</t>
        </is>
      </c>
      <c r="B46" t="n">
        <v>0</v>
      </c>
      <c r="C46" t="n">
        <v>1</v>
      </c>
      <c r="D46" t="n">
        <v>3</v>
      </c>
      <c r="F46" s="72" t="n">
        <v>0.06</v>
      </c>
      <c r="H46" t="inlineStr">
        <is>
          <t>felling 15 cart-loads of wood in the wood of Wargrave and repairing to bring it 1 shilling 3pence.</t>
        </is>
      </c>
      <c r="K46" s="72">
        <f>F46</f>
        <v/>
      </c>
      <c r="L46" s="72">
        <f>K46</f>
        <v/>
      </c>
    </row>
    <row r="47">
      <c r="A47" t="inlineStr">
        <is>
          <t>Small necessaries</t>
        </is>
      </c>
      <c r="B47" t="n">
        <v>0</v>
      </c>
      <c r="C47" t="n">
        <v>0</v>
      </c>
      <c r="D47" t="n">
        <v>2</v>
      </c>
      <c r="F47" s="72" t="n">
        <v>0.01</v>
      </c>
      <c r="H47" t="inlineStr">
        <is>
          <t>expenses of 2 horses for 1 night in search of the said wood 2pence.</t>
        </is>
      </c>
      <c r="L47" s="72">
        <f>K47</f>
        <v/>
      </c>
    </row>
    <row r="48">
      <c r="A48" t="inlineStr">
        <is>
          <t>Small necessaries</t>
        </is>
      </c>
      <c r="B48" t="n">
        <v>0</v>
      </c>
      <c r="C48" t="n">
        <v>1</v>
      </c>
      <c r="D48" t="n">
        <v>0</v>
      </c>
      <c r="F48" s="72" t="n">
        <v>0.05</v>
      </c>
      <c r="H48" t="inlineStr">
        <is>
          <t>hiring 1 carpenter for 4 days to build the head of the fishpond at the mill for keeping fish and in sawing boards for the same 1 shilling.</t>
        </is>
      </c>
      <c r="K48" s="72">
        <f>F48</f>
        <v/>
      </c>
      <c r="L48" s="72">
        <f>K48</f>
        <v/>
      </c>
    </row>
    <row r="49">
      <c r="A49" t="inlineStr">
        <is>
          <t>Small necessaries</t>
        </is>
      </c>
      <c r="B49" t="n">
        <v>0</v>
      </c>
      <c r="C49" t="n">
        <v>0</v>
      </c>
      <c r="D49" t="n">
        <v>4.5</v>
      </c>
      <c r="F49" s="72" t="n">
        <v>0.02</v>
      </c>
      <c r="H49" t="inlineStr">
        <is>
          <t>1 tripod bought for making the pottage of the manorial servants on 4.5pence.</t>
        </is>
      </c>
      <c r="K49" s="72">
        <f>F49</f>
        <v/>
      </c>
      <c r="L49" s="72">
        <f>K49</f>
        <v/>
      </c>
    </row>
    <row r="50">
      <c r="A50" t="inlineStr">
        <is>
          <t>Small necessaries</t>
        </is>
      </c>
      <c r="B50" t="n">
        <v>0</v>
      </c>
      <c r="C50" t="n">
        <v>0</v>
      </c>
      <c r="D50" t="n">
        <v>5</v>
      </c>
      <c r="F50" s="72" t="n">
        <v>0.02</v>
      </c>
      <c r="H50" t="inlineStr">
        <is>
          <t>hiring 5 women to clear forage from the barn and to make a stack of forage therefrom for 1 day 5pence.</t>
        </is>
      </c>
      <c r="K50" s="72">
        <f>F50</f>
        <v/>
      </c>
      <c r="L50" s="72">
        <f>K50</f>
        <v/>
      </c>
    </row>
    <row r="51">
      <c r="A51" t="inlineStr">
        <is>
          <t>Small necessaries</t>
        </is>
      </c>
      <c r="B51" t="n">
        <v>0</v>
      </c>
      <c r="C51" t="n">
        <v>3</v>
      </c>
      <c r="D51" t="n">
        <v>6</v>
      </c>
      <c r="F51" s="72" t="n">
        <v>0.17</v>
      </c>
      <c r="H51" t="inlineStr">
        <is>
          <t>forage bought from Matilda Semes for oxen 3 shilling 6pence.</t>
        </is>
      </c>
      <c r="L51" s="72">
        <f>K51</f>
        <v/>
      </c>
    </row>
    <row r="52">
      <c r="A52" t="inlineStr">
        <is>
          <t>Small necessaries</t>
        </is>
      </c>
      <c r="B52" t="n">
        <v>0</v>
      </c>
      <c r="C52" t="n">
        <v>0</v>
      </c>
      <c r="D52" t="n">
        <v>5.25</v>
      </c>
      <c r="F52" s="72" t="n">
        <v>0.02</v>
      </c>
      <c r="H52" t="inlineStr">
        <is>
          <t>3 hoggets bought 5.25pence.</t>
        </is>
      </c>
      <c r="L52" s="72">
        <f>K52</f>
        <v/>
      </c>
    </row>
    <row r="53">
      <c r="A53" t="inlineStr">
        <is>
          <t>Small necessaries</t>
        </is>
      </c>
      <c r="B53" t="n">
        <v>0</v>
      </c>
      <c r="C53" t="n">
        <v>0</v>
      </c>
      <c r="D53" t="n">
        <v>1</v>
      </c>
      <c r="F53" s="72" t="n">
        <v>0</v>
      </c>
      <c r="H53" t="inlineStr">
        <is>
          <t>1 padlock bought for the barn-door 1pence.</t>
        </is>
      </c>
      <c r="K53" s="72">
        <f>F53</f>
        <v/>
      </c>
      <c r="L53" s="72">
        <f>K53</f>
        <v/>
      </c>
    </row>
    <row r="54">
      <c r="A54" t="inlineStr">
        <is>
          <t>Small necessaries</t>
        </is>
      </c>
      <c r="B54" t="n">
        <v>0</v>
      </c>
      <c r="C54" t="n">
        <v>0</v>
      </c>
      <c r="D54" t="n">
        <v>1</v>
      </c>
      <c r="F54" s="72" t="n">
        <v>0</v>
      </c>
      <c r="H54" t="inlineStr">
        <is>
          <t>mending 1 bushel measure 1pence.</t>
        </is>
      </c>
      <c r="L54" s="72">
        <f>K54</f>
        <v/>
      </c>
    </row>
    <row r="55">
      <c r="A55" t="inlineStr">
        <is>
          <t>Small necessaries</t>
        </is>
      </c>
      <c r="B55" t="n">
        <v>0</v>
      </c>
      <c r="C55" t="n">
        <v>0</v>
      </c>
      <c r="D55" t="n">
        <v>4.5</v>
      </c>
      <c r="F55" s="72" t="n">
        <v>0.02</v>
      </c>
      <c r="H55" t="inlineStr">
        <is>
          <t>1 basket (sporta) bought 4.5pence.</t>
        </is>
      </c>
      <c r="K55" s="72">
        <f>F55</f>
        <v/>
      </c>
      <c r="L55" s="72">
        <f>K55</f>
        <v/>
      </c>
    </row>
    <row r="56">
      <c r="A56" t="inlineStr">
        <is>
          <t>Small necessaries</t>
        </is>
      </c>
      <c r="B56" t="n">
        <v>0</v>
      </c>
      <c r="C56" t="n">
        <v>0</v>
      </c>
      <c r="D56" t="n">
        <v>5.5</v>
      </c>
      <c r="F56" s="72">
        <f>B56+C56/20+D56/240</f>
        <v/>
      </c>
      <c r="H56" t="inlineStr">
        <is>
          <t xml:space="preserve">expenses of 2 of the lord's horses hidden for 2 days and 2 nights at Garsington so that they should not be taken for the king's use 5.5pence </t>
        </is>
      </c>
    </row>
    <row r="57">
      <c r="A57" t="inlineStr">
        <is>
          <t>Small necessaries</t>
        </is>
      </c>
      <c r="B57" t="n">
        <v>0</v>
      </c>
      <c r="C57" t="n">
        <v>17</v>
      </c>
      <c r="D57" t="n">
        <v>1.75</v>
      </c>
      <c r="F57" s="72" t="n">
        <v>0.87</v>
      </c>
      <c r="H57" t="inlineStr">
        <is>
          <t>Total, 17 shilling 1.75.pence</t>
        </is>
      </c>
    </row>
    <row r="58">
      <c r="A58" t="inlineStr">
        <is>
          <t>Small necessaries</t>
        </is>
      </c>
      <c r="F58" s="72">
        <f>SUM(F42:F56)</f>
        <v/>
      </c>
      <c r="G58" s="138">
        <f>F58-F57</f>
        <v/>
      </c>
      <c r="H58" t="inlineStr">
        <is>
          <t>Total</t>
        </is>
      </c>
    </row>
    <row r="59"/>
    <row r="60">
      <c r="A60" t="inlineStr">
        <is>
          <t>Threshing and winnowing</t>
        </is>
      </c>
      <c r="B60" t="n">
        <v>0</v>
      </c>
      <c r="C60" t="n">
        <v>9</v>
      </c>
      <c r="D60" t="n">
        <v>6</v>
      </c>
      <c r="F60" s="72" t="n">
        <v>0.48</v>
      </c>
      <c r="H60" t="inlineStr">
        <is>
          <t>In threshing 57 quarters 2 bushels of wheat by piece-work 9 shilling 6pence, at 2pence a qr.</t>
        </is>
      </c>
    </row>
    <row r="61">
      <c r="A61" t="inlineStr">
        <is>
          <t>Threshing and winnowing</t>
        </is>
      </c>
      <c r="B61" t="n">
        <v>0</v>
      </c>
      <c r="C61" t="n">
        <v>6</v>
      </c>
      <c r="D61" t="n">
        <v>1.5</v>
      </c>
      <c r="F61" s="72" t="n">
        <v>0.31</v>
      </c>
      <c r="H61" t="inlineStr">
        <is>
          <t>threshing 49 quarters 6 bushels of barley 6 shilling 1.5pence, at 1.5pence a qr.</t>
        </is>
      </c>
    </row>
    <row r="62">
      <c r="A62" t="inlineStr">
        <is>
          <t>Threshing and winnowing</t>
        </is>
      </c>
      <c r="B62" t="n">
        <v>0</v>
      </c>
      <c r="C62" t="n">
        <v>4</v>
      </c>
      <c r="D62" t="n">
        <v>5.75</v>
      </c>
      <c r="F62" s="72" t="n">
        <v>0.22</v>
      </c>
      <c r="H62" t="inlineStr">
        <is>
          <t>threshing 43 quarters 1 bushels of dredge by piece-work 4 shilling 5.75pence, at 1.25pence a qr.</t>
        </is>
      </c>
    </row>
    <row r="63">
      <c r="A63" t="inlineStr">
        <is>
          <t>Threshing and winnowing</t>
        </is>
      </c>
      <c r="B63" t="n">
        <v>0</v>
      </c>
      <c r="C63" t="n">
        <v>0</v>
      </c>
      <c r="D63" t="n">
        <v>2.25</v>
      </c>
      <c r="F63" s="72">
        <f>B63+C63/20+D63/240</f>
        <v/>
      </c>
      <c r="H63" t="inlineStr">
        <is>
          <t>threshing 1 qr 3 bushels of vetches by piece-work 2.25 pence</t>
        </is>
      </c>
    </row>
    <row r="64">
      <c r="A64" t="inlineStr">
        <is>
          <t>Threshing and winnowing</t>
        </is>
      </c>
      <c r="B64" t="n">
        <v>0</v>
      </c>
      <c r="C64" t="n">
        <v>2</v>
      </c>
      <c r="D64" t="n">
        <v>6</v>
      </c>
      <c r="F64" s="72" t="n">
        <v>0.12</v>
      </c>
      <c r="H64" t="inlineStr">
        <is>
          <t>winnowing all the abovesaid corn, that is, 151 quarters 4 bushels of whatever kind of corn, 2 shilling 6pence, at 1pence per 5 quarters of whatever kind of corn by struck measure.</t>
        </is>
      </c>
    </row>
    <row r="65">
      <c r="A65" t="inlineStr">
        <is>
          <t>Threshing and winnowing</t>
        </is>
      </c>
      <c r="B65" t="n">
        <v>0</v>
      </c>
      <c r="C65" t="n">
        <v>4</v>
      </c>
      <c r="D65" t="n">
        <v>3</v>
      </c>
      <c r="F65" s="72" t="n">
        <v>0.21</v>
      </c>
      <c r="H65" t="inlineStr">
        <is>
          <t>wages of John Touresmere overseeing the threshing and winnowing of corn by the day, 4 shilling 3pence for 1 term, taking 1.5pence a day.</t>
        </is>
      </c>
    </row>
    <row r="66">
      <c r="A66" t="inlineStr">
        <is>
          <t>Threshing and winnowing</t>
        </is>
      </c>
      <c r="B66" t="n">
        <v>0</v>
      </c>
      <c r="C66" t="n">
        <v>2</v>
      </c>
      <c r="D66" t="n">
        <v>0</v>
      </c>
      <c r="F66" s="72" t="n">
        <v>0.1</v>
      </c>
      <c r="H66" t="inlineStr">
        <is>
          <t>stipend of the same 2 shilling, because he takes the rest up to 10 shilling elsewhere.</t>
        </is>
      </c>
    </row>
    <row r="67">
      <c r="A67" t="inlineStr">
        <is>
          <t>Threshing and winnowing</t>
        </is>
      </c>
      <c r="B67" t="n">
        <v>1</v>
      </c>
      <c r="C67" t="n">
        <v>9</v>
      </c>
      <c r="D67" t="n">
        <v>0</v>
      </c>
      <c r="F67" s="72" t="n">
        <v>1.45</v>
      </c>
      <c r="H67" t="inlineStr">
        <is>
          <t>Total, £1 9 shilling .5pence</t>
        </is>
      </c>
    </row>
    <row r="68">
      <c r="A68" t="inlineStr">
        <is>
          <t>Threshing and winnowing</t>
        </is>
      </c>
      <c r="F68" s="72">
        <f>SUM(F60:F66)</f>
        <v/>
      </c>
      <c r="G68" s="138">
        <f>F68-F67</f>
        <v/>
      </c>
      <c r="H68" t="inlineStr">
        <is>
          <t>Total</t>
        </is>
      </c>
    </row>
    <row r="69"/>
    <row r="70">
      <c r="A70" t="inlineStr">
        <is>
          <t>Purchase of corn</t>
        </is>
      </c>
      <c r="B70" t="n">
        <v>0</v>
      </c>
      <c r="C70" t="n">
        <v>5</v>
      </c>
      <c r="D70" t="n">
        <v>8</v>
      </c>
      <c r="F70" s="72" t="n">
        <v>0.28</v>
      </c>
      <c r="H70" t="inlineStr">
        <is>
          <t>In 3 quarters of beans bought for sowing 5 shilling, at 1 shilling 8pence a qr.</t>
        </is>
      </c>
    </row>
    <row r="71">
      <c r="A71" t="inlineStr">
        <is>
          <t>Purchase of corn</t>
        </is>
      </c>
      <c r="B71" t="n">
        <v>0</v>
      </c>
      <c r="C71" t="n">
        <v>1</v>
      </c>
      <c r="D71" t="n">
        <v>8</v>
      </c>
      <c r="F71" s="72" t="n">
        <v>0.08</v>
      </c>
      <c r="H71" t="inlineStr">
        <is>
          <t>1 qr of beans bought for the same and for fodder 1 shilling 8pence.</t>
        </is>
      </c>
    </row>
    <row r="72">
      <c r="A72" t="inlineStr">
        <is>
          <t>Purchase of corn</t>
        </is>
      </c>
      <c r="B72" t="n">
        <v>0</v>
      </c>
      <c r="C72" t="n">
        <v>1</v>
      </c>
      <c r="D72" t="n">
        <v>4.5</v>
      </c>
      <c r="F72" s="72" t="n">
        <v>0.07000000000000001</v>
      </c>
      <c r="H72" t="inlineStr">
        <is>
          <t>1 qr of beans bought for fodder 1 shilling 4.5pence.</t>
        </is>
      </c>
    </row>
    <row r="73">
      <c r="A73" t="inlineStr">
        <is>
          <t>Purchase of corn</t>
        </is>
      </c>
      <c r="B73" t="n">
        <v>0</v>
      </c>
      <c r="C73" t="n">
        <v>0</v>
      </c>
      <c r="D73" t="n">
        <v>4.5</v>
      </c>
      <c r="F73" s="72">
        <f>B73+C73/20+D73/240</f>
        <v/>
      </c>
      <c r="H73" t="inlineStr">
        <is>
          <t xml:space="preserve">2 bushels of beans bought for the same 4.5pence </t>
        </is>
      </c>
    </row>
    <row r="74">
      <c r="A74" t="inlineStr">
        <is>
          <t>Purchase of corn</t>
        </is>
      </c>
      <c r="B74" t="n">
        <v>0</v>
      </c>
      <c r="C74" t="n">
        <v>8</v>
      </c>
      <c r="D74" t="n">
        <v>4.5</v>
      </c>
      <c r="F74" s="72" t="n">
        <v>0.42</v>
      </c>
      <c r="H74" t="inlineStr">
        <is>
          <t>Total, 8 shilling 5pence</t>
        </is>
      </c>
    </row>
    <row r="75">
      <c r="A75" t="inlineStr">
        <is>
          <t>Purchase of corn</t>
        </is>
      </c>
      <c r="F75" s="72">
        <f>SUM(F70:F73)</f>
        <v/>
      </c>
      <c r="G75" s="138">
        <f>F75-F74</f>
        <v/>
      </c>
      <c r="H75" t="inlineStr">
        <is>
          <t>Total</t>
        </is>
      </c>
    </row>
    <row r="76"/>
    <row r="77">
      <c r="A77" t="inlineStr">
        <is>
          <t>Cost of buildings</t>
        </is>
      </c>
      <c r="B77" t="n">
        <v>0</v>
      </c>
      <c r="C77" t="n">
        <v>1</v>
      </c>
      <c r="D77" t="n">
        <v>6</v>
      </c>
      <c r="F77" s="72" t="n">
        <v>0.08</v>
      </c>
      <c r="H77" t="inlineStr">
        <is>
          <t>In felling and sawing timber together with repairing the said timber to bring it from the wood of la Wassch' 1 shilling 6pence.</t>
        </is>
      </c>
      <c r="K77" s="72">
        <f>F77</f>
        <v/>
      </c>
    </row>
    <row r="78">
      <c r="A78" t="inlineStr">
        <is>
          <t>Cost of buildings</t>
        </is>
      </c>
      <c r="B78" t="n">
        <v>0</v>
      </c>
      <c r="C78" t="n">
        <v>0</v>
      </c>
      <c r="D78" t="n">
        <v>10</v>
      </c>
      <c r="F78" s="72" t="n">
        <v>0.04</v>
      </c>
      <c r="H78" t="inlineStr">
        <is>
          <t>1,000 lath-nails bought for the walls of the barn 10pence, that is, for fastening the laths.</t>
        </is>
      </c>
      <c r="K78" s="72">
        <f>F78</f>
        <v/>
      </c>
      <c r="L78" s="72">
        <f>K78</f>
        <v/>
      </c>
    </row>
    <row r="79">
      <c r="A79" t="inlineStr">
        <is>
          <t>Cost of buildings</t>
        </is>
      </c>
      <c r="B79" t="n">
        <v>0</v>
      </c>
      <c r="C79" t="n">
        <v>9</v>
      </c>
      <c r="D79" t="n">
        <v>6</v>
      </c>
      <c r="F79" s="72" t="n">
        <v>0.48</v>
      </c>
      <c r="H79" t="inlineStr">
        <is>
          <t>hiring 1 carpenter to repair the said barn with the said timber by piece-work 9 shilling 6pence.</t>
        </is>
      </c>
      <c r="K79" s="72">
        <f>F79</f>
        <v/>
      </c>
      <c r="L79" s="72">
        <f>K79</f>
        <v/>
      </c>
    </row>
    <row r="80">
      <c r="A80" t="inlineStr">
        <is>
          <t>Cost of buildings</t>
        </is>
      </c>
      <c r="B80" t="n">
        <v>0</v>
      </c>
      <c r="C80" t="n">
        <v>5</v>
      </c>
      <c r="D80" t="n">
        <v>7.5</v>
      </c>
      <c r="F80" s="72" t="n">
        <v>0.28</v>
      </c>
      <c r="H80" t="inlineStr">
        <is>
          <t>hiring 1 roofer to roof over 2 barns for 22.5 days 5 shilling 7.5pence, taking 3pence a day.</t>
        </is>
      </c>
      <c r="K80" s="72">
        <f>F80</f>
        <v/>
      </c>
      <c r="L80" s="72">
        <f>K80</f>
        <v/>
      </c>
    </row>
    <row r="81">
      <c r="A81" t="inlineStr">
        <is>
          <t>Cost of buildings</t>
        </is>
      </c>
      <c r="B81" t="n">
        <v>0</v>
      </c>
      <c r="C81" t="n">
        <v>5</v>
      </c>
      <c r="D81" t="n">
        <v>7.5</v>
      </c>
      <c r="F81" s="72" t="n">
        <v>0.28</v>
      </c>
      <c r="H81" t="inlineStr">
        <is>
          <t>3 women assisting him for the same time 5 shilling 7.5pence, or 1pence each a day.</t>
        </is>
      </c>
      <c r="K81" s="72">
        <f>F81</f>
        <v/>
      </c>
      <c r="L81" s="72">
        <f>K81</f>
        <v/>
      </c>
    </row>
    <row r="82">
      <c r="A82" t="inlineStr">
        <is>
          <t>Cost of buildings</t>
        </is>
      </c>
      <c r="B82" t="n">
        <v>0</v>
      </c>
      <c r="C82" t="n">
        <v>0</v>
      </c>
      <c r="D82" t="n">
        <v>2</v>
      </c>
      <c r="F82" s="72" t="n">
        <v>0.01</v>
      </c>
      <c r="H82" t="inlineStr">
        <is>
          <t>hiring a certain roofer to roof over the said barn for 1 day in winter 2pence.</t>
        </is>
      </c>
      <c r="K82" s="72">
        <f>F82</f>
        <v/>
      </c>
      <c r="L82" s="72">
        <f>K82</f>
        <v/>
      </c>
    </row>
    <row r="83">
      <c r="A83" t="inlineStr">
        <is>
          <t>Cost of buildings</t>
        </is>
      </c>
      <c r="B83" t="n">
        <v>0</v>
      </c>
      <c r="C83" t="n">
        <v>0</v>
      </c>
      <c r="D83" t="n">
        <v>2</v>
      </c>
      <c r="F83" s="72" t="n">
        <v>0.01</v>
      </c>
      <c r="H83" t="inlineStr">
        <is>
          <t>2 women assisting him for the same time 2pence.</t>
        </is>
      </c>
      <c r="K83" s="72">
        <f>F83</f>
        <v/>
      </c>
      <c r="L83" s="72">
        <f>K83</f>
        <v/>
      </c>
    </row>
    <row r="84">
      <c r="A84" t="inlineStr">
        <is>
          <t>Cost of buildings</t>
        </is>
      </c>
      <c r="B84" t="n">
        <v>0</v>
      </c>
      <c r="C84" t="n">
        <v>0</v>
      </c>
      <c r="D84" t="n">
        <v>1.5</v>
      </c>
      <c r="F84" s="72">
        <f>B84+C84/20+D84/240</f>
        <v/>
      </c>
      <c r="H84" t="inlineStr">
        <is>
          <t xml:space="preserve">making 1 hinge for the gate and mending 2 latches for the hall door 1.5pence </t>
        </is>
      </c>
      <c r="K84" s="72">
        <f>F84</f>
        <v/>
      </c>
      <c r="L84" s="72">
        <f>K84</f>
        <v/>
      </c>
    </row>
    <row r="85">
      <c r="A85" t="inlineStr">
        <is>
          <t>Cost of buildings</t>
        </is>
      </c>
      <c r="B85" t="n">
        <v>1</v>
      </c>
      <c r="C85" t="n">
        <v>3</v>
      </c>
      <c r="D85" t="n">
        <v>6.5</v>
      </c>
      <c r="F85" s="72" t="n">
        <v>1.18</v>
      </c>
      <c r="H85" t="inlineStr">
        <is>
          <t>Total, £1 3 shilling 6.5pence</t>
        </is>
      </c>
    </row>
    <row r="86">
      <c r="A86" t="inlineStr">
        <is>
          <t>Cost of buildings</t>
        </is>
      </c>
      <c r="F86" s="72">
        <f>SUM(F77:F84)</f>
        <v/>
      </c>
      <c r="G86" s="138">
        <f>F86-F85</f>
        <v/>
      </c>
      <c r="H86" t="inlineStr">
        <is>
          <t>Total</t>
        </is>
      </c>
    </row>
    <row r="87"/>
    <row r="88">
      <c r="A88" t="inlineStr">
        <is>
          <t>Customary payments</t>
        </is>
      </c>
      <c r="B88" t="n">
        <v>0</v>
      </c>
      <c r="C88" t="n">
        <v>6</v>
      </c>
      <c r="D88" t="n">
        <v>10</v>
      </c>
      <c r="F88" s="72" t="n">
        <v>0.34</v>
      </c>
      <c r="H88" t="inlineStr">
        <is>
          <t xml:space="preserve">In food and drink for 41 men mowing 18 acres of meadow according to custom 6 shilling 10pence </t>
        </is>
      </c>
    </row>
    <row r="89">
      <c r="A89" t="inlineStr">
        <is>
          <t>Customary payments</t>
        </is>
      </c>
      <c r="B89" t="n">
        <v>0</v>
      </c>
      <c r="C89" t="n">
        <v>6</v>
      </c>
      <c r="D89" t="n">
        <v>10</v>
      </c>
      <c r="F89" s="72" t="n">
        <v>0.34</v>
      </c>
      <c r="H89" t="inlineStr">
        <is>
          <t>Total, 6 shilling 10pence</t>
        </is>
      </c>
    </row>
    <row r="90">
      <c r="A90" t="inlineStr">
        <is>
          <t>Customary payments</t>
        </is>
      </c>
      <c r="F90" s="72" t="n">
        <v>0.34</v>
      </c>
      <c r="G90" s="138" t="n">
        <v>0</v>
      </c>
      <c r="H90" t="inlineStr">
        <is>
          <t>Total</t>
        </is>
      </c>
    </row>
    <row r="91"/>
    <row r="92">
      <c r="A92" t="inlineStr">
        <is>
          <t>Cost of the harvest</t>
        </is>
      </c>
      <c r="B92" t="n">
        <v>1</v>
      </c>
      <c r="C92" t="n">
        <v>17</v>
      </c>
      <c r="D92" t="n">
        <v>9</v>
      </c>
      <c r="F92" s="72" t="n">
        <v>1.89</v>
      </c>
      <c r="H92" t="inlineStr">
        <is>
          <t>In expenses of 5 harvest boon-works of 302 men reaping for a whole day, who reaped 228 acres of whatever kind of corn and had a meal twice a day, £1 17 shilling 9pence, and thus each took 1.5pence a day for 2 mea1 shilling.</t>
        </is>
      </c>
    </row>
    <row r="93">
      <c r="A93" t="inlineStr">
        <is>
          <t>Cost of the harvest</t>
        </is>
      </c>
      <c r="B93" t="n">
        <v>0</v>
      </c>
      <c r="C93" t="n">
        <v>1</v>
      </c>
      <c r="D93" t="n">
        <v>0</v>
      </c>
      <c r="F93" s="72" t="n">
        <v>0.05</v>
      </c>
      <c r="H93" t="inlineStr">
        <is>
          <t>hiring 1 man to follow the cart in search of corn at harvest-time for 6 days 1 shilling, because the ploughmen were at the ploughs for the whole day.</t>
        </is>
      </c>
    </row>
    <row r="94">
      <c r="A94" t="inlineStr">
        <is>
          <t>Cost of the harvest</t>
        </is>
      </c>
      <c r="B94" t="n">
        <v>1</v>
      </c>
      <c r="C94" t="n">
        <v>18</v>
      </c>
      <c r="D94" t="n">
        <v>9</v>
      </c>
      <c r="F94" s="72" t="n">
        <v>1.94</v>
      </c>
      <c r="H94" t="inlineStr">
        <is>
          <t>Total, £1 18 shilling 9pence</t>
        </is>
      </c>
    </row>
    <row r="95">
      <c r="A95" t="inlineStr">
        <is>
          <t>Cost of the harvest</t>
        </is>
      </c>
      <c r="F95" s="72" t="n">
        <v>1.94</v>
      </c>
      <c r="G95" s="138" t="n">
        <v>0</v>
      </c>
      <c r="H95" t="inlineStr">
        <is>
          <t>Total</t>
        </is>
      </c>
    </row>
    <row r="96"/>
    <row r="97">
      <c r="A97" t="inlineStr">
        <is>
          <t>Expenses of the bailiff and other expenses</t>
        </is>
      </c>
      <c r="B97" t="n">
        <v>2</v>
      </c>
      <c r="C97" t="n">
        <v>0</v>
      </c>
      <c r="D97" t="n">
        <v>0</v>
      </c>
      <c r="F97" t="n">
        <v>2</v>
      </c>
      <c r="H97" t="inlineStr">
        <is>
          <t>Paid to Roginald de Lynham, bailiff, for part of his wages, £2 for 1 term.</t>
        </is>
      </c>
    </row>
    <row r="98">
      <c r="A98" t="inlineStr">
        <is>
          <t>Expenses of the bailiff and other expenses</t>
        </is>
      </c>
      <c r="B98" t="n">
        <v>0</v>
      </c>
      <c r="C98" t="n">
        <v>6</v>
      </c>
      <c r="D98" t="n">
        <v>8</v>
      </c>
      <c r="F98" t="n">
        <v>0.33</v>
      </c>
      <c r="H98" t="inlineStr">
        <is>
          <t xml:space="preserve">Given to the clerk of the justices assessing the fifteenth for a certain distraint against the lord bishop, taken for the fifteenth, 6 shilling 8pence </t>
        </is>
      </c>
    </row>
    <row r="99">
      <c r="A99" t="inlineStr">
        <is>
          <t>Expenses of the bailiff and other expenses</t>
        </is>
      </c>
      <c r="C99" t="n">
        <v>2</v>
      </c>
      <c r="D99" t="n">
        <v>1</v>
      </c>
      <c r="F99">
        <f>B99+C99/20+D99/240</f>
        <v/>
      </c>
      <c r="H99" t="inlineStr">
        <is>
          <t>Given to the king's marshal for not taking the lord's hay 2 shilling 1pence.</t>
        </is>
      </c>
    </row>
    <row r="100">
      <c r="A100" t="inlineStr">
        <is>
          <t>Expenses of the bailiff and other expenses</t>
        </is>
      </c>
      <c r="B100" t="n">
        <v>0</v>
      </c>
      <c r="C100" t="n">
        <v>6</v>
      </c>
      <c r="D100" t="n">
        <v>8</v>
      </c>
      <c r="F100" s="72">
        <f>B100+C100/20+D100/240</f>
        <v/>
      </c>
      <c r="H100" t="inlineStr">
        <is>
          <t xml:space="preserve">stipend of 1 overseer of the harvest for the year 6 shilling 8pence </t>
        </is>
      </c>
    </row>
    <row r="101">
      <c r="A101" t="inlineStr">
        <is>
          <t>Expenses of the bailiff and other expenses</t>
        </is>
      </c>
      <c r="B101" t="n">
        <v>2</v>
      </c>
      <c r="C101" t="n">
        <v>15</v>
      </c>
      <c r="D101" t="n">
        <v>5</v>
      </c>
      <c r="F101" t="n">
        <v>2.77</v>
      </c>
      <c r="H101" t="inlineStr">
        <is>
          <t>Total, £2 15 shilling 5pence</t>
        </is>
      </c>
    </row>
    <row r="102">
      <c r="F102" s="72">
        <f>SUM(F97:F100)</f>
        <v/>
      </c>
      <c r="G102" s="138">
        <f>F102-F101</f>
        <v/>
      </c>
      <c r="H102" t="inlineStr">
        <is>
          <t>Total</t>
        </is>
      </c>
    </row>
    <row r="103"/>
    <row r="104">
      <c r="A104" t="inlineStr">
        <is>
          <t>Total of all expenses</t>
        </is>
      </c>
      <c r="B104" t="n">
        <v>14</v>
      </c>
      <c r="C104" t="n">
        <v>5</v>
      </c>
      <c r="D104" t="n">
        <v>10.25</v>
      </c>
      <c r="F104" s="72" t="n">
        <v>14.29</v>
      </c>
      <c r="H104" t="inlineStr">
        <is>
          <t>Total of all expenses, £14 5 shilling 10.25pence</t>
        </is>
      </c>
    </row>
    <row r="105"/>
    <row r="106">
      <c r="A106" t="inlineStr">
        <is>
          <t>And he owes</t>
        </is>
      </c>
      <c r="B106" t="n">
        <v>44</v>
      </c>
      <c r="C106" t="n">
        <v>5</v>
      </c>
      <c r="D106" t="n">
        <v>9.75</v>
      </c>
      <c r="F106" s="72" t="n">
        <v>44.29</v>
      </c>
      <c r="H106" t="inlineStr">
        <is>
          <t>And he owes, £44 5 shilling 9.75pence</t>
        </is>
      </c>
    </row>
    <row r="107">
      <c r="A107" t="inlineStr">
        <is>
          <t>And he owes</t>
        </is>
      </c>
      <c r="F107" s="72" t="n">
        <v>44.29</v>
      </c>
      <c r="G107" s="138" t="n">
        <v>0</v>
      </c>
      <c r="H107" t="inlineStr">
        <is>
          <t>Total</t>
        </is>
      </c>
    </row>
    <row r="108"/>
    <row r="109">
      <c r="A109" t="inlineStr">
        <is>
          <t>Cash deliveries</t>
        </is>
      </c>
      <c r="B109" t="n">
        <v>33</v>
      </c>
      <c r="C109" t="n">
        <v>10</v>
      </c>
      <c r="D109" t="n">
        <v>0</v>
      </c>
      <c r="F109" s="72" t="n">
        <v>33.5</v>
      </c>
      <c r="H109" t="inlineStr">
        <is>
          <t>Delivered to Sir Geoffrey, treasurer of Wolvesey, by 1 tally, £33 10 shilling</t>
        </is>
      </c>
    </row>
    <row r="110">
      <c r="A110" t="inlineStr">
        <is>
          <t>Cash deliveries</t>
        </is>
      </c>
      <c r="B110" t="n">
        <v>10</v>
      </c>
      <c r="C110" t="n">
        <v>15</v>
      </c>
      <c r="D110" t="n">
        <v>9.75</v>
      </c>
      <c r="F110" s="72" t="n">
        <v>10.79</v>
      </c>
      <c r="H110" t="inlineStr">
        <is>
          <t>And thus he owes clear, £10 15 shilling 9.75pence</t>
        </is>
      </c>
    </row>
    <row r="111"/>
    <row r="112" ht="16" customHeight="1">
      <c r="A112" s="12" t="inlineStr">
        <is>
          <t>Total of all expenses per account</t>
        </is>
      </c>
      <c r="F112" s="72">
        <f>F104</f>
        <v/>
      </c>
    </row>
    <row r="113" ht="16" customHeight="1">
      <c r="A113" s="12" t="inlineStr">
        <is>
          <t>Total of all expenses (calculated here)</t>
        </is>
      </c>
      <c r="F113" s="72">
        <f>F95+F90+F86+F75+F68+F58+F19+F40+F33+F102</f>
        <v/>
      </c>
      <c r="G113" s="138">
        <f>F113-F112</f>
        <v/>
      </c>
    </row>
    <row r="114" ht="16" customHeight="1">
      <c r="A114" s="12" t="inlineStr">
        <is>
          <t>Total fixed investment</t>
        </is>
      </c>
      <c r="F114" s="72">
        <f>SUM(K3:K86)</f>
        <v/>
      </c>
    </row>
    <row r="115" ht="16" customHeight="1">
      <c r="A115" s="12" t="inlineStr">
        <is>
          <t>Total Demesne fixed investment</t>
        </is>
      </c>
      <c r="F115" s="72">
        <f>SUM(L3:L85)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2.1640625" customWidth="1" min="2" max="2"/>
    <col width="16.1640625" customWidth="1" min="3" max="3"/>
    <col width="20" customWidth="1" min="4" max="4"/>
    <col width="21.5" customWidth="1" min="5" max="5"/>
    <col width="15.83203125" customWidth="1" min="6" max="6"/>
    <col width="19.33203125" customWidth="1" min="7" max="7"/>
    <col width="22.83203125" customWidth="1" min="10" max="10"/>
    <col width="14.6640625" customWidth="1" min="13" max="13"/>
    <col width="8.1640625" customWidth="1" min="14" max="14"/>
    <col width="11.83203125" customWidth="1" min="15" max="15"/>
    <col width="18.83203125" customWidth="1" min="16" max="16"/>
  </cols>
  <sheetData>
    <row r="1" ht="32" customHeight="1">
      <c r="A1" s="37" t="inlineStr">
        <is>
          <t>Gross Output</t>
        </is>
      </c>
      <c r="B1" s="37" t="inlineStr">
        <is>
          <t>Total Quantity</t>
        </is>
      </c>
      <c r="C1" s="139" t="inlineStr">
        <is>
          <t>Account Total Quarters</t>
        </is>
      </c>
      <c r="D1" s="37" t="inlineStr">
        <is>
          <t>Bought in Total Quarters</t>
        </is>
      </c>
      <c r="E1" s="37" t="inlineStr">
        <is>
          <t>Received from churchscot</t>
        </is>
      </c>
      <c r="F1" s="37" t="inlineStr">
        <is>
          <t>Sold Total Quarters</t>
        </is>
      </c>
      <c r="G1" s="139" t="inlineStr">
        <is>
          <t>Difference Produced+Bought-Sold</t>
        </is>
      </c>
      <c r="H1" s="139" t="inlineStr">
        <is>
          <t>Weighted Average Price per Quarter</t>
        </is>
      </c>
      <c r="I1" s="140" t="inlineStr">
        <is>
          <t>Value of Total Production weighted</t>
        </is>
      </c>
    </row>
    <row r="2">
      <c r="A2" t="inlineStr">
        <is>
          <t>wheat</t>
        </is>
      </c>
      <c r="B2" s="72" t="n">
        <v>95.875</v>
      </c>
      <c r="C2" s="72" t="n">
        <v>95.875</v>
      </c>
      <c r="D2" s="141" t="n">
        <v>0</v>
      </c>
      <c r="E2" s="72" t="n"/>
      <c r="F2" s="72" t="n">
        <v>69.0625</v>
      </c>
      <c r="G2" s="72">
        <f>B2-F2</f>
        <v/>
      </c>
      <c r="H2" s="72" t="n">
        <v>0.2810859728506788</v>
      </c>
      <c r="I2" s="72">
        <f>H2*B2</f>
        <v/>
      </c>
    </row>
    <row r="3">
      <c r="A3" t="inlineStr">
        <is>
          <t>barley</t>
        </is>
      </c>
      <c r="B3" s="72" t="n">
        <v>49.75</v>
      </c>
      <c r="C3" s="72" t="n">
        <v>49.75</v>
      </c>
      <c r="D3" s="141" t="n">
        <v>0</v>
      </c>
      <c r="E3" s="72" t="n"/>
      <c r="F3" s="72" t="n">
        <v>15.0625</v>
      </c>
      <c r="G3" s="72">
        <f>B3-F3</f>
        <v/>
      </c>
      <c r="H3" s="72" t="n">
        <v>0.1748271092669433</v>
      </c>
      <c r="I3" s="72">
        <f>H3*B3</f>
        <v/>
      </c>
    </row>
    <row r="4">
      <c r="A4" t="inlineStr">
        <is>
          <t>dredge</t>
        </is>
      </c>
      <c r="B4" s="72" t="n">
        <v>54.625</v>
      </c>
      <c r="C4" s="72" t="n">
        <v>54.625</v>
      </c>
      <c r="D4" s="141" t="n">
        <v>0</v>
      </c>
      <c r="E4" s="72" t="n"/>
      <c r="F4" s="72" t="n">
        <v>34.25</v>
      </c>
      <c r="G4" s="72">
        <f>B4-F4</f>
        <v/>
      </c>
      <c r="H4" s="72" t="n">
        <v>0.15</v>
      </c>
      <c r="I4" s="72">
        <f>H4*B4</f>
        <v/>
      </c>
    </row>
    <row r="5">
      <c r="A5" t="inlineStr">
        <is>
          <t>vetches</t>
        </is>
      </c>
      <c r="B5" s="72" t="n">
        <v>4.375</v>
      </c>
      <c r="C5" s="72" t="n">
        <v>4.375</v>
      </c>
      <c r="D5" s="141" t="n">
        <v>0</v>
      </c>
      <c r="E5" s="72" t="n"/>
      <c r="F5" s="72" t="n">
        <v>0.625</v>
      </c>
      <c r="G5" s="72">
        <f>B5-F5</f>
        <v/>
      </c>
      <c r="H5" s="72" t="n">
        <v>0.05</v>
      </c>
      <c r="I5" s="72">
        <f>H5*B5</f>
        <v/>
      </c>
    </row>
    <row r="6">
      <c r="A6" t="inlineStr">
        <is>
          <t>beans</t>
        </is>
      </c>
      <c r="B6" s="72" t="n">
        <v>5.25</v>
      </c>
      <c r="C6" s="72" t="n">
        <v>0</v>
      </c>
      <c r="D6" s="141" t="n">
        <v>5.25</v>
      </c>
      <c r="E6" s="72" t="n"/>
      <c r="F6" s="72" t="n"/>
      <c r="G6" s="72" t="n"/>
      <c r="H6" s="72" t="n"/>
      <c r="I6" s="72">
        <f>H6*B6</f>
        <v/>
      </c>
    </row>
    <row r="7"/>
    <row r="8">
      <c r="A8" s="142" t="inlineStr">
        <is>
          <t>Total Production</t>
        </is>
      </c>
      <c r="I8" s="72">
        <f>SUM(I2:I6)</f>
        <v/>
      </c>
    </row>
    <row r="9">
      <c r="A9" s="142" t="inlineStr">
        <is>
          <t>Sales of corn (as recorded in accounts)</t>
        </is>
      </c>
    </row>
    <row r="10"/>
    <row r="11"/>
    <row r="12" ht="32" customHeight="1">
      <c r="A12" s="38" t="inlineStr">
        <is>
          <t>Net output</t>
        </is>
      </c>
      <c r="B12" s="143" t="inlineStr">
        <is>
          <t>Gross output</t>
        </is>
      </c>
      <c r="C12" s="144" t="inlineStr">
        <is>
          <t>Seed quarters</t>
        </is>
      </c>
      <c r="D12" s="144" t="inlineStr">
        <is>
          <t>Seed bushels</t>
        </is>
      </c>
      <c r="E12" s="144" t="inlineStr">
        <is>
          <t>Seed total quarters</t>
        </is>
      </c>
      <c r="F12" s="38" t="inlineStr">
        <is>
          <t>tithe quarters</t>
        </is>
      </c>
      <c r="G12" s="144" t="inlineStr">
        <is>
          <t>tithe bushels</t>
        </is>
      </c>
      <c r="H12" s="144" t="inlineStr">
        <is>
          <t>tithe total</t>
        </is>
      </c>
      <c r="I12" s="144" t="inlineStr">
        <is>
          <t>manorial servants quarters</t>
        </is>
      </c>
      <c r="J12" s="144" t="inlineStr">
        <is>
          <t>manorial servants bushels</t>
        </is>
      </c>
      <c r="K12" s="145" t="inlineStr">
        <is>
          <t>manorial servants total quarters</t>
        </is>
      </c>
      <c r="L12" s="144" t="inlineStr">
        <is>
          <t>output net of tithe, seed, liveries</t>
        </is>
      </c>
      <c r="M12" s="144" t="inlineStr">
        <is>
          <t>in stock from last year</t>
        </is>
      </c>
      <c r="N12" s="146" t="inlineStr">
        <is>
          <t>Price in £</t>
        </is>
      </c>
      <c r="O12" s="146" t="inlineStr">
        <is>
          <t>Value of net output in £</t>
        </is>
      </c>
      <c r="P12" s="143" t="inlineStr">
        <is>
          <t>Value of sales (in "Sale of Corn") in £</t>
        </is>
      </c>
    </row>
    <row r="13">
      <c r="A13" t="inlineStr">
        <is>
          <t>wheat</t>
        </is>
      </c>
      <c r="B13" s="72">
        <f>B2</f>
        <v/>
      </c>
      <c r="C13">
        <f>23</f>
        <v/>
      </c>
      <c r="D13" t="n">
        <v>5</v>
      </c>
      <c r="E13">
        <f>C13+D13/8</f>
        <v/>
      </c>
      <c r="I13">
        <f>3</f>
        <v/>
      </c>
      <c r="J13">
        <f>2</f>
        <v/>
      </c>
      <c r="K13" s="147">
        <f>I13+J13/8</f>
        <v/>
      </c>
      <c r="L13" s="72">
        <f>B13-E13-K13</f>
        <v/>
      </c>
      <c r="N13" s="72">
        <f>H2</f>
        <v/>
      </c>
      <c r="O13" s="72">
        <f>L13*N13</f>
        <v/>
      </c>
    </row>
    <row r="14">
      <c r="A14" t="inlineStr">
        <is>
          <t>barley</t>
        </is>
      </c>
      <c r="B14" s="72">
        <f>B3</f>
        <v/>
      </c>
      <c r="C14">
        <f>12</f>
        <v/>
      </c>
      <c r="D14">
        <f>7</f>
        <v/>
      </c>
      <c r="E14">
        <f>C14+D14/8</f>
        <v/>
      </c>
      <c r="I14">
        <f>3+15+3</f>
        <v/>
      </c>
      <c r="J14">
        <f>2+3.5</f>
        <v/>
      </c>
      <c r="K14" s="147">
        <f>I14+J14/8</f>
        <v/>
      </c>
      <c r="L14" s="72">
        <f>B14-E14-K14</f>
        <v/>
      </c>
      <c r="N14" s="72">
        <f>H3</f>
        <v/>
      </c>
      <c r="O14" s="72">
        <f>L14*N14</f>
        <v/>
      </c>
    </row>
    <row r="15">
      <c r="A15" t="inlineStr">
        <is>
          <t>dredge</t>
        </is>
      </c>
      <c r="B15" s="72">
        <f>B4</f>
        <v/>
      </c>
      <c r="C15" t="n">
        <v>20</v>
      </c>
      <c r="D15" t="n">
        <v>3</v>
      </c>
      <c r="E15">
        <f>C15+D15/8</f>
        <v/>
      </c>
      <c r="K15" s="147">
        <f>I15+J15/8</f>
        <v/>
      </c>
      <c r="L15" s="72">
        <f>B15-E15-K15</f>
        <v/>
      </c>
      <c r="N15" s="72">
        <f>H4</f>
        <v/>
      </c>
      <c r="O15" s="72">
        <f>L15*N15</f>
        <v/>
      </c>
    </row>
    <row r="16">
      <c r="A16" t="inlineStr">
        <is>
          <t>vetches</t>
        </is>
      </c>
      <c r="B16" s="72">
        <f>B5</f>
        <v/>
      </c>
      <c r="D16" t="n">
        <v>6</v>
      </c>
      <c r="E16">
        <f>C16+D16/8</f>
        <v/>
      </c>
      <c r="I16" t="n">
        <v>3</v>
      </c>
      <c r="K16" s="147">
        <f>I16+J16/8</f>
        <v/>
      </c>
      <c r="L16" s="72">
        <f>B16-E16-K16</f>
        <v/>
      </c>
      <c r="N16" s="72">
        <f>H5</f>
        <v/>
      </c>
      <c r="O16" s="72">
        <f>L16*N16</f>
        <v/>
      </c>
    </row>
    <row r="17">
      <c r="A17" t="inlineStr">
        <is>
          <t>beans</t>
        </is>
      </c>
      <c r="B17" s="72">
        <f>B6</f>
        <v/>
      </c>
      <c r="C17" t="n">
        <v>3</v>
      </c>
      <c r="E17">
        <f>C17+D17/8</f>
        <v/>
      </c>
      <c r="I17" t="n">
        <v>2</v>
      </c>
      <c r="J17" t="n">
        <v>2</v>
      </c>
      <c r="K17" s="147">
        <f>I17+J17/8</f>
        <v/>
      </c>
      <c r="L17" s="72">
        <f>B17-E17-K17</f>
        <v/>
      </c>
      <c r="N17" s="72">
        <f>H6</f>
        <v/>
      </c>
      <c r="O17" s="72">
        <f>L17*N17</f>
        <v/>
      </c>
    </row>
    <row r="18"/>
    <row r="19">
      <c r="A19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16.6640625" customWidth="1" min="10" max="10"/>
    <col width="12.83203125" customWidth="1" min="11" max="11"/>
    <col width="13.33203125" customWidth="1" min="14" max="14"/>
    <col width="8.83203125" customWidth="1" min="15" max="15"/>
    <col width="18.1640625" customWidth="1" min="16" max="16"/>
    <col width="17.6640625" customWidth="1" min="17" max="17"/>
    <col width="13.33203125" customWidth="1" min="19" max="19"/>
    <col width="16.6640625" customWidth="1" min="20" max="20"/>
  </cols>
  <sheetData>
    <row r="1" ht="16" customHeight="1">
      <c r="A1" s="12" t="inlineStr">
        <is>
          <t>HARWELL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5" t="inlineStr">
        <is>
          <t>subtracted</t>
        </is>
      </c>
      <c r="K3" s="44" t="n"/>
      <c r="L3" s="44" t="n"/>
      <c r="M3" s="44" t="n"/>
      <c r="N3" s="44" t="n"/>
      <c r="O3" s="73" t="n"/>
      <c r="P3" s="73" t="n"/>
      <c r="Q3" s="44" t="n"/>
      <c r="R3" s="44" t="n"/>
      <c r="S3" s="44" t="n"/>
      <c r="T3" s="44" t="n"/>
    </row>
    <row r="4" ht="51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148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 ht="16" customHeight="1">
      <c r="A5" s="44" t="inlineStr">
        <is>
          <t>Cart-horses</t>
        </is>
      </c>
      <c r="B5" t="n">
        <v>2</v>
      </c>
      <c r="C5">
        <f>2+2</f>
        <v/>
      </c>
      <c r="H5" t="n">
        <v>4</v>
      </c>
      <c r="K5" t="n">
        <v>2</v>
      </c>
      <c r="O5" s="72">
        <f>R5/H5</f>
        <v/>
      </c>
      <c r="R5" s="72">
        <f>Receipts!F38+Receipts!F39+Receipts!F40</f>
        <v/>
      </c>
    </row>
    <row r="6" ht="16" customHeight="1">
      <c r="A6" s="44" t="inlineStr">
        <is>
          <t>Mares</t>
        </is>
      </c>
    </row>
    <row r="7">
      <c r="A7" t="inlineStr">
        <is>
          <t>Plough horses</t>
        </is>
      </c>
    </row>
    <row r="8">
      <c r="A8" t="inlineStr">
        <is>
          <t>Colts (unspecified years)</t>
        </is>
      </c>
    </row>
    <row r="9">
      <c r="A9" t="inlineStr">
        <is>
          <t>Colts (2 years)</t>
        </is>
      </c>
    </row>
    <row r="10">
      <c r="A10" t="inlineStr">
        <is>
          <t>Colts (1 year)</t>
        </is>
      </c>
    </row>
    <row r="11">
      <c r="A11" t="inlineStr">
        <is>
          <t>Foals</t>
        </is>
      </c>
    </row>
    <row r="12">
      <c r="A12" t="inlineStr">
        <is>
          <t>Oxen</t>
        </is>
      </c>
      <c r="B12" t="n">
        <v>24</v>
      </c>
      <c r="C12" t="n">
        <v>1</v>
      </c>
      <c r="H12" t="n">
        <v>1</v>
      </c>
      <c r="K12" t="n">
        <v>24</v>
      </c>
      <c r="O12" s="72">
        <f>R12/H12</f>
        <v/>
      </c>
      <c r="R12" s="72">
        <f>Receipts!F41</f>
        <v/>
      </c>
    </row>
    <row r="13">
      <c r="A13" t="inlineStr">
        <is>
          <t>Bulls</t>
        </is>
      </c>
    </row>
    <row r="14">
      <c r="A14" t="inlineStr">
        <is>
          <t>Cows</t>
        </is>
      </c>
      <c r="C14" t="n">
        <v>1</v>
      </c>
      <c r="H14" t="n">
        <v>1</v>
      </c>
      <c r="O14" s="72">
        <f>R14/H14</f>
        <v/>
      </c>
      <c r="R14" s="72">
        <f>Receipts!F42</f>
        <v/>
      </c>
    </row>
    <row r="15">
      <c r="A15" t="inlineStr">
        <is>
          <t>Steers</t>
        </is>
      </c>
    </row>
    <row r="16">
      <c r="A16" t="inlineStr">
        <is>
          <t>Bullocks</t>
        </is>
      </c>
    </row>
    <row r="17">
      <c r="A17" t="inlineStr">
        <is>
          <t>Yearlings</t>
        </is>
      </c>
    </row>
    <row r="18">
      <c r="A18" t="inlineStr">
        <is>
          <t>Calves</t>
        </is>
      </c>
    </row>
    <row r="19">
      <c r="A19" t="inlineStr">
        <is>
          <t>Wethers</t>
        </is>
      </c>
    </row>
    <row r="20">
      <c r="A20" t="inlineStr">
        <is>
          <t>Rams</t>
        </is>
      </c>
    </row>
    <row r="21">
      <c r="A21" t="inlineStr">
        <is>
          <t>Ewes</t>
        </is>
      </c>
    </row>
    <row r="22">
      <c r="A22" t="inlineStr">
        <is>
          <t>Hoggs</t>
        </is>
      </c>
    </row>
    <row r="23">
      <c r="A23" t="inlineStr">
        <is>
          <t>Lambs</t>
        </is>
      </c>
    </row>
    <row r="24">
      <c r="A24" t="inlineStr">
        <is>
          <t>Boars</t>
        </is>
      </c>
    </row>
    <row r="25">
      <c r="A25" t="inlineStr">
        <is>
          <t>Sows</t>
        </is>
      </c>
    </row>
    <row r="26">
      <c r="A26" t="inlineStr">
        <is>
          <t>Pigs</t>
        </is>
      </c>
      <c r="C26">
        <f>3</f>
        <v/>
      </c>
      <c r="H26" t="n">
        <v>2</v>
      </c>
      <c r="K26" t="n">
        <v>1</v>
      </c>
      <c r="O26" s="72">
        <f>R26/H26</f>
        <v/>
      </c>
      <c r="R26" s="72">
        <f>Receipts!F43</f>
        <v/>
      </c>
    </row>
    <row r="27">
      <c r="A27" t="inlineStr">
        <is>
          <t>Hoggets</t>
        </is>
      </c>
    </row>
    <row r="28">
      <c r="A28" t="inlineStr">
        <is>
          <t>Piglets</t>
        </is>
      </c>
      <c r="C28" t="n">
        <v>8</v>
      </c>
      <c r="K28" t="n">
        <v>8</v>
      </c>
    </row>
    <row r="29">
      <c r="A29" t="inlineStr">
        <is>
          <t>Swans</t>
        </is>
      </c>
    </row>
    <row r="30">
      <c r="A30" t="inlineStr">
        <is>
          <t>Peacocks</t>
        </is>
      </c>
      <c r="B30" t="n">
        <v>3</v>
      </c>
      <c r="I30" t="n">
        <v>1</v>
      </c>
      <c r="K30" t="n">
        <v>2</v>
      </c>
      <c r="R30" s="72">
        <f>Receipts!F45</f>
        <v/>
      </c>
      <c r="U30" t="inlineStr">
        <is>
          <t>sale of peacock feathers</t>
        </is>
      </c>
    </row>
    <row r="31" ht="16" customHeight="1">
      <c r="A31" s="67" t="inlineStr">
        <is>
          <t>Total Value</t>
        </is>
      </c>
      <c r="O31" s="149" t="n"/>
      <c r="R31" s="149">
        <f>SUM(R5:R30)</f>
        <v/>
      </c>
    </row>
    <row r="32"/>
    <row r="33"/>
    <row r="34" ht="17" customHeight="1">
      <c r="A34" s="66" t="inlineStr">
        <is>
          <t>Wool</t>
        </is>
      </c>
    </row>
    <row r="35">
      <c r="A35" t="inlineStr">
        <is>
          <t>Coarse wool</t>
        </is>
      </c>
    </row>
    <row r="36">
      <c r="A36" t="inlineStr">
        <is>
          <t>Lamb's wool</t>
        </is>
      </c>
    </row>
    <row r="37">
      <c r="A37" t="inlineStr">
        <is>
          <t>Wool locks</t>
        </is>
      </c>
    </row>
    <row r="38">
      <c r="A38" t="inlineStr">
        <is>
          <t>Wool sold at shearing</t>
        </is>
      </c>
    </row>
    <row r="39" ht="16" customHeight="1">
      <c r="A39" s="67" t="inlineStr">
        <is>
          <t>Total wool</t>
        </is>
      </c>
      <c r="O39" s="149" t="n"/>
    </row>
    <row r="40"/>
    <row r="41"/>
    <row r="42" ht="17" customHeight="1">
      <c r="A42" s="66" t="inlineStr">
        <is>
          <t>Hides</t>
        </is>
      </c>
    </row>
    <row r="43">
      <c r="A43" t="inlineStr">
        <is>
          <t>Ox hides</t>
        </is>
      </c>
    </row>
    <row r="44">
      <c r="A44" t="inlineStr">
        <is>
          <t>Mare</t>
        </is>
      </c>
    </row>
    <row r="45">
      <c r="A45" t="inlineStr">
        <is>
          <t>Steer</t>
        </is>
      </c>
    </row>
    <row r="46">
      <c r="A46" t="inlineStr">
        <is>
          <t>calves</t>
        </is>
      </c>
    </row>
    <row r="47">
      <c r="A47" t="inlineStr">
        <is>
          <t>pigs</t>
        </is>
      </c>
    </row>
    <row r="48">
      <c r="A48" t="inlineStr">
        <is>
          <t>Woolskins (incl. 10 in tithe)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43" t="inlineStr">
        <is>
          <t>Woolskins (excl. 10 in tithe)</t>
        </is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43" t="inlineStr">
        <is>
          <t>Bareskins (total)</t>
        </is>
      </c>
    </row>
    <row r="60">
      <c r="A60" t="inlineStr">
        <is>
          <t>Lambskins (excl. 8 in tithe)</t>
        </is>
      </c>
    </row>
    <row r="61">
      <c r="A61" t="inlineStr">
        <is>
          <t>Rotted skins</t>
        </is>
      </c>
    </row>
    <row r="62">
      <c r="A62" t="inlineStr">
        <is>
          <t>Shorn skins</t>
        </is>
      </c>
    </row>
    <row r="63">
      <c r="A63" s="39" t="inlineStr">
        <is>
          <t xml:space="preserve">Total </t>
        </is>
      </c>
      <c r="O63" s="149" t="n"/>
    </row>
    <row r="64"/>
    <row r="65"/>
    <row r="66" ht="17" customHeight="1">
      <c r="A66" s="66" t="inlineStr">
        <is>
          <t>Poultry stock</t>
        </is>
      </c>
    </row>
    <row r="67" ht="16" customHeight="1">
      <c r="A67" s="44" t="inlineStr">
        <is>
          <t>Hens</t>
        </is>
      </c>
      <c r="F67">
        <f>76-4-2-2-2</f>
        <v/>
      </c>
      <c r="H67" t="n">
        <v>66</v>
      </c>
      <c r="K67" t="n">
        <v>0</v>
      </c>
      <c r="O67" s="72">
        <f>R67/H67</f>
        <v/>
      </c>
      <c r="R67" s="72">
        <f>Receipts!F35</f>
        <v/>
      </c>
      <c r="T67">
        <f>O67*H67</f>
        <v/>
      </c>
    </row>
    <row r="68">
      <c r="A68" t="inlineStr">
        <is>
          <t>Geese</t>
        </is>
      </c>
    </row>
    <row r="69">
      <c r="A69" t="inlineStr">
        <is>
          <t>Capons (from chickens)</t>
        </is>
      </c>
    </row>
    <row r="70">
      <c r="A70" t="inlineStr">
        <is>
          <t>Cocks &amp; hens</t>
        </is>
      </c>
    </row>
    <row r="71">
      <c r="A71" s="39" t="inlineStr">
        <is>
          <t>Total poultry stock</t>
        </is>
      </c>
      <c r="O71" s="149" t="n"/>
      <c r="R71" s="149">
        <f>SUM(R67:R70)</f>
        <v/>
      </c>
      <c r="T71" s="39">
        <f>SUM(T67:T70)</f>
        <v/>
      </c>
    </row>
    <row r="72">
      <c r="A72" s="71" t="inlineStr">
        <is>
          <t>Total poultry excluding churchscot</t>
        </is>
      </c>
    </row>
    <row r="73"/>
    <row r="74" ht="16" customHeight="1">
      <c r="A74" s="12" t="inlineStr">
        <is>
          <t>Poultry production</t>
        </is>
      </c>
    </row>
    <row r="75">
      <c r="A75" t="inlineStr">
        <is>
          <t>Eggs</t>
        </is>
      </c>
    </row>
    <row r="76">
      <c r="A76" t="inlineStr">
        <is>
          <t>Cocks &amp; hens from churchscot of customary tenants</t>
        </is>
      </c>
    </row>
    <row r="77">
      <c r="A77" t="inlineStr">
        <is>
          <t>Sum of above</t>
        </is>
      </c>
    </row>
    <row r="78">
      <c r="A78" s="70" t="inlineStr">
        <is>
          <t>Total</t>
        </is>
      </c>
    </row>
    <row r="79"/>
    <row r="80"/>
    <row r="81" ht="16" customHeight="1">
      <c r="A81" s="12" t="inlineStr">
        <is>
          <t>Meat</t>
        </is>
      </c>
    </row>
    <row r="82">
      <c r="A82" t="inlineStr">
        <is>
          <t>Beef</t>
        </is>
      </c>
    </row>
    <row r="83">
      <c r="A83" t="inlineStr">
        <is>
          <t>Mutton</t>
        </is>
      </c>
    </row>
    <row r="84">
      <c r="A84" t="inlineStr">
        <is>
          <t>Pork</t>
        </is>
      </c>
    </row>
    <row r="85" ht="16" customHeight="1">
      <c r="A85" s="57" t="inlineStr">
        <is>
          <t xml:space="preserve">Total </t>
        </is>
      </c>
    </row>
    <row r="86"/>
    <row r="87" ht="16" customHeight="1">
      <c r="A87" s="12" t="inlineStr">
        <is>
          <t>Cheese</t>
        </is>
      </c>
    </row>
    <row r="88">
      <c r="A88" t="inlineStr">
        <is>
          <t>Winter cheese</t>
        </is>
      </c>
    </row>
    <row r="89">
      <c r="A89" t="inlineStr">
        <is>
          <t>Summer cheese</t>
        </is>
      </c>
    </row>
    <row r="90" ht="16" customHeight="1">
      <c r="A90" s="57" t="inlineStr">
        <is>
          <t>Total</t>
        </is>
      </c>
    </row>
    <row r="91"/>
    <row r="92" ht="16" customHeight="1">
      <c r="A92" s="12" t="inlineStr">
        <is>
          <t>Butter</t>
        </is>
      </c>
    </row>
    <row r="93">
      <c r="A93" t="inlineStr">
        <is>
          <t>Butter</t>
        </is>
      </c>
    </row>
    <row r="94" ht="16" customHeight="1">
      <c r="A94" s="57" t="inlineStr">
        <is>
          <t>Total</t>
        </is>
      </c>
    </row>
    <row r="95" ht="16" customHeight="1">
      <c r="A95" s="13" t="n"/>
    </row>
    <row r="96" ht="16" customHeight="1">
      <c r="A96" s="57" t="inlineStr">
        <is>
          <t>Total Dairy Sales</t>
        </is>
      </c>
    </row>
    <row r="97"/>
    <row r="98"/>
    <row r="99" ht="16" customHeight="1">
      <c r="A99" s="12" t="inlineStr">
        <is>
          <t>Cider</t>
        </is>
      </c>
    </row>
    <row r="100"/>
    <row r="101"/>
    <row r="102" ht="16" customHeight="1">
      <c r="A102" s="13" t="inlineStr">
        <is>
          <t>Additional Information (not necessarily useful)</t>
        </is>
      </c>
    </row>
    <row r="103" ht="16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03"/>
  <sheetViews>
    <sheetView topLeftCell="A1" workbookViewId="0">
      <selection activeCell="A1" sqref="A1"/>
    </sheetView>
  </sheetViews>
  <sheetFormatPr baseColWidth="8" defaultRowHeight="15"/>
  <cols>
    <col width="32.5" customWidth="1" min="1" max="1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Quarters 4</t>
        </is>
      </c>
      <c r="T1" s="1" t="inlineStr">
        <is>
          <t>Bushels 4</t>
        </is>
      </c>
      <c r="U1" s="1" t="inlineStr">
        <is>
          <t>shilling a quarter 1</t>
        </is>
      </c>
      <c r="V1" s="1" t="inlineStr">
        <is>
          <t>pence a quarter 1</t>
        </is>
      </c>
      <c r="W1" s="1" t="inlineStr">
        <is>
          <t>shilling a quarter 2</t>
        </is>
      </c>
      <c r="X1" s="1" t="inlineStr">
        <is>
          <t>pence a quarter 2</t>
        </is>
      </c>
      <c r="Y1" s="1" t="inlineStr">
        <is>
          <t>shilling a quarter 3</t>
        </is>
      </c>
      <c r="Z1" s="1" t="inlineStr">
        <is>
          <t>pence a quarter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shilling a bushel 1</t>
        </is>
      </c>
      <c r="AD1" s="1" t="inlineStr">
        <is>
          <t>pence a bushel 1</t>
        </is>
      </c>
      <c r="AE1" s="1" t="inlineStr">
        <is>
          <t>shilling a bushel 2</t>
        </is>
      </c>
      <c r="AF1" s="1" t="inlineStr">
        <is>
          <t>pence a bushel 2</t>
        </is>
      </c>
      <c r="AG1" s="1" t="inlineStr">
        <is>
          <t>shilling a bushel 3</t>
        </is>
      </c>
      <c r="AH1" s="1" t="inlineStr">
        <is>
          <t>pence a bushel 3</t>
        </is>
      </c>
      <c r="AI1" s="1" t="inlineStr">
        <is>
          <t>shilling a bushel 4</t>
        </is>
      </c>
      <c r="AJ1" s="1" t="inlineStr">
        <is>
          <t>pence a bushel 4</t>
        </is>
      </c>
    </row>
    <row r="2">
      <c r="A2" t="inlineStr">
        <is>
          <t>Arrears</t>
        </is>
      </c>
      <c r="B2" t="inlineStr">
        <is>
          <t>Roginald de Lynham, bailiff, and John Leyrmonger', reeve, render account for £27 3 shilling 6pence of arrears from the last account.</t>
        </is>
      </c>
      <c r="C2" t="n">
        <v>27.17</v>
      </c>
      <c r="D2" t="n">
        <v>27</v>
      </c>
      <c r="E2" t="n">
        <v>3</v>
      </c>
      <c r="F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Delivered to Sir Geoffrey, treasurer of Wolvesey, £27 3 shilling 6pence by 1 tally.</t>
        </is>
      </c>
      <c r="C3" t="n">
        <v>27.17</v>
      </c>
      <c r="D3" t="n">
        <v>27</v>
      </c>
      <c r="E3" t="n">
        <v>3</v>
      </c>
      <c r="F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They are quit.</t>
        </is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The same render account for £16 12 shilling 6pence for rents of assize for the whole year at Michaelmas (29 September).</t>
        </is>
      </c>
      <c r="C5" t="n">
        <v>16.62</v>
      </c>
      <c r="D5" t="n">
        <v>16</v>
      </c>
      <c r="E5" t="n">
        <v>12</v>
      </c>
      <c r="F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£16 12 shilling 6pence</t>
        </is>
      </c>
      <c r="C6" t="n">
        <v>16.62</v>
      </c>
      <c r="D6" t="n">
        <v>16</v>
      </c>
      <c r="E6" t="n">
        <v>12</v>
      </c>
      <c r="F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</t>
        </is>
      </c>
      <c r="B7" t="inlineStr">
        <is>
          <t>In quittance of 1 reeve for the year 5 shilling.</t>
        </is>
      </c>
      <c r="C7" t="n">
        <v>0.25</v>
      </c>
      <c r="D7" t="n">
        <v>0</v>
      </c>
      <c r="E7" t="n">
        <v>5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</t>
        </is>
      </c>
      <c r="B8" t="inlineStr">
        <is>
          <t>4 ploughmen for the year 12 shilling, or 3 shilling each.</t>
        </is>
      </c>
      <c r="C8" t="n">
        <v>0.6</v>
      </c>
      <c r="D8" t="n">
        <v>0</v>
      </c>
      <c r="E8" t="n">
        <v>12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</t>
        </is>
      </c>
      <c r="B9" t="inlineStr">
        <is>
          <t>Total, 17 shilling</t>
        </is>
      </c>
      <c r="C9" t="n">
        <v>0.85</v>
      </c>
      <c r="D9" t="n">
        <v>0</v>
      </c>
      <c r="E9" t="n">
        <v>17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In default of the rent of 1 croft which Roger Gunth' held drawn into demesne 3 shilling Total, 3 shilling</t>
        </is>
      </c>
      <c r="C10" t="n">
        <v>0.15</v>
      </c>
      <c r="D10" t="n">
        <v>0</v>
      </c>
      <c r="E10" t="n">
        <v>3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Total of quittances and defaults of rent</t>
        </is>
      </c>
      <c r="B11" t="inlineStr">
        <is>
          <t>Total of quittances and defaults of rent, £1.</t>
        </is>
      </c>
      <c r="C11" t="n">
        <v>1</v>
      </c>
      <c r="D11" t="n">
        <v>1</v>
      </c>
      <c r="E11" t="n">
        <v>0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rents remaining</t>
        </is>
      </c>
      <c r="B12" t="inlineStr">
        <is>
          <t>Total of rents remaining, £15 12 shilling 6pence</t>
        </is>
      </c>
      <c r="C12" t="n">
        <v>15.62</v>
      </c>
      <c r="D12" t="n">
        <v>15</v>
      </c>
      <c r="E12" t="n">
        <v>12</v>
      </c>
      <c r="F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Annual recognizance</t>
        </is>
      </c>
      <c r="B13" t="inlineStr">
        <is>
          <t>The same render account for 6pence from Walter, son of Walter Edward, for annual recognizance.</t>
        </is>
      </c>
      <c r="C13" t="n">
        <v>0.03</v>
      </c>
      <c r="D13" t="n">
        <v>0</v>
      </c>
      <c r="E13" t="n">
        <v>0</v>
      </c>
      <c r="F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Annual recognizance</t>
        </is>
      </c>
      <c r="B14" t="inlineStr">
        <is>
          <t>6pence from Thomas in Angle so that he may remain where he pleases, and nonetheless pay suit for his tithing and pay tithingpenny.</t>
        </is>
      </c>
      <c r="C14" t="n">
        <v>0.03</v>
      </c>
      <c r="D14" t="n">
        <v>0</v>
      </c>
      <c r="E14" t="n">
        <v>0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Annual recognizance</t>
        </is>
      </c>
      <c r="B15" t="inlineStr">
        <is>
          <t>Total, 1 shilling</t>
        </is>
      </c>
      <c r="C15" t="n">
        <v>0.05</v>
      </c>
      <c r="D15" t="n">
        <v>0</v>
      </c>
      <c r="E15" t="n">
        <v>1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Issues of the manor</t>
        </is>
      </c>
      <c r="B16" t="inlineStr">
        <is>
          <t>The same render account for 7 shilling 4pence from pannage of pigs at Martinmas (11 November).</t>
        </is>
      </c>
      <c r="C16" t="n">
        <v>0.37</v>
      </c>
      <c r="D16" t="n">
        <v>0</v>
      </c>
      <c r="E16" t="n">
        <v>7</v>
      </c>
      <c r="F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Issues of the manor</t>
        </is>
      </c>
      <c r="B17" t="inlineStr">
        <is>
          <t>5 shilling 5pence from tolls on inns.</t>
        </is>
      </c>
      <c r="C17" t="n">
        <v>0.27</v>
      </c>
      <c r="D17" t="n">
        <v>0</v>
      </c>
      <c r="E17" t="n">
        <v>5</v>
      </c>
      <c r="F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Issues of the manor</t>
        </is>
      </c>
      <c r="B18" t="inlineStr">
        <is>
          <t>5 shilling from winter pasturage sold.</t>
        </is>
      </c>
      <c r="C18" t="n">
        <v>0.25</v>
      </c>
      <c r="D18" t="n">
        <v>0</v>
      </c>
      <c r="E18" t="n">
        <v>5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Issues of the manor</t>
        </is>
      </c>
      <c r="B19" t="inlineStr">
        <is>
          <t>5 shilling 6pence from 66 cocks and hens from churchscot at Martinmas.</t>
        </is>
      </c>
      <c r="C19" t="n">
        <v>0.28</v>
      </c>
      <c r="D19" t="n">
        <v>0</v>
      </c>
      <c r="E19" t="n">
        <v>5</v>
      </c>
      <c r="F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Issues of the manor</t>
        </is>
      </c>
      <c r="B20" t="inlineStr">
        <is>
          <t>1 shilling 3pence from the heriot of John Miles for 1.5 virgates of land which he held of the lord, and note that noone will give more for 0.5 virgate for a heriot even if he has 1 beast.</t>
        </is>
      </c>
      <c r="C20" t="n">
        <v>0.06</v>
      </c>
      <c r="D20" t="n">
        <v>0</v>
      </c>
      <c r="E20" t="n">
        <v>1</v>
      </c>
      <c r="F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Issues of the manor</t>
        </is>
      </c>
      <c r="B21" t="inlineStr">
        <is>
          <t>4 shilling from the herbage in the garden sold.</t>
        </is>
      </c>
      <c r="C21" t="n">
        <v>0.2</v>
      </c>
      <c r="D21" t="n">
        <v>0</v>
      </c>
      <c r="E21" t="n">
        <v>4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8 shilling from 1 feeble cart-horse sold.</t>
        </is>
      </c>
      <c r="C22" t="n">
        <v>0.4</v>
      </c>
      <c r="D22" t="n">
        <v>0</v>
      </c>
      <c r="E22" t="n">
        <v>8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£1 17 shilling from 1 cart-horse sold.</t>
        </is>
      </c>
      <c r="C23" t="n">
        <v>1.85</v>
      </c>
      <c r="D23" t="n">
        <v>1</v>
      </c>
      <c r="E23" t="n">
        <v>17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£17 shilling 6pence from 2 horses from the heriot of John Miles for 2 virgates of land which he held of the bishop sold to the relict of the same John.</t>
        </is>
      </c>
      <c r="C24" t="n">
        <v>17</v>
      </c>
      <c r="D24" t="n">
        <v>17</v>
      </c>
      <c r="E24" t="n">
        <v>0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8 shilling from 1 ox sold to Richard Tockesmal because rotten.</t>
        </is>
      </c>
      <c r="C25" t="n">
        <v>0.4</v>
      </c>
      <c r="D25" t="n">
        <v>0</v>
      </c>
      <c r="E25" t="n">
        <v>8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7 shilling from 1 sterile cow from the heriot of Walter Roed sold.</t>
        </is>
      </c>
      <c r="C26" t="n">
        <v>0.35</v>
      </c>
      <c r="D26" t="n">
        <v>0</v>
      </c>
      <c r="E26" t="n">
        <v>7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6 shilling from 2 pigs sold.</t>
        </is>
      </c>
      <c r="C27" t="n">
        <v>0.3</v>
      </c>
      <c r="D27" t="n">
        <v>0</v>
      </c>
      <c r="E27" t="n">
        <v>6</v>
      </c>
      <c r="F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1 shilling 6pence from stubble sold.</t>
        </is>
      </c>
      <c r="C28" t="n">
        <v>0.08</v>
      </c>
      <c r="D28" t="n">
        <v>0</v>
      </c>
      <c r="E28" t="n">
        <v>1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Ipence from the tail of 1 peacock solpence Total, £6 3 shilling 7pence</t>
        </is>
      </c>
      <c r="C29" t="n">
        <v>6.18</v>
      </c>
      <c r="D29" t="n">
        <v>6</v>
      </c>
      <c r="E29" t="n">
        <v>3</v>
      </c>
      <c r="F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Farm</t>
        </is>
      </c>
      <c r="B30" t="inlineStr">
        <is>
          <t>The same render account for 13 shilling 4pence for the farm of the mill of Blaer' let at farm to Laurence de Styventon'.</t>
        </is>
      </c>
      <c r="C30" t="n">
        <v>0.67</v>
      </c>
      <c r="D30" t="n">
        <v>0</v>
      </c>
      <c r="E30" t="n">
        <v>13</v>
      </c>
      <c r="F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Farm</t>
        </is>
      </c>
      <c r="B31" t="inlineStr">
        <is>
          <t>Total, 13 shilling 4pence</t>
        </is>
      </c>
      <c r="C31" t="n">
        <v>0.67</v>
      </c>
      <c r="D31" t="n">
        <v>0</v>
      </c>
      <c r="E31" t="n">
        <v>13</v>
      </c>
      <c r="F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Sale of corn</t>
        </is>
      </c>
      <c r="B32" t="inlineStr">
        <is>
          <t>The same render account for £19 7 shilling 7.5pence from 68 quarters 7 bushels of wheat sold, at 5 shilling a quarters for 4 quarters, and 5 shilling 8pence a quarters for 64 quarters 7 bushels.</t>
        </is>
      </c>
      <c r="C32" t="n">
        <v>19.38</v>
      </c>
      <c r="D32" t="n">
        <v>19</v>
      </c>
      <c r="E32" t="n">
        <v>7</v>
      </c>
      <c r="F32" t="n">
        <v>7.5</v>
      </c>
      <c r="G32" t="inlineStr">
        <is>
          <t>wheat</t>
        </is>
      </c>
      <c r="H32" t="n">
        <v>68</v>
      </c>
      <c r="I32" t="n">
        <v>7</v>
      </c>
      <c r="J32" t="n">
        <v>68.875</v>
      </c>
      <c r="K32" t="n">
        <v>68.875</v>
      </c>
      <c r="L32" t="n">
        <v>0</v>
      </c>
      <c r="M32" t="n">
        <v>68</v>
      </c>
      <c r="N32" t="n">
        <v>7</v>
      </c>
      <c r="O32" t="n">
        <v>4</v>
      </c>
      <c r="P32" t="n">
        <v>0</v>
      </c>
      <c r="Q32" t="n">
        <v>64</v>
      </c>
      <c r="R32" t="n">
        <v>7</v>
      </c>
      <c r="U32" t="n">
        <v>5</v>
      </c>
      <c r="V32" t="n">
        <v>0</v>
      </c>
      <c r="W32" t="n">
        <v>5</v>
      </c>
      <c r="X32" t="n">
        <v>8</v>
      </c>
    </row>
    <row r="33">
      <c r="A33" t="inlineStr">
        <is>
          <t>Sale of corn</t>
        </is>
      </c>
      <c r="B33" t="inlineStr">
        <is>
          <t>£2 10 shilling 3.75pence from 14 quarters 3 bushels of barley sold, at 3 shilling 6pence a quarters.</t>
        </is>
      </c>
      <c r="C33" t="n">
        <v>2.52</v>
      </c>
      <c r="D33" t="n">
        <v>2</v>
      </c>
      <c r="E33" t="n">
        <v>10</v>
      </c>
      <c r="F33" t="n">
        <v>3.75</v>
      </c>
      <c r="G33" t="inlineStr">
        <is>
          <t>barley</t>
        </is>
      </c>
      <c r="H33" t="n">
        <v>14</v>
      </c>
      <c r="I33" t="n">
        <v>3</v>
      </c>
      <c r="J33" t="n">
        <v>14.375</v>
      </c>
      <c r="K33" t="n">
        <v>14.375</v>
      </c>
      <c r="L33" t="n">
        <v>0</v>
      </c>
      <c r="M33" t="n">
        <v>14</v>
      </c>
      <c r="N33" t="n">
        <v>3</v>
      </c>
      <c r="U33" t="n">
        <v>3</v>
      </c>
      <c r="V33" t="n">
        <v>6</v>
      </c>
    </row>
    <row r="34">
      <c r="A34" t="inlineStr">
        <is>
          <t>Sale of corn</t>
        </is>
      </c>
      <c r="B34" t="inlineStr">
        <is>
          <t>£4 12 shilling 3pence from 30 quarters 6 bushels of dredge sold, at 3 shilling a quarters.</t>
        </is>
      </c>
      <c r="C34" t="n">
        <v>4.61</v>
      </c>
      <c r="D34" t="n">
        <v>4</v>
      </c>
      <c r="E34" t="n">
        <v>12</v>
      </c>
      <c r="F34" t="n">
        <v>3</v>
      </c>
      <c r="H34" t="n">
        <v>30</v>
      </c>
      <c r="I34" t="n">
        <v>6</v>
      </c>
      <c r="J34" t="n">
        <v>30.75</v>
      </c>
      <c r="K34" t="n">
        <v>30.75</v>
      </c>
      <c r="L34" t="n">
        <v>0</v>
      </c>
      <c r="M34" t="n">
        <v>30</v>
      </c>
      <c r="N34" t="n">
        <v>6</v>
      </c>
      <c r="U34" t="n">
        <v>3</v>
      </c>
      <c r="V34" t="n">
        <v>0</v>
      </c>
    </row>
    <row r="35">
      <c r="A35" t="inlineStr">
        <is>
          <t>Sale of corn</t>
        </is>
      </c>
      <c r="B35" t="inlineStr">
        <is>
          <t>7.5pence from 5 bushels of vetches sold, at 1.5pence a bushels.</t>
        </is>
      </c>
      <c r="C35" t="n">
        <v>0.03</v>
      </c>
      <c r="D35" t="n">
        <v>0</v>
      </c>
      <c r="E35" t="n">
        <v>0</v>
      </c>
      <c r="F35" t="n">
        <v>7.5</v>
      </c>
      <c r="G35" t="inlineStr">
        <is>
          <t>vetches</t>
        </is>
      </c>
      <c r="H35" t="n">
        <v>0</v>
      </c>
      <c r="I35" t="n">
        <v>5</v>
      </c>
      <c r="J35" t="n">
        <v>0.625</v>
      </c>
      <c r="K35" t="n">
        <v>0.625</v>
      </c>
      <c r="L35" t="n">
        <v>0</v>
      </c>
      <c r="M35" t="n">
        <v>0</v>
      </c>
      <c r="N35" t="n">
        <v>5</v>
      </c>
      <c r="AC35" t="n">
        <v>0</v>
      </c>
      <c r="AD35" t="n">
        <v>1.5</v>
      </c>
    </row>
    <row r="36">
      <c r="A36" t="inlineStr">
        <is>
          <t>Sale of corn</t>
        </is>
      </c>
      <c r="B36" t="inlineStr">
        <is>
          <t>7.5pence from 1.5 bushels of wheat sold at the audit.</t>
        </is>
      </c>
      <c r="C36" t="n">
        <v>0.03</v>
      </c>
      <c r="D36" t="n">
        <v>0</v>
      </c>
      <c r="E36" t="n">
        <v>0</v>
      </c>
      <c r="F36" t="n">
        <v>7.5</v>
      </c>
      <c r="G36" t="inlineStr">
        <is>
          <t>wheat</t>
        </is>
      </c>
      <c r="H36" t="n">
        <v>0</v>
      </c>
      <c r="I36" t="n">
        <v>1.5</v>
      </c>
      <c r="J36" t="n">
        <v>0.1875</v>
      </c>
      <c r="K36" t="n">
        <v>0.1875</v>
      </c>
      <c r="L36" t="n">
        <v>0</v>
      </c>
      <c r="M36" t="n">
        <v>0</v>
      </c>
      <c r="N36" t="n">
        <v>1.5</v>
      </c>
    </row>
    <row r="37">
      <c r="A37" t="inlineStr">
        <is>
          <t>Sale of corn</t>
        </is>
      </c>
      <c r="B37" t="inlineStr">
        <is>
          <t>2 shilling 4.25pence from 5.5 bushels of barley sold at the audit.</t>
        </is>
      </c>
      <c r="C37" t="n">
        <v>0.12</v>
      </c>
      <c r="D37" t="n">
        <v>0</v>
      </c>
      <c r="E37" t="n">
        <v>2</v>
      </c>
      <c r="F37" t="n">
        <v>4.25</v>
      </c>
      <c r="G37" t="inlineStr">
        <is>
          <t>barley</t>
        </is>
      </c>
      <c r="H37" t="n">
        <v>0</v>
      </c>
      <c r="I37" t="n">
        <v>5.5</v>
      </c>
      <c r="J37" t="n">
        <v>0.6875</v>
      </c>
      <c r="K37" t="n">
        <v>0.6875</v>
      </c>
      <c r="L37" t="n">
        <v>0</v>
      </c>
      <c r="M37" t="n">
        <v>0</v>
      </c>
      <c r="N37" t="n">
        <v>5.5</v>
      </c>
    </row>
    <row r="38">
      <c r="A38" t="inlineStr">
        <is>
          <t>Sale of corn</t>
        </is>
      </c>
      <c r="B38" t="inlineStr">
        <is>
          <t>10 shilling 6pence from 3.5 quarters of dredge sold at the audit, at 3 shilling a quarters.</t>
        </is>
      </c>
      <c r="C38" t="n">
        <v>0.53</v>
      </c>
      <c r="D38" t="n">
        <v>0</v>
      </c>
      <c r="E38" t="n">
        <v>10</v>
      </c>
      <c r="F38" t="n">
        <v>6</v>
      </c>
      <c r="H38" t="n">
        <v>3.5</v>
      </c>
      <c r="I38" t="n">
        <v>0</v>
      </c>
      <c r="J38" t="n">
        <v>3.5</v>
      </c>
      <c r="K38" t="n">
        <v>3.5</v>
      </c>
      <c r="L38" t="n">
        <v>0</v>
      </c>
      <c r="M38" t="n">
        <v>3.5</v>
      </c>
      <c r="N38" t="n">
        <v>0</v>
      </c>
      <c r="U38" t="n">
        <v>3</v>
      </c>
      <c r="V38" t="n">
        <v>0</v>
      </c>
    </row>
    <row r="39">
      <c r="A39" t="inlineStr">
        <is>
          <t>Sale of corn</t>
        </is>
      </c>
      <c r="B39" t="inlineStr">
        <is>
          <t>Total, £27 4 shilling 4pence</t>
        </is>
      </c>
      <c r="C39" t="n">
        <v>27.22</v>
      </c>
      <c r="D39" t="n">
        <v>27</v>
      </c>
      <c r="E39" t="n">
        <v>4</v>
      </c>
      <c r="F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Entry and marriage finest</t>
        </is>
      </c>
      <c r="B40" t="inlineStr">
        <is>
          <t>The same render account for £1 6 shilling 8pence from all the tithings for tithingpenny at the 2 hundred-courts for the year.</t>
        </is>
      </c>
      <c r="C40" t="n">
        <v>1.33</v>
      </c>
      <c r="D40" t="n">
        <v>1</v>
      </c>
      <c r="E40" t="n">
        <v>6</v>
      </c>
      <c r="F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Entry and marriage finest</t>
        </is>
      </c>
      <c r="B41" t="inlineStr">
        <is>
          <t>2 shilling from Christina le Rop for marrying Matilda her daughter outside.</t>
        </is>
      </c>
      <c r="C41" t="n">
        <v>0.1</v>
      </c>
      <c r="D41" t="n">
        <v>0</v>
      </c>
      <c r="E41" t="n">
        <v>2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Entry and marriage finest</t>
        </is>
      </c>
      <c r="B42" t="inlineStr">
        <is>
          <t>£3 from John Bartelot to have Matilda, relict of Richard le Kyn2  with .5 virgate of her land.</t>
        </is>
      </c>
      <c r="C42" t="n">
        <v>3</v>
      </c>
      <c r="D42" t="n">
        <v>3</v>
      </c>
      <c r="E42" t="n">
        <v>0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Entry and marriage finest</t>
        </is>
      </c>
      <c r="B43" t="inlineStr">
        <is>
          <t>6 shilling 8pence from Richard Huscarl so that he may till the  holding of Matilda de Hyb' until the arrival of the said Matilda in England if she should live.</t>
        </is>
      </c>
      <c r="C43" t="n">
        <v>0.33</v>
      </c>
      <c r="D43" t="n">
        <v>0</v>
      </c>
      <c r="E43" t="n">
        <v>6</v>
      </c>
      <c r="F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Entry and marriage finest</t>
        </is>
      </c>
      <c r="B44" t="inlineStr">
        <is>
          <t>6 shilling 8pence from Roger le Ber' for marrying Matilda his daughter outside, because thus far he has not shown his feoffment.</t>
        </is>
      </c>
      <c r="C44" t="n">
        <v>0.33</v>
      </c>
      <c r="D44" t="n">
        <v>0</v>
      </c>
      <c r="E44" t="n">
        <v>6</v>
      </c>
      <c r="F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Entry and marriage finest</t>
        </is>
      </c>
      <c r="B45" t="inlineStr">
        <is>
          <t>Total, £5 2 shilling</t>
        </is>
      </c>
      <c r="C45" t="n">
        <v>5.1</v>
      </c>
      <c r="D45" t="n">
        <v>5</v>
      </c>
      <c r="E45" t="n">
        <v>2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Perquisites</t>
        </is>
      </c>
      <c r="B46" t="inlineStr">
        <is>
          <t>The same render account for 4 shilling 9pence from the small amercements of the court held on the Saturday of Martinmas (11 November).</t>
        </is>
      </c>
      <c r="C46" t="n">
        <v>0.24</v>
      </c>
      <c r="D46" t="n">
        <v>0</v>
      </c>
      <c r="E46" t="n">
        <v>4</v>
      </c>
      <c r="F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Perquisites</t>
        </is>
      </c>
      <c r="B47" t="inlineStr">
        <is>
          <t>11 shilling 2pence from the small amercements of the hundred-court of Martinmas held on Thursday the morrow of St Lucy the Virgin (14 December).</t>
        </is>
      </c>
      <c r="C47" t="n">
        <v>0.5600000000000001</v>
      </c>
      <c r="D47" t="n">
        <v>0</v>
      </c>
      <c r="E47" t="n">
        <v>11</v>
      </c>
      <c r="F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Perquisites</t>
        </is>
      </c>
      <c r="B48" t="inlineStr">
        <is>
          <t>5 shilling 9pence from the perquisites of the court held on Thursday after Epiphany (11 January).</t>
        </is>
      </c>
      <c r="C48" t="n">
        <v>0.29</v>
      </c>
      <c r="D48" t="n">
        <v>0</v>
      </c>
      <c r="E48" t="n">
        <v>5</v>
      </c>
      <c r="F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Perquisites</t>
        </is>
      </c>
      <c r="B49" t="inlineStr">
        <is>
          <t>3 shilling 6pence from the perquisites of the court on Tuesday before the feast of St Peter's Chair (20 February).</t>
        </is>
      </c>
      <c r="C49" t="n">
        <v>0.17</v>
      </c>
      <c r="D49" t="n">
        <v>0</v>
      </c>
      <c r="E49" t="n">
        <v>3</v>
      </c>
      <c r="F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Perquisites</t>
        </is>
      </c>
      <c r="B50" t="inlineStr">
        <is>
          <t>9 shilling 2pence from the perquisites of the court held on Tuesday before the feast of St Dunstan (15 May).</t>
        </is>
      </c>
      <c r="C50" t="n">
        <v>0.46</v>
      </c>
      <c r="D50" t="n">
        <v>0</v>
      </c>
      <c r="E50" t="n">
        <v>9</v>
      </c>
      <c r="F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17 shilling 10pence from the small amercements of the hundred-court of Hockday held on the eve of the Nativity of the blessed John (23 June).</t>
        </is>
      </c>
      <c r="C51" t="n">
        <v>0.89</v>
      </c>
      <c r="D51" t="n">
        <v>0</v>
      </c>
      <c r="E51" t="n">
        <v>17</v>
      </c>
      <c r="F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9 shilling 9pence from the perquisites of the court held on Sunday before the Assumption (12 August).</t>
        </is>
      </c>
      <c r="C52" t="n">
        <v>0.49</v>
      </c>
      <c r="D52" t="n">
        <v>0</v>
      </c>
      <c r="E52" t="n">
        <v>9</v>
      </c>
      <c r="F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13 shilling from the perquisites of the court held on Sunday before Michaelmas (23 September).</t>
        </is>
      </c>
      <c r="C53" t="n">
        <v>0.65</v>
      </c>
      <c r="D53" t="n">
        <v>0</v>
      </c>
      <c r="E53" t="n">
        <v>13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Perquisites</t>
        </is>
      </c>
      <c r="B54" t="inlineStr">
        <is>
          <t>Total, £3 14 shilling 11pence</t>
        </is>
      </c>
      <c r="C54" t="n">
        <v>3.75</v>
      </c>
      <c r="D54" t="n">
        <v>3</v>
      </c>
      <c r="E54" t="n">
        <v>14</v>
      </c>
      <c r="F54" t="n">
        <v>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Cost of ploughs</t>
        </is>
      </c>
      <c r="B55" t="inlineStr">
        <is>
          <t>In 4 pieces of steel bought for 3 ploughs for the year 3 shilling 7.5pence.</t>
        </is>
      </c>
      <c r="C55" t="n">
        <v>0.18</v>
      </c>
      <c r="D55" t="n">
        <v>0</v>
      </c>
      <c r="E55" t="n">
        <v>3</v>
      </c>
      <c r="F55" t="n">
        <v>7.5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Cost of ploughs</t>
        </is>
      </c>
      <c r="B56" t="inlineStr">
        <is>
          <t>stipend of the smith forging the said steel for the said ploughs 3 shilling 2pence.</t>
        </is>
      </c>
      <c r="C56" t="n">
        <v>0.16</v>
      </c>
      <c r="D56" t="n">
        <v>0</v>
      </c>
      <c r="E56" t="n">
        <v>3</v>
      </c>
      <c r="F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Cost of ploughs</t>
        </is>
      </c>
      <c r="B57" t="inlineStr">
        <is>
          <t>stipend of the smith repairing the said ploughs with the demesne's iron 6pence.</t>
        </is>
      </c>
      <c r="C57" t="n">
        <v>0.03</v>
      </c>
      <c r="D57" t="n">
        <v>0</v>
      </c>
      <c r="E57" t="n">
        <v>0</v>
      </c>
      <c r="F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Cost of ploughs</t>
        </is>
      </c>
      <c r="B58" t="inlineStr">
        <is>
          <t>5 ploughs made anew, 3 of them for winter, and other old ploughs mended 2 shilling.</t>
        </is>
      </c>
      <c r="C58" t="n">
        <v>0.1</v>
      </c>
      <c r="D58" t="n">
        <v>0</v>
      </c>
      <c r="E58" t="n">
        <v>2</v>
      </c>
      <c r="F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Cost of ploughs</t>
        </is>
      </c>
      <c r="B59" t="inlineStr">
        <is>
          <t>hooping 3 ploughs around the holes for the coulters with the demesne's iron 6pence.</t>
        </is>
      </c>
      <c r="C59" t="n">
        <v>0.03</v>
      </c>
      <c r="D59" t="n">
        <v>0</v>
      </c>
      <c r="E59" t="n">
        <v>0</v>
      </c>
      <c r="F59" t="n">
        <v>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Cost of ploughs</t>
        </is>
      </c>
      <c r="B60" t="inlineStr">
        <is>
          <t>1 ploughshare and 2 coulters bought new for the ploughs with repairs to the same 2 shilling 10pence.</t>
        </is>
      </c>
      <c r="C60" t="n">
        <v>0.14</v>
      </c>
      <c r="D60" t="n">
        <v>0</v>
      </c>
      <c r="E60" t="n">
        <v>2</v>
      </c>
      <c r="F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Cost of ploughs</t>
        </is>
      </c>
      <c r="B61" t="inlineStr">
        <is>
          <t>4 ox-yokes bought 9pence.</t>
        </is>
      </c>
      <c r="C61" t="n">
        <v>0.04</v>
      </c>
      <c r="D61" t="n">
        <v>0</v>
      </c>
      <c r="E61" t="n">
        <v>0</v>
      </c>
      <c r="F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Cost of ploughs</t>
        </is>
      </c>
      <c r="B62" t="inlineStr">
        <is>
          <t>15 ox-bows bought for the same 11pence.</t>
        </is>
      </c>
      <c r="C62" t="n">
        <v>0.05</v>
      </c>
      <c r="D62" t="n">
        <v>0</v>
      </c>
      <c r="E62" t="n">
        <v>0</v>
      </c>
      <c r="F62" t="n">
        <v>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Cost of ploughs</t>
        </is>
      </c>
      <c r="B63" t="inlineStr">
        <is>
          <t>2 plough feet bought for ploughs 4pence.</t>
        </is>
      </c>
      <c r="C63" t="n">
        <v>0.02</v>
      </c>
      <c r="D63" t="n">
        <v>0</v>
      </c>
      <c r="E63" t="n">
        <v>0</v>
      </c>
      <c r="F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Cost of ploughs</t>
        </is>
      </c>
      <c r="B64" t="inlineStr">
        <is>
          <t>2 wheels bought for the same 4pence.</t>
        </is>
      </c>
      <c r="C64" t="n">
        <v>0.02</v>
      </c>
      <c r="D64" t="n">
        <v>0</v>
      </c>
      <c r="E64" t="n">
        <v>0</v>
      </c>
      <c r="F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Cost of ploughs</t>
        </is>
      </c>
      <c r="B65" t="inlineStr">
        <is>
          <t>oak withies bought for ploughs, for making the draught-chains (hart') therefrom, 1 shilling 1 pence.</t>
        </is>
      </c>
      <c r="C65" t="n">
        <v>0.05</v>
      </c>
      <c r="D65" t="n">
        <v>0</v>
      </c>
      <c r="E65" t="n">
        <v>1</v>
      </c>
      <c r="F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Cost of ploughs</t>
        </is>
      </c>
      <c r="B66" t="inlineStr">
        <is>
          <t>1 wheelbarrow bought 5pence.</t>
        </is>
      </c>
      <c r="C66" t="n">
        <v>0.02</v>
      </c>
      <c r="D66" t="n">
        <v>0</v>
      </c>
      <c r="E66" t="n">
        <v>0</v>
      </c>
      <c r="F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Cost of ploughs</t>
        </is>
      </c>
      <c r="B67" t="inlineStr">
        <is>
          <t>fitting 1 plough with a share-beam together with buying the share-beam 2pence.</t>
        </is>
      </c>
      <c r="C67" t="n">
        <v>0.01</v>
      </c>
      <c r="D67" t="n">
        <v>0</v>
      </c>
      <c r="E67" t="n">
        <v>0</v>
      </c>
      <c r="F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Cost of ploughs</t>
        </is>
      </c>
      <c r="B68" t="inlineStr">
        <is>
          <t>customary payment to 1 reeve and 4 ploughmen for their corrodies at Christmas and Easter 10pence Paid to 2 ploughmen and 1 carter for their pease pottage for the year 6 shilling 6pence, or .5pence each a week.</t>
        </is>
      </c>
      <c r="C68" t="n">
        <v>0.34</v>
      </c>
      <c r="D68" t="n">
        <v>0</v>
      </c>
      <c r="E68" t="n">
        <v>6</v>
      </c>
      <c r="F68" t="n">
        <v>10</v>
      </c>
      <c r="G68" t="inlineStr">
        <is>
          <t>peas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Cost of ploughs</t>
        </is>
      </c>
      <c r="B69" t="inlineStr">
        <is>
          <t>.</t>
        </is>
      </c>
      <c r="C69" t="n">
        <v>0</v>
      </c>
      <c r="D69" t="n">
        <v>0</v>
      </c>
      <c r="E69" t="n">
        <v>0</v>
      </c>
      <c r="F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Cost of ploughs</t>
        </is>
      </c>
      <c r="B70" t="inlineStr">
        <is>
          <t>1 ox bought for ploughs 14 shilling Total, £1 17 shilling 11.5pence</t>
        </is>
      </c>
      <c r="C70" t="n">
        <v>1.9</v>
      </c>
      <c r="D70" t="n">
        <v>1</v>
      </c>
      <c r="E70" t="n">
        <v>17</v>
      </c>
      <c r="F70" t="n">
        <v>11.5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Cost of carts, wains and ironwork</t>
        </is>
      </c>
      <c r="B71" t="inlineStr">
        <is>
          <t>In 1 cart-horse bought £1 4 shilling.</t>
        </is>
      </c>
      <c r="C71" t="n">
        <v>1.2</v>
      </c>
      <c r="D71" t="n">
        <v>1</v>
      </c>
      <c r="E71" t="n">
        <v>4</v>
      </c>
      <c r="F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Cost of carts, wains and ironwork</t>
        </is>
      </c>
      <c r="B72" t="inlineStr">
        <is>
          <t>1 cart-horse bought at Abingdon £1 6 shilling.</t>
        </is>
      </c>
      <c r="C72" t="n">
        <v>1.3</v>
      </c>
      <c r="D72" t="n">
        <v>1</v>
      </c>
      <c r="E72" t="n">
        <v>6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Cost of carts, wains and ironwork</t>
        </is>
      </c>
      <c r="B73" t="inlineStr">
        <is>
          <t>1 pair of new wheels bought for clearing dung 2 shilling 5.25pence.</t>
        </is>
      </c>
      <c r="C73" t="n">
        <v>0.12</v>
      </c>
      <c r="D73" t="n">
        <v>0</v>
      </c>
      <c r="E73" t="n">
        <v>2</v>
      </c>
      <c r="F73" t="n">
        <v>5.25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Cost of carts, wains and ironwork</t>
        </is>
      </c>
      <c r="B74" t="inlineStr">
        <is>
          <t>1 new cart saddle with 1 pair of new saddle-pads bought 10.75pence.</t>
        </is>
      </c>
      <c r="C74" t="n">
        <v>0.04</v>
      </c>
      <c r="D74" t="n">
        <v>0</v>
      </c>
      <c r="E74" t="n">
        <v>0</v>
      </c>
      <c r="F74" t="n">
        <v>10.75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Cost of carts, wains and ironwork</t>
        </is>
      </c>
      <c r="B75" t="inlineStr">
        <is>
          <t>2 new horse-collars bought 1 shilling 4pence.</t>
        </is>
      </c>
      <c r="C75" t="n">
        <v>0.07000000000000001</v>
      </c>
      <c r="D75" t="n">
        <v>0</v>
      </c>
      <c r="E75" t="n">
        <v>1</v>
      </c>
      <c r="F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Cost of carts, wains and ironwork</t>
        </is>
      </c>
      <c r="B76" t="inlineStr">
        <is>
          <t>clouts, nails, grease, and fitting the cart with axles at various times, 10pence.</t>
        </is>
      </c>
      <c r="C76" t="n">
        <v>0.04</v>
      </c>
      <c r="D76" t="n">
        <v>0</v>
      </c>
      <c r="E76" t="n">
        <v>0</v>
      </c>
      <c r="F76" t="n">
        <v>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Cost of carts, wains and ironwork</t>
        </is>
      </c>
      <c r="B77" t="inlineStr">
        <is>
          <t>white leather bought for harnesses 3pence.</t>
        </is>
      </c>
      <c r="C77" t="n">
        <v>0.01</v>
      </c>
      <c r="D77" t="n">
        <v>0</v>
      </c>
      <c r="E77" t="n">
        <v>0</v>
      </c>
      <c r="F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Cost of carts, wains and ironwork</t>
        </is>
      </c>
      <c r="B78" t="inlineStr">
        <is>
          <t>1 hame bought 2pence.</t>
        </is>
      </c>
      <c r="C78" t="n">
        <v>0.01</v>
      </c>
      <c r="D78" t="n">
        <v>0</v>
      </c>
      <c r="E78" t="n">
        <v>0</v>
      </c>
      <c r="F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Cost of carts, wains and ironwork</t>
        </is>
      </c>
      <c r="B79" t="inlineStr">
        <is>
          <t>1 tumbrel for dung bought 8pence.</t>
        </is>
      </c>
      <c r="C79" t="n">
        <v>0.03</v>
      </c>
      <c r="D79" t="n">
        <v>0</v>
      </c>
      <c r="E79" t="n">
        <v>0</v>
      </c>
      <c r="F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Cost of carts, wains and ironwork</t>
        </is>
      </c>
      <c r="B80" t="inlineStr">
        <is>
          <t>1 leather halter bought 3pence.</t>
        </is>
      </c>
      <c r="C80" t="n">
        <v>0.01</v>
      </c>
      <c r="D80" t="n">
        <v>0</v>
      </c>
      <c r="E80" t="n">
        <v>0</v>
      </c>
      <c r="F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Cost of carts, wains and ironwork</t>
        </is>
      </c>
      <c r="B81" t="inlineStr">
        <is>
          <t>shoeing 2 cart-horses for the year 1 shilling 7pence Total, £2 18 shilling 5pence</t>
        </is>
      </c>
      <c r="C81" t="n">
        <v>2.92</v>
      </c>
      <c r="D81" t="n">
        <v>2</v>
      </c>
      <c r="E81" t="n">
        <v>18</v>
      </c>
      <c r="F81" t="n">
        <v>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Cost of wagons</t>
        </is>
      </c>
      <c r="B82" t="inlineStr">
        <is>
          <t>In 2 pairs of wheels bought for wagons 7 shilling 11pence.</t>
        </is>
      </c>
      <c r="C82" t="n">
        <v>0.4</v>
      </c>
      <c r="D82" t="n">
        <v>0</v>
      </c>
      <c r="E82" t="n">
        <v>7</v>
      </c>
      <c r="F82" t="n">
        <v>11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Cost of wagons</t>
        </is>
      </c>
      <c r="B83" t="inlineStr">
        <is>
          <t>clouts, nails, grease bought for wagons 11pence.</t>
        </is>
      </c>
      <c r="C83" t="n">
        <v>0.05</v>
      </c>
      <c r="D83" t="n">
        <v>0</v>
      </c>
      <c r="E83" t="n">
        <v>0</v>
      </c>
      <c r="F83" t="n">
        <v>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Cost of wagons</t>
        </is>
      </c>
      <c r="B84" t="inlineStr">
        <is>
          <t>fitting the said 2 wagons with axles 6pence.</t>
        </is>
      </c>
      <c r="C84" t="n">
        <v>0.03</v>
      </c>
      <c r="D84" t="n">
        <v>0</v>
      </c>
      <c r="E84" t="n">
        <v>0</v>
      </c>
      <c r="F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Cost of wagons</t>
        </is>
      </c>
      <c r="B85" t="inlineStr">
        <is>
          <t>hiring 1 carpenter to repair the bodies of wagons and to make 8 new frets for the abovesaid wheels for 5 days 1 shilling Total, 10 shilling 4pence</t>
        </is>
      </c>
      <c r="C85" t="n">
        <v>0.07000000000000001</v>
      </c>
      <c r="D85" t="n">
        <v>0</v>
      </c>
      <c r="E85" t="n">
        <v>1</v>
      </c>
      <c r="F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Small necessaries</t>
        </is>
      </c>
      <c r="B86" t="inlineStr">
        <is>
          <t>In 2 sacks bought for carrying corn 1 shilling 4pence.</t>
        </is>
      </c>
      <c r="C86" t="n">
        <v>0.07000000000000001</v>
      </c>
      <c r="D86" t="n">
        <v>0</v>
      </c>
      <c r="E86" t="n">
        <v>1</v>
      </c>
      <c r="F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Small necessaries</t>
        </is>
      </c>
      <c r="B87" t="inlineStr">
        <is>
          <t>1 linen sheet for winnowing (bintheamine ventator') bought 2 shilling 8pence.</t>
        </is>
      </c>
      <c r="C87" t="n">
        <v>0.13</v>
      </c>
      <c r="D87" t="n">
        <v>0</v>
      </c>
      <c r="E87" t="n">
        <v>2</v>
      </c>
      <c r="F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Small necessaries</t>
        </is>
      </c>
      <c r="B88" t="inlineStr">
        <is>
          <t>improving the vines 3pence.</t>
        </is>
      </c>
      <c r="C88" t="n">
        <v>0.01</v>
      </c>
      <c r="D88" t="n">
        <v>0</v>
      </c>
      <c r="E88" t="n">
        <v>0</v>
      </c>
      <c r="F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Small necessaries</t>
        </is>
      </c>
      <c r="B89" t="inlineStr">
        <is>
          <t>castrating 8 piglets 2pence.</t>
        </is>
      </c>
      <c r="C89" t="n">
        <v>0.01</v>
      </c>
      <c r="D89" t="n">
        <v>0</v>
      </c>
      <c r="E89" t="n">
        <v>0</v>
      </c>
      <c r="F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Small necessaries</t>
        </is>
      </c>
      <c r="B90" t="inlineStr">
        <is>
          <t>felling 15 cart-loads of wood in the wood of Wargrave and repairing to bring it 1 shilling 3pence.</t>
        </is>
      </c>
      <c r="C90" t="n">
        <v>0.06</v>
      </c>
      <c r="D90" t="n">
        <v>0</v>
      </c>
      <c r="E90" t="n">
        <v>1</v>
      </c>
      <c r="F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Small necessaries</t>
        </is>
      </c>
      <c r="B91" t="inlineStr">
        <is>
          <t>expenses of 2 horses for 1 night in search of the said wood 2pence.</t>
        </is>
      </c>
      <c r="C91" t="n">
        <v>0.01</v>
      </c>
      <c r="D91" t="n">
        <v>0</v>
      </c>
      <c r="E91" t="n">
        <v>0</v>
      </c>
      <c r="F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Small necessaries</t>
        </is>
      </c>
      <c r="B92" t="inlineStr">
        <is>
          <t>hiring 1 carpenter for 4 days to build the head of the fishpond at the mill for keeping fish and in sawing boards for the same 1 shilling.</t>
        </is>
      </c>
      <c r="C92" t="n">
        <v>0.05</v>
      </c>
      <c r="D92" t="n">
        <v>0</v>
      </c>
      <c r="E92" t="n">
        <v>1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Small necessaries</t>
        </is>
      </c>
      <c r="B93" t="inlineStr">
        <is>
          <t>1 tripod bought for making the pottage of the manorial servants on 4.5pence.</t>
        </is>
      </c>
      <c r="C93" t="n">
        <v>0.02</v>
      </c>
      <c r="D93" t="n">
        <v>0</v>
      </c>
      <c r="E93" t="n">
        <v>0</v>
      </c>
      <c r="F93" t="n">
        <v>4.5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Small necessaries</t>
        </is>
      </c>
      <c r="B94" t="inlineStr">
        <is>
          <t>hiring 5 women to clear forage from the barn and to make a stack of forage therefrom for 1 day 5pence.</t>
        </is>
      </c>
      <c r="C94" t="n">
        <v>0.02</v>
      </c>
      <c r="D94" t="n">
        <v>0</v>
      </c>
      <c r="E94" t="n">
        <v>0</v>
      </c>
      <c r="F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Small necessaries</t>
        </is>
      </c>
      <c r="B95" t="inlineStr">
        <is>
          <t>forage bought from Matilda Semes for oxen 3 shilling 6pence.</t>
        </is>
      </c>
      <c r="C95" t="n">
        <v>0.17</v>
      </c>
      <c r="D95" t="n">
        <v>0</v>
      </c>
      <c r="E95" t="n">
        <v>3</v>
      </c>
      <c r="F95" t="n">
        <v>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Small necessaries</t>
        </is>
      </c>
      <c r="B96" t="inlineStr">
        <is>
          <t>3 hoggets bought 5.25pence.</t>
        </is>
      </c>
      <c r="C96" t="n">
        <v>0.02</v>
      </c>
      <c r="D96" t="n">
        <v>0</v>
      </c>
      <c r="E96" t="n">
        <v>0</v>
      </c>
      <c r="F96" t="n">
        <v>5.25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Small necessaries</t>
        </is>
      </c>
      <c r="B97" t="inlineStr">
        <is>
          <t>1 padlock bought for the barn-door 1pence.</t>
        </is>
      </c>
      <c r="C97" t="n">
        <v>0</v>
      </c>
      <c r="D97" t="n">
        <v>0</v>
      </c>
      <c r="E97" t="n">
        <v>0</v>
      </c>
      <c r="F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Small necessaries</t>
        </is>
      </c>
      <c r="B98" t="inlineStr">
        <is>
          <t>mending 1 bushel measure 1pence.</t>
        </is>
      </c>
      <c r="C98" t="n">
        <v>0</v>
      </c>
      <c r="D98" t="n">
        <v>0</v>
      </c>
      <c r="E98" t="n">
        <v>0</v>
      </c>
      <c r="F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Small necessaries</t>
        </is>
      </c>
      <c r="B99" t="inlineStr">
        <is>
          <t>1 basket (sporta) bought 4.5pence.</t>
        </is>
      </c>
      <c r="C99" t="n">
        <v>0.02</v>
      </c>
      <c r="D99" t="n">
        <v>0</v>
      </c>
      <c r="E99" t="n">
        <v>0</v>
      </c>
      <c r="F99" t="n">
        <v>4.5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Small necessaries</t>
        </is>
      </c>
      <c r="B100" t="inlineStr">
        <is>
          <t>expenses of 2 of the lord's horses hidden for 2 days and 2 nights at Garsington so that they should not be taken for the king's use 5.5pence Total, 17 shilling 1.75.pence</t>
        </is>
      </c>
      <c r="C100" t="n">
        <v>0.87</v>
      </c>
      <c r="D100" t="n">
        <v>0</v>
      </c>
      <c r="E100" t="n">
        <v>17</v>
      </c>
      <c r="F100" t="n">
        <v>5.5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Threshing and winnowing</t>
        </is>
      </c>
      <c r="B101" t="inlineStr">
        <is>
          <t>In threshing 57 quarters 2 bushels of wheat by piece-work 9 shilling 6pence, at 2pence a quarters.</t>
        </is>
      </c>
      <c r="C101" t="n">
        <v>0.48</v>
      </c>
      <c r="D101" t="n">
        <v>0</v>
      </c>
      <c r="E101" t="n">
        <v>9</v>
      </c>
      <c r="F101" t="n">
        <v>6</v>
      </c>
      <c r="G101" t="inlineStr">
        <is>
          <t>wheat</t>
        </is>
      </c>
      <c r="H101" t="n">
        <v>57</v>
      </c>
      <c r="I101" t="n">
        <v>2</v>
      </c>
      <c r="J101" t="n">
        <v>57.25</v>
      </c>
      <c r="K101" t="n">
        <v>57.25</v>
      </c>
      <c r="L101" t="n">
        <v>0</v>
      </c>
      <c r="M101" t="n">
        <v>57</v>
      </c>
      <c r="N101" t="n">
        <v>2</v>
      </c>
    </row>
    <row r="102">
      <c r="A102" t="inlineStr">
        <is>
          <t>Threshing and winnowing</t>
        </is>
      </c>
      <c r="B102" t="inlineStr">
        <is>
          <t>.</t>
        </is>
      </c>
      <c r="C102" t="n">
        <v>0</v>
      </c>
      <c r="D102" t="n">
        <v>0</v>
      </c>
      <c r="E102" t="n">
        <v>0</v>
      </c>
      <c r="F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Threshing and winnowing</t>
        </is>
      </c>
      <c r="B103" t="inlineStr">
        <is>
          <t>threshing 49 quarters 6 bushels of barley 6 shilling 1.5pence, at 1.5pence a quarters.</t>
        </is>
      </c>
      <c r="C103" t="n">
        <v>0.31</v>
      </c>
      <c r="D103" t="n">
        <v>0</v>
      </c>
      <c r="E103" t="n">
        <v>6</v>
      </c>
      <c r="F103" t="n">
        <v>1.5</v>
      </c>
      <c r="G103" t="inlineStr">
        <is>
          <t>barley</t>
        </is>
      </c>
      <c r="H103" t="n">
        <v>49</v>
      </c>
      <c r="I103" t="n">
        <v>6</v>
      </c>
      <c r="J103" t="n">
        <v>49.75</v>
      </c>
      <c r="K103" t="n">
        <v>49.75</v>
      </c>
      <c r="L103" t="n">
        <v>0</v>
      </c>
      <c r="M103" t="n">
        <v>49</v>
      </c>
      <c r="N103" t="n">
        <v>6</v>
      </c>
    </row>
    <row r="104">
      <c r="A104" t="inlineStr">
        <is>
          <t>Threshing and winnowing</t>
        </is>
      </c>
      <c r="B104" t="inlineStr">
        <is>
          <t>.</t>
        </is>
      </c>
      <c r="C104" t="n">
        <v>0</v>
      </c>
      <c r="D104" t="n">
        <v>0</v>
      </c>
      <c r="E104" t="n">
        <v>0</v>
      </c>
      <c r="F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Threshing and winnowing</t>
        </is>
      </c>
      <c r="B105" t="inlineStr">
        <is>
          <t>threshing 43 quarters 1 bushels of dredge by piece-work 4 shilling 5.75pence, at 1.25pence a quarters.</t>
        </is>
      </c>
      <c r="C105" t="n">
        <v>0.22</v>
      </c>
      <c r="D105" t="n">
        <v>0</v>
      </c>
      <c r="E105" t="n">
        <v>4</v>
      </c>
      <c r="F105" t="n">
        <v>5.75</v>
      </c>
      <c r="H105" t="n">
        <v>43</v>
      </c>
      <c r="I105" t="n">
        <v>1</v>
      </c>
      <c r="J105" t="n">
        <v>43.125</v>
      </c>
      <c r="K105" t="n">
        <v>43.125</v>
      </c>
      <c r="L105" t="n">
        <v>0</v>
      </c>
      <c r="M105" t="n">
        <v>43</v>
      </c>
      <c r="N105" t="n">
        <v>1</v>
      </c>
    </row>
    <row r="106">
      <c r="A106" t="inlineStr">
        <is>
          <t>Threshing and winnowing</t>
        </is>
      </c>
      <c r="B106" t="inlineStr">
        <is>
          <t>.</t>
        </is>
      </c>
      <c r="C106" t="n">
        <v>0</v>
      </c>
      <c r="D106" t="n">
        <v>0</v>
      </c>
      <c r="E106" t="n">
        <v>0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Threshing and winnowing</t>
        </is>
      </c>
      <c r="B107" t="inlineStr">
        <is>
          <t>threshing 1 quarters 3 bushels of vetches by piece-work 2.25..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vetches</t>
        </is>
      </c>
      <c r="H107" t="n">
        <v>1</v>
      </c>
      <c r="I107" t="n">
        <v>3</v>
      </c>
      <c r="J107" t="n">
        <v>1.375</v>
      </c>
      <c r="K107" t="n">
        <v>1.375</v>
      </c>
      <c r="L107" t="n">
        <v>0</v>
      </c>
      <c r="M107" t="n">
        <v>1</v>
      </c>
      <c r="N107" t="n">
        <v>3</v>
      </c>
    </row>
    <row r="108">
      <c r="A108" t="inlineStr">
        <is>
          <t>Threshing and winnowing</t>
        </is>
      </c>
      <c r="B108" t="inlineStr">
        <is>
          <t>winnowing all the abovesaid corn, that is, 151 quarters 4 bushels of whatever kind of corn, 2 shilling 6pence, at 1pence per 5 quarters of whatever kind of corn by struck measure.</t>
        </is>
      </c>
      <c r="C108" t="n">
        <v>0.12</v>
      </c>
      <c r="D108" t="n">
        <v>0</v>
      </c>
      <c r="E108" t="n">
        <v>2</v>
      </c>
      <c r="F108" t="n">
        <v>6</v>
      </c>
      <c r="H108" t="n">
        <v>5</v>
      </c>
      <c r="I108" t="n">
        <v>4</v>
      </c>
      <c r="J108" t="n">
        <v>5.5</v>
      </c>
      <c r="K108" t="n">
        <v>151.5</v>
      </c>
      <c r="L108" t="n">
        <v>-146</v>
      </c>
      <c r="M108" t="n">
        <v>151</v>
      </c>
      <c r="N108" t="n">
        <v>4</v>
      </c>
      <c r="O108" t="n">
        <v>5</v>
      </c>
      <c r="P108" t="n">
        <v>0</v>
      </c>
    </row>
    <row r="109">
      <c r="A109" t="inlineStr">
        <is>
          <t>Threshing and winnowing</t>
        </is>
      </c>
      <c r="B109" t="inlineStr">
        <is>
          <t>.</t>
        </is>
      </c>
      <c r="C109" t="n">
        <v>0</v>
      </c>
      <c r="D109" t="n">
        <v>0</v>
      </c>
      <c r="E109" t="n">
        <v>0</v>
      </c>
      <c r="F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Threshing and winnowing</t>
        </is>
      </c>
      <c r="B110" t="inlineStr">
        <is>
          <t>wages of John Touresmere overseeing the threshing and winnowing of corn by the day, 4 shilling 3pence for 1 term, taking 1.5pence a day.</t>
        </is>
      </c>
      <c r="C110" t="n">
        <v>0.21</v>
      </c>
      <c r="D110" t="n">
        <v>0</v>
      </c>
      <c r="E110" t="n">
        <v>4</v>
      </c>
      <c r="F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Threshing and winnowing</t>
        </is>
      </c>
      <c r="B111" t="inlineStr">
        <is>
          <t>.</t>
        </is>
      </c>
      <c r="C111" t="n">
        <v>0</v>
      </c>
      <c r="D111" t="n">
        <v>0</v>
      </c>
      <c r="E111" t="n">
        <v>0</v>
      </c>
      <c r="F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Threshing and winnowing</t>
        </is>
      </c>
      <c r="B112" t="inlineStr">
        <is>
          <t>stipend of the same 2 shilling, because he takes the rest up to 10 shilling elsewhere.</t>
        </is>
      </c>
      <c r="C112" t="n">
        <v>0.1</v>
      </c>
      <c r="D112" t="n">
        <v>0</v>
      </c>
      <c r="E112" t="n">
        <v>2</v>
      </c>
      <c r="F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Threshing and winnowing</t>
        </is>
      </c>
      <c r="B113" t="inlineStr">
        <is>
          <t>Total, £1 9 shilling .5pence</t>
        </is>
      </c>
      <c r="C113" t="n">
        <v>1.45</v>
      </c>
      <c r="D113" t="n">
        <v>1</v>
      </c>
      <c r="E113" t="n">
        <v>9</v>
      </c>
      <c r="F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Purchase of corn</t>
        </is>
      </c>
      <c r="B114" t="inlineStr">
        <is>
          <t>In 3 quarters of beans bought for sowing 5 shilling, at 1 shilling 8pence a quarters.</t>
        </is>
      </c>
      <c r="C114" t="n">
        <v>0.28</v>
      </c>
      <c r="D114" t="n">
        <v>0</v>
      </c>
      <c r="E114" t="n">
        <v>5</v>
      </c>
      <c r="F114" t="n">
        <v>8</v>
      </c>
      <c r="G114" t="inlineStr">
        <is>
          <t>beans</t>
        </is>
      </c>
      <c r="H114" t="n">
        <v>3</v>
      </c>
      <c r="I114" t="n">
        <v>0</v>
      </c>
      <c r="J114" t="n">
        <v>3</v>
      </c>
      <c r="K114" t="n">
        <v>3</v>
      </c>
      <c r="L114" t="n">
        <v>0</v>
      </c>
      <c r="M114" t="n">
        <v>3</v>
      </c>
      <c r="N114" t="n">
        <v>0</v>
      </c>
      <c r="U114" t="n">
        <v>1</v>
      </c>
      <c r="V114" t="n">
        <v>8</v>
      </c>
    </row>
    <row r="115">
      <c r="A115" t="inlineStr">
        <is>
          <t>Purchase of corn</t>
        </is>
      </c>
      <c r="B115" t="inlineStr">
        <is>
          <t>.</t>
        </is>
      </c>
      <c r="C115" t="n">
        <v>0</v>
      </c>
      <c r="D115" t="n">
        <v>0</v>
      </c>
      <c r="E115" t="n">
        <v>0</v>
      </c>
      <c r="F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Purchase of corn</t>
        </is>
      </c>
      <c r="B116" t="inlineStr">
        <is>
          <t>1 quarters of beans bought for the same and for fodder 1 shilling 8pence.</t>
        </is>
      </c>
      <c r="C116" t="n">
        <v>0.08</v>
      </c>
      <c r="D116" t="n">
        <v>0</v>
      </c>
      <c r="E116" t="n">
        <v>1</v>
      </c>
      <c r="F116" t="n">
        <v>8</v>
      </c>
      <c r="G116" t="inlineStr">
        <is>
          <t>beans</t>
        </is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inlineStr">
        <is>
          <t>Purchase of corn</t>
        </is>
      </c>
      <c r="B117" t="inlineStr">
        <is>
          <t>1 quarters of beans bought for fodder 1 shilling 4.5pence.</t>
        </is>
      </c>
      <c r="C117" t="n">
        <v>0.07000000000000001</v>
      </c>
      <c r="D117" t="n">
        <v>0</v>
      </c>
      <c r="E117" t="n">
        <v>1</v>
      </c>
      <c r="F117" t="n">
        <v>4.5</v>
      </c>
      <c r="G117" t="inlineStr">
        <is>
          <t>beans</t>
        </is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</row>
    <row r="118">
      <c r="A118" t="inlineStr">
        <is>
          <t>Purchase of corn</t>
        </is>
      </c>
      <c r="B118" t="inlineStr">
        <is>
          <t>2 bushels of beans bought for the same 4.5pence Total, 8 shilling 5pence</t>
        </is>
      </c>
      <c r="C118" t="n">
        <v>0.42</v>
      </c>
      <c r="D118" t="n">
        <v>0</v>
      </c>
      <c r="E118" t="n">
        <v>8</v>
      </c>
      <c r="F118" t="n">
        <v>4.5</v>
      </c>
      <c r="G118" t="inlineStr">
        <is>
          <t>beans</t>
        </is>
      </c>
      <c r="H118" t="n">
        <v>0</v>
      </c>
      <c r="I118" t="n">
        <v>2</v>
      </c>
      <c r="J118" t="n">
        <v>0.25</v>
      </c>
      <c r="K118" t="n">
        <v>0.25</v>
      </c>
      <c r="L118" t="n">
        <v>0</v>
      </c>
      <c r="M118" t="n">
        <v>0</v>
      </c>
      <c r="N118" t="n">
        <v>2</v>
      </c>
    </row>
    <row r="119">
      <c r="A119" t="inlineStr">
        <is>
          <t>Cost of buildings</t>
        </is>
      </c>
      <c r="B119" t="inlineStr">
        <is>
          <t>In felling and sawing timber together with repairing the said timber to bring it from the wood of la Wassch' 1 shilling 6pence.</t>
        </is>
      </c>
      <c r="C119" t="n">
        <v>0.08</v>
      </c>
      <c r="D119" t="n">
        <v>0</v>
      </c>
      <c r="E119" t="n">
        <v>1</v>
      </c>
      <c r="F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Cost of buildings</t>
        </is>
      </c>
      <c r="B120" t="inlineStr">
        <is>
          <t>1,000 lath-nails bought for the walls of the barn 10pence, that is, for fastening the laths.</t>
        </is>
      </c>
      <c r="C120" t="n">
        <v>0.04</v>
      </c>
      <c r="D120" t="n">
        <v>0</v>
      </c>
      <c r="E120" t="n">
        <v>0</v>
      </c>
      <c r="F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Cost of buildings</t>
        </is>
      </c>
      <c r="B121" t="inlineStr">
        <is>
          <t>.</t>
        </is>
      </c>
      <c r="C121" t="n">
        <v>0</v>
      </c>
      <c r="D121" t="n">
        <v>0</v>
      </c>
      <c r="E121" t="n">
        <v>0</v>
      </c>
      <c r="F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Cost of buildings</t>
        </is>
      </c>
      <c r="B122" t="inlineStr">
        <is>
          <t>hiring 1 carpenter to repair the said barn with the said timber by piece-work 9 shilling 6pence.</t>
        </is>
      </c>
      <c r="C122" t="n">
        <v>0.48</v>
      </c>
      <c r="D122" t="n">
        <v>0</v>
      </c>
      <c r="E122" t="n">
        <v>9</v>
      </c>
      <c r="F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Cost of buildings</t>
        </is>
      </c>
      <c r="B123" t="inlineStr">
        <is>
          <t>hiring 1 roofer to roof over 2 barns for 22.5 days 5 shilling 7.5pence, taking 3pence a day.</t>
        </is>
      </c>
      <c r="C123" t="n">
        <v>0.28</v>
      </c>
      <c r="D123" t="n">
        <v>0</v>
      </c>
      <c r="E123" t="n">
        <v>5</v>
      </c>
      <c r="F123" t="n">
        <v>7.5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Cost of buildings</t>
        </is>
      </c>
      <c r="B124" t="inlineStr">
        <is>
          <t>.</t>
        </is>
      </c>
      <c r="C124" t="n">
        <v>0</v>
      </c>
      <c r="D124" t="n">
        <v>0</v>
      </c>
      <c r="E124" t="n">
        <v>0</v>
      </c>
      <c r="F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Cost of buildings</t>
        </is>
      </c>
      <c r="B125" t="inlineStr">
        <is>
          <t>3 women assisting him for the same time 5 shilling 7.5pence, or 1pence each a day.</t>
        </is>
      </c>
      <c r="C125" t="n">
        <v>0.28</v>
      </c>
      <c r="D125" t="n">
        <v>0</v>
      </c>
      <c r="E125" t="n">
        <v>5</v>
      </c>
      <c r="F125" t="n">
        <v>7.5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Cost of buildings</t>
        </is>
      </c>
      <c r="B126" t="inlineStr">
        <is>
          <t>.</t>
        </is>
      </c>
      <c r="C126" t="n">
        <v>0</v>
      </c>
      <c r="D126" t="n">
        <v>0</v>
      </c>
      <c r="E126" t="n">
        <v>0</v>
      </c>
      <c r="F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Cost of buildings</t>
        </is>
      </c>
      <c r="B127" t="inlineStr">
        <is>
          <t>hiring a certain roofer to roof over the said barn for 1 day in winter 2pence.</t>
        </is>
      </c>
      <c r="C127" t="n">
        <v>0.01</v>
      </c>
      <c r="D127" t="n">
        <v>0</v>
      </c>
      <c r="E127" t="n">
        <v>0</v>
      </c>
      <c r="F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Cost of buildings</t>
        </is>
      </c>
      <c r="B128" t="inlineStr">
        <is>
          <t>2 women assisting him for the same time 2pence.</t>
        </is>
      </c>
      <c r="C128" t="n">
        <v>0.01</v>
      </c>
      <c r="D128" t="n">
        <v>0</v>
      </c>
      <c r="E128" t="n">
        <v>0</v>
      </c>
      <c r="F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Cost of buildings</t>
        </is>
      </c>
      <c r="B129" t="inlineStr">
        <is>
          <t>making 1 hinge for the gate and mending 2 latches for the hall door 1.5pence Total, £1 3 shilling 6.5pence</t>
        </is>
      </c>
      <c r="C129" t="n">
        <v>1.18</v>
      </c>
      <c r="D129" t="n">
        <v>1</v>
      </c>
      <c r="E129" t="n">
        <v>3</v>
      </c>
      <c r="F129" t="n">
        <v>6.5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Customary payments</t>
        </is>
      </c>
      <c r="B130" t="inlineStr">
        <is>
          <t>In food and drink for 41 men mowing 18 acres of meadow according to custom 6 shilling 10pence Total, 6 shilling 10pence</t>
        </is>
      </c>
      <c r="C130" t="n">
        <v>0.34</v>
      </c>
      <c r="D130" t="n">
        <v>0</v>
      </c>
      <c r="E130" t="n">
        <v>6</v>
      </c>
      <c r="F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Cost of the harvest</t>
        </is>
      </c>
      <c r="B131" t="inlineStr">
        <is>
          <t>In expenses of 5 harvest boon-works of 302 men reaping for a whole day, who reaped 228 acres of whatever kind of corn and had a meal twice a day, £1 17 shilling 9pence, and thus each took 1.5pence a day for 2 mea1 shilling.</t>
        </is>
      </c>
      <c r="C131" t="n">
        <v>1.89</v>
      </c>
      <c r="D131" t="n">
        <v>1</v>
      </c>
      <c r="E131" t="n">
        <v>17</v>
      </c>
      <c r="F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Cost of the harvest</t>
        </is>
      </c>
      <c r="B132" t="inlineStr">
        <is>
          <t>hiring 1 man to follow the cart in search of corn at harvest-time for 6 days 1 shilling, because the ploughmen were at the ploughs for the whole day.</t>
        </is>
      </c>
      <c r="C132" t="n">
        <v>0.05</v>
      </c>
      <c r="D132" t="n">
        <v>0</v>
      </c>
      <c r="E132" t="n">
        <v>1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Cost of the harvest</t>
        </is>
      </c>
      <c r="B133" t="inlineStr">
        <is>
          <t>Total, £1 18 shilling 9pence</t>
        </is>
      </c>
      <c r="C133" t="n">
        <v>1.94</v>
      </c>
      <c r="D133" t="n">
        <v>1</v>
      </c>
      <c r="E133" t="n">
        <v>18</v>
      </c>
      <c r="F133" t="n">
        <v>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Expenses of the bailiff and other expenses</t>
        </is>
      </c>
      <c r="B134" t="inlineStr">
        <is>
          <t>Paid to Roginald de Lynham, bailiff, for part of his wages, £2 for 1 term.</t>
        </is>
      </c>
      <c r="C134" t="n">
        <v>2</v>
      </c>
      <c r="D134" t="n">
        <v>2</v>
      </c>
      <c r="E134" t="n">
        <v>0</v>
      </c>
      <c r="F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Expenses of the bailiff and other expenses</t>
        </is>
      </c>
      <c r="B135" t="inlineStr">
        <is>
          <t>Given to the clerk of the justices assessing the fifteenth for a certain distraint against the lord bishop, taken for the fifteenth, 6 shilling 8pence Given to the king's marshal for not taking the lord's hay 2 shilling 1pence.</t>
        </is>
      </c>
      <c r="C135" t="n">
        <v>0.33</v>
      </c>
      <c r="D135" t="n">
        <v>0</v>
      </c>
      <c r="E135" t="n">
        <v>6</v>
      </c>
      <c r="F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Expenses of the bailiff and other expenses</t>
        </is>
      </c>
      <c r="B136" t="inlineStr">
        <is>
          <t>stipend of 1 overseer of the harvest for the year 6 shilling 8pence Total, £2 15 shilling 5pence</t>
        </is>
      </c>
      <c r="C136" t="n">
        <v>2.77</v>
      </c>
      <c r="D136" t="n">
        <v>2</v>
      </c>
      <c r="E136" t="n">
        <v>15</v>
      </c>
      <c r="F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Total of all expenses</t>
        </is>
      </c>
      <c r="B137" t="inlineStr">
        <is>
          <t>Total of all expenses, £14 5 shilling 10.25pence</t>
        </is>
      </c>
      <c r="C137" t="n">
        <v>14.29</v>
      </c>
      <c r="D137" t="n">
        <v>14</v>
      </c>
      <c r="E137" t="n">
        <v>5</v>
      </c>
      <c r="F137" t="n">
        <v>10.25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Total of all expenses</t>
        </is>
      </c>
      <c r="B138" t="inlineStr">
        <is>
          <t>And he owes, £44 5 shilling 9.75pence</t>
        </is>
      </c>
      <c r="C138" t="n">
        <v>44.29</v>
      </c>
      <c r="D138" t="n">
        <v>44</v>
      </c>
      <c r="E138" t="n">
        <v>5</v>
      </c>
      <c r="F138" t="n">
        <v>9.75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Cash deliveries</t>
        </is>
      </c>
      <c r="B139" t="inlineStr">
        <is>
          <t>Delivered to Sir Geoffrey, treasurer of Wolvesey, by 1 tally, £33 10 shilling</t>
        </is>
      </c>
      <c r="C139" t="n">
        <v>33.5</v>
      </c>
      <c r="D139" t="n">
        <v>33</v>
      </c>
      <c r="E139" t="n">
        <v>10</v>
      </c>
      <c r="F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Cash deliveries</t>
        </is>
      </c>
      <c r="B140" t="inlineStr">
        <is>
          <t>And thus he owes clear, £10 15 shilling 9.75pence</t>
        </is>
      </c>
      <c r="C140" t="n">
        <v>10.79</v>
      </c>
      <c r="D140" t="n">
        <v>10</v>
      </c>
      <c r="E140" t="n">
        <v>15</v>
      </c>
      <c r="F140" t="n">
        <v>9.75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Wheat</t>
        </is>
      </c>
      <c r="B141" t="inlineStr">
        <is>
          <t>(yield: . . . less . . .)</t>
        </is>
      </c>
      <c r="C141" t="n">
        <v>0</v>
      </c>
      <c r="D141" t="n">
        <v>0</v>
      </c>
      <c r="E141" t="n">
        <v>0</v>
      </c>
      <c r="F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Wheat</t>
        </is>
      </c>
      <c r="B142" t="inlineStr">
        <is>
          <t>The same render account for 81 quarters 7 bushels of wheat from the whole issue of the grange by 3 tallies of struck measure, of which 57 quarters threshed by piece-work and 24 quarters 5 bushels by labour service.</t>
        </is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wheat</t>
        </is>
      </c>
      <c r="H142" t="n">
        <v>81</v>
      </c>
      <c r="I142" t="n">
        <v>5</v>
      </c>
      <c r="J142" t="n">
        <v>81.625</v>
      </c>
      <c r="K142" t="n">
        <v>81.875</v>
      </c>
      <c r="L142" t="n">
        <v>-0.25</v>
      </c>
      <c r="M142" t="n">
        <v>81</v>
      </c>
      <c r="N142" t="n">
        <v>7</v>
      </c>
      <c r="O142" t="n">
        <v>57</v>
      </c>
      <c r="P142" t="n">
        <v>0</v>
      </c>
      <c r="Q142" t="n">
        <v>24</v>
      </c>
      <c r="R142" t="n">
        <v>5</v>
      </c>
    </row>
    <row r="143">
      <c r="A143" t="inlineStr">
        <is>
          <t>Wheat</t>
        </is>
      </c>
      <c r="B143" t="inlineStr">
        <is>
          <t>14 quarters from churchscot at Martinmas.</t>
        </is>
      </c>
      <c r="C143" t="n">
        <v>0</v>
      </c>
      <c r="D143" t="n">
        <v>0</v>
      </c>
      <c r="E143" t="n">
        <v>0</v>
      </c>
      <c r="F143" t="n">
        <v>0</v>
      </c>
      <c r="H143" t="n">
        <v>14</v>
      </c>
      <c r="I143" t="n">
        <v>0</v>
      </c>
      <c r="J143" t="n">
        <v>14</v>
      </c>
      <c r="K143" t="n">
        <v>14</v>
      </c>
      <c r="L143" t="n">
        <v>0</v>
      </c>
      <c r="M143" t="n">
        <v>14</v>
      </c>
      <c r="N143" t="n">
        <v>0</v>
      </c>
    </row>
    <row r="144">
      <c r="A144" t="inlineStr">
        <is>
          <t>Wheat</t>
        </is>
      </c>
      <c r="B144" t="inlineStr">
        <is>
          <t>Total, 95 quarters 7 bushels</t>
        </is>
      </c>
      <c r="C144" t="n">
        <v>0</v>
      </c>
      <c r="D144" t="n">
        <v>0</v>
      </c>
      <c r="E144" t="n">
        <v>0</v>
      </c>
      <c r="F144" t="n">
        <v>0</v>
      </c>
      <c r="H144" t="n">
        <v>95</v>
      </c>
      <c r="I144" t="n">
        <v>7</v>
      </c>
      <c r="J144" t="n">
        <v>95.875</v>
      </c>
      <c r="K144" t="n">
        <v>95.875</v>
      </c>
      <c r="L144" t="n">
        <v>0</v>
      </c>
      <c r="M144" t="n">
        <v>95</v>
      </c>
      <c r="N144" t="n">
        <v>7</v>
      </c>
    </row>
    <row r="145">
      <c r="A145" t="inlineStr">
        <is>
          <t>Wheat</t>
        </is>
      </c>
      <c r="B145" t="inlineStr">
        <is>
          <t>Sown over 133 acres of land as they lie in the field, 23 quarters 5 bushels by 1 tally.</t>
        </is>
      </c>
      <c r="C145" t="n">
        <v>0</v>
      </c>
      <c r="D145" t="n">
        <v>0</v>
      </c>
      <c r="E145" t="n">
        <v>0</v>
      </c>
      <c r="F145" t="n">
        <v>0</v>
      </c>
      <c r="H145" t="n">
        <v>23</v>
      </c>
      <c r="I145" t="n">
        <v>5</v>
      </c>
      <c r="J145" t="n">
        <v>23.625</v>
      </c>
      <c r="K145" t="n">
        <v>23.625</v>
      </c>
      <c r="L145" t="n">
        <v>0</v>
      </c>
      <c r="M145" t="n">
        <v>23</v>
      </c>
      <c r="N145" t="n">
        <v>5</v>
      </c>
    </row>
    <row r="146">
      <c r="A146" t="inlineStr">
        <is>
          <t>Wheat</t>
        </is>
      </c>
      <c r="B146" t="inlineStr">
        <is>
          <t>that is, 1.5 bushels an acre, less 1 quarters 2 bushels in all.</t>
        </is>
      </c>
      <c r="C146" t="n">
        <v>0</v>
      </c>
      <c r="D146" t="n">
        <v>0</v>
      </c>
      <c r="E146" t="n">
        <v>0</v>
      </c>
      <c r="F146" t="n">
        <v>0</v>
      </c>
      <c r="H146" t="n">
        <v>1</v>
      </c>
      <c r="I146" t="n">
        <v>2</v>
      </c>
      <c r="J146" t="n">
        <v>1.25</v>
      </c>
      <c r="K146" t="n">
        <v>0.1875</v>
      </c>
      <c r="L146" t="n">
        <v>1.0625</v>
      </c>
      <c r="M146" t="n">
        <v>0</v>
      </c>
      <c r="N146" t="n">
        <v>1.5</v>
      </c>
      <c r="O146" t="n">
        <v>1</v>
      </c>
      <c r="P146" t="n">
        <v>2</v>
      </c>
    </row>
    <row r="147">
      <c r="A147" t="inlineStr">
        <is>
          <t>Wheat</t>
        </is>
      </c>
      <c r="B147" t="inlineStr">
        <is>
          <t>Delivered to 1 overseer of the harvest for the year, 3 quarters 2 bushels, because he takes the rest in barley, taking a quarter every 8 weeks.</t>
        </is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barley</t>
        </is>
      </c>
      <c r="H147" t="n">
        <v>3</v>
      </c>
      <c r="I147" t="n">
        <v>2</v>
      </c>
      <c r="J147" t="n">
        <v>3.25</v>
      </c>
      <c r="K147" t="n">
        <v>3.25</v>
      </c>
      <c r="L147" t="n">
        <v>0</v>
      </c>
      <c r="M147" t="n">
        <v>3</v>
      </c>
      <c r="N147" t="n">
        <v>2</v>
      </c>
    </row>
    <row r="148">
      <c r="A148" t="inlineStr">
        <is>
          <t>Wheat</t>
        </is>
      </c>
      <c r="B148" t="inlineStr">
        <is>
          <t>Sold, 68 quarters 7 bushels Sold at the audit, 1 bushels Total, 95 quarters 7 bushels None remains.</t>
        </is>
      </c>
      <c r="C148" t="n">
        <v>0</v>
      </c>
      <c r="D148" t="n">
        <v>0</v>
      </c>
      <c r="E148" t="n">
        <v>0</v>
      </c>
      <c r="F148" t="n">
        <v>0</v>
      </c>
      <c r="H148" t="n">
        <v>95</v>
      </c>
      <c r="I148" t="n">
        <v>8</v>
      </c>
      <c r="J148" t="n">
        <v>96</v>
      </c>
      <c r="K148" t="n">
        <v>68.875</v>
      </c>
      <c r="L148" t="n">
        <v>27.125</v>
      </c>
      <c r="M148" t="n">
        <v>68</v>
      </c>
      <c r="N148" t="n">
        <v>7</v>
      </c>
      <c r="O148" t="n">
        <v>0</v>
      </c>
      <c r="P148" t="n">
        <v>1</v>
      </c>
      <c r="Q148" t="n">
        <v>95</v>
      </c>
      <c r="R148" t="n">
        <v>7</v>
      </c>
    </row>
    <row r="149">
      <c r="A149" t="inlineStr">
        <is>
          <t>Barley</t>
        </is>
      </c>
      <c r="B149" t="inlineStr">
        <is>
          <t>(yield: 4-fold plus 3 quarters 6 bushels)</t>
        </is>
      </c>
      <c r="C149" t="n">
        <v>0</v>
      </c>
      <c r="D149" t="n">
        <v>0</v>
      </c>
      <c r="E149" t="n">
        <v>0</v>
      </c>
      <c r="F149" t="n">
        <v>0</v>
      </c>
      <c r="H149" t="n">
        <v>3</v>
      </c>
      <c r="I149" t="n">
        <v>6</v>
      </c>
      <c r="J149" t="n">
        <v>3.75</v>
      </c>
      <c r="K149" t="n">
        <v>3.75</v>
      </c>
      <c r="L149" t="n">
        <v>0</v>
      </c>
      <c r="M149" t="n">
        <v>3</v>
      </c>
      <c r="N149" t="n">
        <v>6</v>
      </c>
    </row>
    <row r="150">
      <c r="A150" t="inlineStr">
        <is>
          <t>Barley</t>
        </is>
      </c>
      <c r="B150" t="inlineStr">
        <is>
          <t>The same render account for 49 quarters 6 bushels of barley from the whole issue of the grange, threshed by piece-work by 1 tally of struck measure.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barley</t>
        </is>
      </c>
      <c r="H150" t="n">
        <v>49</v>
      </c>
      <c r="I150" t="n">
        <v>6</v>
      </c>
      <c r="J150" t="n">
        <v>49.75</v>
      </c>
      <c r="K150" t="n">
        <v>49.75</v>
      </c>
      <c r="L150" t="n">
        <v>0</v>
      </c>
      <c r="M150" t="n">
        <v>49</v>
      </c>
      <c r="N150" t="n">
        <v>6</v>
      </c>
    </row>
    <row r="151">
      <c r="A151" t="inlineStr">
        <is>
          <t>Barley</t>
        </is>
      </c>
      <c r="B151" t="inlineStr">
        <is>
          <t>Total, 49 quarters 6 bushels Sown over 26 acres of land as they lie in the field, 12 quarters 7 bushels by 1 tally.</t>
        </is>
      </c>
      <c r="C151" t="n">
        <v>0</v>
      </c>
      <c r="D151" t="n">
        <v>0</v>
      </c>
      <c r="E151" t="n">
        <v>0</v>
      </c>
      <c r="F151" t="n">
        <v>0</v>
      </c>
      <c r="H151" t="n">
        <v>12</v>
      </c>
      <c r="I151" t="n">
        <v>7</v>
      </c>
      <c r="J151" t="n">
        <v>12.875</v>
      </c>
      <c r="K151" t="n">
        <v>49.75</v>
      </c>
      <c r="L151" t="n">
        <v>-36.875</v>
      </c>
      <c r="M151" t="n">
        <v>49</v>
      </c>
      <c r="N151" t="n">
        <v>6</v>
      </c>
      <c r="O151" t="n">
        <v>12</v>
      </c>
      <c r="P151" t="n">
        <v>7</v>
      </c>
    </row>
    <row r="152">
      <c r="A152" t="inlineStr">
        <is>
          <t>Barley</t>
        </is>
      </c>
      <c r="B152" t="inlineStr">
        <is>
          <t>that is, 0.5 quarters an acre, less 1 bushels in all.</t>
        </is>
      </c>
      <c r="C152" t="n">
        <v>0</v>
      </c>
      <c r="D152" t="n">
        <v>0</v>
      </c>
      <c r="E152" t="n">
        <v>0</v>
      </c>
      <c r="F152" t="n">
        <v>0</v>
      </c>
      <c r="H152" t="n">
        <v>0.5</v>
      </c>
      <c r="I152" t="n">
        <v>1</v>
      </c>
      <c r="J152" t="n">
        <v>0.625</v>
      </c>
      <c r="K152" t="n">
        <v>0.5</v>
      </c>
      <c r="L152" t="n">
        <v>0.125</v>
      </c>
      <c r="M152" t="n">
        <v>0.5</v>
      </c>
      <c r="N152" t="n">
        <v>0</v>
      </c>
      <c r="O152" t="n">
        <v>0</v>
      </c>
      <c r="P152" t="n">
        <v>1</v>
      </c>
    </row>
    <row r="153">
      <c r="A153" t="inlineStr">
        <is>
          <t>Barley</t>
        </is>
      </c>
      <c r="B153" t="inlineStr">
        <is>
          <t>Delivered to 1 overseer of the harvest for the year, 3 quarters 2 bushels, because he takes the rest in wheat, taking a quarter every 8 weeks.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wheat</t>
        </is>
      </c>
      <c r="H153" t="n">
        <v>3</v>
      </c>
      <c r="I153" t="n">
        <v>2</v>
      </c>
      <c r="J153" t="n">
        <v>3.25</v>
      </c>
      <c r="K153" t="n">
        <v>3.25</v>
      </c>
      <c r="L153" t="n">
        <v>0</v>
      </c>
      <c r="M153" t="n">
        <v>3</v>
      </c>
      <c r="N153" t="n">
        <v>2</v>
      </c>
    </row>
    <row r="154">
      <c r="A154" t="inlineStr">
        <is>
          <t>Barley</t>
        </is>
      </c>
      <c r="B154" t="inlineStr">
        <is>
          <t>Delivered to 1 carter and 2 drovers for the year, 15 quarters 3.5 bushels, or 5 quarters 2 bushels each, taking a quarter every 10 weeks.</t>
        </is>
      </c>
      <c r="C154" t="n">
        <v>0</v>
      </c>
      <c r="D154" t="n">
        <v>0</v>
      </c>
      <c r="E154" t="n">
        <v>0</v>
      </c>
      <c r="F154" t="n">
        <v>0</v>
      </c>
      <c r="H154" t="n">
        <v>5</v>
      </c>
      <c r="I154" t="n">
        <v>2</v>
      </c>
      <c r="J154" t="n">
        <v>5.25</v>
      </c>
      <c r="K154" t="n">
        <v>15.4375</v>
      </c>
      <c r="L154" t="n">
        <v>-10.1875</v>
      </c>
      <c r="M154" t="n">
        <v>15</v>
      </c>
      <c r="N154" t="n">
        <v>3.5</v>
      </c>
      <c r="O154" t="n">
        <v>5</v>
      </c>
      <c r="P154" t="n">
        <v>2</v>
      </c>
    </row>
    <row r="155">
      <c r="A155" t="inlineStr">
        <is>
          <t>Barley</t>
        </is>
      </c>
      <c r="B155" t="inlineStr">
        <is>
          <t>Mixed with dredge for sowing as made clear below, 3 quarters.</t>
        </is>
      </c>
      <c r="C155" t="n">
        <v>0</v>
      </c>
      <c r="D155" t="n">
        <v>0</v>
      </c>
      <c r="E155" t="n">
        <v>0</v>
      </c>
      <c r="F155" t="n">
        <v>0</v>
      </c>
      <c r="H155" t="n">
        <v>3</v>
      </c>
      <c r="I155" t="n">
        <v>0</v>
      </c>
      <c r="J155" t="n">
        <v>3</v>
      </c>
      <c r="K155" t="n">
        <v>3</v>
      </c>
      <c r="L155" t="n">
        <v>0</v>
      </c>
      <c r="M155" t="n">
        <v>3</v>
      </c>
      <c r="N155" t="n">
        <v>0</v>
      </c>
    </row>
    <row r="156">
      <c r="A156" t="inlineStr">
        <is>
          <t>Barley</t>
        </is>
      </c>
      <c r="B156" t="inlineStr">
        <is>
          <t>Sold, 14 quarters 3 bushels Sold at the audit, 5.5 bushels Total, 49 quarters 6 bushels None remains.</t>
        </is>
      </c>
      <c r="C156" t="n">
        <v>0</v>
      </c>
      <c r="D156" t="n">
        <v>0</v>
      </c>
      <c r="E156" t="n">
        <v>0</v>
      </c>
      <c r="F156" t="n">
        <v>0</v>
      </c>
      <c r="H156" t="n">
        <v>49</v>
      </c>
      <c r="I156" t="n">
        <v>11.5</v>
      </c>
      <c r="J156" t="n">
        <v>50.4375</v>
      </c>
      <c r="K156" t="n">
        <v>14.375</v>
      </c>
      <c r="L156" t="n">
        <v>36.0625</v>
      </c>
      <c r="M156" t="n">
        <v>14</v>
      </c>
      <c r="N156" t="n">
        <v>3</v>
      </c>
      <c r="O156" t="n">
        <v>0</v>
      </c>
      <c r="P156" t="n">
        <v>5.5</v>
      </c>
      <c r="Q156" t="n">
        <v>49</v>
      </c>
      <c r="R156" t="n">
        <v>6</v>
      </c>
    </row>
    <row r="157">
      <c r="A157" t="inlineStr">
        <is>
          <t>Dredge</t>
        </is>
      </c>
      <c r="B157" t="inlineStr">
        <is>
          <t>(yield: three-fold less 3 quarters 7 bushels) The same render account for 51 quarters grange by 2 tallies of struck measure, and 4 quarters 2 bushels by labour service.</t>
        </is>
      </c>
      <c r="C157" t="n">
        <v>0</v>
      </c>
      <c r="D157" t="n">
        <v>0</v>
      </c>
      <c r="E157" t="n">
        <v>0</v>
      </c>
      <c r="F157" t="n">
        <v>0</v>
      </c>
      <c r="H157" t="n">
        <v>55</v>
      </c>
      <c r="I157" t="n">
        <v>2</v>
      </c>
      <c r="J157" t="n">
        <v>55.25</v>
      </c>
      <c r="K157" t="n">
        <v>3.875</v>
      </c>
      <c r="L157" t="n">
        <v>51.375</v>
      </c>
      <c r="M157" t="n">
        <v>3</v>
      </c>
      <c r="N157" t="n">
        <v>7</v>
      </c>
      <c r="O157" t="n">
        <v>51</v>
      </c>
      <c r="P157" t="n">
        <v>0</v>
      </c>
      <c r="Q157" t="n">
        <v>4</v>
      </c>
      <c r="R157" t="n">
        <v>2</v>
      </c>
    </row>
    <row r="158">
      <c r="A158" t="inlineStr">
        <is>
          <t>Dredge</t>
        </is>
      </c>
      <c r="B158" t="inlineStr">
        <is>
          <t>3 sowing.</t>
        </is>
      </c>
      <c r="C158" t="n">
        <v>0</v>
      </c>
      <c r="D158" t="n">
        <v>0</v>
      </c>
      <c r="E158" t="n">
        <v>0</v>
      </c>
      <c r="F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Dredge</t>
        </is>
      </c>
      <c r="B159" t="inlineStr">
        <is>
          <t>Total, 54 quarters 5 bushels</t>
        </is>
      </c>
      <c r="C159" t="n">
        <v>0</v>
      </c>
      <c r="D159" t="n">
        <v>0</v>
      </c>
      <c r="E159" t="n">
        <v>0</v>
      </c>
      <c r="F159" t="n">
        <v>0</v>
      </c>
      <c r="H159" t="n">
        <v>54</v>
      </c>
      <c r="I159" t="n">
        <v>5</v>
      </c>
      <c r="J159" t="n">
        <v>54.625</v>
      </c>
      <c r="K159" t="n">
        <v>54.625</v>
      </c>
      <c r="L159" t="n">
        <v>0</v>
      </c>
      <c r="M159" t="n">
        <v>54</v>
      </c>
      <c r="N159" t="n">
        <v>5</v>
      </c>
    </row>
    <row r="160">
      <c r="A160" t="inlineStr">
        <is>
          <t>Dredge</t>
        </is>
      </c>
      <c r="B160" t="inlineStr">
        <is>
          <t>Sown over 63 acres of land as they lie plus 1 bushels in all.</t>
        </is>
      </c>
      <c r="C160" t="n">
        <v>0</v>
      </c>
      <c r="D160" t="n">
        <v>0</v>
      </c>
      <c r="E160" t="n">
        <v>0</v>
      </c>
      <c r="F160" t="n">
        <v>0</v>
      </c>
      <c r="H160" t="n">
        <v>0</v>
      </c>
      <c r="I160" t="n">
        <v>1</v>
      </c>
      <c r="J160" t="n">
        <v>0.125</v>
      </c>
      <c r="K160" t="n">
        <v>0.125</v>
      </c>
      <c r="L160" t="n">
        <v>0</v>
      </c>
      <c r="M160" t="n">
        <v>0</v>
      </c>
      <c r="N160" t="n">
        <v>1</v>
      </c>
    </row>
    <row r="161">
      <c r="A161" t="inlineStr">
        <is>
          <t>Dredge</t>
        </is>
      </c>
      <c r="B161" t="inlineStr">
        <is>
          <t>Sold, 20 quarters 6 bushels None remains. 5 bushels of dredge from the whole issue of the of which 43 quarters 1 bushels threshed by piece-work quarters of barley received to mix with dredge for in the field, 20 quarters 3 bushels.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barley</t>
        </is>
      </c>
      <c r="H161" t="n">
        <v>63</v>
      </c>
      <c r="I161" t="n">
        <v>9</v>
      </c>
      <c r="J161" t="n">
        <v>64.125</v>
      </c>
      <c r="K161" t="n">
        <v>20.75</v>
      </c>
      <c r="L161" t="n">
        <v>43.375</v>
      </c>
      <c r="M161" t="n">
        <v>20</v>
      </c>
      <c r="N161" t="n">
        <v>6</v>
      </c>
      <c r="O161" t="n">
        <v>0</v>
      </c>
      <c r="P161" t="n">
        <v>5</v>
      </c>
      <c r="Q161" t="n">
        <v>43</v>
      </c>
      <c r="R161" t="n">
        <v>1</v>
      </c>
      <c r="S161" t="n">
        <v>20</v>
      </c>
      <c r="T161" t="n">
        <v>3</v>
      </c>
    </row>
    <row r="162">
      <c r="A162" t="inlineStr">
        <is>
          <t>Dredge</t>
        </is>
      </c>
      <c r="B162" t="inlineStr">
        <is>
          <t>that is, 3 bushels an acre, Sold at the audit, 3.5 quarters.</t>
        </is>
      </c>
      <c r="C162" t="n">
        <v>0</v>
      </c>
      <c r="D162" t="n">
        <v>0</v>
      </c>
      <c r="E162" t="n">
        <v>0</v>
      </c>
      <c r="F162" t="n">
        <v>0</v>
      </c>
      <c r="H162" t="n">
        <v>3.5</v>
      </c>
      <c r="I162" t="n">
        <v>3</v>
      </c>
      <c r="J162" t="n">
        <v>3.875</v>
      </c>
      <c r="K162" t="n">
        <v>0.375</v>
      </c>
      <c r="L162" t="n">
        <v>3.5</v>
      </c>
      <c r="M162" t="n">
        <v>0</v>
      </c>
      <c r="N162" t="n">
        <v>3</v>
      </c>
      <c r="O162" t="n">
        <v>3.5</v>
      </c>
      <c r="P162" t="n">
        <v>0</v>
      </c>
    </row>
    <row r="163">
      <c r="A163" t="inlineStr">
        <is>
          <t>Dredge</t>
        </is>
      </c>
      <c r="B163" t="inlineStr">
        <is>
          <t>Total, 54 quarters 5 bushels</t>
        </is>
      </c>
      <c r="C163" t="n">
        <v>0</v>
      </c>
      <c r="D163" t="n">
        <v>0</v>
      </c>
      <c r="E163" t="n">
        <v>0</v>
      </c>
      <c r="F163" t="n">
        <v>0</v>
      </c>
      <c r="H163" t="n">
        <v>54</v>
      </c>
      <c r="I163" t="n">
        <v>5</v>
      </c>
      <c r="J163" t="n">
        <v>54.625</v>
      </c>
      <c r="K163" t="n">
        <v>54.625</v>
      </c>
      <c r="L163" t="n">
        <v>0</v>
      </c>
      <c r="M163" t="n">
        <v>54</v>
      </c>
      <c r="N163" t="n">
        <v>5</v>
      </c>
    </row>
    <row r="164">
      <c r="A164" t="inlineStr">
        <is>
          <t>Vetches</t>
        </is>
      </c>
      <c r="B164" t="inlineStr">
        <is>
          <t>(yield: 4-fold, less 1 bushels)</t>
        </is>
      </c>
      <c r="C164" t="n">
        <v>0</v>
      </c>
      <c r="D164" t="n">
        <v>0</v>
      </c>
      <c r="E164" t="n">
        <v>0</v>
      </c>
      <c r="F164" t="n">
        <v>0</v>
      </c>
      <c r="H164" t="n">
        <v>0</v>
      </c>
      <c r="I164" t="n">
        <v>1</v>
      </c>
      <c r="J164" t="n">
        <v>0.125</v>
      </c>
      <c r="K164" t="n">
        <v>0.125</v>
      </c>
      <c r="L164" t="n">
        <v>0</v>
      </c>
      <c r="M164" t="n">
        <v>0</v>
      </c>
      <c r="N164" t="n">
        <v>1</v>
      </c>
    </row>
    <row r="165">
      <c r="A165" t="inlineStr">
        <is>
          <t>Vetches</t>
        </is>
      </c>
      <c r="B165" t="inlineStr">
        <is>
          <t>The same render account for 1 quarters 3 bushels of vetches from the issue of the grange, threshed by piece-work by struck measure.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vetches</t>
        </is>
      </c>
      <c r="H165" t="n">
        <v>1</v>
      </c>
      <c r="I165" t="n">
        <v>3</v>
      </c>
      <c r="J165" t="n">
        <v>1.375</v>
      </c>
      <c r="K165" t="n">
        <v>1.375</v>
      </c>
      <c r="L165" t="n">
        <v>0</v>
      </c>
      <c r="M165" t="n">
        <v>1</v>
      </c>
      <c r="N165" t="n">
        <v>3</v>
      </c>
    </row>
    <row r="166">
      <c r="A166" t="inlineStr">
        <is>
          <t>Vetches</t>
        </is>
      </c>
      <c r="B166" t="inlineStr">
        <is>
          <t>3 quarters from the same issue by estimation in sheaves for oxen.</t>
        </is>
      </c>
      <c r="C166" t="n">
        <v>0</v>
      </c>
      <c r="D166" t="n">
        <v>0</v>
      </c>
      <c r="E166" t="n">
        <v>0</v>
      </c>
      <c r="F166" t="n">
        <v>0</v>
      </c>
      <c r="H166" t="n">
        <v>3</v>
      </c>
      <c r="I166" t="n">
        <v>0</v>
      </c>
      <c r="J166" t="n">
        <v>3</v>
      </c>
      <c r="K166" t="n">
        <v>3</v>
      </c>
      <c r="L166" t="n">
        <v>0</v>
      </c>
      <c r="M166" t="n">
        <v>3</v>
      </c>
      <c r="N166" t="n">
        <v>0</v>
      </c>
    </row>
    <row r="167">
      <c r="A167" t="inlineStr">
        <is>
          <t>Vetches</t>
        </is>
      </c>
      <c r="B167" t="inlineStr">
        <is>
          <t>Total, 4 quarters 3 bushels</t>
        </is>
      </c>
      <c r="C167" t="n">
        <v>0</v>
      </c>
      <c r="D167" t="n">
        <v>0</v>
      </c>
      <c r="E167" t="n">
        <v>0</v>
      </c>
      <c r="F167" t="n">
        <v>0</v>
      </c>
      <c r="H167" t="n">
        <v>4</v>
      </c>
      <c r="I167" t="n">
        <v>3</v>
      </c>
      <c r="J167" t="n">
        <v>4.375</v>
      </c>
      <c r="K167" t="n">
        <v>4.375</v>
      </c>
      <c r="L167" t="n">
        <v>0</v>
      </c>
      <c r="M167" t="n">
        <v>4</v>
      </c>
      <c r="N167" t="n">
        <v>3</v>
      </c>
    </row>
    <row r="168">
      <c r="A168" t="inlineStr">
        <is>
          <t>Vetches</t>
        </is>
      </c>
      <c r="B168" t="inlineStr">
        <is>
          <t>Sown, 6 bushels.</t>
        </is>
      </c>
      <c r="C168" t="n">
        <v>0</v>
      </c>
      <c r="D168" t="n">
        <v>0</v>
      </c>
      <c r="E168" t="n">
        <v>0</v>
      </c>
      <c r="F168" t="n">
        <v>0</v>
      </c>
      <c r="H168" t="n">
        <v>0</v>
      </c>
      <c r="I168" t="n">
        <v>6</v>
      </c>
      <c r="J168" t="n">
        <v>0.75</v>
      </c>
      <c r="K168" t="n">
        <v>0.75</v>
      </c>
      <c r="L168" t="n">
        <v>0</v>
      </c>
      <c r="M168" t="n">
        <v>0</v>
      </c>
      <c r="N168" t="n">
        <v>6</v>
      </c>
    </row>
    <row r="169">
      <c r="A169" t="inlineStr">
        <is>
          <t>Vetches</t>
        </is>
      </c>
      <c r="B169" t="inlineStr">
        <is>
          <t>fodder of oxen by estimation in sheaves, 3 quarters.</t>
        </is>
      </c>
      <c r="C169" t="n">
        <v>0</v>
      </c>
      <c r="D169" t="n">
        <v>0</v>
      </c>
      <c r="E169" t="n">
        <v>0</v>
      </c>
      <c r="F169" t="n">
        <v>0</v>
      </c>
      <c r="H169" t="n">
        <v>3</v>
      </c>
      <c r="I169" t="n">
        <v>0</v>
      </c>
      <c r="J169" t="n">
        <v>3</v>
      </c>
      <c r="K169" t="n">
        <v>3</v>
      </c>
      <c r="L169" t="n">
        <v>0</v>
      </c>
      <c r="M169" t="n">
        <v>3</v>
      </c>
      <c r="N169" t="n">
        <v>0</v>
      </c>
    </row>
    <row r="170">
      <c r="A170" t="inlineStr">
        <is>
          <t>Vetches</t>
        </is>
      </c>
      <c r="B170" t="inlineStr">
        <is>
          <t>Sold, 5 bushels Total, 4 quarters 3 bushels None remains.</t>
        </is>
      </c>
      <c r="C170" t="n">
        <v>0</v>
      </c>
      <c r="D170" t="n">
        <v>0</v>
      </c>
      <c r="E170" t="n">
        <v>0</v>
      </c>
      <c r="F170" t="n">
        <v>0</v>
      </c>
      <c r="H170" t="n">
        <v>4</v>
      </c>
      <c r="I170" t="n">
        <v>3</v>
      </c>
      <c r="J170" t="n">
        <v>4.375</v>
      </c>
      <c r="K170" t="n">
        <v>0.625</v>
      </c>
      <c r="L170" t="n">
        <v>3.75</v>
      </c>
      <c r="M170" t="n">
        <v>0</v>
      </c>
      <c r="N170" t="n">
        <v>5</v>
      </c>
      <c r="O170" t="n">
        <v>4</v>
      </c>
      <c r="P170" t="n">
        <v>3</v>
      </c>
    </row>
    <row r="171">
      <c r="A171" t="inlineStr">
        <is>
          <t>Beans</t>
        </is>
      </c>
      <c r="B171" t="inlineStr">
        <is>
          <t>The same render account for 5 quarters 2 bushels of beans bought as noted above.</t>
        </is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beans</t>
        </is>
      </c>
      <c r="H171" t="n">
        <v>5</v>
      </c>
      <c r="I171" t="n">
        <v>2</v>
      </c>
      <c r="J171" t="n">
        <v>5.25</v>
      </c>
      <c r="K171" t="n">
        <v>5.25</v>
      </c>
      <c r="L171" t="n">
        <v>0</v>
      </c>
      <c r="M171" t="n">
        <v>5</v>
      </c>
      <c r="N171" t="n">
        <v>2</v>
      </c>
    </row>
    <row r="172">
      <c r="A172" t="inlineStr">
        <is>
          <t>Beans</t>
        </is>
      </c>
      <c r="B172" t="inlineStr">
        <is>
          <t>Total, 5 quarters 2 bushels Sown over 7 acres of land, 3 quarters.</t>
        </is>
      </c>
      <c r="C172" t="n">
        <v>0</v>
      </c>
      <c r="D172" t="n">
        <v>0</v>
      </c>
      <c r="E172" t="n">
        <v>0</v>
      </c>
      <c r="F172" t="n">
        <v>0</v>
      </c>
      <c r="H172" t="n">
        <v>3</v>
      </c>
      <c r="I172" t="n">
        <v>2</v>
      </c>
      <c r="J172" t="n">
        <v>3.25</v>
      </c>
      <c r="K172" t="n">
        <v>5.25</v>
      </c>
      <c r="L172" t="n">
        <v>-2</v>
      </c>
      <c r="M172" t="n">
        <v>5</v>
      </c>
      <c r="N172" t="n">
        <v>2</v>
      </c>
      <c r="O172" t="n">
        <v>3</v>
      </c>
      <c r="P172" t="n">
        <v>0</v>
      </c>
    </row>
    <row r="173">
      <c r="A173" t="inlineStr">
        <is>
          <t>Beans</t>
        </is>
      </c>
      <c r="B173" t="inlineStr">
        <is>
          <t>.</t>
        </is>
      </c>
      <c r="C173" t="n">
        <v>0</v>
      </c>
      <c r="D173" t="n">
        <v>0</v>
      </c>
      <c r="E173" t="n">
        <v>0</v>
      </c>
      <c r="F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Beans</t>
        </is>
      </c>
      <c r="B174" t="inlineStr">
        <is>
          <t>fodder of 2 cart-horses, 2 quarters 2 bushels Total, 5 quarters 2 bushels None remains.</t>
        </is>
      </c>
      <c r="C174" t="n">
        <v>0</v>
      </c>
      <c r="D174" t="n">
        <v>0</v>
      </c>
      <c r="E174" t="n">
        <v>0</v>
      </c>
      <c r="F174" t="n">
        <v>0</v>
      </c>
      <c r="H174" t="n">
        <v>5</v>
      </c>
      <c r="I174" t="n">
        <v>2</v>
      </c>
      <c r="J174" t="n">
        <v>5.25</v>
      </c>
      <c r="K174" t="n">
        <v>2.25</v>
      </c>
      <c r="L174" t="n">
        <v>3</v>
      </c>
      <c r="M174" t="n">
        <v>2</v>
      </c>
      <c r="N174" t="n">
        <v>2</v>
      </c>
      <c r="O174" t="n">
        <v>5</v>
      </c>
      <c r="P174" t="n">
        <v>2</v>
      </c>
    </row>
    <row r="175">
      <c r="A175" t="inlineStr">
        <is>
          <t>Stock</t>
        </is>
      </c>
      <c r="B175" t="inlineStr">
        <is>
          <t>Cart-horses: 2 remain.</t>
        </is>
      </c>
      <c r="C175" t="n">
        <v>0</v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Stock</t>
        </is>
      </c>
      <c r="B176" t="inlineStr">
        <is>
          <t>2 from the heriot of John Miles for 2 tenements which he held of the bishop.</t>
        </is>
      </c>
      <c r="C176" t="n">
        <v>0</v>
      </c>
      <c r="D176" t="n">
        <v>0</v>
      </c>
      <c r="E176" t="n">
        <v>0</v>
      </c>
      <c r="F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Stock</t>
        </is>
      </c>
      <c r="B177" t="inlineStr">
        <is>
          <t>2 bought as noted above.</t>
        </is>
      </c>
      <c r="C177" t="n">
        <v>0</v>
      </c>
      <c r="D177" t="n">
        <v>0</v>
      </c>
      <c r="E177" t="n">
        <v>0</v>
      </c>
      <c r="F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Stock</t>
        </is>
      </c>
      <c r="B178" t="inlineStr">
        <is>
          <t>Total, 6. 4 solpence Total, 4. 2 remain.</t>
        </is>
      </c>
      <c r="C178" t="n">
        <v>0</v>
      </c>
      <c r="D178" t="n">
        <v>0</v>
      </c>
      <c r="E178" t="n">
        <v>0</v>
      </c>
      <c r="F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Stock</t>
        </is>
      </c>
      <c r="B179" t="inlineStr">
        <is>
          <t>Oxen: 24 remain from the previous year.</t>
        </is>
      </c>
      <c r="C179" t="n">
        <v>0</v>
      </c>
      <c r="D179" t="n">
        <v>0</v>
      </c>
      <c r="E179" t="n">
        <v>0</v>
      </c>
      <c r="F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Stock</t>
        </is>
      </c>
      <c r="B180" t="inlineStr">
        <is>
          <t>1 bought as noted above.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Stock</t>
        </is>
      </c>
      <c r="B181" t="inlineStr">
        <is>
          <t>Total, 25. 1 sold because rotten.</t>
        </is>
      </c>
      <c r="C181" t="n">
        <v>0</v>
      </c>
      <c r="D181" t="n">
        <v>0</v>
      </c>
      <c r="E181" t="n">
        <v>0</v>
      </c>
      <c r="F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Stock</t>
        </is>
      </c>
      <c r="B182" t="inlineStr">
        <is>
          <t>Total, 1. 24 remain.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Stock</t>
        </is>
      </c>
      <c r="B183" t="inlineStr">
        <is>
          <t>Cows: 1 from the heriot of Walter Roed'.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Stock</t>
        </is>
      </c>
      <c r="B184" t="inlineStr">
        <is>
          <t>sold within.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Stock</t>
        </is>
      </c>
      <c r="B185" t="inlineStr">
        <is>
          <t>none remain.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Stock</t>
        </is>
      </c>
      <c r="B186" t="inlineStr">
        <is>
          <t>Pigs: 3 hoggets bought, 2 of them male.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Stock</t>
        </is>
      </c>
      <c r="B187" t="inlineStr">
        <is>
          <t>Total, 3. 2 solpence Total, 2. 1 female pig remains.</t>
        </is>
      </c>
      <c r="C187" t="n">
        <v>0</v>
      </c>
      <c r="D187" t="n">
        <v>0</v>
      </c>
      <c r="E187" t="n">
        <v>0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Stock</t>
        </is>
      </c>
      <c r="B188" t="inlineStr">
        <is>
          <t>Piglets: 8 from the offspring of the aforesaid young sow (succule).</t>
        </is>
      </c>
      <c r="C188" t="n">
        <v>0</v>
      </c>
      <c r="D188" t="n">
        <v>0</v>
      </c>
      <c r="E188" t="n">
        <v>0</v>
      </c>
      <c r="F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Stock</t>
        </is>
      </c>
      <c r="B189" t="inlineStr">
        <is>
          <t>Total, 8. 8 remain aged 1 quarter.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Stock</t>
        </is>
      </c>
      <c r="B190" t="inlineStr">
        <is>
          <t>Peacocks: 3 remain.</t>
        </is>
      </c>
      <c r="C190" t="n">
        <v>0</v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Stock</t>
        </is>
      </c>
      <c r="B191" t="inlineStr">
        <is>
          <t>Total, 3. 1 in murrain.</t>
        </is>
      </c>
      <c r="C191" t="n">
        <v>0</v>
      </c>
      <c r="D191" t="n">
        <v>0</v>
      </c>
      <c r="E191" t="n">
        <v>0</v>
      </c>
      <c r="F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Stock</t>
        </is>
      </c>
      <c r="B192" t="inlineStr">
        <is>
          <t>Total, 1. 2 remain, 1 of them male.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Stock</t>
        </is>
      </c>
      <c r="B193" t="inlineStr">
        <is>
          <t>Cocks and hens: 76 hens from churchscot at Martinmas.</t>
        </is>
      </c>
      <c r="C193" t="n">
        <v>0</v>
      </c>
      <c r="D193" t="n">
        <v>0</v>
      </c>
      <c r="E193" t="n">
        <v>0</v>
      </c>
      <c r="F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Stock</t>
        </is>
      </c>
      <c r="B194" t="inlineStr">
        <is>
          <t>Total, 76.4 in default of the land of Ydelote because she withheld (angebat) her rent.</t>
        </is>
      </c>
      <c r="C194" t="n">
        <v>0</v>
      </c>
      <c r="D194" t="n">
        <v>0</v>
      </c>
      <c r="E194" t="n">
        <v>0</v>
      </c>
      <c r="F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Stock</t>
        </is>
      </c>
      <c r="B195" t="inlineStr">
        <is>
          <t>2 in default of the land of Walter Gromes through his death.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Stock</t>
        </is>
      </c>
      <c r="B196" t="inlineStr">
        <is>
          <t>2 in default of the land of Stephen le Rop for the same.</t>
        </is>
      </c>
      <c r="C196" t="n">
        <v>0</v>
      </c>
      <c r="D196" t="n">
        <v>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Stock</t>
        </is>
      </c>
      <c r="B197" t="inlineStr">
        <is>
          <t>2 in default of the land of Robert atte Brok' for the same.</t>
        </is>
      </c>
      <c r="C197" t="n">
        <v>0</v>
      </c>
      <c r="D197" t="n">
        <v>0</v>
      </c>
      <c r="E197" t="n">
        <v>0</v>
      </c>
      <c r="F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Stock</t>
        </is>
      </c>
      <c r="B198" t="inlineStr">
        <is>
          <t>66 solpence Total, 76. None remain.</t>
        </is>
      </c>
      <c r="C198" t="n">
        <v>0</v>
      </c>
      <c r="D198" t="n">
        <v>0</v>
      </c>
      <c r="E198" t="n">
        <v>0</v>
      </c>
      <c r="F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Stock</t>
        </is>
      </c>
      <c r="B199" t="inlineStr">
        <is>
          <t>Carts: 2 remain, 1 of them wooden.</t>
        </is>
      </c>
      <c r="C199" t="n">
        <v>0</v>
      </c>
      <c r="D199" t="n">
        <v>0</v>
      </c>
      <c r="E199" t="n">
        <v>0</v>
      </c>
      <c r="F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Stock</t>
        </is>
      </c>
      <c r="B200" t="inlineStr">
        <is>
          <t>1 wooden cart bought.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Stock</t>
        </is>
      </c>
      <c r="B201" t="inlineStr">
        <is>
          <t>Total, 3. 1 wooden cart usepence Total, 1. 2 remain, 1 of them wooden.</t>
        </is>
      </c>
      <c r="C201" t="n">
        <v>0</v>
      </c>
      <c r="D201" t="n">
        <v>0</v>
      </c>
      <c r="E201" t="n">
        <v>0</v>
      </c>
      <c r="F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Stock</t>
        </is>
      </c>
      <c r="B202" t="inlineStr">
        <is>
          <t>Wagons: 2 wagons and 1 body of a wagon remain. 1 ewer, 1 basin remain. 2 sacks and 1 horse-collar bought.</t>
        </is>
      </c>
      <c r="C202" t="n">
        <v>0</v>
      </c>
      <c r="D202" t="n">
        <v>0</v>
      </c>
      <c r="E202" t="n">
        <v>0</v>
      </c>
      <c r="F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Stock</t>
        </is>
      </c>
      <c r="B203" t="inlineStr">
        <is>
          <t>they remain.</t>
        </is>
      </c>
      <c r="C203" t="n">
        <v>0</v>
      </c>
      <c r="D203" t="n">
        <v>0</v>
      </c>
      <c r="E203" t="n">
        <v>0</v>
      </c>
      <c r="F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42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Quarters 4</t>
        </is>
      </c>
      <c r="AJ1" s="1" t="inlineStr">
        <is>
          <t>Bushels 4</t>
        </is>
      </c>
    </row>
    <row r="2">
      <c r="A2" t="inlineStr">
        <is>
          <t>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(yield: . . . less . . .)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Wheat</t>
        </is>
      </c>
      <c r="B4" t="inlineStr">
        <is>
          <t>The same render account for 81 quarters 7 bushels of wheat from the whole issue of the grange by 3 tallies of struck measure, of which 57 quarters threshed by piece-work and 24 quarters 5 bushels by labour service.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</v>
      </c>
      <c r="U4" t="n">
        <v>12</v>
      </c>
      <c r="V4" t="n">
        <v>163.5</v>
      </c>
      <c r="W4" t="n">
        <v>0</v>
      </c>
      <c r="X4" t="n">
        <v>81</v>
      </c>
      <c r="Y4" t="n">
        <v>5</v>
      </c>
      <c r="Z4" t="n">
        <v>81.625</v>
      </c>
      <c r="AA4" t="n">
        <v>81.875</v>
      </c>
      <c r="AB4" t="n">
        <v>-0.25</v>
      </c>
      <c r="AC4" t="n">
        <v>81</v>
      </c>
      <c r="AD4" t="n">
        <v>7</v>
      </c>
      <c r="AE4" t="n">
        <v>57</v>
      </c>
      <c r="AF4" t="n">
        <v>0</v>
      </c>
      <c r="AG4" t="n">
        <v>24</v>
      </c>
      <c r="AH4" t="n">
        <v>5</v>
      </c>
    </row>
    <row r="5">
      <c r="A5" t="inlineStr">
        <is>
          <t>Wheat</t>
        </is>
      </c>
      <c r="B5" t="inlineStr">
        <is>
          <t>14 quarters from churchscot at Martinmas.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</v>
      </c>
      <c r="Y5" t="n">
        <v>0</v>
      </c>
      <c r="Z5" t="n">
        <v>14</v>
      </c>
      <c r="AA5" t="n">
        <v>14</v>
      </c>
      <c r="AB5" t="n">
        <v>0</v>
      </c>
      <c r="AC5" t="n">
        <v>14</v>
      </c>
      <c r="AD5" t="n">
        <v>0</v>
      </c>
    </row>
    <row r="6">
      <c r="A6" t="inlineStr">
        <is>
          <t>Wheat</t>
        </is>
      </c>
      <c r="B6" t="inlineStr">
        <is>
          <t>Total, 95 quarters 7 bushels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95</v>
      </c>
      <c r="Y6" t="n">
        <v>7</v>
      </c>
      <c r="Z6" t="n">
        <v>95.875</v>
      </c>
      <c r="AA6" t="n">
        <v>95.875</v>
      </c>
      <c r="AB6" t="n">
        <v>0</v>
      </c>
      <c r="AC6" t="n">
        <v>95</v>
      </c>
      <c r="AD6" t="n">
        <v>7</v>
      </c>
    </row>
    <row r="7">
      <c r="A7" t="inlineStr">
        <is>
          <t>Wheat</t>
        </is>
      </c>
      <c r="B7" t="inlineStr">
        <is>
          <t>Sown over 133 acres of land as they lie in the field, 23 quarters 5 bushels by 1 tally.</t>
        </is>
      </c>
      <c r="C7" t="n">
        <v>0</v>
      </c>
      <c r="D7" t="n">
        <v>0</v>
      </c>
      <c r="E7" t="n">
        <v>23</v>
      </c>
      <c r="F7" t="n">
        <v>5</v>
      </c>
      <c r="G7" t="n">
        <v>23.625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</v>
      </c>
      <c r="Y7" t="n">
        <v>5</v>
      </c>
      <c r="Z7" t="n">
        <v>23.625</v>
      </c>
      <c r="AA7" t="n">
        <v>23.625</v>
      </c>
      <c r="AB7" t="n">
        <v>0</v>
      </c>
      <c r="AC7" t="n">
        <v>23</v>
      </c>
      <c r="AD7" t="n">
        <v>5</v>
      </c>
    </row>
    <row r="8">
      <c r="A8" t="inlineStr">
        <is>
          <t>Wheat</t>
        </is>
      </c>
      <c r="B8" t="inlineStr">
        <is>
          <t>that is, 1.5 bushels an acre, less 1 qr 2 bushels in all.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Wheat</t>
        </is>
      </c>
      <c r="B9" t="inlineStr">
        <is>
          <t>Delivered to 1 overseer of the harvest for the year, 3 quarters 2 bushels, because he takes the rest in barley, taking a quarter every 8 weeks.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2</v>
      </c>
      <c r="Z9" t="n">
        <v>3.25</v>
      </c>
      <c r="AA9" t="n">
        <v>3.25</v>
      </c>
      <c r="AB9" t="n">
        <v>0</v>
      </c>
      <c r="AC9" t="n">
        <v>3</v>
      </c>
      <c r="AD9" t="n">
        <v>2</v>
      </c>
    </row>
    <row r="10">
      <c r="A10" t="inlineStr">
        <is>
          <t>Wheat</t>
        </is>
      </c>
      <c r="B10" t="inlineStr">
        <is>
          <t>Sold, 68 quarters 7 bushels Sold at the audit, 1 bushels Total, 95 quarters 7 bushels None remains.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163</v>
      </c>
      <c r="R10" t="n">
        <v>14</v>
      </c>
      <c r="S10" t="n">
        <v>164.75</v>
      </c>
      <c r="T10" t="n">
        <v>0</v>
      </c>
      <c r="U10" t="n">
        <v>0</v>
      </c>
      <c r="V10" t="n">
        <v>0</v>
      </c>
      <c r="W10" t="n">
        <v>0</v>
      </c>
      <c r="X10" t="n">
        <v>95</v>
      </c>
      <c r="Y10" t="n">
        <v>8</v>
      </c>
      <c r="Z10" t="n">
        <v>96</v>
      </c>
      <c r="AA10" t="n">
        <v>68.875</v>
      </c>
      <c r="AB10" t="n">
        <v>27.125</v>
      </c>
      <c r="AC10" t="n">
        <v>68</v>
      </c>
      <c r="AD10" t="n">
        <v>7</v>
      </c>
      <c r="AE10" t="n">
        <v>0</v>
      </c>
      <c r="AF10" t="n">
        <v>1</v>
      </c>
      <c r="AG10" t="n">
        <v>95</v>
      </c>
      <c r="AH10" t="n">
        <v>7</v>
      </c>
    </row>
    <row r="11">
      <c r="A11" t="inlineStr">
        <is>
          <t>Wheat</t>
        </is>
      </c>
      <c r="B11" t="inlineStr">
        <is>
          <t>Total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Barley</t>
        </is>
      </c>
      <c r="B12" t="inlineStr">
        <is>
          <t>(yield: 4-fold plus 3 quarters 6 bushels)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6</v>
      </c>
      <c r="Z12" t="n">
        <v>3.75</v>
      </c>
      <c r="AA12" t="n">
        <v>3.75</v>
      </c>
      <c r="AB12" t="n">
        <v>0</v>
      </c>
      <c r="AC12" t="n">
        <v>3</v>
      </c>
      <c r="AD12" t="n">
        <v>6</v>
      </c>
    </row>
    <row r="13">
      <c r="A13" t="inlineStr">
        <is>
          <t>Barley</t>
        </is>
      </c>
      <c r="B13" t="inlineStr">
        <is>
          <t>The same render account for 49 quarters 6 bushels of barley from the whole issue of the grange, threshed by piece-work by 1 tally of struck measure.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</v>
      </c>
      <c r="U13" t="n">
        <v>6</v>
      </c>
      <c r="V13" t="n">
        <v>49.75</v>
      </c>
      <c r="W13" t="n">
        <v>0</v>
      </c>
      <c r="X13" t="n">
        <v>49</v>
      </c>
      <c r="Y13" t="n">
        <v>6</v>
      </c>
      <c r="Z13" t="n">
        <v>49.75</v>
      </c>
      <c r="AA13" t="n">
        <v>49.75</v>
      </c>
      <c r="AB13" t="n">
        <v>0</v>
      </c>
      <c r="AC13" t="n">
        <v>49</v>
      </c>
      <c r="AD13" t="n">
        <v>6</v>
      </c>
    </row>
    <row r="14">
      <c r="A14" t="inlineStr">
        <is>
          <t>Barley</t>
        </is>
      </c>
      <c r="B14" t="inlineStr">
        <is>
          <t>Total, 49 quarters 6 bushels Sown over 26 acres of land as they lie in the field, 12 quarters 7 bushels by 1 tally.</t>
        </is>
      </c>
      <c r="C14" t="n">
        <v>0</v>
      </c>
      <c r="D14" t="n">
        <v>0</v>
      </c>
      <c r="E14" t="n">
        <v>61</v>
      </c>
      <c r="F14" t="n">
        <v>13</v>
      </c>
      <c r="G14" t="n">
        <v>62.625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</v>
      </c>
      <c r="Y14" t="n">
        <v>7</v>
      </c>
      <c r="Z14" t="n">
        <v>12.875</v>
      </c>
      <c r="AA14" t="n">
        <v>49.75</v>
      </c>
      <c r="AB14" t="n">
        <v>-36.875</v>
      </c>
      <c r="AC14" t="n">
        <v>49</v>
      </c>
      <c r="AD14" t="n">
        <v>6</v>
      </c>
      <c r="AE14" t="n">
        <v>12</v>
      </c>
      <c r="AF14" t="n">
        <v>7</v>
      </c>
    </row>
    <row r="15">
      <c r="A15" t="inlineStr">
        <is>
          <t>Barley</t>
        </is>
      </c>
      <c r="B15" t="inlineStr">
        <is>
          <t>that is, 0.5 qr an acre, less 1 bushels in all.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Barley</t>
        </is>
      </c>
      <c r="B16" t="inlineStr">
        <is>
          <t>Delivered to 1 overseer of the harvest for the year, 3 quarters 2 bushels, because he takes the rest in wheat, taking a quarter every 8 weeks.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2</v>
      </c>
      <c r="Z16" t="n">
        <v>3.25</v>
      </c>
      <c r="AA16" t="n">
        <v>3.25</v>
      </c>
      <c r="AB16" t="n">
        <v>0</v>
      </c>
      <c r="AC16" t="n">
        <v>3</v>
      </c>
      <c r="AD16" t="n">
        <v>2</v>
      </c>
    </row>
    <row r="17">
      <c r="A17" t="inlineStr">
        <is>
          <t>Barley</t>
        </is>
      </c>
      <c r="B17" t="inlineStr">
        <is>
          <t>Delivered to 1 carter and 2 drovers for the year, 15 quarters 3.5 bushels, or 5 quarters 2 bushels each, taking a quarter every 10 weeks.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2</v>
      </c>
      <c r="Z17" t="n">
        <v>5.25</v>
      </c>
      <c r="AA17" t="n">
        <v>15.4375</v>
      </c>
      <c r="AB17" t="n">
        <v>-10.1875</v>
      </c>
      <c r="AC17" t="n">
        <v>15</v>
      </c>
      <c r="AD17" t="n">
        <v>3.5</v>
      </c>
      <c r="AE17" t="n">
        <v>5</v>
      </c>
      <c r="AF17" t="n">
        <v>2</v>
      </c>
    </row>
    <row r="18">
      <c r="A18" t="inlineStr">
        <is>
          <t>Barley</t>
        </is>
      </c>
      <c r="B18" t="inlineStr">
        <is>
          <t>Mixed with dredge for sowing as made clear below, 3 quarters.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3</v>
      </c>
      <c r="AA18" t="n">
        <v>3</v>
      </c>
      <c r="AB18" t="n">
        <v>0</v>
      </c>
      <c r="AC18" t="n">
        <v>3</v>
      </c>
      <c r="AD18" t="n">
        <v>0</v>
      </c>
    </row>
    <row r="19">
      <c r="A19" t="inlineStr">
        <is>
          <t>Barley</t>
        </is>
      </c>
      <c r="B19" t="inlineStr">
        <is>
          <t>Sold, 14 quarters 3 bushels Sold at the audit, 5.5 bushels Total, 49 quarters 6 bushels None remains.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</v>
      </c>
      <c r="R19" t="n">
        <v>9</v>
      </c>
      <c r="S19" t="n">
        <v>64.125</v>
      </c>
      <c r="T19" t="n">
        <v>0</v>
      </c>
      <c r="U19" t="n">
        <v>0</v>
      </c>
      <c r="V19" t="n">
        <v>0</v>
      </c>
      <c r="W19" t="n">
        <v>0</v>
      </c>
      <c r="X19" t="n">
        <v>49</v>
      </c>
      <c r="Y19" t="n">
        <v>11.5</v>
      </c>
      <c r="Z19" t="n">
        <v>50.4375</v>
      </c>
      <c r="AA19" t="n">
        <v>14.375</v>
      </c>
      <c r="AB19" t="n">
        <v>36.0625</v>
      </c>
      <c r="AC19" t="n">
        <v>14</v>
      </c>
      <c r="AD19" t="n">
        <v>3</v>
      </c>
      <c r="AE19" t="n">
        <v>0</v>
      </c>
      <c r="AF19" t="n">
        <v>5.5</v>
      </c>
      <c r="AG19" t="n">
        <v>49</v>
      </c>
      <c r="AH19" t="n">
        <v>6</v>
      </c>
    </row>
    <row r="20">
      <c r="A20" t="inlineStr">
        <is>
          <t>Barley</t>
        </is>
      </c>
      <c r="B20" t="inlineStr">
        <is>
          <t>Total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Dredge</t>
        </is>
      </c>
      <c r="B21" t="inlineStr">
        <is>
          <t>(yield: three-fold less 3 quarters 7 bushels) The same render account for 51 quarters grange by 2 tallies of struck measure, and 4 quarters 2 bushels by labour service.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</v>
      </c>
      <c r="U21" t="n">
        <v>9</v>
      </c>
      <c r="V21" t="n">
        <v>59.125</v>
      </c>
      <c r="W21" t="n">
        <v>0</v>
      </c>
      <c r="X21" t="n">
        <v>55</v>
      </c>
      <c r="Y21" t="n">
        <v>2</v>
      </c>
      <c r="Z21" t="n">
        <v>55.25</v>
      </c>
      <c r="AA21" t="n">
        <v>3.875</v>
      </c>
      <c r="AB21" t="n">
        <v>51.375</v>
      </c>
      <c r="AC21" t="n">
        <v>3</v>
      </c>
      <c r="AD21" t="n">
        <v>7</v>
      </c>
      <c r="AE21" t="n">
        <v>51</v>
      </c>
      <c r="AF21" t="n">
        <v>0</v>
      </c>
      <c r="AG21" t="n">
        <v>4</v>
      </c>
      <c r="AH21" t="n">
        <v>2</v>
      </c>
    </row>
    <row r="22">
      <c r="A22" t="inlineStr">
        <is>
          <t>Dredge</t>
        </is>
      </c>
      <c r="B22" t="inlineStr">
        <is>
          <t>3 sowing.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Dredge</t>
        </is>
      </c>
      <c r="B23" t="inlineStr">
        <is>
          <t>Total, 54 quarters 5 bushels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</v>
      </c>
      <c r="Y23" t="n">
        <v>5</v>
      </c>
      <c r="Z23" t="n">
        <v>54.625</v>
      </c>
      <c r="AA23" t="n">
        <v>54.625</v>
      </c>
      <c r="AB23" t="n">
        <v>0</v>
      </c>
      <c r="AC23" t="n">
        <v>54</v>
      </c>
      <c r="AD23" t="n">
        <v>5</v>
      </c>
    </row>
    <row r="24">
      <c r="A24" t="inlineStr">
        <is>
          <t>Dredge</t>
        </is>
      </c>
      <c r="B24" t="inlineStr">
        <is>
          <t>Total, 54 quarters 5 bushels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54</v>
      </c>
      <c r="Y24" t="n">
        <v>5</v>
      </c>
      <c r="Z24" t="n">
        <v>54.625</v>
      </c>
      <c r="AA24" t="n">
        <v>54.625</v>
      </c>
      <c r="AB24" t="n">
        <v>0</v>
      </c>
      <c r="AC24" t="n">
        <v>54</v>
      </c>
      <c r="AD24" t="n">
        <v>5</v>
      </c>
    </row>
    <row r="25">
      <c r="A25" t="inlineStr">
        <is>
          <t>Dredge</t>
        </is>
      </c>
      <c r="B25" t="inlineStr">
        <is>
          <t>Sown over 63 acres of land as they lie plus 1 bushels in all.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0.125</v>
      </c>
      <c r="AA25" t="n">
        <v>0.125</v>
      </c>
      <c r="AB25" t="n">
        <v>0</v>
      </c>
      <c r="AC25" t="n">
        <v>0</v>
      </c>
      <c r="AD25" t="n">
        <v>1</v>
      </c>
    </row>
    <row r="26">
      <c r="A26" t="inlineStr">
        <is>
          <t>Dredge</t>
        </is>
      </c>
      <c r="B26" t="inlineStr">
        <is>
          <t>Sold, 20 quarters 6 bushels None remains. 5 bushels of dredge from the whole issue of the of which 43 quarters 1 bushels threshed by piece-work quarters of barley received to mix with dredge for in the field, 20 quarters 3 bushels.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</v>
      </c>
      <c r="R26" t="n">
        <v>10</v>
      </c>
      <c r="S26" t="n">
        <v>84.25</v>
      </c>
      <c r="T26" t="n">
        <v>83</v>
      </c>
      <c r="U26" t="n">
        <v>10</v>
      </c>
      <c r="V26" t="n">
        <v>84.25</v>
      </c>
      <c r="W26" t="n">
        <v>0</v>
      </c>
      <c r="X26" t="n">
        <v>63</v>
      </c>
      <c r="Y26" t="n">
        <v>9</v>
      </c>
      <c r="Z26" t="n">
        <v>64.125</v>
      </c>
      <c r="AA26" t="n">
        <v>20.75</v>
      </c>
      <c r="AB26" t="n">
        <v>43.375</v>
      </c>
      <c r="AC26" t="n">
        <v>20</v>
      </c>
      <c r="AD26" t="n">
        <v>6</v>
      </c>
      <c r="AE26" t="n">
        <v>0</v>
      </c>
      <c r="AF26" t="n">
        <v>5</v>
      </c>
      <c r="AG26" t="n">
        <v>43</v>
      </c>
      <c r="AH26" t="n">
        <v>1</v>
      </c>
      <c r="AI26" t="n">
        <v>20</v>
      </c>
      <c r="AJ26" t="n">
        <v>3</v>
      </c>
    </row>
    <row r="27">
      <c r="A27" t="inlineStr">
        <is>
          <t>Dredge</t>
        </is>
      </c>
      <c r="B27" t="inlineStr">
        <is>
          <t>that is, 3 bushels an acre, Sold at the audit, 3.5 quarters.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</v>
      </c>
      <c r="R27" t="n">
        <v>0</v>
      </c>
      <c r="S27" t="n">
        <v>3.5</v>
      </c>
      <c r="T27" t="n">
        <v>0</v>
      </c>
      <c r="U27" t="n">
        <v>0</v>
      </c>
      <c r="V27" t="n">
        <v>0</v>
      </c>
      <c r="W27" t="n">
        <v>0</v>
      </c>
      <c r="X27" t="n">
        <v>3.5</v>
      </c>
      <c r="Y27" t="n">
        <v>3</v>
      </c>
      <c r="Z27" t="n">
        <v>3.875</v>
      </c>
      <c r="AA27" t="n">
        <v>0.375</v>
      </c>
      <c r="AB27" t="n">
        <v>3.5</v>
      </c>
      <c r="AC27" t="n">
        <v>0</v>
      </c>
      <c r="AD27" t="n">
        <v>3</v>
      </c>
      <c r="AE27" t="n">
        <v>3.5</v>
      </c>
      <c r="AF27" t="n">
        <v>0</v>
      </c>
    </row>
    <row r="28">
      <c r="A28" t="inlineStr">
        <is>
          <t>Dredge</t>
        </is>
      </c>
      <c r="B28" t="inlineStr">
        <is>
          <t>Total, 54 quarters 5 bushels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</v>
      </c>
      <c r="Y28" t="n">
        <v>5</v>
      </c>
      <c r="Z28" t="n">
        <v>54.625</v>
      </c>
      <c r="AA28" t="n">
        <v>54.625</v>
      </c>
      <c r="AB28" t="n">
        <v>0</v>
      </c>
      <c r="AC28" t="n">
        <v>54</v>
      </c>
      <c r="AD28" t="n">
        <v>5</v>
      </c>
    </row>
    <row r="29">
      <c r="A29" t="inlineStr">
        <is>
          <t>Dredge</t>
        </is>
      </c>
      <c r="B29" t="inlineStr">
        <is>
          <t>Total, 54 quarters 5 bushels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54</v>
      </c>
      <c r="Y29" t="n">
        <v>5</v>
      </c>
      <c r="Z29" t="n">
        <v>54.625</v>
      </c>
      <c r="AA29" t="n">
        <v>54.625</v>
      </c>
      <c r="AB29" t="n">
        <v>0</v>
      </c>
      <c r="AC29" t="n">
        <v>54</v>
      </c>
      <c r="AD29" t="n">
        <v>5</v>
      </c>
    </row>
    <row r="30">
      <c r="A30" t="inlineStr">
        <is>
          <t>Dredge</t>
        </is>
      </c>
      <c r="B30" t="inlineStr">
        <is>
          <t>Total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Vetches</t>
        </is>
      </c>
      <c r="B31" t="inlineStr">
        <is>
          <t>(yield: 4-fold, less 1 bushels)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0.125</v>
      </c>
      <c r="AA31" t="n">
        <v>0.125</v>
      </c>
      <c r="AB31" t="n">
        <v>0</v>
      </c>
      <c r="AC31" t="n">
        <v>0</v>
      </c>
      <c r="AD31" t="n">
        <v>1</v>
      </c>
    </row>
    <row r="32">
      <c r="A32" t="inlineStr">
        <is>
          <t>Vetches</t>
        </is>
      </c>
      <c r="B32" t="inlineStr">
        <is>
          <t>The same render account for 1 qr 3 bushels of vetches from the issue of the grange, threshed by piece-work by struck measure.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Vetches</t>
        </is>
      </c>
      <c r="B33" t="inlineStr">
        <is>
          <t>3 quarters from the same issue by estimation in sheaves for oxen.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3</v>
      </c>
      <c r="AA33" t="n">
        <v>3</v>
      </c>
      <c r="AB33" t="n">
        <v>0</v>
      </c>
      <c r="AC33" t="n">
        <v>3</v>
      </c>
      <c r="AD33" t="n">
        <v>0</v>
      </c>
    </row>
    <row r="34">
      <c r="A34" t="inlineStr">
        <is>
          <t>Vetches</t>
        </is>
      </c>
      <c r="B34" t="inlineStr">
        <is>
          <t>Total, 4 quarters 3 bushels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3</v>
      </c>
      <c r="Z34" t="n">
        <v>4.375</v>
      </c>
      <c r="AA34" t="n">
        <v>4.375</v>
      </c>
      <c r="AB34" t="n">
        <v>0</v>
      </c>
      <c r="AC34" t="n">
        <v>4</v>
      </c>
      <c r="AD34" t="n">
        <v>3</v>
      </c>
    </row>
    <row r="35">
      <c r="A35" t="inlineStr">
        <is>
          <t>Vetches</t>
        </is>
      </c>
      <c r="B35" t="inlineStr">
        <is>
          <t>Sown, 6 bushels.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0.75</v>
      </c>
      <c r="AA35" t="n">
        <v>0.75</v>
      </c>
      <c r="AB35" t="n">
        <v>0</v>
      </c>
      <c r="AC35" t="n">
        <v>0</v>
      </c>
      <c r="AD35" t="n">
        <v>6</v>
      </c>
    </row>
    <row r="36">
      <c r="A36" t="inlineStr">
        <is>
          <t>Vetches</t>
        </is>
      </c>
      <c r="B36" t="inlineStr">
        <is>
          <t>fodder of oxen by estimation in sheaves, 3 quarters.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3</v>
      </c>
      <c r="AA36" t="n">
        <v>3</v>
      </c>
      <c r="AB36" t="n">
        <v>0</v>
      </c>
      <c r="AC36" t="n">
        <v>3</v>
      </c>
      <c r="AD36" t="n">
        <v>0</v>
      </c>
    </row>
    <row r="37">
      <c r="A37" t="inlineStr">
        <is>
          <t>Vetches</t>
        </is>
      </c>
      <c r="B37" t="inlineStr">
        <is>
          <t>Sold, 5 bushels Total, 4 quarters 3 bushels None remains.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3</v>
      </c>
      <c r="S37" t="n">
        <v>4.375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3</v>
      </c>
      <c r="Z37" t="n">
        <v>4.375</v>
      </c>
      <c r="AA37" t="n">
        <v>0.625</v>
      </c>
      <c r="AB37" t="n">
        <v>3.75</v>
      </c>
      <c r="AC37" t="n">
        <v>0</v>
      </c>
      <c r="AD37" t="n">
        <v>5</v>
      </c>
      <c r="AE37" t="n">
        <v>4</v>
      </c>
      <c r="AF37" t="n">
        <v>3</v>
      </c>
    </row>
    <row r="38">
      <c r="A38" t="inlineStr">
        <is>
          <t>Vetches</t>
        </is>
      </c>
      <c r="B38" t="inlineStr">
        <is>
          <t>Total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Beans</t>
        </is>
      </c>
      <c r="B39" t="inlineStr">
        <is>
          <t>The same render account for 5 quarters 2 bushels of beans bought as noted above.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2</v>
      </c>
      <c r="J39" t="n">
        <v>5.25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2</v>
      </c>
      <c r="V39" t="n">
        <v>5.25</v>
      </c>
      <c r="W39" t="n">
        <v>1</v>
      </c>
      <c r="X39" t="n">
        <v>5</v>
      </c>
      <c r="Y39" t="n">
        <v>2</v>
      </c>
      <c r="Z39" t="n">
        <v>5.25</v>
      </c>
      <c r="AA39" t="n">
        <v>5.25</v>
      </c>
      <c r="AB39" t="n">
        <v>0</v>
      </c>
      <c r="AC39" t="n">
        <v>5</v>
      </c>
      <c r="AD39" t="n">
        <v>2</v>
      </c>
    </row>
    <row r="40">
      <c r="A40" t="inlineStr">
        <is>
          <t>Beans</t>
        </is>
      </c>
      <c r="B40" t="inlineStr">
        <is>
          <t>Total, 5 quarters 2 bushels Sown over 7 acres of land, 3 quarters.</t>
        </is>
      </c>
      <c r="C40" t="n">
        <v>0</v>
      </c>
      <c r="D40" t="n">
        <v>0</v>
      </c>
      <c r="E40" t="n">
        <v>8</v>
      </c>
      <c r="F40" t="n">
        <v>2</v>
      </c>
      <c r="G40" t="n">
        <v>8.25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2</v>
      </c>
      <c r="Z40" t="n">
        <v>3.25</v>
      </c>
      <c r="AA40" t="n">
        <v>5.25</v>
      </c>
      <c r="AB40" t="n">
        <v>-2</v>
      </c>
      <c r="AC40" t="n">
        <v>5</v>
      </c>
      <c r="AD40" t="n">
        <v>2</v>
      </c>
      <c r="AE40" t="n">
        <v>3</v>
      </c>
      <c r="AF40" t="n">
        <v>0</v>
      </c>
    </row>
    <row r="41">
      <c r="A41" t="inlineStr">
        <is>
          <t>Beans</t>
        </is>
      </c>
      <c r="B41" t="inlineStr">
        <is>
          <t>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Beans</t>
        </is>
      </c>
      <c r="B42" t="inlineStr">
        <is>
          <t>fodder of 2 cart-horses, 2 quarters 2 bushels Total, 5 quarters 2 bushels None remains.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4</v>
      </c>
      <c r="P42" t="n">
        <v>7.5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2</v>
      </c>
      <c r="Z42" t="n">
        <v>5.25</v>
      </c>
      <c r="AA42" t="n">
        <v>2.25</v>
      </c>
      <c r="AB42" t="n">
        <v>3</v>
      </c>
      <c r="AC42" t="n">
        <v>2</v>
      </c>
      <c r="AD42" t="n">
        <v>2</v>
      </c>
      <c r="AE42" t="n">
        <v>5</v>
      </c>
      <c r="AF4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Quarters 3</t>
        </is>
      </c>
      <c r="Z1" s="1" t="inlineStr">
        <is>
          <t>Bushels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£ a quarter 1</t>
        </is>
      </c>
      <c r="AD1" s="1" t="inlineStr">
        <is>
          <t>£ a quarter 2</t>
        </is>
      </c>
      <c r="AE1" s="1" t="inlineStr">
        <is>
          <t>£ a quarter 3</t>
        </is>
      </c>
      <c r="AF1" s="1" t="inlineStr">
        <is>
          <t>£ a quarter 4</t>
        </is>
      </c>
      <c r="AG1" s="1" t="inlineStr">
        <is>
          <t>Quarters Sold</t>
        </is>
      </c>
      <c r="AH1" s="1" t="inlineStr">
        <is>
          <t>Weighted Average Price per Quarter</t>
        </is>
      </c>
      <c r="AI1" s="1" t="inlineStr">
        <is>
          <t>Non-Weighted Average Price per Quarter</t>
        </is>
      </c>
      <c r="AJ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£19 7 shilling 7.5pence from 68 quarters 7 bushels of wheat sold, at 5 shilling a quarters for 4 quarters, and 5 shilling 8pence a quarters for 64 quarters 7 bushels.</t>
        </is>
      </c>
      <c r="C2" t="n">
        <v>19.38</v>
      </c>
      <c r="D2" t="n">
        <v>19</v>
      </c>
      <c r="E2" t="n">
        <v>7</v>
      </c>
      <c r="F2" t="n">
        <v>7.5</v>
      </c>
      <c r="G2" t="inlineStr">
        <is>
          <t>wheat</t>
        </is>
      </c>
      <c r="H2" t="n">
        <v>68</v>
      </c>
      <c r="I2" t="n">
        <v>7</v>
      </c>
      <c r="J2" t="n">
        <v>68.875</v>
      </c>
      <c r="K2" t="n">
        <v>68.875</v>
      </c>
      <c r="L2" t="n">
        <v>0</v>
      </c>
      <c r="M2" t="n">
        <v>68</v>
      </c>
      <c r="N2" t="n">
        <v>7</v>
      </c>
      <c r="O2" t="n">
        <v>5</v>
      </c>
      <c r="P2" t="n">
        <v>0</v>
      </c>
      <c r="Q2" t="n">
        <v>4</v>
      </c>
      <c r="R2" t="n">
        <v>0</v>
      </c>
      <c r="S2" t="n">
        <v>5</v>
      </c>
      <c r="T2" t="n">
        <v>8</v>
      </c>
      <c r="U2" t="n">
        <v>64</v>
      </c>
      <c r="V2" t="n">
        <v>7</v>
      </c>
      <c r="AC2" t="n">
        <v>0.25</v>
      </c>
      <c r="AD2" t="n">
        <v>0.2833333333333333</v>
      </c>
      <c r="AG2" t="n">
        <v>68.875</v>
      </c>
      <c r="AH2" t="n">
        <v>0.2813974591651542</v>
      </c>
      <c r="AI2" t="n">
        <v>0.2666666666666667</v>
      </c>
      <c r="AJ2" t="inlineStr">
        <is>
          <t>wheat</t>
        </is>
      </c>
    </row>
    <row r="3">
      <c r="A3" t="inlineStr">
        <is>
          <t>Sale of corn</t>
        </is>
      </c>
      <c r="B3" t="inlineStr">
        <is>
          <t>£2 10 shilling 3.75pence from 14 quarters 3 bushels of barley sold, at 3 shilling 6pence a quarters.</t>
        </is>
      </c>
      <c r="C3" t="n">
        <v>2.52</v>
      </c>
      <c r="D3" t="n">
        <v>2</v>
      </c>
      <c r="E3" t="n">
        <v>10</v>
      </c>
      <c r="F3" t="n">
        <v>3.75</v>
      </c>
      <c r="G3" t="inlineStr">
        <is>
          <t>barley</t>
        </is>
      </c>
      <c r="H3" t="n">
        <v>14</v>
      </c>
      <c r="I3" t="n">
        <v>3</v>
      </c>
      <c r="J3" t="n">
        <v>14.375</v>
      </c>
      <c r="K3" t="n">
        <v>14.375</v>
      </c>
      <c r="L3" t="n">
        <v>0</v>
      </c>
      <c r="M3" t="n">
        <v>14</v>
      </c>
      <c r="N3" t="n">
        <v>3</v>
      </c>
      <c r="O3" t="n">
        <v>3</v>
      </c>
      <c r="P3" t="n">
        <v>6</v>
      </c>
      <c r="AC3" t="n">
        <v>0.175</v>
      </c>
      <c r="AG3" t="n">
        <v>14.375</v>
      </c>
      <c r="AH3" t="n">
        <v>0.175</v>
      </c>
      <c r="AI3" t="n">
        <v>0.175</v>
      </c>
      <c r="AJ3" t="inlineStr">
        <is>
          <t>barley</t>
        </is>
      </c>
    </row>
    <row r="4">
      <c r="A4" t="inlineStr">
        <is>
          <t>Sale of corn</t>
        </is>
      </c>
      <c r="B4" t="inlineStr">
        <is>
          <t>£4 12 shilling 3pence from 30 quarters 6 bushels of dredge sold, at 3 shilling a quarters.</t>
        </is>
      </c>
      <c r="C4" t="n">
        <v>4.61</v>
      </c>
      <c r="D4" t="n">
        <v>4</v>
      </c>
      <c r="E4" t="n">
        <v>12</v>
      </c>
      <c r="F4" t="n">
        <v>3</v>
      </c>
      <c r="H4" t="n">
        <v>30</v>
      </c>
      <c r="I4" t="n">
        <v>6</v>
      </c>
      <c r="J4" t="n">
        <v>30.75</v>
      </c>
      <c r="K4" t="n">
        <v>30.75</v>
      </c>
      <c r="L4" t="n">
        <v>0</v>
      </c>
      <c r="M4" t="n">
        <v>30</v>
      </c>
      <c r="N4" t="n">
        <v>6</v>
      </c>
      <c r="O4" t="n">
        <v>3</v>
      </c>
      <c r="P4" t="n">
        <v>0</v>
      </c>
      <c r="AC4" t="n">
        <v>0.15</v>
      </c>
      <c r="AG4" t="n">
        <v>30.75</v>
      </c>
      <c r="AH4" t="n">
        <v>0.15</v>
      </c>
      <c r="AI4" t="n">
        <v>0.15</v>
      </c>
    </row>
    <row r="5">
      <c r="A5" t="inlineStr">
        <is>
          <t>Sale of corn</t>
        </is>
      </c>
      <c r="B5" t="inlineStr">
        <is>
          <t>7.5pence from 5 bushels of vetches sold, at 1.5pence a bushels.</t>
        </is>
      </c>
      <c r="C5" t="n">
        <v>0.03</v>
      </c>
      <c r="D5" t="n">
        <v>0</v>
      </c>
      <c r="E5" t="n">
        <v>0</v>
      </c>
      <c r="F5" t="n">
        <v>7.5</v>
      </c>
      <c r="G5" t="inlineStr">
        <is>
          <t>vetches</t>
        </is>
      </c>
      <c r="H5" t="n">
        <v>0</v>
      </c>
      <c r="I5" t="n">
        <v>5</v>
      </c>
      <c r="J5" t="n">
        <v>0.625</v>
      </c>
      <c r="K5" t="n">
        <v>0.625</v>
      </c>
      <c r="L5" t="n">
        <v>0</v>
      </c>
      <c r="M5" t="n">
        <v>0</v>
      </c>
      <c r="N5" t="n">
        <v>5</v>
      </c>
      <c r="AC5" t="n">
        <v>0.048</v>
      </c>
      <c r="AG5" t="n">
        <v>0.625</v>
      </c>
      <c r="AH5" t="n">
        <v>0.048</v>
      </c>
      <c r="AI5" t="n">
        <v>0.048</v>
      </c>
      <c r="AJ5" t="inlineStr">
        <is>
          <t>vetches</t>
        </is>
      </c>
    </row>
    <row r="6">
      <c r="A6" t="inlineStr">
        <is>
          <t>Sale of corn</t>
        </is>
      </c>
      <c r="B6" t="inlineStr">
        <is>
          <t>7.5pence from 1.5 bushels of wheat sold at the audit.</t>
        </is>
      </c>
      <c r="C6" t="n">
        <v>0.03</v>
      </c>
      <c r="D6" t="n">
        <v>0</v>
      </c>
      <c r="E6" t="n">
        <v>0</v>
      </c>
      <c r="F6" t="n">
        <v>7.5</v>
      </c>
      <c r="G6" t="inlineStr">
        <is>
          <t>wheat</t>
        </is>
      </c>
      <c r="H6" t="n">
        <v>0</v>
      </c>
      <c r="I6" t="n">
        <v>1.5</v>
      </c>
      <c r="J6" t="n">
        <v>0.1875</v>
      </c>
      <c r="K6" t="n">
        <v>0.1875</v>
      </c>
      <c r="L6" t="n">
        <v>0</v>
      </c>
      <c r="M6" t="n">
        <v>0</v>
      </c>
      <c r="N6" t="n">
        <v>1.5</v>
      </c>
      <c r="AC6" t="n">
        <v>0.16</v>
      </c>
      <c r="AG6" t="n">
        <v>0.1875</v>
      </c>
      <c r="AH6" t="n">
        <v>0.16</v>
      </c>
      <c r="AI6" t="n">
        <v>0.16</v>
      </c>
      <c r="AJ6" t="inlineStr">
        <is>
          <t>wheat</t>
        </is>
      </c>
    </row>
    <row r="7">
      <c r="A7" t="inlineStr">
        <is>
          <t>Sale of corn</t>
        </is>
      </c>
      <c r="B7" t="inlineStr">
        <is>
          <t>2 shilling 4.25pence from 5.5 bushels of barley sold at the audit.</t>
        </is>
      </c>
      <c r="C7" t="n">
        <v>0.12</v>
      </c>
      <c r="D7" t="n">
        <v>0</v>
      </c>
      <c r="E7" t="n">
        <v>2</v>
      </c>
      <c r="F7" t="n">
        <v>4.25</v>
      </c>
      <c r="G7" t="inlineStr">
        <is>
          <t>barley</t>
        </is>
      </c>
      <c r="H7" t="n">
        <v>0</v>
      </c>
      <c r="I7" t="n">
        <v>5.5</v>
      </c>
      <c r="J7" t="n">
        <v>0.6875</v>
      </c>
      <c r="K7" t="n">
        <v>0.6875</v>
      </c>
      <c r="L7" t="n">
        <v>0</v>
      </c>
      <c r="M7" t="n">
        <v>0</v>
      </c>
      <c r="N7" t="n">
        <v>5.5</v>
      </c>
      <c r="AC7" t="n">
        <v>0.1745454545454545</v>
      </c>
      <c r="AG7" t="n">
        <v>0.6875</v>
      </c>
      <c r="AH7" t="n">
        <v>0.1745454545454545</v>
      </c>
      <c r="AI7" t="n">
        <v>0.1745454545454545</v>
      </c>
      <c r="AJ7" t="inlineStr">
        <is>
          <t>barley</t>
        </is>
      </c>
    </row>
    <row r="8">
      <c r="A8" t="inlineStr">
        <is>
          <t>Sale of corn</t>
        </is>
      </c>
      <c r="B8" t="inlineStr">
        <is>
          <t>10 shilling 6pence from 3.5 quarters of dredge sold at the audit, at 3 shilling a quarters.</t>
        </is>
      </c>
      <c r="C8" t="n">
        <v>0.53</v>
      </c>
      <c r="D8" t="n">
        <v>0</v>
      </c>
      <c r="E8" t="n">
        <v>10</v>
      </c>
      <c r="F8" t="n">
        <v>6</v>
      </c>
      <c r="H8" t="n">
        <v>3.5</v>
      </c>
      <c r="I8" t="n">
        <v>0</v>
      </c>
      <c r="J8" t="n">
        <v>3.5</v>
      </c>
      <c r="K8" t="n">
        <v>3.5</v>
      </c>
      <c r="L8" t="n">
        <v>0</v>
      </c>
      <c r="M8" t="n">
        <v>3.5</v>
      </c>
      <c r="N8" t="n">
        <v>0</v>
      </c>
      <c r="O8" t="n">
        <v>3</v>
      </c>
      <c r="P8" t="n">
        <v>0</v>
      </c>
      <c r="AC8" t="n">
        <v>0.15</v>
      </c>
      <c r="AG8" t="n">
        <v>3.5</v>
      </c>
      <c r="AH8" t="n">
        <v>0.15</v>
      </c>
      <c r="AI8" t="n">
        <v>0.15</v>
      </c>
    </row>
    <row r="9">
      <c r="A9" t="inlineStr">
        <is>
          <t>Sale of corn</t>
        </is>
      </c>
      <c r="B9" t="inlineStr">
        <is>
          <t>Total, £27 4 shilling 4pence</t>
        </is>
      </c>
      <c r="C9" t="n">
        <v>27.22</v>
      </c>
      <c r="D9" t="n">
        <v>27</v>
      </c>
      <c r="E9" t="n">
        <v>4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AC9" t="inlineStr">
        <is>
          <t>inf</t>
        </is>
      </c>
      <c r="AG9" t="n">
        <v>0</v>
      </c>
      <c r="AH9" t="inlineStr">
        <is>
          <t>inf</t>
        </is>
      </c>
      <c r="AI9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2025-12-18T10:17:06Z</dcterms:modified>
  <cp:lastModifiedBy>Kowalski, Kuba</cp:lastModifiedBy>
</cp:coreProperties>
</file>
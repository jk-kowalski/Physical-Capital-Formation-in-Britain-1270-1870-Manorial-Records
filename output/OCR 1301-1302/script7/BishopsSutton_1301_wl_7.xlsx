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BishopsSutton Overview - Completed" sheetId="1" state="visible" r:id="rId1"/>
    <sheet xmlns:r="http://schemas.openxmlformats.org/officeDocument/2006/relationships" name="Prices" sheetId="2" state="visible" r:id="rId2"/>
    <sheet xmlns:r="http://schemas.openxmlformats.org/officeDocument/2006/relationships" name="Labour Rents" sheetId="3" state="visible" r:id="rId3"/>
    <sheet xmlns:r="http://schemas.openxmlformats.org/officeDocument/2006/relationships" name="Overview" sheetId="4" state="visible" r:id="rId4"/>
    <sheet xmlns:r="http://schemas.openxmlformats.org/officeDocument/2006/relationships" name="Receipts" sheetId="5" state="visible" r:id="rId5"/>
    <sheet xmlns:r="http://schemas.openxmlformats.org/officeDocument/2006/relationships" name="Expenses" sheetId="6" state="visible" r:id="rId6"/>
    <sheet xmlns:r="http://schemas.openxmlformats.org/officeDocument/2006/relationships" name="Issues of the Grange" sheetId="7" state="visible" r:id="rId7"/>
    <sheet xmlns:r="http://schemas.openxmlformats.org/officeDocument/2006/relationships" name="Issues of the Mills" sheetId="8" state="visible" r:id="rId8"/>
    <sheet xmlns:r="http://schemas.openxmlformats.org/officeDocument/2006/relationships" name="Stock" sheetId="9" state="visible" r:id="rId9"/>
    <sheet xmlns:r="http://schemas.openxmlformats.org/officeDocument/2006/relationships" name="Issues of the Grange raw" sheetId="10" state="visible" r:id="rId10"/>
    <sheet xmlns:r="http://schemas.openxmlformats.org/officeDocument/2006/relationships" name="Sale of Corn Prices" sheetId="11" state="visible" r:id="rId11"/>
    <sheet xmlns:r="http://schemas.openxmlformats.org/officeDocument/2006/relationships" name="raw data" sheetId="12" state="visible" r:id="rId12"/>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31">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
      <name val="Calibri"/>
      <family val="2"/>
      <color rgb="FFFF0000"/>
      <sz val="11"/>
      <scheme val="minor"/>
    </font>
    <font>
      <name val="Calibri (Body)"/>
      <color rgb="FFFF0000"/>
      <sz val="11"/>
    </font>
    <font>
      <name val="Calibri"/>
      <family val="2"/>
      <b val="1"/>
      <color rgb="FF000000"/>
      <sz val="11"/>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theme="2"/>
        <bgColor indexed="64"/>
      </patternFill>
    </fill>
  </fills>
  <borders count="18">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53">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2" fontId="0" fillId="5" borderId="0" pivotButton="0" quotePrefix="0" xfId="0"/>
    <xf numFmtId="0" fontId="28" fillId="5" borderId="0" pivotButton="0" quotePrefix="0" xfId="0"/>
    <xf numFmtId="2" fontId="28" fillId="5" borderId="0" pivotButton="0" quotePrefix="0" xfId="0"/>
    <xf numFmtId="2" fontId="28" fillId="0" borderId="0" pivotButton="0" quotePrefix="0" xfId="0"/>
    <xf numFmtId="2" fontId="9" fillId="0" borderId="0" pivotButton="0" quotePrefix="0" xfId="0"/>
    <xf numFmtId="0" fontId="20" fillId="5" borderId="0" pivotButton="0" quotePrefix="0" xfId="0"/>
    <xf numFmtId="0" fontId="0" fillId="0" borderId="17" pivotButton="0" quotePrefix="0" xfId="0"/>
    <xf numFmtId="2" fontId="0" fillId="0" borderId="10" pivotButton="0" quotePrefix="0" xfId="0"/>
    <xf numFmtId="0" fontId="0" fillId="0" borderId="10" pivotButton="0" quotePrefix="0" xfId="0"/>
    <xf numFmtId="10" fontId="0" fillId="0" borderId="10" pivotButton="0" quotePrefix="0" xfId="0"/>
    <xf numFmtId="0" fontId="0" fillId="0" borderId="13" pivotButton="0" quotePrefix="0" xfId="0"/>
    <xf numFmtId="2" fontId="9" fillId="0" borderId="0" applyAlignment="1" pivotButton="0" quotePrefix="0" xfId="0">
      <alignment horizontal="center"/>
    </xf>
    <xf numFmtId="2" fontId="11" fillId="0" borderId="0" applyAlignment="1" pivotButton="0" quotePrefix="0" xfId="0">
      <alignment horizontal="center" vertical="top"/>
    </xf>
    <xf numFmtId="2" fontId="29" fillId="0" borderId="0" pivotButton="0" quotePrefix="0" xfId="0"/>
    <xf numFmtId="0" fontId="7" fillId="0" borderId="0" applyAlignment="1" pivotButton="0" quotePrefix="0" xfId="0">
      <alignment horizontal="center" vertical="top" wrapText="1"/>
    </xf>
    <xf numFmtId="2" fontId="7" fillId="0" borderId="0" applyAlignment="1" pivotButton="0" quotePrefix="0" xfId="0">
      <alignment horizontal="center" vertical="top" wrapText="1"/>
    </xf>
    <xf numFmtId="0" fontId="0" fillId="11" borderId="0" pivotButton="0" quotePrefix="0" xfId="0"/>
    <xf numFmtId="0" fontId="20" fillId="0" borderId="0" applyAlignment="1" pivotButton="0" quotePrefix="0" xfId="0">
      <alignment horizontal="right" wrapText="1"/>
    </xf>
    <xf numFmtId="0" fontId="20" fillId="0" borderId="0" applyAlignment="1" pivotButton="0" quotePrefix="0" xfId="0">
      <alignment wrapText="1"/>
    </xf>
    <xf numFmtId="0" fontId="30" fillId="0" borderId="3" applyAlignment="1" pivotButton="0" quotePrefix="0" xfId="0">
      <alignment wrapText="1"/>
    </xf>
    <xf numFmtId="2" fontId="20" fillId="0" borderId="0" applyAlignment="1" pivotButton="0" quotePrefix="0" xfId="0">
      <alignment horizontal="right" wrapText="1"/>
    </xf>
    <xf numFmtId="0" fontId="0" fillId="0" borderId="3" pivotButton="0" quotePrefix="0" xfId="0"/>
    <xf numFmtId="0" fontId="9" fillId="0" borderId="0" applyAlignment="1" pivotButton="0" quotePrefix="0" xfId="0">
      <alignment horizontal="left" wrapText="1"/>
    </xf>
    <xf numFmtId="0" fontId="9" fillId="0" borderId="0" applyAlignment="1" pivotButton="0" quotePrefix="0" xfId="0">
      <alignment horizontal="left"/>
    </xf>
    <xf numFmtId="2" fontId="9" fillId="0" borderId="0" applyAlignment="1" pivotButton="0" quotePrefix="0" xfId="0">
      <alignment horizontal="left" wrapText="1"/>
    </xf>
    <xf numFmtId="2" fontId="0" fillId="6"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C13" authorId="0" shapeId="0">
      <text>
        <t xml:space="preserve">Victoria Gierok:
from Issue of the grange </t>
      </text>
    </comment>
  </commentList>
</comments>
</file>

<file path=xl/comments/comment3.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BISHOPSSUTTON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48.38</v>
      </c>
      <c r="D4" s="13" t="n"/>
      <c r="E4" s="13" t="n"/>
    </row>
    <row r="5">
      <c r="A5" s="15" t="inlineStr">
        <is>
          <t>Rents of assize total</t>
        </is>
      </c>
      <c r="B5" s="76" t="n">
        <v>49</v>
      </c>
    </row>
    <row r="6">
      <c r="A6" s="15" t="inlineStr">
        <is>
          <t>Quittances total</t>
        </is>
      </c>
      <c r="B6" s="76" t="n">
        <v>2.93</v>
      </c>
    </row>
    <row r="7">
      <c r="A7" s="15" t="inlineStr">
        <is>
          <t>Defaults of rent total</t>
        </is>
      </c>
      <c r="B7" s="76" t="n">
        <v>0.92</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3.84</v>
      </c>
    </row>
    <row r="12">
      <c r="A12" s="76" t="inlineStr">
        <is>
          <t>Total of rents remaining clear total</t>
        </is>
      </c>
      <c r="B12" s="76" t="n">
        <v>46.1</v>
      </c>
    </row>
    <row r="13">
      <c r="A13" s="76" t="inlineStr">
        <is>
          <t>Farms total</t>
        </is>
      </c>
      <c r="B13" s="76" t="n"/>
    </row>
    <row r="14">
      <c r="A14" s="15" t="inlineStr">
        <is>
          <t>Annual recognizances total</t>
        </is>
      </c>
      <c r="B14" s="76" t="n">
        <v>0.04</v>
      </c>
    </row>
    <row r="15">
      <c r="A15" s="15" t="inlineStr">
        <is>
          <t>Issues of the Manor total</t>
        </is>
      </c>
      <c r="B15" s="76" t="n">
        <v>34.16</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v>10.09</v>
      </c>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SUM(B5:B22)</f>
        <v/>
      </c>
      <c r="C23" s="80" t="n"/>
    </row>
    <row r="24">
      <c r="A24" s="82" t="inlineStr">
        <is>
          <t>Total of all receipts (calculated here) incl arrears</t>
        </is>
      </c>
      <c r="B24">
        <f>SUM(B4:B22)</f>
        <v/>
      </c>
      <c r="D24" s="13" t="n"/>
      <c r="E24" s="13" t="n"/>
    </row>
    <row r="25">
      <c r="A25" s="83" t="inlineStr">
        <is>
          <t>Total recorded in the accounts excl. arrears</t>
        </is>
      </c>
      <c r="B25" s="76" t="n">
        <v>114.64</v>
      </c>
      <c r="C25" s="10">
        <f>B23-B25</f>
        <v/>
      </c>
    </row>
    <row r="26">
      <c r="A26" s="83" t="inlineStr">
        <is>
          <t>Total recorded in the accounts incl. arrears</t>
        </is>
      </c>
      <c r="B26">
        <f>B25+B4</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c r="B34" t="n">
        <v>7.89</v>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c r="B40" t="n">
        <v>1.95</v>
      </c>
    </row>
    <row r="41">
      <c r="A41" s="15" t="inlineStr">
        <is>
          <t>Wages of the bailiff</t>
        </is>
      </c>
      <c r="B41" s="84" t="n"/>
    </row>
    <row r="42">
      <c r="A42" s="15" t="inlineStr">
        <is>
          <t>Steward's expenses total</t>
        </is>
      </c>
      <c r="B42" s="84" t="n">
        <v>6.726666666666667</v>
      </c>
    </row>
    <row r="43">
      <c r="A43" s="85" t="inlineStr">
        <is>
          <t>Annual fees</t>
        </is>
      </c>
      <c r="B43" s="86" t="n"/>
      <c r="C43" s="87" t="n"/>
      <c r="D43" s="88" t="n"/>
    </row>
    <row r="44">
      <c r="A44" s="82" t="inlineStr">
        <is>
          <t>Total of all expenses per account</t>
        </is>
      </c>
      <c r="B44" s="84" t="n">
        <v>26.3</v>
      </c>
    </row>
    <row r="45">
      <c r="A45" s="82" t="inlineStr">
        <is>
          <t>Total of all expenses (calculated here)</t>
        </is>
      </c>
      <c r="B45" s="84" t="n">
        <v>26.34083333333334</v>
      </c>
    </row>
    <row r="46">
      <c r="A46" s="82" t="inlineStr">
        <is>
          <t>Total fixed investment</t>
        </is>
      </c>
      <c r="B46" s="84" t="n">
        <v>5.347499999999999</v>
      </c>
    </row>
    <row r="47">
      <c r="A47" s="82" t="inlineStr">
        <is>
          <t>Total Demesne fixed investment</t>
        </is>
      </c>
      <c r="B47" s="84" t="n">
        <v>3.6575</v>
      </c>
    </row>
    <row r="48">
      <c r="A48" s="12" t="n"/>
    </row>
    <row r="49">
      <c r="A49" s="18" t="inlineStr">
        <is>
          <t>Owed by the reeve</t>
        </is>
      </c>
      <c r="B49" s="84">
        <f>B23-B45</f>
        <v/>
      </c>
    </row>
    <row r="50">
      <c r="A50" s="18" t="inlineStr">
        <is>
          <t>From accounts</t>
        </is>
      </c>
      <c r="B50" s="84" t="n">
        <v>26.3</v>
      </c>
    </row>
    <row r="51">
      <c r="A51" s="15" t="n"/>
    </row>
    <row r="52">
      <c r="A52" s="18" t="inlineStr">
        <is>
          <t>Allowances</t>
        </is>
      </c>
      <c r="B52" s="84" t="n"/>
    </row>
    <row r="53">
      <c r="A53" s="18" t="inlineStr">
        <is>
          <t>Cash deliveries</t>
        </is>
      </c>
      <c r="B53" s="84" t="n">
        <v>52.87</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88.375</v>
      </c>
      <c r="E62" t="n">
        <v>18.15</v>
      </c>
      <c r="F62" s="13" t="n"/>
    </row>
    <row r="63">
      <c r="A63" s="76" t="inlineStr">
        <is>
          <t>Rye</t>
        </is>
      </c>
      <c r="F63" s="13" t="n"/>
    </row>
    <row r="64">
      <c r="A64" s="76" t="inlineStr">
        <is>
          <t>Dredge</t>
        </is>
      </c>
      <c r="F64" s="13" t="n"/>
    </row>
    <row r="65">
      <c r="A65" s="76" t="inlineStr">
        <is>
          <t>Curall</t>
        </is>
      </c>
      <c r="B65" t="n">
        <v>1.25</v>
      </c>
      <c r="E65" t="n">
        <v>0.1458333333333333</v>
      </c>
      <c r="F65" s="13" t="n"/>
    </row>
    <row r="66">
      <c r="A66" s="76" t="inlineStr">
        <is>
          <t>Barley</t>
        </is>
      </c>
      <c r="B66" t="n">
        <v>36</v>
      </c>
      <c r="E66" t="n">
        <v>3.222916666666666</v>
      </c>
      <c r="F66" s="13" t="n"/>
    </row>
    <row r="67">
      <c r="A67" s="76" t="inlineStr">
        <is>
          <t>Oats</t>
        </is>
      </c>
      <c r="B67" t="n">
        <v>90</v>
      </c>
      <c r="E67" t="n">
        <v>0</v>
      </c>
      <c r="F67" s="13" t="n"/>
    </row>
    <row r="68">
      <c r="A68" s="76" t="inlineStr">
        <is>
          <t>Beans</t>
        </is>
      </c>
      <c r="F68" s="13" t="n"/>
    </row>
    <row r="69">
      <c r="A69" s="76" t="inlineStr">
        <is>
          <t>Peas</t>
        </is>
      </c>
      <c r="B69" t="n">
        <v>1.5</v>
      </c>
      <c r="E69" t="n">
        <v>0.075</v>
      </c>
      <c r="F69" s="13" t="n"/>
    </row>
    <row r="70">
      <c r="A70" s="76" t="inlineStr">
        <is>
          <t>Vetches</t>
        </is>
      </c>
      <c r="B70" t="n">
        <v>2.625</v>
      </c>
      <c r="E70" t="n">
        <v>0.05</v>
      </c>
    </row>
    <row r="71">
      <c r="A71" s="17" t="inlineStr">
        <is>
          <t>Total value of gross production (sum of the above)</t>
        </is>
      </c>
      <c r="B71" s="93" t="n"/>
      <c r="C71" s="94" t="n"/>
      <c r="D71" s="93" t="n"/>
      <c r="E71" s="93" t="n"/>
    </row>
    <row r="72">
      <c r="A72" s="17" t="inlineStr">
        <is>
          <t>Total value of net production</t>
        </is>
      </c>
      <c r="B72" s="93" t="n"/>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3</v>
      </c>
      <c r="C87" s="76" t="n">
        <v>3</v>
      </c>
      <c r="D87" s="76" t="n">
        <v>0</v>
      </c>
      <c r="F87" s="84">
        <f>'Stock'!K5*'Stock'!O5</f>
        <v/>
      </c>
      <c r="G87" s="84">
        <f>D87*'Stock'!O5</f>
        <v/>
      </c>
    </row>
    <row r="88">
      <c r="A88" s="22" t="inlineStr">
        <is>
          <t>Mares</t>
        </is>
      </c>
      <c r="B88" s="76" t="n"/>
      <c r="C88" s="76" t="n"/>
      <c r="D88" s="76">
        <f>C88-B88</f>
        <v/>
      </c>
      <c r="F88" s="84">
        <f>'Stock'!K6*'Stock'!O6</f>
        <v/>
      </c>
      <c r="G88" s="84">
        <f>D88*'Stock'!O6</f>
        <v/>
      </c>
    </row>
    <row r="89">
      <c r="A89" s="15" t="inlineStr">
        <is>
          <t>Plough horses</t>
        </is>
      </c>
      <c r="B89" s="76" t="n">
        <v>7</v>
      </c>
      <c r="C89" s="76" t="n">
        <v>5</v>
      </c>
      <c r="D89" s="76" t="n">
        <v>-2</v>
      </c>
      <c r="F89" s="84">
        <f>'Stock'!K7*'Stock'!O7</f>
        <v/>
      </c>
      <c r="G89" s="84">
        <f>D89*'Stock'!O7</f>
        <v/>
      </c>
    </row>
    <row r="90">
      <c r="A90" s="15" t="inlineStr">
        <is>
          <t>Colts (2 years)</t>
        </is>
      </c>
      <c r="B90" s="76" t="n">
        <v>2</v>
      </c>
      <c r="C90" s="76" t="n">
        <v>0</v>
      </c>
      <c r="D90" s="76" t="n">
        <v>-2</v>
      </c>
      <c r="F90" s="84">
        <f>'Stock'!K9*'Stock'!O9</f>
        <v/>
      </c>
      <c r="G90" s="84">
        <f>D90*'Stock'!O9</f>
        <v/>
      </c>
    </row>
    <row r="91">
      <c r="A91" s="15" t="inlineStr">
        <is>
          <t>Colts (2 years)</t>
        </is>
      </c>
      <c r="B91" s="76" t="n">
        <v>2</v>
      </c>
      <c r="C91" s="76" t="n">
        <v>0</v>
      </c>
      <c r="D91" s="76" t="n">
        <v>-2</v>
      </c>
      <c r="F91" s="84">
        <f>'Stock'!K9*'Stock'!O9</f>
        <v/>
      </c>
      <c r="G91" s="84">
        <f>D91*'Stock'!O9</f>
        <v/>
      </c>
    </row>
    <row r="92">
      <c r="A92" s="15" t="inlineStr">
        <is>
          <t>Colts (1 year)</t>
        </is>
      </c>
      <c r="B92" s="76" t="n">
        <v>3</v>
      </c>
      <c r="C92" s="76" t="n">
        <v>2</v>
      </c>
      <c r="D92" s="76" t="n">
        <v>-1</v>
      </c>
      <c r="F92" s="84">
        <f>'Stock'!K10*'Stock'!O10</f>
        <v/>
      </c>
      <c r="G92" s="84">
        <f>D92*'Stock'!O10</f>
        <v/>
      </c>
    </row>
    <row r="93">
      <c r="A93" s="15" t="inlineStr">
        <is>
          <t>Foals</t>
        </is>
      </c>
      <c r="B93" s="76" t="n">
        <v>2</v>
      </c>
      <c r="C93" s="76" t="n">
        <v>2</v>
      </c>
      <c r="D93" s="76" t="n">
        <v>0</v>
      </c>
      <c r="F93" s="84">
        <f>'Stock'!K11*'Stock'!O11</f>
        <v/>
      </c>
      <c r="G93" s="84">
        <f>D93*'Stock'!O11</f>
        <v/>
      </c>
    </row>
    <row r="94">
      <c r="A94" s="15" t="inlineStr">
        <is>
          <t>Oxen</t>
        </is>
      </c>
      <c r="B94" s="76" t="n">
        <v>28</v>
      </c>
      <c r="C94" s="76" t="n">
        <v>25</v>
      </c>
      <c r="D94" s="76" t="n">
        <v>-3</v>
      </c>
      <c r="F94" s="84">
        <f>'Stock'!K12*'Stock'!O12</f>
        <v/>
      </c>
      <c r="G94" s="84">
        <f>D94*'Stock'!O12</f>
        <v/>
      </c>
    </row>
    <row r="95">
      <c r="A95" s="15" t="inlineStr">
        <is>
          <t>Bulls</t>
        </is>
      </c>
      <c r="B95" s="76" t="n">
        <v>2</v>
      </c>
      <c r="C95" s="76" t="n">
        <v>1</v>
      </c>
      <c r="D95" s="76" t="n">
        <v>-1</v>
      </c>
      <c r="F95" s="84">
        <f>'Stock'!K13*'Stock'!O13</f>
        <v/>
      </c>
      <c r="G95" s="84">
        <f>D95*'Stock'!O13</f>
        <v/>
      </c>
    </row>
    <row r="96">
      <c r="A96" s="15" t="inlineStr">
        <is>
          <t>Cows</t>
        </is>
      </c>
      <c r="B96" s="76" t="n">
        <v>16</v>
      </c>
      <c r="C96" s="76" t="n">
        <v>16</v>
      </c>
      <c r="D96" s="76" t="n">
        <v>0</v>
      </c>
      <c r="F96" s="84">
        <f>'Stock'!K14*'Stock'!O14</f>
        <v/>
      </c>
      <c r="G96" s="84">
        <f>D96*'Stock'!O14</f>
        <v/>
      </c>
    </row>
    <row r="97">
      <c r="A97" s="15" t="inlineStr">
        <is>
          <t>Steers</t>
        </is>
      </c>
      <c r="B97" s="76" t="n">
        <v>6</v>
      </c>
      <c r="C97" s="76" t="n">
        <v>0</v>
      </c>
      <c r="D97" s="76" t="n">
        <v>-6</v>
      </c>
      <c r="F97" s="84">
        <f>'Stock'!K15*'Stock'!O15</f>
        <v/>
      </c>
      <c r="G97" s="84">
        <f>D97*'Stock'!O15</f>
        <v/>
      </c>
    </row>
    <row r="98">
      <c r="A98" s="15" t="inlineStr">
        <is>
          <t>Bullocks</t>
        </is>
      </c>
      <c r="B98" s="76" t="n">
        <v>5</v>
      </c>
      <c r="C98" s="76" t="n">
        <v>4</v>
      </c>
      <c r="D98" s="76" t="n">
        <v>-1</v>
      </c>
      <c r="F98" s="84">
        <f>'Stock'!K16*'Stock'!O16</f>
        <v/>
      </c>
      <c r="G98" s="84">
        <f>D98*'Stock'!O16</f>
        <v/>
      </c>
    </row>
    <row r="99">
      <c r="A99" s="15" t="inlineStr">
        <is>
          <t>Yearlings</t>
        </is>
      </c>
      <c r="B99" s="76" t="n">
        <v>4</v>
      </c>
      <c r="C99" s="76" t="n">
        <v>4</v>
      </c>
      <c r="D99" s="76" t="n">
        <v>0</v>
      </c>
      <c r="F99" s="84">
        <f>'Stock'!K17*'Stock'!O17</f>
        <v/>
      </c>
      <c r="G99" s="84">
        <f>D99*'Stock'!O17</f>
        <v/>
      </c>
    </row>
    <row r="100">
      <c r="A100" s="15" t="inlineStr">
        <is>
          <t>Calves</t>
        </is>
      </c>
      <c r="B100" s="76" t="n"/>
      <c r="C100" s="76" t="n">
        <v>8</v>
      </c>
      <c r="D100" s="76">
        <f>C100-B100</f>
        <v/>
      </c>
      <c r="F100" s="84">
        <f>'Stock'!K18*'Stock'!O18</f>
        <v/>
      </c>
      <c r="G100" s="84">
        <f>D100*'Stock'!O18</f>
        <v/>
      </c>
    </row>
    <row r="101">
      <c r="A101" s="15" t="inlineStr">
        <is>
          <t>Wethers</t>
        </is>
      </c>
      <c r="B101" s="76" t="n">
        <v>186</v>
      </c>
      <c r="C101" s="76" t="n">
        <v>188</v>
      </c>
      <c r="D101" s="76" t="n">
        <v>2</v>
      </c>
      <c r="F101" s="84">
        <f>'Stock'!K19*'Stock'!O19</f>
        <v/>
      </c>
      <c r="G101" s="84">
        <f>D101*'Stock'!O19</f>
        <v/>
      </c>
    </row>
    <row r="102">
      <c r="A102" s="15" t="inlineStr">
        <is>
          <t>Rams</t>
        </is>
      </c>
      <c r="B102" s="76" t="n">
        <v>6</v>
      </c>
      <c r="C102" s="76" t="n">
        <v>8</v>
      </c>
      <c r="D102" s="76" t="n">
        <v>2</v>
      </c>
      <c r="F102" s="84">
        <f>'Stock'!K20*'Stock'!O20</f>
        <v/>
      </c>
      <c r="G102" s="84">
        <f>D102*'Stock'!O20</f>
        <v/>
      </c>
    </row>
    <row r="103">
      <c r="A103" s="15" t="inlineStr">
        <is>
          <t>Ewes</t>
        </is>
      </c>
      <c r="B103" s="76" t="n">
        <v>176</v>
      </c>
      <c r="C103" s="76" t="n">
        <v>177</v>
      </c>
      <c r="D103" s="76" t="n">
        <v>1</v>
      </c>
      <c r="F103" s="84">
        <f>'Stock'!K21*'Stock'!O21</f>
        <v/>
      </c>
      <c r="G103" s="84">
        <f>D103*'Stock'!O21</f>
        <v/>
      </c>
    </row>
    <row r="104">
      <c r="A104" s="15" t="inlineStr">
        <is>
          <t>Hoggs</t>
        </is>
      </c>
      <c r="B104" s="76" t="n">
        <v>64</v>
      </c>
      <c r="C104" s="76" t="n">
        <v>0</v>
      </c>
      <c r="D104" s="76" t="n">
        <v>-64</v>
      </c>
      <c r="F104" s="84">
        <f>'Stock'!K22*'Stock'!O22</f>
        <v/>
      </c>
      <c r="G104" s="84">
        <f>D104*'Stock'!O22</f>
        <v/>
      </c>
    </row>
    <row r="105">
      <c r="A105" s="15" t="inlineStr">
        <is>
          <t>Lambs</t>
        </is>
      </c>
      <c r="B105" s="76" t="n"/>
      <c r="C105" s="76" t="n">
        <v>90</v>
      </c>
      <c r="D105" s="76">
        <f>C105-B105</f>
        <v/>
      </c>
      <c r="F105" s="84">
        <f>'Stock'!K23*'Stock'!O23</f>
        <v/>
      </c>
      <c r="G105" s="84">
        <f>D105*'Stock'!O23</f>
        <v/>
      </c>
    </row>
    <row r="106">
      <c r="A106" s="15" t="inlineStr">
        <is>
          <t>Boars</t>
        </is>
      </c>
      <c r="B106" s="76" t="n"/>
      <c r="C106" s="76" t="n"/>
      <c r="D106" s="76">
        <f>C106-B106</f>
        <v/>
      </c>
      <c r="F106" s="84">
        <f>'Stock'!K24*'Stock'!O24</f>
        <v/>
      </c>
      <c r="G106" s="84">
        <f>D106*'Stock'!O24</f>
        <v/>
      </c>
    </row>
    <row r="107">
      <c r="A107" s="15" t="inlineStr">
        <is>
          <t>Sows</t>
        </is>
      </c>
      <c r="B107" s="76" t="n">
        <v>1</v>
      </c>
      <c r="C107" s="76" t="n">
        <v>2</v>
      </c>
      <c r="D107" s="76" t="n">
        <v>1</v>
      </c>
      <c r="F107" s="84">
        <f>'Stock'!K25*'Stock'!O25</f>
        <v/>
      </c>
      <c r="G107" s="84">
        <f>D107*'Stock'!O25</f>
        <v/>
      </c>
    </row>
    <row r="108">
      <c r="A108" s="15" t="inlineStr">
        <is>
          <t>Pigs</t>
        </is>
      </c>
      <c r="B108" s="76" t="n">
        <v>11</v>
      </c>
      <c r="C108" s="76" t="n">
        <v>35</v>
      </c>
      <c r="D108" s="76" t="n">
        <v>24</v>
      </c>
      <c r="F108" s="84">
        <f>'Stock'!K26*'Stock'!O26</f>
        <v/>
      </c>
      <c r="G108" s="84">
        <f>D108*'Stock'!O26</f>
        <v/>
      </c>
    </row>
    <row r="109">
      <c r="A109" s="15" t="inlineStr">
        <is>
          <t>Hoggets</t>
        </is>
      </c>
      <c r="B109" s="76" t="n">
        <v>16</v>
      </c>
      <c r="C109" s="76" t="n">
        <v>0</v>
      </c>
      <c r="D109" s="76" t="n">
        <v>-16</v>
      </c>
      <c r="F109" s="84">
        <f>'Stock'!K27*'Stock'!O27</f>
        <v/>
      </c>
      <c r="G109" s="84">
        <f>D109*'Stock'!O27</f>
        <v/>
      </c>
    </row>
    <row r="110">
      <c r="A110" s="15" t="inlineStr">
        <is>
          <t>Piglets</t>
        </is>
      </c>
      <c r="B110" s="76" t="n"/>
      <c r="C110" s="76" t="n">
        <v>16</v>
      </c>
      <c r="D110" s="76">
        <f>C110-B110</f>
        <v/>
      </c>
      <c r="F110" s="84">
        <f>'Stock'!K28*'Stock'!O28</f>
        <v/>
      </c>
      <c r="G110" s="84">
        <f>D110*'Stock'!O28</f>
        <v/>
      </c>
    </row>
    <row r="111">
      <c r="A111" s="15" t="inlineStr">
        <is>
          <t>Swans</t>
        </is>
      </c>
      <c r="B111" s="76" t="n"/>
      <c r="C111" s="76" t="n"/>
      <c r="D111" s="76">
        <f>C111-B111</f>
        <v/>
      </c>
      <c r="F111" s="84">
        <f>'Stock'!K29*'Stock'!O29</f>
        <v/>
      </c>
      <c r="G111" s="84">
        <f>D111*'Stock'!O29</f>
        <v/>
      </c>
    </row>
    <row r="112">
      <c r="A112" s="15" t="inlineStr">
        <is>
          <t>Peacocks</t>
        </is>
      </c>
      <c r="B112" s="76" t="n">
        <v>12</v>
      </c>
      <c r="C112" s="76" t="n">
        <v>14</v>
      </c>
      <c r="D112" s="76" t="n">
        <v>2</v>
      </c>
      <c r="F112" s="84">
        <f>'Stock'!K30*'Stock'!O30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c r="C119" t="n">
        <v>0</v>
      </c>
      <c r="D119" t="n">
        <v>376</v>
      </c>
      <c r="F119" t="n">
        <v>0</v>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t="n">
        <v>0</v>
      </c>
      <c r="C151" s="76" t="n">
        <v>0</v>
      </c>
      <c r="D151" s="76" t="n">
        <v>0</v>
      </c>
      <c r="F151" s="76" t="n">
        <v>0</v>
      </c>
      <c r="G151" s="96" t="n"/>
    </row>
    <row r="152">
      <c r="A152" s="15" t="inlineStr">
        <is>
          <t>Geese</t>
        </is>
      </c>
      <c r="B152" s="76" t="n">
        <v>0</v>
      </c>
      <c r="C152" s="76" t="n">
        <v>0</v>
      </c>
      <c r="D152" s="76" t="n">
        <v>0</v>
      </c>
      <c r="F152" s="76" t="n">
        <v>0</v>
      </c>
    </row>
    <row r="153">
      <c r="A153" s="15" t="inlineStr">
        <is>
          <t>Capons (from chickens)</t>
        </is>
      </c>
      <c r="B153" s="76" t="n">
        <v>0</v>
      </c>
      <c r="C153" s="76" t="n">
        <v>0</v>
      </c>
      <c r="D153" s="76" t="n">
        <v>0</v>
      </c>
      <c r="F153" s="76" t="n">
        <v>0</v>
      </c>
    </row>
    <row r="154">
      <c r="A154" s="15" t="inlineStr">
        <is>
          <t>Cocks &amp; hens</t>
        </is>
      </c>
      <c r="B154" s="76" t="n">
        <v>0</v>
      </c>
      <c r="C154" s="76" t="n">
        <v>0</v>
      </c>
      <c r="D154" s="76" t="n">
        <v>0</v>
      </c>
      <c r="F154" s="76" t="n">
        <v>0</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F159" t="n">
        <v>0</v>
      </c>
      <c r="G159" s="116" t="n"/>
    </row>
    <row r="160">
      <c r="A160" s="15" t="inlineStr">
        <is>
          <t>Cocks &amp; hens from churchscot of customary tenants</t>
        </is>
      </c>
      <c r="B160" t="n">
        <v>0</v>
      </c>
      <c r="C160" t="n">
        <v>0</v>
      </c>
      <c r="D160" t="n">
        <v>0</v>
      </c>
      <c r="F160" t="n">
        <v>0</v>
      </c>
    </row>
    <row r="161">
      <c r="A161" s="15" t="inlineStr">
        <is>
          <t>Sum of above</t>
        </is>
      </c>
    </row>
    <row r="162">
      <c r="A162" s="17" t="inlineStr">
        <is>
          <t>Total value of stock</t>
        </is>
      </c>
      <c r="B162" s="93" t="n"/>
      <c r="C162" s="94" t="n"/>
      <c r="D162" s="93" t="n"/>
      <c r="E162" s="93" t="n"/>
      <c r="F162" s="93" t="n"/>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F166" t="n">
        <v>0</v>
      </c>
      <c r="G166" s="116" t="n"/>
    </row>
    <row r="167">
      <c r="A167" s="15" t="inlineStr">
        <is>
          <t>Winter Cheese</t>
        </is>
      </c>
      <c r="B167" t="n">
        <v>0</v>
      </c>
      <c r="C167" t="n">
        <v>0</v>
      </c>
      <c r="D167" t="n">
        <v>0</v>
      </c>
      <c r="F167" t="n">
        <v>0</v>
      </c>
    </row>
    <row r="168">
      <c r="A168" s="15" t="inlineStr">
        <is>
          <t>Summer Cheese</t>
        </is>
      </c>
      <c r="B168" t="n">
        <v>0</v>
      </c>
      <c r="C168" t="n">
        <v>0</v>
      </c>
      <c r="D168" t="n">
        <v>0</v>
      </c>
      <c r="F168" t="n">
        <v>0</v>
      </c>
    </row>
    <row r="169">
      <c r="A169" s="17" t="inlineStr">
        <is>
          <t>Total value of production (sum of the above)</t>
        </is>
      </c>
      <c r="B169" s="93" t="n"/>
      <c r="C169" s="94" t="n"/>
      <c r="D169" s="93" t="n"/>
      <c r="E169" s="93" t="n"/>
      <c r="F169" s="93" t="n"/>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F169+F162+F156+F147+F123+F115+D71</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8"/>
  <sheetViews>
    <sheetView topLeftCell="A1" workbookViewId="0">
      <selection activeCell="A1" sqref="A1"/>
    </sheetView>
  </sheetViews>
  <sheetFormatPr baseColWidth="8" defaultColWidth="12.6328125" defaultRowHeight="14.5"/>
  <sheetData>
    <row r="1" ht="15.5" customHeight="1">
      <c r="A1" s="12" t="inlineStr">
        <is>
          <t>Meat &amp; Dairy Prices</t>
        </is>
      </c>
    </row>
    <row r="2">
      <c r="C2" t="n">
        <v>1301</v>
      </c>
      <c r="D2" t="n">
        <v>1302</v>
      </c>
      <c r="E2" s="28" t="inlineStr">
        <is>
          <t>Average</t>
        </is>
      </c>
    </row>
    <row r="3" ht="15.5" customHeight="1">
      <c r="A3" t="inlineStr">
        <is>
          <t>Beef</t>
        </is>
      </c>
      <c r="B3" t="inlineStr">
        <is>
          <t>£ per lb</t>
        </is>
      </c>
      <c r="C3" s="62" t="n">
        <v>0.003335185413087333</v>
      </c>
      <c r="D3" s="62" t="n">
        <v>0.003260853786849182</v>
      </c>
      <c r="E3" s="63">
        <f>AVERAGE(C3:D3)</f>
        <v/>
      </c>
    </row>
    <row r="4">
      <c r="A4" t="inlineStr">
        <is>
          <t>Mutton</t>
        </is>
      </c>
      <c r="B4" t="inlineStr">
        <is>
          <t>£ per lb</t>
        </is>
      </c>
      <c r="C4" s="63" t="n">
        <v>0.003659397726835158</v>
      </c>
      <c r="D4" s="63" t="n">
        <v>0.003712551295250783</v>
      </c>
      <c r="E4" s="63">
        <f>AVERAGE(C4:D4)</f>
        <v/>
      </c>
    </row>
    <row r="5">
      <c r="A5" t="inlineStr">
        <is>
          <t>Pork</t>
        </is>
      </c>
      <c r="B5" t="inlineStr">
        <is>
          <t>£ per lb</t>
        </is>
      </c>
      <c r="C5" s="63" t="n">
        <v>0.003843132608634785</v>
      </c>
      <c r="D5" s="63" t="n">
        <v>0.003757480310106574</v>
      </c>
      <c r="E5" s="63">
        <f>AVERAGE(C5:D5)</f>
        <v/>
      </c>
    </row>
    <row r="6">
      <c r="A6" t="inlineStr">
        <is>
          <t>Cheese</t>
        </is>
      </c>
      <c r="B6" t="inlineStr">
        <is>
          <t>£ per lb</t>
        </is>
      </c>
      <c r="C6" s="64" t="n">
        <v>0.005576875401355813</v>
      </c>
      <c r="D6" s="63" t="n">
        <v>0.005665489823647453</v>
      </c>
      <c r="E6" s="63">
        <f>AVERAGE(C6:D6)</f>
        <v/>
      </c>
    </row>
    <row r="7">
      <c r="A7" t="inlineStr">
        <is>
          <t>Butter</t>
        </is>
      </c>
      <c r="B7" t="inlineStr">
        <is>
          <t>£ per lb</t>
        </is>
      </c>
      <c r="C7" s="63" t="n">
        <v>0.00366262210285494</v>
      </c>
      <c r="D7" s="63" t="n">
        <v>0.003593507742292381</v>
      </c>
      <c r="E7" s="63">
        <f>AVERAGE(C7:D7)</f>
        <v/>
      </c>
    </row>
    <row r="8">
      <c r="A8" t="inlineStr">
        <is>
          <t>Milk</t>
        </is>
      </c>
      <c r="B8" t="inlineStr">
        <is>
          <t>£ per gallon</t>
        </is>
      </c>
      <c r="C8" s="65" t="n">
        <v>0.005576875401355813</v>
      </c>
      <c r="D8" s="63" t="n">
        <v>0.005665489823647453</v>
      </c>
      <c r="E8" s="63">
        <f>AVERAGE(C8:D8)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3"/>
  <sheetViews>
    <sheetView topLeftCell="A1" workbookViewId="0">
      <selection activeCell="A1" sqref="A1"/>
    </sheetView>
  </sheetViews>
  <sheetFormatPr baseColWidth="8" defaultRowHeight="15"/>
  <cols>
    <col width="80" customWidth="1" min="1" max="1"/>
    <col width="29.5" customWidth="1" min="2" max="2"/>
    <col width="8.83203125" customWidth="1" min="3" max="3"/>
    <col width="30.83203125" customWidth="1" min="5" max="5"/>
    <col width="29.33203125" customWidth="1" min="6" max="6"/>
  </cols>
  <sheetData>
    <row r="1">
      <c r="A1" s="8" t="inlineStr">
        <is>
          <t>BISHOPS SUTTON</t>
        </is>
      </c>
      <c r="B1" s="77" t="inlineStr">
        <is>
          <t>Total in £</t>
        </is>
      </c>
      <c r="C1" s="78" t="inlineStr">
        <is>
          <t>Error</t>
        </is>
      </c>
      <c r="D1" s="12" t="inlineStr">
        <is>
          <t>Note</t>
        </is>
      </c>
    </row>
    <row r="2">
      <c r="A2" s="8" t="inlineStr">
        <is>
          <t>CASH ACCOUNT</t>
        </is>
      </c>
    </row>
    <row r="3">
      <c r="A3" s="16" t="inlineStr">
        <is>
          <t>RECEIPTS</t>
        </is>
      </c>
    </row>
    <row r="4">
      <c r="A4" s="15" t="inlineStr">
        <is>
          <t>Arrears total</t>
        </is>
      </c>
    </row>
    <row r="5">
      <c r="A5" s="15" t="inlineStr">
        <is>
          <t>Rents of assize total</t>
        </is>
      </c>
    </row>
    <row r="6">
      <c r="A6" s="15" t="inlineStr">
        <is>
          <t>Quittances total</t>
        </is>
      </c>
    </row>
    <row r="7">
      <c r="A7" s="15" t="inlineStr">
        <is>
          <t>Defaults of rent total</t>
        </is>
      </c>
    </row>
    <row r="8">
      <c r="A8" s="9" t="inlineStr">
        <is>
          <t>Defaults of rent through the pestilence total</t>
        </is>
      </c>
    </row>
    <row r="9">
      <c r="A9" s="9" t="inlineStr">
        <is>
          <t>Cotlands defaults total</t>
        </is>
      </c>
    </row>
    <row r="10">
      <c r="A10" s="9" t="inlineStr">
        <is>
          <t>Cotlands total</t>
        </is>
      </c>
    </row>
    <row r="11">
      <c r="A11" s="9" t="inlineStr">
        <is>
          <t>Total of quittances and defaults of rent total</t>
        </is>
      </c>
    </row>
    <row r="12">
      <c r="A12" s="9" t="inlineStr">
        <is>
          <t>Total of rents remaining clear total</t>
        </is>
      </c>
    </row>
    <row r="13">
      <c r="A13" s="9" t="inlineStr">
        <is>
          <t>Farms total</t>
        </is>
      </c>
    </row>
    <row r="14">
      <c r="A14" s="15" t="inlineStr">
        <is>
          <t>Annual recognizances total</t>
        </is>
      </c>
    </row>
    <row r="15">
      <c r="A15" s="15" t="inlineStr">
        <is>
          <t>Issues of the Manor total</t>
        </is>
      </c>
    </row>
    <row r="16">
      <c r="A16" s="9" t="inlineStr">
        <is>
          <t>Issues of the tenements in the lord's hands total</t>
        </is>
      </c>
    </row>
    <row r="17">
      <c r="A17" s="9" t="inlineStr">
        <is>
          <t>Sale of labour services total</t>
        </is>
      </c>
    </row>
    <row r="18">
      <c r="A18" s="15" t="inlineStr">
        <is>
          <t>Sale of corn total</t>
        </is>
      </c>
    </row>
    <row r="19">
      <c r="A19" s="15" t="inlineStr">
        <is>
          <t>Entry and marriage fines total</t>
        </is>
      </c>
    </row>
    <row r="20">
      <c r="A20" s="15" t="inlineStr">
        <is>
          <t>Pleas &amp; perquisites total</t>
        </is>
      </c>
    </row>
    <row r="21">
      <c r="A21" s="9" t="inlineStr">
        <is>
          <t>Forfeited chattels total</t>
        </is>
      </c>
    </row>
    <row r="22">
      <c r="A22" s="9" t="inlineStr">
        <is>
          <t>Farm of the demesne land total</t>
        </is>
      </c>
    </row>
    <row r="23">
      <c r="A23" s="81" t="inlineStr">
        <is>
          <t>Total of all receipts (calculated here)</t>
        </is>
      </c>
      <c r="B23" s="127">
        <f>Receipts!F124</f>
        <v/>
      </c>
      <c r="C23" s="128" t="n"/>
      <c r="D23" s="70" t="n"/>
    </row>
    <row r="24">
      <c r="A24" s="82" t="inlineStr">
        <is>
          <t>Total of all receipts (calculated here) incl arrears</t>
        </is>
      </c>
      <c r="B24" s="127">
        <f>Receipts!F125</f>
        <v/>
      </c>
      <c r="C24" s="128" t="n"/>
      <c r="D24" s="70" t="n"/>
    </row>
    <row r="25">
      <c r="A25" s="83" t="inlineStr">
        <is>
          <t>Total recorded in the accounts excl. arrears</t>
        </is>
      </c>
      <c r="B25" s="127">
        <f>Receipts!F123</f>
        <v/>
      </c>
      <c r="C25" s="129">
        <f>B25-B23</f>
        <v/>
      </c>
      <c r="D25" s="70" t="n"/>
    </row>
    <row r="26">
      <c r="A26" s="83" t="inlineStr">
        <is>
          <t>Total recorded in the accounts incl. arrears</t>
        </is>
      </c>
      <c r="B26" s="70" t="n"/>
      <c r="C26" s="128" t="n"/>
      <c r="D26" s="70" t="n"/>
    </row>
    <row r="27">
      <c r="A27" s="15" t="n"/>
    </row>
    <row r="28">
      <c r="A28" s="15" t="n"/>
    </row>
    <row r="29">
      <c r="A29" s="16" t="inlineStr">
        <is>
          <t>EXPENSES</t>
        </is>
      </c>
      <c r="B29" s="70" t="n"/>
      <c r="C29" s="128" t="n"/>
      <c r="D29" s="70" t="n"/>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row>
    <row r="42">
      <c r="A42" s="15" t="inlineStr">
        <is>
          <t>Steward's expenses total</t>
        </is>
      </c>
    </row>
    <row r="43">
      <c r="A43" s="85" t="inlineStr">
        <is>
          <t>Annual fees</t>
        </is>
      </c>
    </row>
    <row r="44">
      <c r="A44" s="82" t="inlineStr">
        <is>
          <t>Total of all expenses per account</t>
        </is>
      </c>
      <c r="B44" s="127">
        <f>Expenses!F115</f>
        <v/>
      </c>
      <c r="C44" s="128" t="n"/>
      <c r="D44" s="70" t="n"/>
    </row>
    <row r="45">
      <c r="A45" s="82" t="inlineStr">
        <is>
          <t>Total of all expenses (calculated here)</t>
        </is>
      </c>
      <c r="B45" s="127">
        <f>Expenses!F116</f>
        <v/>
      </c>
      <c r="C45" s="128" t="n"/>
      <c r="D45" s="70" t="n"/>
    </row>
    <row r="46">
      <c r="A46" s="82" t="inlineStr">
        <is>
          <t>Total fixed investment</t>
        </is>
      </c>
      <c r="B46" s="127">
        <f>Expenses!F117</f>
        <v/>
      </c>
      <c r="C46" s="128" t="n"/>
      <c r="D46" s="70" t="n"/>
    </row>
    <row r="47">
      <c r="A47" s="82" t="inlineStr">
        <is>
          <t>Total Demesne fixed investment</t>
        </is>
      </c>
      <c r="B47" s="127">
        <f>Expenses!F118</f>
        <v/>
      </c>
      <c r="C47" s="128" t="n"/>
      <c r="D47" s="70" t="n"/>
    </row>
    <row r="48">
      <c r="A48" s="12" t="n"/>
    </row>
    <row r="49">
      <c r="A49" s="18" t="inlineStr">
        <is>
          <t>Owed by the reeve</t>
        </is>
      </c>
      <c r="B49" s="72">
        <f>B23-B45</f>
        <v/>
      </c>
    </row>
    <row r="50">
      <c r="A50" s="18" t="inlineStr">
        <is>
          <t>From accounts</t>
        </is>
      </c>
      <c r="B50" s="72">
        <f>Expenses!F109</f>
        <v/>
      </c>
      <c r="C50" s="130">
        <f>B50-B49</f>
        <v/>
      </c>
    </row>
    <row r="51">
      <c r="A51" s="15" t="n"/>
    </row>
    <row r="52">
      <c r="A52" s="18" t="inlineStr">
        <is>
          <t>Allowances</t>
        </is>
      </c>
    </row>
    <row r="53">
      <c r="A53" s="18" t="inlineStr">
        <is>
          <t>Cash deliveries</t>
        </is>
      </c>
      <c r="B53" s="72">
        <f>Expenses!F113</f>
        <v/>
      </c>
    </row>
    <row r="54">
      <c r="A54" s="19" t="inlineStr">
        <is>
          <t>Sum of the above</t>
        </is>
      </c>
      <c r="B54">
        <f>SUM(B52:B53)</f>
        <v/>
      </c>
    </row>
    <row r="55">
      <c r="A55" s="20" t="inlineStr">
        <is>
          <t>Total of all allowances and cash deliveries in accounts</t>
        </is>
      </c>
    </row>
    <row r="56">
      <c r="A56" s="15" t="n"/>
    </row>
    <row r="57">
      <c r="A57" s="18" t="inlineStr">
        <is>
          <t>Net amount owed</t>
        </is>
      </c>
      <c r="B57" s="72">
        <f>B49-B54</f>
        <v/>
      </c>
    </row>
    <row r="58">
      <c r="A58" s="18" t="inlineStr">
        <is>
          <t>Net amount owed in accounts</t>
        </is>
      </c>
      <c r="B58">
        <f>Expenses!F111</f>
        <v/>
      </c>
      <c r="C58" s="130">
        <f>B58-B57</f>
        <v/>
      </c>
    </row>
    <row r="59">
      <c r="A59" s="15" t="n"/>
    </row>
    <row r="60">
      <c r="A60" s="16" t="inlineStr">
        <is>
          <t xml:space="preserve">GRANGE ACCOUNT </t>
        </is>
      </c>
      <c r="B60" s="120" t="inlineStr">
        <is>
          <t>Total Production</t>
        </is>
      </c>
      <c r="D60" s="54" t="n"/>
      <c r="E60" s="54" t="n"/>
      <c r="F60" s="55" t="n"/>
    </row>
    <row r="61">
      <c r="A61" s="8" t="inlineStr">
        <is>
          <t>Grange</t>
        </is>
      </c>
      <c r="B61" s="89" t="inlineStr">
        <is>
          <t>qrs</t>
        </is>
      </c>
      <c r="C61" s="90" t="n"/>
      <c r="D61" s="9" t="n"/>
      <c r="E61" s="131" t="inlineStr">
        <is>
          <t>Value of total gross production in £</t>
        </is>
      </c>
      <c r="F61" s="131" t="inlineStr">
        <is>
          <t>Value of total net production in £</t>
        </is>
      </c>
    </row>
    <row r="62" ht="15" customHeight="1">
      <c r="A62" t="inlineStr">
        <is>
          <t>wheat</t>
        </is>
      </c>
      <c r="B62">
        <f>'Issues of the Grange'!B2</f>
        <v/>
      </c>
      <c r="E62" s="72">
        <f>'Issues of the Grange'!I2</f>
        <v/>
      </c>
      <c r="F62" s="72">
        <f>'Issues of the Grange'!O14</f>
        <v/>
      </c>
    </row>
    <row r="63" ht="15" customHeight="1">
      <c r="A63" t="inlineStr">
        <is>
          <t>curall</t>
        </is>
      </c>
      <c r="B63">
        <f>'Issues of the Grange'!B3</f>
        <v/>
      </c>
      <c r="E63" s="72">
        <f>'Issues of the Grange'!I3</f>
        <v/>
      </c>
      <c r="F63" s="72">
        <f>'Issues of the Grange'!O15</f>
        <v/>
      </c>
    </row>
    <row r="64" ht="15" customHeight="1">
      <c r="A64" t="inlineStr">
        <is>
          <t>barley</t>
        </is>
      </c>
      <c r="B64">
        <f>'Issues of the Grange'!B4</f>
        <v/>
      </c>
      <c r="E64" s="72">
        <f>'Issues of the Grange'!I4</f>
        <v/>
      </c>
      <c r="F64" s="72">
        <f>'Issues of the Grange'!O16</f>
        <v/>
      </c>
    </row>
    <row r="65" ht="15" customHeight="1">
      <c r="A65" t="inlineStr">
        <is>
          <t>oats</t>
        </is>
      </c>
      <c r="B65">
        <f>'Issues of the Grange'!B5</f>
        <v/>
      </c>
      <c r="E65" s="72">
        <f>'Issues of the Grange'!I5</f>
        <v/>
      </c>
      <c r="F65" s="72">
        <f>'Issues of the Grange'!O17</f>
        <v/>
      </c>
    </row>
    <row r="66" ht="15" customHeight="1">
      <c r="A66" t="inlineStr">
        <is>
          <t>peas</t>
        </is>
      </c>
      <c r="B66">
        <f>'Issues of the Grange'!B6</f>
        <v/>
      </c>
      <c r="E66" s="72">
        <f>'Issues of the Grange'!I6</f>
        <v/>
      </c>
      <c r="F66" s="72">
        <f>'Issues of the Grange'!O18</f>
        <v/>
      </c>
    </row>
    <row r="67" ht="15" customHeight="1">
      <c r="A67" t="inlineStr">
        <is>
          <t>vetches</t>
        </is>
      </c>
      <c r="B67">
        <f>'Issues of the Grange'!B7</f>
        <v/>
      </c>
      <c r="E67" s="72">
        <f>'Issues of the Grange'!I7</f>
        <v/>
      </c>
      <c r="F67" s="72">
        <f>'Issues of the Grange'!O19</f>
        <v/>
      </c>
    </row>
    <row r="68">
      <c r="A68" s="17" t="inlineStr">
        <is>
          <t>Total value of gross production (sum of the above)</t>
        </is>
      </c>
      <c r="B68" s="70" t="n"/>
      <c r="C68" s="128" t="n"/>
      <c r="D68" s="70" t="n"/>
      <c r="E68" s="127">
        <f>SUM(E62:E67)</f>
        <v/>
      </c>
      <c r="F68" s="70" t="n"/>
    </row>
    <row r="69">
      <c r="A69" s="17" t="inlineStr">
        <is>
          <t>Total value of net production</t>
        </is>
      </c>
      <c r="B69" s="70" t="n"/>
      <c r="C69" s="128" t="n"/>
      <c r="D69" s="70" t="n"/>
      <c r="E69" s="127">
        <f>SUM(F62:F67)</f>
        <v/>
      </c>
      <c r="F69" s="70" t="n"/>
    </row>
    <row r="70">
      <c r="A70" s="17" t="inlineStr">
        <is>
          <t>Value of sales</t>
        </is>
      </c>
      <c r="B70" s="70" t="n"/>
      <c r="C70" s="128" t="n"/>
      <c r="D70" s="70" t="n"/>
      <c r="E70" s="127">
        <f>Receipts!F93</f>
        <v/>
      </c>
      <c r="F70" s="70" t="n"/>
    </row>
    <row r="71">
      <c r="A71" s="15" t="n"/>
    </row>
    <row r="72">
      <c r="A72" s="16" t="inlineStr">
        <is>
          <t>MILL ACCOUNT</t>
        </is>
      </c>
    </row>
    <row r="73">
      <c r="A73" s="8" t="inlineStr">
        <is>
          <t>Issues of the mill</t>
        </is>
      </c>
    </row>
    <row r="74">
      <c r="A74" s="15" t="inlineStr">
        <is>
          <t>Wheat</t>
        </is>
      </c>
    </row>
    <row r="75">
      <c r="A75" s="15" t="inlineStr">
        <is>
          <t>Oatmeal</t>
        </is>
      </c>
    </row>
    <row r="76">
      <c r="A76" s="15" t="inlineStr">
        <is>
          <t>1st grade malt</t>
        </is>
      </c>
    </row>
    <row r="77">
      <c r="A77" s="15" t="inlineStr">
        <is>
          <t>2nd grade malt</t>
        </is>
      </c>
    </row>
    <row r="78">
      <c r="A78" s="15" t="inlineStr">
        <is>
          <t>Maslin</t>
        </is>
      </c>
    </row>
    <row r="79">
      <c r="A79" s="17" t="inlineStr">
        <is>
          <t>Total value of production (sum of the above)</t>
        </is>
      </c>
    </row>
    <row r="80">
      <c r="A80" s="17" t="inlineStr">
        <is>
          <t>Value of sales</t>
        </is>
      </c>
    </row>
    <row r="81">
      <c r="A81" s="15" t="n"/>
    </row>
    <row r="82">
      <c r="A82" s="92" t="inlineStr">
        <is>
          <t>STOCK ACCOUNT</t>
        </is>
      </c>
      <c r="B82" s="70" t="n"/>
    </row>
    <row r="83">
      <c r="A83" s="21" t="inlineStr">
        <is>
          <t>Livestock</t>
        </is>
      </c>
      <c r="B83" s="132" t="inlineStr">
        <is>
          <t>Sales value in £</t>
        </is>
      </c>
    </row>
    <row r="84" ht="17" customHeight="1">
      <c r="A84" s="22" t="inlineStr">
        <is>
          <t>Cart-horses</t>
        </is>
      </c>
      <c r="B84">
        <f>Stock!R5</f>
        <v/>
      </c>
    </row>
    <row r="85" ht="17" customHeight="1">
      <c r="A85" s="22" t="inlineStr">
        <is>
          <t>Mares</t>
        </is>
      </c>
      <c r="B85">
        <f>Stock!R6</f>
        <v/>
      </c>
    </row>
    <row r="86">
      <c r="A86" s="15" t="inlineStr">
        <is>
          <t>Plough horses</t>
        </is>
      </c>
      <c r="B86">
        <f>Stock!R7</f>
        <v/>
      </c>
    </row>
    <row r="87">
      <c r="A87" s="15" t="inlineStr">
        <is>
          <t>Colts (2 years)</t>
        </is>
      </c>
      <c r="B87">
        <f>Stock!R8</f>
        <v/>
      </c>
    </row>
    <row r="88">
      <c r="A88" s="15" t="inlineStr">
        <is>
          <t>Colts (2 years)</t>
        </is>
      </c>
      <c r="B88">
        <f>Stock!R9</f>
        <v/>
      </c>
    </row>
    <row r="89">
      <c r="A89" s="15" t="inlineStr">
        <is>
          <t>Colts (1 year)</t>
        </is>
      </c>
      <c r="B89">
        <f>Stock!R10</f>
        <v/>
      </c>
    </row>
    <row r="90">
      <c r="A90" s="15" t="inlineStr">
        <is>
          <t>Foals</t>
        </is>
      </c>
      <c r="B90">
        <f>Stock!R11</f>
        <v/>
      </c>
    </row>
    <row r="91">
      <c r="A91" s="15" t="inlineStr">
        <is>
          <t>Oxen</t>
        </is>
      </c>
      <c r="B91">
        <f>Stock!R12</f>
        <v/>
      </c>
    </row>
    <row r="92">
      <c r="A92" s="15" t="inlineStr">
        <is>
          <t>Bulls</t>
        </is>
      </c>
      <c r="B92">
        <f>Stock!R13</f>
        <v/>
      </c>
    </row>
    <row r="93">
      <c r="A93" s="15" t="inlineStr">
        <is>
          <t>Cows</t>
        </is>
      </c>
      <c r="B93">
        <f>Stock!R14</f>
        <v/>
      </c>
    </row>
    <row r="94">
      <c r="A94" s="15" t="inlineStr">
        <is>
          <t>Steers</t>
        </is>
      </c>
      <c r="B94">
        <f>Stock!R15</f>
        <v/>
      </c>
    </row>
    <row r="95">
      <c r="A95" s="15" t="inlineStr">
        <is>
          <t>Bullocks</t>
        </is>
      </c>
      <c r="B95">
        <f>Stock!R16</f>
        <v/>
      </c>
    </row>
    <row r="96">
      <c r="A96" s="15" t="inlineStr">
        <is>
          <t>Yearlings</t>
        </is>
      </c>
      <c r="B96">
        <f>Stock!R17</f>
        <v/>
      </c>
    </row>
    <row r="97">
      <c r="A97" s="15" t="inlineStr">
        <is>
          <t>Calves</t>
        </is>
      </c>
      <c r="B97">
        <f>Stock!R18</f>
        <v/>
      </c>
    </row>
    <row r="98">
      <c r="A98" s="15" t="inlineStr">
        <is>
          <t>Wethers</t>
        </is>
      </c>
      <c r="B98">
        <f>Stock!R19</f>
        <v/>
      </c>
    </row>
    <row r="99">
      <c r="A99" s="15" t="inlineStr">
        <is>
          <t>Rams</t>
        </is>
      </c>
      <c r="B99">
        <f>Stock!R20</f>
        <v/>
      </c>
    </row>
    <row r="100">
      <c r="A100" s="15" t="inlineStr">
        <is>
          <t>Ewes</t>
        </is>
      </c>
      <c r="B100">
        <f>Stock!R21</f>
        <v/>
      </c>
    </row>
    <row r="101">
      <c r="A101" s="15" t="inlineStr">
        <is>
          <t>Hoggs</t>
        </is>
      </c>
      <c r="B101">
        <f>Stock!R22</f>
        <v/>
      </c>
    </row>
    <row r="102">
      <c r="A102" s="15" t="inlineStr">
        <is>
          <t>Lambs</t>
        </is>
      </c>
      <c r="B102">
        <f>Stock!R23</f>
        <v/>
      </c>
    </row>
    <row r="103">
      <c r="A103" s="15" t="inlineStr">
        <is>
          <t>Boars</t>
        </is>
      </c>
      <c r="B103">
        <f>Stock!R24</f>
        <v/>
      </c>
    </row>
    <row r="104">
      <c r="A104" s="15" t="inlineStr">
        <is>
          <t>Sows</t>
        </is>
      </c>
      <c r="B104">
        <f>Stock!R25</f>
        <v/>
      </c>
    </row>
    <row r="105">
      <c r="A105" s="15" t="inlineStr">
        <is>
          <t>Pigs</t>
        </is>
      </c>
      <c r="B105">
        <f>Stock!R26</f>
        <v/>
      </c>
    </row>
    <row r="106">
      <c r="A106" s="15" t="inlineStr">
        <is>
          <t>Hoggets</t>
        </is>
      </c>
      <c r="B106">
        <f>Stock!R27</f>
        <v/>
      </c>
    </row>
    <row r="107">
      <c r="A107" s="15" t="inlineStr">
        <is>
          <t>Piglets</t>
        </is>
      </c>
      <c r="B107">
        <f>Stock!R28</f>
        <v/>
      </c>
    </row>
    <row r="108">
      <c r="A108" s="15" t="inlineStr">
        <is>
          <t>Swans</t>
        </is>
      </c>
      <c r="B108">
        <f>Stock!R29</f>
        <v/>
      </c>
    </row>
    <row r="109">
      <c r="A109" s="15" t="inlineStr">
        <is>
          <t>Peacocks</t>
        </is>
      </c>
      <c r="B109">
        <f>Stock!R30</f>
        <v/>
      </c>
    </row>
    <row r="110">
      <c r="A110" s="17" t="inlineStr">
        <is>
          <t>Total value of stock (sum of the above)</t>
        </is>
      </c>
      <c r="B110" s="70" t="n"/>
    </row>
    <row r="111">
      <c r="A111" s="17" t="inlineStr">
        <is>
          <t>Total value of production</t>
        </is>
      </c>
      <c r="B111" s="70" t="n"/>
    </row>
    <row r="112">
      <c r="A112" s="17" t="inlineStr">
        <is>
          <t>Value of sales</t>
        </is>
      </c>
      <c r="B112" s="70">
        <f>Stock!R31</f>
        <v/>
      </c>
    </row>
    <row r="113">
      <c r="A113" s="15" t="n"/>
    </row>
    <row r="114">
      <c r="A114" s="16" t="inlineStr">
        <is>
          <t>Wool</t>
        </is>
      </c>
      <c r="B114" s="132" t="inlineStr">
        <is>
          <t>Value of production at sales prices £</t>
        </is>
      </c>
    </row>
    <row r="115" ht="15" customHeight="1">
      <c r="A115" t="inlineStr">
        <is>
          <t>Coarse wool</t>
        </is>
      </c>
      <c r="B115">
        <f>Stock!T35</f>
        <v/>
      </c>
    </row>
    <row r="116" ht="15" customHeight="1">
      <c r="A116" s="28" t="inlineStr">
        <is>
          <t>from wethers</t>
        </is>
      </c>
      <c r="B116">
        <f>Stock!T36</f>
        <v/>
      </c>
    </row>
    <row r="117" ht="15" customHeight="1">
      <c r="A117" s="28" t="inlineStr">
        <is>
          <t>from rams</t>
        </is>
      </c>
      <c r="B117">
        <f>Stock!T37</f>
        <v/>
      </c>
    </row>
    <row r="118" ht="15" customHeight="1">
      <c r="A118" s="28" t="inlineStr">
        <is>
          <t>from ewes</t>
        </is>
      </c>
      <c r="B118">
        <f>Stock!T38</f>
        <v/>
      </c>
    </row>
    <row r="119" ht="15" customHeight="1">
      <c r="A119" s="28" t="inlineStr">
        <is>
          <t>from hoggs</t>
        </is>
      </c>
      <c r="B119">
        <f>Stock!T39</f>
        <v/>
      </c>
    </row>
    <row r="120" ht="15" customHeight="1">
      <c r="A120" t="inlineStr">
        <is>
          <t>Lamb's wool</t>
        </is>
      </c>
      <c r="B120">
        <f>Stock!T40</f>
        <v/>
      </c>
    </row>
    <row r="121" ht="15" customHeight="1">
      <c r="A121" t="inlineStr">
        <is>
          <t>Wool locks</t>
        </is>
      </c>
      <c r="B121">
        <f>Stock!T41</f>
        <v/>
      </c>
    </row>
    <row r="122" ht="15" customHeight="1">
      <c r="A122" t="inlineStr">
        <is>
          <t>Wool sold at shearing</t>
        </is>
      </c>
      <c r="B122">
        <f>Stock!T42</f>
        <v/>
      </c>
    </row>
    <row r="123">
      <c r="A123" s="119" t="inlineStr">
        <is>
          <t>Total value of production (sum of the above)</t>
        </is>
      </c>
      <c r="B123" s="70">
        <f>Stock!T43</f>
        <v/>
      </c>
    </row>
    <row r="124">
      <c r="A124" s="119" t="inlineStr">
        <is>
          <t>Value of sales</t>
        </is>
      </c>
      <c r="B124" s="70">
        <f>Stock!R43</f>
        <v/>
      </c>
    </row>
    <row r="125">
      <c r="A125" s="8" t="n"/>
    </row>
    <row r="126">
      <c r="A126" s="16" t="inlineStr">
        <is>
          <t>Hides</t>
        </is>
      </c>
      <c r="B126" s="132" t="inlineStr">
        <is>
          <t>Value of production at sales prices £</t>
        </is>
      </c>
    </row>
    <row r="127">
      <c r="A127" s="15" t="inlineStr">
        <is>
          <t>Ox hides</t>
        </is>
      </c>
      <c r="B127">
        <f>Stock!T47</f>
        <v/>
      </c>
    </row>
    <row r="128">
      <c r="A128" s="15" t="inlineStr">
        <is>
          <t>Cow hides</t>
        </is>
      </c>
      <c r="B128">
        <f>Stock!T48</f>
        <v/>
      </c>
    </row>
    <row r="129">
      <c r="A129" s="15" t="inlineStr">
        <is>
          <t>Mare hides</t>
        </is>
      </c>
      <c r="B129">
        <f>Stock!T49</f>
        <v/>
      </c>
    </row>
    <row r="130">
      <c r="A130" s="15" t="inlineStr">
        <is>
          <t>Steer hides</t>
        </is>
      </c>
      <c r="B130">
        <f>Stock!T50</f>
        <v/>
      </c>
    </row>
    <row r="131">
      <c r="A131" s="15" t="inlineStr">
        <is>
          <t>Yearling Calf hides</t>
        </is>
      </c>
      <c r="B131">
        <f>Stock!T51</f>
        <v/>
      </c>
    </row>
    <row r="132">
      <c r="A132" s="15" t="inlineStr">
        <is>
          <t>Calf hides</t>
        </is>
      </c>
      <c r="B132">
        <f>Stock!T52</f>
        <v/>
      </c>
    </row>
    <row r="133">
      <c r="A133" s="23" t="inlineStr">
        <is>
          <t>Pig hides</t>
        </is>
      </c>
      <c r="B133">
        <f>Stock!T53</f>
        <v/>
      </c>
    </row>
    <row r="134">
      <c r="A134" s="24" t="inlineStr">
        <is>
          <t>Wether woolskins</t>
        </is>
      </c>
      <c r="B134">
        <f>Stock!T54</f>
        <v/>
      </c>
    </row>
    <row r="135">
      <c r="A135" s="24" t="inlineStr">
        <is>
          <t>Ram woolskins</t>
        </is>
      </c>
      <c r="B135">
        <f>Stock!T55</f>
        <v/>
      </c>
    </row>
    <row r="136">
      <c r="A136" s="24" t="inlineStr">
        <is>
          <t>Ewe woolskins</t>
        </is>
      </c>
      <c r="B136">
        <f>Stock!T56</f>
        <v/>
      </c>
    </row>
    <row r="137">
      <c r="A137" s="24" t="inlineStr">
        <is>
          <t>Hogg woolskins</t>
        </is>
      </c>
      <c r="B137" s="72">
        <f>Stock!T57</f>
        <v/>
      </c>
    </row>
    <row r="138">
      <c r="A138" s="25" t="inlineStr">
        <is>
          <t>Woolskins (total)</t>
        </is>
      </c>
      <c r="B138" s="72">
        <f>Stock!T58</f>
        <v/>
      </c>
    </row>
    <row r="139">
      <c r="A139" s="24" t="inlineStr">
        <is>
          <t>Wether bareskins</t>
        </is>
      </c>
      <c r="B139" s="72">
        <f>Stock!T59</f>
        <v/>
      </c>
    </row>
    <row r="140">
      <c r="A140" s="24" t="inlineStr">
        <is>
          <t>Ram bareskins</t>
        </is>
      </c>
      <c r="B140" s="72">
        <f>Stock!T60</f>
        <v/>
      </c>
    </row>
    <row r="141">
      <c r="A141" s="24" t="inlineStr">
        <is>
          <t>Ewe bareskins</t>
        </is>
      </c>
      <c r="B141" s="72">
        <f>Stock!T61</f>
        <v/>
      </c>
    </row>
    <row r="142">
      <c r="A142" s="24" t="inlineStr">
        <is>
          <t>Hogg bareskins</t>
        </is>
      </c>
      <c r="B142" s="72">
        <f>Stock!T62</f>
        <v/>
      </c>
    </row>
    <row r="143">
      <c r="A143" s="25" t="inlineStr">
        <is>
          <t>Bareskins (total)</t>
        </is>
      </c>
      <c r="B143" s="72">
        <f>Stock!T63</f>
        <v/>
      </c>
    </row>
    <row r="144">
      <c r="A144" s="15" t="inlineStr">
        <is>
          <t>Lambskins</t>
        </is>
      </c>
      <c r="B144" s="72">
        <f>Stock!T64</f>
        <v/>
      </c>
    </row>
    <row r="145">
      <c r="A145" s="15" t="inlineStr">
        <is>
          <t>Rotted skins</t>
        </is>
      </c>
      <c r="B145" s="72">
        <f>Stock!T65</f>
        <v/>
      </c>
    </row>
    <row r="146">
      <c r="A146" s="15" t="inlineStr">
        <is>
          <t>Shorn skins</t>
        </is>
      </c>
      <c r="B146">
        <f>Stock!T66</f>
        <v/>
      </c>
    </row>
    <row r="147">
      <c r="A147" s="17" t="inlineStr">
        <is>
          <t>Total value of production (sum of the above)</t>
        </is>
      </c>
      <c r="B147" s="70">
        <f>Stock!T70</f>
        <v/>
      </c>
    </row>
    <row r="148">
      <c r="A148" s="17" t="inlineStr">
        <is>
          <t>Value of sales</t>
        </is>
      </c>
      <c r="B148" s="127">
        <f>Stock!R70</f>
        <v/>
      </c>
    </row>
    <row r="149">
      <c r="A149" s="15" t="n"/>
    </row>
    <row r="150">
      <c r="A150" s="16" t="inlineStr">
        <is>
          <t>Poultry stock</t>
        </is>
      </c>
      <c r="B150" s="132" t="inlineStr">
        <is>
          <t>Value of production at sales prices £</t>
        </is>
      </c>
    </row>
    <row r="151" ht="17" customHeight="1">
      <c r="A151" s="22" t="inlineStr">
        <is>
          <t>Hens</t>
        </is>
      </c>
      <c r="D151" t="inlineStr">
        <is>
          <t>nothing</t>
        </is>
      </c>
    </row>
    <row r="152">
      <c r="A152" s="15" t="inlineStr">
        <is>
          <t>Geese</t>
        </is>
      </c>
    </row>
    <row r="153">
      <c r="A153" s="15" t="inlineStr">
        <is>
          <t>Capons (from chickens)</t>
        </is>
      </c>
    </row>
    <row r="154">
      <c r="A154" s="15" t="inlineStr">
        <is>
          <t>Cocks &amp; hens</t>
        </is>
      </c>
    </row>
    <row r="155">
      <c r="A155" s="119" t="inlineStr">
        <is>
          <t>Total value of production (sum of the above)</t>
        </is>
      </c>
    </row>
    <row r="156">
      <c r="A156" s="119" t="inlineStr">
        <is>
          <t>Value of sales</t>
        </is>
      </c>
    </row>
    <row r="157">
      <c r="A157" s="15" t="n"/>
    </row>
    <row r="158">
      <c r="A158" s="16" t="inlineStr">
        <is>
          <t>Poultry production</t>
        </is>
      </c>
      <c r="B158" s="132" t="inlineStr">
        <is>
          <t>Value of production at sales prices £</t>
        </is>
      </c>
    </row>
    <row r="159">
      <c r="A159" s="15" t="inlineStr">
        <is>
          <t>Eggs</t>
        </is>
      </c>
      <c r="B159">
        <f>Stock!T82</f>
        <v/>
      </c>
    </row>
    <row r="160">
      <c r="A160" s="15" t="inlineStr">
        <is>
          <t>Cocks &amp; hens from churchscot of customary tenants</t>
        </is>
      </c>
      <c r="B160">
        <f>Stock!T83</f>
        <v/>
      </c>
    </row>
    <row r="161">
      <c r="A161" s="15" t="inlineStr">
        <is>
          <t>Sum of above</t>
        </is>
      </c>
    </row>
    <row r="162">
      <c r="A162" s="17" t="inlineStr">
        <is>
          <t>Total value of stock</t>
        </is>
      </c>
      <c r="B162" s="70">
        <f>SUM(B159:B160)</f>
        <v/>
      </c>
    </row>
    <row r="163">
      <c r="A163" s="17" t="inlineStr">
        <is>
          <t>Value of sales</t>
        </is>
      </c>
      <c r="B163" s="70">
        <f>Stock!R85</f>
        <v/>
      </c>
    </row>
    <row r="164">
      <c r="A164" s="15" t="n"/>
    </row>
    <row r="165">
      <c r="A165" s="16" t="inlineStr">
        <is>
          <t>Dairy Production</t>
        </is>
      </c>
      <c r="B165" s="132" t="inlineStr">
        <is>
          <t>Value of production at sales prices £</t>
        </is>
      </c>
    </row>
    <row r="166">
      <c r="A166" s="15" t="inlineStr">
        <is>
          <t>Butter</t>
        </is>
      </c>
      <c r="B166" s="72">
        <f>Stock!T100</f>
        <v/>
      </c>
    </row>
    <row r="167">
      <c r="A167" s="15" t="inlineStr">
        <is>
          <t>Winter Cheese</t>
        </is>
      </c>
      <c r="B167" s="72">
        <f>Stock!T95</f>
        <v/>
      </c>
    </row>
    <row r="168">
      <c r="A168" s="15" t="inlineStr">
        <is>
          <t>Summer Cheese</t>
        </is>
      </c>
      <c r="B168" s="72">
        <f>Stock!T96</f>
        <v/>
      </c>
    </row>
    <row r="169">
      <c r="A169" s="17" t="inlineStr">
        <is>
          <t>Total value of production (sum of the above)</t>
        </is>
      </c>
      <c r="B169" s="127">
        <f>SUM(B166:B168)</f>
        <v/>
      </c>
    </row>
    <row r="170">
      <c r="A170" s="17" t="inlineStr">
        <is>
          <t>Value of sales</t>
        </is>
      </c>
      <c r="B170" s="127">
        <f>Stock!R97+Stock!R101</f>
        <v/>
      </c>
    </row>
    <row r="171">
      <c r="A171" s="15" t="n"/>
    </row>
    <row r="172">
      <c r="A172" s="15" t="n"/>
    </row>
    <row r="173" ht="17" customHeight="1"/>
    <row r="174" ht="17" customHeight="1">
      <c r="A174" s="103" t="n"/>
      <c r="B174" s="133" t="n"/>
    </row>
    <row r="175">
      <c r="A175" s="97" t="inlineStr">
        <is>
          <t>Total Production Value of all Output (Grange, Dairy, Livestock Sales, Wools, Skins - NO Mill)</t>
        </is>
      </c>
      <c r="B175" s="134">
        <f>B169+B162+B147+B123+B112+E69</f>
        <v/>
      </c>
    </row>
    <row r="176">
      <c r="A176" s="98" t="inlineStr">
        <is>
          <t>Total Sales Value of all Output as defined above</t>
        </is>
      </c>
      <c r="B176" s="134">
        <f>B170+B163+B148+B124+B112+E70</f>
        <v/>
      </c>
    </row>
    <row r="177">
      <c r="A177" s="98" t="inlineStr">
        <is>
          <t>Total Sales of Corn + Issues of the Manor as recorded in account</t>
        </is>
      </c>
      <c r="B177" s="134">
        <f>Receipts!F93+Receipts!F83</f>
        <v/>
      </c>
    </row>
    <row r="178">
      <c r="A178" s="98" t="inlineStr">
        <is>
          <t>Production Value + Cash Receipts (excl. Arrears, Issues, Corn and Mill)</t>
        </is>
      </c>
      <c r="B178" s="134">
        <f>B175+Receipts!F37+Receipts!F45+Receipts!F112+Receipts!F117</f>
        <v/>
      </c>
    </row>
    <row r="179">
      <c r="A179" s="99" t="n"/>
      <c r="B179" s="135" t="n"/>
    </row>
    <row r="180">
      <c r="A180" s="100" t="inlineStr">
        <is>
          <t>% of capital expenses in terms of total production</t>
        </is>
      </c>
      <c r="B180" s="136">
        <f>B47/B175</f>
        <v/>
      </c>
    </row>
    <row r="181">
      <c r="A181" s="98" t="inlineStr">
        <is>
          <t>% of capital expenses in terms of total production + cash receipts</t>
        </is>
      </c>
      <c r="B181" s="136">
        <f>B47/B178</f>
        <v/>
      </c>
    </row>
    <row r="182">
      <c r="A182" s="99" t="n"/>
      <c r="B182" s="135" t="n"/>
    </row>
    <row r="183" ht="17" customHeight="1">
      <c r="A183" s="101" t="inlineStr">
        <is>
          <t>% of capital expenses as calculated previously</t>
        </is>
      </c>
      <c r="B183" s="137" t="n"/>
    </row>
  </sheetData>
  <mergeCells count="1">
    <mergeCell ref="B60:C6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5"/>
  <sheetViews>
    <sheetView topLeftCell="A1" workbookViewId="0">
      <selection activeCell="A1" sqref="A1"/>
    </sheetView>
  </sheetViews>
  <sheetFormatPr baseColWidth="8" defaultRowHeight="15"/>
  <cols>
    <col width="33.83203125" customWidth="1" min="1" max="1"/>
    <col width="8.83203125" customWidth="1" min="6" max="6"/>
    <col width="8.83203125" customWidth="1" min="7" max="7"/>
  </cols>
  <sheetData>
    <row r="1" ht="16" customHeight="1">
      <c r="A1" s="2" t="inlineStr">
        <is>
          <t>BISHOPS SUTTON RECEIPTS</t>
        </is>
      </c>
    </row>
    <row r="2" ht="16" customHeight="1">
      <c r="A2" s="11" t="inlineStr">
        <is>
          <t>Heading</t>
        </is>
      </c>
      <c r="B2" s="3" t="inlineStr">
        <is>
          <t>£</t>
        </is>
      </c>
      <c r="C2" s="4" t="inlineStr">
        <is>
          <t xml:space="preserve">s </t>
        </is>
      </c>
      <c r="D2" s="4" t="inlineStr">
        <is>
          <t>d</t>
        </is>
      </c>
      <c r="E2" s="4" t="n"/>
      <c r="F2" s="138" t="inlineStr">
        <is>
          <t>Total in £</t>
        </is>
      </c>
      <c r="G2" s="139" t="inlineStr">
        <is>
          <t>Error</t>
        </is>
      </c>
      <c r="H2" s="7" t="inlineStr">
        <is>
          <t>Notes</t>
        </is>
      </c>
      <c r="I2" s="14" t="inlineStr">
        <is>
          <t>Own notes</t>
        </is>
      </c>
    </row>
    <row r="3">
      <c r="A3" t="inlineStr">
        <is>
          <t>Arrears</t>
        </is>
      </c>
      <c r="B3" t="n">
        <v>48</v>
      </c>
      <c r="C3" t="n">
        <v>7</v>
      </c>
      <c r="D3" t="n">
        <v>7.5</v>
      </c>
      <c r="F3" s="72" t="n">
        <v>48.38</v>
      </c>
      <c r="H3" t="inlineStr">
        <is>
          <t>Nicholas, bailiff, and Walter de Manestrott', reeve, render account for £48 7 shilling 7.5pence of arrears from the previous year.</t>
        </is>
      </c>
    </row>
    <row r="4">
      <c r="A4" t="inlineStr">
        <is>
          <t>Arrears</t>
        </is>
      </c>
      <c r="B4" t="n">
        <v>0</v>
      </c>
      <c r="C4" t="n">
        <v>0</v>
      </c>
      <c r="D4" t="n">
        <v>0</v>
      </c>
      <c r="F4" s="72" t="n">
        <v>0</v>
      </c>
      <c r="H4" t="inlineStr">
        <is>
          <t>All delivered to Sir Geoffrey de Farham, treasurer of Wolvesey, and they are quit.</t>
        </is>
      </c>
    </row>
    <row r="5">
      <c r="A5" t="inlineStr">
        <is>
          <t>Arrears</t>
        </is>
      </c>
      <c r="F5" s="72" t="n">
        <v>48.38</v>
      </c>
      <c r="G5" s="130">
        <f>F5-F3</f>
        <v/>
      </c>
      <c r="H5" t="inlineStr">
        <is>
          <t>Total</t>
        </is>
      </c>
    </row>
    <row r="6"/>
    <row r="7">
      <c r="A7" t="inlineStr">
        <is>
          <t>Rents of assize</t>
        </is>
      </c>
      <c r="B7" t="n">
        <v>49</v>
      </c>
      <c r="C7" t="n">
        <v>0</v>
      </c>
      <c r="D7" t="n">
        <v>0</v>
      </c>
      <c r="F7" s="72" t="n">
        <v>49</v>
      </c>
      <c r="H7" t="inlineStr">
        <is>
          <t>The same render account for £49 for all rents of assize in the manor of Bishops Sutton for the year: £9 7 shilling 3pence at Christmas, £9 7 shilling 2.5pence at Easter (22 April), £9 7 shilling 3.25pence at the feast of St John the Baptist (24 June), £21 17 shilling 1.25pence at Michaelmas (29 September).</t>
        </is>
      </c>
    </row>
    <row r="8">
      <c r="A8" t="inlineStr">
        <is>
          <t>Rents of assize</t>
        </is>
      </c>
      <c r="B8" t="n">
        <v>49</v>
      </c>
      <c r="C8" t="n">
        <v>18</v>
      </c>
      <c r="D8" t="n">
        <v>10</v>
      </c>
      <c r="F8" s="72" t="n">
        <v>49.94</v>
      </c>
      <c r="H8" t="inlineStr">
        <is>
          <t>Total, £49 18 shilling 10pence</t>
        </is>
      </c>
    </row>
    <row r="9">
      <c r="A9" t="inlineStr">
        <is>
          <t>Rents of assize</t>
        </is>
      </c>
      <c r="F9" s="72">
        <f>SUM(F7:F7)</f>
        <v/>
      </c>
      <c r="G9" s="130">
        <f>F9-F8</f>
        <v/>
      </c>
      <c r="H9" t="inlineStr">
        <is>
          <t>Total</t>
        </is>
      </c>
    </row>
    <row r="10"/>
    <row r="11">
      <c r="A11" t="inlineStr">
        <is>
          <t>Quittances</t>
        </is>
      </c>
      <c r="B11" t="n">
        <v>0</v>
      </c>
      <c r="C11" t="n">
        <v>5</v>
      </c>
      <c r="D11" t="n">
        <v>0</v>
      </c>
      <c r="F11" s="72" t="n">
        <v>0.25</v>
      </c>
      <c r="H11" t="inlineStr">
        <is>
          <t>In quittance of 1 reeve for the year 5 shilling.</t>
        </is>
      </c>
    </row>
    <row r="12">
      <c r="A12" t="inlineStr">
        <is>
          <t>Quittances</t>
        </is>
      </c>
      <c r="B12" t="n">
        <v>0</v>
      </c>
      <c r="C12" t="n">
        <v>3</v>
      </c>
      <c r="D12" t="n">
        <v>0</v>
      </c>
      <c r="F12" s="72" t="n">
        <v>0.15</v>
      </c>
      <c r="H12" t="inlineStr">
        <is>
          <t>1 beadle who is hayward for the year 3 shilling.</t>
        </is>
      </c>
    </row>
    <row r="13">
      <c r="A13" t="inlineStr">
        <is>
          <t>Quittances</t>
        </is>
      </c>
      <c r="B13" t="n">
        <v>0</v>
      </c>
      <c r="C13" t="n">
        <v>2</v>
      </c>
      <c r="D13" t="n">
        <v>0</v>
      </c>
      <c r="F13" s="72" t="n">
        <v>0.1</v>
      </c>
      <c r="H13" t="inlineStr">
        <is>
          <t>1 smith for the year 2 shilling.</t>
        </is>
      </c>
    </row>
    <row r="14">
      <c r="A14" t="inlineStr">
        <is>
          <t>Quittances</t>
        </is>
      </c>
      <c r="B14" t="n">
        <v>0</v>
      </c>
      <c r="C14" t="n">
        <v>2</v>
      </c>
      <c r="D14" t="n">
        <v>3</v>
      </c>
      <c r="F14" s="72" t="n">
        <v>0.11</v>
      </c>
      <c r="H14" t="inlineStr">
        <is>
          <t>1 shepherd for three terms because there was no threshing in the fourth term 2 shilling 3pence.</t>
        </is>
      </c>
    </row>
    <row r="15">
      <c r="A15" t="inlineStr">
        <is>
          <t>Quittances</t>
        </is>
      </c>
      <c r="B15" t="n">
        <v>0</v>
      </c>
      <c r="C15" t="n">
        <v>3</v>
      </c>
      <c r="D15" t="n">
        <v>0</v>
      </c>
      <c r="F15" s="72" t="n">
        <v>0.15</v>
      </c>
      <c r="H15" t="inlineStr">
        <is>
          <t>1 shepherd for the year 3 shilling.</t>
        </is>
      </c>
    </row>
    <row r="16">
      <c r="A16" t="inlineStr">
        <is>
          <t>Quittances</t>
        </is>
      </c>
      <c r="B16" t="n">
        <v>0</v>
      </c>
      <c r="C16" t="n">
        <v>18</v>
      </c>
      <c r="D16" t="n">
        <v>0</v>
      </c>
      <c r="F16" s="72" t="n">
        <v>0.9</v>
      </c>
      <c r="H16" t="inlineStr">
        <is>
          <t>6 ploughmen for the year 18 shilling, or 3 shilling each.</t>
        </is>
      </c>
    </row>
    <row r="17">
      <c r="A17" t="inlineStr">
        <is>
          <t>Quittances</t>
        </is>
      </c>
      <c r="B17" t="n">
        <v>0</v>
      </c>
      <c r="C17" t="n">
        <v>19</v>
      </c>
      <c r="D17" t="n">
        <v>4.5</v>
      </c>
      <c r="F17" s="72" t="n">
        <v>0.97</v>
      </c>
      <c r="H17" t="inlineStr">
        <is>
          <t>6 workers working 2 days a week from Michaelmas until Lammas and everyday at harvest-time 19 shilling 4.5pence.</t>
        </is>
      </c>
    </row>
    <row r="18">
      <c r="A18" t="inlineStr">
        <is>
          <t>Quittances</t>
        </is>
      </c>
      <c r="B18" t="n">
        <v>0</v>
      </c>
      <c r="C18" t="n">
        <v>3</v>
      </c>
      <c r="D18" t="n">
        <v>0</v>
      </c>
      <c r="F18" s="72" t="n">
        <v>0.15</v>
      </c>
      <c r="H18" t="inlineStr">
        <is>
          <t>1 cowherd for the year 3 shilling.</t>
        </is>
      </c>
    </row>
    <row r="19">
      <c r="A19" t="inlineStr">
        <is>
          <t>Quittances</t>
        </is>
      </c>
      <c r="B19" t="n">
        <v>0</v>
      </c>
      <c r="C19" t="n">
        <v>3</v>
      </c>
      <c r="D19" t="n">
        <v>0</v>
      </c>
      <c r="F19" s="72">
        <f>B19+C19/20+D19/240</f>
        <v/>
      </c>
      <c r="H19" t="inlineStr">
        <is>
          <t xml:space="preserve">1 swineherd 3 shilling </t>
        </is>
      </c>
    </row>
    <row r="20">
      <c r="A20" t="inlineStr">
        <is>
          <t>Quittances</t>
        </is>
      </c>
      <c r="B20" t="n">
        <v>2</v>
      </c>
      <c r="C20" t="n">
        <v>18</v>
      </c>
      <c r="D20" t="n">
        <v>7.5</v>
      </c>
      <c r="F20" s="72" t="n">
        <v>2.93</v>
      </c>
      <c r="H20" t="inlineStr">
        <is>
          <t>Total, £2 18 shilling 7.5pence</t>
        </is>
      </c>
    </row>
    <row r="21">
      <c r="A21" t="inlineStr">
        <is>
          <t>Quittances</t>
        </is>
      </c>
      <c r="F21" s="72">
        <f>SUM(F11:F19)</f>
        <v/>
      </c>
      <c r="G21" s="130">
        <f>F21-F20</f>
        <v/>
      </c>
      <c r="H21" t="inlineStr">
        <is>
          <t>Total</t>
        </is>
      </c>
    </row>
    <row r="22"/>
    <row r="23">
      <c r="A23" t="inlineStr">
        <is>
          <t>Defaults of rent</t>
        </is>
      </c>
      <c r="B23" t="n">
        <v>0</v>
      </c>
      <c r="C23" t="n">
        <v>2</v>
      </c>
      <c r="D23" t="n">
        <v>0</v>
      </c>
      <c r="F23" s="72" t="n">
        <v>0.1</v>
      </c>
      <c r="H23" t="inlineStr">
        <is>
          <t>In default of thel land of Philip [Molendinariusi] drawn into demesne, 2 shilling for the year.</t>
        </is>
      </c>
    </row>
    <row r="24">
      <c r="A24" t="inlineStr">
        <is>
          <t>Defaults of rent</t>
        </is>
      </c>
      <c r="B24" t="n">
        <v>0</v>
      </c>
      <c r="C24" t="n">
        <v>1</v>
      </c>
      <c r="D24" t="n">
        <v>0</v>
      </c>
      <c r="F24" s="72" t="n">
        <v>0.05</v>
      </c>
      <c r="H24" t="inlineStr">
        <is>
          <t>the land of Geoffrey Hose given to the canons of Merton Priory for a fishpond 1 shilling.</t>
        </is>
      </c>
    </row>
    <row r="25">
      <c r="A25" t="inlineStr">
        <is>
          <t>Defaults of rent</t>
        </is>
      </c>
      <c r="B25" t="n">
        <v>0</v>
      </c>
      <c r="C25" t="n">
        <v>0</v>
      </c>
      <c r="D25" t="n">
        <v>6</v>
      </c>
      <c r="F25" s="72" t="n">
        <v>0.03</v>
      </c>
      <c r="H25" t="inlineStr">
        <is>
          <t>1 plot which belonged to John le Poleter, 6pence for the year.</t>
        </is>
      </c>
    </row>
    <row r="26">
      <c r="A26" t="inlineStr">
        <is>
          <t>Defaults of rent</t>
        </is>
      </c>
      <c r="B26" t="n">
        <v>0</v>
      </c>
      <c r="C26" t="n">
        <v>10</v>
      </c>
      <c r="D26" t="n">
        <v>0</v>
      </c>
      <c r="F26" s="72" t="n">
        <v>0.5</v>
      </c>
      <c r="H26" t="inlineStr">
        <is>
          <t>1 virgate of land which rbe' iongedl to Adam Bedell' drawn into demesne 10 shilling.</t>
        </is>
      </c>
    </row>
    <row r="27">
      <c r="A27" t="inlineStr">
        <is>
          <t>Defaults of rent</t>
        </is>
      </c>
      <c r="B27" t="n">
        <v>0</v>
      </c>
      <c r="C27" t="n">
        <v>3</v>
      </c>
      <c r="D27" t="n">
        <v>3</v>
      </c>
      <c r="F27" s="72" t="n">
        <v>0.16</v>
      </c>
      <c r="H27" t="inlineStr">
        <is>
          <t>1 messuage pertaining to the mill and 1 plot at the bakehouse pertaining to the same which William Carpenter held 3 shilling 3pence.</t>
        </is>
      </c>
    </row>
    <row r="28">
      <c r="A28" t="inlineStr">
        <is>
          <t>Defaults of rent</t>
        </is>
      </c>
      <c r="B28" t="n">
        <v>0</v>
      </c>
      <c r="C28" t="n">
        <v>1</v>
      </c>
      <c r="D28" t="n">
        <v>6</v>
      </c>
      <c r="F28" s="72" t="n">
        <v>0.08</v>
      </c>
      <c r="H28" t="inlineStr">
        <is>
          <t xml:space="preserve">3 acres of land which Guy de Hayden' held at la Leygate 1 shilling 6pence </t>
        </is>
      </c>
    </row>
    <row r="29">
      <c r="A29" t="inlineStr">
        <is>
          <t>Defaults of rent</t>
        </is>
      </c>
      <c r="B29" t="n">
        <v>0</v>
      </c>
      <c r="C29" t="n">
        <v>18</v>
      </c>
      <c r="D29" t="n">
        <v>3</v>
      </c>
      <c r="F29" s="72">
        <f>B29+C29/20+D29/240</f>
        <v/>
      </c>
      <c r="H29" t="inlineStr">
        <is>
          <t>Total, 18 shilling 3pence</t>
        </is>
      </c>
    </row>
    <row r="30">
      <c r="A30" t="inlineStr">
        <is>
          <t>Defaults of rent</t>
        </is>
      </c>
      <c r="F30" s="72" t="n">
        <v>0.92</v>
      </c>
      <c r="G30" s="130">
        <f>F30-F29</f>
        <v/>
      </c>
      <c r="H30" t="inlineStr">
        <is>
          <t>Total</t>
        </is>
      </c>
    </row>
    <row r="31"/>
    <row r="32">
      <c r="A32" t="inlineStr">
        <is>
          <t>Total of quittances and defaults of rent</t>
        </is>
      </c>
      <c r="B32" t="n">
        <v>3</v>
      </c>
      <c r="C32" t="n">
        <v>16</v>
      </c>
      <c r="D32" t="n">
        <v>10.5</v>
      </c>
      <c r="F32" s="72" t="n">
        <v>3.84</v>
      </c>
      <c r="H32" t="inlineStr">
        <is>
          <t>Total of quittances and defaults of rent, £3 16 shilling 10.5pence</t>
        </is>
      </c>
    </row>
    <row r="33">
      <c r="A33" t="inlineStr">
        <is>
          <t>Total of quittances and defaults of rent</t>
        </is>
      </c>
      <c r="F33" s="72">
        <f>F32</f>
        <v/>
      </c>
      <c r="G33" s="130">
        <f>F33-F32</f>
        <v/>
      </c>
      <c r="H33" t="inlineStr">
        <is>
          <t>Total</t>
        </is>
      </c>
    </row>
    <row r="34"/>
    <row r="35"/>
    <row r="36">
      <c r="A36" t="inlineStr">
        <is>
          <t>Total of rents remaining clear</t>
        </is>
      </c>
      <c r="B36" t="n">
        <v>46</v>
      </c>
      <c r="C36" t="n">
        <v>1</v>
      </c>
      <c r="D36" t="n">
        <v>11.5</v>
      </c>
      <c r="F36" s="72" t="n">
        <v>46.1</v>
      </c>
      <c r="H36" t="inlineStr">
        <is>
          <t>Total of rents remaining clear, £46 1 shilling 11.5pence</t>
        </is>
      </c>
    </row>
    <row r="37">
      <c r="A37" t="inlineStr">
        <is>
          <t>Total of rents remaining clear</t>
        </is>
      </c>
      <c r="F37" s="72" t="n">
        <v>46.1</v>
      </c>
      <c r="G37" s="130">
        <f>F37-F36</f>
        <v/>
      </c>
      <c r="H37" t="inlineStr">
        <is>
          <t>Total</t>
        </is>
      </c>
    </row>
    <row r="38"/>
    <row r="39"/>
    <row r="40">
      <c r="A40" t="inlineStr">
        <is>
          <t>Annual recognizance</t>
        </is>
      </c>
      <c r="B40" t="n">
        <v>0</v>
      </c>
      <c r="C40" t="n">
        <v>0</v>
      </c>
      <c r="D40" t="n">
        <v>3</v>
      </c>
      <c r="F40" s="72" t="n">
        <v>0.01</v>
      </c>
      <c r="H40" t="inlineStr">
        <is>
          <t>The same render account for 3pence from William Syniar' for annual recognizance whilst he wishes to remain on the land of St Swithun's.</t>
        </is>
      </c>
    </row>
    <row r="41">
      <c r="A41" t="inlineStr">
        <is>
          <t>Annual recognizance</t>
        </is>
      </c>
      <c r="B41" t="n">
        <v>0</v>
      </c>
      <c r="C41" t="n">
        <v>0</v>
      </c>
      <c r="D41" t="n">
        <v>3</v>
      </c>
      <c r="F41" s="72" t="n">
        <v>0.01</v>
      </c>
      <c r="H41" t="inlineStr">
        <is>
          <t>3pence from John le Fode so that he may serve and make his profit outside the liberty of the lord and not be challenged for this by the lord, and that he may come to the law-day and remain a villein as before.</t>
        </is>
      </c>
    </row>
    <row r="42">
      <c r="A42" t="inlineStr">
        <is>
          <t>Annual recognizance</t>
        </is>
      </c>
      <c r="B42" t="n">
        <v>0</v>
      </c>
      <c r="C42" t="n">
        <v>0</v>
      </c>
      <c r="D42" t="n">
        <v>3</v>
      </c>
      <c r="F42" s="72" t="n">
        <v>0.01</v>
      </c>
      <c r="H42" t="inlineStr">
        <is>
          <t>3pence from John le Ma3on of Headley not to be prosecuted by the tithing for default at the law-day if he be not present and to be quit of tithingpenny, by the pledge of John ate Brigg'.</t>
        </is>
      </c>
    </row>
    <row r="43">
      <c r="A43" t="inlineStr">
        <is>
          <t>Annual recognizance</t>
        </is>
      </c>
      <c r="B43" t="n">
        <v>0</v>
      </c>
      <c r="C43" t="n">
        <v>0</v>
      </c>
      <c r="D43" t="n">
        <v>3</v>
      </c>
      <c r="F43" s="72" t="n">
        <v>0.01</v>
      </c>
      <c r="H43" t="inlineStr">
        <is>
          <t>3pence from Henry Faber for annual recognizance, by the pledge of Richard ate Putte.</t>
        </is>
      </c>
    </row>
    <row r="44">
      <c r="A44" t="inlineStr">
        <is>
          <t>Annual recognizance</t>
        </is>
      </c>
      <c r="B44" t="n">
        <v>0</v>
      </c>
      <c r="C44" t="n">
        <v>1</v>
      </c>
      <c r="D44" t="n">
        <v>0</v>
      </c>
      <c r="F44" s="72" t="n">
        <v>0.05</v>
      </c>
      <c r="H44" t="inlineStr">
        <is>
          <t>Total, 1 shilling</t>
        </is>
      </c>
    </row>
    <row r="45">
      <c r="A45" t="inlineStr">
        <is>
          <t>Annual recognizance</t>
        </is>
      </c>
      <c r="F45" s="72" t="n">
        <v>0.04</v>
      </c>
      <c r="G45" s="130" t="n">
        <v>-0.01</v>
      </c>
      <c r="H45" t="inlineStr">
        <is>
          <t>Total</t>
        </is>
      </c>
    </row>
    <row r="46"/>
    <row r="47"/>
    <row r="48">
      <c r="A48" t="inlineStr">
        <is>
          <t>Issues of the manor</t>
        </is>
      </c>
      <c r="B48" t="n">
        <v>1</v>
      </c>
      <c r="C48" t="n">
        <v>5</v>
      </c>
      <c r="D48" t="n">
        <v>1</v>
      </c>
      <c r="F48" s="72" t="n">
        <v>1.25</v>
      </c>
      <c r="H48" t="inlineStr">
        <is>
          <t>The same render account for £1 5 shilling 1pence from pannage of pigs of the vill this year.</t>
        </is>
      </c>
    </row>
    <row r="49">
      <c r="A49" t="inlineStr">
        <is>
          <t>Issues of the manor</t>
        </is>
      </c>
      <c r="B49" t="n">
        <v>0</v>
      </c>
      <c r="C49" t="n">
        <v>18</v>
      </c>
      <c r="D49" t="n">
        <v>11</v>
      </c>
      <c r="F49" s="72">
        <f>B49+C49/12+D49/20</f>
        <v/>
      </c>
      <c r="H49" t="inlineStr">
        <is>
          <t>18 shilling 11pence from foreign pannage.</t>
        </is>
      </c>
    </row>
    <row r="50">
      <c r="A50" t="inlineStr">
        <is>
          <t>Issues of the manor</t>
        </is>
      </c>
      <c r="B50" t="n">
        <v>0</v>
      </c>
      <c r="C50" t="n">
        <v>10</v>
      </c>
      <c r="D50" t="n">
        <v>4</v>
      </c>
      <c r="F50" s="72" t="n">
        <v>0.52</v>
      </c>
      <c r="H50" t="inlineStr">
        <is>
          <t>10 shilling from pannage of the cottars, at 4pence for each working ox, and 3pence for a cow of full age.</t>
        </is>
      </c>
    </row>
    <row r="51">
      <c r="A51" t="inlineStr">
        <is>
          <t>Issues of the manor</t>
        </is>
      </c>
      <c r="B51" t="n">
        <v>0</v>
      </c>
      <c r="C51" t="n">
        <v>5</v>
      </c>
      <c r="D51" t="n">
        <v>0</v>
      </c>
      <c r="F51" s="72" t="n">
        <v>0.25</v>
      </c>
      <c r="H51" t="inlineStr">
        <is>
          <t>5 shilling from the herbage of Farndon.</t>
        </is>
      </c>
    </row>
    <row r="52">
      <c r="A52" t="inlineStr">
        <is>
          <t>Issues of the manor</t>
        </is>
      </c>
      <c r="B52" t="n">
        <v>0</v>
      </c>
      <c r="C52" t="n">
        <v>4</v>
      </c>
      <c r="D52" t="n">
        <v>0</v>
      </c>
      <c r="F52" s="72" t="n">
        <v>0.2</v>
      </c>
      <c r="H52" t="inlineStr">
        <is>
          <t>4 shilling from pinfold.</t>
        </is>
      </c>
    </row>
    <row r="53">
      <c r="A53" t="inlineStr">
        <is>
          <t>Issues of the manor</t>
        </is>
      </c>
      <c r="B53" t="n">
        <v>0</v>
      </c>
      <c r="C53" t="n">
        <v>2</v>
      </c>
      <c r="D53" t="n">
        <v>1</v>
      </c>
      <c r="F53" s="72" t="n">
        <v>0.1</v>
      </c>
      <c r="H53" t="inlineStr">
        <is>
          <t>2 shilling 1pence from churchscot.</t>
        </is>
      </c>
    </row>
    <row r="54">
      <c r="A54" t="inlineStr">
        <is>
          <t>Issues of the manor</t>
        </is>
      </c>
      <c r="B54" t="n">
        <v>0</v>
      </c>
      <c r="C54" t="n">
        <v>2</v>
      </c>
      <c r="D54" t="n">
        <v>0</v>
      </c>
      <c r="F54" s="72" t="n">
        <v>0.1</v>
      </c>
      <c r="H54" t="inlineStr">
        <is>
          <t>2 shilling from the herbage behind the curia sold.</t>
        </is>
      </c>
    </row>
    <row r="55">
      <c r="A55" t="inlineStr">
        <is>
          <t>Issues of the manor</t>
        </is>
      </c>
      <c r="B55" t="n">
        <v>1</v>
      </c>
      <c r="C55" t="n">
        <v>10</v>
      </c>
      <c r="D55" t="n">
        <v>0</v>
      </c>
      <c r="F55" s="72" t="n">
        <v>1.5</v>
      </c>
      <c r="H55" t="inlineStr">
        <is>
          <t>£1 10 shilling from 3 old plough-horses sold.</t>
        </is>
      </c>
    </row>
    <row r="56">
      <c r="A56" t="inlineStr">
        <is>
          <t>Issues of the manor</t>
        </is>
      </c>
      <c r="B56" t="n">
        <v>3</v>
      </c>
      <c r="C56" t="n">
        <v>16</v>
      </c>
      <c r="D56" t="n">
        <v>10</v>
      </c>
      <c r="F56" s="72" t="n">
        <v>3.84</v>
      </c>
      <c r="H56" t="inlineStr">
        <is>
          <t>£3 16 shilling 10pence from 8 old oxen sold at various prices, that is, 10 shilling each for 7, and 6 shilling 10pence for 1.</t>
        </is>
      </c>
    </row>
    <row r="57">
      <c r="A57" t="inlineStr">
        <is>
          <t>Issues of the manor</t>
        </is>
      </c>
      <c r="B57" t="n">
        <v>0</v>
      </c>
      <c r="C57" t="n">
        <v>10</v>
      </c>
      <c r="D57" t="n">
        <v>0</v>
      </c>
      <c r="F57" s="72" t="n">
        <v>0.5</v>
      </c>
      <c r="H57" t="inlineStr">
        <is>
          <t>10 shilling from 1 bull sold.</t>
        </is>
      </c>
    </row>
    <row r="58">
      <c r="A58" t="inlineStr">
        <is>
          <t>Issues of the manor</t>
        </is>
      </c>
      <c r="B58" t="n">
        <v>1</v>
      </c>
      <c r="C58" t="n">
        <v>12</v>
      </c>
      <c r="D58" t="n">
        <v>0</v>
      </c>
      <c r="F58" s="72" t="n">
        <v>1.6</v>
      </c>
      <c r="H58" t="inlineStr">
        <is>
          <t>£1 12 shilling from 4 old cows sold, at 8 shilling each.</t>
        </is>
      </c>
    </row>
    <row r="59">
      <c r="A59" t="inlineStr">
        <is>
          <t>Issues of the manor</t>
        </is>
      </c>
      <c r="B59" t="n">
        <v>0</v>
      </c>
      <c r="C59" t="n">
        <v>2</v>
      </c>
      <c r="D59" t="n">
        <v>6</v>
      </c>
      <c r="F59" s="72" t="n">
        <v>0.12</v>
      </c>
      <c r="H59" t="inlineStr">
        <is>
          <t>2 shilling 6pence from 3 late-born calves sold.</t>
        </is>
      </c>
    </row>
    <row r="60">
      <c r="A60" t="inlineStr">
        <is>
          <t>Issues of the manor</t>
        </is>
      </c>
      <c r="B60" t="n">
        <v>10</v>
      </c>
      <c r="C60" t="n">
        <v>12</v>
      </c>
      <c r="D60" t="n">
        <v>6.5</v>
      </c>
      <c r="F60" s="72" t="n">
        <v>10.63</v>
      </c>
      <c r="H60" t="inlineStr">
        <is>
          <t>£10 12 shilling 6.5pence from 29 animals bought for pasturing and sold at various prices.</t>
        </is>
      </c>
    </row>
    <row r="61">
      <c r="A61" t="inlineStr">
        <is>
          <t>Issues of the manor</t>
        </is>
      </c>
      <c r="B61" t="n">
        <v>0</v>
      </c>
      <c r="C61" t="n">
        <v>16</v>
      </c>
      <c r="D61" t="n">
        <v>4</v>
      </c>
      <c r="F61" s="72" t="n">
        <v>0.82</v>
      </c>
      <c r="H61" t="inlineStr">
        <is>
          <t>16 shilling 4pence from 14 wethers sold at Martinmas, at 1 shilling 2pence each.</t>
        </is>
      </c>
    </row>
    <row r="62">
      <c r="A62" t="inlineStr">
        <is>
          <t>Issues of the manor</t>
        </is>
      </c>
      <c r="B62" t="n">
        <v>0</v>
      </c>
      <c r="C62" t="n">
        <v>14</v>
      </c>
      <c r="D62" t="n">
        <v>0</v>
      </c>
      <c r="F62" s="72" t="n">
        <v>0.7</v>
      </c>
      <c r="H62" t="inlineStr">
        <is>
          <t>14 shilling from 14 ewes sold at the same feast.</t>
        </is>
      </c>
    </row>
    <row r="63">
      <c r="A63" t="inlineStr">
        <is>
          <t>Issues of the manor</t>
        </is>
      </c>
      <c r="B63" t="n">
        <v>0</v>
      </c>
      <c r="C63" t="n">
        <v>12</v>
      </c>
      <c r="D63" t="n">
        <v>0</v>
      </c>
      <c r="F63" s="72" t="n">
        <v>0.6</v>
      </c>
      <c r="H63" t="inlineStr">
        <is>
          <t>12 shilling from 4 pigs sold.</t>
        </is>
      </c>
    </row>
    <row r="64">
      <c r="A64" t="inlineStr">
        <is>
          <t>Issues of the manor</t>
        </is>
      </c>
      <c r="B64" t="n">
        <v>0</v>
      </c>
      <c r="C64" t="n">
        <v>3</v>
      </c>
      <c r="D64" t="n">
        <v>3</v>
      </c>
      <c r="F64" s="72" t="n">
        <v>0.16</v>
      </c>
      <c r="H64" t="inlineStr">
        <is>
          <t>3 shilling 3pence from 13 nearly dead lambs sold.</t>
        </is>
      </c>
    </row>
    <row r="65">
      <c r="A65" t="inlineStr">
        <is>
          <t>Issues of the manor</t>
        </is>
      </c>
      <c r="B65" t="n">
        <v>0</v>
      </c>
      <c r="C65" t="n">
        <v>2</v>
      </c>
      <c r="D65" t="n">
        <v>4</v>
      </c>
      <c r="F65" s="72" t="n">
        <v>0.12</v>
      </c>
      <c r="H65" t="inlineStr">
        <is>
          <t>2 shilling 4pence from the hides sold of 1 plough-horse and 3 colts dead from murrain.</t>
        </is>
      </c>
    </row>
    <row r="66">
      <c r="A66" t="inlineStr">
        <is>
          <t>Issues of the manor</t>
        </is>
      </c>
      <c r="B66" t="n">
        <v>0</v>
      </c>
      <c r="C66" t="n">
        <v>0</v>
      </c>
      <c r="D66" t="n">
        <v>7</v>
      </c>
      <c r="F66" s="72" t="n">
        <v>0.03</v>
      </c>
      <c r="H66" t="inlineStr">
        <is>
          <t>7pence from the hide sold of 1 bullock dead from murrain.</t>
        </is>
      </c>
    </row>
    <row r="67">
      <c r="A67" t="inlineStr">
        <is>
          <t>Issues of the manor</t>
        </is>
      </c>
      <c r="B67" t="n">
        <v>0</v>
      </c>
      <c r="C67" t="n">
        <v>6</v>
      </c>
      <c r="D67" t="n">
        <v>6</v>
      </c>
      <c r="F67" s="72" t="n">
        <v>0.33</v>
      </c>
      <c r="H67" t="inlineStr">
        <is>
          <t>6 shilling 6pence from the skins sold wholesale of 7 wethers, 11 ewes and 8 hoggs dead from murrain before shearing, with the skins of 1 wether and 2 ewes dead from murrain after shearing.</t>
        </is>
      </c>
    </row>
    <row r="68">
      <c r="A68" t="inlineStr">
        <is>
          <t>Issues of the manor</t>
        </is>
      </c>
      <c r="B68" t="n">
        <v>0</v>
      </c>
      <c r="C68" t="n">
        <v>1</v>
      </c>
      <c r="D68" t="n">
        <v>10.75</v>
      </c>
      <c r="F68" s="72" t="n">
        <v>0.09</v>
      </c>
      <c r="H68" t="inlineStr">
        <is>
          <t>1 shilling 10.75pence from the skins sold wholesale of 21 lambs dead from murrain before weaning and 14 rotted sheep.</t>
        </is>
      </c>
    </row>
    <row r="69">
      <c r="A69" t="inlineStr">
        <is>
          <t>Issues of the manor</t>
        </is>
      </c>
      <c r="B69" t="n">
        <v>0</v>
      </c>
      <c r="C69" t="n">
        <v>0</v>
      </c>
      <c r="D69" t="n">
        <v>0</v>
      </c>
      <c r="F69" s="72" t="n">
        <v>0</v>
      </c>
      <c r="H69" t="inlineStr">
        <is>
          <t>nothing from coarse wool and lamb's-wool here because it was sent to Wolvesey.</t>
        </is>
      </c>
    </row>
    <row r="70">
      <c r="A70" t="inlineStr">
        <is>
          <t>Issues of the manor</t>
        </is>
      </c>
      <c r="B70" t="n">
        <v>0</v>
      </c>
      <c r="C70" t="n">
        <v>2</v>
      </c>
      <c r="D70" t="n">
        <v>3</v>
      </c>
      <c r="F70" s="72" t="n">
        <v>0.11</v>
      </c>
      <c r="H70" t="inlineStr">
        <is>
          <t>2 shilling 3pence from 2 cloves 4 lb of wool locks sold, at 10.5pence a clove.</t>
        </is>
      </c>
    </row>
    <row r="71">
      <c r="A71" t="inlineStr">
        <is>
          <t>Issues of the manor</t>
        </is>
      </c>
      <c r="B71" t="n">
        <v>0</v>
      </c>
      <c r="C71" t="n">
        <v>5</v>
      </c>
      <c r="D71" t="n">
        <v>0</v>
      </c>
      <c r="F71" s="72" t="n">
        <v>0.25</v>
      </c>
      <c r="H71" t="inlineStr">
        <is>
          <t>5 shilling from .5 wey 6 cloves of rowen cheese sold.</t>
        </is>
      </c>
    </row>
    <row r="72">
      <c r="A72" t="inlineStr">
        <is>
          <t>Issues of the manor</t>
        </is>
      </c>
      <c r="B72" t="n">
        <v>2</v>
      </c>
      <c r="C72" t="n">
        <v>15</v>
      </c>
      <c r="D72" t="n">
        <v>0</v>
      </c>
      <c r="F72" s="72" t="n">
        <v>2.75</v>
      </c>
      <c r="H72" t="inlineStr">
        <is>
          <t>£2 15 shilling from 6.5 weys of cheese sold, at 8 shilling a wey for 3.5 weys, and 9 shilling a wey for 3 weys.</t>
        </is>
      </c>
    </row>
    <row r="73">
      <c r="A73" t="inlineStr">
        <is>
          <t>Issues of the manor</t>
        </is>
      </c>
      <c r="B73" t="n">
        <v>0</v>
      </c>
      <c r="C73" t="n">
        <v>2</v>
      </c>
      <c r="D73" t="n">
        <v>3.5</v>
      </c>
      <c r="F73" s="72" t="n">
        <v>0.11</v>
      </c>
      <c r="H73" t="inlineStr">
        <is>
          <t>2 shilling 3.5pence from 8 cloves of butter sold.</t>
        </is>
      </c>
    </row>
    <row r="74">
      <c r="A74" t="inlineStr">
        <is>
          <t>Issues of the manor</t>
        </is>
      </c>
      <c r="B74" t="n">
        <v>0</v>
      </c>
      <c r="C74" t="n">
        <v>10</v>
      </c>
      <c r="D74" t="n">
        <v>4</v>
      </c>
      <c r="F74" s="72" t="n">
        <v>0.52</v>
      </c>
      <c r="H74" t="inlineStr">
        <is>
          <t>10 shilling 4pence from 124 hens from churchscot sold.</t>
        </is>
      </c>
    </row>
    <row r="75">
      <c r="A75" t="inlineStr">
        <is>
          <t>Issues of the manor</t>
        </is>
      </c>
      <c r="B75" t="n">
        <v>0</v>
      </c>
      <c r="C75" t="n">
        <v>2</v>
      </c>
      <c r="D75" t="n">
        <v>0</v>
      </c>
      <c r="F75" s="72" t="n">
        <v>0.1</v>
      </c>
      <c r="H75" t="inlineStr">
        <is>
          <t>2 shilling from 600 eggs sold according to custom.</t>
        </is>
      </c>
    </row>
    <row r="76">
      <c r="A76" t="inlineStr">
        <is>
          <t>Issues of the manor</t>
        </is>
      </c>
      <c r="B76" t="n">
        <v>1</v>
      </c>
      <c r="C76" t="n">
        <v>10</v>
      </c>
      <c r="D76" t="n">
        <v>0</v>
      </c>
      <c r="F76" s="72" t="n">
        <v>1.5</v>
      </c>
      <c r="H76" t="inlineStr">
        <is>
          <t>£1 10 shilling from Juliana de Manycroft and 4 of her fellows for release from their harvest labour service, at 6 shilling each.</t>
        </is>
      </c>
    </row>
    <row r="77">
      <c r="A77" t="inlineStr">
        <is>
          <t>Issues of the manor</t>
        </is>
      </c>
      <c r="B77" t="n">
        <v>0</v>
      </c>
      <c r="C77" t="n">
        <v>12</v>
      </c>
      <c r="D77" t="n">
        <v>0</v>
      </c>
      <c r="F77" s="72" t="n">
        <v>0.6</v>
      </c>
      <c r="H77" t="inlineStr">
        <is>
          <t>12 shilling from 1 cask of cider sold apart from the vessel.</t>
        </is>
      </c>
    </row>
    <row r="78">
      <c r="A78" t="inlineStr">
        <is>
          <t>Issues of the manor</t>
        </is>
      </c>
      <c r="B78" t="n">
        <v>1</v>
      </c>
      <c r="C78" t="n">
        <v>0</v>
      </c>
      <c r="D78" t="n">
        <v>6</v>
      </c>
      <c r="F78" s="72" t="n">
        <v>1.02</v>
      </c>
      <c r="H78" t="inlineStr">
        <is>
          <t>£1 6pence from the pasturage in the park sold.</t>
        </is>
      </c>
    </row>
    <row r="79">
      <c r="A79" t="inlineStr">
        <is>
          <t>Issues of the manor</t>
        </is>
      </c>
      <c r="B79" t="n">
        <v>0</v>
      </c>
      <c r="C79" t="n">
        <v>12</v>
      </c>
      <c r="D79" t="n">
        <v>6</v>
      </c>
      <c r="F79" s="72" t="n">
        <v>0.62</v>
      </c>
      <c r="H79" t="inlineStr">
        <is>
          <t>12 shilling 6pence from 100 labour services sold, at 1.5pence a labour service.</t>
        </is>
      </c>
    </row>
    <row r="80">
      <c r="A80" t="inlineStr">
        <is>
          <t>Issues of the manor</t>
        </is>
      </c>
      <c r="B80" t="n">
        <v>0</v>
      </c>
      <c r="C80" t="n">
        <v>2</v>
      </c>
      <c r="D80" t="n">
        <v>0</v>
      </c>
      <c r="F80" s="72" t="n">
        <v>0.1</v>
      </c>
      <c r="H80" t="inlineStr">
        <is>
          <t>2 shilling from 1 bee-hive (rusc') from the heriot of William le Dudelar' sold.</t>
        </is>
      </c>
    </row>
    <row r="81">
      <c r="A81" t="inlineStr">
        <is>
          <t>Issues of the manor</t>
        </is>
      </c>
      <c r="B81" t="n">
        <v>0</v>
      </c>
      <c r="C81" t="n">
        <v>19</v>
      </c>
      <c r="D81" t="n">
        <v>5.5</v>
      </c>
      <c r="F81" s="72" t="n">
        <v>0.97</v>
      </c>
      <c r="H81" t="inlineStr">
        <is>
          <t>19 shilling 5.5pence from dairy produce sold at the audit.</t>
        </is>
      </c>
    </row>
    <row r="82">
      <c r="A82" t="inlineStr">
        <is>
          <t>Issues of the manor</t>
        </is>
      </c>
      <c r="B82" t="n">
        <v>33</v>
      </c>
      <c r="C82" t="n">
        <v>1</v>
      </c>
      <c r="D82" t="n">
        <v>2.25</v>
      </c>
      <c r="F82" s="72" t="n">
        <v>33.06</v>
      </c>
      <c r="H82" t="inlineStr">
        <is>
          <t>Total, £33 1 shilling 2.25pence</t>
        </is>
      </c>
    </row>
    <row r="83">
      <c r="A83" t="inlineStr">
        <is>
          <t>Issues of the manor</t>
        </is>
      </c>
      <c r="F83" s="72">
        <f>SUM(F48:F81)</f>
        <v/>
      </c>
      <c r="G83" s="130">
        <f>F83-F82</f>
        <v/>
      </c>
      <c r="H83" t="inlineStr">
        <is>
          <t>Total</t>
        </is>
      </c>
    </row>
    <row r="84"/>
    <row r="85"/>
    <row r="86">
      <c r="A86" t="inlineStr">
        <is>
          <t>Sale of wheat</t>
        </is>
      </c>
      <c r="B86" t="n">
        <v>18</v>
      </c>
      <c r="C86" t="n">
        <v>3</v>
      </c>
      <c r="D86" t="n">
        <v>0</v>
      </c>
      <c r="F86" s="72" t="n">
        <v>18.15</v>
      </c>
      <c r="H86" t="inlineStr">
        <is>
          <t>The same render account for £18 3 shilling from 60.5 quarters of wheat sold, at 6 shilling a qr.</t>
        </is>
      </c>
    </row>
    <row r="87">
      <c r="A87" t="inlineStr">
        <is>
          <t>Sale of wheat</t>
        </is>
      </c>
      <c r="B87" t="n">
        <v>0</v>
      </c>
      <c r="C87" t="n">
        <v>2</v>
      </c>
      <c r="D87" t="n">
        <v>11</v>
      </c>
      <c r="F87" s="72" t="n">
        <v>0.15</v>
      </c>
      <c r="H87" t="inlineStr">
        <is>
          <t>2 shilling 11pence from 5 bushels of curall sold.</t>
        </is>
      </c>
    </row>
    <row r="88">
      <c r="A88" t="inlineStr">
        <is>
          <t>Sale of wheat</t>
        </is>
      </c>
      <c r="B88" t="n">
        <v>1</v>
      </c>
      <c r="C88" t="n">
        <v>10</v>
      </c>
      <c r="D88" t="n">
        <v>4</v>
      </c>
      <c r="F88" s="72" t="n">
        <v>1.52</v>
      </c>
      <c r="H88" t="inlineStr">
        <is>
          <t>£1 10 shilling 4pence from 6.5 quarters of barley sold, at 4 shilling 8pence a qr.</t>
        </is>
      </c>
    </row>
    <row r="89">
      <c r="A89" t="inlineStr">
        <is>
          <t>Sale of wheat</t>
        </is>
      </c>
      <c r="B89" t="n">
        <v>0</v>
      </c>
      <c r="C89" t="n">
        <v>1</v>
      </c>
      <c r="D89" t="n">
        <v>6</v>
      </c>
      <c r="F89" s="72" t="n">
        <v>0.08</v>
      </c>
      <c r="H89" t="inlineStr">
        <is>
          <t>1 shilling 6pence from 4 bushels of peas sold.</t>
        </is>
      </c>
    </row>
    <row r="90">
      <c r="A90" t="inlineStr">
        <is>
          <t>Sale of wheat</t>
        </is>
      </c>
      <c r="B90" t="n">
        <v>0</v>
      </c>
      <c r="C90" t="n">
        <v>1</v>
      </c>
      <c r="D90" t="n">
        <v>0</v>
      </c>
      <c r="F90" s="72" t="n">
        <v>0.05</v>
      </c>
      <c r="H90" t="inlineStr">
        <is>
          <t>1 shilling from 4 bushels of vetches sold.</t>
        </is>
      </c>
    </row>
    <row r="91">
      <c r="A91" t="inlineStr">
        <is>
          <t>Sale of wheat</t>
        </is>
      </c>
      <c r="B91" t="n">
        <v>0</v>
      </c>
      <c r="C91" t="n">
        <v>3</v>
      </c>
      <c r="D91" t="n">
        <v>9.5</v>
      </c>
      <c r="F91" s="72" t="n">
        <v>0.19</v>
      </c>
      <c r="H91" t="inlineStr">
        <is>
          <t>3 shilling 9.5pence from 6.5 bushels of barley sold at the audit.</t>
        </is>
      </c>
    </row>
    <row r="92">
      <c r="A92" t="inlineStr">
        <is>
          <t>Sale of wheat</t>
        </is>
      </c>
      <c r="B92" t="n">
        <v>20</v>
      </c>
      <c r="C92" t="n">
        <v>2</v>
      </c>
      <c r="D92" t="n">
        <v>6.5</v>
      </c>
      <c r="F92" s="72" t="n">
        <v>20.13</v>
      </c>
      <c r="H92" t="inlineStr">
        <is>
          <t>Total, £20 2 shilling 6.5pence</t>
        </is>
      </c>
    </row>
    <row r="93">
      <c r="A93" t="inlineStr">
        <is>
          <t>Sale of wheat</t>
        </is>
      </c>
      <c r="F93" s="72" t="n">
        <v>20.14</v>
      </c>
      <c r="G93" s="130" t="n">
        <v>0.01000000000000156</v>
      </c>
      <c r="H93" t="inlineStr">
        <is>
          <t>Total</t>
        </is>
      </c>
    </row>
    <row r="94"/>
    <row r="95"/>
    <row r="96">
      <c r="A96" t="inlineStr">
        <is>
          <t>Entry and marriage fines with tithingpenny</t>
        </is>
      </c>
      <c r="B96" t="n">
        <v>0</v>
      </c>
      <c r="C96" t="n">
        <v>5</v>
      </c>
      <c r="D96" t="n">
        <v>0</v>
      </c>
      <c r="F96" s="72" t="n">
        <v>0.25</v>
      </c>
      <c r="H96" t="inlineStr">
        <is>
          <t>The same render account for 5 shilling from the tithing of Bishops Sutton for tithingpenny at the hundred-court of Martinmas.</t>
        </is>
      </c>
    </row>
    <row r="97">
      <c r="A97" t="inlineStr">
        <is>
          <t>Entry and marriage fines with tithingpenny</t>
        </is>
      </c>
      <c r="B97" t="n">
        <v>0</v>
      </c>
      <c r="C97" t="n">
        <v>10</v>
      </c>
      <c r="D97" t="n">
        <v>0</v>
      </c>
      <c r="F97" s="72" t="n">
        <v>0.5</v>
      </c>
      <c r="H97" t="inlineStr">
        <is>
          <t>10 shilling from the tithing of Ropley for the same.</t>
        </is>
      </c>
    </row>
    <row r="98">
      <c r="A98" t="inlineStr">
        <is>
          <t>Entry and marriage fines with tithingpenny</t>
        </is>
      </c>
      <c r="B98" t="n">
        <v>0</v>
      </c>
      <c r="C98" t="n">
        <v>4</v>
      </c>
      <c r="D98" t="n">
        <v>0</v>
      </c>
      <c r="F98" s="72" t="n">
        <v>0.2</v>
      </c>
      <c r="H98" t="inlineStr">
        <is>
          <t>4 shilling from the tithing of Bighton for the same.</t>
        </is>
      </c>
    </row>
    <row r="99">
      <c r="A99" t="inlineStr">
        <is>
          <t>Entry and marriage fines with tithingpenny</t>
        </is>
      </c>
      <c r="B99" t="n">
        <v>0</v>
      </c>
      <c r="C99" t="n">
        <v>3</v>
      </c>
      <c r="D99" t="n">
        <v>0</v>
      </c>
      <c r="F99" s="72" t="n">
        <v>0.15</v>
      </c>
      <c r="H99" t="inlineStr">
        <is>
          <t>3 shilling from the tithing of Bramdean for the same.</t>
        </is>
      </c>
    </row>
    <row r="100">
      <c r="A100" t="inlineStr">
        <is>
          <t>Entry and marriage fines with tithingpenny</t>
        </is>
      </c>
      <c r="B100" t="n">
        <v>0</v>
      </c>
      <c r="C100" t="n">
        <v>2</v>
      </c>
      <c r="D100" t="n">
        <v>0</v>
      </c>
      <c r="F100" s="72" t="n">
        <v>0.1</v>
      </c>
      <c r="H100" t="inlineStr">
        <is>
          <t>2 shilling from the tithing of West Tisted for the same.</t>
        </is>
      </c>
    </row>
    <row r="101">
      <c r="A101" t="inlineStr">
        <is>
          <t>Entry and marriage fines with tithingpenny</t>
        </is>
      </c>
      <c r="B101" t="n">
        <v>0</v>
      </c>
      <c r="C101" t="n">
        <v>8</v>
      </c>
      <c r="D101" t="n">
        <v>0</v>
      </c>
      <c r="F101" s="72" t="n">
        <v>0.4</v>
      </c>
      <c r="H101" t="inlineStr">
        <is>
          <t>8 shilling from the tithing of Headley for the same.</t>
        </is>
      </c>
    </row>
    <row r="102">
      <c r="A102" t="inlineStr">
        <is>
          <t>Entry and marriage fines with tithingpenny</t>
        </is>
      </c>
      <c r="B102" t="n">
        <v>1</v>
      </c>
      <c r="C102" t="n">
        <v>12</v>
      </c>
      <c r="D102" t="n">
        <v>0</v>
      </c>
      <c r="F102" s="72" t="n">
        <v>1.6</v>
      </c>
      <c r="H102" t="inlineStr">
        <is>
          <t>£1 12 shilling from the same for the same at the hundred-court of Hockday.</t>
        </is>
      </c>
    </row>
    <row r="103">
      <c r="A103" t="inlineStr">
        <is>
          <t>Entry and marriage fines with tithingpenny</t>
        </is>
      </c>
      <c r="B103" t="n">
        <v>0</v>
      </c>
      <c r="C103" t="n">
        <v>4</v>
      </c>
      <c r="D103" t="n">
        <v>0</v>
      </c>
      <c r="F103" s="72" t="n">
        <v>0.2</v>
      </c>
      <c r="H103" t="inlineStr">
        <is>
          <t>4 shilling from Richard Sutore for 1 plot which came into the lord's hands by the death of William le Dudeler'.</t>
        </is>
      </c>
    </row>
    <row r="104">
      <c r="A104" t="inlineStr">
        <is>
          <t>Entry and marriage fines with tithingpenny</t>
        </is>
      </c>
      <c r="B104" t="n">
        <v>0</v>
      </c>
      <c r="C104" t="n">
        <v>13</v>
      </c>
      <c r="D104" t="n">
        <v>4</v>
      </c>
      <c r="F104" s="72" t="n">
        <v>0.67</v>
      </c>
      <c r="H104" t="inlineStr">
        <is>
          <t>13 shilling 4pence from Richard de Graveschate to have the land of his father by surrender of Juliana his mother.</t>
        </is>
      </c>
    </row>
    <row r="105">
      <c r="A105" t="inlineStr">
        <is>
          <t>Entry and marriage fines with tithingpenny</t>
        </is>
      </c>
      <c r="B105" t="n">
        <v>0</v>
      </c>
      <c r="C105" t="n">
        <v>2</v>
      </c>
      <c r="D105" t="n">
        <v>0</v>
      </c>
      <c r="F105" s="72" t="n">
        <v>0.1</v>
      </c>
      <c r="H105" t="inlineStr">
        <is>
          <t>2 shilling from John Gileberd for marrying Agnes his daughter.</t>
        </is>
      </c>
    </row>
    <row r="106">
      <c r="A106" t="inlineStr">
        <is>
          <t>Entry and marriage fines with tithingpenny</t>
        </is>
      </c>
      <c r="B106" t="n">
        <v>1</v>
      </c>
      <c r="C106" t="n">
        <v>0</v>
      </c>
      <c r="D106" t="n">
        <v>0</v>
      </c>
      <c r="F106" s="72" t="n">
        <v>1</v>
      </c>
      <c r="H106" t="inlineStr">
        <is>
          <t>£1 from Walter Parmehoud to have 1 virgate of land of his inheritance after the death of Seyld his mother.</t>
        </is>
      </c>
    </row>
    <row r="107">
      <c r="A107" t="inlineStr">
        <is>
          <t>Entry and marriage fines with tithingpenny</t>
        </is>
      </c>
      <c r="B107" t="n">
        <v>0</v>
      </c>
      <c r="C107" t="n">
        <v>13</v>
      </c>
      <c r="D107" t="n">
        <v>4</v>
      </c>
      <c r="F107" s="72" t="n">
        <v>0.67</v>
      </c>
      <c r="H107" t="inlineStr">
        <is>
          <t>13 shilling 4pence from William le Monek to have Alice de Merton' with her land.</t>
        </is>
      </c>
    </row>
    <row r="108">
      <c r="A108" t="inlineStr">
        <is>
          <t>Entry and marriage fines with tithingpenny</t>
        </is>
      </c>
      <c r="B108" t="n">
        <v>0</v>
      </c>
      <c r="C108" t="n">
        <v>4</v>
      </c>
      <c r="D108" t="n">
        <v>0</v>
      </c>
      <c r="F108" s="72" t="n">
        <v>0.2</v>
      </c>
      <c r="H108" t="inlineStr">
        <is>
          <t>4 shilling from Agnes ate Putte to have the land which belonged to John ate Putte her husband.</t>
        </is>
      </c>
    </row>
    <row r="109">
      <c r="A109" t="inlineStr">
        <is>
          <t>Entry and marriage fines with tithingpenny</t>
        </is>
      </c>
      <c r="B109" t="n">
        <v>0</v>
      </c>
      <c r="C109" t="n">
        <v>1</v>
      </c>
      <c r="D109" t="n">
        <v>0</v>
      </c>
      <c r="F109" s="72" t="n">
        <v>0.05</v>
      </c>
      <c r="H109" t="inlineStr">
        <is>
          <t>1 shilling from William ate Hum' for marrying Joan his daughter within.</t>
        </is>
      </c>
    </row>
    <row r="110">
      <c r="A110" t="inlineStr">
        <is>
          <t>Entry and marriage fines with tithingpenny</t>
        </is>
      </c>
      <c r="B110" t="n">
        <v>4</v>
      </c>
      <c r="C110" t="n">
        <v>0</v>
      </c>
      <c r="D110" t="n">
        <v>0</v>
      </c>
      <c r="F110" s="72" t="n">
        <v>4</v>
      </c>
      <c r="H110" t="inlineStr">
        <is>
          <t>£4 from Agnes, who was wife of Roger le Ride, for 1 virgate of land which Roger le Rede her husband held and which formerly belonged to Margery de Zatelink', which virgate of land came into the bishop's hands as his escheat by inheritance because the said Margery had no heirs, to have and to hold for the life of the said Agnes, so that if the said Agnes marries her husband will make a second fine according to the custom of such villeinage.</t>
        </is>
      </c>
    </row>
    <row r="111">
      <c r="A111" t="inlineStr">
        <is>
          <t>Entry and marriage fines with tithingpenny</t>
        </is>
      </c>
      <c r="B111" t="n">
        <v>10</v>
      </c>
      <c r="C111" t="n">
        <v>1</v>
      </c>
      <c r="D111" t="n">
        <v>8</v>
      </c>
      <c r="F111" s="72" t="n">
        <v>10.08</v>
      </c>
      <c r="H111" t="inlineStr">
        <is>
          <t>Total, £10 1 shilling 8pence</t>
        </is>
      </c>
    </row>
    <row r="112">
      <c r="A112" t="inlineStr">
        <is>
          <t>Entry and marriage fines with tithingpenny</t>
        </is>
      </c>
      <c r="F112" s="72" t="n">
        <v>10.09</v>
      </c>
      <c r="G112" s="130" t="n">
        <v>0.009999999999999787</v>
      </c>
      <c r="H112" t="inlineStr">
        <is>
          <t>Total</t>
        </is>
      </c>
    </row>
    <row r="113"/>
    <row r="114"/>
    <row r="115">
      <c r="A115" t="inlineStr">
        <is>
          <t>Perquisites</t>
        </is>
      </c>
      <c r="B115" t="n">
        <v>0</v>
      </c>
      <c r="C115" t="n">
        <v>4</v>
      </c>
      <c r="D115" t="n">
        <v>0</v>
      </c>
      <c r="F115" s="72" t="n">
        <v>0.2</v>
      </c>
      <c r="H115" t="inlineStr">
        <is>
          <t>The same render account for 4 shilling from Thomas ate Hok' for trespass of the lord's charcoal.</t>
        </is>
      </c>
    </row>
    <row r="116">
      <c r="A116" t="inlineStr">
        <is>
          <t>Perquisites</t>
        </is>
      </c>
      <c r="B116" t="n">
        <v>5</v>
      </c>
      <c r="C116" t="n">
        <v>0</v>
      </c>
      <c r="D116" t="n">
        <v>6</v>
      </c>
      <c r="F116" s="72" t="n">
        <v>5.03</v>
      </c>
      <c r="H116" t="inlineStr">
        <is>
          <t>£5 6pence from other small perquisites.</t>
        </is>
      </c>
    </row>
    <row r="117">
      <c r="A117" t="inlineStr">
        <is>
          <t>Perquisites</t>
        </is>
      </c>
      <c r="B117" t="n">
        <v>5</v>
      </c>
      <c r="C117" t="n">
        <v>4</v>
      </c>
      <c r="D117" t="n">
        <v>6</v>
      </c>
      <c r="F117" s="72" t="n">
        <v>5.23</v>
      </c>
      <c r="H117" t="inlineStr">
        <is>
          <t>Total, £5 4 shilling 6pence</t>
        </is>
      </c>
    </row>
    <row r="118"/>
    <row r="119">
      <c r="A119" t="inlineStr">
        <is>
          <t>Total of all receipts</t>
        </is>
      </c>
      <c r="B119" t="n">
        <v>15</v>
      </c>
      <c r="C119" t="n">
        <v>6</v>
      </c>
      <c r="D119" t="n">
        <v>2</v>
      </c>
      <c r="F119" s="72" t="n">
        <v>15.31</v>
      </c>
      <c r="H119" t="inlineStr">
        <is>
          <t>Total of both, £15 6 shilling 2pence</t>
        </is>
      </c>
    </row>
    <row r="120">
      <c r="A120" t="inlineStr">
        <is>
          <t>Total of all receipts</t>
        </is>
      </c>
      <c r="F120" s="72">
        <f>F117+F111</f>
        <v/>
      </c>
      <c r="G120" s="130">
        <f>F120-F119</f>
        <v/>
      </c>
      <c r="H120" t="inlineStr">
        <is>
          <t>Total</t>
        </is>
      </c>
    </row>
    <row r="121"/>
    <row r="122"/>
    <row r="123">
      <c r="A123" s="38" t="inlineStr">
        <is>
          <t>Total of all receipts recorded in accounts</t>
        </is>
      </c>
      <c r="B123" t="n">
        <v>114</v>
      </c>
      <c r="C123" t="n">
        <v>12</v>
      </c>
      <c r="D123" t="n">
        <v>10.25</v>
      </c>
      <c r="F123" s="72" t="n">
        <v>114.64</v>
      </c>
      <c r="H123" t="inlineStr">
        <is>
          <t>Total of all receipts, £114 12 shilling 10.25pence</t>
        </is>
      </c>
    </row>
    <row r="124" ht="16" customHeight="1">
      <c r="A124" s="9" t="inlineStr">
        <is>
          <t>Total cross-check without arrears</t>
        </is>
      </c>
      <c r="F124" s="72">
        <f>F117+F112+F93+F83+F45+F37</f>
        <v/>
      </c>
      <c r="G124" s="130">
        <f>F124-F123</f>
        <v/>
      </c>
    </row>
    <row r="125" ht="16" customHeight="1">
      <c r="A125" s="9" t="inlineStr">
        <is>
          <t>Total cross-check with arrears</t>
        </is>
      </c>
      <c r="F125" s="72">
        <f>F124+F5</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8"/>
  <sheetViews>
    <sheetView topLeftCell="A1" workbookViewId="0">
      <selection activeCell="A1" sqref="A1"/>
    </sheetView>
  </sheetViews>
  <sheetFormatPr baseColWidth="8" defaultRowHeight="15"/>
  <cols>
    <col width="33.1640625" customWidth="1" min="1" max="1"/>
    <col width="8.83203125" customWidth="1" min="6" max="6"/>
    <col width="8.83203125" customWidth="1" min="7" max="7"/>
    <col width="43" customWidth="1" min="8" max="8"/>
    <col width="14.6640625" customWidth="1" min="10" max="10"/>
    <col width="17.6640625" customWidth="1" min="11" max="11"/>
  </cols>
  <sheetData>
    <row r="1" ht="16" customHeight="1">
      <c r="A1" s="12" t="inlineStr">
        <is>
          <t>BISHOPS SUTTON EXPENSES</t>
        </is>
      </c>
    </row>
    <row r="2" ht="34" customHeight="1">
      <c r="A2" s="11" t="inlineStr">
        <is>
          <t>Heading</t>
        </is>
      </c>
      <c r="B2" s="33" t="inlineStr">
        <is>
          <t>£</t>
        </is>
      </c>
      <c r="C2" s="34" t="inlineStr">
        <is>
          <t xml:space="preserve">s </t>
        </is>
      </c>
      <c r="D2" s="34" t="inlineStr">
        <is>
          <t>d</t>
        </is>
      </c>
      <c r="E2" s="32" t="n"/>
      <c r="F2" s="35" t="inlineStr">
        <is>
          <t>Total in £</t>
        </is>
      </c>
      <c r="G2" s="51" t="inlineStr">
        <is>
          <t>Error</t>
        </is>
      </c>
      <c r="H2" s="30" t="inlineStr">
        <is>
          <t>Notes</t>
        </is>
      </c>
      <c r="J2" s="52" t="inlineStr">
        <is>
          <t>Fixed investment</t>
        </is>
      </c>
      <c r="K2" s="52" t="inlineStr">
        <is>
          <t>Demesne fixed investment</t>
        </is>
      </c>
    </row>
    <row r="3">
      <c r="A3" t="inlineStr">
        <is>
          <t>Necessary expenses of ploughs</t>
        </is>
      </c>
      <c r="B3" t="n">
        <v>0</v>
      </c>
      <c r="C3" t="n">
        <v>5</v>
      </c>
      <c r="D3" t="n">
        <v>0</v>
      </c>
      <c r="F3" s="72" t="n">
        <v>0.25</v>
      </c>
      <c r="H3" t="inlineStr">
        <is>
          <t>In ironwork of 3 ploughs this year 5 shilling.</t>
        </is>
      </c>
      <c r="J3" s="72">
        <f>F3</f>
        <v/>
      </c>
      <c r="K3" s="72">
        <f>F3</f>
        <v/>
      </c>
    </row>
    <row r="4">
      <c r="A4" t="inlineStr">
        <is>
          <t>Necessary expenses of ploughs</t>
        </is>
      </c>
      <c r="B4" t="n">
        <v>0</v>
      </c>
      <c r="C4" t="n">
        <v>0</v>
      </c>
      <c r="D4" t="n">
        <v>9</v>
      </c>
      <c r="F4" s="72" t="n">
        <v>0.04</v>
      </c>
      <c r="H4" t="inlineStr">
        <is>
          <t>2 plough feet bought 9pence Nothing accounted this year for the shoeing of 2 cart-horses because the smith is bound to shoe 2 cart-horses of Bishops Sutton at his own cost, and he will have 1 acre of wheat as it lies for making the iron of the shoes and 3 trunks for charcoal this year, because there were there three ploughs, and other customs are contained on the dorse of the roll.</t>
        </is>
      </c>
      <c r="J4" s="72">
        <f>F4</f>
        <v/>
      </c>
      <c r="K4" s="72">
        <f>F4</f>
        <v/>
      </c>
    </row>
    <row r="5">
      <c r="A5" t="inlineStr">
        <is>
          <t>Necessary expenses of ploughs</t>
        </is>
      </c>
      <c r="B5" t="n">
        <v>0</v>
      </c>
      <c r="C5" t="n">
        <v>0</v>
      </c>
      <c r="D5" t="n">
        <v>6</v>
      </c>
      <c r="F5" s="72" t="n">
        <v>0.03</v>
      </c>
      <c r="H5" t="inlineStr">
        <is>
          <t>3 ploughs made anew 6pence.</t>
        </is>
      </c>
      <c r="J5" s="72">
        <f>F5</f>
        <v/>
      </c>
      <c r="K5" s="72">
        <f>F5</f>
        <v/>
      </c>
    </row>
    <row r="6">
      <c r="A6" t="inlineStr">
        <is>
          <t>Necessary expenses of ploughs</t>
        </is>
      </c>
      <c r="B6" t="n">
        <v>0</v>
      </c>
      <c r="C6" t="n">
        <v>0</v>
      </c>
      <c r="D6" t="n">
        <v>2</v>
      </c>
      <c r="F6" s="72" t="n">
        <v>0.01</v>
      </c>
      <c r="H6" t="inlineStr">
        <is>
          <t>mending other ploughs 2pence.</t>
        </is>
      </c>
      <c r="J6" s="72">
        <f>F6</f>
        <v/>
      </c>
      <c r="K6" s="72">
        <f>F6</f>
        <v/>
      </c>
    </row>
    <row r="7">
      <c r="A7" t="inlineStr">
        <is>
          <t>Necessary expenses of ploughs</t>
        </is>
      </c>
      <c r="B7" t="n">
        <v>0</v>
      </c>
      <c r="C7" t="n">
        <v>0</v>
      </c>
      <c r="D7" t="n">
        <v>2</v>
      </c>
      <c r="F7" s="72" t="n">
        <v>0.01</v>
      </c>
      <c r="H7" t="inlineStr">
        <is>
          <t>fitting ploughs with iron tyres 2pence.</t>
        </is>
      </c>
      <c r="J7" s="72">
        <f>F7</f>
        <v/>
      </c>
      <c r="K7" s="72">
        <f>F7</f>
        <v/>
      </c>
    </row>
    <row r="8">
      <c r="A8" t="inlineStr">
        <is>
          <t>Necessary expenses of ploughs</t>
        </is>
      </c>
      <c r="B8" t="n">
        <v>0</v>
      </c>
      <c r="C8" t="n">
        <v>0</v>
      </c>
      <c r="D8" t="n">
        <v>6</v>
      </c>
      <c r="F8" s="72" t="n">
        <v>0.03</v>
      </c>
      <c r="H8" t="inlineStr">
        <is>
          <t>3 pairs of wheels bought 6pence Richard de Manicroft' and John de Puteo ploughed 12 acres in winter and 12 acres in Lent, and they will take nothing.</t>
        </is>
      </c>
      <c r="J8" s="72">
        <f>F8</f>
        <v/>
      </c>
      <c r="K8" s="72">
        <f>F8</f>
        <v/>
      </c>
    </row>
    <row r="9">
      <c r="A9" t="inlineStr">
        <is>
          <t>Necessary expenses of ploughs</t>
        </is>
      </c>
      <c r="B9" t="n">
        <v>0</v>
      </c>
      <c r="C9" t="n">
        <v>0</v>
      </c>
      <c r="D9" t="n">
        <v>3</v>
      </c>
      <c r="F9" s="72" t="n">
        <v>0.01</v>
      </c>
      <c r="H9" t="inlineStr">
        <is>
          <t>1 harrow made anew and others mended 3pence.</t>
        </is>
      </c>
      <c r="J9" s="72">
        <f>F9</f>
        <v/>
      </c>
      <c r="K9" s="72">
        <f>F9</f>
        <v/>
      </c>
    </row>
    <row r="10">
      <c r="A10" t="inlineStr">
        <is>
          <t>Necessary expenses of ploughs</t>
        </is>
      </c>
      <c r="B10" t="n">
        <v>0</v>
      </c>
      <c r="C10" t="n">
        <v>0</v>
      </c>
      <c r="D10" t="n">
        <v>2.5</v>
      </c>
      <c r="F10" s="72" t="n">
        <v>0.01</v>
      </c>
      <c r="H10" t="inlineStr">
        <is>
          <t>5 yokes made 2.5pence.</t>
        </is>
      </c>
      <c r="J10" s="72">
        <f>F10</f>
        <v/>
      </c>
      <c r="K10" s="72">
        <f>F10</f>
        <v/>
      </c>
    </row>
    <row r="11">
      <c r="A11" t="inlineStr">
        <is>
          <t>Necessary expenses of ploughs</t>
        </is>
      </c>
      <c r="B11" t="n">
        <v>1</v>
      </c>
      <c r="C11" t="n">
        <v>1</v>
      </c>
      <c r="D11" t="n">
        <v>6</v>
      </c>
      <c r="F11" s="72" t="n">
        <v>1.07</v>
      </c>
      <c r="H11" t="inlineStr">
        <is>
          <t>2 oxen bought £1 1 shilling 6pence.</t>
        </is>
      </c>
      <c r="J11" s="72">
        <f>F11</f>
        <v/>
      </c>
      <c r="K11" s="72">
        <f>F11</f>
        <v/>
      </c>
    </row>
    <row r="12">
      <c r="A12" t="inlineStr">
        <is>
          <t>Necessary expenses of ploughs</t>
        </is>
      </c>
      <c r="B12" t="n">
        <v>0</v>
      </c>
      <c r="C12" t="n">
        <v>10</v>
      </c>
      <c r="D12" t="n">
        <v>0</v>
      </c>
      <c r="F12" s="72">
        <f>B12+C12/20+D12/240</f>
        <v/>
      </c>
      <c r="H12" t="inlineStr">
        <is>
          <t>forage bought to support plough-horses, oxen and cows 10 shilling</t>
        </is>
      </c>
    </row>
    <row r="13">
      <c r="A13" t="inlineStr">
        <is>
          <t>Necessary expenses of ploughs</t>
        </is>
      </c>
      <c r="B13" t="n">
        <v>1</v>
      </c>
      <c r="C13" t="n">
        <v>19</v>
      </c>
      <c r="D13" t="n">
        <v>0.5</v>
      </c>
      <c r="F13" s="72" t="n">
        <v>1.95</v>
      </c>
      <c r="H13" t="inlineStr">
        <is>
          <t xml:space="preserve"> Total, £1 19 shilling 0.5pence</t>
        </is>
      </c>
    </row>
    <row r="14">
      <c r="F14" s="72">
        <f>SUM(F3:F12)</f>
        <v/>
      </c>
      <c r="G14" s="140">
        <f>F14-F13</f>
        <v/>
      </c>
      <c r="H14" t="inlineStr">
        <is>
          <t>Total</t>
        </is>
      </c>
    </row>
    <row r="15"/>
    <row r="16">
      <c r="A16" t="inlineStr">
        <is>
          <t>Sowing and fodder</t>
        </is>
      </c>
      <c r="B16" t="n">
        <v>1</v>
      </c>
      <c r="C16" t="n">
        <v>11</v>
      </c>
      <c r="D16" t="n">
        <v>8</v>
      </c>
      <c r="F16" s="72" t="n">
        <v>1.58</v>
      </c>
      <c r="H16" t="inlineStr">
        <is>
          <t>In 15 quarters of oats bought for sowing and fodder £1 11 shilling 8pence, at 1 shilling 8pence a qr for 5 quarters, and 2 shilling 4pence a qr for 10 quarters.</t>
        </is>
      </c>
    </row>
    <row r="17">
      <c r="A17" t="inlineStr">
        <is>
          <t>Sowing and fodder</t>
        </is>
      </c>
      <c r="B17" t="n">
        <v>1</v>
      </c>
      <c r="C17" t="n">
        <v>11</v>
      </c>
      <c r="D17" t="n">
        <v>8</v>
      </c>
      <c r="F17" s="72" t="n">
        <v>1.58</v>
      </c>
      <c r="H17" t="inlineStr">
        <is>
          <t>Total, £1 11 shilling 8pence</t>
        </is>
      </c>
    </row>
    <row r="18">
      <c r="A18" t="inlineStr">
        <is>
          <t>Sowing and fodder</t>
        </is>
      </c>
      <c r="F18" s="72" t="n">
        <v>1.58</v>
      </c>
      <c r="G18" s="140" t="n">
        <v>0</v>
      </c>
      <c r="H18" t="inlineStr">
        <is>
          <t>Total</t>
        </is>
      </c>
    </row>
    <row r="19"/>
    <row r="20">
      <c r="A20" t="inlineStr">
        <is>
          <t>Carts</t>
        </is>
      </c>
      <c r="B20" t="n">
        <v>0</v>
      </c>
      <c r="C20" t="n">
        <v>0</v>
      </c>
      <c r="D20" t="n">
        <v>9</v>
      </c>
      <c r="F20" s="72" t="n">
        <v>0.04</v>
      </c>
      <c r="H20" t="inlineStr">
        <is>
          <t>In 1 pair of wheels made from the lord's timber 9pence.</t>
        </is>
      </c>
      <c r="J20" s="72">
        <f>F20</f>
        <v/>
      </c>
      <c r="K20" s="72">
        <f>J20</f>
        <v/>
      </c>
    </row>
    <row r="21">
      <c r="A21" t="inlineStr">
        <is>
          <t>Carts</t>
        </is>
      </c>
      <c r="B21" t="n">
        <v>0</v>
      </c>
      <c r="C21" t="n">
        <v>1</v>
      </c>
      <c r="D21" t="n">
        <v>4</v>
      </c>
      <c r="F21" s="72" t="n">
        <v>0.07000000000000001</v>
      </c>
      <c r="H21" t="inlineStr">
        <is>
          <t>clouts, nails and grease bought 1 shilling 4pence.</t>
        </is>
      </c>
      <c r="J21" s="72">
        <f>F21</f>
        <v/>
      </c>
      <c r="K21" s="72">
        <f>J21</f>
        <v/>
      </c>
    </row>
    <row r="22">
      <c r="A22" t="inlineStr">
        <is>
          <t>Carts</t>
        </is>
      </c>
      <c r="B22" t="n">
        <v>0</v>
      </c>
      <c r="C22" t="n">
        <v>0</v>
      </c>
      <c r="D22" t="n">
        <v>6</v>
      </c>
      <c r="F22" s="72" t="n">
        <v>0.03</v>
      </c>
      <c r="H22" t="inlineStr">
        <is>
          <t>fitting the cart with axles 6pence.</t>
        </is>
      </c>
      <c r="J22" s="72">
        <f>F22</f>
        <v/>
      </c>
      <c r="K22" s="72">
        <f>J22</f>
        <v/>
      </c>
    </row>
    <row r="23">
      <c r="A23" t="inlineStr">
        <is>
          <t>Carts</t>
        </is>
      </c>
      <c r="B23" t="n">
        <v>0</v>
      </c>
      <c r="C23" t="n">
        <v>0</v>
      </c>
      <c r="D23" t="n">
        <v>6</v>
      </c>
      <c r="F23" s="72" t="n">
        <v>0.03</v>
      </c>
      <c r="H23" t="inlineStr">
        <is>
          <t>1 collar bought 6pence.</t>
        </is>
      </c>
      <c r="J23" s="72">
        <f>F23</f>
        <v/>
      </c>
      <c r="K23" s="72">
        <f>J23</f>
        <v/>
      </c>
    </row>
    <row r="24">
      <c r="A24" t="inlineStr">
        <is>
          <t>Carts</t>
        </is>
      </c>
      <c r="B24" t="n">
        <v>0</v>
      </c>
      <c r="C24" t="n">
        <v>0</v>
      </c>
      <c r="D24" t="n">
        <v>6</v>
      </c>
      <c r="F24" s="72" t="n">
        <v>0.03</v>
      </c>
      <c r="H24" t="inlineStr">
        <is>
          <t>1 pair of traces bought 6pence.</t>
        </is>
      </c>
      <c r="J24" s="72">
        <f>F24</f>
        <v/>
      </c>
      <c r="K24" s="72">
        <f>J24</f>
        <v/>
      </c>
    </row>
    <row r="25">
      <c r="A25" t="inlineStr">
        <is>
          <t>Carts</t>
        </is>
      </c>
      <c r="B25" t="n">
        <v>0</v>
      </c>
      <c r="C25" t="n">
        <v>1</v>
      </c>
      <c r="D25" t="n">
        <v>1</v>
      </c>
      <c r="F25" s="72" t="n">
        <v>0.05</v>
      </c>
      <c r="H25" t="inlineStr">
        <is>
          <t>1 cart-rope bought 1 shilling 1pence.</t>
        </is>
      </c>
      <c r="J25" s="72">
        <f>F25</f>
        <v/>
      </c>
      <c r="K25" s="72">
        <f>J25</f>
        <v/>
      </c>
    </row>
    <row r="26">
      <c r="A26" t="inlineStr">
        <is>
          <t>Carts</t>
        </is>
      </c>
      <c r="B26" t="n">
        <v>0</v>
      </c>
      <c r="C26" t="n">
        <v>0</v>
      </c>
      <c r="D26" t="n">
        <v>10</v>
      </c>
      <c r="F26" s="72" t="n">
        <v>0.04</v>
      </c>
      <c r="H26" t="inlineStr">
        <is>
          <t>white leather bought for harnesses 10pence.</t>
        </is>
      </c>
      <c r="J26" s="72">
        <f>F26</f>
        <v/>
      </c>
      <c r="K26" s="72">
        <f>J26</f>
        <v/>
      </c>
    </row>
    <row r="27">
      <c r="A27" t="inlineStr">
        <is>
          <t>Carts</t>
        </is>
      </c>
      <c r="B27" t="n">
        <v>0</v>
      </c>
      <c r="C27" t="n">
        <v>1</v>
      </c>
      <c r="D27" t="n">
        <v>4</v>
      </c>
      <c r="F27" s="72" t="n">
        <v>0.07000000000000001</v>
      </c>
      <c r="H27" t="inlineStr">
        <is>
          <t>shoeing 4 plough-horses 1 shilling 4pence.</t>
        </is>
      </c>
      <c r="J27" s="72">
        <f>F27</f>
        <v/>
      </c>
      <c r="K27" s="72">
        <f>J27</f>
        <v/>
      </c>
    </row>
    <row r="28">
      <c r="A28" t="inlineStr">
        <is>
          <t>Carts</t>
        </is>
      </c>
      <c r="B28" t="n">
        <v>0</v>
      </c>
      <c r="C28" t="n">
        <v>0</v>
      </c>
      <c r="D28" t="n">
        <v>1</v>
      </c>
      <c r="F28" s="72" t="n">
        <v>0</v>
      </c>
      <c r="H28" t="inlineStr">
        <is>
          <t>a halter bought 1pence.</t>
        </is>
      </c>
      <c r="J28" s="72">
        <f>F28</f>
        <v/>
      </c>
      <c r="K28" s="72">
        <f>J28</f>
        <v/>
      </c>
    </row>
    <row r="29">
      <c r="A29" t="inlineStr">
        <is>
          <t>Carts</t>
        </is>
      </c>
      <c r="B29" t="n">
        <v>0</v>
      </c>
      <c r="C29" t="n">
        <v>3</v>
      </c>
      <c r="D29" t="n">
        <v>0</v>
      </c>
      <c r="F29" s="72" t="n">
        <v>0.15</v>
      </c>
      <c r="H29" t="inlineStr">
        <is>
          <t>stipend of 1 carter for the year 3 shilling.</t>
        </is>
      </c>
      <c r="K29" s="72" t="n"/>
    </row>
    <row r="30">
      <c r="A30" t="inlineStr">
        <is>
          <t>Carts</t>
        </is>
      </c>
      <c r="B30" t="n">
        <v>0</v>
      </c>
      <c r="C30" t="n">
        <v>0</v>
      </c>
      <c r="D30" t="n">
        <v>9</v>
      </c>
      <c r="F30" s="72">
        <f>B30+C30/20+D30/240</f>
        <v/>
      </c>
      <c r="H30" t="inlineStr">
        <is>
          <t xml:space="preserve">pair of wheels made for dung 9pence </t>
        </is>
      </c>
      <c r="J30" s="72">
        <f>F30</f>
        <v/>
      </c>
      <c r="K30" s="72">
        <f>J30</f>
        <v/>
      </c>
    </row>
    <row r="31">
      <c r="A31" t="inlineStr">
        <is>
          <t>Carts</t>
        </is>
      </c>
      <c r="B31" t="n">
        <v>0</v>
      </c>
      <c r="C31" t="n">
        <v>10</v>
      </c>
      <c r="D31" t="n">
        <v>3</v>
      </c>
      <c r="F31" s="72">
        <f>B31+C31/20+D31/240</f>
        <v/>
      </c>
      <c r="H31" t="inlineStr">
        <is>
          <t>Total, 10 shilling 3pence</t>
        </is>
      </c>
    </row>
    <row r="32">
      <c r="A32" t="inlineStr">
        <is>
          <t>Carts</t>
        </is>
      </c>
      <c r="F32" s="72">
        <f>SUM(F20:F30)</f>
        <v/>
      </c>
      <c r="G32" s="140">
        <f>F32-F31</f>
        <v/>
      </c>
      <c r="H32" t="inlineStr">
        <is>
          <t>Total</t>
        </is>
      </c>
    </row>
    <row r="33"/>
    <row r="34">
      <c r="A34" t="inlineStr">
        <is>
          <t>Dairy</t>
        </is>
      </c>
      <c r="B34" t="n">
        <v>0</v>
      </c>
      <c r="C34" t="n">
        <v>1</v>
      </c>
      <c r="D34" t="n">
        <v>3</v>
      </c>
      <c r="F34" s="72" t="n">
        <v>0.06</v>
      </c>
      <c r="H34" t="inlineStr">
        <is>
          <t>bushels 5	of salt bought 1 shilling 3pence.</t>
        </is>
      </c>
      <c r="J34" s="72">
        <f>F34</f>
        <v/>
      </c>
      <c r="K34" s="72">
        <f>J34</f>
        <v/>
      </c>
    </row>
    <row r="35">
      <c r="A35" t="inlineStr">
        <is>
          <t>Dairy</t>
        </is>
      </c>
      <c r="B35" t="n">
        <v>0</v>
      </c>
      <c r="C35" t="n">
        <v>0</v>
      </c>
      <c r="D35" t="n">
        <v>6</v>
      </c>
      <c r="F35" s="72" t="n">
        <v>0.03</v>
      </c>
      <c r="H35" t="inlineStr">
        <is>
          <t>linen and woollen cloth 6pence.</t>
        </is>
      </c>
      <c r="J35" s="72">
        <f>F35</f>
        <v/>
      </c>
      <c r="K35" s="72">
        <f>J35</f>
        <v/>
      </c>
    </row>
    <row r="36">
      <c r="A36" t="inlineStr">
        <is>
          <t>Dairy</t>
        </is>
      </c>
      <c r="B36" t="n">
        <v>0</v>
      </c>
      <c r="C36" t="n">
        <v>0</v>
      </c>
      <c r="D36" t="n">
        <v>2.5</v>
      </c>
      <c r="F36" s="72" t="n">
        <v>0.01</v>
      </c>
      <c r="H36" t="inlineStr">
        <is>
          <t>earthenware pots and pans bought 2.5pence.</t>
        </is>
      </c>
      <c r="J36" s="72">
        <f>F36</f>
        <v/>
      </c>
      <c r="K36" s="72">
        <f>J36</f>
        <v/>
      </c>
    </row>
    <row r="37">
      <c r="A37" t="inlineStr">
        <is>
          <t>Dairy</t>
        </is>
      </c>
      <c r="B37" t="n">
        <v>0</v>
      </c>
      <c r="C37" t="n">
        <v>0</v>
      </c>
      <c r="D37" t="n">
        <v>4</v>
      </c>
      <c r="F37" s="72" t="n">
        <v>0.02</v>
      </c>
      <c r="H37" t="inlineStr">
        <is>
          <t>a press bought 4pence.</t>
        </is>
      </c>
      <c r="J37" s="72">
        <f>F37</f>
        <v/>
      </c>
      <c r="K37" s="72">
        <f>J37</f>
        <v/>
      </c>
    </row>
    <row r="38">
      <c r="A38" t="inlineStr">
        <is>
          <t>Dairy</t>
        </is>
      </c>
      <c r="B38" t="n">
        <v>0</v>
      </c>
      <c r="C38" t="n">
        <v>0</v>
      </c>
      <c r="D38" t="n">
        <v>3</v>
      </c>
      <c r="F38" s="72" t="n">
        <v>0.01</v>
      </c>
      <c r="H38" t="inlineStr">
        <is>
          <t>mending the utensils of the dairy 3pence.</t>
        </is>
      </c>
      <c r="J38" s="72">
        <f>F38</f>
        <v/>
      </c>
      <c r="K38" s="72">
        <f>J38</f>
        <v/>
      </c>
    </row>
    <row r="39">
      <c r="A39" t="inlineStr">
        <is>
          <t>Dairy</t>
        </is>
      </c>
      <c r="B39" t="n">
        <v>0</v>
      </c>
      <c r="C39" t="n">
        <v>2</v>
      </c>
      <c r="D39" t="n">
        <v>3</v>
      </c>
      <c r="F39" s="72" t="n">
        <v>0.11</v>
      </c>
      <c r="H39" t="inlineStr">
        <is>
          <t>9 ells of canvas bought for packing the coarse wool and lamb's-wool 2 shilling 3pence.</t>
        </is>
      </c>
      <c r="J39" s="72">
        <f>F39</f>
        <v/>
      </c>
      <c r="K39" s="72">
        <f>J39</f>
        <v/>
      </c>
    </row>
    <row r="40">
      <c r="A40" t="inlineStr">
        <is>
          <t>Dairy</t>
        </is>
      </c>
      <c r="B40" t="n">
        <v>0</v>
      </c>
      <c r="C40" t="n">
        <v>0</v>
      </c>
      <c r="D40" t="n">
        <v>2</v>
      </c>
      <c r="F40" s="72" t="n">
        <v>0.01</v>
      </c>
      <c r="H40" t="inlineStr">
        <is>
          <t>packing the same and making sacks 2pence.</t>
        </is>
      </c>
      <c r="J40" s="72">
        <f>F40</f>
        <v/>
      </c>
      <c r="K40" s="72">
        <f>J40</f>
        <v/>
      </c>
    </row>
    <row r="41">
      <c r="A41" t="inlineStr">
        <is>
          <t>Dairy</t>
        </is>
      </c>
      <c r="B41" t="n">
        <v>0</v>
      </c>
      <c r="C41" t="n">
        <v>10</v>
      </c>
      <c r="D41" t="n">
        <v>0</v>
      </c>
      <c r="F41" s="72" t="n">
        <v>0.5</v>
      </c>
      <c r="H41" t="inlineStr">
        <is>
          <t>grease, vinegar and copperas to make well diseased sheep 10 shilling.</t>
        </is>
      </c>
      <c r="J41" s="72">
        <f>F41</f>
        <v/>
      </c>
      <c r="K41" s="72">
        <f>J41</f>
        <v/>
      </c>
    </row>
    <row r="42">
      <c r="A42" t="inlineStr">
        <is>
          <t>Dairy</t>
        </is>
      </c>
      <c r="B42" t="n">
        <v>0</v>
      </c>
      <c r="C42" t="n">
        <v>1</v>
      </c>
      <c r="D42" t="n">
        <v>3</v>
      </c>
      <c r="F42" s="72" t="n">
        <v>0.06</v>
      </c>
      <c r="H42" t="inlineStr">
        <is>
          <t>30 hurdles made 1 shilling 3pence.</t>
        </is>
      </c>
      <c r="J42" s="72">
        <f>F42</f>
        <v/>
      </c>
      <c r="K42" s="72">
        <f>J42</f>
        <v/>
      </c>
    </row>
    <row r="43">
      <c r="A43" t="inlineStr">
        <is>
          <t>Dairy</t>
        </is>
      </c>
      <c r="B43" t="n">
        <v>0</v>
      </c>
      <c r="C43" t="n">
        <v>3</v>
      </c>
      <c r="D43" t="n">
        <v>9.5</v>
      </c>
      <c r="F43" s="72" t="n">
        <v>0.19</v>
      </c>
      <c r="H43" t="inlineStr">
        <is>
          <t>cratches made anew around the walls in the sheepcote 3 shilling 9.5pence.</t>
        </is>
      </c>
      <c r="J43" s="72">
        <f>F43</f>
        <v/>
      </c>
      <c r="K43" s="72">
        <f>J43</f>
        <v/>
      </c>
    </row>
    <row r="44">
      <c r="A44" t="inlineStr">
        <is>
          <t>Dairy</t>
        </is>
      </c>
      <c r="B44" t="n">
        <v>0</v>
      </c>
      <c r="C44" t="n">
        <v>0</v>
      </c>
      <c r="D44" t="n">
        <v>2</v>
      </c>
      <c r="F44" s="72" t="n">
        <v>0.01</v>
      </c>
      <c r="H44" t="inlineStr">
        <is>
          <t>tithe of 2 foals 2pence.</t>
        </is>
      </c>
      <c r="J44" s="72">
        <f>F44</f>
        <v/>
      </c>
      <c r="K44" s="72">
        <f>J44</f>
        <v/>
      </c>
    </row>
    <row r="45">
      <c r="A45" t="inlineStr">
        <is>
          <t>Dairy</t>
        </is>
      </c>
      <c r="B45" t="n">
        <v>0</v>
      </c>
      <c r="C45" t="n">
        <v>0</v>
      </c>
      <c r="D45" t="n">
        <v>3.5</v>
      </c>
      <c r="F45" s="72" t="n">
        <v>0.01</v>
      </c>
      <c r="H45" t="inlineStr">
        <is>
          <t>gelding piglets 3.5pence.</t>
        </is>
      </c>
      <c r="J45" s="72">
        <f>F45</f>
        <v/>
      </c>
      <c r="K45" s="72">
        <f>J45</f>
        <v/>
      </c>
    </row>
    <row r="46">
      <c r="A46" t="inlineStr">
        <is>
          <t>Dairy</t>
        </is>
      </c>
      <c r="B46" t="n">
        <v>0</v>
      </c>
      <c r="C46" t="n">
        <v>3</v>
      </c>
      <c r="D46" t="n">
        <v>0</v>
      </c>
      <c r="F46" s="72" t="n">
        <v>0.15</v>
      </c>
      <c r="H46" t="inlineStr">
        <is>
          <t>stipend of the dairy-keeper who is male 3 shilling.</t>
        </is>
      </c>
    </row>
    <row r="47">
      <c r="A47" t="inlineStr">
        <is>
          <t>Dairy</t>
        </is>
      </c>
      <c r="B47" t="n">
        <v>0</v>
      </c>
      <c r="C47" t="n">
        <v>13</v>
      </c>
      <c r="D47" t="n">
        <v>4</v>
      </c>
      <c r="F47" s="72" t="n">
        <v>0.67</v>
      </c>
      <c r="H47" t="inlineStr">
        <is>
          <t>20 lambs bought 13 shilling 4pence, at 8pence each.</t>
        </is>
      </c>
    </row>
    <row r="48">
      <c r="A48" t="inlineStr">
        <is>
          <t>Dairy</t>
        </is>
      </c>
      <c r="B48" t="n">
        <v>0</v>
      </c>
      <c r="C48" t="n">
        <v>10</v>
      </c>
      <c r="D48" t="n">
        <v>10</v>
      </c>
      <c r="F48" s="72" t="n">
        <v>0.54</v>
      </c>
      <c r="H48" t="inlineStr">
        <is>
          <t>1 sow and 11 pigs bought 10 shilling 10pence, at various prices.</t>
        </is>
      </c>
    </row>
    <row r="49">
      <c r="A49" t="inlineStr">
        <is>
          <t>Dairy</t>
        </is>
      </c>
      <c r="B49" t="n">
        <v>2</v>
      </c>
      <c r="C49" t="n">
        <v>7</v>
      </c>
      <c r="D49" t="n">
        <v>7.5</v>
      </c>
      <c r="F49" s="72" t="n">
        <v>2.38</v>
      </c>
      <c r="H49" t="inlineStr">
        <is>
          <t>Total, £2 7 shilling 7.5pence</t>
        </is>
      </c>
    </row>
    <row r="50">
      <c r="A50" t="inlineStr">
        <is>
          <t>Dairy</t>
        </is>
      </c>
      <c r="F50" s="72" t="n">
        <v>2.38</v>
      </c>
      <c r="G50" s="140" t="n">
        <v>0</v>
      </c>
      <c r="H50" t="inlineStr">
        <is>
          <t>Total</t>
        </is>
      </c>
    </row>
    <row r="51"/>
    <row r="52"/>
    <row r="53">
      <c r="A53" t="inlineStr">
        <is>
          <t>Repair of buildings</t>
        </is>
      </c>
      <c r="B53" t="n">
        <v>0</v>
      </c>
      <c r="C53" t="n">
        <v>2</v>
      </c>
      <c r="D53" t="n">
        <v>0</v>
      </c>
      <c r="F53" s="72" t="n">
        <v>0.1</v>
      </c>
      <c r="H53" t="inlineStr">
        <is>
          <t>In thatch bought for roofing the bakehouse and covering the stone walls 2 shilling.</t>
        </is>
      </c>
      <c r="J53" s="72">
        <f>F53</f>
        <v/>
      </c>
      <c r="K53" s="72">
        <f>J53</f>
        <v/>
      </c>
    </row>
    <row r="54">
      <c r="A54" t="inlineStr">
        <is>
          <t>Repair of buildings</t>
        </is>
      </c>
      <c r="B54" t="n">
        <v>0</v>
      </c>
      <c r="C54" t="n">
        <v>6</v>
      </c>
      <c r="D54" t="n">
        <v>0</v>
      </c>
      <c r="F54" s="72" t="n">
        <v>0.3</v>
      </c>
      <c r="H54" t="inlineStr">
        <is>
          <t>thatch bought and roofing the barn in part and the byre nearly anew 6 shilling.</t>
        </is>
      </c>
      <c r="J54" s="72">
        <f>F54</f>
        <v/>
      </c>
      <c r="K54" s="72">
        <f>J54</f>
        <v/>
      </c>
    </row>
    <row r="55">
      <c r="A55" t="inlineStr">
        <is>
          <t>Repair of buildings</t>
        </is>
      </c>
      <c r="B55" t="n">
        <v>0</v>
      </c>
      <c r="C55" t="n">
        <v>5</v>
      </c>
      <c r="D55" t="n">
        <v>6</v>
      </c>
      <c r="F55" s="72" t="n">
        <v>0.28</v>
      </c>
      <c r="H55" t="inlineStr">
        <is>
          <t>hedging to enclose around the curia anew and repairing it where necessary with fencing felled for the same 5 shilling 6pence.</t>
        </is>
      </c>
      <c r="J55" s="72">
        <f>F55</f>
        <v/>
      </c>
    </row>
    <row r="56">
      <c r="A56" t="inlineStr">
        <is>
          <t>Repair of buildings</t>
        </is>
      </c>
      <c r="B56" t="n">
        <v>0</v>
      </c>
      <c r="C56" t="n">
        <v>6</v>
      </c>
      <c r="D56" t="n">
        <v>5</v>
      </c>
      <c r="F56" s="72" t="n">
        <v>0.32</v>
      </c>
      <c r="H56" t="inlineStr">
        <is>
          <t>3,500 shingles made 6 shilling 5pence.</t>
        </is>
      </c>
      <c r="J56" s="72">
        <f>F56</f>
        <v/>
      </c>
    </row>
    <row r="57">
      <c r="A57" t="inlineStr">
        <is>
          <t>Repair of buildings</t>
        </is>
      </c>
      <c r="B57" t="n">
        <v>0</v>
      </c>
      <c r="C57" t="n">
        <v>5</v>
      </c>
      <c r="D57" t="n">
        <v>10</v>
      </c>
      <c r="F57" s="72" t="n">
        <v>0.29</v>
      </c>
      <c r="H57" t="inlineStr">
        <is>
          <t>laying the same on the hall, room of the steward's clerks, and chapel 5 shilling 10pence.</t>
        </is>
      </c>
      <c r="J57" s="72">
        <f>F57</f>
        <v/>
      </c>
    </row>
    <row r="58">
      <c r="A58" t="inlineStr">
        <is>
          <t>Repair of buildings</t>
        </is>
      </c>
      <c r="B58" t="n">
        <v>0</v>
      </c>
      <c r="C58" t="n">
        <v>2</v>
      </c>
      <c r="D58" t="n">
        <v>0</v>
      </c>
      <c r="F58" s="72" t="n">
        <v>0.1</v>
      </c>
      <c r="H58" t="inlineStr">
        <is>
          <t>roofing and mending the said buildings with old shingles in places where it was necessary 2 shilling.</t>
        </is>
      </c>
      <c r="J58" s="72">
        <f>F58</f>
        <v/>
      </c>
    </row>
    <row r="59">
      <c r="A59" t="inlineStr">
        <is>
          <t>Repair of buildings</t>
        </is>
      </c>
      <c r="B59" t="n">
        <v>0</v>
      </c>
      <c r="C59" t="n">
        <v>2</v>
      </c>
      <c r="D59" t="n">
        <v>6</v>
      </c>
      <c r="F59" s="72" t="n">
        <v>0.12</v>
      </c>
      <c r="H59" t="inlineStr">
        <is>
          <t>large and small nails bought for the same 2 shilling 6pence.</t>
        </is>
      </c>
      <c r="J59" s="72">
        <f>F59</f>
        <v/>
      </c>
    </row>
    <row r="60">
      <c r="A60" t="inlineStr">
        <is>
          <t>Repair of buildings</t>
        </is>
      </c>
      <c r="B60" t="n">
        <v>0</v>
      </c>
      <c r="C60" t="n">
        <v>2</v>
      </c>
      <c r="D60" t="n">
        <v>8</v>
      </c>
      <c r="F60" s="72" t="n">
        <v>0.13</v>
      </c>
      <c r="H60" t="inlineStr">
        <is>
          <t>sawing boards and felling timber for the walls of the granary 2 shilling 8pence.</t>
        </is>
      </c>
      <c r="J60" s="72">
        <f>F60</f>
        <v/>
      </c>
      <c r="K60" s="72">
        <f>J60</f>
        <v/>
      </c>
    </row>
    <row r="61">
      <c r="A61" t="inlineStr">
        <is>
          <t>Repair of buildings</t>
        </is>
      </c>
      <c r="B61" t="n">
        <v>0</v>
      </c>
      <c r="C61" t="n">
        <v>4</v>
      </c>
      <c r="D61" t="n">
        <v>0</v>
      </c>
      <c r="F61" s="72" t="n">
        <v>0.2</v>
      </c>
      <c r="H61" t="inlineStr">
        <is>
          <t>a carpenter making the said walls nearly anew 4 shilling.</t>
        </is>
      </c>
      <c r="J61" s="72">
        <f>F61</f>
        <v/>
      </c>
      <c r="K61" s="72">
        <f>J61</f>
        <v/>
      </c>
    </row>
    <row r="62">
      <c r="A62" t="inlineStr">
        <is>
          <t>Repair of buildings</t>
        </is>
      </c>
      <c r="B62" t="n">
        <v>0</v>
      </c>
      <c r="C62" t="n">
        <v>0</v>
      </c>
      <c r="D62" t="n">
        <v>11.5</v>
      </c>
      <c r="F62" s="72" t="n">
        <v>0.05</v>
      </c>
      <c r="H62" t="inlineStr">
        <is>
          <t>large nails bought for the same 11.5pence.</t>
        </is>
      </c>
      <c r="J62" s="72">
        <f>F62</f>
        <v/>
      </c>
      <c r="K62" s="72">
        <f>J62</f>
        <v/>
      </c>
    </row>
    <row r="63">
      <c r="A63" t="inlineStr">
        <is>
          <t>Repair of buildings</t>
        </is>
      </c>
      <c r="B63" t="n">
        <v>0</v>
      </c>
      <c r="C63" t="n">
        <v>1</v>
      </c>
      <c r="D63" t="n">
        <v>8</v>
      </c>
      <c r="F63" s="72" t="n">
        <v>0.08</v>
      </c>
      <c r="H63" t="inlineStr">
        <is>
          <t>roofing the bailiff's room in places 1 shilling 8pence.</t>
        </is>
      </c>
      <c r="J63" s="72">
        <f>F63</f>
        <v/>
      </c>
    </row>
    <row r="64">
      <c r="A64" t="inlineStr">
        <is>
          <t>Repair of buildings</t>
        </is>
      </c>
      <c r="B64" t="n">
        <v>0</v>
      </c>
      <c r="C64" t="n">
        <v>10</v>
      </c>
      <c r="D64" t="n">
        <v>0</v>
      </c>
      <c r="F64" s="72">
        <f>B64+C64/20+D64/240</f>
        <v/>
      </c>
      <c r="H64" t="inlineStr">
        <is>
          <t xml:space="preserve">charcoal made 10 shilling </t>
        </is>
      </c>
      <c r="J64" s="72">
        <f>F64</f>
        <v/>
      </c>
    </row>
    <row r="65">
      <c r="A65" t="inlineStr">
        <is>
          <t>Repair of buildings</t>
        </is>
      </c>
      <c r="B65" t="n">
        <v>2</v>
      </c>
      <c r="C65" t="n">
        <v>9</v>
      </c>
      <c r="D65" t="n">
        <v>6.5</v>
      </c>
      <c r="F65" s="72" t="n">
        <v>2.48</v>
      </c>
      <c r="H65" t="inlineStr">
        <is>
          <t>Total, £2 9 shilling 6.5pence</t>
        </is>
      </c>
    </row>
    <row r="66">
      <c r="A66" t="inlineStr">
        <is>
          <t>Repair of buildings</t>
        </is>
      </c>
      <c r="F66" s="72">
        <f>SUM(F53:F64)</f>
        <v/>
      </c>
      <c r="G66" s="140">
        <f>F66-F65</f>
        <v/>
      </c>
      <c r="H66" t="inlineStr">
        <is>
          <t>Total</t>
        </is>
      </c>
    </row>
    <row r="67"/>
    <row r="68"/>
    <row r="69">
      <c r="A69" t="inlineStr">
        <is>
          <t>Harvest-time</t>
        </is>
      </c>
      <c r="B69" t="n">
        <v>0</v>
      </c>
      <c r="C69" t="n">
        <v>19</v>
      </c>
      <c r="D69" t="n">
        <v>0</v>
      </c>
      <c r="F69" s="72" t="n">
        <v>0.95</v>
      </c>
      <c r="H69" t="inlineStr">
        <is>
          <t>In 5 quarters of barley bought for the bread of 500 men with the officials of the curia at 3 harvest boon-works 19 shilling, and each had 1 loaf a day, of which 100 were made from a quarter.</t>
        </is>
      </c>
    </row>
    <row r="70">
      <c r="A70" t="inlineStr">
        <is>
          <t>Harvest-time</t>
        </is>
      </c>
      <c r="B70" t="n">
        <v>0</v>
      </c>
      <c r="C70" t="n">
        <v>6</v>
      </c>
      <c r="D70" t="n">
        <v>9</v>
      </c>
      <c r="F70" s="72" t="n">
        <v>0.34</v>
      </c>
      <c r="H70" t="inlineStr">
        <is>
          <t>1,000 herrings bought to eat with the bread (companag' eorundem) 6 shilling 9pence, and each had 2 herrings a day.</t>
        </is>
      </c>
    </row>
    <row r="71">
      <c r="A71" t="inlineStr">
        <is>
          <t>Harvest-time</t>
        </is>
      </c>
      <c r="B71" t="n">
        <v>0</v>
      </c>
      <c r="C71" t="n">
        <v>0</v>
      </c>
      <c r="D71" t="n">
        <v>4</v>
      </c>
      <c r="F71" s="72" t="n">
        <v>0.02</v>
      </c>
      <c r="H71" t="inlineStr">
        <is>
          <t>meal bought for the pottage of the same 4pence They reaped 288 acres of wheat, barley and oats as they lie.</t>
        </is>
      </c>
    </row>
    <row r="72">
      <c r="A72" t="inlineStr">
        <is>
          <t>Harvest-time</t>
        </is>
      </c>
      <c r="B72" t="n">
        <v>0</v>
      </c>
      <c r="C72" t="n">
        <v>0</v>
      </c>
      <c r="D72" t="n">
        <v>0</v>
      </c>
      <c r="F72" s="72" t="n">
        <v>0</v>
      </c>
      <c r="H72" t="inlineStr">
        <is>
          <t>moreover, they are to reap 161 acres which are called gavel-acres (gavelacr') each year according to custom, and this year they reaped all the acres of wheat, barley and oats, and 22 acres are in quittance for the officials of the curia whilst they are in the lord's service.</t>
        </is>
      </c>
    </row>
    <row r="73">
      <c r="A73" t="inlineStr">
        <is>
          <t>Harvest-time</t>
        </is>
      </c>
      <c r="B73" t="n">
        <v>0</v>
      </c>
      <c r="C73" t="n">
        <v>2</v>
      </c>
      <c r="D73" t="n">
        <v>11.5</v>
      </c>
      <c r="F73" s="72" t="n">
        <v>0.15</v>
      </c>
      <c r="H73" t="inlineStr">
        <is>
          <t>mending a press 2 shilling 11.5pence.</t>
        </is>
      </c>
    </row>
    <row r="74">
      <c r="A74" t="inlineStr">
        <is>
          <t>Harvest-time</t>
        </is>
      </c>
      <c r="B74" t="n">
        <v>0</v>
      </c>
      <c r="C74" t="n">
        <v>10</v>
      </c>
      <c r="D74" t="n">
        <v>0</v>
      </c>
      <c r="F74" s="72" t="n">
        <v>0.5</v>
      </c>
      <c r="H74" t="inlineStr">
        <is>
          <t>5 empty casks bought 10 shilling.</t>
        </is>
      </c>
    </row>
    <row r="75">
      <c r="A75" t="inlineStr">
        <is>
          <t>Harvest-time</t>
        </is>
      </c>
      <c r="B75" t="n">
        <v>0</v>
      </c>
      <c r="C75" t="n">
        <v>1</v>
      </c>
      <c r="D75" t="n">
        <v>11.5</v>
      </c>
      <c r="F75" s="72" t="n">
        <v>0.1</v>
      </c>
      <c r="H75" t="inlineStr">
        <is>
          <t>timber bought to hoop the said casks 1 shilling 11.5pence.</t>
        </is>
      </c>
    </row>
    <row r="76">
      <c r="A76" t="inlineStr">
        <is>
          <t>Harvest-time</t>
        </is>
      </c>
      <c r="B76" t="n">
        <v>0</v>
      </c>
      <c r="C76" t="n">
        <v>1</v>
      </c>
      <c r="D76" t="n">
        <v>10</v>
      </c>
      <c r="F76" s="72" t="n">
        <v>0.09</v>
      </c>
      <c r="H76" t="inlineStr">
        <is>
          <t>hooping the said casks 1 shilling 10pence.</t>
        </is>
      </c>
    </row>
    <row r="77">
      <c r="A77" t="inlineStr">
        <is>
          <t>Harvest-time</t>
        </is>
      </c>
      <c r="B77" t="n">
        <v>0</v>
      </c>
      <c r="C77" t="n">
        <v>1</v>
      </c>
      <c r="D77" t="n">
        <v>6</v>
      </c>
      <c r="F77" s="72">
        <f>B77+C77/20+D77/240</f>
        <v/>
      </c>
      <c r="H77" t="inlineStr">
        <is>
          <t xml:space="preserve">making cider 1 shilling 6pence </t>
        </is>
      </c>
    </row>
    <row r="78">
      <c r="A78" t="inlineStr">
        <is>
          <t>Harvest-time</t>
        </is>
      </c>
      <c r="B78" t="n">
        <v>2</v>
      </c>
      <c r="C78" t="n">
        <v>4</v>
      </c>
      <c r="D78" t="n">
        <v>4</v>
      </c>
      <c r="F78" s="72" t="n">
        <v>2.22</v>
      </c>
      <c r="H78" t="inlineStr">
        <is>
          <t>Total, £2 4 shilling 4pence</t>
        </is>
      </c>
    </row>
    <row r="79">
      <c r="A79" t="inlineStr">
        <is>
          <t>Harvest-time</t>
        </is>
      </c>
      <c r="F79" s="72">
        <f>SUM(F69:F77)</f>
        <v/>
      </c>
      <c r="G79" s="140">
        <f>F79-F78</f>
        <v/>
      </c>
      <c r="H79" t="inlineStr">
        <is>
          <t>Total</t>
        </is>
      </c>
    </row>
    <row r="80"/>
    <row r="81">
      <c r="A81" t="inlineStr">
        <is>
          <t>Cost of the park</t>
        </is>
      </c>
      <c r="B81" t="n">
        <v>0</v>
      </c>
      <c r="C81" t="n">
        <v>6</v>
      </c>
      <c r="D81" t="n">
        <v>8</v>
      </c>
      <c r="F81" s="72">
        <f>B81+C81/20+D81/240</f>
        <v/>
      </c>
      <c r="H81" t="inlineStr">
        <is>
          <t>In stipend of 1 park-keeper for the year according to custom 6 shilling 8pence.</t>
        </is>
      </c>
    </row>
    <row r="82">
      <c r="A82" t="inlineStr">
        <is>
          <t>Cost of the park</t>
        </is>
      </c>
      <c r="B82" t="n">
        <v>0</v>
      </c>
      <c r="C82" t="n">
        <v>1</v>
      </c>
      <c r="D82" t="n">
        <v>4</v>
      </c>
      <c r="F82" s="72">
        <f>B82+C82/20+D82/240</f>
        <v/>
      </c>
      <c r="H82" t="inlineStr">
        <is>
          <t xml:space="preserve">mending the hedges in the enclosure 1 shilling 4pence </t>
        </is>
      </c>
    </row>
    <row r="83">
      <c r="A83" t="inlineStr">
        <is>
          <t>Cost of the park</t>
        </is>
      </c>
      <c r="B83" t="n">
        <v>0</v>
      </c>
      <c r="C83" t="n">
        <v>8</v>
      </c>
      <c r="D83" t="n">
        <v>0</v>
      </c>
      <c r="F83" s="72">
        <f>B83+C83/20+D83/240</f>
        <v/>
      </c>
      <c r="H83" t="inlineStr">
        <is>
          <t>Total, 8 shilling</t>
        </is>
      </c>
    </row>
    <row r="84">
      <c r="A84" t="inlineStr">
        <is>
          <t>Cost of the park</t>
        </is>
      </c>
      <c r="F84" s="72">
        <f>SUM(F81:F82)</f>
        <v/>
      </c>
      <c r="G84" s="140">
        <f>F84-F83</f>
        <v/>
      </c>
      <c r="H84" t="inlineStr">
        <is>
          <t>Total</t>
        </is>
      </c>
    </row>
    <row r="85"/>
    <row r="86">
      <c r="A86" t="inlineStr">
        <is>
          <t>Cost of the meadow</t>
        </is>
      </c>
      <c r="B86" t="n">
        <v>0</v>
      </c>
      <c r="C86" t="n">
        <v>2</v>
      </c>
      <c r="D86" t="n">
        <v>2</v>
      </c>
      <c r="F86" s="72" t="n">
        <v>0.11</v>
      </c>
      <c r="H86" t="inlineStr">
        <is>
          <t>In a second mowing of the meadow of Bishops Sutton in parcels 2 shilling 2pence.</t>
        </is>
      </c>
    </row>
    <row r="87">
      <c r="A87" t="inlineStr">
        <is>
          <t>Cost of the meadow</t>
        </is>
      </c>
      <c r="B87" t="n">
        <v>0</v>
      </c>
      <c r="C87" t="n">
        <v>0</v>
      </c>
      <c r="D87" t="n">
        <v>3</v>
      </c>
      <c r="F87" s="72" t="n">
        <v>0.01</v>
      </c>
      <c r="H87" t="inlineStr">
        <is>
          <t>spreading the said hay 3pence.</t>
        </is>
      </c>
    </row>
    <row r="88">
      <c r="A88" t="inlineStr">
        <is>
          <t>Cost of the meadow</t>
        </is>
      </c>
      <c r="B88" t="n">
        <v>0</v>
      </c>
      <c r="C88" t="n">
        <v>0</v>
      </c>
      <c r="D88" t="n">
        <v>10</v>
      </c>
      <c r="F88" s="72">
        <f>B88+C88/20+D88/240</f>
        <v/>
      </c>
      <c r="H88" t="inlineStr">
        <is>
          <t xml:space="preserve">tossing the said hay and making haycocks therefrom 10pence </t>
        </is>
      </c>
    </row>
    <row r="89">
      <c r="A89" t="inlineStr">
        <is>
          <t>Cost of the meadow</t>
        </is>
      </c>
      <c r="B89" t="n">
        <v>0</v>
      </c>
      <c r="C89" t="n">
        <v>3</v>
      </c>
      <c r="D89" t="n">
        <v>3</v>
      </c>
      <c r="F89" s="72">
        <f>B89+C89/20+D89/240</f>
        <v/>
      </c>
      <c r="H89" t="inlineStr">
        <is>
          <t>Total, 3 shilling 3pence</t>
        </is>
      </c>
    </row>
    <row r="90">
      <c r="A90" t="inlineStr">
        <is>
          <t>Cost of the meadow</t>
        </is>
      </c>
      <c r="F90" s="72">
        <f>SUM(F86:F88)</f>
        <v/>
      </c>
      <c r="G90" s="140">
        <f>F90-F89</f>
        <v/>
      </c>
      <c r="H90" t="inlineStr">
        <is>
          <t>Total</t>
        </is>
      </c>
    </row>
    <row r="91"/>
    <row r="92"/>
    <row r="93">
      <c r="A93" t="inlineStr">
        <is>
          <t>Expenses of the steward and bailiff</t>
        </is>
      </c>
      <c r="B93" t="n">
        <v>0</v>
      </c>
      <c r="C93" t="n">
        <v>10</v>
      </c>
      <c r="D93" t="n">
        <v>2</v>
      </c>
      <c r="F93" s="72" t="n">
        <v>0.51</v>
      </c>
      <c r="H93" t="inlineStr">
        <is>
          <t>In expenses of Simon, clerk, for 2 tourns 10 shilling 2pence.</t>
        </is>
      </c>
    </row>
    <row r="94">
      <c r="A94" t="inlineStr">
        <is>
          <t>Expenses of the steward and bailiff</t>
        </is>
      </c>
      <c r="B94" t="n">
        <v>5</v>
      </c>
      <c r="C94" t="n">
        <v>17</v>
      </c>
      <c r="D94" t="n">
        <v>0</v>
      </c>
      <c r="F94" s="72" t="n">
        <v>5.85</v>
      </c>
      <c r="H94" t="inlineStr">
        <is>
          <t>expenses of the bailiff for the year £5 17 shilling.</t>
        </is>
      </c>
    </row>
    <row r="95">
      <c r="A95" t="inlineStr">
        <is>
          <t>Expenses of the steward and bailiff</t>
        </is>
      </c>
      <c r="B95" t="n">
        <v>0</v>
      </c>
      <c r="C95" t="n">
        <v>3</v>
      </c>
      <c r="D95" t="n">
        <v>0</v>
      </c>
      <c r="F95" s="72" t="n">
        <v>0.15</v>
      </c>
      <c r="H95" t="inlineStr">
        <is>
          <t>1 fur bought for the summer livery of the bailiff 3 shilling.</t>
        </is>
      </c>
    </row>
    <row r="96">
      <c r="A96" t="inlineStr">
        <is>
          <t>Expenses of the steward and bailiff</t>
        </is>
      </c>
      <c r="B96" t="n">
        <v>0</v>
      </c>
      <c r="C96" t="n">
        <v>4</v>
      </c>
      <c r="D96" t="n">
        <v>4</v>
      </c>
      <c r="F96" s="72">
        <f>B96+C96/20+D96/240</f>
        <v/>
      </c>
      <c r="H96" t="inlineStr">
        <is>
          <t xml:space="preserve">expenses of the sheriff for 1 visit 4 shilling 4pence </t>
        </is>
      </c>
    </row>
    <row r="97">
      <c r="A97" t="inlineStr">
        <is>
          <t>Expenses of the steward and bailiff</t>
        </is>
      </c>
      <c r="B97" t="n">
        <v>6</v>
      </c>
      <c r="C97" t="n">
        <v>14</v>
      </c>
      <c r="D97" t="n">
        <v>6</v>
      </c>
      <c r="F97" s="72" t="n">
        <v>6.73</v>
      </c>
      <c r="H97" t="inlineStr">
        <is>
          <t>Total, £6 14 shilling 6pence</t>
        </is>
      </c>
    </row>
    <row r="98">
      <c r="A98" t="inlineStr">
        <is>
          <t>Expenses of the steward and bailiff</t>
        </is>
      </c>
      <c r="F98" s="72">
        <f>SUM(F93:F96)</f>
        <v/>
      </c>
      <c r="G98" s="140">
        <f>F98-F97</f>
        <v/>
      </c>
      <c r="H98" t="inlineStr">
        <is>
          <t>Total</t>
        </is>
      </c>
    </row>
    <row r="99"/>
    <row r="100">
      <c r="A100" t="inlineStr">
        <is>
          <t>Purchase of stock</t>
        </is>
      </c>
      <c r="B100" t="n">
        <v>7</v>
      </c>
      <c r="C100" t="n">
        <v>17</v>
      </c>
      <c r="D100" t="n">
        <v>9</v>
      </c>
      <c r="F100" s="72" t="n">
        <v>7.89</v>
      </c>
      <c r="H100" t="inlineStr">
        <is>
          <t xml:space="preserve">In 29 animals bought for pasturing £7 17 shilling 9pence </t>
        </is>
      </c>
    </row>
    <row r="101">
      <c r="A101" t="inlineStr">
        <is>
          <t>Purchase of stock</t>
        </is>
      </c>
      <c r="B101" t="n">
        <v>7</v>
      </c>
      <c r="C101" t="n">
        <v>17</v>
      </c>
      <c r="D101" t="n">
        <v>9</v>
      </c>
      <c r="F101" s="72" t="n">
        <v>7.89</v>
      </c>
      <c r="H101" t="inlineStr">
        <is>
          <t>Total, £7 17 shilling 9pence</t>
        </is>
      </c>
    </row>
    <row r="102">
      <c r="A102" t="inlineStr">
        <is>
          <t>Purchase of stock</t>
        </is>
      </c>
      <c r="F102" s="72" t="n">
        <v>7.89</v>
      </c>
      <c r="G102" s="140">
        <f>F102-F101</f>
        <v/>
      </c>
      <c r="H102" t="inlineStr">
        <is>
          <t>Total</t>
        </is>
      </c>
    </row>
    <row r="103"/>
    <row r="104">
      <c r="A104" t="inlineStr">
        <is>
          <t>Total of all expenses</t>
        </is>
      </c>
      <c r="B104" t="n">
        <v>26</v>
      </c>
      <c r="C104" t="n">
        <v>5</v>
      </c>
      <c r="D104" t="n">
        <v>11.5</v>
      </c>
      <c r="F104" s="72" t="n">
        <v>26.3</v>
      </c>
      <c r="H104" t="inlineStr">
        <is>
          <t>Total of all expenses, £26 5 shilling 11.5pence</t>
        </is>
      </c>
    </row>
    <row r="105">
      <c r="A105" t="inlineStr">
        <is>
          <t>Total of all expenses</t>
        </is>
      </c>
      <c r="F105" s="72" t="n">
        <v>26.3</v>
      </c>
      <c r="G105" s="140">
        <f>F105-F104</f>
        <v/>
      </c>
      <c r="H105" t="inlineStr">
        <is>
          <t>Total</t>
        </is>
      </c>
    </row>
    <row r="106"/>
    <row r="107"/>
    <row r="108">
      <c r="A108" t="inlineStr">
        <is>
          <t>And he owes</t>
        </is>
      </c>
      <c r="B108" t="n">
        <v>88</v>
      </c>
      <c r="C108" t="n">
        <v>6</v>
      </c>
      <c r="D108" t="n">
        <v>10.25</v>
      </c>
      <c r="F108" s="72" t="n">
        <v>88.34</v>
      </c>
      <c r="H108" t="inlineStr">
        <is>
          <t>And he owes, £88 6 shilling 10.25pence</t>
        </is>
      </c>
    </row>
    <row r="109">
      <c r="A109" t="inlineStr">
        <is>
          <t>And he owes</t>
        </is>
      </c>
      <c r="F109" s="72" t="n">
        <v>88.34</v>
      </c>
      <c r="G109" s="140" t="n">
        <v>0</v>
      </c>
      <c r="H109" t="inlineStr">
        <is>
          <t>Total</t>
        </is>
      </c>
    </row>
    <row r="110"/>
    <row r="111">
      <c r="A111" t="inlineStr">
        <is>
          <t>And he owes clear</t>
        </is>
      </c>
      <c r="B111" t="n">
        <v>35</v>
      </c>
      <c r="C111" t="n">
        <v>9</v>
      </c>
      <c r="D111" t="n">
        <v>6.25</v>
      </c>
      <c r="F111" t="n">
        <v>35.48</v>
      </c>
      <c r="H111" t="inlineStr">
        <is>
          <t>And thus he owes clear</t>
        </is>
      </c>
    </row>
    <row r="112"/>
    <row r="113">
      <c r="A113" t="inlineStr">
        <is>
          <t>Cash deliveries</t>
        </is>
      </c>
      <c r="B113" t="n">
        <v>52</v>
      </c>
      <c r="C113" t="n">
        <v>17</v>
      </c>
      <c r="D113" t="n">
        <v>4.5</v>
      </c>
      <c r="F113" s="72" t="n">
        <v>52.87</v>
      </c>
      <c r="H113" t="inlineStr">
        <is>
          <t>Delivered to Sir Geoffrey, treasurer, by 1 tally, £52 17 shilling 4.5pence</t>
        </is>
      </c>
    </row>
    <row r="114"/>
    <row r="115" ht="16" customHeight="1">
      <c r="A115" s="12" t="inlineStr">
        <is>
          <t>Total of all expenses per account</t>
        </is>
      </c>
      <c r="F115" s="72">
        <f>F105</f>
        <v/>
      </c>
    </row>
    <row r="116" ht="16" customHeight="1">
      <c r="A116" s="12" t="inlineStr">
        <is>
          <t>Total of all expenses (calculated here)</t>
        </is>
      </c>
      <c r="F116" s="72">
        <f>F98+F90+F84+F79+F66+F50+F32+F18+F14+F102</f>
        <v/>
      </c>
      <c r="G116" s="140">
        <f>F116-F115</f>
        <v/>
      </c>
    </row>
    <row r="117" ht="16" customHeight="1">
      <c r="A117" s="12" t="inlineStr">
        <is>
          <t>Total fixed investment</t>
        </is>
      </c>
      <c r="F117" s="72">
        <f>SUM(J3:J66)</f>
        <v/>
      </c>
    </row>
    <row r="118" ht="16" customHeight="1">
      <c r="A118" s="12" t="inlineStr">
        <is>
          <t>Total Demesne fixed investment</t>
        </is>
      </c>
      <c r="F118" s="72">
        <f>SUM(K2:K64)</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1"/>
  <sheetViews>
    <sheetView topLeftCell="A1" workbookViewId="0">
      <selection activeCell="A1" sqref="A1"/>
    </sheetView>
  </sheetViews>
  <sheetFormatPr baseColWidth="8" defaultRowHeight="15"/>
  <cols>
    <col width="30" customWidth="1" min="1" max="1"/>
    <col width="12.1640625" customWidth="1" min="2" max="2"/>
    <col width="19.1640625" customWidth="1" min="3" max="3"/>
    <col width="20" customWidth="1" min="4" max="4"/>
    <col width="21.5" customWidth="1" min="5" max="5"/>
    <col width="15.83203125" customWidth="1" min="6" max="6"/>
    <col width="19" customWidth="1" min="7" max="7"/>
    <col width="20" customWidth="1" min="8" max="8"/>
    <col width="20.83203125" customWidth="1" min="9" max="9"/>
    <col width="18.1640625" customWidth="1" min="10" max="10"/>
    <col width="18" customWidth="1" min="11" max="11"/>
    <col width="21.5" customWidth="1" min="12" max="12"/>
    <col width="15" customWidth="1" min="13" max="13"/>
    <col width="16.5" customWidth="1" min="15" max="15"/>
    <col width="20.1640625" customWidth="1" min="16" max="16"/>
  </cols>
  <sheetData>
    <row r="1" ht="32" customHeight="1">
      <c r="A1" s="37" t="inlineStr">
        <is>
          <t>Gross Output</t>
        </is>
      </c>
      <c r="B1" s="37" t="inlineStr">
        <is>
          <t>Total Quantity</t>
        </is>
      </c>
      <c r="C1" s="37" t="inlineStr">
        <is>
          <t>Account Total Quarters</t>
        </is>
      </c>
      <c r="D1" s="37" t="inlineStr">
        <is>
          <t>Bought in Total Quarters</t>
        </is>
      </c>
      <c r="E1" s="37" t="inlineStr">
        <is>
          <t>Received from churchscot</t>
        </is>
      </c>
      <c r="F1" s="37" t="inlineStr">
        <is>
          <t>Sold Total Quarters</t>
        </is>
      </c>
      <c r="G1" s="141" t="inlineStr">
        <is>
          <t>Difference Produced+Bought-Sold</t>
        </is>
      </c>
      <c r="H1" s="141" t="inlineStr">
        <is>
          <t>Weighted Average Price per Quarter</t>
        </is>
      </c>
      <c r="I1" s="142" t="inlineStr">
        <is>
          <t>Value of Total Production weighted</t>
        </is>
      </c>
    </row>
    <row r="2">
      <c r="A2" t="inlineStr">
        <is>
          <t>wheat</t>
        </is>
      </c>
      <c r="B2" t="n">
        <v>88.375</v>
      </c>
      <c r="D2" t="n">
        <v>0</v>
      </c>
      <c r="F2" t="n">
        <v>60.5</v>
      </c>
      <c r="G2" s="72">
        <f>B2-F2</f>
        <v/>
      </c>
      <c r="H2" s="72" t="n">
        <v>0.3</v>
      </c>
      <c r="I2" s="72">
        <f>H2*B2</f>
        <v/>
      </c>
    </row>
    <row r="3">
      <c r="A3" t="inlineStr">
        <is>
          <t>curall</t>
        </is>
      </c>
      <c r="B3" t="n">
        <v>1.25</v>
      </c>
      <c r="D3" t="n">
        <v>0</v>
      </c>
      <c r="F3" t="n">
        <v>0.625</v>
      </c>
      <c r="G3" s="72">
        <f>B3-F3</f>
        <v/>
      </c>
      <c r="H3" s="72" t="n">
        <v>0.2333333333333333</v>
      </c>
      <c r="I3" s="72">
        <f>H3*B3</f>
        <v/>
      </c>
    </row>
    <row r="4">
      <c r="A4" t="inlineStr">
        <is>
          <t>barley</t>
        </is>
      </c>
      <c r="B4" t="n">
        <v>36</v>
      </c>
      <c r="D4" t="n">
        <v>0</v>
      </c>
      <c r="F4" t="n">
        <v>7.3125</v>
      </c>
      <c r="G4" s="72">
        <f>B4-F4</f>
        <v/>
      </c>
      <c r="H4" s="72" t="n">
        <v>0.2333333333333333</v>
      </c>
      <c r="I4" s="72">
        <f>H4*B4</f>
        <v/>
      </c>
    </row>
    <row r="5">
      <c r="A5" t="inlineStr">
        <is>
          <t>oats</t>
        </is>
      </c>
      <c r="B5">
        <f>C5+D5</f>
        <v/>
      </c>
      <c r="C5" t="n">
        <v>75</v>
      </c>
      <c r="D5" t="n">
        <v>15</v>
      </c>
      <c r="F5" t="n">
        <v>0</v>
      </c>
      <c r="G5" s="72">
        <f>B5-F5</f>
        <v/>
      </c>
      <c r="H5" s="72" t="n">
        <v>0</v>
      </c>
      <c r="I5" s="72">
        <f>H5*B5</f>
        <v/>
      </c>
    </row>
    <row r="6">
      <c r="A6" t="inlineStr">
        <is>
          <t>peas</t>
        </is>
      </c>
      <c r="B6" t="n">
        <v>1.5</v>
      </c>
      <c r="D6" t="n">
        <v>0</v>
      </c>
      <c r="F6" t="n">
        <v>0.5</v>
      </c>
      <c r="G6" s="72">
        <f>B6-F6</f>
        <v/>
      </c>
      <c r="H6" s="72" t="n">
        <v>0.15</v>
      </c>
      <c r="I6" s="72">
        <f>H6*B6</f>
        <v/>
      </c>
    </row>
    <row r="7">
      <c r="A7" t="inlineStr">
        <is>
          <t>vetches</t>
        </is>
      </c>
      <c r="B7" t="n">
        <v>2.625</v>
      </c>
      <c r="D7" t="n">
        <v>0</v>
      </c>
      <c r="F7" t="n">
        <v>0.5</v>
      </c>
      <c r="G7" s="72">
        <f>B7-F7</f>
        <v/>
      </c>
      <c r="H7" s="72" t="n">
        <v>0.1</v>
      </c>
      <c r="I7" s="72">
        <f>H7*B7</f>
        <v/>
      </c>
    </row>
    <row r="8"/>
    <row r="9">
      <c r="A9" s="143" t="inlineStr">
        <is>
          <t>Total Production</t>
        </is>
      </c>
    </row>
    <row r="10">
      <c r="A10" s="143" t="inlineStr">
        <is>
          <t>Sales of corn (as recorded in accounts)</t>
        </is>
      </c>
    </row>
    <row r="11"/>
    <row r="12"/>
    <row r="13" ht="32" customHeight="1">
      <c r="A13" s="38" t="inlineStr">
        <is>
          <t>Net output</t>
        </is>
      </c>
      <c r="B13" s="144" t="inlineStr">
        <is>
          <t>Gross output</t>
        </is>
      </c>
      <c r="C13" s="145" t="inlineStr">
        <is>
          <t>Seed quarters</t>
        </is>
      </c>
      <c r="D13" s="145" t="inlineStr">
        <is>
          <t>Seed bushels</t>
        </is>
      </c>
      <c r="E13" s="145" t="inlineStr">
        <is>
          <t>Seed total quarters</t>
        </is>
      </c>
      <c r="F13" s="38" t="inlineStr">
        <is>
          <t>tithe quarters</t>
        </is>
      </c>
      <c r="G13" s="145" t="inlineStr">
        <is>
          <t>tithe bushels</t>
        </is>
      </c>
      <c r="H13" s="145" t="inlineStr">
        <is>
          <t>tithe total</t>
        </is>
      </c>
      <c r="I13" s="145" t="inlineStr">
        <is>
          <t>manorial servants quarters</t>
        </is>
      </c>
      <c r="J13" s="145" t="inlineStr">
        <is>
          <t>manorial servants bushels</t>
        </is>
      </c>
      <c r="K13" s="146" t="inlineStr">
        <is>
          <t>manorial servants total quarters</t>
        </is>
      </c>
      <c r="L13" s="145" t="inlineStr">
        <is>
          <t>output net of tithe, seed, liveries</t>
        </is>
      </c>
      <c r="M13" s="145" t="inlineStr">
        <is>
          <t>in stock from last year</t>
        </is>
      </c>
      <c r="N13" s="147" t="inlineStr">
        <is>
          <t>Price in £</t>
        </is>
      </c>
      <c r="O13" s="147" t="inlineStr">
        <is>
          <t>Value of net output in £</t>
        </is>
      </c>
      <c r="P13" s="144" t="inlineStr">
        <is>
          <t>Value of sales (in "Sale of Corn") in £</t>
        </is>
      </c>
    </row>
    <row r="14">
      <c r="A14" t="inlineStr">
        <is>
          <t>wheat</t>
        </is>
      </c>
      <c r="B14">
        <f>B2</f>
        <v/>
      </c>
      <c r="C14" t="n">
        <v>16</v>
      </c>
      <c r="D14" t="n">
        <v>1</v>
      </c>
      <c r="E14">
        <f>C14+D14/8</f>
        <v/>
      </c>
      <c r="I14" t="n">
        <v>11</v>
      </c>
      <c r="J14">
        <f>4+2</f>
        <v/>
      </c>
      <c r="K14" s="148">
        <f>I14+J14/8</f>
        <v/>
      </c>
      <c r="L14">
        <f>B14-E14-H14-K14</f>
        <v/>
      </c>
      <c r="N14" s="72">
        <f>H2</f>
        <v/>
      </c>
      <c r="O14" s="72">
        <f>L14*N14</f>
        <v/>
      </c>
    </row>
    <row r="15">
      <c r="A15" t="inlineStr">
        <is>
          <t>curall</t>
        </is>
      </c>
      <c r="B15">
        <f>B3</f>
        <v/>
      </c>
      <c r="E15">
        <f>C15+D15/8</f>
        <v/>
      </c>
      <c r="J15" t="n">
        <v>5</v>
      </c>
      <c r="K15" s="148">
        <f>I15+J15/8</f>
        <v/>
      </c>
      <c r="L15">
        <f>B15-E15-H15-K15</f>
        <v/>
      </c>
      <c r="N15" s="72">
        <f>H3</f>
        <v/>
      </c>
      <c r="O15" s="72">
        <f>L15*N15</f>
        <v/>
      </c>
    </row>
    <row r="16">
      <c r="A16" t="inlineStr">
        <is>
          <t>barley</t>
        </is>
      </c>
      <c r="B16">
        <f>B4</f>
        <v/>
      </c>
      <c r="C16" t="n">
        <v>11.5</v>
      </c>
      <c r="E16">
        <f>C16+D16/8</f>
        <v/>
      </c>
      <c r="I16">
        <f>5+2+2</f>
        <v/>
      </c>
      <c r="J16">
        <f>1.5+4+2+6</f>
        <v/>
      </c>
      <c r="K16" s="148">
        <f>I16+J16/8</f>
        <v/>
      </c>
      <c r="L16">
        <f>B16-E16-H16-K16</f>
        <v/>
      </c>
      <c r="N16" s="72">
        <f>H4</f>
        <v/>
      </c>
      <c r="O16" s="72">
        <f>L16*N16</f>
        <v/>
      </c>
    </row>
    <row r="17">
      <c r="A17" t="inlineStr">
        <is>
          <t>oats</t>
        </is>
      </c>
      <c r="B17">
        <f>B5</f>
        <v/>
      </c>
      <c r="C17" t="n">
        <v>36</v>
      </c>
      <c r="E17">
        <f>C17+D17/8</f>
        <v/>
      </c>
      <c r="I17">
        <f>18.5+15+18+2</f>
        <v/>
      </c>
      <c r="J17">
        <f>4</f>
        <v/>
      </c>
      <c r="K17" s="148">
        <f>I17+J17/8</f>
        <v/>
      </c>
      <c r="L17">
        <f>B17-E17-H17-K17</f>
        <v/>
      </c>
      <c r="N17" s="72">
        <f>H5</f>
        <v/>
      </c>
      <c r="O17" s="72">
        <f>L17*N17</f>
        <v/>
      </c>
    </row>
    <row r="18">
      <c r="A18" t="inlineStr">
        <is>
          <t>peas</t>
        </is>
      </c>
      <c r="B18">
        <f>B6</f>
        <v/>
      </c>
      <c r="C18" t="n">
        <v>1</v>
      </c>
      <c r="E18">
        <f>C18+D18/8</f>
        <v/>
      </c>
      <c r="K18" s="148">
        <f>I18+J18/8</f>
        <v/>
      </c>
      <c r="L18">
        <f>B18-E18-H18-K18</f>
        <v/>
      </c>
      <c r="N18" s="72">
        <f>H6</f>
        <v/>
      </c>
      <c r="O18" s="72">
        <f>L18*N18</f>
        <v/>
      </c>
    </row>
    <row r="19">
      <c r="A19" t="inlineStr">
        <is>
          <t>vetches</t>
        </is>
      </c>
      <c r="B19">
        <f>B7</f>
        <v/>
      </c>
      <c r="D19" t="n">
        <v>5</v>
      </c>
      <c r="E19">
        <f>C19+D19/8</f>
        <v/>
      </c>
      <c r="I19" t="n">
        <v>1</v>
      </c>
      <c r="J19">
        <f>1+3</f>
        <v/>
      </c>
      <c r="K19" s="148">
        <f>I19+J19/8</f>
        <v/>
      </c>
      <c r="L19">
        <f>B19-E19-H19-K19</f>
        <v/>
      </c>
      <c r="N19" s="72">
        <f>H7</f>
        <v/>
      </c>
      <c r="O19" s="72">
        <f>L19*N19</f>
        <v/>
      </c>
    </row>
    <row r="20">
      <c r="O20" s="72" t="n"/>
    </row>
    <row r="21">
      <c r="A21" s="42" t="inlineStr">
        <is>
          <t>Total</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135"/>
  <sheetViews>
    <sheetView topLeftCell="A1" workbookViewId="0">
      <selection activeCell="A1" sqref="A1"/>
    </sheetView>
  </sheetViews>
  <sheetFormatPr baseColWidth="8" defaultRowHeight="15"/>
  <cols>
    <col width="44.33203125" customWidth="1" min="1" max="1"/>
    <col width="10.83203125" customWidth="1" min="6" max="6"/>
    <col width="19" customWidth="1" min="10" max="10"/>
    <col width="10" customWidth="1" min="14" max="14"/>
    <col width="8.83203125" customWidth="1" min="15" max="15"/>
    <col width="12.6640625" customWidth="1" min="16" max="16"/>
    <col width="13" customWidth="1" min="17" max="17"/>
    <col width="11.5" customWidth="1" min="19" max="19"/>
    <col width="16.83203125" customWidth="1" min="20" max="20"/>
  </cols>
  <sheetData>
    <row r="1" ht="16" customHeight="1">
      <c r="A1" s="12" t="inlineStr">
        <is>
          <t>BISHOPS SUTTON ACCOUNT</t>
        </is>
      </c>
      <c r="B1" s="37" t="n"/>
      <c r="C1" s="37" t="n"/>
      <c r="D1" s="37" t="n"/>
      <c r="E1" s="37" t="n"/>
      <c r="F1" s="37" t="n"/>
      <c r="G1" s="37" t="n"/>
      <c r="H1" s="37" t="n"/>
      <c r="I1" s="37" t="n"/>
    </row>
    <row r="2" ht="16" customHeight="1">
      <c r="A2" s="12" t="n"/>
    </row>
    <row r="3" ht="17" customHeight="1">
      <c r="A3" s="44" t="n"/>
      <c r="B3" s="44" t="n"/>
      <c r="C3" s="125" t="inlineStr">
        <is>
          <t>added</t>
        </is>
      </c>
      <c r="G3" s="126" t="inlineStr">
        <is>
          <t>subtracted</t>
        </is>
      </c>
      <c r="K3" s="44" t="n"/>
      <c r="L3" s="44" t="n"/>
      <c r="M3" s="44" t="n"/>
      <c r="N3" s="44" t="n"/>
      <c r="O3" s="73" t="n"/>
      <c r="P3" s="73" t="n"/>
      <c r="Q3" s="44" t="n"/>
      <c r="R3" s="44" t="n"/>
      <c r="S3" s="44" t="n"/>
      <c r="T3" s="44" t="n"/>
    </row>
    <row r="4" ht="51" customHeight="1">
      <c r="A4" s="149" t="inlineStr">
        <is>
          <t>Livestock</t>
        </is>
      </c>
      <c r="B4" s="149" t="inlineStr">
        <is>
          <t>Inherited stock</t>
        </is>
      </c>
      <c r="C4" s="149" t="inlineStr">
        <is>
          <t>added</t>
        </is>
      </c>
      <c r="D4" s="150" t="inlineStr">
        <is>
          <t>strays</t>
        </is>
      </c>
      <c r="E4" s="150" t="inlineStr">
        <is>
          <t>herbage</t>
        </is>
      </c>
      <c r="F4" s="149" t="inlineStr">
        <is>
          <t>churchscot</t>
        </is>
      </c>
      <c r="G4" s="150" t="inlineStr">
        <is>
          <t>of which in default</t>
        </is>
      </c>
      <c r="H4" s="149" t="inlineStr">
        <is>
          <t>sold</t>
        </is>
      </c>
      <c r="I4" s="149" t="inlineStr">
        <is>
          <t>in murrain</t>
        </is>
      </c>
      <c r="J4" s="149" t="inlineStr">
        <is>
          <t>accounted for elsewhere</t>
        </is>
      </c>
      <c r="K4" s="149" t="inlineStr">
        <is>
          <t>End-period  stock</t>
        </is>
      </c>
      <c r="L4" s="149" t="inlineStr">
        <is>
          <t>cross-check</t>
        </is>
      </c>
      <c r="M4" s="149" t="inlineStr">
        <is>
          <t>stock building</t>
        </is>
      </c>
      <c r="N4" s="149" t="inlineStr">
        <is>
          <t>raw production</t>
        </is>
      </c>
      <c r="O4" s="151" t="inlineStr">
        <is>
          <t>Unit price (£)</t>
        </is>
      </c>
      <c r="P4" s="151" t="inlineStr">
        <is>
          <t>Value of stock  (£) at given value</t>
        </is>
      </c>
      <c r="Q4" s="149" t="inlineStr">
        <is>
          <t>Value of stock  (£) at sales prices</t>
        </is>
      </c>
      <c r="R4" s="149" t="inlineStr">
        <is>
          <t>Sales in (£)</t>
        </is>
      </c>
      <c r="S4" s="149" t="inlineStr">
        <is>
          <t>Value of stock building (£)</t>
        </is>
      </c>
      <c r="T4" s="118" t="inlineStr">
        <is>
          <t>Value of production (£) at sales prices</t>
        </is>
      </c>
      <c r="U4" s="149" t="inlineStr">
        <is>
          <t>Details</t>
        </is>
      </c>
    </row>
    <row r="5" ht="16" customHeight="1">
      <c r="A5" s="44" t="inlineStr">
        <is>
          <t>Cart-horses</t>
        </is>
      </c>
      <c r="B5" t="n">
        <v>3</v>
      </c>
      <c r="K5" t="n">
        <v>3</v>
      </c>
      <c r="L5">
        <f>B5+C5+D5+E5+F5-G5-H5-I5-J5</f>
        <v/>
      </c>
      <c r="M5">
        <f>K5-B5</f>
        <v/>
      </c>
    </row>
    <row r="6" ht="16" customHeight="1">
      <c r="A6" s="44" t="inlineStr">
        <is>
          <t>Mares</t>
        </is>
      </c>
      <c r="L6">
        <f>B6+C6+D6+E6+F6-G6-H6-I6-J6</f>
        <v/>
      </c>
      <c r="M6">
        <f>K6-B6</f>
        <v/>
      </c>
    </row>
    <row r="7">
      <c r="A7" t="inlineStr">
        <is>
          <t>Plough horses</t>
        </is>
      </c>
      <c r="B7" t="n">
        <v>7</v>
      </c>
      <c r="C7">
        <f>2</f>
        <v/>
      </c>
      <c r="H7" t="n">
        <v>3</v>
      </c>
      <c r="I7" t="n">
        <v>1</v>
      </c>
      <c r="K7" t="n">
        <v>5</v>
      </c>
      <c r="L7">
        <f>B7+C7+D7+E7+F7-G7-H7-I7-J7</f>
        <v/>
      </c>
      <c r="M7">
        <f>K7-B7</f>
        <v/>
      </c>
      <c r="R7" s="72">
        <f>Receipts!F55</f>
        <v/>
      </c>
    </row>
    <row r="8">
      <c r="A8" t="inlineStr">
        <is>
          <t>Colts (unspecified years)</t>
        </is>
      </c>
      <c r="L8">
        <f>B8+C8+D8+E8+F8-G8-H8-I8-J8</f>
        <v/>
      </c>
      <c r="M8">
        <f>K8-B8</f>
        <v/>
      </c>
    </row>
    <row r="9">
      <c r="A9" t="inlineStr">
        <is>
          <t>Colts (2 years)</t>
        </is>
      </c>
      <c r="B9" t="n">
        <v>2</v>
      </c>
      <c r="I9" t="n">
        <v>1</v>
      </c>
      <c r="J9" t="n">
        <v>1</v>
      </c>
      <c r="K9" t="n">
        <v>0</v>
      </c>
      <c r="L9">
        <f>B9+C9+D9+E9+F9-G9-H9-I9-J9</f>
        <v/>
      </c>
      <c r="M9">
        <f>K9-B9</f>
        <v/>
      </c>
    </row>
    <row r="10">
      <c r="A10" t="inlineStr">
        <is>
          <t>Colts (1 year)</t>
        </is>
      </c>
      <c r="B10" t="n">
        <v>3</v>
      </c>
      <c r="I10" t="n">
        <v>1</v>
      </c>
      <c r="K10" t="n">
        <v>2</v>
      </c>
      <c r="L10">
        <f>B10+C10+D10+E10+F10-G10-H10-I10-J10</f>
        <v/>
      </c>
      <c r="M10">
        <f>K10-B10</f>
        <v/>
      </c>
    </row>
    <row r="11">
      <c r="A11" t="inlineStr">
        <is>
          <t>Foals</t>
        </is>
      </c>
      <c r="B11" t="n">
        <v>2</v>
      </c>
      <c r="K11" t="n">
        <v>2</v>
      </c>
      <c r="L11">
        <f>B11+C11+D11+E11+F11-G11-H11-I11-J11</f>
        <v/>
      </c>
      <c r="M11">
        <f>K11-B11</f>
        <v/>
      </c>
    </row>
    <row r="12">
      <c r="A12" t="inlineStr">
        <is>
          <t>Oxen</t>
        </is>
      </c>
      <c r="B12" t="n">
        <v>28</v>
      </c>
      <c r="C12">
        <f>1+2+2</f>
        <v/>
      </c>
      <c r="H12" t="n">
        <v>8</v>
      </c>
      <c r="K12" t="n">
        <v>25</v>
      </c>
      <c r="L12">
        <f>B12+C12+D12+E12+F12-G12-H12-I12-J12</f>
        <v/>
      </c>
      <c r="M12">
        <f>K12-B12</f>
        <v/>
      </c>
      <c r="R12" s="72">
        <f>Receipts!F56</f>
        <v/>
      </c>
    </row>
    <row r="13">
      <c r="A13" t="inlineStr">
        <is>
          <t>Bulls</t>
        </is>
      </c>
      <c r="B13" t="n">
        <v>2</v>
      </c>
      <c r="H13" t="n">
        <v>1</v>
      </c>
      <c r="K13" t="n">
        <v>1</v>
      </c>
      <c r="L13">
        <f>B13+C13+D13+E13+F13-G13-H13-I13-J13</f>
        <v/>
      </c>
      <c r="M13">
        <f>K13-B13</f>
        <v/>
      </c>
      <c r="R13" s="72">
        <f>Receipts!F57</f>
        <v/>
      </c>
    </row>
    <row r="14">
      <c r="A14" t="inlineStr">
        <is>
          <t>Cows</t>
        </is>
      </c>
      <c r="B14" t="n">
        <v>16</v>
      </c>
      <c r="C14" t="n">
        <v>4</v>
      </c>
      <c r="H14" t="n">
        <v>4</v>
      </c>
      <c r="K14" t="n">
        <v>16</v>
      </c>
      <c r="L14">
        <f>B14+C14+D14+E14+F14-G14-H14-I14-J14</f>
        <v/>
      </c>
      <c r="M14">
        <f>K14-B14</f>
        <v/>
      </c>
      <c r="R14" s="72">
        <f>Receipts!F58</f>
        <v/>
      </c>
    </row>
    <row r="15">
      <c r="A15" t="inlineStr">
        <is>
          <t>Steers</t>
        </is>
      </c>
      <c r="B15" t="n">
        <v>6</v>
      </c>
      <c r="C15" t="n">
        <v>29</v>
      </c>
      <c r="H15" t="n">
        <v>29</v>
      </c>
      <c r="J15">
        <f>2+4</f>
        <v/>
      </c>
      <c r="K15" t="n">
        <v>0</v>
      </c>
      <c r="L15">
        <f>B15+C15+D15+E15+F15-G15-H15-I15-J15</f>
        <v/>
      </c>
      <c r="M15">
        <f>K15-B15</f>
        <v/>
      </c>
      <c r="R15" s="72">
        <f>Receipts!F60</f>
        <v/>
      </c>
    </row>
    <row r="16">
      <c r="A16" t="inlineStr">
        <is>
          <t>Bullocks</t>
        </is>
      </c>
      <c r="B16" t="n">
        <v>5</v>
      </c>
      <c r="I16" t="n">
        <v>1</v>
      </c>
      <c r="K16" t="n">
        <v>4</v>
      </c>
      <c r="L16">
        <f>B16+C16+D16+E16+F16-G16-H16-I16-J16</f>
        <v/>
      </c>
      <c r="M16">
        <f>K16-B16</f>
        <v/>
      </c>
    </row>
    <row r="17">
      <c r="A17" t="inlineStr">
        <is>
          <t>Yearlings</t>
        </is>
      </c>
      <c r="B17" t="n">
        <v>4</v>
      </c>
      <c r="K17" t="n">
        <v>4</v>
      </c>
      <c r="L17">
        <f>B17+C17+D17+E17+F17-G17-H17-I17-J17</f>
        <v/>
      </c>
      <c r="M17">
        <f>K17-B17</f>
        <v/>
      </c>
    </row>
    <row r="18">
      <c r="A18" t="inlineStr">
        <is>
          <t>Calves</t>
        </is>
      </c>
      <c r="C18" t="n">
        <v>12</v>
      </c>
      <c r="H18" t="n">
        <v>3</v>
      </c>
      <c r="J18" t="n">
        <v>1</v>
      </c>
      <c r="K18" t="n">
        <v>8</v>
      </c>
      <c r="L18">
        <f>B18+C18+D18+E18+F18-G18-H18-I18-J18</f>
        <v/>
      </c>
      <c r="M18">
        <f>K18-B18</f>
        <v/>
      </c>
      <c r="R18" s="72">
        <f>Receipts!F59</f>
        <v/>
      </c>
    </row>
    <row r="19">
      <c r="A19" t="inlineStr">
        <is>
          <t>Wethers</t>
        </is>
      </c>
      <c r="B19" t="n">
        <v>186</v>
      </c>
      <c r="C19" t="n">
        <v>24</v>
      </c>
      <c r="H19" t="n">
        <v>14</v>
      </c>
      <c r="I19">
        <f>7+1</f>
        <v/>
      </c>
      <c r="K19" t="n">
        <v>188</v>
      </c>
      <c r="L19">
        <f>B19+C19+D19+E19+F19-G19-H19-I19-J19</f>
        <v/>
      </c>
      <c r="M19">
        <f>K19-B19</f>
        <v/>
      </c>
      <c r="R19" s="72">
        <f>Receipts!F61</f>
        <v/>
      </c>
    </row>
    <row r="20">
      <c r="A20" t="inlineStr">
        <is>
          <t>Rams</t>
        </is>
      </c>
      <c r="B20" t="n">
        <v>6</v>
      </c>
      <c r="C20" t="n">
        <v>2</v>
      </c>
      <c r="K20" t="n">
        <v>8</v>
      </c>
      <c r="L20">
        <f>B20+C20+D20+E20+F20-G20-H20-I20-J20</f>
        <v/>
      </c>
      <c r="M20">
        <f>K20-B20</f>
        <v/>
      </c>
    </row>
    <row r="21">
      <c r="A21" t="inlineStr">
        <is>
          <t>Ewes</t>
        </is>
      </c>
      <c r="B21" t="n">
        <v>176</v>
      </c>
      <c r="C21" t="n">
        <v>30</v>
      </c>
      <c r="H21" t="n">
        <v>14</v>
      </c>
      <c r="I21">
        <f>11+2</f>
        <v/>
      </c>
      <c r="J21">
        <f>2</f>
        <v/>
      </c>
      <c r="K21" t="n">
        <v>177</v>
      </c>
      <c r="L21">
        <f>B21+C21+D21+E21+F21-G21-H21-I21-J21</f>
        <v/>
      </c>
      <c r="M21">
        <f>K21-B21</f>
        <v/>
      </c>
      <c r="R21" s="72">
        <f>Receipts!F62</f>
        <v/>
      </c>
    </row>
    <row r="22">
      <c r="A22" t="inlineStr">
        <is>
          <t>Hoggs</t>
        </is>
      </c>
      <c r="B22" t="n">
        <v>64</v>
      </c>
      <c r="I22">
        <f>8</f>
        <v/>
      </c>
      <c r="J22">
        <f>24+2+30</f>
        <v/>
      </c>
      <c r="K22" t="n">
        <v>0</v>
      </c>
      <c r="L22">
        <f>B22+C22+D22+E22+F22-G22-H22-I22-J22</f>
        <v/>
      </c>
      <c r="M22">
        <f>K22-B22</f>
        <v/>
      </c>
    </row>
    <row r="23">
      <c r="A23" t="inlineStr">
        <is>
          <t>Lambs</t>
        </is>
      </c>
      <c r="C23">
        <f>126+7+20</f>
        <v/>
      </c>
      <c r="H23" t="n">
        <v>13</v>
      </c>
      <c r="I23">
        <f>21+10+4</f>
        <v/>
      </c>
      <c r="J23">
        <f>12+3</f>
        <v/>
      </c>
      <c r="K23" t="n">
        <v>90</v>
      </c>
      <c r="L23">
        <f>B23+C23+D23+E23+F23-G23-H23-I23-J23</f>
        <v/>
      </c>
      <c r="M23">
        <f>K23-B23</f>
        <v/>
      </c>
      <c r="R23" s="72">
        <f>Receipts!F64</f>
        <v/>
      </c>
    </row>
    <row r="24">
      <c r="A24" t="inlineStr">
        <is>
          <t>Boars</t>
        </is>
      </c>
      <c r="L24">
        <f>B24+C24+D24+E24+F24-G24-H24-I24-J24</f>
        <v/>
      </c>
      <c r="M24">
        <f>K24-B24</f>
        <v/>
      </c>
    </row>
    <row r="25">
      <c r="A25" t="inlineStr">
        <is>
          <t>Sows</t>
        </is>
      </c>
      <c r="B25" t="n">
        <v>1</v>
      </c>
      <c r="C25" t="n">
        <v>1</v>
      </c>
      <c r="K25" t="n">
        <v>2</v>
      </c>
      <c r="L25">
        <f>B25+C25+D25+E25+F25-G25-H25-I25-J25</f>
        <v/>
      </c>
      <c r="M25">
        <f>K25-B25</f>
        <v/>
      </c>
    </row>
    <row r="26">
      <c r="A26" t="inlineStr">
        <is>
          <t>Pigs</t>
        </is>
      </c>
      <c r="B26" t="n">
        <v>11</v>
      </c>
      <c r="C26">
        <f>16+11</f>
        <v/>
      </c>
      <c r="D26" t="n">
        <v>1</v>
      </c>
      <c r="H26" t="n">
        <v>4</v>
      </c>
      <c r="K26" t="n">
        <v>35</v>
      </c>
      <c r="L26">
        <f>B26+C26+D26+E26+F26-G26-H26-I26-J26</f>
        <v/>
      </c>
      <c r="M26">
        <f>K26-B26</f>
        <v/>
      </c>
      <c r="R26" s="72">
        <f>Receipts!F63</f>
        <v/>
      </c>
    </row>
    <row r="27">
      <c r="A27" t="inlineStr">
        <is>
          <t>Hoggets</t>
        </is>
      </c>
      <c r="B27" t="n">
        <v>16</v>
      </c>
      <c r="J27" t="n">
        <v>16</v>
      </c>
      <c r="K27" t="n">
        <v>0</v>
      </c>
      <c r="L27">
        <f>B27+C27+D27+E27+F27-G27-H27-I27-J27</f>
        <v/>
      </c>
      <c r="M27">
        <f>K27-B27</f>
        <v/>
      </c>
    </row>
    <row r="28">
      <c r="A28" t="inlineStr">
        <is>
          <t>Piglets</t>
        </is>
      </c>
      <c r="C28" t="n">
        <v>26</v>
      </c>
      <c r="I28" t="n">
        <v>5</v>
      </c>
      <c r="J28">
        <f>2+3</f>
        <v/>
      </c>
      <c r="K28" t="n">
        <v>16</v>
      </c>
      <c r="L28">
        <f>B28+C28+D28+E28+F28-G28-H28-I28-J28</f>
        <v/>
      </c>
      <c r="M28">
        <f>K28-B28</f>
        <v/>
      </c>
    </row>
    <row r="29">
      <c r="A29" t="inlineStr">
        <is>
          <t>Swans</t>
        </is>
      </c>
      <c r="L29">
        <f>B29+C29+D29+E29+F29-G29-H29-I29-J29</f>
        <v/>
      </c>
      <c r="M29">
        <f>K29-B29</f>
        <v/>
      </c>
    </row>
    <row r="30">
      <c r="A30" t="inlineStr">
        <is>
          <t>Peacocks</t>
        </is>
      </c>
      <c r="B30" t="n">
        <v>12</v>
      </c>
      <c r="C30" t="n">
        <v>2</v>
      </c>
      <c r="K30" t="n">
        <v>14</v>
      </c>
      <c r="L30">
        <f>B30+C30+D30+E30+F30-G30-H30-I30-J30</f>
        <v/>
      </c>
      <c r="M30">
        <f>K30-B30</f>
        <v/>
      </c>
    </row>
    <row r="31" ht="16" customHeight="1">
      <c r="A31" s="67" t="inlineStr">
        <is>
          <t>Total Value</t>
        </is>
      </c>
      <c r="L31" s="39">
        <f>B31+C31+D31+E31+F31-G31-H31-I31-J31</f>
        <v/>
      </c>
      <c r="M31" s="39">
        <f>K31-B31</f>
        <v/>
      </c>
      <c r="O31" s="152" t="n"/>
      <c r="R31" s="39">
        <f>SUM(R5:R30)</f>
        <v/>
      </c>
    </row>
    <row r="32"/>
    <row r="33"/>
    <row r="34" ht="17" customHeight="1">
      <c r="A34" s="66" t="inlineStr">
        <is>
          <t>Wool</t>
        </is>
      </c>
      <c r="L34">
        <f>B34+C34+D34+E34+F34-G34-H34-I34-J34</f>
        <v/>
      </c>
      <c r="M34">
        <f>K34-B34</f>
        <v/>
      </c>
    </row>
    <row r="35">
      <c r="A35" t="inlineStr">
        <is>
          <t>Coarse wool</t>
        </is>
      </c>
      <c r="C35">
        <f>SUM(C36:C39)</f>
        <v/>
      </c>
      <c r="J35">
        <f>37+1+338</f>
        <v/>
      </c>
      <c r="K35" t="n">
        <v>0</v>
      </c>
      <c r="L35">
        <f>B35+C35+D35+E35+F35-G35-H35-I35-J35</f>
        <v/>
      </c>
      <c r="M35">
        <f>K35-B35</f>
        <v/>
      </c>
      <c r="O35" s="72" t="n">
        <v>0.02</v>
      </c>
      <c r="T35">
        <f>O35*J35</f>
        <v/>
      </c>
    </row>
    <row r="36">
      <c r="A36" s="28" t="inlineStr">
        <is>
          <t>from wethers</t>
        </is>
      </c>
      <c r="C36" t="n">
        <v>165</v>
      </c>
      <c r="L36">
        <f>B36+C36+D36+E36+F36-G36-H36-I36-J36</f>
        <v/>
      </c>
      <c r="M36">
        <f>K36-B36</f>
        <v/>
      </c>
    </row>
    <row r="37">
      <c r="A37" s="28" t="inlineStr">
        <is>
          <t>from rams</t>
        </is>
      </c>
      <c r="C37" t="n">
        <v>6</v>
      </c>
      <c r="L37">
        <f>B37+C37+D37+E37+F37-G37-H37-I37-J37</f>
        <v/>
      </c>
      <c r="M37">
        <f>K37-B37</f>
        <v/>
      </c>
    </row>
    <row r="38">
      <c r="A38" s="28" t="inlineStr">
        <is>
          <t>from ewes</t>
        </is>
      </c>
      <c r="C38" t="n">
        <v>149</v>
      </c>
      <c r="L38">
        <f>B38+C38+D38+E38+F38-G38-H38-I38-J38</f>
        <v/>
      </c>
      <c r="M38">
        <f>K38-B38</f>
        <v/>
      </c>
    </row>
    <row r="39">
      <c r="A39" s="28" t="inlineStr">
        <is>
          <t>from hoggs</t>
        </is>
      </c>
      <c r="C39" t="n">
        <v>56</v>
      </c>
      <c r="L39">
        <f>B39+C39+D39+E39+F39-G39-H39-I39-J39</f>
        <v/>
      </c>
      <c r="M39">
        <f>K39-B39</f>
        <v/>
      </c>
    </row>
    <row r="40">
      <c r="A40" t="inlineStr">
        <is>
          <t>Lamb's wool</t>
        </is>
      </c>
      <c r="C40" t="n">
        <v>94</v>
      </c>
      <c r="J40" t="n">
        <v>94</v>
      </c>
      <c r="K40" t="n">
        <v>0</v>
      </c>
      <c r="L40">
        <f>B40+C40+D40+E40+F40-G40-H40-I40-J40</f>
        <v/>
      </c>
      <c r="M40">
        <f>K40-B40</f>
        <v/>
      </c>
      <c r="O40" s="72" t="n">
        <v>0.01</v>
      </c>
      <c r="T40">
        <f>O40*J40</f>
        <v/>
      </c>
    </row>
    <row r="41">
      <c r="A41" t="inlineStr">
        <is>
          <t>Wool locks</t>
        </is>
      </c>
      <c r="L41">
        <f>B41+C41+D41+E41+F41-G41-H41-I41-J41</f>
        <v/>
      </c>
      <c r="M41">
        <f>K41-B41</f>
        <v/>
      </c>
    </row>
    <row r="42">
      <c r="A42" t="inlineStr">
        <is>
          <t>Wool sold at shearing</t>
        </is>
      </c>
      <c r="L42">
        <f>B42+C42+D42+E42+F42-G42-H42-I42-J42</f>
        <v/>
      </c>
      <c r="M42">
        <f>K42-B42</f>
        <v/>
      </c>
    </row>
    <row r="43" ht="16" customHeight="1">
      <c r="A43" s="67" t="inlineStr">
        <is>
          <t>Total wool</t>
        </is>
      </c>
      <c r="L43" s="39">
        <f>B43+C43+D43+E43+F43-G43-H43-I43-J43</f>
        <v/>
      </c>
      <c r="M43" s="39">
        <f>K43-B43</f>
        <v/>
      </c>
      <c r="O43" s="152" t="n"/>
      <c r="T43" s="39">
        <f>SUM(T35:T42)</f>
        <v/>
      </c>
    </row>
    <row r="44"/>
    <row r="45"/>
    <row r="46" ht="17" customHeight="1">
      <c r="A46" s="66" t="inlineStr">
        <is>
          <t>Hides</t>
        </is>
      </c>
      <c r="L46">
        <f>B46+C46+D46+E46+F46-G46-H46-I46-J46</f>
        <v/>
      </c>
      <c r="M46">
        <f>K46-B46</f>
        <v/>
      </c>
    </row>
    <row r="47" ht="16" customHeight="1">
      <c r="A47" s="44" t="inlineStr">
        <is>
          <t>plough horse</t>
        </is>
      </c>
      <c r="C47" t="n">
        <v>1</v>
      </c>
      <c r="H47" t="n">
        <v>1</v>
      </c>
      <c r="L47">
        <f>B47+C47+D47+E47+F47-G47-H47-I47-J47</f>
        <v/>
      </c>
      <c r="M47">
        <f>K47-B47</f>
        <v/>
      </c>
      <c r="O47" s="72">
        <f>R47/(H47+H48)</f>
        <v/>
      </c>
      <c r="R47" s="72">
        <f>Receipts!F65</f>
        <v/>
      </c>
      <c r="T47" s="72">
        <f>O47*C47</f>
        <v/>
      </c>
    </row>
    <row r="48" ht="16" customHeight="1">
      <c r="A48" s="44" t="inlineStr">
        <is>
          <t>colt</t>
        </is>
      </c>
      <c r="C48" t="n">
        <v>3</v>
      </c>
      <c r="H48" t="n">
        <v>3</v>
      </c>
      <c r="L48">
        <f>B48+C48+D48+E48+F48-G48-H48-I48-J48</f>
        <v/>
      </c>
      <c r="M48">
        <f>K48-B48</f>
        <v/>
      </c>
      <c r="O48" s="72">
        <f>R47/(H47+H48)</f>
        <v/>
      </c>
      <c r="R48" s="72">
        <f>R47</f>
        <v/>
      </c>
      <c r="T48" s="72">
        <f>O48*C48</f>
        <v/>
      </c>
    </row>
    <row r="49" ht="16" customHeight="1">
      <c r="A49" s="44" t="inlineStr">
        <is>
          <t>yearling</t>
        </is>
      </c>
      <c r="C49" t="n">
        <v>1</v>
      </c>
      <c r="H49" t="n">
        <v>1</v>
      </c>
      <c r="L49">
        <f>B49+C49+D49+E49+F49-G49-H49-I49-J49</f>
        <v/>
      </c>
      <c r="M49">
        <f>K49-B49</f>
        <v/>
      </c>
      <c r="T49" s="72">
        <f>O49*C49</f>
        <v/>
      </c>
      <c r="U49" t="inlineStr">
        <is>
          <t>sale not recorded in issues of the manor</t>
        </is>
      </c>
    </row>
    <row r="50">
      <c r="A50" t="inlineStr">
        <is>
          <t>Ox hides</t>
        </is>
      </c>
      <c r="L50">
        <f>B50+C50+D50+E50+F50-G50-H50-I50-J50</f>
        <v/>
      </c>
      <c r="M50">
        <f>K50-B50</f>
        <v/>
      </c>
      <c r="T50" s="72" t="n"/>
    </row>
    <row r="51">
      <c r="A51" t="inlineStr">
        <is>
          <t>Mare</t>
        </is>
      </c>
      <c r="L51">
        <f>B51+C51+D51+E51+F51-G51-H51-I51-J51</f>
        <v/>
      </c>
      <c r="M51">
        <f>K51-B51</f>
        <v/>
      </c>
      <c r="T51" s="72" t="n"/>
    </row>
    <row r="52">
      <c r="A52" t="inlineStr">
        <is>
          <t>Steer</t>
        </is>
      </c>
      <c r="L52">
        <f>B52+C52+D52+E52+F52-G52-H52-I52-J52</f>
        <v/>
      </c>
      <c r="M52">
        <f>K52-B52</f>
        <v/>
      </c>
      <c r="T52" s="72" t="n"/>
    </row>
    <row r="53">
      <c r="A53" t="inlineStr">
        <is>
          <t>calves</t>
        </is>
      </c>
      <c r="L53">
        <f>B53+C53+D53+E53+F53-G53-H53-I53-J53</f>
        <v/>
      </c>
      <c r="M53">
        <f>K53-B53</f>
        <v/>
      </c>
      <c r="T53" s="72" t="n"/>
    </row>
    <row r="54">
      <c r="A54" s="68" t="inlineStr">
        <is>
          <t>pigs</t>
        </is>
      </c>
      <c r="L54">
        <f>B54+C54+D54+E54+F54-G54-H54-I54-J54</f>
        <v/>
      </c>
      <c r="M54">
        <f>K54-B54</f>
        <v/>
      </c>
      <c r="T54" s="72" t="n"/>
    </row>
    <row r="55">
      <c r="A55" t="inlineStr">
        <is>
          <t>Woolskins</t>
        </is>
      </c>
      <c r="L55">
        <f>B55+C55+D55+E55+F55-G55-H55-I55-J55</f>
        <v/>
      </c>
      <c r="M55">
        <f>K55-B55</f>
        <v/>
      </c>
      <c r="T55" s="72" t="n"/>
    </row>
    <row r="56">
      <c r="A56" s="28" t="inlineStr">
        <is>
          <t>wethers</t>
        </is>
      </c>
      <c r="C56" t="n">
        <v>7</v>
      </c>
      <c r="H56" t="n">
        <v>7</v>
      </c>
      <c r="L56">
        <f>B56+C56+D56+E56+F56-G56-H56-I56-J56</f>
        <v/>
      </c>
      <c r="M56">
        <f>K56-B56</f>
        <v/>
      </c>
      <c r="T56" s="72" t="n"/>
    </row>
    <row r="57">
      <c r="A57" s="28" t="inlineStr">
        <is>
          <t>rams</t>
        </is>
      </c>
      <c r="L57">
        <f>B57+C57+D57+E57+F57-G57-H57-I57-J57</f>
        <v/>
      </c>
      <c r="M57">
        <f>K57-B57</f>
        <v/>
      </c>
      <c r="T57" s="72" t="n"/>
    </row>
    <row r="58">
      <c r="A58" s="28" t="inlineStr">
        <is>
          <t>ewes</t>
        </is>
      </c>
      <c r="C58" t="n">
        <v>11</v>
      </c>
      <c r="H58" t="n">
        <v>11</v>
      </c>
      <c r="L58">
        <f>B58+C58+D58+E58+F58-G58-H58-I58-J58</f>
        <v/>
      </c>
      <c r="M58">
        <f>K58-B58</f>
        <v/>
      </c>
      <c r="T58" s="72" t="n"/>
    </row>
    <row r="59">
      <c r="A59" s="28" t="inlineStr">
        <is>
          <t>hoggs</t>
        </is>
      </c>
      <c r="C59" t="n">
        <v>8</v>
      </c>
      <c r="H59" t="n">
        <v>8</v>
      </c>
      <c r="L59">
        <f>B59+C59+D59+E59+F59-G59-H59-I59-J59</f>
        <v/>
      </c>
      <c r="M59">
        <f>K59-B59</f>
        <v/>
      </c>
      <c r="T59" s="72" t="n"/>
    </row>
    <row r="60">
      <c r="A60" s="69" t="inlineStr">
        <is>
          <t>Woolskins</t>
        </is>
      </c>
      <c r="C60">
        <f>SUM(C56:C59)</f>
        <v/>
      </c>
      <c r="H60">
        <f>SUM(H56:H59)</f>
        <v/>
      </c>
      <c r="O60" s="72">
        <f>R60/(H60+H62+H64)</f>
        <v/>
      </c>
      <c r="R60" s="72">
        <f>Receipts!F67</f>
        <v/>
      </c>
      <c r="T60" s="72">
        <f>O60*C60</f>
        <v/>
      </c>
    </row>
    <row r="61">
      <c r="A61" s="43" t="inlineStr">
        <is>
          <t>Bareskins</t>
        </is>
      </c>
      <c r="L61">
        <f>B61+C61+D61+E61+F61-G61-H61-I61-J61</f>
        <v/>
      </c>
      <c r="M61">
        <f>K61-B61</f>
        <v/>
      </c>
      <c r="T61" s="72">
        <f>O61*C61</f>
        <v/>
      </c>
    </row>
    <row r="62">
      <c r="A62" s="28" t="inlineStr">
        <is>
          <t>wethers</t>
        </is>
      </c>
      <c r="C62" t="n">
        <v>1</v>
      </c>
      <c r="H62" t="n">
        <v>1</v>
      </c>
      <c r="L62">
        <f>B62+C62+D62+E62+F62-G62-H62-I62-J62</f>
        <v/>
      </c>
      <c r="M62">
        <f>K62-B62</f>
        <v/>
      </c>
      <c r="O62" s="72">
        <f>R60/(H60+H62+H64)</f>
        <v/>
      </c>
      <c r="R62" s="72">
        <f>Receipts!F67</f>
        <v/>
      </c>
      <c r="T62" s="72">
        <f>O62*C62</f>
        <v/>
      </c>
    </row>
    <row r="63">
      <c r="A63" s="28" t="inlineStr">
        <is>
          <t>rams</t>
        </is>
      </c>
      <c r="L63">
        <f>B63+C63+D63+E63+F63-G63-H63-I63-J63</f>
        <v/>
      </c>
      <c r="M63">
        <f>K63-B63</f>
        <v/>
      </c>
      <c r="T63" s="72">
        <f>O63*C63</f>
        <v/>
      </c>
    </row>
    <row r="64">
      <c r="A64" s="28" t="inlineStr">
        <is>
          <t>ewes</t>
        </is>
      </c>
      <c r="C64" t="n">
        <v>2</v>
      </c>
      <c r="H64" t="n">
        <v>2</v>
      </c>
      <c r="L64">
        <f>B64+C64+D64+E64+F64-G64-H64-I64-J64</f>
        <v/>
      </c>
      <c r="M64">
        <f>K64-B64</f>
        <v/>
      </c>
      <c r="O64" s="72">
        <f>R60/(H60+H62+H64)</f>
        <v/>
      </c>
      <c r="R64" s="72">
        <f>Receipts!F67</f>
        <v/>
      </c>
      <c r="T64" s="72">
        <f>O64*C64</f>
        <v/>
      </c>
    </row>
    <row r="65">
      <c r="A65" s="28" t="inlineStr">
        <is>
          <t>hoggs</t>
        </is>
      </c>
      <c r="L65">
        <f>B65+C65+D65+E65+F65-G65-H65-I65-J65</f>
        <v/>
      </c>
      <c r="M65">
        <f>K65-B65</f>
        <v/>
      </c>
      <c r="T65" s="72">
        <f>O65*C65</f>
        <v/>
      </c>
    </row>
    <row r="66">
      <c r="A66" s="69" t="inlineStr">
        <is>
          <t>Bareskins (total)</t>
        </is>
      </c>
      <c r="L66">
        <f>B66+C66+D66+E66+F66-G66-H66-I66-J66</f>
        <v/>
      </c>
      <c r="M66">
        <f>K66-B66</f>
        <v/>
      </c>
      <c r="T66" s="72">
        <f>O66*C66</f>
        <v/>
      </c>
    </row>
    <row r="67">
      <c r="A67" t="inlineStr">
        <is>
          <t xml:space="preserve">Lambskins </t>
        </is>
      </c>
      <c r="C67">
        <f>21+14</f>
        <v/>
      </c>
      <c r="H67">
        <f>21+14</f>
        <v/>
      </c>
      <c r="L67">
        <f>B67+C67+D67+E67+F67-G67-H67-I67-J67</f>
        <v/>
      </c>
      <c r="M67">
        <f>K67-B67</f>
        <v/>
      </c>
      <c r="O67" s="72">
        <f>R67/H67</f>
        <v/>
      </c>
      <c r="R67" s="72">
        <f>Receipts!F68</f>
        <v/>
      </c>
      <c r="T67" s="72">
        <f>O67*C67</f>
        <v/>
      </c>
    </row>
    <row r="68">
      <c r="A68" t="inlineStr">
        <is>
          <t>Rotted skins</t>
        </is>
      </c>
      <c r="L68">
        <f>B68+C68+D68+E68+F68-G68-H68-I68-J68</f>
        <v/>
      </c>
      <c r="M68">
        <f>K68-B68</f>
        <v/>
      </c>
    </row>
    <row r="69">
      <c r="A69" t="inlineStr">
        <is>
          <t>Shorn skins</t>
        </is>
      </c>
      <c r="L69">
        <f>B69+C69+D69+E69+F69-G69-H69-I69-J69</f>
        <v/>
      </c>
      <c r="M69">
        <f>K69-B69</f>
        <v/>
      </c>
    </row>
    <row r="70">
      <c r="A70" s="39" t="inlineStr">
        <is>
          <t xml:space="preserve">Total </t>
        </is>
      </c>
      <c r="L70" s="39">
        <f>B70+C70+D70+E70+F70-G70-H70-I70-J70</f>
        <v/>
      </c>
      <c r="M70" s="39">
        <f>K70-B70</f>
        <v/>
      </c>
      <c r="O70" s="152" t="n"/>
      <c r="R70" s="152">
        <f>R47+R60+R67</f>
        <v/>
      </c>
      <c r="T70" s="39">
        <f>SUM(T47:T69)</f>
        <v/>
      </c>
    </row>
    <row r="71"/>
    <row r="72"/>
    <row r="73" ht="17" customHeight="1">
      <c r="A73" s="66" t="inlineStr">
        <is>
          <t>Poultry stock</t>
        </is>
      </c>
      <c r="L73">
        <f>B73+C73+D73+E73+F73-G73-H73-I73-J73</f>
        <v/>
      </c>
      <c r="M73">
        <f>K73-B73</f>
        <v/>
      </c>
    </row>
    <row r="74" ht="16" customHeight="1">
      <c r="A74" s="44" t="inlineStr">
        <is>
          <t>Hens</t>
        </is>
      </c>
      <c r="L74">
        <f>B74+C74+D74+E74+F74-G74-H74-I74-J74</f>
        <v/>
      </c>
      <c r="M74">
        <f>K74-B74</f>
        <v/>
      </c>
    </row>
    <row r="75">
      <c r="A75" t="inlineStr">
        <is>
          <t>Geese</t>
        </is>
      </c>
      <c r="L75">
        <f>B75+C75+D75+E75+F75-G75-H75-I75-J75</f>
        <v/>
      </c>
      <c r="M75">
        <f>K75-B75</f>
        <v/>
      </c>
    </row>
    <row r="76">
      <c r="A76" t="inlineStr">
        <is>
          <t>Capons (from chickens)</t>
        </is>
      </c>
      <c r="L76">
        <f>B76+C76+D76+E76+F76-G76-H76-I76-J76</f>
        <v/>
      </c>
      <c r="M76">
        <f>K76-B76</f>
        <v/>
      </c>
    </row>
    <row r="77">
      <c r="A77" t="inlineStr">
        <is>
          <t>Cocks &amp; hens</t>
        </is>
      </c>
      <c r="L77">
        <f>B77+C77+D77+E77+F77-G77-H77-I77-J77</f>
        <v/>
      </c>
      <c r="M77">
        <f>K77-B77</f>
        <v/>
      </c>
    </row>
    <row r="78">
      <c r="A78" s="70" t="inlineStr">
        <is>
          <t>Total poultry stock</t>
        </is>
      </c>
      <c r="L78">
        <f>B78+C78+D78+E78+F78-G78-H78-I78-J78</f>
        <v/>
      </c>
      <c r="M78">
        <f>K78-B78</f>
        <v/>
      </c>
    </row>
    <row r="79">
      <c r="A79" s="71" t="inlineStr">
        <is>
          <t>Total poultry excluding churchscot</t>
        </is>
      </c>
      <c r="L79">
        <f>B79+C79+D79+E79+F79-G79-H79-I79-J79</f>
        <v/>
      </c>
      <c r="M79">
        <f>K79-B79</f>
        <v/>
      </c>
    </row>
    <row r="80"/>
    <row r="81" ht="16" customHeight="1">
      <c r="A81" s="12" t="inlineStr">
        <is>
          <t>Poultry production</t>
        </is>
      </c>
      <c r="L81">
        <f>B81+C81+D81+E81+F81-G81-H81-I81-J81</f>
        <v/>
      </c>
      <c r="M81">
        <f>K81-B81</f>
        <v/>
      </c>
    </row>
    <row r="82">
      <c r="A82" t="inlineStr">
        <is>
          <t>Eggs</t>
        </is>
      </c>
      <c r="F82" t="n">
        <v>600</v>
      </c>
      <c r="H82" t="n">
        <v>600</v>
      </c>
      <c r="L82">
        <f>B82+C82+D82+E82+F82-G82-H82-I82-J82</f>
        <v/>
      </c>
      <c r="M82">
        <f>K82-B82</f>
        <v/>
      </c>
      <c r="O82" s="72">
        <f>R82/H82</f>
        <v/>
      </c>
      <c r="R82" s="72">
        <f>Receipts!F75</f>
        <v/>
      </c>
      <c r="T82" s="72">
        <f>O82*F82</f>
        <v/>
      </c>
    </row>
    <row r="83">
      <c r="A83" t="inlineStr">
        <is>
          <t>Cocks &amp; hens from churchscot of customary tenants</t>
        </is>
      </c>
      <c r="F83" t="n">
        <v>162</v>
      </c>
      <c r="G83">
        <f>38</f>
        <v/>
      </c>
      <c r="H83" t="n">
        <v>124</v>
      </c>
      <c r="L83">
        <f>B83+C83+D83+E83+F83-G83-H83-I83-J83</f>
        <v/>
      </c>
      <c r="M83">
        <f>K83-B83</f>
        <v/>
      </c>
      <c r="O83" s="72">
        <f>R83/H83</f>
        <v/>
      </c>
      <c r="R83" s="72">
        <f>Receipts!F74</f>
        <v/>
      </c>
      <c r="T83" s="72">
        <f>O83*H83</f>
        <v/>
      </c>
    </row>
    <row r="84">
      <c r="A84" t="inlineStr">
        <is>
          <t>Sum of above</t>
        </is>
      </c>
      <c r="L84">
        <f>B84+C84+D84+E84+F84-G84-H84-I84-J84</f>
        <v/>
      </c>
      <c r="M84">
        <f>K84-B84</f>
        <v/>
      </c>
      <c r="T84" s="72" t="n"/>
    </row>
    <row r="85">
      <c r="A85" s="39" t="inlineStr">
        <is>
          <t>Total</t>
        </is>
      </c>
      <c r="L85" s="39">
        <f>B85+C85+D85+E85+F85-G85-H85-I85-J85</f>
        <v/>
      </c>
      <c r="M85" s="39">
        <f>K85-B85</f>
        <v/>
      </c>
      <c r="O85" s="152" t="n"/>
      <c r="R85" s="39">
        <f>SUM(R81:R84)</f>
        <v/>
      </c>
      <c r="T85" s="152">
        <f>SUM(T82:T83)</f>
        <v/>
      </c>
    </row>
    <row r="86">
      <c r="M86">
        <f>K86-B86</f>
        <v/>
      </c>
    </row>
    <row r="87">
      <c r="M87">
        <f>K87-B87</f>
        <v/>
      </c>
    </row>
    <row r="88" ht="16" customHeight="1">
      <c r="A88" s="12" t="n"/>
      <c r="M88">
        <f>K88-B88</f>
        <v/>
      </c>
    </row>
    <row r="89">
      <c r="A89" t="inlineStr">
        <is>
          <t>Beef</t>
        </is>
      </c>
      <c r="L89">
        <f>B89+C89+D89+E89+F89-G89-H89-I89-J89</f>
        <v/>
      </c>
      <c r="M89">
        <f>K89-B89</f>
        <v/>
      </c>
    </row>
    <row r="90">
      <c r="A90" t="inlineStr">
        <is>
          <t>Mutton</t>
        </is>
      </c>
      <c r="L90">
        <f>B90+C90+D90+E90+F90-G90-H90-I90-J90</f>
        <v/>
      </c>
      <c r="M90">
        <f>K90-B90</f>
        <v/>
      </c>
    </row>
    <row r="91">
      <c r="A91" t="inlineStr">
        <is>
          <t>Pork</t>
        </is>
      </c>
      <c r="L91">
        <f>B91+C91+D91+E91+F91-G91-H91-I91-J91</f>
        <v/>
      </c>
      <c r="M91">
        <f>K91-B91</f>
        <v/>
      </c>
    </row>
    <row r="92" ht="16" customHeight="1">
      <c r="A92" s="57" t="inlineStr">
        <is>
          <t xml:space="preserve">Total </t>
        </is>
      </c>
      <c r="L92">
        <f>B92+C92+D92+E92+F92-G92-H92-I92-J92</f>
        <v/>
      </c>
      <c r="M92">
        <f>K92-B92</f>
        <v/>
      </c>
    </row>
    <row r="93">
      <c r="M93">
        <f>K93-B93</f>
        <v/>
      </c>
    </row>
    <row r="94" ht="16" customHeight="1">
      <c r="A94" s="12" t="inlineStr">
        <is>
          <t>Cheese</t>
        </is>
      </c>
      <c r="L94">
        <f>B94+C94+D94+E94+F94-G94-H94-I94-J94</f>
        <v/>
      </c>
      <c r="M94">
        <f>K94-B94</f>
        <v/>
      </c>
    </row>
    <row r="95">
      <c r="A95" t="inlineStr">
        <is>
          <t>Winter cheese</t>
        </is>
      </c>
      <c r="B95" t="n">
        <v>28</v>
      </c>
      <c r="L95">
        <f>B95+C95+D95+E95+F95-G95-H95-I95-J95</f>
        <v/>
      </c>
      <c r="M95">
        <f>K95-B95</f>
        <v/>
      </c>
      <c r="O95" s="72">
        <f>R95/B95</f>
        <v/>
      </c>
      <c r="R95" s="72">
        <f>Receipts!F71</f>
        <v/>
      </c>
      <c r="S95" s="72" t="n"/>
      <c r="T95" s="72">
        <f>O95*B95</f>
        <v/>
      </c>
    </row>
    <row r="96">
      <c r="A96" t="inlineStr">
        <is>
          <t>Summer cheese</t>
        </is>
      </c>
      <c r="B96" t="n">
        <v>162</v>
      </c>
      <c r="H96" t="n">
        <v>120</v>
      </c>
      <c r="J96">
        <f>16+2</f>
        <v/>
      </c>
      <c r="L96">
        <f>B96+C96+D96+E96+F96-G96-H96-I96-J96</f>
        <v/>
      </c>
      <c r="M96">
        <f>K96-B96</f>
        <v/>
      </c>
      <c r="O96" s="72">
        <f>R96/H96</f>
        <v/>
      </c>
      <c r="R96" s="72">
        <f>Receipts!F72</f>
        <v/>
      </c>
      <c r="S96" s="72" t="n"/>
      <c r="T96" s="72">
        <f>O96*B96</f>
        <v/>
      </c>
    </row>
    <row r="97" ht="16" customHeight="1">
      <c r="A97" s="67" t="inlineStr">
        <is>
          <t>Total</t>
        </is>
      </c>
      <c r="L97" s="39">
        <f>B97+C97+D97+E97+F97-G97-H97-I97-J97</f>
        <v/>
      </c>
      <c r="M97" s="39">
        <f>K97-B97</f>
        <v/>
      </c>
      <c r="O97" s="152" t="n"/>
      <c r="R97" s="152">
        <f>SUM(R94:R96)</f>
        <v/>
      </c>
      <c r="S97" s="152" t="n"/>
      <c r="T97" s="152">
        <f>SUM(T95:T96)</f>
        <v/>
      </c>
    </row>
    <row r="98">
      <c r="M98">
        <f>K98-B98</f>
        <v/>
      </c>
    </row>
    <row r="99" ht="16" customHeight="1">
      <c r="A99" s="12" t="inlineStr">
        <is>
          <t>Butter</t>
        </is>
      </c>
      <c r="L99">
        <f>B99+C99+D99+E99+F99-G99-H99-I99-J99</f>
        <v/>
      </c>
      <c r="M99">
        <f>K99-B99</f>
        <v/>
      </c>
    </row>
    <row r="100">
      <c r="A100" t="inlineStr">
        <is>
          <t>Butter</t>
        </is>
      </c>
      <c r="B100" t="n">
        <v>8</v>
      </c>
      <c r="H100" t="n">
        <v>8</v>
      </c>
      <c r="K100" t="n">
        <v>0</v>
      </c>
      <c r="L100">
        <f>B100+C100+D100+E100+F100-G100-H100-I100-J100</f>
        <v/>
      </c>
      <c r="M100">
        <f>K100-B100</f>
        <v/>
      </c>
      <c r="O100" s="72">
        <f>R100/H100</f>
        <v/>
      </c>
      <c r="R100" s="72">
        <f>Receipts!F73</f>
        <v/>
      </c>
      <c r="T100" s="72">
        <f>R100</f>
        <v/>
      </c>
      <c r="U100" t="inlineStr">
        <is>
          <t>measured in cloves</t>
        </is>
      </c>
    </row>
    <row r="101" ht="16" customHeight="1">
      <c r="A101" s="67" t="inlineStr">
        <is>
          <t>Total</t>
        </is>
      </c>
      <c r="O101" s="152" t="n"/>
      <c r="R101" s="39">
        <f>SUM(R99:R100)</f>
        <v/>
      </c>
      <c r="T101" s="39">
        <f>R101</f>
        <v/>
      </c>
    </row>
    <row r="102" ht="16" customHeight="1">
      <c r="A102" s="13" t="n"/>
    </row>
    <row r="103" ht="16" customHeight="1">
      <c r="A103" s="57" t="inlineStr">
        <is>
          <t>Total Dairy Sales</t>
        </is>
      </c>
    </row>
    <row r="104"/>
    <row r="105"/>
    <row r="106" ht="16" customHeight="1">
      <c r="A106" s="12" t="inlineStr">
        <is>
          <t>Cider</t>
        </is>
      </c>
    </row>
    <row r="107"/>
    <row r="108"/>
    <row r="109" ht="16" customHeight="1">
      <c r="A109" s="13" t="inlineStr">
        <is>
          <t>Additional Information (not necessarily useful)</t>
        </is>
      </c>
    </row>
    <row r="110" ht="16" customHeight="1">
      <c r="A110" s="12" t="inlineStr">
        <is>
          <t>Utensils</t>
        </is>
      </c>
    </row>
    <row r="111">
      <c r="A111" t="inlineStr">
        <is>
          <t>ploughs</t>
        </is>
      </c>
    </row>
    <row r="112">
      <c r="A112" t="inlineStr">
        <is>
          <t>carts</t>
        </is>
      </c>
    </row>
    <row r="113">
      <c r="A113" t="inlineStr">
        <is>
          <t>cart-ropes</t>
        </is>
      </c>
    </row>
    <row r="114">
      <c r="A114" t="inlineStr">
        <is>
          <t>corn baskets</t>
        </is>
      </c>
    </row>
    <row r="115">
      <c r="A115" t="inlineStr">
        <is>
          <t>seed-sacks</t>
        </is>
      </c>
    </row>
    <row r="116">
      <c r="A116" t="inlineStr">
        <is>
          <t>seed basket</t>
        </is>
      </c>
    </row>
    <row r="117">
      <c r="A117" t="inlineStr">
        <is>
          <t>locks for the doors</t>
        </is>
      </c>
    </row>
    <row r="118">
      <c r="A118" t="inlineStr">
        <is>
          <t>lead vessel</t>
        </is>
      </c>
    </row>
    <row r="119">
      <c r="A119" t="inlineStr">
        <is>
          <t>brass pots</t>
        </is>
      </c>
    </row>
    <row r="120">
      <c r="A120" t="inlineStr">
        <is>
          <t>pans</t>
        </is>
      </c>
    </row>
    <row r="121">
      <c r="A121" t="inlineStr">
        <is>
          <t>tripods</t>
        </is>
      </c>
    </row>
    <row r="122">
      <c r="A122" t="inlineStr">
        <is>
          <t>mortar</t>
        </is>
      </c>
    </row>
    <row r="123">
      <c r="A123" t="inlineStr">
        <is>
          <t>axe</t>
        </is>
      </c>
    </row>
    <row r="124">
      <c r="A124" t="inlineStr">
        <is>
          <t>casks</t>
        </is>
      </c>
    </row>
    <row r="125">
      <c r="A125" t="inlineStr">
        <is>
          <t>tubs</t>
        </is>
      </c>
    </row>
    <row r="126">
      <c r="A126" t="inlineStr">
        <is>
          <t>troughs</t>
        </is>
      </c>
    </row>
    <row r="127">
      <c r="A127" t="inlineStr">
        <is>
          <t>bucket</t>
        </is>
      </c>
    </row>
    <row r="128">
      <c r="A128" t="inlineStr">
        <is>
          <t>cheese basket</t>
        </is>
      </c>
    </row>
    <row r="129">
      <c r="A129" t="inlineStr">
        <is>
          <t>tables</t>
        </is>
      </c>
    </row>
    <row r="130">
      <c r="A130" t="inlineStr">
        <is>
          <t>table with trestles</t>
        </is>
      </c>
    </row>
    <row r="131">
      <c r="A131" t="inlineStr">
        <is>
          <t>benches</t>
        </is>
      </c>
    </row>
    <row r="132">
      <c r="A132" t="inlineStr">
        <is>
          <t>ewer with a basin</t>
        </is>
      </c>
    </row>
    <row r="133">
      <c r="A133" t="inlineStr">
        <is>
          <t>ladders</t>
        </is>
      </c>
    </row>
    <row r="134">
      <c r="A134" t="inlineStr">
        <is>
          <t>cloth</t>
        </is>
      </c>
    </row>
    <row r="135">
      <c r="A135"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H68"/>
  <sheetViews>
    <sheetView topLeftCell="A1"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row>
    <row r="2">
      <c r="A2" t="inlineStr">
        <is>
          <t>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row>
    <row r="3">
      <c r="A3" t="inlineStr">
        <is>
          <t>Wheat</t>
        </is>
      </c>
      <c r="B3" t="inlineStr">
        <is>
          <t>{yield: three-and-a-half-fold less 4 quarters 7 bushels}</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4</v>
      </c>
      <c r="Y3" t="n">
        <v>7</v>
      </c>
      <c r="Z3" t="n">
        <v>4.875</v>
      </c>
      <c r="AA3" t="n">
        <v>4.875</v>
      </c>
      <c r="AB3" t="n">
        <v>0</v>
      </c>
      <c r="AC3" t="n">
        <v>4</v>
      </c>
      <c r="AD3" t="n">
        <v>7</v>
      </c>
    </row>
    <row r="4">
      <c r="A4" t="inlineStr">
        <is>
          <t>Wheat</t>
        </is>
      </c>
      <c r="B4" t="inlineStr">
        <is>
          <t>The same render account for 64 quarters 6 bushels from the whole issue of wheat from the grange in the granary without heaped measure.</t>
        </is>
      </c>
      <c r="C4" t="n">
        <v>0</v>
      </c>
      <c r="D4" t="n">
        <v>0</v>
      </c>
      <c r="E4" t="n">
        <v>0</v>
      </c>
      <c r="F4" t="n">
        <v>0</v>
      </c>
      <c r="G4" t="n">
        <v>0</v>
      </c>
      <c r="H4" t="n">
        <v>0</v>
      </c>
      <c r="I4" t="n">
        <v>0</v>
      </c>
      <c r="J4" t="n">
        <v>0</v>
      </c>
      <c r="K4" t="n">
        <v>0</v>
      </c>
      <c r="L4" t="n">
        <v>0</v>
      </c>
      <c r="M4" t="n">
        <v>0</v>
      </c>
      <c r="N4" t="n">
        <v>0</v>
      </c>
      <c r="O4" t="n">
        <v>0</v>
      </c>
      <c r="P4" t="n">
        <v>0</v>
      </c>
      <c r="Q4" t="n">
        <v>0</v>
      </c>
      <c r="R4" t="n">
        <v>0</v>
      </c>
      <c r="S4" t="n">
        <v>0</v>
      </c>
      <c r="T4" t="n">
        <v>64</v>
      </c>
      <c r="U4" t="n">
        <v>6</v>
      </c>
      <c r="V4" t="n">
        <v>64.75</v>
      </c>
      <c r="W4" t="n">
        <v>0</v>
      </c>
      <c r="X4" t="n">
        <v>64</v>
      </c>
      <c r="Y4" t="n">
        <v>6</v>
      </c>
      <c r="Z4" t="n">
        <v>64.75</v>
      </c>
      <c r="AA4" t="n">
        <v>64.75</v>
      </c>
      <c r="AB4" t="n">
        <v>0</v>
      </c>
      <c r="AC4" t="n">
        <v>64</v>
      </c>
      <c r="AD4" t="n">
        <v>6</v>
      </c>
    </row>
    <row r="5">
      <c r="A5" t="inlineStr">
        <is>
          <t>Wheat</t>
        </is>
      </c>
      <c r="B5" t="inlineStr">
        <is>
          <t>23 quarters 5 bushels from churchscot.</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23</v>
      </c>
      <c r="Y5" t="n">
        <v>5</v>
      </c>
      <c r="Z5" t="n">
        <v>23.625</v>
      </c>
      <c r="AA5" t="n">
        <v>23.625</v>
      </c>
      <c r="AB5" t="n">
        <v>0</v>
      </c>
      <c r="AC5" t="n">
        <v>23</v>
      </c>
      <c r="AD5" t="n">
        <v>5</v>
      </c>
    </row>
    <row r="6">
      <c r="A6" t="inlineStr">
        <is>
          <t>Wheat</t>
        </is>
      </c>
      <c r="B6" t="inlineStr">
        <is>
          <t>Total, 88 quarters 3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88</v>
      </c>
      <c r="Y6" t="n">
        <v>3</v>
      </c>
      <c r="Z6" t="n">
        <v>88.375</v>
      </c>
      <c r="AA6" t="n">
        <v>88.375</v>
      </c>
      <c r="AB6" t="n">
        <v>0</v>
      </c>
      <c r="AC6" t="n">
        <v>88</v>
      </c>
      <c r="AD6" t="n">
        <v>3</v>
      </c>
    </row>
    <row r="7">
      <c r="A7" t="inlineStr">
        <is>
          <t>Wheat</t>
        </is>
      </c>
      <c r="B7" t="inlineStr">
        <is>
          <t>Sown over 43 acres in the fields of Rowele, Mol' I and la Rude, 16 quarters 1 bushels.</t>
        </is>
      </c>
      <c r="C7" t="n">
        <v>0</v>
      </c>
      <c r="D7" t="n">
        <v>0</v>
      </c>
      <c r="E7" t="n">
        <v>16</v>
      </c>
      <c r="F7" t="n">
        <v>1</v>
      </c>
      <c r="G7" t="n">
        <v>16.125</v>
      </c>
      <c r="H7" t="n">
        <v>0</v>
      </c>
      <c r="I7" t="n">
        <v>0</v>
      </c>
      <c r="J7" t="n">
        <v>0</v>
      </c>
      <c r="K7" t="n">
        <v>0</v>
      </c>
      <c r="L7" t="n">
        <v>0</v>
      </c>
      <c r="M7" t="n">
        <v>0</v>
      </c>
      <c r="N7" t="n">
        <v>0</v>
      </c>
      <c r="O7" t="n">
        <v>0</v>
      </c>
      <c r="P7" t="n">
        <v>0</v>
      </c>
      <c r="Q7" t="n">
        <v>0</v>
      </c>
      <c r="R7" t="n">
        <v>0</v>
      </c>
      <c r="S7" t="n">
        <v>0</v>
      </c>
      <c r="T7" t="n">
        <v>0</v>
      </c>
      <c r="U7" t="n">
        <v>0</v>
      </c>
      <c r="V7" t="n">
        <v>0</v>
      </c>
      <c r="W7" t="n">
        <v>0</v>
      </c>
      <c r="X7" t="n">
        <v>16</v>
      </c>
      <c r="Y7" t="n">
        <v>1</v>
      </c>
      <c r="Z7" t="n">
        <v>16.125</v>
      </c>
      <c r="AA7" t="n">
        <v>16.125</v>
      </c>
      <c r="AB7" t="n">
        <v>0</v>
      </c>
      <c r="AC7" t="n">
        <v>16</v>
      </c>
      <c r="AD7" t="n">
        <v>1</v>
      </c>
    </row>
    <row r="8">
      <c r="A8" t="inlineStr">
        <is>
          <t>Wheat</t>
        </is>
      </c>
      <c r="B8" t="inlineStr">
        <is>
          <t>that is, 3 bushels an acre.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3</v>
      </c>
      <c r="Z8" t="n">
        <v>0.375</v>
      </c>
      <c r="AA8" t="n">
        <v>0.375</v>
      </c>
      <c r="AB8" t="n">
        <v>0</v>
      </c>
      <c r="AC8" t="n">
        <v>0</v>
      </c>
      <c r="AD8" t="n">
        <v>3</v>
      </c>
    </row>
    <row r="9">
      <c r="A9" t="inlineStr">
        <is>
          <t>Wheat</t>
        </is>
      </c>
      <c r="B9" t="inlineStr">
        <is>
          <t>.</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row>
    <row r="10">
      <c r="A10" t="inlineStr">
        <is>
          <t>Wheat</t>
        </is>
      </c>
      <c r="B10" t="inlineStr">
        <is>
          <t>provision of Simon, clerk, for 2 tourns, 4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4</v>
      </c>
      <c r="Z10" t="n">
        <v>0.5</v>
      </c>
      <c r="AA10" t="n">
        <v>0.5</v>
      </c>
      <c r="AB10" t="n">
        <v>0</v>
      </c>
      <c r="AC10" t="n">
        <v>0</v>
      </c>
      <c r="AD10" t="n">
        <v>4</v>
      </c>
    </row>
    <row r="11">
      <c r="A11" t="inlineStr">
        <is>
          <t>Wheat</t>
        </is>
      </c>
      <c r="B11" t="inlineStr">
        <is>
          <t>provision of the bailiff for the year, 11 quarters 2 bushels Sold, 60.5 quarters.</t>
        </is>
      </c>
      <c r="C11" t="n">
        <v>0</v>
      </c>
      <c r="D11" t="n">
        <v>0</v>
      </c>
      <c r="E11" t="n">
        <v>0</v>
      </c>
      <c r="F11" t="n">
        <v>0</v>
      </c>
      <c r="G11" t="n">
        <v>0</v>
      </c>
      <c r="H11" t="n">
        <v>0</v>
      </c>
      <c r="I11" t="n">
        <v>0</v>
      </c>
      <c r="J11" t="n">
        <v>0</v>
      </c>
      <c r="K11" t="n">
        <v>0</v>
      </c>
      <c r="L11" t="n">
        <v>0</v>
      </c>
      <c r="M11" t="n">
        <v>0</v>
      </c>
      <c r="N11" t="n">
        <v>0</v>
      </c>
      <c r="O11" t="n">
        <v>0</v>
      </c>
      <c r="P11" t="n">
        <v>0</v>
      </c>
      <c r="Q11" t="n">
        <v>71.5</v>
      </c>
      <c r="R11" t="n">
        <v>2</v>
      </c>
      <c r="S11" t="n">
        <v>71.75</v>
      </c>
      <c r="T11" t="n">
        <v>0</v>
      </c>
      <c r="U11" t="n">
        <v>0</v>
      </c>
      <c r="V11" t="n">
        <v>0</v>
      </c>
      <c r="W11" t="n">
        <v>0</v>
      </c>
      <c r="X11" t="n">
        <v>60.5</v>
      </c>
      <c r="Y11" t="n">
        <v>2</v>
      </c>
      <c r="Z11" t="n">
        <v>60.75</v>
      </c>
      <c r="AA11" t="n">
        <v>11.25</v>
      </c>
      <c r="AB11" t="n">
        <v>49.5</v>
      </c>
      <c r="AC11" t="n">
        <v>11</v>
      </c>
      <c r="AD11" t="n">
        <v>2</v>
      </c>
      <c r="AE11" t="n">
        <v>60.5</v>
      </c>
      <c r="AF11" t="n">
        <v>0</v>
      </c>
    </row>
    <row r="12">
      <c r="A12" t="inlineStr">
        <is>
          <t>Wheat</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row>
    <row r="13">
      <c r="A13" t="inlineStr">
        <is>
          <t>Curall</t>
        </is>
      </c>
      <c r="B13" t="inlineStr">
        <is>
          <t>The same render account for 1 qr 2 bushels from the whole issue of curall from the grange in the granary without heaped measure.</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row>
    <row r="14">
      <c r="A14" t="inlineStr">
        <is>
          <t>Curall</t>
        </is>
      </c>
      <c r="B14" t="inlineStr">
        <is>
          <t>Mixed with barley for the liveries of the manorial servants, 5 bushels Sold, 5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5</v>
      </c>
      <c r="Z14" t="n">
        <v>0.625</v>
      </c>
      <c r="AA14" t="n">
        <v>0.625</v>
      </c>
      <c r="AB14" t="n">
        <v>0</v>
      </c>
      <c r="AC14" t="n">
        <v>0</v>
      </c>
      <c r="AD14" t="n">
        <v>5</v>
      </c>
      <c r="AE14" t="n">
        <v>0</v>
      </c>
      <c r="AF14" t="n">
        <v>5</v>
      </c>
    </row>
    <row r="15">
      <c r="A15" t="inlineStr">
        <is>
          <t>Curall</t>
        </is>
      </c>
      <c r="B15" t="inlineStr">
        <is>
          <t>Total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row>
    <row r="16">
      <c r="A16" t="inlineStr">
        <is>
          <t>Barley</t>
        </is>
      </c>
      <c r="B16" t="inlineStr">
        <is>
          <t>{yield: three-fold less 5 quarters 2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5</v>
      </c>
      <c r="Y16" t="n">
        <v>2</v>
      </c>
      <c r="Z16" t="n">
        <v>5.25</v>
      </c>
      <c r="AA16" t="n">
        <v>5.25</v>
      </c>
      <c r="AB16" t="n">
        <v>0</v>
      </c>
      <c r="AC16" t="n">
        <v>5</v>
      </c>
      <c r="AD16" t="n">
        <v>2</v>
      </c>
    </row>
    <row r="17">
      <c r="A17" t="inlineStr">
        <is>
          <t>Barley</t>
        </is>
      </c>
      <c r="B17" t="inlineStr">
        <is>
          <t>The same render account for 35 quarters 2 bushels from the whole issue of barley from the grange in the granary without heaped measure.</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35</v>
      </c>
      <c r="U17" t="n">
        <v>2</v>
      </c>
      <c r="V17" t="n">
        <v>35.25</v>
      </c>
      <c r="W17" t="n">
        <v>0</v>
      </c>
      <c r="X17" t="n">
        <v>35</v>
      </c>
      <c r="Y17" t="n">
        <v>2</v>
      </c>
      <c r="Z17" t="n">
        <v>35.25</v>
      </c>
      <c r="AA17" t="n">
        <v>35.25</v>
      </c>
      <c r="AB17" t="n">
        <v>0</v>
      </c>
      <c r="AC17" t="n">
        <v>35</v>
      </c>
      <c r="AD17" t="n">
        <v>2</v>
      </c>
    </row>
    <row r="18">
      <c r="A18" t="inlineStr">
        <is>
          <t>Barley</t>
        </is>
      </c>
      <c r="B18" t="inlineStr">
        <is>
          <t>5 bushels of curall received for the liveries of the manorial servants.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5</v>
      </c>
      <c r="Z18" t="n">
        <v>0.625</v>
      </c>
      <c r="AA18" t="n">
        <v>0.625</v>
      </c>
      <c r="AB18" t="n">
        <v>0</v>
      </c>
      <c r="AC18" t="n">
        <v>0</v>
      </c>
      <c r="AD18" t="n">
        <v>5</v>
      </c>
    </row>
    <row r="19">
      <c r="A19" t="inlineStr">
        <is>
          <t>Barley</t>
        </is>
      </c>
      <c r="B19" t="inlineStr">
        <is>
          <t>1 bushels of vetches received for the same.</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1</v>
      </c>
      <c r="Z19" t="n">
        <v>0.125</v>
      </c>
      <c r="AA19" t="n">
        <v>0.125</v>
      </c>
      <c r="AB19" t="n">
        <v>0</v>
      </c>
      <c r="AC19" t="n">
        <v>0</v>
      </c>
      <c r="AD19" t="n">
        <v>1</v>
      </c>
    </row>
    <row r="20">
      <c r="A20" t="inlineStr">
        <is>
          <t>Barley</t>
        </is>
      </c>
      <c r="B20" t="inlineStr">
        <is>
          <t>Total, 36 quarters.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36</v>
      </c>
      <c r="Y20" t="n">
        <v>0</v>
      </c>
      <c r="Z20" t="n">
        <v>36</v>
      </c>
      <c r="AA20" t="n">
        <v>36</v>
      </c>
      <c r="AB20" t="n">
        <v>0</v>
      </c>
      <c r="AC20" t="n">
        <v>36</v>
      </c>
      <c r="AD20" t="n">
        <v>0</v>
      </c>
    </row>
    <row r="21">
      <c r="A21" t="inlineStr">
        <is>
          <t>Barley</t>
        </is>
      </c>
      <c r="B21" t="inlineStr">
        <is>
          <t>Sown over 23 acres in the field of Bradewey and beside the sheepcote, 11.5 quarters.</t>
        </is>
      </c>
      <c r="C21" t="n">
        <v>0</v>
      </c>
      <c r="D21" t="n">
        <v>0</v>
      </c>
      <c r="E21" t="n">
        <v>11.5</v>
      </c>
      <c r="F21" t="n">
        <v>0</v>
      </c>
      <c r="G21" t="n">
        <v>11.5</v>
      </c>
      <c r="H21" t="n">
        <v>0</v>
      </c>
      <c r="I21" t="n">
        <v>0</v>
      </c>
      <c r="J21" t="n">
        <v>0</v>
      </c>
      <c r="K21" t="n">
        <v>0</v>
      </c>
      <c r="L21" t="n">
        <v>0</v>
      </c>
      <c r="M21" t="n">
        <v>0</v>
      </c>
      <c r="N21" t="n">
        <v>0</v>
      </c>
      <c r="O21" t="n">
        <v>0</v>
      </c>
      <c r="P21" t="n">
        <v>0</v>
      </c>
      <c r="Q21" t="n">
        <v>0</v>
      </c>
      <c r="R21" t="n">
        <v>0</v>
      </c>
      <c r="S21" t="n">
        <v>0</v>
      </c>
      <c r="T21" t="n">
        <v>0</v>
      </c>
      <c r="U21" t="n">
        <v>0</v>
      </c>
      <c r="V21" t="n">
        <v>0</v>
      </c>
      <c r="W21" t="n">
        <v>0</v>
      </c>
      <c r="X21" t="n">
        <v>11.5</v>
      </c>
      <c r="Y21" t="n">
        <v>0</v>
      </c>
      <c r="Z21" t="n">
        <v>11.5</v>
      </c>
      <c r="AA21" t="n">
        <v>11.5</v>
      </c>
      <c r="AB21" t="n">
        <v>0</v>
      </c>
      <c r="AC21" t="n">
        <v>11.5</v>
      </c>
      <c r="AD21" t="n">
        <v>0</v>
      </c>
    </row>
    <row r="22">
      <c r="A22" t="inlineStr">
        <is>
          <t>Barley</t>
        </is>
      </c>
      <c r="B22" t="inlineStr">
        <is>
          <t>that is, .5 qr an acre.</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row>
    <row r="23">
      <c r="A23" t="inlineStr">
        <is>
          <t>Barley</t>
        </is>
      </c>
      <c r="B23" t="inlineStr">
        <is>
          <t>Delivered to 1 carter for the year, 6.5 quarters, taking a quarter every 8 weeks.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6.5</v>
      </c>
      <c r="Y23" t="n">
        <v>0</v>
      </c>
      <c r="Z23" t="n">
        <v>6.5</v>
      </c>
      <c r="AA23" t="n">
        <v>6.5</v>
      </c>
      <c r="AB23" t="n">
        <v>0</v>
      </c>
      <c r="AC23" t="n">
        <v>6.5</v>
      </c>
      <c r="AD23" t="n">
        <v>0</v>
      </c>
    </row>
    <row r="24">
      <c r="A24" t="inlineStr">
        <is>
          <t>Barley</t>
        </is>
      </c>
      <c r="B24" t="inlineStr">
        <is>
          <t>Delivered to 1 man who is in place of the dairymaid and who makes the cheese and keeps the garden and does other work in the curia, 5 quarters 1.5 bushels, taking a quarter every 10 weeks.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5</v>
      </c>
      <c r="Y24" t="n">
        <v>1.5</v>
      </c>
      <c r="Z24" t="n">
        <v>5.1875</v>
      </c>
      <c r="AA24" t="n">
        <v>5.1875</v>
      </c>
      <c r="AB24" t="n">
        <v>0</v>
      </c>
      <c r="AC24" t="n">
        <v>5</v>
      </c>
      <c r="AD24" t="n">
        <v>1.5</v>
      </c>
    </row>
    <row r="25">
      <c r="A25" t="inlineStr">
        <is>
          <t>Barley</t>
        </is>
      </c>
      <c r="B25" t="inlineStr">
        <is>
          <t>Delivered to 1 harrower, 4 bushels.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4</v>
      </c>
      <c r="Z25" t="n">
        <v>0.5</v>
      </c>
      <c r="AA25" t="n">
        <v>0.5</v>
      </c>
      <c r="AB25" t="n">
        <v>0</v>
      </c>
      <c r="AC25" t="n">
        <v>0</v>
      </c>
      <c r="AD25" t="n">
        <v>4</v>
      </c>
    </row>
    <row r="26">
      <c r="A26" t="inlineStr">
        <is>
          <t>Barley</t>
        </is>
      </c>
      <c r="B26" t="inlineStr">
        <is>
          <t>provision of the bailiff's attendant, 2 quarters.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2</v>
      </c>
      <c r="Y26" t="n">
        <v>0</v>
      </c>
      <c r="Z26" t="n">
        <v>2</v>
      </c>
      <c r="AA26" t="n">
        <v>2</v>
      </c>
      <c r="AB26" t="n">
        <v>0</v>
      </c>
      <c r="AC26" t="n">
        <v>2</v>
      </c>
      <c r="AD26" t="n">
        <v>0</v>
      </c>
    </row>
    <row r="27">
      <c r="A27" t="inlineStr">
        <is>
          <t>Barley</t>
        </is>
      </c>
      <c r="B27" t="inlineStr">
        <is>
          <t>Delivered to 1 keeper of lambs on Fobedon' with the lambs of Wield for 23 weeks, 2 quarters 2 bushels.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2</v>
      </c>
      <c r="Z27" t="n">
        <v>2.25</v>
      </c>
      <c r="AA27" t="n">
        <v>2.25</v>
      </c>
      <c r="AB27" t="n">
        <v>0</v>
      </c>
      <c r="AC27" t="n">
        <v>2</v>
      </c>
      <c r="AD27" t="n">
        <v>2</v>
      </c>
    </row>
    <row r="28">
      <c r="A28" t="inlineStr">
        <is>
          <t>Barley</t>
        </is>
      </c>
      <c r="B28" t="inlineStr">
        <is>
          <t>customary payment to the swineherd this year, 6 bushels Sold, 6.5 quarters.</t>
        </is>
      </c>
      <c r="C28" t="n">
        <v>0</v>
      </c>
      <c r="D28" t="n">
        <v>0</v>
      </c>
      <c r="E28" t="n">
        <v>0</v>
      </c>
      <c r="F28" t="n">
        <v>0</v>
      </c>
      <c r="G28" t="n">
        <v>0</v>
      </c>
      <c r="H28" t="n">
        <v>0</v>
      </c>
      <c r="I28" t="n">
        <v>0</v>
      </c>
      <c r="J28" t="n">
        <v>0</v>
      </c>
      <c r="K28" t="n">
        <v>0</v>
      </c>
      <c r="L28" t="n">
        <v>0</v>
      </c>
      <c r="M28" t="n">
        <v>0</v>
      </c>
      <c r="N28" t="n">
        <v>0</v>
      </c>
      <c r="O28" t="n">
        <v>0</v>
      </c>
      <c r="P28" t="n">
        <v>0</v>
      </c>
      <c r="Q28" t="n">
        <v>6.5</v>
      </c>
      <c r="R28" t="n">
        <v>0</v>
      </c>
      <c r="S28" t="n">
        <v>6.5</v>
      </c>
      <c r="T28" t="n">
        <v>0</v>
      </c>
      <c r="U28" t="n">
        <v>0</v>
      </c>
      <c r="V28" t="n">
        <v>0</v>
      </c>
      <c r="W28" t="n">
        <v>0</v>
      </c>
      <c r="X28" t="n">
        <v>6.5</v>
      </c>
      <c r="Y28" t="n">
        <v>6</v>
      </c>
      <c r="Z28" t="n">
        <v>7.25</v>
      </c>
      <c r="AA28" t="n">
        <v>0.75</v>
      </c>
      <c r="AB28" t="n">
        <v>6.5</v>
      </c>
      <c r="AC28" t="n">
        <v>0</v>
      </c>
      <c r="AD28" t="n">
        <v>6</v>
      </c>
      <c r="AE28" t="n">
        <v>6.5</v>
      </c>
      <c r="AF28" t="n">
        <v>0</v>
      </c>
    </row>
    <row r="29">
      <c r="A29" t="inlineStr">
        <is>
          <t>Barley</t>
        </is>
      </c>
      <c r="B29" t="inlineStr">
        <is>
          <t>Sold at the audit, 6.5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6.5</v>
      </c>
      <c r="Z29" t="n">
        <v>0.8125</v>
      </c>
      <c r="AA29" t="n">
        <v>0.8125</v>
      </c>
      <c r="AB29" t="n">
        <v>0</v>
      </c>
      <c r="AC29" t="n">
        <v>0</v>
      </c>
      <c r="AD29" t="n">
        <v>6.5</v>
      </c>
    </row>
    <row r="30">
      <c r="A30" t="inlineStr">
        <is>
          <t>Barley</t>
        </is>
      </c>
      <c r="B30" t="inlineStr">
        <is>
          <t>Total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row>
    <row r="31">
      <c r="A31" t="inlineStr">
        <is>
          <t>Oats</t>
        </is>
      </c>
      <c r="B31" t="inlineStr">
        <is>
          <t>{yield: two-fold less 7.5 quarters}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7.5</v>
      </c>
      <c r="Y31" t="n">
        <v>0</v>
      </c>
      <c r="Z31" t="n">
        <v>7.5</v>
      </c>
      <c r="AA31" t="n">
        <v>7.5</v>
      </c>
      <c r="AB31" t="n">
        <v>0</v>
      </c>
      <c r="AC31" t="n">
        <v>7.5</v>
      </c>
      <c r="AD31" t="n">
        <v>0</v>
      </c>
    </row>
    <row r="32">
      <c r="A32" t="inlineStr">
        <is>
          <t>Oats</t>
        </is>
      </c>
      <c r="B32" t="inlineStr">
        <is>
          <t>The same render account for 60 quarters from the whole issue of oats from the grange in the granary without heaped measure.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60</v>
      </c>
      <c r="U32" t="n">
        <v>0</v>
      </c>
      <c r="V32" t="n">
        <v>60</v>
      </c>
      <c r="W32" t="n">
        <v>0</v>
      </c>
      <c r="X32" t="n">
        <v>60</v>
      </c>
      <c r="Y32" t="n">
        <v>0</v>
      </c>
      <c r="Z32" t="n">
        <v>60</v>
      </c>
      <c r="AA32" t="n">
        <v>60</v>
      </c>
      <c r="AB32" t="n">
        <v>0</v>
      </c>
      <c r="AC32" t="n">
        <v>60</v>
      </c>
      <c r="AD32" t="n">
        <v>0</v>
      </c>
    </row>
    <row r="33">
      <c r="A33" t="inlineStr">
        <is>
          <t>Oats</t>
        </is>
      </c>
      <c r="B33" t="inlineStr">
        <is>
          <t>15 quarters by estimation in sheaves given to oxen.</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15</v>
      </c>
      <c r="Y33" t="n">
        <v>0</v>
      </c>
      <c r="Z33" t="n">
        <v>15</v>
      </c>
      <c r="AA33" t="n">
        <v>15</v>
      </c>
      <c r="AB33" t="n">
        <v>0</v>
      </c>
      <c r="AC33" t="n">
        <v>15</v>
      </c>
      <c r="AD33" t="n">
        <v>0</v>
      </c>
    </row>
    <row r="34">
      <c r="A34" t="inlineStr">
        <is>
          <t>Oats</t>
        </is>
      </c>
      <c r="B34" t="inlineStr">
        <is>
          <t>15 quarters bought.</t>
        </is>
      </c>
      <c r="C34" t="n">
        <v>0</v>
      </c>
      <c r="D34" t="n">
        <v>0</v>
      </c>
      <c r="E34" t="n">
        <v>0</v>
      </c>
      <c r="F34" t="n">
        <v>0</v>
      </c>
      <c r="G34" t="n">
        <v>0</v>
      </c>
      <c r="H34" t="n">
        <v>15</v>
      </c>
      <c r="I34" t="n">
        <v>0</v>
      </c>
      <c r="J34" t="n">
        <v>15</v>
      </c>
      <c r="K34" t="n">
        <v>0</v>
      </c>
      <c r="L34" t="n">
        <v>0</v>
      </c>
      <c r="M34" t="n">
        <v>0</v>
      </c>
      <c r="N34" t="n">
        <v>0</v>
      </c>
      <c r="O34" t="n">
        <v>0</v>
      </c>
      <c r="P34" t="n">
        <v>0</v>
      </c>
      <c r="Q34" t="n">
        <v>0</v>
      </c>
      <c r="R34" t="n">
        <v>0</v>
      </c>
      <c r="S34" t="n">
        <v>0</v>
      </c>
      <c r="T34" t="n">
        <v>0</v>
      </c>
      <c r="U34" t="n">
        <v>0</v>
      </c>
      <c r="V34" t="n">
        <v>0</v>
      </c>
      <c r="W34" t="n">
        <v>0</v>
      </c>
      <c r="X34" t="n">
        <v>15</v>
      </c>
      <c r="Y34" t="n">
        <v>0</v>
      </c>
      <c r="Z34" t="n">
        <v>15</v>
      </c>
      <c r="AA34" t="n">
        <v>15</v>
      </c>
      <c r="AB34" t="n">
        <v>0</v>
      </c>
      <c r="AC34" t="n">
        <v>15</v>
      </c>
      <c r="AD34" t="n">
        <v>0</v>
      </c>
    </row>
    <row r="35">
      <c r="A35" t="inlineStr">
        <is>
          <t>Oats</t>
        </is>
      </c>
      <c r="B35" t="inlineStr">
        <is>
          <t>Total, 90 quarters.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90</v>
      </c>
      <c r="Y35" t="n">
        <v>0</v>
      </c>
      <c r="Z35" t="n">
        <v>90</v>
      </c>
      <c r="AA35" t="n">
        <v>90</v>
      </c>
      <c r="AB35" t="n">
        <v>0</v>
      </c>
      <c r="AC35" t="n">
        <v>90</v>
      </c>
      <c r="AD35" t="n">
        <v>0</v>
      </c>
    </row>
    <row r="36">
      <c r="A36" t="inlineStr">
        <is>
          <t>Oats</t>
        </is>
      </c>
      <c r="B36" t="inlineStr">
        <is>
          <t>Sown over 72 acres in the fields of Rowele, Holecumbe and la Rude, 36 quarters.</t>
        </is>
      </c>
      <c r="C36" t="n">
        <v>0</v>
      </c>
      <c r="D36" t="n">
        <v>0</v>
      </c>
      <c r="E36" t="n">
        <v>36</v>
      </c>
      <c r="F36" t="n">
        <v>0</v>
      </c>
      <c r="G36" t="n">
        <v>36</v>
      </c>
      <c r="H36" t="n">
        <v>0</v>
      </c>
      <c r="I36" t="n">
        <v>0</v>
      </c>
      <c r="J36" t="n">
        <v>0</v>
      </c>
      <c r="K36" t="n">
        <v>0</v>
      </c>
      <c r="L36" t="n">
        <v>0</v>
      </c>
      <c r="M36" t="n">
        <v>0</v>
      </c>
      <c r="N36" t="n">
        <v>0</v>
      </c>
      <c r="O36" t="n">
        <v>0</v>
      </c>
      <c r="P36" t="n">
        <v>0</v>
      </c>
      <c r="Q36" t="n">
        <v>0</v>
      </c>
      <c r="R36" t="n">
        <v>0</v>
      </c>
      <c r="S36" t="n">
        <v>0</v>
      </c>
      <c r="T36" t="n">
        <v>0</v>
      </c>
      <c r="U36" t="n">
        <v>0</v>
      </c>
      <c r="V36" t="n">
        <v>0</v>
      </c>
      <c r="W36" t="n">
        <v>0</v>
      </c>
      <c r="X36" t="n">
        <v>36</v>
      </c>
      <c r="Y36" t="n">
        <v>0</v>
      </c>
      <c r="Z36" t="n">
        <v>36</v>
      </c>
      <c r="AA36" t="n">
        <v>36</v>
      </c>
      <c r="AB36" t="n">
        <v>0</v>
      </c>
      <c r="AC36" t="n">
        <v>36</v>
      </c>
      <c r="AD36" t="n">
        <v>0</v>
      </c>
    </row>
    <row r="37">
      <c r="A37" t="inlineStr">
        <is>
          <t>Oats</t>
        </is>
      </c>
      <c r="B37" t="inlineStr">
        <is>
          <t>that is, .5 qr an acre.</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row>
    <row r="38">
      <c r="A38" t="inlineStr">
        <is>
          <t>Oats</t>
        </is>
      </c>
      <c r="B38" t="inlineStr">
        <is>
          <t>.</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row>
    <row r="39">
      <c r="A39" t="inlineStr">
        <is>
          <t>Oats</t>
        </is>
      </c>
      <c r="B39" t="inlineStr">
        <is>
          <t>.</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row>
    <row r="40">
      <c r="A40" t="inlineStr">
        <is>
          <t>Oats</t>
        </is>
      </c>
      <c r="B40" t="inlineStr">
        <is>
          <t>.</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row>
    <row r="41">
      <c r="A41" t="inlineStr">
        <is>
          <t>Oats</t>
        </is>
      </c>
      <c r="B41" t="inlineStr">
        <is>
          <t>.</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row>
    <row r="42">
      <c r="A42" t="inlineStr">
        <is>
          <t>Oats</t>
        </is>
      </c>
      <c r="B42" t="inlineStr">
        <is>
          <t>fodder of 3 cart-horses harrowing at both sowings, 18.5 quarters.</t>
        </is>
      </c>
      <c r="C42" t="n">
        <v>0</v>
      </c>
      <c r="D42" t="n">
        <v>0</v>
      </c>
      <c r="E42" t="n">
        <v>0</v>
      </c>
      <c r="F42" t="n">
        <v>0</v>
      </c>
      <c r="G42" t="n">
        <v>0</v>
      </c>
      <c r="H42" t="n">
        <v>0</v>
      </c>
      <c r="I42" t="n">
        <v>0</v>
      </c>
      <c r="J42" t="n">
        <v>0</v>
      </c>
      <c r="K42" t="n">
        <v>0</v>
      </c>
      <c r="L42" t="n">
        <v>0</v>
      </c>
      <c r="M42" t="n">
        <v>0</v>
      </c>
      <c r="N42" t="n">
        <v>18.5</v>
      </c>
      <c r="O42" t="n">
        <v>0</v>
      </c>
      <c r="P42" t="n">
        <v>18.5</v>
      </c>
      <c r="Q42" t="n">
        <v>0</v>
      </c>
      <c r="R42" t="n">
        <v>0</v>
      </c>
      <c r="S42" t="n">
        <v>0</v>
      </c>
      <c r="T42" t="n">
        <v>0</v>
      </c>
      <c r="U42" t="n">
        <v>0</v>
      </c>
      <c r="V42" t="n">
        <v>0</v>
      </c>
      <c r="W42" t="n">
        <v>0</v>
      </c>
      <c r="X42" t="n">
        <v>18.5</v>
      </c>
      <c r="Y42" t="n">
        <v>0</v>
      </c>
      <c r="Z42" t="n">
        <v>18.5</v>
      </c>
      <c r="AA42" t="n">
        <v>18.5</v>
      </c>
      <c r="AB42" t="n">
        <v>0</v>
      </c>
      <c r="AC42" t="n">
        <v>18.5</v>
      </c>
      <c r="AD42" t="n">
        <v>0</v>
      </c>
    </row>
    <row r="43">
      <c r="A43" t="inlineStr">
        <is>
          <t>Oats</t>
        </is>
      </c>
      <c r="B43" t="inlineStr">
        <is>
          <t>.</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row>
    <row r="44">
      <c r="A44" t="inlineStr">
        <is>
          <t>Oats</t>
        </is>
      </c>
      <c r="B44" t="inlineStr">
        <is>
          <t>.</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row>
    <row r="45">
      <c r="A45" t="inlineStr">
        <is>
          <t>Oats</t>
        </is>
      </c>
      <c r="B45" t="inlineStr">
        <is>
          <t>.</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row>
    <row r="46">
      <c r="A46" t="inlineStr">
        <is>
          <t>Oats</t>
        </is>
      </c>
      <c r="B46" t="inlineStr">
        <is>
          <t>.</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row>
    <row r="47">
      <c r="A47" t="inlineStr">
        <is>
          <t>Oats</t>
        </is>
      </c>
      <c r="B47" t="inlineStr">
        <is>
          <t>fodder of oxen by estimation in sheaves, 15 quarters.</t>
        </is>
      </c>
      <c r="C47" t="n">
        <v>0</v>
      </c>
      <c r="D47" t="n">
        <v>0</v>
      </c>
      <c r="E47" t="n">
        <v>0</v>
      </c>
      <c r="F47" t="n">
        <v>0</v>
      </c>
      <c r="G47" t="n">
        <v>0</v>
      </c>
      <c r="H47" t="n">
        <v>0</v>
      </c>
      <c r="I47" t="n">
        <v>0</v>
      </c>
      <c r="J47" t="n">
        <v>0</v>
      </c>
      <c r="K47" t="n">
        <v>0</v>
      </c>
      <c r="L47" t="n">
        <v>0</v>
      </c>
      <c r="M47" t="n">
        <v>0</v>
      </c>
      <c r="N47" t="n">
        <v>15</v>
      </c>
      <c r="O47" t="n">
        <v>0</v>
      </c>
      <c r="P47" t="n">
        <v>15</v>
      </c>
      <c r="Q47" t="n">
        <v>0</v>
      </c>
      <c r="R47" t="n">
        <v>0</v>
      </c>
      <c r="S47" t="n">
        <v>0</v>
      </c>
      <c r="T47" t="n">
        <v>0</v>
      </c>
      <c r="U47" t="n">
        <v>0</v>
      </c>
      <c r="V47" t="n">
        <v>0</v>
      </c>
      <c r="W47" t="n">
        <v>0</v>
      </c>
      <c r="X47" t="n">
        <v>15</v>
      </c>
      <c r="Y47" t="n">
        <v>0</v>
      </c>
      <c r="Z47" t="n">
        <v>15</v>
      </c>
      <c r="AA47" t="n">
        <v>15</v>
      </c>
      <c r="AB47" t="n">
        <v>0</v>
      </c>
      <c r="AC47" t="n">
        <v>15</v>
      </c>
      <c r="AD47" t="n">
        <v>0</v>
      </c>
    </row>
    <row r="48">
      <c r="A48" t="inlineStr">
        <is>
          <t>Oats</t>
        </is>
      </c>
      <c r="B48" t="inlineStr">
        <is>
          <t>.</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row>
    <row r="49">
      <c r="A49" t="inlineStr">
        <is>
          <t>Oats</t>
        </is>
      </c>
      <c r="B49" t="inlineStr">
        <is>
          <t>.</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row>
    <row r="50">
      <c r="A50" t="inlineStr">
        <is>
          <t>Oats</t>
        </is>
      </c>
      <c r="B50" t="inlineStr">
        <is>
          <t>.</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row>
    <row r="51">
      <c r="A51" t="inlineStr">
        <is>
          <t>Oats</t>
        </is>
      </c>
      <c r="B51" t="inlineStr">
        <is>
          <t>.</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row>
    <row r="52">
      <c r="A52" t="inlineStr">
        <is>
          <t>Oats</t>
        </is>
      </c>
      <c r="B52" t="inlineStr">
        <is>
          <t>fodder of the horses of Simon, clerk, for 2 tourns, 4 bushels.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4</v>
      </c>
      <c r="Z52" t="n">
        <v>0.5</v>
      </c>
      <c r="AA52" t="n">
        <v>0.5</v>
      </c>
      <c r="AB52" t="n">
        <v>0</v>
      </c>
      <c r="AC52" t="n">
        <v>0</v>
      </c>
      <c r="AD52" t="n">
        <v>4</v>
      </c>
    </row>
    <row r="53">
      <c r="A53" t="inlineStr">
        <is>
          <t>Oats</t>
        </is>
      </c>
      <c r="B53" t="inlineStr">
        <is>
          <t>fodder of the bailiff's horse for the year, 18 quarters.</t>
        </is>
      </c>
      <c r="C53" t="n">
        <v>0</v>
      </c>
      <c r="D53" t="n">
        <v>0</v>
      </c>
      <c r="E53" t="n">
        <v>0</v>
      </c>
      <c r="F53" t="n">
        <v>0</v>
      </c>
      <c r="G53" t="n">
        <v>0</v>
      </c>
      <c r="H53" t="n">
        <v>0</v>
      </c>
      <c r="I53" t="n">
        <v>0</v>
      </c>
      <c r="J53" t="n">
        <v>0</v>
      </c>
      <c r="K53" t="n">
        <v>0</v>
      </c>
      <c r="L53" t="n">
        <v>0</v>
      </c>
      <c r="M53" t="n">
        <v>0</v>
      </c>
      <c r="N53" t="n">
        <v>18</v>
      </c>
      <c r="O53" t="n">
        <v>0</v>
      </c>
      <c r="P53" t="n">
        <v>18</v>
      </c>
      <c r="Q53" t="n">
        <v>0</v>
      </c>
      <c r="R53" t="n">
        <v>0</v>
      </c>
      <c r="S53" t="n">
        <v>0</v>
      </c>
      <c r="T53" t="n">
        <v>0</v>
      </c>
      <c r="U53" t="n">
        <v>0</v>
      </c>
      <c r="V53" t="n">
        <v>0</v>
      </c>
      <c r="W53" t="n">
        <v>0</v>
      </c>
      <c r="X53" t="n">
        <v>18</v>
      </c>
      <c r="Y53" t="n">
        <v>0</v>
      </c>
      <c r="Z53" t="n">
        <v>18</v>
      </c>
      <c r="AA53" t="n">
        <v>18</v>
      </c>
      <c r="AB53" t="n">
        <v>0</v>
      </c>
      <c r="AC53" t="n">
        <v>18</v>
      </c>
      <c r="AD53" t="n">
        <v>0</v>
      </c>
    </row>
    <row r="54">
      <c r="A54" t="inlineStr">
        <is>
          <t>Oats</t>
        </is>
      </c>
      <c r="B54" t="inlineStr">
        <is>
          <t>.</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row>
    <row r="55">
      <c r="A55" t="inlineStr">
        <is>
          <t>Oats</t>
        </is>
      </c>
      <c r="B55" t="inlineStr">
        <is>
          <t>.</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row>
    <row r="56">
      <c r="A56" t="inlineStr">
        <is>
          <t>Oats</t>
        </is>
      </c>
      <c r="B56" t="inlineStr">
        <is>
          <t>.</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row>
    <row r="57">
      <c r="A57" t="inlineStr">
        <is>
          <t>Oats</t>
        </is>
      </c>
      <c r="B57" t="inlineStr">
        <is>
          <t>.</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row>
    <row r="58">
      <c r="A58" t="inlineStr">
        <is>
          <t>Oats</t>
        </is>
      </c>
      <c r="B58" t="inlineStr">
        <is>
          <t>fodder of the clerk's horse, 2 quarters until Christmas.</t>
        </is>
      </c>
      <c r="C58" t="n">
        <v>0</v>
      </c>
      <c r="D58" t="n">
        <v>0</v>
      </c>
      <c r="E58" t="n">
        <v>0</v>
      </c>
      <c r="F58" t="n">
        <v>0</v>
      </c>
      <c r="G58" t="n">
        <v>0</v>
      </c>
      <c r="H58" t="n">
        <v>0</v>
      </c>
      <c r="I58" t="n">
        <v>0</v>
      </c>
      <c r="J58" t="n">
        <v>0</v>
      </c>
      <c r="K58" t="n">
        <v>0</v>
      </c>
      <c r="L58" t="n">
        <v>0</v>
      </c>
      <c r="M58" t="n">
        <v>0</v>
      </c>
      <c r="N58" t="n">
        <v>2</v>
      </c>
      <c r="O58" t="n">
        <v>0</v>
      </c>
      <c r="P58" t="n">
        <v>2</v>
      </c>
      <c r="Q58" t="n">
        <v>0</v>
      </c>
      <c r="R58" t="n">
        <v>0</v>
      </c>
      <c r="S58" t="n">
        <v>0</v>
      </c>
      <c r="T58" t="n">
        <v>0</v>
      </c>
      <c r="U58" t="n">
        <v>0</v>
      </c>
      <c r="V58" t="n">
        <v>0</v>
      </c>
      <c r="W58" t="n">
        <v>0</v>
      </c>
      <c r="X58" t="n">
        <v>2</v>
      </c>
      <c r="Y58" t="n">
        <v>0</v>
      </c>
      <c r="Z58" t="n">
        <v>2</v>
      </c>
      <c r="AA58" t="n">
        <v>2</v>
      </c>
      <c r="AB58" t="n">
        <v>0</v>
      </c>
      <c r="AC58" t="n">
        <v>2</v>
      </c>
      <c r="AD58" t="n">
        <v>0</v>
      </c>
    </row>
    <row r="59">
      <c r="A59" t="inlineStr">
        <is>
          <t>Oats</t>
        </is>
      </c>
      <c r="B59" t="inlineStr">
        <is>
          <t>Total</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row>
    <row r="60">
      <c r="A60" t="inlineStr">
        <is>
          <t>Peas</t>
        </is>
      </c>
      <c r="B60" t="inlineStr">
        <is>
          <t>{yield: 3-fold}</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row>
    <row r="61">
      <c r="A61" t="inlineStr">
        <is>
          <t>Peas</t>
        </is>
      </c>
      <c r="B61" t="inlineStr">
        <is>
          <t>The same render account for 1.5 quarters from the whole issue of peas from the grange in the granary without heaped measure.</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1.5</v>
      </c>
      <c r="U61" t="n">
        <v>0</v>
      </c>
      <c r="V61" t="n">
        <v>1.5</v>
      </c>
      <c r="W61" t="n">
        <v>0</v>
      </c>
      <c r="X61" t="n">
        <v>1.5</v>
      </c>
      <c r="Y61" t="n">
        <v>0</v>
      </c>
      <c r="Z61" t="n">
        <v>1.5</v>
      </c>
      <c r="AA61" t="n">
        <v>1.5</v>
      </c>
      <c r="AB61" t="n">
        <v>0</v>
      </c>
      <c r="AC61" t="n">
        <v>1.5</v>
      </c>
      <c r="AD61" t="n">
        <v>0</v>
      </c>
    </row>
    <row r="62">
      <c r="A62" t="inlineStr">
        <is>
          <t>Peas</t>
        </is>
      </c>
      <c r="B62" t="inlineStr">
        <is>
          <t>Sown, 1 qr.</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row>
    <row r="63">
      <c r="A63" t="inlineStr">
        <is>
          <t>Peas</t>
        </is>
      </c>
      <c r="B63" t="inlineStr">
        <is>
          <t>Sold, 4 bushels</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4</v>
      </c>
      <c r="Z63" t="n">
        <v>0.5</v>
      </c>
      <c r="AA63" t="n">
        <v>0.5</v>
      </c>
      <c r="AB63" t="n">
        <v>0</v>
      </c>
      <c r="AC63" t="n">
        <v>0</v>
      </c>
      <c r="AD63" t="n">
        <v>4</v>
      </c>
    </row>
    <row r="64">
      <c r="A64" t="inlineStr">
        <is>
          <t>Peas</t>
        </is>
      </c>
      <c r="B64" t="inlineStr">
        <is>
          <t>Total</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row>
    <row r="65">
      <c r="A65" t="inlineStr">
        <is>
          <t>Vetches</t>
        </is>
      </c>
      <c r="B65" t="inlineStr">
        <is>
          <t>(yield: two-fold plus 3 bushels)</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3</v>
      </c>
      <c r="Z65" t="n">
        <v>0.375</v>
      </c>
      <c r="AA65" t="n">
        <v>0.375</v>
      </c>
      <c r="AB65" t="n">
        <v>0</v>
      </c>
      <c r="AC65" t="n">
        <v>0</v>
      </c>
      <c r="AD65" t="n">
        <v>3</v>
      </c>
    </row>
    <row r="66">
      <c r="A66" t="inlineStr">
        <is>
          <t>Vetches</t>
        </is>
      </c>
      <c r="B66" t="inlineStr">
        <is>
          <t>The same render account for 2 quarters 5 bushels from the whole issue of vetches.</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2</v>
      </c>
      <c r="U66" t="n">
        <v>5</v>
      </c>
      <c r="V66" t="n">
        <v>2.625</v>
      </c>
      <c r="W66" t="n">
        <v>0</v>
      </c>
      <c r="X66" t="n">
        <v>2</v>
      </c>
      <c r="Y66" t="n">
        <v>5</v>
      </c>
      <c r="Z66" t="n">
        <v>2.625</v>
      </c>
      <c r="AA66" t="n">
        <v>2.625</v>
      </c>
      <c r="AB66" t="n">
        <v>0</v>
      </c>
      <c r="AC66" t="n">
        <v>2</v>
      </c>
      <c r="AD66" t="n">
        <v>5</v>
      </c>
    </row>
    <row r="67">
      <c r="A67" t="inlineStr">
        <is>
          <t>Vetches</t>
        </is>
      </c>
      <c r="B67" t="inlineStr">
        <is>
          <t>Sown, 5 bushels Mixed with barley for the liveries of the manorial servants, 1 bushels.</t>
        </is>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1</v>
      </c>
      <c r="Z67" t="n">
        <v>0.125</v>
      </c>
      <c r="AA67" t="n">
        <v>0.625</v>
      </c>
      <c r="AB67" t="n">
        <v>-0.5</v>
      </c>
      <c r="AC67" t="n">
        <v>0</v>
      </c>
      <c r="AD67" t="n">
        <v>5</v>
      </c>
      <c r="AE67" t="n">
        <v>0</v>
      </c>
      <c r="AF67" t="n">
        <v>1</v>
      </c>
    </row>
    <row r="68">
      <c r="A68" t="inlineStr">
        <is>
          <t>Vetches</t>
        </is>
      </c>
      <c r="B68" t="inlineStr">
        <is>
          <t>supporting pigs and piglets, 1 qr 3 bushels Sold, 3 bushels</t>
        </is>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H1"/>
  <sheetViews>
    <sheetView topLeftCell="A1"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374"/>
  <sheetViews>
    <sheetView topLeftCell="A1" workbookViewId="0">
      <selection activeCell="A1" sqref="A1"/>
    </sheetView>
  </sheetViews>
  <sheetFormatPr baseColWidth="8" defaultRowHeight="15"/>
  <cols>
    <col width="24.6640625" customWidth="1" min="1" max="1"/>
  </cols>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Arrears</t>
        </is>
      </c>
      <c r="B2" t="inlineStr">
        <is>
          <t>Nicholas, bailiff, and Walter de Manestrott', reeve, render account for £48 7 shilling 7.5pence of arrears from the previous year.</t>
        </is>
      </c>
      <c r="C2" t="n">
        <v>48.38</v>
      </c>
      <c r="D2" t="n">
        <v>48</v>
      </c>
      <c r="E2" t="n">
        <v>7</v>
      </c>
      <c r="F2" t="n">
        <v>7.5</v>
      </c>
      <c r="H2" t="n">
        <v>0</v>
      </c>
      <c r="I2" t="n">
        <v>0</v>
      </c>
      <c r="J2" t="n">
        <v>0</v>
      </c>
      <c r="K2" t="n">
        <v>0</v>
      </c>
      <c r="L2" t="n">
        <v>0</v>
      </c>
      <c r="M2" t="n">
        <v>0</v>
      </c>
      <c r="N2" t="n">
        <v>0</v>
      </c>
    </row>
    <row r="3">
      <c r="A3" t="inlineStr">
        <is>
          <t>Arrears</t>
        </is>
      </c>
      <c r="B3" t="inlineStr">
        <is>
          <t>All delivered to Sir Geoffrey de Farham, treasurer of Wolvesey, and they are quit.</t>
        </is>
      </c>
      <c r="C3" t="n">
        <v>0</v>
      </c>
      <c r="D3" t="n">
        <v>0</v>
      </c>
      <c r="E3" t="n">
        <v>0</v>
      </c>
      <c r="F3" t="n">
        <v>0</v>
      </c>
      <c r="H3" t="n">
        <v>0</v>
      </c>
      <c r="I3" t="n">
        <v>0</v>
      </c>
      <c r="J3" t="n">
        <v>0</v>
      </c>
      <c r="K3" t="n">
        <v>0</v>
      </c>
      <c r="L3" t="n">
        <v>0</v>
      </c>
      <c r="M3" t="n">
        <v>0</v>
      </c>
      <c r="N3" t="n">
        <v>0</v>
      </c>
    </row>
    <row r="4">
      <c r="A4" t="inlineStr">
        <is>
          <t>Rents of assize</t>
        </is>
      </c>
      <c r="B4" t="inlineStr">
        <is>
          <t>The same render account for £49 for all rents of assize in the manor of Bishops Sutton for the year: £9 7 shilling 3pence at Christmas.</t>
        </is>
      </c>
      <c r="C4" t="n">
        <v>49</v>
      </c>
      <c r="D4" t="n">
        <v>49</v>
      </c>
      <c r="E4" t="n">
        <v>0</v>
      </c>
      <c r="F4" t="n">
        <v>0</v>
      </c>
      <c r="H4" t="n">
        <v>0</v>
      </c>
      <c r="I4" t="n">
        <v>0</v>
      </c>
      <c r="J4" t="n">
        <v>0</v>
      </c>
      <c r="K4" t="n">
        <v>0</v>
      </c>
      <c r="L4" t="n">
        <v>0</v>
      </c>
      <c r="M4" t="n">
        <v>0</v>
      </c>
      <c r="N4" t="n">
        <v>0</v>
      </c>
    </row>
    <row r="5">
      <c r="A5" t="inlineStr">
        <is>
          <t>Rents of assize</t>
        </is>
      </c>
      <c r="B5" t="inlineStr">
        <is>
          <t>£9 7 shilling 2.5pence at Easter (22 April).</t>
        </is>
      </c>
      <c r="C5" t="n">
        <v>9.359999999999999</v>
      </c>
      <c r="D5" t="n">
        <v>9</v>
      </c>
      <c r="E5" t="n">
        <v>7</v>
      </c>
      <c r="F5" t="n">
        <v>2.5</v>
      </c>
      <c r="H5" t="n">
        <v>0</v>
      </c>
      <c r="I5" t="n">
        <v>0</v>
      </c>
      <c r="J5" t="n">
        <v>0</v>
      </c>
      <c r="K5" t="n">
        <v>0</v>
      </c>
      <c r="L5" t="n">
        <v>0</v>
      </c>
      <c r="M5" t="n">
        <v>0</v>
      </c>
      <c r="N5" t="n">
        <v>0</v>
      </c>
    </row>
    <row r="6">
      <c r="A6" t="inlineStr">
        <is>
          <t>Rents of assize</t>
        </is>
      </c>
      <c r="B6" t="inlineStr">
        <is>
          <t>£9 7 shilling 3.25pence at the feast of St John the Baptist (24 June).</t>
        </is>
      </c>
      <c r="C6" t="n">
        <v>9.359999999999999</v>
      </c>
      <c r="D6" t="n">
        <v>9</v>
      </c>
      <c r="E6" t="n">
        <v>7</v>
      </c>
      <c r="F6" t="n">
        <v>3.25</v>
      </c>
      <c r="H6" t="n">
        <v>0</v>
      </c>
      <c r="I6" t="n">
        <v>0</v>
      </c>
      <c r="J6" t="n">
        <v>0</v>
      </c>
      <c r="K6" t="n">
        <v>0</v>
      </c>
      <c r="L6" t="n">
        <v>0</v>
      </c>
      <c r="M6" t="n">
        <v>0</v>
      </c>
      <c r="N6" t="n">
        <v>0</v>
      </c>
    </row>
    <row r="7">
      <c r="A7" t="inlineStr">
        <is>
          <t>Rents of assize</t>
        </is>
      </c>
      <c r="B7" t="inlineStr">
        <is>
          <t>£21 17 shilling 1.25pence at Michaelmas (29 September).</t>
        </is>
      </c>
      <c r="C7" t="n">
        <v>21.86</v>
      </c>
      <c r="D7" t="n">
        <v>21</v>
      </c>
      <c r="E7" t="n">
        <v>17</v>
      </c>
      <c r="F7" t="n">
        <v>1.25</v>
      </c>
      <c r="H7" t="n">
        <v>0</v>
      </c>
      <c r="I7" t="n">
        <v>0</v>
      </c>
      <c r="J7" t="n">
        <v>0</v>
      </c>
      <c r="K7" t="n">
        <v>0</v>
      </c>
      <c r="L7" t="n">
        <v>0</v>
      </c>
      <c r="M7" t="n">
        <v>0</v>
      </c>
      <c r="N7" t="n">
        <v>0</v>
      </c>
    </row>
    <row r="8">
      <c r="A8" t="inlineStr">
        <is>
          <t>Rents of assize</t>
        </is>
      </c>
      <c r="B8" t="inlineStr">
        <is>
          <t>Total, £49 18 shilling 10pence</t>
        </is>
      </c>
      <c r="C8" t="n">
        <v>49.94</v>
      </c>
      <c r="D8" t="n">
        <v>49</v>
      </c>
      <c r="E8" t="n">
        <v>18</v>
      </c>
      <c r="F8" t="n">
        <v>10</v>
      </c>
      <c r="H8" t="n">
        <v>0</v>
      </c>
      <c r="I8" t="n">
        <v>0</v>
      </c>
      <c r="J8" t="n">
        <v>0</v>
      </c>
      <c r="K8" t="n">
        <v>0</v>
      </c>
      <c r="L8" t="n">
        <v>0</v>
      </c>
      <c r="M8" t="n">
        <v>0</v>
      </c>
      <c r="N8" t="n">
        <v>0</v>
      </c>
    </row>
    <row r="9">
      <c r="A9" t="inlineStr">
        <is>
          <t>Quittances</t>
        </is>
      </c>
      <c r="B9" t="inlineStr">
        <is>
          <t>In quittance of 1 reeve for the year 5 shilling.</t>
        </is>
      </c>
      <c r="C9" t="n">
        <v>0.25</v>
      </c>
      <c r="D9" t="n">
        <v>0</v>
      </c>
      <c r="E9" t="n">
        <v>5</v>
      </c>
      <c r="F9" t="n">
        <v>0</v>
      </c>
      <c r="H9" t="n">
        <v>0</v>
      </c>
      <c r="I9" t="n">
        <v>0</v>
      </c>
      <c r="J9" t="n">
        <v>0</v>
      </c>
      <c r="K9" t="n">
        <v>0</v>
      </c>
      <c r="L9" t="n">
        <v>0</v>
      </c>
      <c r="M9" t="n">
        <v>0</v>
      </c>
      <c r="N9" t="n">
        <v>0</v>
      </c>
    </row>
    <row r="10">
      <c r="A10" t="inlineStr">
        <is>
          <t>Quittances</t>
        </is>
      </c>
      <c r="B10" t="inlineStr">
        <is>
          <t>1 beadle who is hayward for the year 3 shilling.</t>
        </is>
      </c>
      <c r="C10" t="n">
        <v>0.15</v>
      </c>
      <c r="D10" t="n">
        <v>0</v>
      </c>
      <c r="E10" t="n">
        <v>3</v>
      </c>
      <c r="F10" t="n">
        <v>0</v>
      </c>
      <c r="H10" t="n">
        <v>0</v>
      </c>
      <c r="I10" t="n">
        <v>0</v>
      </c>
      <c r="J10" t="n">
        <v>0</v>
      </c>
      <c r="K10" t="n">
        <v>0</v>
      </c>
      <c r="L10" t="n">
        <v>0</v>
      </c>
      <c r="M10" t="n">
        <v>0</v>
      </c>
      <c r="N10" t="n">
        <v>0</v>
      </c>
    </row>
    <row r="11">
      <c r="A11" t="inlineStr">
        <is>
          <t>Quittances</t>
        </is>
      </c>
      <c r="B11" t="inlineStr">
        <is>
          <t>1 smith for the year 2 shilling.</t>
        </is>
      </c>
      <c r="C11" t="n">
        <v>0.1</v>
      </c>
      <c r="D11" t="n">
        <v>0</v>
      </c>
      <c r="E11" t="n">
        <v>2</v>
      </c>
      <c r="F11" t="n">
        <v>0</v>
      </c>
      <c r="H11" t="n">
        <v>0</v>
      </c>
      <c r="I11" t="n">
        <v>0</v>
      </c>
      <c r="J11" t="n">
        <v>0</v>
      </c>
      <c r="K11" t="n">
        <v>0</v>
      </c>
      <c r="L11" t="n">
        <v>0</v>
      </c>
      <c r="M11" t="n">
        <v>0</v>
      </c>
      <c r="N11" t="n">
        <v>0</v>
      </c>
    </row>
    <row r="12">
      <c r="A12" t="inlineStr">
        <is>
          <t>Quittances</t>
        </is>
      </c>
      <c r="B12" t="inlineStr">
        <is>
          <t>1 shepherd for three terms because there was no threshing in the fourth term 2 shilling 3pence.</t>
        </is>
      </c>
      <c r="C12" t="n">
        <v>0.11</v>
      </c>
      <c r="D12" t="n">
        <v>0</v>
      </c>
      <c r="E12" t="n">
        <v>2</v>
      </c>
      <c r="F12" t="n">
        <v>3</v>
      </c>
      <c r="H12" t="n">
        <v>0</v>
      </c>
      <c r="I12" t="n">
        <v>0</v>
      </c>
      <c r="J12" t="n">
        <v>0</v>
      </c>
      <c r="K12" t="n">
        <v>0</v>
      </c>
      <c r="L12" t="n">
        <v>0</v>
      </c>
      <c r="M12" t="n">
        <v>0</v>
      </c>
      <c r="N12" t="n">
        <v>0</v>
      </c>
    </row>
    <row r="13">
      <c r="A13" t="inlineStr">
        <is>
          <t>Quittances</t>
        </is>
      </c>
      <c r="B13" t="inlineStr">
        <is>
          <t>1 shepherd for the year 3 shilling.</t>
        </is>
      </c>
      <c r="C13" t="n">
        <v>0.15</v>
      </c>
      <c r="D13" t="n">
        <v>0</v>
      </c>
      <c r="E13" t="n">
        <v>3</v>
      </c>
      <c r="F13" t="n">
        <v>0</v>
      </c>
      <c r="H13" t="n">
        <v>0</v>
      </c>
      <c r="I13" t="n">
        <v>0</v>
      </c>
      <c r="J13" t="n">
        <v>0</v>
      </c>
      <c r="K13" t="n">
        <v>0</v>
      </c>
      <c r="L13" t="n">
        <v>0</v>
      </c>
      <c r="M13" t="n">
        <v>0</v>
      </c>
      <c r="N13" t="n">
        <v>0</v>
      </c>
    </row>
    <row r="14">
      <c r="A14" t="inlineStr">
        <is>
          <t>Quittances</t>
        </is>
      </c>
      <c r="B14" t="inlineStr">
        <is>
          <t>6 ploughmen for the year 18 shilling, or 3 shilling each.</t>
        </is>
      </c>
      <c r="C14" t="n">
        <v>0.9</v>
      </c>
      <c r="D14" t="n">
        <v>0</v>
      </c>
      <c r="E14" t="n">
        <v>18</v>
      </c>
      <c r="F14" t="n">
        <v>0</v>
      </c>
      <c r="H14" t="n">
        <v>0</v>
      </c>
      <c r="I14" t="n">
        <v>0</v>
      </c>
      <c r="J14" t="n">
        <v>0</v>
      </c>
      <c r="K14" t="n">
        <v>0</v>
      </c>
      <c r="L14" t="n">
        <v>0</v>
      </c>
      <c r="M14" t="n">
        <v>0</v>
      </c>
      <c r="N14" t="n">
        <v>0</v>
      </c>
    </row>
    <row r="15">
      <c r="A15" t="inlineStr">
        <is>
          <t>Quittances</t>
        </is>
      </c>
      <c r="B15" t="inlineStr">
        <is>
          <t>6 workers working 2 days a week from Michaelmas until Lammas and everyday at harvest-time 19 shilling 4.5pence.</t>
        </is>
      </c>
      <c r="C15" t="n">
        <v>0.97</v>
      </c>
      <c r="D15" t="n">
        <v>0</v>
      </c>
      <c r="E15" t="n">
        <v>19</v>
      </c>
      <c r="F15" t="n">
        <v>4.5</v>
      </c>
      <c r="H15" t="n">
        <v>0</v>
      </c>
      <c r="I15" t="n">
        <v>0</v>
      </c>
      <c r="J15" t="n">
        <v>0</v>
      </c>
      <c r="K15" t="n">
        <v>0</v>
      </c>
      <c r="L15" t="n">
        <v>0</v>
      </c>
      <c r="M15" t="n">
        <v>0</v>
      </c>
      <c r="N15" t="n">
        <v>0</v>
      </c>
    </row>
    <row r="16">
      <c r="A16" t="inlineStr">
        <is>
          <t>Quittances</t>
        </is>
      </c>
      <c r="B16" t="inlineStr">
        <is>
          <t>1 cowherd for the year 3 shilling.</t>
        </is>
      </c>
      <c r="C16" t="n">
        <v>0.15</v>
      </c>
      <c r="D16" t="n">
        <v>0</v>
      </c>
      <c r="E16" t="n">
        <v>3</v>
      </c>
      <c r="F16" t="n">
        <v>0</v>
      </c>
      <c r="H16" t="n">
        <v>0</v>
      </c>
      <c r="I16" t="n">
        <v>0</v>
      </c>
      <c r="J16" t="n">
        <v>0</v>
      </c>
      <c r="K16" t="n">
        <v>0</v>
      </c>
      <c r="L16" t="n">
        <v>0</v>
      </c>
      <c r="M16" t="n">
        <v>0</v>
      </c>
      <c r="N16" t="n">
        <v>0</v>
      </c>
    </row>
    <row r="17">
      <c r="A17" t="inlineStr">
        <is>
          <t>Quittances</t>
        </is>
      </c>
      <c r="B17" t="inlineStr">
        <is>
          <t>1 swineherd 3 shilling Total, £2 18 shilling 7.5pence</t>
        </is>
      </c>
      <c r="C17" t="n">
        <v>2.93</v>
      </c>
      <c r="D17" t="n">
        <v>2</v>
      </c>
      <c r="E17" t="n">
        <v>18</v>
      </c>
      <c r="F17" t="n">
        <v>7.5</v>
      </c>
      <c r="H17" t="n">
        <v>0</v>
      </c>
      <c r="I17" t="n">
        <v>0</v>
      </c>
      <c r="J17" t="n">
        <v>0</v>
      </c>
      <c r="K17" t="n">
        <v>0</v>
      </c>
      <c r="L17" t="n">
        <v>0</v>
      </c>
      <c r="M17" t="n">
        <v>0</v>
      </c>
      <c r="N17" t="n">
        <v>0</v>
      </c>
    </row>
    <row r="18">
      <c r="A18" t="inlineStr">
        <is>
          <t>Defaults of rent</t>
        </is>
      </c>
      <c r="B18" t="inlineStr">
        <is>
          <t>In default of thel land of Philip [Molendinariusi] drawn into demesne, 2 shilling for the year.</t>
        </is>
      </c>
      <c r="C18" t="n">
        <v>0.1</v>
      </c>
      <c r="D18" t="n">
        <v>0</v>
      </c>
      <c r="E18" t="n">
        <v>2</v>
      </c>
      <c r="F18" t="n">
        <v>0</v>
      </c>
      <c r="H18" t="n">
        <v>0</v>
      </c>
      <c r="I18" t="n">
        <v>0</v>
      </c>
      <c r="J18" t="n">
        <v>0</v>
      </c>
      <c r="K18" t="n">
        <v>0</v>
      </c>
      <c r="L18" t="n">
        <v>0</v>
      </c>
      <c r="M18" t="n">
        <v>0</v>
      </c>
      <c r="N18" t="n">
        <v>0</v>
      </c>
    </row>
    <row r="19">
      <c r="A19" t="inlineStr">
        <is>
          <t>Defaults of rent</t>
        </is>
      </c>
      <c r="B19" t="inlineStr">
        <is>
          <t>the land of Geoffrey Hose given to the canons of Merton Priory for a fishpond 1 shilling.</t>
        </is>
      </c>
      <c r="C19" t="n">
        <v>0.05</v>
      </c>
      <c r="D19" t="n">
        <v>0</v>
      </c>
      <c r="E19" t="n">
        <v>1</v>
      </c>
      <c r="F19" t="n">
        <v>0</v>
      </c>
      <c r="H19" t="n">
        <v>0</v>
      </c>
      <c r="I19" t="n">
        <v>0</v>
      </c>
      <c r="J19" t="n">
        <v>0</v>
      </c>
      <c r="K19" t="n">
        <v>0</v>
      </c>
      <c r="L19" t="n">
        <v>0</v>
      </c>
      <c r="M19" t="n">
        <v>0</v>
      </c>
      <c r="N19" t="n">
        <v>0</v>
      </c>
    </row>
    <row r="20">
      <c r="A20" t="inlineStr">
        <is>
          <t>Defaults of rent</t>
        </is>
      </c>
      <c r="B20" t="inlineStr">
        <is>
          <t>1 plot which belonged to John le Poleter, 6pence for the year.</t>
        </is>
      </c>
      <c r="C20" t="n">
        <v>0.03</v>
      </c>
      <c r="D20" t="n">
        <v>0</v>
      </c>
      <c r="E20" t="n">
        <v>0</v>
      </c>
      <c r="F20" t="n">
        <v>6</v>
      </c>
      <c r="H20" t="n">
        <v>0</v>
      </c>
      <c r="I20" t="n">
        <v>0</v>
      </c>
      <c r="J20" t="n">
        <v>0</v>
      </c>
      <c r="K20" t="n">
        <v>0</v>
      </c>
      <c r="L20" t="n">
        <v>0</v>
      </c>
      <c r="M20" t="n">
        <v>0</v>
      </c>
      <c r="N20" t="n">
        <v>0</v>
      </c>
    </row>
    <row r="21">
      <c r="A21" t="inlineStr">
        <is>
          <t>Defaults of rent</t>
        </is>
      </c>
      <c r="B21" t="inlineStr">
        <is>
          <t>1 virgate of land which rbe' iongedl to Adam Bedell' drawn into demesne 10 shilling.</t>
        </is>
      </c>
      <c r="C21" t="n">
        <v>0.5</v>
      </c>
      <c r="D21" t="n">
        <v>0</v>
      </c>
      <c r="E21" t="n">
        <v>10</v>
      </c>
      <c r="F21" t="n">
        <v>0</v>
      </c>
      <c r="H21" t="n">
        <v>0</v>
      </c>
      <c r="I21" t="n">
        <v>0</v>
      </c>
      <c r="J21" t="n">
        <v>0</v>
      </c>
      <c r="K21" t="n">
        <v>0</v>
      </c>
      <c r="L21" t="n">
        <v>0</v>
      </c>
      <c r="M21" t="n">
        <v>0</v>
      </c>
      <c r="N21" t="n">
        <v>0</v>
      </c>
    </row>
    <row r="22">
      <c r="A22" t="inlineStr">
        <is>
          <t>Defaults of rent</t>
        </is>
      </c>
      <c r="B22" t="inlineStr">
        <is>
          <t>1 messuage pertaining to the mill and 1 plot at the bakehouse pertaining to the same which William Carpenter held 3 shilling 3pence.</t>
        </is>
      </c>
      <c r="C22" t="n">
        <v>0.16</v>
      </c>
      <c r="D22" t="n">
        <v>0</v>
      </c>
      <c r="E22" t="n">
        <v>3</v>
      </c>
      <c r="F22" t="n">
        <v>3</v>
      </c>
      <c r="H22" t="n">
        <v>0</v>
      </c>
      <c r="I22" t="n">
        <v>0</v>
      </c>
      <c r="J22" t="n">
        <v>0</v>
      </c>
      <c r="K22" t="n">
        <v>0</v>
      </c>
      <c r="L22" t="n">
        <v>0</v>
      </c>
      <c r="M22" t="n">
        <v>0</v>
      </c>
      <c r="N22" t="n">
        <v>0</v>
      </c>
    </row>
    <row r="23">
      <c r="A23" t="inlineStr">
        <is>
          <t>Defaults of rent</t>
        </is>
      </c>
      <c r="B23" t="inlineStr">
        <is>
          <t>3 acres of land which Guy de Hayden' held at la Leygate 1 shilling 6pence Total, 18 shilling 3pence</t>
        </is>
      </c>
      <c r="C23" t="n">
        <v>0.08</v>
      </c>
      <c r="D23" t="n">
        <v>0</v>
      </c>
      <c r="E23" t="n">
        <v>1</v>
      </c>
      <c r="F23" t="n">
        <v>6</v>
      </c>
      <c r="H23" t="n">
        <v>0</v>
      </c>
      <c r="I23" t="n">
        <v>0</v>
      </c>
      <c r="J23" t="n">
        <v>0</v>
      </c>
      <c r="K23" t="n">
        <v>0</v>
      </c>
      <c r="L23" t="n">
        <v>0</v>
      </c>
      <c r="M23" t="n">
        <v>0</v>
      </c>
      <c r="N23" t="n">
        <v>0</v>
      </c>
    </row>
    <row r="24">
      <c r="A24" t="inlineStr">
        <is>
          <t>Total of quittances and defaults of rent</t>
        </is>
      </c>
      <c r="B24" t="inlineStr">
        <is>
          <t>Total of quittances and defaults of rent, £3 16 shilling 10.5pence</t>
        </is>
      </c>
      <c r="C24" t="n">
        <v>3.84</v>
      </c>
      <c r="D24" t="n">
        <v>3</v>
      </c>
      <c r="E24" t="n">
        <v>16</v>
      </c>
      <c r="F24" t="n">
        <v>10.5</v>
      </c>
      <c r="H24" t="n">
        <v>0</v>
      </c>
      <c r="I24" t="n">
        <v>0</v>
      </c>
      <c r="J24" t="n">
        <v>0</v>
      </c>
      <c r="K24" t="n">
        <v>0</v>
      </c>
      <c r="L24" t="n">
        <v>0</v>
      </c>
      <c r="M24" t="n">
        <v>0</v>
      </c>
      <c r="N24" t="n">
        <v>0</v>
      </c>
    </row>
    <row r="25">
      <c r="A25" t="inlineStr">
        <is>
          <t>Total of rents remaining clear</t>
        </is>
      </c>
      <c r="B25" t="inlineStr">
        <is>
          <t>Total of rents remaining clear, £46 1 shilling 11.5pence</t>
        </is>
      </c>
      <c r="C25" t="n">
        <v>46.1</v>
      </c>
      <c r="D25" t="n">
        <v>46</v>
      </c>
      <c r="E25" t="n">
        <v>1</v>
      </c>
      <c r="F25" t="n">
        <v>11.5</v>
      </c>
      <c r="H25" t="n">
        <v>0</v>
      </c>
      <c r="I25" t="n">
        <v>0</v>
      </c>
      <c r="J25" t="n">
        <v>0</v>
      </c>
      <c r="K25" t="n">
        <v>0</v>
      </c>
      <c r="L25" t="n">
        <v>0</v>
      </c>
      <c r="M25" t="n">
        <v>0</v>
      </c>
      <c r="N25" t="n">
        <v>0</v>
      </c>
    </row>
    <row r="26">
      <c r="A26" t="inlineStr">
        <is>
          <t>Annual recognizance</t>
        </is>
      </c>
      <c r="B26" t="inlineStr">
        <is>
          <t>The same render account for 3pence from William Syniar' for annual recognizance whilst he wishes to remain on the land of St Swithun's.</t>
        </is>
      </c>
      <c r="C26" t="n">
        <v>0.01</v>
      </c>
      <c r="D26" t="n">
        <v>0</v>
      </c>
      <c r="E26" t="n">
        <v>0</v>
      </c>
      <c r="F26" t="n">
        <v>3</v>
      </c>
      <c r="H26" t="n">
        <v>0</v>
      </c>
      <c r="I26" t="n">
        <v>0</v>
      </c>
      <c r="J26" t="n">
        <v>0</v>
      </c>
      <c r="K26" t="n">
        <v>0</v>
      </c>
      <c r="L26" t="n">
        <v>0</v>
      </c>
      <c r="M26" t="n">
        <v>0</v>
      </c>
      <c r="N26" t="n">
        <v>0</v>
      </c>
    </row>
    <row r="27">
      <c r="A27" t="inlineStr">
        <is>
          <t>Annual recognizance</t>
        </is>
      </c>
      <c r="B27" t="inlineStr">
        <is>
          <t>3pence from John le Fode so that he may serve and make his profit outside the liberty of the lord and not be challenged for this by the lord, and that he may come to the law-day and remain a villein as before.</t>
        </is>
      </c>
      <c r="C27" t="n">
        <v>0.01</v>
      </c>
      <c r="D27" t="n">
        <v>0</v>
      </c>
      <c r="E27" t="n">
        <v>0</v>
      </c>
      <c r="F27" t="n">
        <v>3</v>
      </c>
      <c r="H27" t="n">
        <v>0</v>
      </c>
      <c r="I27" t="n">
        <v>0</v>
      </c>
      <c r="J27" t="n">
        <v>0</v>
      </c>
      <c r="K27" t="n">
        <v>0</v>
      </c>
      <c r="L27" t="n">
        <v>0</v>
      </c>
      <c r="M27" t="n">
        <v>0</v>
      </c>
      <c r="N27" t="n">
        <v>0</v>
      </c>
    </row>
    <row r="28">
      <c r="A28" t="inlineStr">
        <is>
          <t>Annual recognizance</t>
        </is>
      </c>
      <c r="B28" t="inlineStr">
        <is>
          <t>3pence from John le Ma3on of Headley not to be prosecuted by the tithing for default at the law-day if he be not present and to be quit of tithingpenny, by the pledge of John ate Brigg'.</t>
        </is>
      </c>
      <c r="C28" t="n">
        <v>0.01</v>
      </c>
      <c r="D28" t="n">
        <v>0</v>
      </c>
      <c r="E28" t="n">
        <v>0</v>
      </c>
      <c r="F28" t="n">
        <v>3</v>
      </c>
      <c r="H28" t="n">
        <v>0</v>
      </c>
      <c r="I28" t="n">
        <v>0</v>
      </c>
      <c r="J28" t="n">
        <v>0</v>
      </c>
      <c r="K28" t="n">
        <v>0</v>
      </c>
      <c r="L28" t="n">
        <v>0</v>
      </c>
      <c r="M28" t="n">
        <v>0</v>
      </c>
      <c r="N28" t="n">
        <v>0</v>
      </c>
    </row>
    <row r="29">
      <c r="A29" t="inlineStr">
        <is>
          <t>Annual recognizance</t>
        </is>
      </c>
      <c r="B29" t="inlineStr">
        <is>
          <t>3pence from Henry Faber for annual recognizance, by the pledge of Richard ate Putte.</t>
        </is>
      </c>
      <c r="C29" t="n">
        <v>0.01</v>
      </c>
      <c r="D29" t="n">
        <v>0</v>
      </c>
      <c r="E29" t="n">
        <v>0</v>
      </c>
      <c r="F29" t="n">
        <v>3</v>
      </c>
      <c r="H29" t="n">
        <v>0</v>
      </c>
      <c r="I29" t="n">
        <v>0</v>
      </c>
      <c r="J29" t="n">
        <v>0</v>
      </c>
      <c r="K29" t="n">
        <v>0</v>
      </c>
      <c r="L29" t="n">
        <v>0</v>
      </c>
      <c r="M29" t="n">
        <v>0</v>
      </c>
      <c r="N29" t="n">
        <v>0</v>
      </c>
    </row>
    <row r="30">
      <c r="A30" t="inlineStr">
        <is>
          <t>Annual recognizance</t>
        </is>
      </c>
      <c r="B30" t="inlineStr">
        <is>
          <t>Total, 1 shilling</t>
        </is>
      </c>
      <c r="C30" t="n">
        <v>0.05</v>
      </c>
      <c r="D30" t="n">
        <v>0</v>
      </c>
      <c r="E30" t="n">
        <v>1</v>
      </c>
      <c r="F30" t="n">
        <v>0</v>
      </c>
      <c r="H30" t="n">
        <v>0</v>
      </c>
      <c r="I30" t="n">
        <v>0</v>
      </c>
      <c r="J30" t="n">
        <v>0</v>
      </c>
      <c r="K30" t="n">
        <v>0</v>
      </c>
      <c r="L30" t="n">
        <v>0</v>
      </c>
      <c r="M30" t="n">
        <v>0</v>
      </c>
      <c r="N30" t="n">
        <v>0</v>
      </c>
    </row>
    <row r="31">
      <c r="A31" t="inlineStr">
        <is>
          <t>Issues of the manor</t>
        </is>
      </c>
      <c r="B31" t="inlineStr">
        <is>
          <t>The same render account for £1 5 shilling 1pence from pannage of pigs of the vill this year.</t>
        </is>
      </c>
      <c r="C31" t="n">
        <v>1.25</v>
      </c>
      <c r="D31" t="n">
        <v>1</v>
      </c>
      <c r="E31" t="n">
        <v>5</v>
      </c>
      <c r="F31" t="n">
        <v>1</v>
      </c>
      <c r="H31" t="n">
        <v>0</v>
      </c>
      <c r="I31" t="n">
        <v>0</v>
      </c>
      <c r="J31" t="n">
        <v>0</v>
      </c>
      <c r="K31" t="n">
        <v>0</v>
      </c>
      <c r="L31" t="n">
        <v>0</v>
      </c>
      <c r="M31" t="n">
        <v>0</v>
      </c>
      <c r="N31" t="n">
        <v>0</v>
      </c>
    </row>
    <row r="32">
      <c r="A32" t="inlineStr">
        <is>
          <t>Issues of the manor</t>
        </is>
      </c>
      <c r="B32" t="inlineStr">
        <is>
          <t>18 shilling I 1pence from foreign pannage.</t>
        </is>
      </c>
      <c r="C32" t="n">
        <v>0.9</v>
      </c>
      <c r="D32" t="n">
        <v>0</v>
      </c>
      <c r="E32" t="n">
        <v>18</v>
      </c>
      <c r="F32" t="n">
        <v>1</v>
      </c>
      <c r="H32" t="n">
        <v>0</v>
      </c>
      <c r="I32" t="n">
        <v>0</v>
      </c>
      <c r="J32" t="n">
        <v>0</v>
      </c>
      <c r="K32" t="n">
        <v>0</v>
      </c>
      <c r="L32" t="n">
        <v>0</v>
      </c>
      <c r="M32" t="n">
        <v>0</v>
      </c>
      <c r="N32" t="n">
        <v>0</v>
      </c>
    </row>
    <row r="33">
      <c r="A33" t="inlineStr">
        <is>
          <t>Issues of the manor</t>
        </is>
      </c>
      <c r="B33" t="inlineStr">
        <is>
          <t>10 shilling from pannage of the cottars, at 4pence for each working ox, and 3pence for a cow of full age.</t>
        </is>
      </c>
      <c r="C33" t="n">
        <v>0.52</v>
      </c>
      <c r="D33" t="n">
        <v>0</v>
      </c>
      <c r="E33" t="n">
        <v>10</v>
      </c>
      <c r="F33" t="n">
        <v>4</v>
      </c>
      <c r="H33" t="n">
        <v>0</v>
      </c>
      <c r="I33" t="n">
        <v>0</v>
      </c>
      <c r="J33" t="n">
        <v>0</v>
      </c>
      <c r="K33" t="n">
        <v>0</v>
      </c>
      <c r="L33" t="n">
        <v>0</v>
      </c>
      <c r="M33" t="n">
        <v>0</v>
      </c>
      <c r="N33" t="n">
        <v>0</v>
      </c>
    </row>
    <row r="34">
      <c r="A34" t="inlineStr">
        <is>
          <t>Issues of the manor</t>
        </is>
      </c>
      <c r="B34" t="inlineStr">
        <is>
          <t>5 shilling from the herbage of Farndon.</t>
        </is>
      </c>
      <c r="C34" t="n">
        <v>0.25</v>
      </c>
      <c r="D34" t="n">
        <v>0</v>
      </c>
      <c r="E34" t="n">
        <v>5</v>
      </c>
      <c r="F34" t="n">
        <v>0</v>
      </c>
      <c r="H34" t="n">
        <v>0</v>
      </c>
      <c r="I34" t="n">
        <v>0</v>
      </c>
      <c r="J34" t="n">
        <v>0</v>
      </c>
      <c r="K34" t="n">
        <v>0</v>
      </c>
      <c r="L34" t="n">
        <v>0</v>
      </c>
      <c r="M34" t="n">
        <v>0</v>
      </c>
      <c r="N34" t="n">
        <v>0</v>
      </c>
    </row>
    <row r="35">
      <c r="A35" t="inlineStr">
        <is>
          <t>Issues of the manor</t>
        </is>
      </c>
      <c r="B35" t="inlineStr">
        <is>
          <t>4 shilling from pinfold.</t>
        </is>
      </c>
      <c r="C35" t="n">
        <v>0.2</v>
      </c>
      <c r="D35" t="n">
        <v>0</v>
      </c>
      <c r="E35" t="n">
        <v>4</v>
      </c>
      <c r="F35" t="n">
        <v>0</v>
      </c>
      <c r="H35" t="n">
        <v>0</v>
      </c>
      <c r="I35" t="n">
        <v>0</v>
      </c>
      <c r="J35" t="n">
        <v>0</v>
      </c>
      <c r="K35" t="n">
        <v>0</v>
      </c>
      <c r="L35" t="n">
        <v>0</v>
      </c>
      <c r="M35" t="n">
        <v>0</v>
      </c>
      <c r="N35" t="n">
        <v>0</v>
      </c>
    </row>
    <row r="36">
      <c r="A36" t="inlineStr">
        <is>
          <t>Issues of the manor</t>
        </is>
      </c>
      <c r="B36" t="inlineStr">
        <is>
          <t>2 shilling 1pence from churchscot.</t>
        </is>
      </c>
      <c r="C36" t="n">
        <v>0.1</v>
      </c>
      <c r="D36" t="n">
        <v>0</v>
      </c>
      <c r="E36" t="n">
        <v>2</v>
      </c>
      <c r="F36" t="n">
        <v>1</v>
      </c>
      <c r="H36" t="n">
        <v>0</v>
      </c>
      <c r="I36" t="n">
        <v>0</v>
      </c>
      <c r="J36" t="n">
        <v>0</v>
      </c>
      <c r="K36" t="n">
        <v>0</v>
      </c>
      <c r="L36" t="n">
        <v>0</v>
      </c>
      <c r="M36" t="n">
        <v>0</v>
      </c>
      <c r="N36" t="n">
        <v>0</v>
      </c>
    </row>
    <row r="37">
      <c r="A37" t="inlineStr">
        <is>
          <t>Issues of the manor</t>
        </is>
      </c>
      <c r="B37" t="inlineStr">
        <is>
          <t>2 shilling from the herbage behind the curia sold.</t>
        </is>
      </c>
      <c r="C37" t="n">
        <v>0.1</v>
      </c>
      <c r="D37" t="n">
        <v>0</v>
      </c>
      <c r="E37" t="n">
        <v>2</v>
      </c>
      <c r="F37" t="n">
        <v>0</v>
      </c>
      <c r="H37" t="n">
        <v>0</v>
      </c>
      <c r="I37" t="n">
        <v>0</v>
      </c>
      <c r="J37" t="n">
        <v>0</v>
      </c>
      <c r="K37" t="n">
        <v>0</v>
      </c>
      <c r="L37" t="n">
        <v>0</v>
      </c>
      <c r="M37" t="n">
        <v>0</v>
      </c>
      <c r="N37" t="n">
        <v>0</v>
      </c>
    </row>
    <row r="38">
      <c r="A38" t="inlineStr">
        <is>
          <t>Issues of the manor</t>
        </is>
      </c>
      <c r="B38" t="inlineStr">
        <is>
          <t>£1 10 shilling from 3 old plough-horses sold.</t>
        </is>
      </c>
      <c r="C38" t="n">
        <v>1.5</v>
      </c>
      <c r="D38" t="n">
        <v>1</v>
      </c>
      <c r="E38" t="n">
        <v>10</v>
      </c>
      <c r="F38" t="n">
        <v>0</v>
      </c>
      <c r="H38" t="n">
        <v>0</v>
      </c>
      <c r="I38" t="n">
        <v>0</v>
      </c>
      <c r="J38" t="n">
        <v>0</v>
      </c>
      <c r="K38" t="n">
        <v>0</v>
      </c>
      <c r="L38" t="n">
        <v>0</v>
      </c>
      <c r="M38" t="n">
        <v>0</v>
      </c>
      <c r="N38" t="n">
        <v>0</v>
      </c>
    </row>
    <row r="39">
      <c r="A39" t="inlineStr">
        <is>
          <t>Issues of the manor</t>
        </is>
      </c>
      <c r="B39" t="inlineStr">
        <is>
          <t>£3 16 shilling 10pence from 8 old oxen sold at various prices, that is, 10 shilling each for 7, and 6 shilling 10pence for 1.</t>
        </is>
      </c>
      <c r="C39" t="n">
        <v>3.84</v>
      </c>
      <c r="D39" t="n">
        <v>3</v>
      </c>
      <c r="E39" t="n">
        <v>16</v>
      </c>
      <c r="F39" t="n">
        <v>10</v>
      </c>
      <c r="H39" t="n">
        <v>0</v>
      </c>
      <c r="I39" t="n">
        <v>0</v>
      </c>
      <c r="J39" t="n">
        <v>0</v>
      </c>
      <c r="K39" t="n">
        <v>0</v>
      </c>
      <c r="L39" t="n">
        <v>0</v>
      </c>
      <c r="M39" t="n">
        <v>0</v>
      </c>
      <c r="N39" t="n">
        <v>0</v>
      </c>
    </row>
    <row r="40">
      <c r="A40" t="inlineStr">
        <is>
          <t>Issues of the manor</t>
        </is>
      </c>
      <c r="B40" t="inlineStr">
        <is>
          <t>10 shilling from 1 bull sold.</t>
        </is>
      </c>
      <c r="C40" t="n">
        <v>0.5</v>
      </c>
      <c r="D40" t="n">
        <v>0</v>
      </c>
      <c r="E40" t="n">
        <v>10</v>
      </c>
      <c r="F40" t="n">
        <v>0</v>
      </c>
      <c r="H40" t="n">
        <v>0</v>
      </c>
      <c r="I40" t="n">
        <v>0</v>
      </c>
      <c r="J40" t="n">
        <v>0</v>
      </c>
      <c r="K40" t="n">
        <v>0</v>
      </c>
      <c r="L40" t="n">
        <v>0</v>
      </c>
      <c r="M40" t="n">
        <v>0</v>
      </c>
      <c r="N40" t="n">
        <v>0</v>
      </c>
    </row>
    <row r="41">
      <c r="A41" t="inlineStr">
        <is>
          <t>Issues of the manor</t>
        </is>
      </c>
      <c r="B41" t="inlineStr">
        <is>
          <t>£1 12 shilling from 4 old cows sold, at 8 shilling each.</t>
        </is>
      </c>
      <c r="C41" t="n">
        <v>1.6</v>
      </c>
      <c r="D41" t="n">
        <v>1</v>
      </c>
      <c r="E41" t="n">
        <v>12</v>
      </c>
      <c r="F41" t="n">
        <v>0</v>
      </c>
      <c r="H41" t="n">
        <v>0</v>
      </c>
      <c r="I41" t="n">
        <v>0</v>
      </c>
      <c r="J41" t="n">
        <v>0</v>
      </c>
      <c r="K41" t="n">
        <v>0</v>
      </c>
      <c r="L41" t="n">
        <v>0</v>
      </c>
      <c r="M41" t="n">
        <v>0</v>
      </c>
      <c r="N41" t="n">
        <v>0</v>
      </c>
    </row>
    <row r="42">
      <c r="A42" t="inlineStr">
        <is>
          <t>Issues of the manor</t>
        </is>
      </c>
      <c r="B42" t="inlineStr">
        <is>
          <t>2 shilling 6pence from 3 late-born calves sold.</t>
        </is>
      </c>
      <c r="C42" t="n">
        <v>0.12</v>
      </c>
      <c r="D42" t="n">
        <v>0</v>
      </c>
      <c r="E42" t="n">
        <v>2</v>
      </c>
      <c r="F42" t="n">
        <v>6</v>
      </c>
      <c r="H42" t="n">
        <v>0</v>
      </c>
      <c r="I42" t="n">
        <v>0</v>
      </c>
      <c r="J42" t="n">
        <v>0</v>
      </c>
      <c r="K42" t="n">
        <v>0</v>
      </c>
      <c r="L42" t="n">
        <v>0</v>
      </c>
      <c r="M42" t="n">
        <v>0</v>
      </c>
      <c r="N42" t="n">
        <v>0</v>
      </c>
    </row>
    <row r="43">
      <c r="A43" t="inlineStr">
        <is>
          <t>Issues of the manor</t>
        </is>
      </c>
      <c r="B43" t="inlineStr">
        <is>
          <t>£10 12 shilling 6.5pence from 29 animals bought for pasturing and sold at various prices.</t>
        </is>
      </c>
      <c r="C43" t="n">
        <v>10.63</v>
      </c>
      <c r="D43" t="n">
        <v>10</v>
      </c>
      <c r="E43" t="n">
        <v>12</v>
      </c>
      <c r="F43" t="n">
        <v>6.5</v>
      </c>
      <c r="H43" t="n">
        <v>0</v>
      </c>
      <c r="I43" t="n">
        <v>0</v>
      </c>
      <c r="J43" t="n">
        <v>0</v>
      </c>
      <c r="K43" t="n">
        <v>0</v>
      </c>
      <c r="L43" t="n">
        <v>0</v>
      </c>
      <c r="M43" t="n">
        <v>0</v>
      </c>
      <c r="N43" t="n">
        <v>0</v>
      </c>
    </row>
    <row r="44">
      <c r="A44" t="inlineStr">
        <is>
          <t>Issues of the manor</t>
        </is>
      </c>
      <c r="B44" t="inlineStr">
        <is>
          <t>16 shilling 4pence from 14 wethers sold at Martinmas, at 1 shilling 2pence each.</t>
        </is>
      </c>
      <c r="C44" t="n">
        <v>0.82</v>
      </c>
      <c r="D44" t="n">
        <v>0</v>
      </c>
      <c r="E44" t="n">
        <v>16</v>
      </c>
      <c r="F44" t="n">
        <v>4</v>
      </c>
      <c r="H44" t="n">
        <v>0</v>
      </c>
      <c r="I44" t="n">
        <v>0</v>
      </c>
      <c r="J44" t="n">
        <v>0</v>
      </c>
      <c r="K44" t="n">
        <v>0</v>
      </c>
      <c r="L44" t="n">
        <v>0</v>
      </c>
      <c r="M44" t="n">
        <v>0</v>
      </c>
      <c r="N44" t="n">
        <v>0</v>
      </c>
    </row>
    <row r="45">
      <c r="A45" t="inlineStr">
        <is>
          <t>Issues of the manor</t>
        </is>
      </c>
      <c r="B45" t="inlineStr">
        <is>
          <t>14 shilling from 14 ewes sold at the same feast.</t>
        </is>
      </c>
      <c r="C45" t="n">
        <v>0.7</v>
      </c>
      <c r="D45" t="n">
        <v>0</v>
      </c>
      <c r="E45" t="n">
        <v>14</v>
      </c>
      <c r="F45" t="n">
        <v>0</v>
      </c>
      <c r="H45" t="n">
        <v>0</v>
      </c>
      <c r="I45" t="n">
        <v>0</v>
      </c>
      <c r="J45" t="n">
        <v>0</v>
      </c>
      <c r="K45" t="n">
        <v>0</v>
      </c>
      <c r="L45" t="n">
        <v>0</v>
      </c>
      <c r="M45" t="n">
        <v>0</v>
      </c>
      <c r="N45" t="n">
        <v>0</v>
      </c>
    </row>
    <row r="46">
      <c r="A46" t="inlineStr">
        <is>
          <t>Issues of the manor</t>
        </is>
      </c>
      <c r="B46" t="inlineStr">
        <is>
          <t>12 shilling from 4 pigs sold.</t>
        </is>
      </c>
      <c r="C46" t="n">
        <v>0.6</v>
      </c>
      <c r="D46" t="n">
        <v>0</v>
      </c>
      <c r="E46" t="n">
        <v>12</v>
      </c>
      <c r="F46" t="n">
        <v>0</v>
      </c>
      <c r="H46" t="n">
        <v>0</v>
      </c>
      <c r="I46" t="n">
        <v>0</v>
      </c>
      <c r="J46" t="n">
        <v>0</v>
      </c>
      <c r="K46" t="n">
        <v>0</v>
      </c>
      <c r="L46" t="n">
        <v>0</v>
      </c>
      <c r="M46" t="n">
        <v>0</v>
      </c>
      <c r="N46" t="n">
        <v>0</v>
      </c>
    </row>
    <row r="47">
      <c r="A47" t="inlineStr">
        <is>
          <t>Issues of the manor</t>
        </is>
      </c>
      <c r="B47" t="inlineStr">
        <is>
          <t>3 shilling 3pence from 13 nearly dead lambs sold.</t>
        </is>
      </c>
      <c r="C47" t="n">
        <v>0.16</v>
      </c>
      <c r="D47" t="n">
        <v>0</v>
      </c>
      <c r="E47" t="n">
        <v>3</v>
      </c>
      <c r="F47" t="n">
        <v>3</v>
      </c>
      <c r="H47" t="n">
        <v>0</v>
      </c>
      <c r="I47" t="n">
        <v>0</v>
      </c>
      <c r="J47" t="n">
        <v>0</v>
      </c>
      <c r="K47" t="n">
        <v>0</v>
      </c>
      <c r="L47" t="n">
        <v>0</v>
      </c>
      <c r="M47" t="n">
        <v>0</v>
      </c>
      <c r="N47" t="n">
        <v>0</v>
      </c>
    </row>
    <row r="48">
      <c r="A48" t="inlineStr">
        <is>
          <t>Issues of the manor</t>
        </is>
      </c>
      <c r="B48" t="inlineStr">
        <is>
          <t>2 shilling 4pence from the hides sold of 1 plough-horse and 3 colts dead from murrain.</t>
        </is>
      </c>
      <c r="C48" t="n">
        <v>0.12</v>
      </c>
      <c r="D48" t="n">
        <v>0</v>
      </c>
      <c r="E48" t="n">
        <v>2</v>
      </c>
      <c r="F48" t="n">
        <v>4</v>
      </c>
      <c r="H48" t="n">
        <v>0</v>
      </c>
      <c r="I48" t="n">
        <v>0</v>
      </c>
      <c r="J48" t="n">
        <v>0</v>
      </c>
      <c r="K48" t="n">
        <v>0</v>
      </c>
      <c r="L48" t="n">
        <v>0</v>
      </c>
      <c r="M48" t="n">
        <v>0</v>
      </c>
      <c r="N48" t="n">
        <v>0</v>
      </c>
    </row>
    <row r="49">
      <c r="A49" t="inlineStr">
        <is>
          <t>Issues of the manor</t>
        </is>
      </c>
      <c r="B49" t="inlineStr">
        <is>
          <t>7pence from the hide sold of 1 bullock dead from murrain.</t>
        </is>
      </c>
      <c r="C49" t="n">
        <v>0.03</v>
      </c>
      <c r="D49" t="n">
        <v>0</v>
      </c>
      <c r="E49" t="n">
        <v>0</v>
      </c>
      <c r="F49" t="n">
        <v>7</v>
      </c>
      <c r="H49" t="n">
        <v>0</v>
      </c>
      <c r="I49" t="n">
        <v>0</v>
      </c>
      <c r="J49" t="n">
        <v>0</v>
      </c>
      <c r="K49" t="n">
        <v>0</v>
      </c>
      <c r="L49" t="n">
        <v>0</v>
      </c>
      <c r="M49" t="n">
        <v>0</v>
      </c>
      <c r="N49" t="n">
        <v>0</v>
      </c>
    </row>
    <row r="50">
      <c r="A50" t="inlineStr">
        <is>
          <t>Issues of the manor</t>
        </is>
      </c>
      <c r="B50" t="inlineStr">
        <is>
          <t>6 shilling 6pence from the skins sold wholesale of 7 wethers, 11 ewes and 8 hoggs dead from murrain before shearing, with the skins of 1 wether and 2 ewes dead from murrain after shearing.</t>
        </is>
      </c>
      <c r="C50" t="n">
        <v>0.33</v>
      </c>
      <c r="D50" t="n">
        <v>0</v>
      </c>
      <c r="E50" t="n">
        <v>6</v>
      </c>
      <c r="F50" t="n">
        <v>6</v>
      </c>
      <c r="H50" t="n">
        <v>0</v>
      </c>
      <c r="I50" t="n">
        <v>0</v>
      </c>
      <c r="J50" t="n">
        <v>0</v>
      </c>
      <c r="K50" t="n">
        <v>0</v>
      </c>
      <c r="L50" t="n">
        <v>0</v>
      </c>
      <c r="M50" t="n">
        <v>0</v>
      </c>
      <c r="N50" t="n">
        <v>0</v>
      </c>
    </row>
    <row r="51">
      <c r="A51" t="inlineStr">
        <is>
          <t>Issues of the manor</t>
        </is>
      </c>
      <c r="B51" t="inlineStr">
        <is>
          <t>1 shilling 10.75pence from the skins sold wholesale of 21 lambs dead from murrain before weaning and 14 rotted sheep.</t>
        </is>
      </c>
      <c r="C51" t="n">
        <v>0.09</v>
      </c>
      <c r="D51" t="n">
        <v>0</v>
      </c>
      <c r="E51" t="n">
        <v>1</v>
      </c>
      <c r="F51" t="n">
        <v>10.75</v>
      </c>
      <c r="H51" t="n">
        <v>0</v>
      </c>
      <c r="I51" t="n">
        <v>0</v>
      </c>
      <c r="J51" t="n">
        <v>0</v>
      </c>
      <c r="K51" t="n">
        <v>0</v>
      </c>
      <c r="L51" t="n">
        <v>0</v>
      </c>
      <c r="M51" t="n">
        <v>0</v>
      </c>
      <c r="N51" t="n">
        <v>0</v>
      </c>
    </row>
    <row r="52">
      <c r="A52" t="inlineStr">
        <is>
          <t>Issues of the manor</t>
        </is>
      </c>
      <c r="B52" t="inlineStr">
        <is>
          <t>nothing from coarse wool and lamb's-wool here because it was sent to Wolvesey.</t>
        </is>
      </c>
      <c r="C52" t="n">
        <v>0</v>
      </c>
      <c r="D52" t="n">
        <v>0</v>
      </c>
      <c r="E52" t="n">
        <v>0</v>
      </c>
      <c r="F52" t="n">
        <v>0</v>
      </c>
      <c r="H52" t="n">
        <v>0</v>
      </c>
      <c r="I52" t="n">
        <v>0</v>
      </c>
      <c r="J52" t="n">
        <v>0</v>
      </c>
      <c r="K52" t="n">
        <v>0</v>
      </c>
      <c r="L52" t="n">
        <v>0</v>
      </c>
      <c r="M52" t="n">
        <v>0</v>
      </c>
      <c r="N52" t="n">
        <v>0</v>
      </c>
    </row>
    <row r="53">
      <c r="A53" t="inlineStr">
        <is>
          <t>Issues of the manor</t>
        </is>
      </c>
      <c r="B53" t="inlineStr">
        <is>
          <t>2 shilling 3pence from 2 cloves 4 lb of wool locks sold, at 10.5pence a clove.</t>
        </is>
      </c>
      <c r="C53" t="n">
        <v>0.11</v>
      </c>
      <c r="D53" t="n">
        <v>0</v>
      </c>
      <c r="E53" t="n">
        <v>2</v>
      </c>
      <c r="F53" t="n">
        <v>3</v>
      </c>
      <c r="H53" t="n">
        <v>0</v>
      </c>
      <c r="I53" t="n">
        <v>0</v>
      </c>
      <c r="J53" t="n">
        <v>0</v>
      </c>
      <c r="K53" t="n">
        <v>0</v>
      </c>
      <c r="L53" t="n">
        <v>0</v>
      </c>
      <c r="M53" t="n">
        <v>0</v>
      </c>
      <c r="N53" t="n">
        <v>0</v>
      </c>
    </row>
    <row r="54">
      <c r="A54" t="inlineStr">
        <is>
          <t>Issues of the manor</t>
        </is>
      </c>
      <c r="B54" t="inlineStr">
        <is>
          <t>5 shilling from .5 wey 6 cloves of rowen cheese sold.</t>
        </is>
      </c>
      <c r="C54" t="n">
        <v>0.25</v>
      </c>
      <c r="D54" t="n">
        <v>0</v>
      </c>
      <c r="E54" t="n">
        <v>5</v>
      </c>
      <c r="F54" t="n">
        <v>0</v>
      </c>
      <c r="H54" t="n">
        <v>0</v>
      </c>
      <c r="I54" t="n">
        <v>0</v>
      </c>
      <c r="J54" t="n">
        <v>0</v>
      </c>
      <c r="K54" t="n">
        <v>0</v>
      </c>
      <c r="L54" t="n">
        <v>0</v>
      </c>
      <c r="M54" t="n">
        <v>0</v>
      </c>
      <c r="N54" t="n">
        <v>0</v>
      </c>
    </row>
    <row r="55">
      <c r="A55" t="inlineStr">
        <is>
          <t>Issues of the manor</t>
        </is>
      </c>
      <c r="B55" t="inlineStr">
        <is>
          <t>£2 15 shilling from 6.5 weys of cheese sold, at 8 shilling a wey for 3.5 weys, and 9 shilling a wey for 3 weys.</t>
        </is>
      </c>
      <c r="C55" t="n">
        <v>2.75</v>
      </c>
      <c r="D55" t="n">
        <v>2</v>
      </c>
      <c r="E55" t="n">
        <v>15</v>
      </c>
      <c r="F55" t="n">
        <v>0</v>
      </c>
      <c r="H55" t="n">
        <v>0</v>
      </c>
      <c r="I55" t="n">
        <v>0</v>
      </c>
      <c r="J55" t="n">
        <v>0</v>
      </c>
      <c r="K55" t="n">
        <v>0</v>
      </c>
      <c r="L55" t="n">
        <v>0</v>
      </c>
      <c r="M55" t="n">
        <v>0</v>
      </c>
      <c r="N55" t="n">
        <v>0</v>
      </c>
    </row>
    <row r="56">
      <c r="A56" t="inlineStr">
        <is>
          <t>Issues of the manor</t>
        </is>
      </c>
      <c r="B56" t="inlineStr">
        <is>
          <t>2 shilling 3.5pence from 8 cloves of butter sold.</t>
        </is>
      </c>
      <c r="C56" t="n">
        <v>0.11</v>
      </c>
      <c r="D56" t="n">
        <v>0</v>
      </c>
      <c r="E56" t="n">
        <v>2</v>
      </c>
      <c r="F56" t="n">
        <v>3.5</v>
      </c>
      <c r="H56" t="n">
        <v>0</v>
      </c>
      <c r="I56" t="n">
        <v>0</v>
      </c>
      <c r="J56" t="n">
        <v>0</v>
      </c>
      <c r="K56" t="n">
        <v>0</v>
      </c>
      <c r="L56" t="n">
        <v>0</v>
      </c>
      <c r="M56" t="n">
        <v>0</v>
      </c>
      <c r="N56" t="n">
        <v>0</v>
      </c>
    </row>
    <row r="57">
      <c r="A57" t="inlineStr">
        <is>
          <t>Issues of the manor</t>
        </is>
      </c>
      <c r="B57" t="inlineStr">
        <is>
          <t>10 shilling 4pence from 124 hens from churchscot sold.</t>
        </is>
      </c>
      <c r="C57" t="n">
        <v>0.52</v>
      </c>
      <c r="D57" t="n">
        <v>0</v>
      </c>
      <c r="E57" t="n">
        <v>10</v>
      </c>
      <c r="F57" t="n">
        <v>4</v>
      </c>
      <c r="H57" t="n">
        <v>0</v>
      </c>
      <c r="I57" t="n">
        <v>0</v>
      </c>
      <c r="J57" t="n">
        <v>0</v>
      </c>
      <c r="K57" t="n">
        <v>0</v>
      </c>
      <c r="L57" t="n">
        <v>0</v>
      </c>
      <c r="M57" t="n">
        <v>0</v>
      </c>
      <c r="N57" t="n">
        <v>0</v>
      </c>
    </row>
    <row r="58">
      <c r="A58" t="inlineStr">
        <is>
          <t>Issues of the manor</t>
        </is>
      </c>
      <c r="B58" t="inlineStr">
        <is>
          <t>2 shilling from 600 eggs sold according to custom.</t>
        </is>
      </c>
      <c r="C58" t="n">
        <v>0.1</v>
      </c>
      <c r="D58" t="n">
        <v>0</v>
      </c>
      <c r="E58" t="n">
        <v>2</v>
      </c>
      <c r="F58" t="n">
        <v>0</v>
      </c>
      <c r="H58" t="n">
        <v>0</v>
      </c>
      <c r="I58" t="n">
        <v>0</v>
      </c>
      <c r="J58" t="n">
        <v>0</v>
      </c>
      <c r="K58" t="n">
        <v>0</v>
      </c>
      <c r="L58" t="n">
        <v>0</v>
      </c>
      <c r="M58" t="n">
        <v>0</v>
      </c>
      <c r="N58" t="n">
        <v>0</v>
      </c>
    </row>
    <row r="59">
      <c r="A59" t="inlineStr">
        <is>
          <t>Issues of the manor</t>
        </is>
      </c>
      <c r="B59" t="inlineStr">
        <is>
          <t>£1 10 shilling from Juliana de Manycroft and 4 of her fellows for release from their harvest labour service, at 6 shilling each.</t>
        </is>
      </c>
      <c r="C59" t="n">
        <v>1.5</v>
      </c>
      <c r="D59" t="n">
        <v>1</v>
      </c>
      <c r="E59" t="n">
        <v>10</v>
      </c>
      <c r="F59" t="n">
        <v>0</v>
      </c>
      <c r="H59" t="n">
        <v>0</v>
      </c>
      <c r="I59" t="n">
        <v>0</v>
      </c>
      <c r="J59" t="n">
        <v>0</v>
      </c>
      <c r="K59" t="n">
        <v>0</v>
      </c>
      <c r="L59" t="n">
        <v>0</v>
      </c>
      <c r="M59" t="n">
        <v>0</v>
      </c>
      <c r="N59" t="n">
        <v>0</v>
      </c>
    </row>
    <row r="60">
      <c r="A60" t="inlineStr">
        <is>
          <t>Issues of the manor</t>
        </is>
      </c>
      <c r="B60" t="inlineStr">
        <is>
          <t>12 shilling from 1 cask of cider sold apart from the vessel.</t>
        </is>
      </c>
      <c r="C60" t="n">
        <v>0.6</v>
      </c>
      <c r="D60" t="n">
        <v>0</v>
      </c>
      <c r="E60" t="n">
        <v>12</v>
      </c>
      <c r="F60" t="n">
        <v>0</v>
      </c>
      <c r="H60" t="n">
        <v>0</v>
      </c>
      <c r="I60" t="n">
        <v>0</v>
      </c>
      <c r="J60" t="n">
        <v>0</v>
      </c>
      <c r="K60" t="n">
        <v>0</v>
      </c>
      <c r="L60" t="n">
        <v>0</v>
      </c>
      <c r="M60" t="n">
        <v>0</v>
      </c>
      <c r="N60" t="n">
        <v>0</v>
      </c>
    </row>
    <row r="61">
      <c r="A61" t="inlineStr">
        <is>
          <t>Issues of the manor</t>
        </is>
      </c>
      <c r="B61" t="inlineStr">
        <is>
          <t>£1 6pence from the pasturage in the park sold.</t>
        </is>
      </c>
      <c r="C61" t="n">
        <v>1.02</v>
      </c>
      <c r="D61" t="n">
        <v>1</v>
      </c>
      <c r="E61" t="n">
        <v>0</v>
      </c>
      <c r="F61" t="n">
        <v>6</v>
      </c>
      <c r="H61" t="n">
        <v>0</v>
      </c>
      <c r="I61" t="n">
        <v>0</v>
      </c>
      <c r="J61" t="n">
        <v>0</v>
      </c>
      <c r="K61" t="n">
        <v>0</v>
      </c>
      <c r="L61" t="n">
        <v>0</v>
      </c>
      <c r="M61" t="n">
        <v>0</v>
      </c>
      <c r="N61" t="n">
        <v>0</v>
      </c>
    </row>
    <row r="62">
      <c r="A62" t="inlineStr">
        <is>
          <t>Issues of the manor</t>
        </is>
      </c>
      <c r="B62" t="inlineStr">
        <is>
          <t>12 shilling 6pence from 100 labour services sold, at 1.5pence a labour service.</t>
        </is>
      </c>
      <c r="C62" t="n">
        <v>0.62</v>
      </c>
      <c r="D62" t="n">
        <v>0</v>
      </c>
      <c r="E62" t="n">
        <v>12</v>
      </c>
      <c r="F62" t="n">
        <v>6</v>
      </c>
      <c r="H62" t="n">
        <v>0</v>
      </c>
      <c r="I62" t="n">
        <v>0</v>
      </c>
      <c r="J62" t="n">
        <v>0</v>
      </c>
      <c r="K62" t="n">
        <v>0</v>
      </c>
      <c r="L62" t="n">
        <v>0</v>
      </c>
      <c r="M62" t="n">
        <v>0</v>
      </c>
      <c r="N62" t="n">
        <v>0</v>
      </c>
    </row>
    <row r="63">
      <c r="A63" t="inlineStr">
        <is>
          <t>Issues of the manor</t>
        </is>
      </c>
      <c r="B63" t="inlineStr">
        <is>
          <t>2 shilling from 1 bee-hive (rusc') from the heriot of William le Dudelar' sold.</t>
        </is>
      </c>
      <c r="C63" t="n">
        <v>0.1</v>
      </c>
      <c r="D63" t="n">
        <v>0</v>
      </c>
      <c r="E63" t="n">
        <v>2</v>
      </c>
      <c r="F63" t="n">
        <v>0</v>
      </c>
      <c r="H63" t="n">
        <v>0</v>
      </c>
      <c r="I63" t="n">
        <v>0</v>
      </c>
      <c r="J63" t="n">
        <v>0</v>
      </c>
      <c r="K63" t="n">
        <v>0</v>
      </c>
      <c r="L63" t="n">
        <v>0</v>
      </c>
      <c r="M63" t="n">
        <v>0</v>
      </c>
      <c r="N63" t="n">
        <v>0</v>
      </c>
    </row>
    <row r="64">
      <c r="A64" t="inlineStr">
        <is>
          <t>Issues of the manor</t>
        </is>
      </c>
      <c r="B64" t="inlineStr">
        <is>
          <t>19 shilling 5.5pence from dairy produce sold at the audit.</t>
        </is>
      </c>
      <c r="C64" t="n">
        <v>0.97</v>
      </c>
      <c r="D64" t="n">
        <v>0</v>
      </c>
      <c r="E64" t="n">
        <v>19</v>
      </c>
      <c r="F64" t="n">
        <v>5.5</v>
      </c>
      <c r="H64" t="n">
        <v>0</v>
      </c>
      <c r="I64" t="n">
        <v>0</v>
      </c>
      <c r="J64" t="n">
        <v>0</v>
      </c>
      <c r="K64" t="n">
        <v>0</v>
      </c>
      <c r="L64" t="n">
        <v>0</v>
      </c>
      <c r="M64" t="n">
        <v>0</v>
      </c>
      <c r="N64" t="n">
        <v>0</v>
      </c>
    </row>
    <row r="65">
      <c r="A65" t="inlineStr">
        <is>
          <t>Issues of the manor</t>
        </is>
      </c>
      <c r="B65" t="inlineStr">
        <is>
          <t>Total, £33 1 shilling 2.25pence</t>
        </is>
      </c>
      <c r="C65" t="n">
        <v>33.06</v>
      </c>
      <c r="D65" t="n">
        <v>33</v>
      </c>
      <c r="E65" t="n">
        <v>1</v>
      </c>
      <c r="F65" t="n">
        <v>2.25</v>
      </c>
      <c r="H65" t="n">
        <v>0</v>
      </c>
      <c r="I65" t="n">
        <v>0</v>
      </c>
      <c r="J65" t="n">
        <v>0</v>
      </c>
      <c r="K65" t="n">
        <v>0</v>
      </c>
      <c r="L65" t="n">
        <v>0</v>
      </c>
      <c r="M65" t="n">
        <v>0</v>
      </c>
      <c r="N65" t="n">
        <v>0</v>
      </c>
    </row>
    <row r="66">
      <c r="A66" t="inlineStr">
        <is>
          <t>Sale of wheat</t>
        </is>
      </c>
      <c r="B66" t="inlineStr">
        <is>
          <t>The same render account for £18 3 shilling from 60.5 quarters of wheat sold, at 6 shilling a quarters.</t>
        </is>
      </c>
      <c r="C66" t="n">
        <v>18.15</v>
      </c>
      <c r="D66" t="n">
        <v>18</v>
      </c>
      <c r="E66" t="n">
        <v>3</v>
      </c>
      <c r="F66" t="n">
        <v>0</v>
      </c>
      <c r="G66" t="inlineStr">
        <is>
          <t>wheat</t>
        </is>
      </c>
      <c r="H66" t="n">
        <v>60.5</v>
      </c>
      <c r="I66" t="n">
        <v>0</v>
      </c>
      <c r="J66" t="n">
        <v>60.5</v>
      </c>
      <c r="K66" t="n">
        <v>60.5</v>
      </c>
      <c r="L66" t="n">
        <v>0</v>
      </c>
      <c r="M66" t="n">
        <v>60.5</v>
      </c>
      <c r="N66" t="n">
        <v>0</v>
      </c>
      <c r="S66" t="n">
        <v>6</v>
      </c>
      <c r="T66" t="n">
        <v>0</v>
      </c>
    </row>
    <row r="67">
      <c r="A67" t="inlineStr">
        <is>
          <t>Sale of wheat</t>
        </is>
      </c>
      <c r="B67" t="inlineStr">
        <is>
          <t>2 shilling 11pence from 5 bushels of curall sold.</t>
        </is>
      </c>
      <c r="C67" t="n">
        <v>0.15</v>
      </c>
      <c r="D67" t="n">
        <v>0</v>
      </c>
      <c r="E67" t="n">
        <v>2</v>
      </c>
      <c r="F67" t="n">
        <v>11</v>
      </c>
      <c r="G67" t="inlineStr">
        <is>
          <t>curall</t>
        </is>
      </c>
      <c r="H67" t="n">
        <v>0</v>
      </c>
      <c r="I67" t="n">
        <v>5</v>
      </c>
      <c r="J67" t="n">
        <v>0.625</v>
      </c>
      <c r="K67" t="n">
        <v>0.625</v>
      </c>
      <c r="L67" t="n">
        <v>0</v>
      </c>
      <c r="M67" t="n">
        <v>0</v>
      </c>
      <c r="N67" t="n">
        <v>5</v>
      </c>
    </row>
    <row r="68">
      <c r="A68" t="inlineStr">
        <is>
          <t>Sale of wheat</t>
        </is>
      </c>
      <c r="B68" t="inlineStr">
        <is>
          <t>£1 10 shilling 4pence from 6.5 quarters of barley sold, at 4 shilling 8pence a quarters.</t>
        </is>
      </c>
      <c r="C68" t="n">
        <v>1.52</v>
      </c>
      <c r="D68" t="n">
        <v>1</v>
      </c>
      <c r="E68" t="n">
        <v>10</v>
      </c>
      <c r="F68" t="n">
        <v>4</v>
      </c>
      <c r="G68" t="inlineStr">
        <is>
          <t>barley</t>
        </is>
      </c>
      <c r="H68" t="n">
        <v>6.5</v>
      </c>
      <c r="I68" t="n">
        <v>0</v>
      </c>
      <c r="J68" t="n">
        <v>6.5</v>
      </c>
      <c r="K68" t="n">
        <v>6.5</v>
      </c>
      <c r="L68" t="n">
        <v>0</v>
      </c>
      <c r="M68" t="n">
        <v>6.5</v>
      </c>
      <c r="N68" t="n">
        <v>0</v>
      </c>
      <c r="S68" t="n">
        <v>4</v>
      </c>
      <c r="T68" t="n">
        <v>8</v>
      </c>
    </row>
    <row r="69">
      <c r="A69" t="inlineStr">
        <is>
          <t>Sale of wheat</t>
        </is>
      </c>
      <c r="B69" t="inlineStr">
        <is>
          <t>1 shilling 6pence from 4 bushels of peas sold.</t>
        </is>
      </c>
      <c r="C69" t="n">
        <v>0.08</v>
      </c>
      <c r="D69" t="n">
        <v>0</v>
      </c>
      <c r="E69" t="n">
        <v>1</v>
      </c>
      <c r="F69" t="n">
        <v>6</v>
      </c>
      <c r="G69" t="inlineStr">
        <is>
          <t>peas</t>
        </is>
      </c>
      <c r="H69" t="n">
        <v>0</v>
      </c>
      <c r="I69" t="n">
        <v>4</v>
      </c>
      <c r="J69" t="n">
        <v>0.5</v>
      </c>
      <c r="K69" t="n">
        <v>0.5</v>
      </c>
      <c r="L69" t="n">
        <v>0</v>
      </c>
      <c r="M69" t="n">
        <v>0</v>
      </c>
      <c r="N69" t="n">
        <v>4</v>
      </c>
    </row>
    <row r="70">
      <c r="A70" t="inlineStr">
        <is>
          <t>Sale of wheat</t>
        </is>
      </c>
      <c r="B70" t="inlineStr">
        <is>
          <t>1 shilling from 4 bushels of vetches sold.</t>
        </is>
      </c>
      <c r="C70" t="n">
        <v>0.05</v>
      </c>
      <c r="D70" t="n">
        <v>0</v>
      </c>
      <c r="E70" t="n">
        <v>1</v>
      </c>
      <c r="F70" t="n">
        <v>0</v>
      </c>
      <c r="G70" t="inlineStr">
        <is>
          <t>vetches</t>
        </is>
      </c>
      <c r="H70" t="n">
        <v>0</v>
      </c>
      <c r="I70" t="n">
        <v>4</v>
      </c>
      <c r="J70" t="n">
        <v>0.5</v>
      </c>
      <c r="K70" t="n">
        <v>0.5</v>
      </c>
      <c r="L70" t="n">
        <v>0</v>
      </c>
      <c r="M70" t="n">
        <v>0</v>
      </c>
      <c r="N70" t="n">
        <v>4</v>
      </c>
    </row>
    <row r="71">
      <c r="A71" t="inlineStr">
        <is>
          <t>Sale of wheat</t>
        </is>
      </c>
      <c r="B71" t="inlineStr">
        <is>
          <t>3 shilling 9.5pence from 6.5 bushels of barley sold at the audit.</t>
        </is>
      </c>
      <c r="C71" t="n">
        <v>0.19</v>
      </c>
      <c r="D71" t="n">
        <v>0</v>
      </c>
      <c r="E71" t="n">
        <v>3</v>
      </c>
      <c r="F71" t="n">
        <v>9.5</v>
      </c>
      <c r="G71" t="inlineStr">
        <is>
          <t>barley</t>
        </is>
      </c>
      <c r="H71" t="n">
        <v>0</v>
      </c>
      <c r="I71" t="n">
        <v>6.5</v>
      </c>
      <c r="J71" t="n">
        <v>0.8125</v>
      </c>
      <c r="K71" t="n">
        <v>0.8125</v>
      </c>
      <c r="L71" t="n">
        <v>0</v>
      </c>
      <c r="M71" t="n">
        <v>0</v>
      </c>
      <c r="N71" t="n">
        <v>6.5</v>
      </c>
    </row>
    <row r="72">
      <c r="A72" t="inlineStr">
        <is>
          <t>Sale of wheat</t>
        </is>
      </c>
      <c r="B72" t="inlineStr">
        <is>
          <t>Total, £20 2 shilling 6.5pence</t>
        </is>
      </c>
      <c r="C72" t="n">
        <v>20.13</v>
      </c>
      <c r="D72" t="n">
        <v>20</v>
      </c>
      <c r="E72" t="n">
        <v>2</v>
      </c>
      <c r="F72" t="n">
        <v>6.5</v>
      </c>
      <c r="H72" t="n">
        <v>0</v>
      </c>
      <c r="I72" t="n">
        <v>0</v>
      </c>
      <c r="J72" t="n">
        <v>0</v>
      </c>
      <c r="K72" t="n">
        <v>0</v>
      </c>
      <c r="L72" t="n">
        <v>0</v>
      </c>
      <c r="M72" t="n">
        <v>0</v>
      </c>
      <c r="N72" t="n">
        <v>0</v>
      </c>
    </row>
    <row r="73">
      <c r="A73" t="inlineStr">
        <is>
          <t>Entry and marriage fines with tithingpenny</t>
        </is>
      </c>
      <c r="B73" t="inlineStr">
        <is>
          <t>The same render account for 5 shilling from the tithing of Bishops Sutton for tithingpenny at the hundred-court of Martinmas.</t>
        </is>
      </c>
      <c r="C73" t="n">
        <v>0.25</v>
      </c>
      <c r="D73" t="n">
        <v>0</v>
      </c>
      <c r="E73" t="n">
        <v>5</v>
      </c>
      <c r="F73" t="n">
        <v>0</v>
      </c>
      <c r="H73" t="n">
        <v>0</v>
      </c>
      <c r="I73" t="n">
        <v>0</v>
      </c>
      <c r="J73" t="n">
        <v>0</v>
      </c>
      <c r="K73" t="n">
        <v>0</v>
      </c>
      <c r="L73" t="n">
        <v>0</v>
      </c>
      <c r="M73" t="n">
        <v>0</v>
      </c>
      <c r="N73" t="n">
        <v>0</v>
      </c>
    </row>
    <row r="74">
      <c r="A74" t="inlineStr">
        <is>
          <t>Entry and marriage fines with tithingpenny</t>
        </is>
      </c>
      <c r="B74" t="inlineStr">
        <is>
          <t>10 shilling from the tithing of Ropley for the same.</t>
        </is>
      </c>
      <c r="C74" t="n">
        <v>0.5</v>
      </c>
      <c r="D74" t="n">
        <v>0</v>
      </c>
      <c r="E74" t="n">
        <v>10</v>
      </c>
      <c r="F74" t="n">
        <v>0</v>
      </c>
      <c r="H74" t="n">
        <v>0</v>
      </c>
      <c r="I74" t="n">
        <v>0</v>
      </c>
      <c r="J74" t="n">
        <v>0</v>
      </c>
      <c r="K74" t="n">
        <v>0</v>
      </c>
      <c r="L74" t="n">
        <v>0</v>
      </c>
      <c r="M74" t="n">
        <v>0</v>
      </c>
      <c r="N74" t="n">
        <v>0</v>
      </c>
    </row>
    <row r="75">
      <c r="A75" t="inlineStr">
        <is>
          <t>Entry and marriage fines with tithingpenny</t>
        </is>
      </c>
      <c r="B75" t="inlineStr">
        <is>
          <t>4 shilling from the tithing of Bighton for the same.</t>
        </is>
      </c>
      <c r="C75" t="n">
        <v>0.2</v>
      </c>
      <c r="D75" t="n">
        <v>0</v>
      </c>
      <c r="E75" t="n">
        <v>4</v>
      </c>
      <c r="F75" t="n">
        <v>0</v>
      </c>
      <c r="H75" t="n">
        <v>0</v>
      </c>
      <c r="I75" t="n">
        <v>0</v>
      </c>
      <c r="J75" t="n">
        <v>0</v>
      </c>
      <c r="K75" t="n">
        <v>0</v>
      </c>
      <c r="L75" t="n">
        <v>0</v>
      </c>
      <c r="M75" t="n">
        <v>0</v>
      </c>
      <c r="N75" t="n">
        <v>0</v>
      </c>
    </row>
    <row r="76">
      <c r="A76" t="inlineStr">
        <is>
          <t>Entry and marriage fines with tithingpenny</t>
        </is>
      </c>
      <c r="B76" t="inlineStr">
        <is>
          <t>3 shilling from the tithing of Bramdean for the same.</t>
        </is>
      </c>
      <c r="C76" t="n">
        <v>0.15</v>
      </c>
      <c r="D76" t="n">
        <v>0</v>
      </c>
      <c r="E76" t="n">
        <v>3</v>
      </c>
      <c r="F76" t="n">
        <v>0</v>
      </c>
      <c r="H76" t="n">
        <v>0</v>
      </c>
      <c r="I76" t="n">
        <v>0</v>
      </c>
      <c r="J76" t="n">
        <v>0</v>
      </c>
      <c r="K76" t="n">
        <v>0</v>
      </c>
      <c r="L76" t="n">
        <v>0</v>
      </c>
      <c r="M76" t="n">
        <v>0</v>
      </c>
      <c r="N76" t="n">
        <v>0</v>
      </c>
    </row>
    <row r="77">
      <c r="A77" t="inlineStr">
        <is>
          <t>Entry and marriage fines with tithingpenny</t>
        </is>
      </c>
      <c r="B77" t="inlineStr">
        <is>
          <t>2 shilling from the tithing of West Tisted for the same.</t>
        </is>
      </c>
      <c r="C77" t="n">
        <v>0.1</v>
      </c>
      <c r="D77" t="n">
        <v>0</v>
      </c>
      <c r="E77" t="n">
        <v>2</v>
      </c>
      <c r="F77" t="n">
        <v>0</v>
      </c>
      <c r="H77" t="n">
        <v>0</v>
      </c>
      <c r="I77" t="n">
        <v>0</v>
      </c>
      <c r="J77" t="n">
        <v>0</v>
      </c>
      <c r="K77" t="n">
        <v>0</v>
      </c>
      <c r="L77" t="n">
        <v>0</v>
      </c>
      <c r="M77" t="n">
        <v>0</v>
      </c>
      <c r="N77" t="n">
        <v>0</v>
      </c>
    </row>
    <row r="78">
      <c r="A78" t="inlineStr">
        <is>
          <t>Entry and marriage fines with tithingpenny</t>
        </is>
      </c>
      <c r="B78" t="inlineStr">
        <is>
          <t>8 shilling from the tithing of Headley for the same.</t>
        </is>
      </c>
      <c r="C78" t="n">
        <v>0.4</v>
      </c>
      <c r="D78" t="n">
        <v>0</v>
      </c>
      <c r="E78" t="n">
        <v>8</v>
      </c>
      <c r="F78" t="n">
        <v>0</v>
      </c>
      <c r="H78" t="n">
        <v>0</v>
      </c>
      <c r="I78" t="n">
        <v>0</v>
      </c>
      <c r="J78" t="n">
        <v>0</v>
      </c>
      <c r="K78" t="n">
        <v>0</v>
      </c>
      <c r="L78" t="n">
        <v>0</v>
      </c>
      <c r="M78" t="n">
        <v>0</v>
      </c>
      <c r="N78" t="n">
        <v>0</v>
      </c>
    </row>
    <row r="79">
      <c r="A79" t="inlineStr">
        <is>
          <t>Entry and marriage fines with tithingpenny</t>
        </is>
      </c>
      <c r="B79" t="inlineStr">
        <is>
          <t>£1 12 shilling from the same for the same at the hundred-court of Hockday.</t>
        </is>
      </c>
      <c r="C79" t="n">
        <v>1.6</v>
      </c>
      <c r="D79" t="n">
        <v>1</v>
      </c>
      <c r="E79" t="n">
        <v>12</v>
      </c>
      <c r="F79" t="n">
        <v>0</v>
      </c>
      <c r="H79" t="n">
        <v>0</v>
      </c>
      <c r="I79" t="n">
        <v>0</v>
      </c>
      <c r="J79" t="n">
        <v>0</v>
      </c>
      <c r="K79" t="n">
        <v>0</v>
      </c>
      <c r="L79" t="n">
        <v>0</v>
      </c>
      <c r="M79" t="n">
        <v>0</v>
      </c>
      <c r="N79" t="n">
        <v>0</v>
      </c>
    </row>
    <row r="80">
      <c r="A80" t="inlineStr">
        <is>
          <t>Entry and marriage fines with tithingpenny</t>
        </is>
      </c>
      <c r="B80" t="inlineStr">
        <is>
          <t>4 shilling from Richard Sutore for 1 plot which came into the lord's hands by the death of William le Dudeler'.</t>
        </is>
      </c>
      <c r="C80" t="n">
        <v>0.2</v>
      </c>
      <c r="D80" t="n">
        <v>0</v>
      </c>
      <c r="E80" t="n">
        <v>4</v>
      </c>
      <c r="F80" t="n">
        <v>0</v>
      </c>
      <c r="H80" t="n">
        <v>0</v>
      </c>
      <c r="I80" t="n">
        <v>0</v>
      </c>
      <c r="J80" t="n">
        <v>0</v>
      </c>
      <c r="K80" t="n">
        <v>0</v>
      </c>
      <c r="L80" t="n">
        <v>0</v>
      </c>
      <c r="M80" t="n">
        <v>0</v>
      </c>
      <c r="N80" t="n">
        <v>0</v>
      </c>
    </row>
    <row r="81">
      <c r="A81" t="inlineStr">
        <is>
          <t>Entry and marriage fines with tithingpenny</t>
        </is>
      </c>
      <c r="B81" t="inlineStr">
        <is>
          <t>13 shilling 4pence from Richard de Graveschate to have the land of his father by surrender of Juliana his mother.</t>
        </is>
      </c>
      <c r="C81" t="n">
        <v>0.67</v>
      </c>
      <c r="D81" t="n">
        <v>0</v>
      </c>
      <c r="E81" t="n">
        <v>13</v>
      </c>
      <c r="F81" t="n">
        <v>4</v>
      </c>
      <c r="H81" t="n">
        <v>0</v>
      </c>
      <c r="I81" t="n">
        <v>0</v>
      </c>
      <c r="J81" t="n">
        <v>0</v>
      </c>
      <c r="K81" t="n">
        <v>0</v>
      </c>
      <c r="L81" t="n">
        <v>0</v>
      </c>
      <c r="M81" t="n">
        <v>0</v>
      </c>
      <c r="N81" t="n">
        <v>0</v>
      </c>
    </row>
    <row r="82">
      <c r="A82" t="inlineStr">
        <is>
          <t>Entry and marriage fines with tithingpenny</t>
        </is>
      </c>
      <c r="B82" t="inlineStr">
        <is>
          <t>2 shilling from John Gileberd for marrying Agnes his daughter.</t>
        </is>
      </c>
      <c r="C82" t="n">
        <v>0.1</v>
      </c>
      <c r="D82" t="n">
        <v>0</v>
      </c>
      <c r="E82" t="n">
        <v>2</v>
      </c>
      <c r="F82" t="n">
        <v>0</v>
      </c>
      <c r="H82" t="n">
        <v>0</v>
      </c>
      <c r="I82" t="n">
        <v>0</v>
      </c>
      <c r="J82" t="n">
        <v>0</v>
      </c>
      <c r="K82" t="n">
        <v>0</v>
      </c>
      <c r="L82" t="n">
        <v>0</v>
      </c>
      <c r="M82" t="n">
        <v>0</v>
      </c>
      <c r="N82" t="n">
        <v>0</v>
      </c>
    </row>
    <row r="83">
      <c r="A83" t="inlineStr">
        <is>
          <t>Entry and marriage fines with tithingpenny</t>
        </is>
      </c>
      <c r="B83" t="inlineStr">
        <is>
          <t>£1 from Walter Parmehoud to have 1 virgate of land of his inheritance after the death of Seyld his mother.</t>
        </is>
      </c>
      <c r="C83" t="n">
        <v>1</v>
      </c>
      <c r="D83" t="n">
        <v>1</v>
      </c>
      <c r="E83" t="n">
        <v>0</v>
      </c>
      <c r="F83" t="n">
        <v>0</v>
      </c>
      <c r="H83" t="n">
        <v>0</v>
      </c>
      <c r="I83" t="n">
        <v>0</v>
      </c>
      <c r="J83" t="n">
        <v>0</v>
      </c>
      <c r="K83" t="n">
        <v>0</v>
      </c>
      <c r="L83" t="n">
        <v>0</v>
      </c>
      <c r="M83" t="n">
        <v>0</v>
      </c>
      <c r="N83" t="n">
        <v>0</v>
      </c>
    </row>
    <row r="84">
      <c r="A84" t="inlineStr">
        <is>
          <t>Entry and marriage fines with tithingpenny</t>
        </is>
      </c>
      <c r="B84" t="inlineStr">
        <is>
          <t>13 shilling 4pence from William le Monek to have Alice de Merton' with her land.</t>
        </is>
      </c>
      <c r="C84" t="n">
        <v>0.67</v>
      </c>
      <c r="D84" t="n">
        <v>0</v>
      </c>
      <c r="E84" t="n">
        <v>13</v>
      </c>
      <c r="F84" t="n">
        <v>4</v>
      </c>
      <c r="H84" t="n">
        <v>0</v>
      </c>
      <c r="I84" t="n">
        <v>0</v>
      </c>
      <c r="J84" t="n">
        <v>0</v>
      </c>
      <c r="K84" t="n">
        <v>0</v>
      </c>
      <c r="L84" t="n">
        <v>0</v>
      </c>
      <c r="M84" t="n">
        <v>0</v>
      </c>
      <c r="N84" t="n">
        <v>0</v>
      </c>
    </row>
    <row r="85">
      <c r="A85" t="inlineStr">
        <is>
          <t>Entry and marriage fines with tithingpenny</t>
        </is>
      </c>
      <c r="B85" t="inlineStr">
        <is>
          <t>4 shilling from Agnes ate Putte to have the land which belonged to John ate Putte her husband.</t>
        </is>
      </c>
      <c r="C85" t="n">
        <v>0.2</v>
      </c>
      <c r="D85" t="n">
        <v>0</v>
      </c>
      <c r="E85" t="n">
        <v>4</v>
      </c>
      <c r="F85" t="n">
        <v>0</v>
      </c>
      <c r="H85" t="n">
        <v>0</v>
      </c>
      <c r="I85" t="n">
        <v>0</v>
      </c>
      <c r="J85" t="n">
        <v>0</v>
      </c>
      <c r="K85" t="n">
        <v>0</v>
      </c>
      <c r="L85" t="n">
        <v>0</v>
      </c>
      <c r="M85" t="n">
        <v>0</v>
      </c>
      <c r="N85" t="n">
        <v>0</v>
      </c>
    </row>
    <row r="86">
      <c r="A86" t="inlineStr">
        <is>
          <t>Entry and marriage fines with tithingpenny</t>
        </is>
      </c>
      <c r="B86" t="inlineStr">
        <is>
          <t>1 shilling from William ate Hum' for marrying Joan his daughter within.</t>
        </is>
      </c>
      <c r="C86" t="n">
        <v>0.05</v>
      </c>
      <c r="D86" t="n">
        <v>0</v>
      </c>
      <c r="E86" t="n">
        <v>1</v>
      </c>
      <c r="F86" t="n">
        <v>0</v>
      </c>
      <c r="H86" t="n">
        <v>0</v>
      </c>
      <c r="I86" t="n">
        <v>0</v>
      </c>
      <c r="J86" t="n">
        <v>0</v>
      </c>
      <c r="K86" t="n">
        <v>0</v>
      </c>
      <c r="L86" t="n">
        <v>0</v>
      </c>
      <c r="M86" t="n">
        <v>0</v>
      </c>
      <c r="N86" t="n">
        <v>0</v>
      </c>
    </row>
    <row r="87">
      <c r="A87" t="inlineStr">
        <is>
          <t>Entry and marriage fines with tithingpenny</t>
        </is>
      </c>
      <c r="B87" t="inlineStr">
        <is>
          <t>£4 from Agnes, who was wife of Roger le Ride, for 1 virgate of land which Roger le Rede her husband held and which formerly belonged to Margery de Zatelink', which virgate of land came into the bishop's hands as his escheat by inheritance because the said Margery had no heirs, to have and to hold for the life of the said Agnes, so that if the said Agnes marries her husband will make a second fine according to the custom of such villeinage.</t>
        </is>
      </c>
      <c r="C87" t="n">
        <v>4</v>
      </c>
      <c r="D87" t="n">
        <v>4</v>
      </c>
      <c r="E87" t="n">
        <v>0</v>
      </c>
      <c r="F87" t="n">
        <v>0</v>
      </c>
      <c r="H87" t="n">
        <v>0</v>
      </c>
      <c r="I87" t="n">
        <v>0</v>
      </c>
      <c r="J87" t="n">
        <v>0</v>
      </c>
      <c r="K87" t="n">
        <v>0</v>
      </c>
      <c r="L87" t="n">
        <v>0</v>
      </c>
      <c r="M87" t="n">
        <v>0</v>
      </c>
      <c r="N87" t="n">
        <v>0</v>
      </c>
    </row>
    <row r="88">
      <c r="A88" t="inlineStr">
        <is>
          <t>Entry and marriage fines with tithingpenny</t>
        </is>
      </c>
      <c r="B88" t="inlineStr">
        <is>
          <t>Total, £10 1 shilling 8pence</t>
        </is>
      </c>
      <c r="C88" t="n">
        <v>10.08</v>
      </c>
      <c r="D88" t="n">
        <v>10</v>
      </c>
      <c r="E88" t="n">
        <v>1</v>
      </c>
      <c r="F88" t="n">
        <v>8</v>
      </c>
      <c r="H88" t="n">
        <v>0</v>
      </c>
      <c r="I88" t="n">
        <v>0</v>
      </c>
      <c r="J88" t="n">
        <v>0</v>
      </c>
      <c r="K88" t="n">
        <v>0</v>
      </c>
      <c r="L88" t="n">
        <v>0</v>
      </c>
      <c r="M88" t="n">
        <v>0</v>
      </c>
      <c r="N88" t="n">
        <v>0</v>
      </c>
    </row>
    <row r="89">
      <c r="A89" t="inlineStr">
        <is>
          <t>Perquisites</t>
        </is>
      </c>
      <c r="B89" t="inlineStr">
        <is>
          <t>The same render account for 4 shilling from Thomas ate Hok' for trespass of the lord's</t>
        </is>
      </c>
      <c r="C89" t="n">
        <v>0.2</v>
      </c>
      <c r="D89" t="n">
        <v>0</v>
      </c>
      <c r="E89" t="n">
        <v>4</v>
      </c>
      <c r="F89" t="n">
        <v>0</v>
      </c>
      <c r="H89" t="n">
        <v>0</v>
      </c>
      <c r="I89" t="n">
        <v>0</v>
      </c>
      <c r="J89" t="n">
        <v>0</v>
      </c>
      <c r="K89" t="n">
        <v>0</v>
      </c>
      <c r="L89" t="n">
        <v>0</v>
      </c>
      <c r="M89" t="n">
        <v>0</v>
      </c>
      <c r="N89" t="n">
        <v>0</v>
      </c>
    </row>
    <row r="90">
      <c r="A90" t="inlineStr">
        <is>
          <t>Perquisites</t>
        </is>
      </c>
      <c r="B90" t="inlineStr">
        <is>
          <t>charcoal.</t>
        </is>
      </c>
      <c r="C90" t="n">
        <v>0</v>
      </c>
      <c r="D90" t="n">
        <v>0</v>
      </c>
      <c r="E90" t="n">
        <v>0</v>
      </c>
      <c r="F90" t="n">
        <v>0</v>
      </c>
      <c r="H90" t="n">
        <v>0</v>
      </c>
      <c r="I90" t="n">
        <v>0</v>
      </c>
      <c r="J90" t="n">
        <v>0</v>
      </c>
      <c r="K90" t="n">
        <v>0</v>
      </c>
      <c r="L90" t="n">
        <v>0</v>
      </c>
      <c r="M90" t="n">
        <v>0</v>
      </c>
      <c r="N90" t="n">
        <v>0</v>
      </c>
    </row>
    <row r="91">
      <c r="A91" t="inlineStr">
        <is>
          <t>Perquisites</t>
        </is>
      </c>
      <c r="B91" t="inlineStr">
        <is>
          <t>£5 6pence from other small perquisites.</t>
        </is>
      </c>
      <c r="C91" t="n">
        <v>5.03</v>
      </c>
      <c r="D91" t="n">
        <v>5</v>
      </c>
      <c r="E91" t="n">
        <v>0</v>
      </c>
      <c r="F91" t="n">
        <v>6</v>
      </c>
      <c r="H91" t="n">
        <v>0</v>
      </c>
      <c r="I91" t="n">
        <v>0</v>
      </c>
      <c r="J91" t="n">
        <v>0</v>
      </c>
      <c r="K91" t="n">
        <v>0</v>
      </c>
      <c r="L91" t="n">
        <v>0</v>
      </c>
      <c r="M91" t="n">
        <v>0</v>
      </c>
      <c r="N91" t="n">
        <v>0</v>
      </c>
    </row>
    <row r="92">
      <c r="A92" t="inlineStr">
        <is>
          <t>Perquisites</t>
        </is>
      </c>
      <c r="B92" t="inlineStr">
        <is>
          <t>Total, £5 4 shilling 6pence</t>
        </is>
      </c>
      <c r="C92" t="n">
        <v>5.23</v>
      </c>
      <c r="D92" t="n">
        <v>5</v>
      </c>
      <c r="E92" t="n">
        <v>4</v>
      </c>
      <c r="F92" t="n">
        <v>6</v>
      </c>
      <c r="H92" t="n">
        <v>0</v>
      </c>
      <c r="I92" t="n">
        <v>0</v>
      </c>
      <c r="J92" t="n">
        <v>0</v>
      </c>
      <c r="K92" t="n">
        <v>0</v>
      </c>
      <c r="L92" t="n">
        <v>0</v>
      </c>
      <c r="M92" t="n">
        <v>0</v>
      </c>
      <c r="N92" t="n">
        <v>0</v>
      </c>
    </row>
    <row r="93">
      <c r="A93" t="inlineStr">
        <is>
          <t>Perquisites</t>
        </is>
      </c>
      <c r="B93" t="inlineStr">
        <is>
          <t>Total of both, £15 6 shilling 2pence</t>
        </is>
      </c>
      <c r="C93" t="n">
        <v>15.31</v>
      </c>
      <c r="D93" t="n">
        <v>15</v>
      </c>
      <c r="E93" t="n">
        <v>6</v>
      </c>
      <c r="F93" t="n">
        <v>2</v>
      </c>
      <c r="H93" t="n">
        <v>0</v>
      </c>
      <c r="I93" t="n">
        <v>0</v>
      </c>
      <c r="J93" t="n">
        <v>0</v>
      </c>
      <c r="K93" t="n">
        <v>0</v>
      </c>
      <c r="L93" t="n">
        <v>0</v>
      </c>
      <c r="M93" t="n">
        <v>0</v>
      </c>
      <c r="N93" t="n">
        <v>0</v>
      </c>
    </row>
    <row r="94">
      <c r="A94" t="inlineStr">
        <is>
          <t>Total of all receipts</t>
        </is>
      </c>
      <c r="B94" t="inlineStr">
        <is>
          <t>Total of all receipts, £114 12 shilling 10.25pence</t>
        </is>
      </c>
      <c r="C94" t="n">
        <v>114.64</v>
      </c>
      <c r="D94" t="n">
        <v>114</v>
      </c>
      <c r="E94" t="n">
        <v>12</v>
      </c>
      <c r="F94" t="n">
        <v>10.25</v>
      </c>
      <c r="H94" t="n">
        <v>0</v>
      </c>
      <c r="I94" t="n">
        <v>0</v>
      </c>
      <c r="J94" t="n">
        <v>0</v>
      </c>
      <c r="K94" t="n">
        <v>0</v>
      </c>
      <c r="L94" t="n">
        <v>0</v>
      </c>
      <c r="M94" t="n">
        <v>0</v>
      </c>
      <c r="N94" t="n">
        <v>0</v>
      </c>
    </row>
    <row r="95">
      <c r="A95" t="inlineStr">
        <is>
          <t>Necessary expenses of ploughs</t>
        </is>
      </c>
      <c r="B95" t="inlineStr">
        <is>
          <t>In ironwork of 3 ploughs this year 5 shilling.</t>
        </is>
      </c>
      <c r="C95" t="n">
        <v>0.25</v>
      </c>
      <c r="D95" t="n">
        <v>0</v>
      </c>
      <c r="E95" t="n">
        <v>5</v>
      </c>
      <c r="F95" t="n">
        <v>0</v>
      </c>
      <c r="H95" t="n">
        <v>0</v>
      </c>
      <c r="I95" t="n">
        <v>0</v>
      </c>
      <c r="J95" t="n">
        <v>0</v>
      </c>
      <c r="K95" t="n">
        <v>0</v>
      </c>
      <c r="L95" t="n">
        <v>0</v>
      </c>
      <c r="M95" t="n">
        <v>0</v>
      </c>
      <c r="N95" t="n">
        <v>0</v>
      </c>
    </row>
    <row r="96">
      <c r="A96" t="inlineStr">
        <is>
          <t>Necessary expenses of ploughs</t>
        </is>
      </c>
      <c r="B96" t="inlineStr">
        <is>
          <t>2 plough feet bought 9pence Nothing accounted this year for the shoeing of 2 cart-horses because the smith is bound to shoe 2 cart-horses of Bishops Sutton at his own cost, and he will have 1 acre of wheat as it lies for making the iron of the shoes and 3 trunks for charcoal this year, because there were there three ploughs, and other customs are contained on the dorse of the roll.</t>
        </is>
      </c>
      <c r="C96" t="n">
        <v>0.04</v>
      </c>
      <c r="D96" t="n">
        <v>0</v>
      </c>
      <c r="E96" t="n">
        <v>0</v>
      </c>
      <c r="F96" t="n">
        <v>9</v>
      </c>
      <c r="G96" t="inlineStr">
        <is>
          <t>wheat</t>
        </is>
      </c>
      <c r="H96" t="n">
        <v>0</v>
      </c>
      <c r="I96" t="n">
        <v>0</v>
      </c>
      <c r="J96" t="n">
        <v>0</v>
      </c>
      <c r="K96" t="n">
        <v>0</v>
      </c>
      <c r="L96" t="n">
        <v>0</v>
      </c>
      <c r="M96" t="n">
        <v>0</v>
      </c>
      <c r="N96" t="n">
        <v>0</v>
      </c>
    </row>
    <row r="97">
      <c r="A97" t="inlineStr">
        <is>
          <t>Necessary expenses of ploughs</t>
        </is>
      </c>
      <c r="B97" t="inlineStr">
        <is>
          <t>.</t>
        </is>
      </c>
      <c r="C97" t="n">
        <v>0</v>
      </c>
      <c r="D97" t="n">
        <v>0</v>
      </c>
      <c r="E97" t="n">
        <v>0</v>
      </c>
      <c r="F97" t="n">
        <v>0</v>
      </c>
      <c r="H97" t="n">
        <v>0</v>
      </c>
      <c r="I97" t="n">
        <v>0</v>
      </c>
      <c r="J97" t="n">
        <v>0</v>
      </c>
      <c r="K97" t="n">
        <v>0</v>
      </c>
      <c r="L97" t="n">
        <v>0</v>
      </c>
      <c r="M97" t="n">
        <v>0</v>
      </c>
      <c r="N97" t="n">
        <v>0</v>
      </c>
    </row>
    <row r="98">
      <c r="A98" t="inlineStr">
        <is>
          <t>Necessary expenses of ploughs</t>
        </is>
      </c>
      <c r="B98" t="inlineStr">
        <is>
          <t>3 ploughs made anew 6pence.</t>
        </is>
      </c>
      <c r="C98" t="n">
        <v>0.03</v>
      </c>
      <c r="D98" t="n">
        <v>0</v>
      </c>
      <c r="E98" t="n">
        <v>0</v>
      </c>
      <c r="F98" t="n">
        <v>6</v>
      </c>
      <c r="H98" t="n">
        <v>0</v>
      </c>
      <c r="I98" t="n">
        <v>0</v>
      </c>
      <c r="J98" t="n">
        <v>0</v>
      </c>
      <c r="K98" t="n">
        <v>0</v>
      </c>
      <c r="L98" t="n">
        <v>0</v>
      </c>
      <c r="M98" t="n">
        <v>0</v>
      </c>
      <c r="N98" t="n">
        <v>0</v>
      </c>
    </row>
    <row r="99">
      <c r="A99" t="inlineStr">
        <is>
          <t>Necessary expenses of ploughs</t>
        </is>
      </c>
      <c r="B99" t="inlineStr">
        <is>
          <t>mending other ploughs 2pence.</t>
        </is>
      </c>
      <c r="C99" t="n">
        <v>0.01</v>
      </c>
      <c r="D99" t="n">
        <v>0</v>
      </c>
      <c r="E99" t="n">
        <v>0</v>
      </c>
      <c r="F99" t="n">
        <v>2</v>
      </c>
      <c r="H99" t="n">
        <v>0</v>
      </c>
      <c r="I99" t="n">
        <v>0</v>
      </c>
      <c r="J99" t="n">
        <v>0</v>
      </c>
      <c r="K99" t="n">
        <v>0</v>
      </c>
      <c r="L99" t="n">
        <v>0</v>
      </c>
      <c r="M99" t="n">
        <v>0</v>
      </c>
      <c r="N99" t="n">
        <v>0</v>
      </c>
    </row>
    <row r="100">
      <c r="A100" t="inlineStr">
        <is>
          <t>Necessary expenses of ploughs</t>
        </is>
      </c>
      <c r="B100" t="inlineStr">
        <is>
          <t>fitting ploughs with iron tyres 2pence.</t>
        </is>
      </c>
      <c r="C100" t="n">
        <v>0.01</v>
      </c>
      <c r="D100" t="n">
        <v>0</v>
      </c>
      <c r="E100" t="n">
        <v>0</v>
      </c>
      <c r="F100" t="n">
        <v>2</v>
      </c>
      <c r="H100" t="n">
        <v>0</v>
      </c>
      <c r="I100" t="n">
        <v>0</v>
      </c>
      <c r="J100" t="n">
        <v>0</v>
      </c>
      <c r="K100" t="n">
        <v>0</v>
      </c>
      <c r="L100" t="n">
        <v>0</v>
      </c>
      <c r="M100" t="n">
        <v>0</v>
      </c>
      <c r="N100" t="n">
        <v>0</v>
      </c>
    </row>
    <row r="101">
      <c r="A101" t="inlineStr">
        <is>
          <t>Necessary expenses of ploughs</t>
        </is>
      </c>
      <c r="B101" t="inlineStr">
        <is>
          <t>3 pairs of wheels bought 6pence Richard de Manicroft' and John de Puteo ploughed 12 acres in winter and 12 acres in Lent, and they will take nothing.</t>
        </is>
      </c>
      <c r="C101" t="n">
        <v>0.03</v>
      </c>
      <c r="D101" t="n">
        <v>0</v>
      </c>
      <c r="E101" t="n">
        <v>0</v>
      </c>
      <c r="F101" t="n">
        <v>6</v>
      </c>
      <c r="H101" t="n">
        <v>0</v>
      </c>
      <c r="I101" t="n">
        <v>0</v>
      </c>
      <c r="J101" t="n">
        <v>0</v>
      </c>
      <c r="K101" t="n">
        <v>0</v>
      </c>
      <c r="L101" t="n">
        <v>0</v>
      </c>
      <c r="M101" t="n">
        <v>0</v>
      </c>
      <c r="N101" t="n">
        <v>0</v>
      </c>
    </row>
    <row r="102">
      <c r="A102" t="inlineStr">
        <is>
          <t>Necessary expenses of ploughs</t>
        </is>
      </c>
      <c r="B102" t="inlineStr">
        <is>
          <t>.</t>
        </is>
      </c>
      <c r="C102" t="n">
        <v>0</v>
      </c>
      <c r="D102" t="n">
        <v>0</v>
      </c>
      <c r="E102" t="n">
        <v>0</v>
      </c>
      <c r="F102" t="n">
        <v>0</v>
      </c>
      <c r="H102" t="n">
        <v>0</v>
      </c>
      <c r="I102" t="n">
        <v>0</v>
      </c>
      <c r="J102" t="n">
        <v>0</v>
      </c>
      <c r="K102" t="n">
        <v>0</v>
      </c>
      <c r="L102" t="n">
        <v>0</v>
      </c>
      <c r="M102" t="n">
        <v>0</v>
      </c>
      <c r="N102" t="n">
        <v>0</v>
      </c>
    </row>
    <row r="103">
      <c r="A103" t="inlineStr">
        <is>
          <t>Necessary expenses of ploughs</t>
        </is>
      </c>
      <c r="B103" t="inlineStr">
        <is>
          <t>1 harrow made anew and others mended 3pence.</t>
        </is>
      </c>
      <c r="C103" t="n">
        <v>0.01</v>
      </c>
      <c r="D103" t="n">
        <v>0</v>
      </c>
      <c r="E103" t="n">
        <v>0</v>
      </c>
      <c r="F103" t="n">
        <v>3</v>
      </c>
      <c r="H103" t="n">
        <v>0</v>
      </c>
      <c r="I103" t="n">
        <v>0</v>
      </c>
      <c r="J103" t="n">
        <v>0</v>
      </c>
      <c r="K103" t="n">
        <v>0</v>
      </c>
      <c r="L103" t="n">
        <v>0</v>
      </c>
      <c r="M103" t="n">
        <v>0</v>
      </c>
      <c r="N103" t="n">
        <v>0</v>
      </c>
    </row>
    <row r="104">
      <c r="A104" t="inlineStr">
        <is>
          <t>Necessary expenses of ploughs</t>
        </is>
      </c>
      <c r="B104" t="inlineStr">
        <is>
          <t>5 yokes made 2.5pence.</t>
        </is>
      </c>
      <c r="C104" t="n">
        <v>0.01</v>
      </c>
      <c r="D104" t="n">
        <v>0</v>
      </c>
      <c r="E104" t="n">
        <v>0</v>
      </c>
      <c r="F104" t="n">
        <v>2.5</v>
      </c>
      <c r="H104" t="n">
        <v>0</v>
      </c>
      <c r="I104" t="n">
        <v>0</v>
      </c>
      <c r="J104" t="n">
        <v>0</v>
      </c>
      <c r="K104" t="n">
        <v>0</v>
      </c>
      <c r="L104" t="n">
        <v>0</v>
      </c>
      <c r="M104" t="n">
        <v>0</v>
      </c>
      <c r="N104" t="n">
        <v>0</v>
      </c>
    </row>
    <row r="105">
      <c r="A105" t="inlineStr">
        <is>
          <t>Necessary expenses of ploughs</t>
        </is>
      </c>
      <c r="B105" t="inlineStr">
        <is>
          <t>2 oxen bought £1 1 shilling 6pence.</t>
        </is>
      </c>
      <c r="C105" t="n">
        <v>1.07</v>
      </c>
      <c r="D105" t="n">
        <v>1</v>
      </c>
      <c r="E105" t="n">
        <v>1</v>
      </c>
      <c r="F105" t="n">
        <v>6</v>
      </c>
      <c r="H105" t="n">
        <v>0</v>
      </c>
      <c r="I105" t="n">
        <v>0</v>
      </c>
      <c r="J105" t="n">
        <v>0</v>
      </c>
      <c r="K105" t="n">
        <v>0</v>
      </c>
      <c r="L105" t="n">
        <v>0</v>
      </c>
      <c r="M105" t="n">
        <v>0</v>
      </c>
      <c r="N105" t="n">
        <v>0</v>
      </c>
    </row>
    <row r="106">
      <c r="A106" t="inlineStr">
        <is>
          <t>Necessary expenses of ploughs</t>
        </is>
      </c>
      <c r="B106" t="inlineStr">
        <is>
          <t>forage bought to support plough-horses, oxen and cows 10 shilling Total, £1 19 shilling 0.5pence</t>
        </is>
      </c>
      <c r="C106" t="n">
        <v>1.95</v>
      </c>
      <c r="D106" t="n">
        <v>1</v>
      </c>
      <c r="E106" t="n">
        <v>19</v>
      </c>
      <c r="F106" t="n">
        <v>0.5</v>
      </c>
      <c r="H106" t="n">
        <v>0</v>
      </c>
      <c r="I106" t="n">
        <v>0</v>
      </c>
      <c r="J106" t="n">
        <v>0</v>
      </c>
      <c r="K106" t="n">
        <v>0</v>
      </c>
      <c r="L106" t="n">
        <v>0</v>
      </c>
      <c r="M106" t="n">
        <v>0</v>
      </c>
      <c r="N106" t="n">
        <v>0</v>
      </c>
    </row>
    <row r="107">
      <c r="A107" t="inlineStr">
        <is>
          <t>Sowing and fodder</t>
        </is>
      </c>
      <c r="B107" t="inlineStr">
        <is>
          <t>In 15 quarters of oats bought for sowing and fodder £1 11 shilling 8pence, at 1 shilling 8pence a quarters for 5 quarters, and 2 shilling 4pence a quarters for 10 quarters.</t>
        </is>
      </c>
      <c r="C107" t="n">
        <v>1.58</v>
      </c>
      <c r="D107" t="n">
        <v>1</v>
      </c>
      <c r="E107" t="n">
        <v>11</v>
      </c>
      <c r="F107" t="n">
        <v>8</v>
      </c>
      <c r="G107" t="inlineStr">
        <is>
          <t>oats</t>
        </is>
      </c>
      <c r="H107" t="n">
        <v>15</v>
      </c>
      <c r="I107" t="n">
        <v>0</v>
      </c>
      <c r="J107" t="n">
        <v>15</v>
      </c>
      <c r="K107" t="n">
        <v>15</v>
      </c>
      <c r="L107" t="n">
        <v>0</v>
      </c>
      <c r="M107" t="n">
        <v>15</v>
      </c>
      <c r="N107" t="n">
        <v>0</v>
      </c>
      <c r="O107" t="n">
        <v>5</v>
      </c>
      <c r="P107" t="n">
        <v>0</v>
      </c>
      <c r="Q107" t="n">
        <v>10</v>
      </c>
      <c r="R107" t="n">
        <v>0</v>
      </c>
      <c r="S107" t="n">
        <v>1</v>
      </c>
      <c r="T107" t="n">
        <v>8</v>
      </c>
      <c r="U107" t="n">
        <v>2</v>
      </c>
      <c r="V107" t="n">
        <v>4</v>
      </c>
    </row>
    <row r="108">
      <c r="A108" t="inlineStr">
        <is>
          <t>Sowing and fodder</t>
        </is>
      </c>
      <c r="B108" t="inlineStr">
        <is>
          <t>Total, £1 11 shilling 8pence</t>
        </is>
      </c>
      <c r="C108" t="n">
        <v>1.58</v>
      </c>
      <c r="D108" t="n">
        <v>1</v>
      </c>
      <c r="E108" t="n">
        <v>11</v>
      </c>
      <c r="F108" t="n">
        <v>8</v>
      </c>
      <c r="H108" t="n">
        <v>0</v>
      </c>
      <c r="I108" t="n">
        <v>0</v>
      </c>
      <c r="J108" t="n">
        <v>0</v>
      </c>
      <c r="K108" t="n">
        <v>0</v>
      </c>
      <c r="L108" t="n">
        <v>0</v>
      </c>
      <c r="M108" t="n">
        <v>0</v>
      </c>
      <c r="N108" t="n">
        <v>0</v>
      </c>
    </row>
    <row r="109">
      <c r="A109" t="inlineStr">
        <is>
          <t>Carts</t>
        </is>
      </c>
      <c r="B109" t="inlineStr">
        <is>
          <t>In 1 pair of wheels made from the lord's timber 9pence.</t>
        </is>
      </c>
      <c r="C109" t="n">
        <v>0.04</v>
      </c>
      <c r="D109" t="n">
        <v>0</v>
      </c>
      <c r="E109" t="n">
        <v>0</v>
      </c>
      <c r="F109" t="n">
        <v>9</v>
      </c>
      <c r="H109" t="n">
        <v>0</v>
      </c>
      <c r="I109" t="n">
        <v>0</v>
      </c>
      <c r="J109" t="n">
        <v>0</v>
      </c>
      <c r="K109" t="n">
        <v>0</v>
      </c>
      <c r="L109" t="n">
        <v>0</v>
      </c>
      <c r="M109" t="n">
        <v>0</v>
      </c>
      <c r="N109" t="n">
        <v>0</v>
      </c>
    </row>
    <row r="110">
      <c r="A110" t="inlineStr">
        <is>
          <t>Carts</t>
        </is>
      </c>
      <c r="B110" t="inlineStr">
        <is>
          <t>clouts, nails and grease bought 1 shilling 4pence.</t>
        </is>
      </c>
      <c r="C110" t="n">
        <v>0.07000000000000001</v>
      </c>
      <c r="D110" t="n">
        <v>0</v>
      </c>
      <c r="E110" t="n">
        <v>1</v>
      </c>
      <c r="F110" t="n">
        <v>4</v>
      </c>
      <c r="H110" t="n">
        <v>0</v>
      </c>
      <c r="I110" t="n">
        <v>0</v>
      </c>
      <c r="J110" t="n">
        <v>0</v>
      </c>
      <c r="K110" t="n">
        <v>0</v>
      </c>
      <c r="L110" t="n">
        <v>0</v>
      </c>
      <c r="M110" t="n">
        <v>0</v>
      </c>
      <c r="N110" t="n">
        <v>0</v>
      </c>
    </row>
    <row r="111">
      <c r="A111" t="inlineStr">
        <is>
          <t>Carts</t>
        </is>
      </c>
      <c r="B111" t="inlineStr">
        <is>
          <t>fitting the cart with axles 6pence.</t>
        </is>
      </c>
      <c r="C111" t="n">
        <v>0.03</v>
      </c>
      <c r="D111" t="n">
        <v>0</v>
      </c>
      <c r="E111" t="n">
        <v>0</v>
      </c>
      <c r="F111" t="n">
        <v>6</v>
      </c>
      <c r="H111" t="n">
        <v>0</v>
      </c>
      <c r="I111" t="n">
        <v>0</v>
      </c>
      <c r="J111" t="n">
        <v>0</v>
      </c>
      <c r="K111" t="n">
        <v>0</v>
      </c>
      <c r="L111" t="n">
        <v>0</v>
      </c>
      <c r="M111" t="n">
        <v>0</v>
      </c>
      <c r="N111" t="n">
        <v>0</v>
      </c>
    </row>
    <row r="112">
      <c r="A112" t="inlineStr">
        <is>
          <t>Carts</t>
        </is>
      </c>
      <c r="B112" t="inlineStr">
        <is>
          <t>1 collar bought 6pence.</t>
        </is>
      </c>
      <c r="C112" t="n">
        <v>0.03</v>
      </c>
      <c r="D112" t="n">
        <v>0</v>
      </c>
      <c r="E112" t="n">
        <v>0</v>
      </c>
      <c r="F112" t="n">
        <v>6</v>
      </c>
      <c r="H112" t="n">
        <v>0</v>
      </c>
      <c r="I112" t="n">
        <v>0</v>
      </c>
      <c r="J112" t="n">
        <v>0</v>
      </c>
      <c r="K112" t="n">
        <v>0</v>
      </c>
      <c r="L112" t="n">
        <v>0</v>
      </c>
      <c r="M112" t="n">
        <v>0</v>
      </c>
      <c r="N112" t="n">
        <v>0</v>
      </c>
    </row>
    <row r="113">
      <c r="A113" t="inlineStr">
        <is>
          <t>Carts</t>
        </is>
      </c>
      <c r="B113" t="inlineStr">
        <is>
          <t>1 pair of traces bought 6pence.</t>
        </is>
      </c>
      <c r="C113" t="n">
        <v>0.03</v>
      </c>
      <c r="D113" t="n">
        <v>0</v>
      </c>
      <c r="E113" t="n">
        <v>0</v>
      </c>
      <c r="F113" t="n">
        <v>6</v>
      </c>
      <c r="H113" t="n">
        <v>0</v>
      </c>
      <c r="I113" t="n">
        <v>0</v>
      </c>
      <c r="J113" t="n">
        <v>0</v>
      </c>
      <c r="K113" t="n">
        <v>0</v>
      </c>
      <c r="L113" t="n">
        <v>0</v>
      </c>
      <c r="M113" t="n">
        <v>0</v>
      </c>
      <c r="N113" t="n">
        <v>0</v>
      </c>
    </row>
    <row r="114">
      <c r="A114" t="inlineStr">
        <is>
          <t>Carts</t>
        </is>
      </c>
      <c r="B114" t="inlineStr">
        <is>
          <t>1 cart-rope bought 1 shilling 1pence.</t>
        </is>
      </c>
      <c r="C114" t="n">
        <v>0.05</v>
      </c>
      <c r="D114" t="n">
        <v>0</v>
      </c>
      <c r="E114" t="n">
        <v>1</v>
      </c>
      <c r="F114" t="n">
        <v>1</v>
      </c>
      <c r="H114" t="n">
        <v>0</v>
      </c>
      <c r="I114" t="n">
        <v>0</v>
      </c>
      <c r="J114" t="n">
        <v>0</v>
      </c>
      <c r="K114" t="n">
        <v>0</v>
      </c>
      <c r="L114" t="n">
        <v>0</v>
      </c>
      <c r="M114" t="n">
        <v>0</v>
      </c>
      <c r="N114" t="n">
        <v>0</v>
      </c>
    </row>
    <row r="115">
      <c r="A115" t="inlineStr">
        <is>
          <t>Carts</t>
        </is>
      </c>
      <c r="B115" t="inlineStr">
        <is>
          <t>white leather bought for harnesses 10pence.</t>
        </is>
      </c>
      <c r="C115" t="n">
        <v>0.04</v>
      </c>
      <c r="D115" t="n">
        <v>0</v>
      </c>
      <c r="E115" t="n">
        <v>0</v>
      </c>
      <c r="F115" t="n">
        <v>10</v>
      </c>
      <c r="H115" t="n">
        <v>0</v>
      </c>
      <c r="I115" t="n">
        <v>0</v>
      </c>
      <c r="J115" t="n">
        <v>0</v>
      </c>
      <c r="K115" t="n">
        <v>0</v>
      </c>
      <c r="L115" t="n">
        <v>0</v>
      </c>
      <c r="M115" t="n">
        <v>0</v>
      </c>
      <c r="N115" t="n">
        <v>0</v>
      </c>
    </row>
    <row r="116">
      <c r="A116" t="inlineStr">
        <is>
          <t>Carts</t>
        </is>
      </c>
      <c r="B116" t="inlineStr">
        <is>
          <t>shoeing 4 plough-horses 1 shilling 4pence.</t>
        </is>
      </c>
      <c r="C116" t="n">
        <v>0.07000000000000001</v>
      </c>
      <c r="D116" t="n">
        <v>0</v>
      </c>
      <c r="E116" t="n">
        <v>1</v>
      </c>
      <c r="F116" t="n">
        <v>4</v>
      </c>
      <c r="H116" t="n">
        <v>0</v>
      </c>
      <c r="I116" t="n">
        <v>0</v>
      </c>
      <c r="J116" t="n">
        <v>0</v>
      </c>
      <c r="K116" t="n">
        <v>0</v>
      </c>
      <c r="L116" t="n">
        <v>0</v>
      </c>
      <c r="M116" t="n">
        <v>0</v>
      </c>
      <c r="N116" t="n">
        <v>0</v>
      </c>
    </row>
    <row r="117">
      <c r="A117" t="inlineStr">
        <is>
          <t>Carts</t>
        </is>
      </c>
      <c r="B117" t="inlineStr">
        <is>
          <t>a halter bought 1pence.</t>
        </is>
      </c>
      <c r="C117" t="n">
        <v>0</v>
      </c>
      <c r="D117" t="n">
        <v>0</v>
      </c>
      <c r="E117" t="n">
        <v>0</v>
      </c>
      <c r="F117" t="n">
        <v>1</v>
      </c>
      <c r="H117" t="n">
        <v>0</v>
      </c>
      <c r="I117" t="n">
        <v>0</v>
      </c>
      <c r="J117" t="n">
        <v>0</v>
      </c>
      <c r="K117" t="n">
        <v>0</v>
      </c>
      <c r="L117" t="n">
        <v>0</v>
      </c>
      <c r="M117" t="n">
        <v>0</v>
      </c>
      <c r="N117" t="n">
        <v>0</v>
      </c>
    </row>
    <row r="118">
      <c r="A118" t="inlineStr">
        <is>
          <t>Carts</t>
        </is>
      </c>
      <c r="B118" t="inlineStr">
        <is>
          <t>stipend of 1 carter for the year 3 shilling.</t>
        </is>
      </c>
      <c r="C118" t="n">
        <v>0.15</v>
      </c>
      <c r="D118" t="n">
        <v>0</v>
      </c>
      <c r="E118" t="n">
        <v>3</v>
      </c>
      <c r="F118" t="n">
        <v>0</v>
      </c>
      <c r="H118" t="n">
        <v>0</v>
      </c>
      <c r="I118" t="n">
        <v>0</v>
      </c>
      <c r="J118" t="n">
        <v>0</v>
      </c>
      <c r="K118" t="n">
        <v>0</v>
      </c>
      <c r="L118" t="n">
        <v>0</v>
      </c>
      <c r="M118" t="n">
        <v>0</v>
      </c>
      <c r="N118" t="n">
        <v>0</v>
      </c>
    </row>
    <row r="119">
      <c r="A119" t="inlineStr">
        <is>
          <t>Carts</t>
        </is>
      </c>
      <c r="B119" t="inlineStr">
        <is>
          <t>pair of wheels made for dung 9pence Total, 10 shilling 3pence</t>
        </is>
      </c>
      <c r="C119" t="n">
        <v>0.54</v>
      </c>
      <c r="D119" t="n">
        <v>0</v>
      </c>
      <c r="E119" t="n">
        <v>10</v>
      </c>
      <c r="F119" t="n">
        <v>9</v>
      </c>
      <c r="H119" t="n">
        <v>0</v>
      </c>
      <c r="I119" t="n">
        <v>0</v>
      </c>
      <c r="J119" t="n">
        <v>0</v>
      </c>
      <c r="K119" t="n">
        <v>0</v>
      </c>
      <c r="L119" t="n">
        <v>0</v>
      </c>
      <c r="M119" t="n">
        <v>0</v>
      </c>
      <c r="N119" t="n">
        <v>0</v>
      </c>
    </row>
    <row r="120">
      <c r="A120" t="inlineStr">
        <is>
          <t>Dairy</t>
        </is>
      </c>
      <c r="B120" t="inlineStr">
        <is>
          <t>bushels 5	of salt bought 1 shilling 3pence.</t>
        </is>
      </c>
      <c r="C120" t="n">
        <v>0.06</v>
      </c>
      <c r="D120" t="n">
        <v>0</v>
      </c>
      <c r="E120" t="n">
        <v>1</v>
      </c>
      <c r="F120" t="n">
        <v>3</v>
      </c>
      <c r="H120" t="n">
        <v>0</v>
      </c>
      <c r="I120" t="n">
        <v>0</v>
      </c>
      <c r="J120" t="n">
        <v>0</v>
      </c>
      <c r="K120" t="n">
        <v>0</v>
      </c>
      <c r="L120" t="n">
        <v>0</v>
      </c>
      <c r="M120" t="n">
        <v>0</v>
      </c>
      <c r="N120" t="n">
        <v>0</v>
      </c>
    </row>
    <row r="121">
      <c r="A121" t="inlineStr">
        <is>
          <t>Dairy</t>
        </is>
      </c>
      <c r="B121" t="inlineStr">
        <is>
          <t>linen and woollen cloth 6pence.</t>
        </is>
      </c>
      <c r="C121" t="n">
        <v>0.03</v>
      </c>
      <c r="D121" t="n">
        <v>0</v>
      </c>
      <c r="E121" t="n">
        <v>0</v>
      </c>
      <c r="F121" t="n">
        <v>6</v>
      </c>
      <c r="H121" t="n">
        <v>0</v>
      </c>
      <c r="I121" t="n">
        <v>0</v>
      </c>
      <c r="J121" t="n">
        <v>0</v>
      </c>
      <c r="K121" t="n">
        <v>0</v>
      </c>
      <c r="L121" t="n">
        <v>0</v>
      </c>
      <c r="M121" t="n">
        <v>0</v>
      </c>
      <c r="N121" t="n">
        <v>0</v>
      </c>
    </row>
    <row r="122">
      <c r="A122" t="inlineStr">
        <is>
          <t>Dairy</t>
        </is>
      </c>
      <c r="B122" t="inlineStr">
        <is>
          <t>earthenware pots and pans bought 2.5pence.</t>
        </is>
      </c>
      <c r="C122" t="n">
        <v>0.01</v>
      </c>
      <c r="D122" t="n">
        <v>0</v>
      </c>
      <c r="E122" t="n">
        <v>0</v>
      </c>
      <c r="F122" t="n">
        <v>2.5</v>
      </c>
      <c r="H122" t="n">
        <v>0</v>
      </c>
      <c r="I122" t="n">
        <v>0</v>
      </c>
      <c r="J122" t="n">
        <v>0</v>
      </c>
      <c r="K122" t="n">
        <v>0</v>
      </c>
      <c r="L122" t="n">
        <v>0</v>
      </c>
      <c r="M122" t="n">
        <v>0</v>
      </c>
      <c r="N122" t="n">
        <v>0</v>
      </c>
    </row>
    <row r="123">
      <c r="A123" t="inlineStr">
        <is>
          <t>Dairy</t>
        </is>
      </c>
      <c r="B123" t="inlineStr">
        <is>
          <t>a press bought 4pence.</t>
        </is>
      </c>
      <c r="C123" t="n">
        <v>0.02</v>
      </c>
      <c r="D123" t="n">
        <v>0</v>
      </c>
      <c r="E123" t="n">
        <v>0</v>
      </c>
      <c r="F123" t="n">
        <v>4</v>
      </c>
      <c r="H123" t="n">
        <v>0</v>
      </c>
      <c r="I123" t="n">
        <v>0</v>
      </c>
      <c r="J123" t="n">
        <v>0</v>
      </c>
      <c r="K123" t="n">
        <v>0</v>
      </c>
      <c r="L123" t="n">
        <v>0</v>
      </c>
      <c r="M123" t="n">
        <v>0</v>
      </c>
      <c r="N123" t="n">
        <v>0</v>
      </c>
    </row>
    <row r="124">
      <c r="A124" t="inlineStr">
        <is>
          <t>Dairy</t>
        </is>
      </c>
      <c r="B124" t="inlineStr">
        <is>
          <t>mending the utensils of the dairy 3pence.</t>
        </is>
      </c>
      <c r="C124" t="n">
        <v>0.01</v>
      </c>
      <c r="D124" t="n">
        <v>0</v>
      </c>
      <c r="E124" t="n">
        <v>0</v>
      </c>
      <c r="F124" t="n">
        <v>3</v>
      </c>
      <c r="H124" t="n">
        <v>0</v>
      </c>
      <c r="I124" t="n">
        <v>0</v>
      </c>
      <c r="J124" t="n">
        <v>0</v>
      </c>
      <c r="K124" t="n">
        <v>0</v>
      </c>
      <c r="L124" t="n">
        <v>0</v>
      </c>
      <c r="M124" t="n">
        <v>0</v>
      </c>
      <c r="N124" t="n">
        <v>0</v>
      </c>
    </row>
    <row r="125">
      <c r="A125" t="inlineStr">
        <is>
          <t>Dairy</t>
        </is>
      </c>
      <c r="B125" t="inlineStr">
        <is>
          <t>9 ells of canvas bought for packing the coarse wool and lamb's-wool 2 shilling 3pence.</t>
        </is>
      </c>
      <c r="C125" t="n">
        <v>0.11</v>
      </c>
      <c r="D125" t="n">
        <v>0</v>
      </c>
      <c r="E125" t="n">
        <v>2</v>
      </c>
      <c r="F125" t="n">
        <v>3</v>
      </c>
      <c r="H125" t="n">
        <v>0</v>
      </c>
      <c r="I125" t="n">
        <v>0</v>
      </c>
      <c r="J125" t="n">
        <v>0</v>
      </c>
      <c r="K125" t="n">
        <v>0</v>
      </c>
      <c r="L125" t="n">
        <v>0</v>
      </c>
      <c r="M125" t="n">
        <v>0</v>
      </c>
      <c r="N125" t="n">
        <v>0</v>
      </c>
    </row>
    <row r="126">
      <c r="A126" t="inlineStr">
        <is>
          <t>Dairy</t>
        </is>
      </c>
      <c r="B126" t="inlineStr">
        <is>
          <t>packing the same and making sacks 2pence.</t>
        </is>
      </c>
      <c r="C126" t="n">
        <v>0.01</v>
      </c>
      <c r="D126" t="n">
        <v>0</v>
      </c>
      <c r="E126" t="n">
        <v>0</v>
      </c>
      <c r="F126" t="n">
        <v>2</v>
      </c>
      <c r="H126" t="n">
        <v>0</v>
      </c>
      <c r="I126" t="n">
        <v>0</v>
      </c>
      <c r="J126" t="n">
        <v>0</v>
      </c>
      <c r="K126" t="n">
        <v>0</v>
      </c>
      <c r="L126" t="n">
        <v>0</v>
      </c>
      <c r="M126" t="n">
        <v>0</v>
      </c>
      <c r="N126" t="n">
        <v>0</v>
      </c>
    </row>
    <row r="127">
      <c r="A127" t="inlineStr">
        <is>
          <t>Dairy</t>
        </is>
      </c>
      <c r="B127" t="inlineStr">
        <is>
          <t>grease, vinegar and copperas to make well diseased sheep 10 shilling.</t>
        </is>
      </c>
      <c r="C127" t="n">
        <v>0.5</v>
      </c>
      <c r="D127" t="n">
        <v>0</v>
      </c>
      <c r="E127" t="n">
        <v>10</v>
      </c>
      <c r="F127" t="n">
        <v>0</v>
      </c>
      <c r="H127" t="n">
        <v>0</v>
      </c>
      <c r="I127" t="n">
        <v>0</v>
      </c>
      <c r="J127" t="n">
        <v>0</v>
      </c>
      <c r="K127" t="n">
        <v>0</v>
      </c>
      <c r="L127" t="n">
        <v>0</v>
      </c>
      <c r="M127" t="n">
        <v>0</v>
      </c>
      <c r="N127" t="n">
        <v>0</v>
      </c>
    </row>
    <row r="128">
      <c r="A128" t="inlineStr">
        <is>
          <t>Dairy</t>
        </is>
      </c>
      <c r="B128" t="inlineStr">
        <is>
          <t>30 hurdles made 1 shilling 3pence.</t>
        </is>
      </c>
      <c r="C128" t="n">
        <v>0.06</v>
      </c>
      <c r="D128" t="n">
        <v>0</v>
      </c>
      <c r="E128" t="n">
        <v>1</v>
      </c>
      <c r="F128" t="n">
        <v>3</v>
      </c>
      <c r="H128" t="n">
        <v>0</v>
      </c>
      <c r="I128" t="n">
        <v>0</v>
      </c>
      <c r="J128" t="n">
        <v>0</v>
      </c>
      <c r="K128" t="n">
        <v>0</v>
      </c>
      <c r="L128" t="n">
        <v>0</v>
      </c>
      <c r="M128" t="n">
        <v>0</v>
      </c>
      <c r="N128" t="n">
        <v>0</v>
      </c>
    </row>
    <row r="129">
      <c r="A129" t="inlineStr">
        <is>
          <t>Dairy</t>
        </is>
      </c>
      <c r="B129" t="inlineStr">
        <is>
          <t>cratches made anew around the walls in the sheepcote 3 shilling 9.5pence.</t>
        </is>
      </c>
      <c r="C129" t="n">
        <v>0.19</v>
      </c>
      <c r="D129" t="n">
        <v>0</v>
      </c>
      <c r="E129" t="n">
        <v>3</v>
      </c>
      <c r="F129" t="n">
        <v>9.5</v>
      </c>
      <c r="H129" t="n">
        <v>0</v>
      </c>
      <c r="I129" t="n">
        <v>0</v>
      </c>
      <c r="J129" t="n">
        <v>0</v>
      </c>
      <c r="K129" t="n">
        <v>0</v>
      </c>
      <c r="L129" t="n">
        <v>0</v>
      </c>
      <c r="M129" t="n">
        <v>0</v>
      </c>
      <c r="N129" t="n">
        <v>0</v>
      </c>
    </row>
    <row r="130">
      <c r="A130" t="inlineStr">
        <is>
          <t>Dairy</t>
        </is>
      </c>
      <c r="B130" t="inlineStr">
        <is>
          <t>tithe of 2 foals 2pence.</t>
        </is>
      </c>
      <c r="C130" t="n">
        <v>0.01</v>
      </c>
      <c r="D130" t="n">
        <v>0</v>
      </c>
      <c r="E130" t="n">
        <v>0</v>
      </c>
      <c r="F130" t="n">
        <v>2</v>
      </c>
      <c r="H130" t="n">
        <v>0</v>
      </c>
      <c r="I130" t="n">
        <v>0</v>
      </c>
      <c r="J130" t="n">
        <v>0</v>
      </c>
      <c r="K130" t="n">
        <v>0</v>
      </c>
      <c r="L130" t="n">
        <v>0</v>
      </c>
      <c r="M130" t="n">
        <v>0</v>
      </c>
      <c r="N130" t="n">
        <v>0</v>
      </c>
    </row>
    <row r="131">
      <c r="A131" t="inlineStr">
        <is>
          <t>Dairy</t>
        </is>
      </c>
      <c r="B131" t="inlineStr">
        <is>
          <t>gelding piglets 3.5pence.</t>
        </is>
      </c>
      <c r="C131" t="n">
        <v>0.01</v>
      </c>
      <c r="D131" t="n">
        <v>0</v>
      </c>
      <c r="E131" t="n">
        <v>0</v>
      </c>
      <c r="F131" t="n">
        <v>3.5</v>
      </c>
      <c r="H131" t="n">
        <v>0</v>
      </c>
      <c r="I131" t="n">
        <v>0</v>
      </c>
      <c r="J131" t="n">
        <v>0</v>
      </c>
      <c r="K131" t="n">
        <v>0</v>
      </c>
      <c r="L131" t="n">
        <v>0</v>
      </c>
      <c r="M131" t="n">
        <v>0</v>
      </c>
      <c r="N131" t="n">
        <v>0</v>
      </c>
    </row>
    <row r="132">
      <c r="A132" t="inlineStr">
        <is>
          <t>Dairy</t>
        </is>
      </c>
      <c r="B132" t="inlineStr">
        <is>
          <t>stipend of the dairy-keeper who is male 3 shilling.</t>
        </is>
      </c>
      <c r="C132" t="n">
        <v>0.15</v>
      </c>
      <c r="D132" t="n">
        <v>0</v>
      </c>
      <c r="E132" t="n">
        <v>3</v>
      </c>
      <c r="F132" t="n">
        <v>0</v>
      </c>
      <c r="H132" t="n">
        <v>0</v>
      </c>
      <c r="I132" t="n">
        <v>0</v>
      </c>
      <c r="J132" t="n">
        <v>0</v>
      </c>
      <c r="K132" t="n">
        <v>0</v>
      </c>
      <c r="L132" t="n">
        <v>0</v>
      </c>
      <c r="M132" t="n">
        <v>0</v>
      </c>
      <c r="N132" t="n">
        <v>0</v>
      </c>
    </row>
    <row r="133">
      <c r="A133" t="inlineStr">
        <is>
          <t>Dairy</t>
        </is>
      </c>
      <c r="B133" t="inlineStr">
        <is>
          <t>20 lambs bought 13 shilling 4pence, at 8pence each.</t>
        </is>
      </c>
      <c r="C133" t="n">
        <v>0.67</v>
      </c>
      <c r="D133" t="n">
        <v>0</v>
      </c>
      <c r="E133" t="n">
        <v>13</v>
      </c>
      <c r="F133" t="n">
        <v>4</v>
      </c>
      <c r="H133" t="n">
        <v>0</v>
      </c>
      <c r="I133" t="n">
        <v>0</v>
      </c>
      <c r="J133" t="n">
        <v>0</v>
      </c>
      <c r="K133" t="n">
        <v>0</v>
      </c>
      <c r="L133" t="n">
        <v>0</v>
      </c>
      <c r="M133" t="n">
        <v>0</v>
      </c>
      <c r="N133" t="n">
        <v>0</v>
      </c>
    </row>
    <row r="134">
      <c r="A134" t="inlineStr">
        <is>
          <t>Dairy</t>
        </is>
      </c>
      <c r="B134" t="inlineStr">
        <is>
          <t>.</t>
        </is>
      </c>
      <c r="C134" t="n">
        <v>0</v>
      </c>
      <c r="D134" t="n">
        <v>0</v>
      </c>
      <c r="E134" t="n">
        <v>0</v>
      </c>
      <c r="F134" t="n">
        <v>0</v>
      </c>
      <c r="H134" t="n">
        <v>0</v>
      </c>
      <c r="I134" t="n">
        <v>0</v>
      </c>
      <c r="J134" t="n">
        <v>0</v>
      </c>
      <c r="K134" t="n">
        <v>0</v>
      </c>
      <c r="L134" t="n">
        <v>0</v>
      </c>
      <c r="M134" t="n">
        <v>0</v>
      </c>
      <c r="N134" t="n">
        <v>0</v>
      </c>
    </row>
    <row r="135">
      <c r="A135" t="inlineStr">
        <is>
          <t>Dairy</t>
        </is>
      </c>
      <c r="B135" t="inlineStr">
        <is>
          <t>1 sow and 11 pigs bought 10 shilling 10pence, at various prices.</t>
        </is>
      </c>
      <c r="C135" t="n">
        <v>0.54</v>
      </c>
      <c r="D135" t="n">
        <v>0</v>
      </c>
      <c r="E135" t="n">
        <v>10</v>
      </c>
      <c r="F135" t="n">
        <v>10</v>
      </c>
      <c r="H135" t="n">
        <v>0</v>
      </c>
      <c r="I135" t="n">
        <v>0</v>
      </c>
      <c r="J135" t="n">
        <v>0</v>
      </c>
      <c r="K135" t="n">
        <v>0</v>
      </c>
      <c r="L135" t="n">
        <v>0</v>
      </c>
      <c r="M135" t="n">
        <v>0</v>
      </c>
      <c r="N135" t="n">
        <v>0</v>
      </c>
    </row>
    <row r="136">
      <c r="A136" t="inlineStr">
        <is>
          <t>Dairy</t>
        </is>
      </c>
      <c r="B136" t="inlineStr">
        <is>
          <t>Total, £2 7 shilling 7.5pence</t>
        </is>
      </c>
      <c r="C136" t="n">
        <v>2.38</v>
      </c>
      <c r="D136" t="n">
        <v>2</v>
      </c>
      <c r="E136" t="n">
        <v>7</v>
      </c>
      <c r="F136" t="n">
        <v>7.5</v>
      </c>
      <c r="H136" t="n">
        <v>0</v>
      </c>
      <c r="I136" t="n">
        <v>0</v>
      </c>
      <c r="J136" t="n">
        <v>0</v>
      </c>
      <c r="K136" t="n">
        <v>0</v>
      </c>
      <c r="L136" t="n">
        <v>0</v>
      </c>
      <c r="M136" t="n">
        <v>0</v>
      </c>
      <c r="N136" t="n">
        <v>0</v>
      </c>
    </row>
    <row r="137">
      <c r="A137" t="inlineStr">
        <is>
          <t>Repair of buildings</t>
        </is>
      </c>
      <c r="B137" t="inlineStr">
        <is>
          <t>In thatch bought for roofing the bakehouse and covering the stone walls 2 shilling.</t>
        </is>
      </c>
      <c r="C137" t="n">
        <v>0.1</v>
      </c>
      <c r="D137" t="n">
        <v>0</v>
      </c>
      <c r="E137" t="n">
        <v>2</v>
      </c>
      <c r="F137" t="n">
        <v>0</v>
      </c>
      <c r="H137" t="n">
        <v>0</v>
      </c>
      <c r="I137" t="n">
        <v>0</v>
      </c>
      <c r="J137" t="n">
        <v>0</v>
      </c>
      <c r="K137" t="n">
        <v>0</v>
      </c>
      <c r="L137" t="n">
        <v>0</v>
      </c>
      <c r="M137" t="n">
        <v>0</v>
      </c>
      <c r="N137" t="n">
        <v>0</v>
      </c>
    </row>
    <row r="138">
      <c r="A138" t="inlineStr">
        <is>
          <t>Repair of buildings</t>
        </is>
      </c>
      <c r="B138" t="inlineStr">
        <is>
          <t>thatch bought and roofing the barn in part and the byre nearly anew 6 shilling.</t>
        </is>
      </c>
      <c r="C138" t="n">
        <v>0.3</v>
      </c>
      <c r="D138" t="n">
        <v>0</v>
      </c>
      <c r="E138" t="n">
        <v>6</v>
      </c>
      <c r="F138" t="n">
        <v>0</v>
      </c>
      <c r="H138" t="n">
        <v>0</v>
      </c>
      <c r="I138" t="n">
        <v>0</v>
      </c>
      <c r="J138" t="n">
        <v>0</v>
      </c>
      <c r="K138" t="n">
        <v>0</v>
      </c>
      <c r="L138" t="n">
        <v>0</v>
      </c>
      <c r="M138" t="n">
        <v>0</v>
      </c>
      <c r="N138" t="n">
        <v>0</v>
      </c>
    </row>
    <row r="139">
      <c r="A139" t="inlineStr">
        <is>
          <t>Repair of buildings</t>
        </is>
      </c>
      <c r="B139" t="inlineStr">
        <is>
          <t>hedging to enclose around the curia anew and repairing it where necessary with fencing felled for the same 5 shilling 6pence.</t>
        </is>
      </c>
      <c r="C139" t="n">
        <v>0.28</v>
      </c>
      <c r="D139" t="n">
        <v>0</v>
      </c>
      <c r="E139" t="n">
        <v>5</v>
      </c>
      <c r="F139" t="n">
        <v>6</v>
      </c>
      <c r="H139" t="n">
        <v>0</v>
      </c>
      <c r="I139" t="n">
        <v>0</v>
      </c>
      <c r="J139" t="n">
        <v>0</v>
      </c>
      <c r="K139" t="n">
        <v>0</v>
      </c>
      <c r="L139" t="n">
        <v>0</v>
      </c>
      <c r="M139" t="n">
        <v>0</v>
      </c>
      <c r="N139" t="n">
        <v>0</v>
      </c>
    </row>
    <row r="140">
      <c r="A140" t="inlineStr">
        <is>
          <t>Repair of buildings</t>
        </is>
      </c>
      <c r="B140" t="inlineStr">
        <is>
          <t>3,500 shingles made 6 shilling 5pence.</t>
        </is>
      </c>
      <c r="C140" t="n">
        <v>0.32</v>
      </c>
      <c r="D140" t="n">
        <v>0</v>
      </c>
      <c r="E140" t="n">
        <v>6</v>
      </c>
      <c r="F140" t="n">
        <v>5</v>
      </c>
      <c r="H140" t="n">
        <v>0</v>
      </c>
      <c r="I140" t="n">
        <v>0</v>
      </c>
      <c r="J140" t="n">
        <v>0</v>
      </c>
      <c r="K140" t="n">
        <v>0</v>
      </c>
      <c r="L140" t="n">
        <v>0</v>
      </c>
      <c r="M140" t="n">
        <v>0</v>
      </c>
      <c r="N140" t="n">
        <v>0</v>
      </c>
    </row>
    <row r="141">
      <c r="A141" t="inlineStr">
        <is>
          <t>Repair of buildings</t>
        </is>
      </c>
      <c r="B141" t="inlineStr">
        <is>
          <t>laying the same on the hall, room of the steward's clerks, and chapel 5 shilling 10pence.</t>
        </is>
      </c>
      <c r="C141" t="n">
        <v>0.29</v>
      </c>
      <c r="D141" t="n">
        <v>0</v>
      </c>
      <c r="E141" t="n">
        <v>5</v>
      </c>
      <c r="F141" t="n">
        <v>10</v>
      </c>
      <c r="H141" t="n">
        <v>0</v>
      </c>
      <c r="I141" t="n">
        <v>0</v>
      </c>
      <c r="J141" t="n">
        <v>0</v>
      </c>
      <c r="K141" t="n">
        <v>0</v>
      </c>
      <c r="L141" t="n">
        <v>0</v>
      </c>
      <c r="M141" t="n">
        <v>0</v>
      </c>
      <c r="N141" t="n">
        <v>0</v>
      </c>
    </row>
    <row r="142">
      <c r="A142" t="inlineStr">
        <is>
          <t>Repair of buildings</t>
        </is>
      </c>
      <c r="B142" t="inlineStr">
        <is>
          <t>roofing and mending the said buildings with old shingles in places where it was necessary 2 shilling.</t>
        </is>
      </c>
      <c r="C142" t="n">
        <v>0.1</v>
      </c>
      <c r="D142" t="n">
        <v>0</v>
      </c>
      <c r="E142" t="n">
        <v>2</v>
      </c>
      <c r="F142" t="n">
        <v>0</v>
      </c>
      <c r="H142" t="n">
        <v>0</v>
      </c>
      <c r="I142" t="n">
        <v>0</v>
      </c>
      <c r="J142" t="n">
        <v>0</v>
      </c>
      <c r="K142" t="n">
        <v>0</v>
      </c>
      <c r="L142" t="n">
        <v>0</v>
      </c>
      <c r="M142" t="n">
        <v>0</v>
      </c>
      <c r="N142" t="n">
        <v>0</v>
      </c>
    </row>
    <row r="143">
      <c r="A143" t="inlineStr">
        <is>
          <t>Repair of buildings</t>
        </is>
      </c>
      <c r="B143" t="inlineStr">
        <is>
          <t>large and small nails bought for the same 2 shilling 6pence.</t>
        </is>
      </c>
      <c r="C143" t="n">
        <v>0.12</v>
      </c>
      <c r="D143" t="n">
        <v>0</v>
      </c>
      <c r="E143" t="n">
        <v>2</v>
      </c>
      <c r="F143" t="n">
        <v>6</v>
      </c>
      <c r="H143" t="n">
        <v>0</v>
      </c>
      <c r="I143" t="n">
        <v>0</v>
      </c>
      <c r="J143" t="n">
        <v>0</v>
      </c>
      <c r="K143" t="n">
        <v>0</v>
      </c>
      <c r="L143" t="n">
        <v>0</v>
      </c>
      <c r="M143" t="n">
        <v>0</v>
      </c>
      <c r="N143" t="n">
        <v>0</v>
      </c>
    </row>
    <row r="144">
      <c r="A144" t="inlineStr">
        <is>
          <t>Repair of buildings</t>
        </is>
      </c>
      <c r="B144" t="inlineStr">
        <is>
          <t>sawing boards and felling timber for the walls of the granary 2 shilling 8pence.</t>
        </is>
      </c>
      <c r="C144" t="n">
        <v>0.13</v>
      </c>
      <c r="D144" t="n">
        <v>0</v>
      </c>
      <c r="E144" t="n">
        <v>2</v>
      </c>
      <c r="F144" t="n">
        <v>8</v>
      </c>
      <c r="H144" t="n">
        <v>0</v>
      </c>
      <c r="I144" t="n">
        <v>0</v>
      </c>
      <c r="J144" t="n">
        <v>0</v>
      </c>
      <c r="K144" t="n">
        <v>0</v>
      </c>
      <c r="L144" t="n">
        <v>0</v>
      </c>
      <c r="M144" t="n">
        <v>0</v>
      </c>
      <c r="N144" t="n">
        <v>0</v>
      </c>
    </row>
    <row r="145">
      <c r="A145" t="inlineStr">
        <is>
          <t>Repair of buildings</t>
        </is>
      </c>
      <c r="B145" t="inlineStr">
        <is>
          <t>a carpenter making the said walls nearly anew 4 shilling.</t>
        </is>
      </c>
      <c r="C145" t="n">
        <v>0.2</v>
      </c>
      <c r="D145" t="n">
        <v>0</v>
      </c>
      <c r="E145" t="n">
        <v>4</v>
      </c>
      <c r="F145" t="n">
        <v>0</v>
      </c>
      <c r="H145" t="n">
        <v>0</v>
      </c>
      <c r="I145" t="n">
        <v>0</v>
      </c>
      <c r="J145" t="n">
        <v>0</v>
      </c>
      <c r="K145" t="n">
        <v>0</v>
      </c>
      <c r="L145" t="n">
        <v>0</v>
      </c>
      <c r="M145" t="n">
        <v>0</v>
      </c>
      <c r="N145" t="n">
        <v>0</v>
      </c>
    </row>
    <row r="146">
      <c r="A146" t="inlineStr">
        <is>
          <t>Repair of buildings</t>
        </is>
      </c>
      <c r="B146" t="inlineStr">
        <is>
          <t>large nails bought for the same 11.5pence.</t>
        </is>
      </c>
      <c r="C146" t="n">
        <v>0.05</v>
      </c>
      <c r="D146" t="n">
        <v>0</v>
      </c>
      <c r="E146" t="n">
        <v>0</v>
      </c>
      <c r="F146" t="n">
        <v>11.5</v>
      </c>
      <c r="H146" t="n">
        <v>0</v>
      </c>
      <c r="I146" t="n">
        <v>0</v>
      </c>
      <c r="J146" t="n">
        <v>0</v>
      </c>
      <c r="K146" t="n">
        <v>0</v>
      </c>
      <c r="L146" t="n">
        <v>0</v>
      </c>
      <c r="M146" t="n">
        <v>0</v>
      </c>
      <c r="N146" t="n">
        <v>0</v>
      </c>
    </row>
    <row r="147">
      <c r="A147" t="inlineStr">
        <is>
          <t>Repair of buildings</t>
        </is>
      </c>
      <c r="B147" t="inlineStr">
        <is>
          <t>roofing the bailiff's room in places 1 shilling 8pence.</t>
        </is>
      </c>
      <c r="C147" t="n">
        <v>0.08</v>
      </c>
      <c r="D147" t="n">
        <v>0</v>
      </c>
      <c r="E147" t="n">
        <v>1</v>
      </c>
      <c r="F147" t="n">
        <v>8</v>
      </c>
      <c r="H147" t="n">
        <v>0</v>
      </c>
      <c r="I147" t="n">
        <v>0</v>
      </c>
      <c r="J147" t="n">
        <v>0</v>
      </c>
      <c r="K147" t="n">
        <v>0</v>
      </c>
      <c r="L147" t="n">
        <v>0</v>
      </c>
      <c r="M147" t="n">
        <v>0</v>
      </c>
      <c r="N147" t="n">
        <v>0</v>
      </c>
    </row>
    <row r="148">
      <c r="A148" t="inlineStr">
        <is>
          <t>Repair of buildings</t>
        </is>
      </c>
      <c r="B148" t="inlineStr">
        <is>
          <t>charcoal made 10 shilling Total, £2 9 shilling 6.5pence</t>
        </is>
      </c>
      <c r="C148" t="n">
        <v>2.48</v>
      </c>
      <c r="D148" t="n">
        <v>2</v>
      </c>
      <c r="E148" t="n">
        <v>9</v>
      </c>
      <c r="F148" t="n">
        <v>6.5</v>
      </c>
      <c r="H148" t="n">
        <v>0</v>
      </c>
      <c r="I148" t="n">
        <v>0</v>
      </c>
      <c r="J148" t="n">
        <v>0</v>
      </c>
      <c r="K148" t="n">
        <v>0</v>
      </c>
      <c r="L148" t="n">
        <v>0</v>
      </c>
      <c r="M148" t="n">
        <v>0</v>
      </c>
      <c r="N148" t="n">
        <v>0</v>
      </c>
    </row>
    <row r="149">
      <c r="A149" t="inlineStr">
        <is>
          <t>Harvest-time</t>
        </is>
      </c>
      <c r="B149" t="inlineStr">
        <is>
          <t>In 5 quarters of barley bought for the bread of 500 men with the officials of the curia at 3 harvest boon-works 19 shilling, and each had 1 loaf a day, of which 100 were made from a quarter.</t>
        </is>
      </c>
      <c r="C149" t="n">
        <v>0.95</v>
      </c>
      <c r="D149" t="n">
        <v>0</v>
      </c>
      <c r="E149" t="n">
        <v>19</v>
      </c>
      <c r="F149" t="n">
        <v>0</v>
      </c>
      <c r="G149" t="inlineStr">
        <is>
          <t>barley</t>
        </is>
      </c>
      <c r="H149" t="n">
        <v>5</v>
      </c>
      <c r="I149" t="n">
        <v>0</v>
      </c>
      <c r="J149" t="n">
        <v>5</v>
      </c>
      <c r="K149" t="n">
        <v>5</v>
      </c>
      <c r="L149" t="n">
        <v>0</v>
      </c>
      <c r="M149" t="n">
        <v>5</v>
      </c>
      <c r="N149" t="n">
        <v>0</v>
      </c>
    </row>
    <row r="150">
      <c r="A150" t="inlineStr">
        <is>
          <t>Harvest-time</t>
        </is>
      </c>
      <c r="B150" t="inlineStr">
        <is>
          <t>.</t>
        </is>
      </c>
      <c r="C150" t="n">
        <v>0</v>
      </c>
      <c r="D150" t="n">
        <v>0</v>
      </c>
      <c r="E150" t="n">
        <v>0</v>
      </c>
      <c r="F150" t="n">
        <v>0</v>
      </c>
      <c r="H150" t="n">
        <v>0</v>
      </c>
      <c r="I150" t="n">
        <v>0</v>
      </c>
      <c r="J150" t="n">
        <v>0</v>
      </c>
      <c r="K150" t="n">
        <v>0</v>
      </c>
      <c r="L150" t="n">
        <v>0</v>
      </c>
      <c r="M150" t="n">
        <v>0</v>
      </c>
      <c r="N150" t="n">
        <v>0</v>
      </c>
    </row>
    <row r="151">
      <c r="A151" t="inlineStr">
        <is>
          <t>Harvest-time</t>
        </is>
      </c>
      <c r="B151" t="inlineStr">
        <is>
          <t>1,000 herrings bought to eat with the bread (companag' eorundem) 6 shilling 9pence, and each had 2 herrings a day.</t>
        </is>
      </c>
      <c r="C151" t="n">
        <v>0.34</v>
      </c>
      <c r="D151" t="n">
        <v>0</v>
      </c>
      <c r="E151" t="n">
        <v>6</v>
      </c>
      <c r="F151" t="n">
        <v>9</v>
      </c>
      <c r="H151" t="n">
        <v>0</v>
      </c>
      <c r="I151" t="n">
        <v>0</v>
      </c>
      <c r="J151" t="n">
        <v>0</v>
      </c>
      <c r="K151" t="n">
        <v>0</v>
      </c>
      <c r="L151" t="n">
        <v>0</v>
      </c>
      <c r="M151" t="n">
        <v>0</v>
      </c>
      <c r="N151" t="n">
        <v>0</v>
      </c>
    </row>
    <row r="152">
      <c r="A152" t="inlineStr">
        <is>
          <t>Harvest-time</t>
        </is>
      </c>
      <c r="B152" t="inlineStr">
        <is>
          <t>.</t>
        </is>
      </c>
      <c r="C152" t="n">
        <v>0</v>
      </c>
      <c r="D152" t="n">
        <v>0</v>
      </c>
      <c r="E152" t="n">
        <v>0</v>
      </c>
      <c r="F152" t="n">
        <v>0</v>
      </c>
      <c r="H152" t="n">
        <v>0</v>
      </c>
      <c r="I152" t="n">
        <v>0</v>
      </c>
      <c r="J152" t="n">
        <v>0</v>
      </c>
      <c r="K152" t="n">
        <v>0</v>
      </c>
      <c r="L152" t="n">
        <v>0</v>
      </c>
      <c r="M152" t="n">
        <v>0</v>
      </c>
      <c r="N152" t="n">
        <v>0</v>
      </c>
    </row>
    <row r="153">
      <c r="A153" t="inlineStr">
        <is>
          <t>Harvest-time</t>
        </is>
      </c>
      <c r="B153" t="inlineStr">
        <is>
          <t>meal bought for the pottage of the same 4pence They reaped 288 acres of wheat, barley and oats as they lie.</t>
        </is>
      </c>
      <c r="C153" t="n">
        <v>0.02</v>
      </c>
      <c r="D153" t="n">
        <v>0</v>
      </c>
      <c r="E153" t="n">
        <v>0</v>
      </c>
      <c r="F153" t="n">
        <v>4</v>
      </c>
      <c r="G153" t="inlineStr">
        <is>
          <t>barley, oats, wheat</t>
        </is>
      </c>
      <c r="H153" t="n">
        <v>0</v>
      </c>
      <c r="I153" t="n">
        <v>0</v>
      </c>
      <c r="J153" t="n">
        <v>0</v>
      </c>
      <c r="K153" t="n">
        <v>0</v>
      </c>
      <c r="L153" t="n">
        <v>0</v>
      </c>
      <c r="M153" t="n">
        <v>0</v>
      </c>
      <c r="N153" t="n">
        <v>0</v>
      </c>
    </row>
    <row r="154">
      <c r="A154" t="inlineStr">
        <is>
          <t>Harvest-time</t>
        </is>
      </c>
      <c r="B154" t="inlineStr">
        <is>
          <t>moreover, they are to reap 161 acres which are called gavel-acres (gavelacr') each year according to custom, and this year they reaped all the acres of wheat, barley and oats, and 22 acres are in quittance for the officials of the curia whilst they are in the lord's service.</t>
        </is>
      </c>
      <c r="C154" t="n">
        <v>0</v>
      </c>
      <c r="D154" t="n">
        <v>0</v>
      </c>
      <c r="E154" t="n">
        <v>0</v>
      </c>
      <c r="F154" t="n">
        <v>0</v>
      </c>
      <c r="G154" t="inlineStr">
        <is>
          <t>barley, oats, wheat</t>
        </is>
      </c>
      <c r="H154" t="n">
        <v>0</v>
      </c>
      <c r="I154" t="n">
        <v>0</v>
      </c>
      <c r="J154" t="n">
        <v>0</v>
      </c>
      <c r="K154" t="n">
        <v>0</v>
      </c>
      <c r="L154" t="n">
        <v>0</v>
      </c>
      <c r="M154" t="n">
        <v>0</v>
      </c>
      <c r="N154" t="n">
        <v>0</v>
      </c>
    </row>
    <row r="155">
      <c r="A155" t="inlineStr">
        <is>
          <t>Harvest-time</t>
        </is>
      </c>
      <c r="B155" t="inlineStr">
        <is>
          <t>.</t>
        </is>
      </c>
      <c r="C155" t="n">
        <v>0</v>
      </c>
      <c r="D155" t="n">
        <v>0</v>
      </c>
      <c r="E155" t="n">
        <v>0</v>
      </c>
      <c r="F155" t="n">
        <v>0</v>
      </c>
      <c r="H155" t="n">
        <v>0</v>
      </c>
      <c r="I155" t="n">
        <v>0</v>
      </c>
      <c r="J155" t="n">
        <v>0</v>
      </c>
      <c r="K155" t="n">
        <v>0</v>
      </c>
      <c r="L155" t="n">
        <v>0</v>
      </c>
      <c r="M155" t="n">
        <v>0</v>
      </c>
      <c r="N155" t="n">
        <v>0</v>
      </c>
    </row>
    <row r="156">
      <c r="A156" t="inlineStr">
        <is>
          <t>Harvest-time</t>
        </is>
      </c>
      <c r="B156" t="inlineStr">
        <is>
          <t>mending a press 2 shilling 11.5pence.</t>
        </is>
      </c>
      <c r="C156" t="n">
        <v>0.15</v>
      </c>
      <c r="D156" t="n">
        <v>0</v>
      </c>
      <c r="E156" t="n">
        <v>2</v>
      </c>
      <c r="F156" t="n">
        <v>11.5</v>
      </c>
      <c r="H156" t="n">
        <v>0</v>
      </c>
      <c r="I156" t="n">
        <v>0</v>
      </c>
      <c r="J156" t="n">
        <v>0</v>
      </c>
      <c r="K156" t="n">
        <v>0</v>
      </c>
      <c r="L156" t="n">
        <v>0</v>
      </c>
      <c r="M156" t="n">
        <v>0</v>
      </c>
      <c r="N156" t="n">
        <v>0</v>
      </c>
    </row>
    <row r="157">
      <c r="A157" t="inlineStr">
        <is>
          <t>Harvest-time</t>
        </is>
      </c>
      <c r="B157" t="inlineStr">
        <is>
          <t>5 empty casks bought 10 shilling.</t>
        </is>
      </c>
      <c r="C157" t="n">
        <v>0.5</v>
      </c>
      <c r="D157" t="n">
        <v>0</v>
      </c>
      <c r="E157" t="n">
        <v>10</v>
      </c>
      <c r="F157" t="n">
        <v>0</v>
      </c>
      <c r="H157" t="n">
        <v>0</v>
      </c>
      <c r="I157" t="n">
        <v>0</v>
      </c>
      <c r="J157" t="n">
        <v>0</v>
      </c>
      <c r="K157" t="n">
        <v>0</v>
      </c>
      <c r="L157" t="n">
        <v>0</v>
      </c>
      <c r="M157" t="n">
        <v>0</v>
      </c>
      <c r="N157" t="n">
        <v>0</v>
      </c>
    </row>
    <row r="158">
      <c r="A158" t="inlineStr">
        <is>
          <t>Harvest-time</t>
        </is>
      </c>
      <c r="B158" t="inlineStr">
        <is>
          <t>timber bought to hoop the said casks 1 shilling 11.5pence.</t>
        </is>
      </c>
      <c r="C158" t="n">
        <v>0.1</v>
      </c>
      <c r="D158" t="n">
        <v>0</v>
      </c>
      <c r="E158" t="n">
        <v>1</v>
      </c>
      <c r="F158" t="n">
        <v>11.5</v>
      </c>
      <c r="H158" t="n">
        <v>0</v>
      </c>
      <c r="I158" t="n">
        <v>0</v>
      </c>
      <c r="J158" t="n">
        <v>0</v>
      </c>
      <c r="K158" t="n">
        <v>0</v>
      </c>
      <c r="L158" t="n">
        <v>0</v>
      </c>
      <c r="M158" t="n">
        <v>0</v>
      </c>
      <c r="N158" t="n">
        <v>0</v>
      </c>
    </row>
    <row r="159">
      <c r="A159" t="inlineStr">
        <is>
          <t>Harvest-time</t>
        </is>
      </c>
      <c r="B159" t="inlineStr">
        <is>
          <t>hooping the said casks 1 shilling 10pence.</t>
        </is>
      </c>
      <c r="C159" t="n">
        <v>0.09</v>
      </c>
      <c r="D159" t="n">
        <v>0</v>
      </c>
      <c r="E159" t="n">
        <v>1</v>
      </c>
      <c r="F159" t="n">
        <v>10</v>
      </c>
      <c r="H159" t="n">
        <v>0</v>
      </c>
      <c r="I159" t="n">
        <v>0</v>
      </c>
      <c r="J159" t="n">
        <v>0</v>
      </c>
      <c r="K159" t="n">
        <v>0</v>
      </c>
      <c r="L159" t="n">
        <v>0</v>
      </c>
      <c r="M159" t="n">
        <v>0</v>
      </c>
      <c r="N159" t="n">
        <v>0</v>
      </c>
    </row>
    <row r="160">
      <c r="A160" t="inlineStr">
        <is>
          <t>Harvest-time</t>
        </is>
      </c>
      <c r="B160" t="inlineStr">
        <is>
          <t>making cider 1 shilling 6pence Total, £2 4 shilling 4pence</t>
        </is>
      </c>
      <c r="C160" t="n">
        <v>2.22</v>
      </c>
      <c r="D160" t="n">
        <v>2</v>
      </c>
      <c r="E160" t="n">
        <v>4</v>
      </c>
      <c r="F160" t="n">
        <v>4</v>
      </c>
      <c r="H160" t="n">
        <v>0</v>
      </c>
      <c r="I160" t="n">
        <v>0</v>
      </c>
      <c r="J160" t="n">
        <v>0</v>
      </c>
      <c r="K160" t="n">
        <v>0</v>
      </c>
      <c r="L160" t="n">
        <v>0</v>
      </c>
      <c r="M160" t="n">
        <v>0</v>
      </c>
      <c r="N160" t="n">
        <v>0</v>
      </c>
    </row>
    <row r="161">
      <c r="A161" t="inlineStr">
        <is>
          <t>Cost of the park</t>
        </is>
      </c>
      <c r="B161" t="inlineStr">
        <is>
          <t>In stipend of 1 park-keeper for the year according to custom 6 shilling 8pence.</t>
        </is>
      </c>
      <c r="C161" t="n">
        <v>0.33</v>
      </c>
      <c r="D161" t="n">
        <v>0</v>
      </c>
      <c r="E161" t="n">
        <v>6</v>
      </c>
      <c r="F161" t="n">
        <v>8</v>
      </c>
      <c r="H161" t="n">
        <v>0</v>
      </c>
      <c r="I161" t="n">
        <v>0</v>
      </c>
      <c r="J161" t="n">
        <v>0</v>
      </c>
      <c r="K161" t="n">
        <v>0</v>
      </c>
      <c r="L161" t="n">
        <v>0</v>
      </c>
      <c r="M161" t="n">
        <v>0</v>
      </c>
      <c r="N161" t="n">
        <v>0</v>
      </c>
    </row>
    <row r="162">
      <c r="A162" t="inlineStr">
        <is>
          <t>Cost of the park</t>
        </is>
      </c>
      <c r="B162" t="inlineStr">
        <is>
          <t>mending the hedges in the enclosure 1 shilling 4pence Total, 8 shilling</t>
        </is>
      </c>
      <c r="C162" t="n">
        <v>0.07000000000000001</v>
      </c>
      <c r="D162" t="n">
        <v>0</v>
      </c>
      <c r="E162" t="n">
        <v>1</v>
      </c>
      <c r="F162" t="n">
        <v>4</v>
      </c>
      <c r="H162" t="n">
        <v>0</v>
      </c>
      <c r="I162" t="n">
        <v>0</v>
      </c>
      <c r="J162" t="n">
        <v>0</v>
      </c>
      <c r="K162" t="n">
        <v>0</v>
      </c>
      <c r="L162" t="n">
        <v>0</v>
      </c>
      <c r="M162" t="n">
        <v>0</v>
      </c>
      <c r="N162" t="n">
        <v>0</v>
      </c>
    </row>
    <row r="163">
      <c r="A163" t="inlineStr">
        <is>
          <t>Cost of the meadow</t>
        </is>
      </c>
      <c r="B163" t="inlineStr">
        <is>
          <t>In a second mowing of the meadow of Bishops Sutton in parcels 2 shilling 2pence.</t>
        </is>
      </c>
      <c r="C163" t="n">
        <v>0.11</v>
      </c>
      <c r="D163" t="n">
        <v>0</v>
      </c>
      <c r="E163" t="n">
        <v>2</v>
      </c>
      <c r="F163" t="n">
        <v>2</v>
      </c>
      <c r="H163" t="n">
        <v>0</v>
      </c>
      <c r="I163" t="n">
        <v>0</v>
      </c>
      <c r="J163" t="n">
        <v>0</v>
      </c>
      <c r="K163" t="n">
        <v>0</v>
      </c>
      <c r="L163" t="n">
        <v>0</v>
      </c>
      <c r="M163" t="n">
        <v>0</v>
      </c>
      <c r="N163" t="n">
        <v>0</v>
      </c>
    </row>
    <row r="164">
      <c r="A164" t="inlineStr">
        <is>
          <t>Cost of the meadow</t>
        </is>
      </c>
      <c r="B164" t="inlineStr">
        <is>
          <t>spreading the said hay 3pence.</t>
        </is>
      </c>
      <c r="C164" t="n">
        <v>0.01</v>
      </c>
      <c r="D164" t="n">
        <v>0</v>
      </c>
      <c r="E164" t="n">
        <v>0</v>
      </c>
      <c r="F164" t="n">
        <v>3</v>
      </c>
      <c r="H164" t="n">
        <v>0</v>
      </c>
      <c r="I164" t="n">
        <v>0</v>
      </c>
      <c r="J164" t="n">
        <v>0</v>
      </c>
      <c r="K164" t="n">
        <v>0</v>
      </c>
      <c r="L164" t="n">
        <v>0</v>
      </c>
      <c r="M164" t="n">
        <v>0</v>
      </c>
      <c r="N164" t="n">
        <v>0</v>
      </c>
    </row>
    <row r="165">
      <c r="A165" t="inlineStr">
        <is>
          <t>Cost of the meadow</t>
        </is>
      </c>
      <c r="B165" t="inlineStr">
        <is>
          <t>tossing the said hay and making haycocks therefrom 10pence Total, 3 shilling 3pence</t>
        </is>
      </c>
      <c r="C165" t="n">
        <v>0.19</v>
      </c>
      <c r="D165" t="n">
        <v>0</v>
      </c>
      <c r="E165" t="n">
        <v>3</v>
      </c>
      <c r="F165" t="n">
        <v>10</v>
      </c>
      <c r="H165" t="n">
        <v>0</v>
      </c>
      <c r="I165" t="n">
        <v>0</v>
      </c>
      <c r="J165" t="n">
        <v>0</v>
      </c>
      <c r="K165" t="n">
        <v>0</v>
      </c>
      <c r="L165" t="n">
        <v>0</v>
      </c>
      <c r="M165" t="n">
        <v>0</v>
      </c>
      <c r="N165" t="n">
        <v>0</v>
      </c>
    </row>
    <row r="166">
      <c r="A166" t="inlineStr">
        <is>
          <t>Expenses of the steward and bailiff</t>
        </is>
      </c>
      <c r="B166" t="inlineStr">
        <is>
          <t>In expenses of Simon, clerk, for 2 tourns 10 shilling 2pence.</t>
        </is>
      </c>
      <c r="C166" t="n">
        <v>0.51</v>
      </c>
      <c r="D166" t="n">
        <v>0</v>
      </c>
      <c r="E166" t="n">
        <v>10</v>
      </c>
      <c r="F166" t="n">
        <v>2</v>
      </c>
      <c r="H166" t="n">
        <v>0</v>
      </c>
      <c r="I166" t="n">
        <v>0</v>
      </c>
      <c r="J166" t="n">
        <v>0</v>
      </c>
      <c r="K166" t="n">
        <v>0</v>
      </c>
      <c r="L166" t="n">
        <v>0</v>
      </c>
      <c r="M166" t="n">
        <v>0</v>
      </c>
      <c r="N166" t="n">
        <v>0</v>
      </c>
    </row>
    <row r="167">
      <c r="A167" t="inlineStr">
        <is>
          <t>Expenses of the steward and bailiff</t>
        </is>
      </c>
      <c r="B167" t="inlineStr">
        <is>
          <t>expenses of the bailiff for the year £5 17 shilling.</t>
        </is>
      </c>
      <c r="C167" t="n">
        <v>5.85</v>
      </c>
      <c r="D167" t="n">
        <v>5</v>
      </c>
      <c r="E167" t="n">
        <v>17</v>
      </c>
      <c r="F167" t="n">
        <v>0</v>
      </c>
      <c r="H167" t="n">
        <v>0</v>
      </c>
      <c r="I167" t="n">
        <v>0</v>
      </c>
      <c r="J167" t="n">
        <v>0</v>
      </c>
      <c r="K167" t="n">
        <v>0</v>
      </c>
      <c r="L167" t="n">
        <v>0</v>
      </c>
      <c r="M167" t="n">
        <v>0</v>
      </c>
      <c r="N167" t="n">
        <v>0</v>
      </c>
    </row>
    <row r="168">
      <c r="A168" t="inlineStr">
        <is>
          <t>Expenses of the steward and bailiff</t>
        </is>
      </c>
      <c r="B168" t="inlineStr">
        <is>
          <t>1 fur bought for the summer livery of the bailiff 3 shilling.</t>
        </is>
      </c>
      <c r="C168" t="n">
        <v>0.15</v>
      </c>
      <c r="D168" t="n">
        <v>0</v>
      </c>
      <c r="E168" t="n">
        <v>3</v>
      </c>
      <c r="F168" t="n">
        <v>0</v>
      </c>
      <c r="H168" t="n">
        <v>0</v>
      </c>
      <c r="I168" t="n">
        <v>0</v>
      </c>
      <c r="J168" t="n">
        <v>0</v>
      </c>
      <c r="K168" t="n">
        <v>0</v>
      </c>
      <c r="L168" t="n">
        <v>0</v>
      </c>
      <c r="M168" t="n">
        <v>0</v>
      </c>
      <c r="N168" t="n">
        <v>0</v>
      </c>
    </row>
    <row r="169">
      <c r="A169" t="inlineStr">
        <is>
          <t>Expenses of the steward and bailiff</t>
        </is>
      </c>
      <c r="B169" t="inlineStr">
        <is>
          <t>expenses of the sheriff for 1 visit 4 shilling 4pence Total, £6 14 shilling 6pence</t>
        </is>
      </c>
      <c r="C169" t="n">
        <v>6.73</v>
      </c>
      <c r="D169" t="n">
        <v>6</v>
      </c>
      <c r="E169" t="n">
        <v>14</v>
      </c>
      <c r="F169" t="n">
        <v>6</v>
      </c>
      <c r="H169" t="n">
        <v>0</v>
      </c>
      <c r="I169" t="n">
        <v>0</v>
      </c>
      <c r="J169" t="n">
        <v>0</v>
      </c>
      <c r="K169" t="n">
        <v>0</v>
      </c>
      <c r="L169" t="n">
        <v>0</v>
      </c>
      <c r="M169" t="n">
        <v>0</v>
      </c>
      <c r="N169" t="n">
        <v>0</v>
      </c>
    </row>
    <row r="170">
      <c r="A170" t="inlineStr">
        <is>
          <t>Purchase of stock</t>
        </is>
      </c>
      <c r="B170" t="inlineStr">
        <is>
          <t>In 29 animals bought for pasturing £7 17 shilling 9pence Total, £7 17 shilling 9pence</t>
        </is>
      </c>
      <c r="C170" t="n">
        <v>7.89</v>
      </c>
      <c r="D170" t="n">
        <v>7</v>
      </c>
      <c r="E170" t="n">
        <v>17</v>
      </c>
      <c r="F170" t="n">
        <v>9</v>
      </c>
      <c r="H170" t="n">
        <v>0</v>
      </c>
      <c r="I170" t="n">
        <v>0</v>
      </c>
      <c r="J170" t="n">
        <v>0</v>
      </c>
      <c r="K170" t="n">
        <v>0</v>
      </c>
      <c r="L170" t="n">
        <v>0</v>
      </c>
      <c r="M170" t="n">
        <v>0</v>
      </c>
      <c r="N170" t="n">
        <v>0</v>
      </c>
    </row>
    <row r="171">
      <c r="A171" t="inlineStr">
        <is>
          <t>Total of all expenses</t>
        </is>
      </c>
      <c r="B171" t="inlineStr">
        <is>
          <t>Total of all expenses, £26 5 shilling 11.5pence</t>
        </is>
      </c>
      <c r="C171" t="n">
        <v>26.3</v>
      </c>
      <c r="D171" t="n">
        <v>26</v>
      </c>
      <c r="E171" t="n">
        <v>5</v>
      </c>
      <c r="F171" t="n">
        <v>11.5</v>
      </c>
      <c r="H171" t="n">
        <v>0</v>
      </c>
      <c r="I171" t="n">
        <v>0</v>
      </c>
      <c r="J171" t="n">
        <v>0</v>
      </c>
      <c r="K171" t="n">
        <v>0</v>
      </c>
      <c r="L171" t="n">
        <v>0</v>
      </c>
      <c r="M171" t="n">
        <v>0</v>
      </c>
      <c r="N171" t="n">
        <v>0</v>
      </c>
    </row>
    <row r="172">
      <c r="A172" t="inlineStr">
        <is>
          <t>And he owes</t>
        </is>
      </c>
      <c r="B172" t="inlineStr">
        <is>
          <t>And he owes, £88 6 shilling 10.25pence</t>
        </is>
      </c>
      <c r="C172" t="n">
        <v>88.34</v>
      </c>
      <c r="D172" t="n">
        <v>88</v>
      </c>
      <c r="E172" t="n">
        <v>6</v>
      </c>
      <c r="F172" t="n">
        <v>10.25</v>
      </c>
      <c r="H172" t="n">
        <v>0</v>
      </c>
      <c r="I172" t="n">
        <v>0</v>
      </c>
      <c r="J172" t="n">
        <v>0</v>
      </c>
      <c r="K172" t="n">
        <v>0</v>
      </c>
      <c r="L172" t="n">
        <v>0</v>
      </c>
      <c r="M172" t="n">
        <v>0</v>
      </c>
      <c r="N172" t="n">
        <v>0</v>
      </c>
    </row>
    <row r="173">
      <c r="A173" t="inlineStr">
        <is>
          <t>Cash deliveries</t>
        </is>
      </c>
      <c r="B173" t="inlineStr">
        <is>
          <t>Delivered to Sir Geoffrey, treasurer, by 1 tally, £52 17 shilling 4.5pence</t>
        </is>
      </c>
      <c r="C173" t="n">
        <v>52.87</v>
      </c>
      <c r="D173" t="n">
        <v>52</v>
      </c>
      <c r="E173" t="n">
        <v>17</v>
      </c>
      <c r="F173" t="n">
        <v>4.5</v>
      </c>
      <c r="H173" t="n">
        <v>0</v>
      </c>
      <c r="I173" t="n">
        <v>0</v>
      </c>
      <c r="J173" t="n">
        <v>0</v>
      </c>
      <c r="K173" t="n">
        <v>0</v>
      </c>
      <c r="L173" t="n">
        <v>0</v>
      </c>
      <c r="M173" t="n">
        <v>0</v>
      </c>
      <c r="N173" t="n">
        <v>0</v>
      </c>
    </row>
    <row r="174">
      <c r="A174" t="inlineStr">
        <is>
          <t>And he owes clear</t>
        </is>
      </c>
      <c r="B174" t="inlineStr">
        <is>
          <t>And he owes clear, £35 9 shilling 6.25pence</t>
        </is>
      </c>
      <c r="C174" t="n">
        <v>35.48</v>
      </c>
      <c r="D174" t="n">
        <v>35</v>
      </c>
      <c r="E174" t="n">
        <v>9</v>
      </c>
      <c r="F174" t="n">
        <v>6.25</v>
      </c>
      <c r="H174" t="n">
        <v>0</v>
      </c>
      <c r="I174" t="n">
        <v>0</v>
      </c>
      <c r="J174" t="n">
        <v>0</v>
      </c>
      <c r="K174" t="n">
        <v>0</v>
      </c>
      <c r="L174" t="n">
        <v>0</v>
      </c>
      <c r="M174" t="n">
        <v>0</v>
      </c>
      <c r="N174" t="n">
        <v>0</v>
      </c>
    </row>
    <row r="175">
      <c r="A175" t="inlineStr">
        <is>
          <t>Wheat</t>
        </is>
      </c>
      <c r="B175" t="inlineStr">
        <is>
          <t>{yield: three-and-a-half-fold less 4 quarters 7 bushels}</t>
        </is>
      </c>
      <c r="C175" t="n">
        <v>0</v>
      </c>
      <c r="D175" t="n">
        <v>0</v>
      </c>
      <c r="E175" t="n">
        <v>0</v>
      </c>
      <c r="F175" t="n">
        <v>0</v>
      </c>
      <c r="H175" t="n">
        <v>4</v>
      </c>
      <c r="I175" t="n">
        <v>7</v>
      </c>
      <c r="J175" t="n">
        <v>4.875</v>
      </c>
      <c r="K175" t="n">
        <v>4.875</v>
      </c>
      <c r="L175" t="n">
        <v>0</v>
      </c>
      <c r="M175" t="n">
        <v>4</v>
      </c>
      <c r="N175" t="n">
        <v>7</v>
      </c>
    </row>
    <row r="176">
      <c r="A176" t="inlineStr">
        <is>
          <t>Wheat</t>
        </is>
      </c>
      <c r="B176" t="inlineStr">
        <is>
          <t>The same render account for 64 quarters 6 bushels from the whole issue of wheat from the grange in the granary without heaped measure.</t>
        </is>
      </c>
      <c r="C176" t="n">
        <v>0</v>
      </c>
      <c r="D176" t="n">
        <v>0</v>
      </c>
      <c r="E176" t="n">
        <v>0</v>
      </c>
      <c r="F176" t="n">
        <v>0</v>
      </c>
      <c r="G176" t="inlineStr">
        <is>
          <t>wheat</t>
        </is>
      </c>
      <c r="H176" t="n">
        <v>64</v>
      </c>
      <c r="I176" t="n">
        <v>6</v>
      </c>
      <c r="J176" t="n">
        <v>64.75</v>
      </c>
      <c r="K176" t="n">
        <v>64.75</v>
      </c>
      <c r="L176" t="n">
        <v>0</v>
      </c>
      <c r="M176" t="n">
        <v>64</v>
      </c>
      <c r="N176" t="n">
        <v>6</v>
      </c>
    </row>
    <row r="177">
      <c r="A177" t="inlineStr">
        <is>
          <t>Wheat</t>
        </is>
      </c>
      <c r="B177" t="inlineStr">
        <is>
          <t>23 quarters 5 bushels from churchscot.</t>
        </is>
      </c>
      <c r="C177" t="n">
        <v>0</v>
      </c>
      <c r="D177" t="n">
        <v>0</v>
      </c>
      <c r="E177" t="n">
        <v>0</v>
      </c>
      <c r="F177" t="n">
        <v>0</v>
      </c>
      <c r="H177" t="n">
        <v>23</v>
      </c>
      <c r="I177" t="n">
        <v>5</v>
      </c>
      <c r="J177" t="n">
        <v>23.625</v>
      </c>
      <c r="K177" t="n">
        <v>23.625</v>
      </c>
      <c r="L177" t="n">
        <v>0</v>
      </c>
      <c r="M177" t="n">
        <v>23</v>
      </c>
      <c r="N177" t="n">
        <v>5</v>
      </c>
    </row>
    <row r="178">
      <c r="A178" t="inlineStr">
        <is>
          <t>Wheat</t>
        </is>
      </c>
      <c r="B178" t="inlineStr">
        <is>
          <t>Total, 88 quarters 3 bushels</t>
        </is>
      </c>
      <c r="C178" t="n">
        <v>0</v>
      </c>
      <c r="D178" t="n">
        <v>0</v>
      </c>
      <c r="E178" t="n">
        <v>0</v>
      </c>
      <c r="F178" t="n">
        <v>0</v>
      </c>
      <c r="H178" t="n">
        <v>88</v>
      </c>
      <c r="I178" t="n">
        <v>3</v>
      </c>
      <c r="J178" t="n">
        <v>88.375</v>
      </c>
      <c r="K178" t="n">
        <v>88.375</v>
      </c>
      <c r="L178" t="n">
        <v>0</v>
      </c>
      <c r="M178" t="n">
        <v>88</v>
      </c>
      <c r="N178" t="n">
        <v>3</v>
      </c>
    </row>
    <row r="179">
      <c r="A179" t="inlineStr">
        <is>
          <t>Wheat</t>
        </is>
      </c>
      <c r="B179" t="inlineStr">
        <is>
          <t>Sown over 43 acres in the fields of Rowele, Mol' I and la Rude, 16 quarters 1 bushels.</t>
        </is>
      </c>
      <c r="C179" t="n">
        <v>0</v>
      </c>
      <c r="D179" t="n">
        <v>0</v>
      </c>
      <c r="E179" t="n">
        <v>0</v>
      </c>
      <c r="F179" t="n">
        <v>0</v>
      </c>
      <c r="H179" t="n">
        <v>16</v>
      </c>
      <c r="I179" t="n">
        <v>1</v>
      </c>
      <c r="J179" t="n">
        <v>16.125</v>
      </c>
      <c r="K179" t="n">
        <v>16.125</v>
      </c>
      <c r="L179" t="n">
        <v>0</v>
      </c>
      <c r="M179" t="n">
        <v>16</v>
      </c>
      <c r="N179" t="n">
        <v>1</v>
      </c>
    </row>
    <row r="180">
      <c r="A180" t="inlineStr">
        <is>
          <t>Wheat</t>
        </is>
      </c>
      <c r="B180" t="inlineStr">
        <is>
          <t>that is, 3 bushels an acre.</t>
        </is>
      </c>
      <c r="C180" t="n">
        <v>0</v>
      </c>
      <c r="D180" t="n">
        <v>0</v>
      </c>
      <c r="E180" t="n">
        <v>0</v>
      </c>
      <c r="F180" t="n">
        <v>0</v>
      </c>
      <c r="H180" t="n">
        <v>0</v>
      </c>
      <c r="I180" t="n">
        <v>3</v>
      </c>
      <c r="J180" t="n">
        <v>0.375</v>
      </c>
      <c r="K180" t="n">
        <v>0.375</v>
      </c>
      <c r="L180" t="n">
        <v>0</v>
      </c>
      <c r="M180" t="n">
        <v>0</v>
      </c>
      <c r="N180" t="n">
        <v>3</v>
      </c>
    </row>
    <row r="181">
      <c r="A181" t="inlineStr">
        <is>
          <t>Wheat</t>
        </is>
      </c>
      <c r="B181" t="inlineStr">
        <is>
          <t>.</t>
        </is>
      </c>
      <c r="C181" t="n">
        <v>0</v>
      </c>
      <c r="D181" t="n">
        <v>0</v>
      </c>
      <c r="E181" t="n">
        <v>0</v>
      </c>
      <c r="F181" t="n">
        <v>0</v>
      </c>
      <c r="H181" t="n">
        <v>0</v>
      </c>
      <c r="I181" t="n">
        <v>0</v>
      </c>
      <c r="J181" t="n">
        <v>0</v>
      </c>
      <c r="K181" t="n">
        <v>0</v>
      </c>
      <c r="L181" t="n">
        <v>0</v>
      </c>
      <c r="M181" t="n">
        <v>0</v>
      </c>
      <c r="N181" t="n">
        <v>0</v>
      </c>
    </row>
    <row r="182">
      <c r="A182" t="inlineStr">
        <is>
          <t>Wheat</t>
        </is>
      </c>
      <c r="B182" t="inlineStr">
        <is>
          <t>provision of Simon, clerk, for 2 tourns, 4 bushels.</t>
        </is>
      </c>
      <c r="C182" t="n">
        <v>0</v>
      </c>
      <c r="D182" t="n">
        <v>0</v>
      </c>
      <c r="E182" t="n">
        <v>0</v>
      </c>
      <c r="F182" t="n">
        <v>0</v>
      </c>
      <c r="H182" t="n">
        <v>0</v>
      </c>
      <c r="I182" t="n">
        <v>4</v>
      </c>
      <c r="J182" t="n">
        <v>0.5</v>
      </c>
      <c r="K182" t="n">
        <v>0.5</v>
      </c>
      <c r="L182" t="n">
        <v>0</v>
      </c>
      <c r="M182" t="n">
        <v>0</v>
      </c>
      <c r="N182" t="n">
        <v>4</v>
      </c>
    </row>
    <row r="183">
      <c r="A183" t="inlineStr">
        <is>
          <t>Wheat</t>
        </is>
      </c>
      <c r="B183" t="inlineStr">
        <is>
          <t>provision of the bailiff for the year, 11 quarters 2 bushels Sold, 60.5 quarters.</t>
        </is>
      </c>
      <c r="C183" t="n">
        <v>0</v>
      </c>
      <c r="D183" t="n">
        <v>0</v>
      </c>
      <c r="E183" t="n">
        <v>0</v>
      </c>
      <c r="F183" t="n">
        <v>0</v>
      </c>
      <c r="H183" t="n">
        <v>60.5</v>
      </c>
      <c r="I183" t="n">
        <v>2</v>
      </c>
      <c r="J183" t="n">
        <v>60.75</v>
      </c>
      <c r="K183" t="n">
        <v>11.25</v>
      </c>
      <c r="L183" t="n">
        <v>49.5</v>
      </c>
      <c r="M183" t="n">
        <v>11</v>
      </c>
      <c r="N183" t="n">
        <v>2</v>
      </c>
      <c r="O183" t="n">
        <v>60.5</v>
      </c>
      <c r="P183" t="n">
        <v>0</v>
      </c>
    </row>
    <row r="184">
      <c r="A184" t="inlineStr">
        <is>
          <t>Curall</t>
        </is>
      </c>
      <c r="B184" t="inlineStr">
        <is>
          <t>The same render account for 1 quarters 2 bushels from the whole issue of curall from the grange in the granary without heaped measure.</t>
        </is>
      </c>
      <c r="C184" t="n">
        <v>0</v>
      </c>
      <c r="D184" t="n">
        <v>0</v>
      </c>
      <c r="E184" t="n">
        <v>0</v>
      </c>
      <c r="F184" t="n">
        <v>0</v>
      </c>
      <c r="G184" t="inlineStr">
        <is>
          <t>curall</t>
        </is>
      </c>
      <c r="H184" t="n">
        <v>1</v>
      </c>
      <c r="I184" t="n">
        <v>2</v>
      </c>
      <c r="J184" t="n">
        <v>1.25</v>
      </c>
      <c r="K184" t="n">
        <v>1.25</v>
      </c>
      <c r="L184" t="n">
        <v>0</v>
      </c>
      <c r="M184" t="n">
        <v>1</v>
      </c>
      <c r="N184" t="n">
        <v>2</v>
      </c>
    </row>
    <row r="185">
      <c r="A185" t="inlineStr">
        <is>
          <t>Curall</t>
        </is>
      </c>
      <c r="B185" t="inlineStr">
        <is>
          <t>Mixed with barley for the liveries of the manorial servants, 5 bushels Sold, 5 bushels</t>
        </is>
      </c>
      <c r="C185" t="n">
        <v>0</v>
      </c>
      <c r="D185" t="n">
        <v>0</v>
      </c>
      <c r="E185" t="n">
        <v>0</v>
      </c>
      <c r="F185" t="n">
        <v>0</v>
      </c>
      <c r="G185" t="inlineStr">
        <is>
          <t>barley</t>
        </is>
      </c>
      <c r="H185" t="n">
        <v>0</v>
      </c>
      <c r="I185" t="n">
        <v>5</v>
      </c>
      <c r="J185" t="n">
        <v>0.625</v>
      </c>
      <c r="K185" t="n">
        <v>0.625</v>
      </c>
      <c r="L185" t="n">
        <v>0</v>
      </c>
      <c r="M185" t="n">
        <v>0</v>
      </c>
      <c r="N185" t="n">
        <v>5</v>
      </c>
      <c r="O185" t="n">
        <v>0</v>
      </c>
      <c r="P185" t="n">
        <v>5</v>
      </c>
    </row>
    <row r="186">
      <c r="A186" t="inlineStr">
        <is>
          <t>Barley</t>
        </is>
      </c>
      <c r="B186" t="inlineStr">
        <is>
          <t>{yield: three-fold less 5 quarters 2 bushels}</t>
        </is>
      </c>
      <c r="C186" t="n">
        <v>0</v>
      </c>
      <c r="D186" t="n">
        <v>0</v>
      </c>
      <c r="E186" t="n">
        <v>0</v>
      </c>
      <c r="F186" t="n">
        <v>0</v>
      </c>
      <c r="H186" t="n">
        <v>5</v>
      </c>
      <c r="I186" t="n">
        <v>2</v>
      </c>
      <c r="J186" t="n">
        <v>5.25</v>
      </c>
      <c r="K186" t="n">
        <v>5.25</v>
      </c>
      <c r="L186" t="n">
        <v>0</v>
      </c>
      <c r="M186" t="n">
        <v>5</v>
      </c>
      <c r="N186" t="n">
        <v>2</v>
      </c>
    </row>
    <row r="187">
      <c r="A187" t="inlineStr">
        <is>
          <t>Barley</t>
        </is>
      </c>
      <c r="B187" t="inlineStr">
        <is>
          <t>The same render account for 35 quarters 2 bushels from the whole issue of barley from the grange in the granary without heaped measure.</t>
        </is>
      </c>
      <c r="C187" t="n">
        <v>0</v>
      </c>
      <c r="D187" t="n">
        <v>0</v>
      </c>
      <c r="E187" t="n">
        <v>0</v>
      </c>
      <c r="F187" t="n">
        <v>0</v>
      </c>
      <c r="G187" t="inlineStr">
        <is>
          <t>barley</t>
        </is>
      </c>
      <c r="H187" t="n">
        <v>35</v>
      </c>
      <c r="I187" t="n">
        <v>2</v>
      </c>
      <c r="J187" t="n">
        <v>35.25</v>
      </c>
      <c r="K187" t="n">
        <v>35.25</v>
      </c>
      <c r="L187" t="n">
        <v>0</v>
      </c>
      <c r="M187" t="n">
        <v>35</v>
      </c>
      <c r="N187" t="n">
        <v>2</v>
      </c>
    </row>
    <row r="188">
      <c r="A188" t="inlineStr">
        <is>
          <t>Barley</t>
        </is>
      </c>
      <c r="B188" t="inlineStr">
        <is>
          <t>5 bushels of curall received for the liveries of the manorial servants.</t>
        </is>
      </c>
      <c r="C188" t="n">
        <v>0</v>
      </c>
      <c r="D188" t="n">
        <v>0</v>
      </c>
      <c r="E188" t="n">
        <v>0</v>
      </c>
      <c r="F188" t="n">
        <v>0</v>
      </c>
      <c r="G188" t="inlineStr">
        <is>
          <t>curall</t>
        </is>
      </c>
      <c r="H188" t="n">
        <v>0</v>
      </c>
      <c r="I188" t="n">
        <v>5</v>
      </c>
      <c r="J188" t="n">
        <v>0.625</v>
      </c>
      <c r="K188" t="n">
        <v>0.625</v>
      </c>
      <c r="L188" t="n">
        <v>0</v>
      </c>
      <c r="M188" t="n">
        <v>0</v>
      </c>
      <c r="N188" t="n">
        <v>5</v>
      </c>
    </row>
    <row r="189">
      <c r="A189" t="inlineStr">
        <is>
          <t>Barley</t>
        </is>
      </c>
      <c r="B189" t="inlineStr">
        <is>
          <t>1 bushels of vetches received for the same.</t>
        </is>
      </c>
      <c r="C189" t="n">
        <v>0</v>
      </c>
      <c r="D189" t="n">
        <v>0</v>
      </c>
      <c r="E189" t="n">
        <v>0</v>
      </c>
      <c r="F189" t="n">
        <v>0</v>
      </c>
      <c r="G189" t="inlineStr">
        <is>
          <t>vetches</t>
        </is>
      </c>
      <c r="H189" t="n">
        <v>0</v>
      </c>
      <c r="I189" t="n">
        <v>1</v>
      </c>
      <c r="J189" t="n">
        <v>0.125</v>
      </c>
      <c r="K189" t="n">
        <v>0.125</v>
      </c>
      <c r="L189" t="n">
        <v>0</v>
      </c>
      <c r="M189" t="n">
        <v>0</v>
      </c>
      <c r="N189" t="n">
        <v>1</v>
      </c>
    </row>
    <row r="190">
      <c r="A190" t="inlineStr">
        <is>
          <t>Barley</t>
        </is>
      </c>
      <c r="B190" t="inlineStr">
        <is>
          <t>Total, 36 quarters.</t>
        </is>
      </c>
      <c r="C190" t="n">
        <v>0</v>
      </c>
      <c r="D190" t="n">
        <v>0</v>
      </c>
      <c r="E190" t="n">
        <v>0</v>
      </c>
      <c r="F190" t="n">
        <v>0</v>
      </c>
      <c r="H190" t="n">
        <v>36</v>
      </c>
      <c r="I190" t="n">
        <v>0</v>
      </c>
      <c r="J190" t="n">
        <v>36</v>
      </c>
      <c r="K190" t="n">
        <v>36</v>
      </c>
      <c r="L190" t="n">
        <v>0</v>
      </c>
      <c r="M190" t="n">
        <v>36</v>
      </c>
      <c r="N190" t="n">
        <v>0</v>
      </c>
    </row>
    <row r="191">
      <c r="A191" t="inlineStr">
        <is>
          <t>Barley</t>
        </is>
      </c>
      <c r="B191" t="inlineStr">
        <is>
          <t>Sown over 23 acres in the field of Bradewey and beside the sheepcote, 11.5 quarters.</t>
        </is>
      </c>
      <c r="C191" t="n">
        <v>0</v>
      </c>
      <c r="D191" t="n">
        <v>0</v>
      </c>
      <c r="E191" t="n">
        <v>0</v>
      </c>
      <c r="F191" t="n">
        <v>0</v>
      </c>
      <c r="H191" t="n">
        <v>11.5</v>
      </c>
      <c r="I191" t="n">
        <v>0</v>
      </c>
      <c r="J191" t="n">
        <v>11.5</v>
      </c>
      <c r="K191" t="n">
        <v>11.5</v>
      </c>
      <c r="L191" t="n">
        <v>0</v>
      </c>
      <c r="M191" t="n">
        <v>11.5</v>
      </c>
      <c r="N191" t="n">
        <v>0</v>
      </c>
    </row>
    <row r="192">
      <c r="A192" t="inlineStr">
        <is>
          <t>Barley</t>
        </is>
      </c>
      <c r="B192" t="inlineStr">
        <is>
          <t>that is, .5 quarters an acre.</t>
        </is>
      </c>
      <c r="C192" t="n">
        <v>0</v>
      </c>
      <c r="D192" t="n">
        <v>0</v>
      </c>
      <c r="E192" t="n">
        <v>0</v>
      </c>
      <c r="F192" t="n">
        <v>0</v>
      </c>
      <c r="H192" t="n">
        <v>5</v>
      </c>
      <c r="I192" t="n">
        <v>0</v>
      </c>
      <c r="J192" t="n">
        <v>5</v>
      </c>
      <c r="K192" t="n">
        <v>5</v>
      </c>
      <c r="L192" t="n">
        <v>0</v>
      </c>
      <c r="M192" t="n">
        <v>5</v>
      </c>
      <c r="N192" t="n">
        <v>0</v>
      </c>
    </row>
    <row r="193">
      <c r="A193" t="inlineStr">
        <is>
          <t>Barley</t>
        </is>
      </c>
      <c r="B193" t="inlineStr">
        <is>
          <t>Delivered to 1 carter for the year, 6.5 quarters, taking a quarter every 8 weeks.</t>
        </is>
      </c>
      <c r="C193" t="n">
        <v>0</v>
      </c>
      <c r="D193" t="n">
        <v>0</v>
      </c>
      <c r="E193" t="n">
        <v>0</v>
      </c>
      <c r="F193" t="n">
        <v>0</v>
      </c>
      <c r="H193" t="n">
        <v>6.5</v>
      </c>
      <c r="I193" t="n">
        <v>0</v>
      </c>
      <c r="J193" t="n">
        <v>6.5</v>
      </c>
      <c r="K193" t="n">
        <v>6.5</v>
      </c>
      <c r="L193" t="n">
        <v>0</v>
      </c>
      <c r="M193" t="n">
        <v>6.5</v>
      </c>
      <c r="N193" t="n">
        <v>0</v>
      </c>
    </row>
    <row r="194">
      <c r="A194" t="inlineStr">
        <is>
          <t>Barley</t>
        </is>
      </c>
      <c r="B194" t="inlineStr">
        <is>
          <t>Delivered to 1 man who is in place of the dairymaid and who makes the cheese and keeps the garden and does other work in the curia, 5 quarters 1.5 bushels, taking a quarter every 10 weeks.</t>
        </is>
      </c>
      <c r="C194" t="n">
        <v>0</v>
      </c>
      <c r="D194" t="n">
        <v>0</v>
      </c>
      <c r="E194" t="n">
        <v>0</v>
      </c>
      <c r="F194" t="n">
        <v>0</v>
      </c>
      <c r="H194" t="n">
        <v>5</v>
      </c>
      <c r="I194" t="n">
        <v>1.5</v>
      </c>
      <c r="J194" t="n">
        <v>5.1875</v>
      </c>
      <c r="K194" t="n">
        <v>5.1875</v>
      </c>
      <c r="L194" t="n">
        <v>0</v>
      </c>
      <c r="M194" t="n">
        <v>5</v>
      </c>
      <c r="N194" t="n">
        <v>1.5</v>
      </c>
    </row>
    <row r="195">
      <c r="A195" t="inlineStr">
        <is>
          <t>Barley</t>
        </is>
      </c>
      <c r="B195" t="inlineStr">
        <is>
          <t>Delivered to 1 harrower, 4 bushels.</t>
        </is>
      </c>
      <c r="C195" t="n">
        <v>0</v>
      </c>
      <c r="D195" t="n">
        <v>0</v>
      </c>
      <c r="E195" t="n">
        <v>0</v>
      </c>
      <c r="F195" t="n">
        <v>0</v>
      </c>
      <c r="H195" t="n">
        <v>0</v>
      </c>
      <c r="I195" t="n">
        <v>4</v>
      </c>
      <c r="J195" t="n">
        <v>0.5</v>
      </c>
      <c r="K195" t="n">
        <v>0.5</v>
      </c>
      <c r="L195" t="n">
        <v>0</v>
      </c>
      <c r="M195" t="n">
        <v>0</v>
      </c>
      <c r="N195" t="n">
        <v>4</v>
      </c>
    </row>
    <row r="196">
      <c r="A196" t="inlineStr">
        <is>
          <t>Barley</t>
        </is>
      </c>
      <c r="B196" t="inlineStr">
        <is>
          <t>provision of the bailiff's attendant, 2 quarters.</t>
        </is>
      </c>
      <c r="C196" t="n">
        <v>0</v>
      </c>
      <c r="D196" t="n">
        <v>0</v>
      </c>
      <c r="E196" t="n">
        <v>0</v>
      </c>
      <c r="F196" t="n">
        <v>0</v>
      </c>
      <c r="H196" t="n">
        <v>2</v>
      </c>
      <c r="I196" t="n">
        <v>0</v>
      </c>
      <c r="J196" t="n">
        <v>2</v>
      </c>
      <c r="K196" t="n">
        <v>2</v>
      </c>
      <c r="L196" t="n">
        <v>0</v>
      </c>
      <c r="M196" t="n">
        <v>2</v>
      </c>
      <c r="N196" t="n">
        <v>0</v>
      </c>
    </row>
    <row r="197">
      <c r="A197" t="inlineStr">
        <is>
          <t>Barley</t>
        </is>
      </c>
      <c r="B197" t="inlineStr">
        <is>
          <t>Delivered to 1 keeper of lambs on Fobedon' with the lambs of Wield for 23 weeks, 2 quarters 2 bushels.</t>
        </is>
      </c>
      <c r="C197" t="n">
        <v>0</v>
      </c>
      <c r="D197" t="n">
        <v>0</v>
      </c>
      <c r="E197" t="n">
        <v>0</v>
      </c>
      <c r="F197" t="n">
        <v>0</v>
      </c>
      <c r="H197" t="n">
        <v>2</v>
      </c>
      <c r="I197" t="n">
        <v>2</v>
      </c>
      <c r="J197" t="n">
        <v>2.25</v>
      </c>
      <c r="K197" t="n">
        <v>2.25</v>
      </c>
      <c r="L197" t="n">
        <v>0</v>
      </c>
      <c r="M197" t="n">
        <v>2</v>
      </c>
      <c r="N197" t="n">
        <v>2</v>
      </c>
    </row>
    <row r="198">
      <c r="A198" t="inlineStr">
        <is>
          <t>Barley</t>
        </is>
      </c>
      <c r="B198" t="inlineStr">
        <is>
          <t>customary payment to the swineherd this year, 6 bushels Sold, 6.5 quarters.</t>
        </is>
      </c>
      <c r="C198" t="n">
        <v>0</v>
      </c>
      <c r="D198" t="n">
        <v>0</v>
      </c>
      <c r="E198" t="n">
        <v>0</v>
      </c>
      <c r="F198" t="n">
        <v>0</v>
      </c>
      <c r="H198" t="n">
        <v>6.5</v>
      </c>
      <c r="I198" t="n">
        <v>6</v>
      </c>
      <c r="J198" t="n">
        <v>7.25</v>
      </c>
      <c r="K198" t="n">
        <v>0.75</v>
      </c>
      <c r="L198" t="n">
        <v>6.5</v>
      </c>
      <c r="M198" t="n">
        <v>0</v>
      </c>
      <c r="N198" t="n">
        <v>6</v>
      </c>
      <c r="O198" t="n">
        <v>6.5</v>
      </c>
      <c r="P198" t="n">
        <v>0</v>
      </c>
    </row>
    <row r="199">
      <c r="A199" t="inlineStr">
        <is>
          <t>Barley</t>
        </is>
      </c>
      <c r="B199" t="inlineStr">
        <is>
          <t>Sold at the audit, 6.5 bushels</t>
        </is>
      </c>
      <c r="C199" t="n">
        <v>0</v>
      </c>
      <c r="D199" t="n">
        <v>0</v>
      </c>
      <c r="E199" t="n">
        <v>0</v>
      </c>
      <c r="F199" t="n">
        <v>0</v>
      </c>
      <c r="H199" t="n">
        <v>0</v>
      </c>
      <c r="I199" t="n">
        <v>6.5</v>
      </c>
      <c r="J199" t="n">
        <v>0.8125</v>
      </c>
      <c r="K199" t="n">
        <v>0.8125</v>
      </c>
      <c r="L199" t="n">
        <v>0</v>
      </c>
      <c r="M199" t="n">
        <v>0</v>
      </c>
      <c r="N199" t="n">
        <v>6.5</v>
      </c>
    </row>
    <row r="200">
      <c r="A200" t="inlineStr">
        <is>
          <t>Oats</t>
        </is>
      </c>
      <c r="B200" t="inlineStr">
        <is>
          <t>{yield: two-fold less 7.5 quarters}</t>
        </is>
      </c>
      <c r="C200" t="n">
        <v>0</v>
      </c>
      <c r="D200" t="n">
        <v>0</v>
      </c>
      <c r="E200" t="n">
        <v>0</v>
      </c>
      <c r="F200" t="n">
        <v>0</v>
      </c>
      <c r="H200" t="n">
        <v>7.5</v>
      </c>
      <c r="I200" t="n">
        <v>0</v>
      </c>
      <c r="J200" t="n">
        <v>7.5</v>
      </c>
      <c r="K200" t="n">
        <v>7.5</v>
      </c>
      <c r="L200" t="n">
        <v>0</v>
      </c>
      <c r="M200" t="n">
        <v>7.5</v>
      </c>
      <c r="N200" t="n">
        <v>0</v>
      </c>
    </row>
    <row r="201">
      <c r="A201" t="inlineStr">
        <is>
          <t>Oats</t>
        </is>
      </c>
      <c r="B201" t="inlineStr">
        <is>
          <t>The same render account for 60 quarters from the whole issue of oats from the grange in the granary without heaped measure.</t>
        </is>
      </c>
      <c r="C201" t="n">
        <v>0</v>
      </c>
      <c r="D201" t="n">
        <v>0</v>
      </c>
      <c r="E201" t="n">
        <v>0</v>
      </c>
      <c r="F201" t="n">
        <v>0</v>
      </c>
      <c r="G201" t="inlineStr">
        <is>
          <t>oats</t>
        </is>
      </c>
      <c r="H201" t="n">
        <v>60</v>
      </c>
      <c r="I201" t="n">
        <v>0</v>
      </c>
      <c r="J201" t="n">
        <v>60</v>
      </c>
      <c r="K201" t="n">
        <v>60</v>
      </c>
      <c r="L201" t="n">
        <v>0</v>
      </c>
      <c r="M201" t="n">
        <v>60</v>
      </c>
      <c r="N201" t="n">
        <v>0</v>
      </c>
    </row>
    <row r="202">
      <c r="A202" t="inlineStr">
        <is>
          <t>Oats</t>
        </is>
      </c>
      <c r="B202" t="inlineStr">
        <is>
          <t>15 quarters by estimation in sheaves given to oxen.</t>
        </is>
      </c>
      <c r="C202" t="n">
        <v>0</v>
      </c>
      <c r="D202" t="n">
        <v>0</v>
      </c>
      <c r="E202" t="n">
        <v>0</v>
      </c>
      <c r="F202" t="n">
        <v>0</v>
      </c>
      <c r="H202" t="n">
        <v>15</v>
      </c>
      <c r="I202" t="n">
        <v>0</v>
      </c>
      <c r="J202" t="n">
        <v>15</v>
      </c>
      <c r="K202" t="n">
        <v>15</v>
      </c>
      <c r="L202" t="n">
        <v>0</v>
      </c>
      <c r="M202" t="n">
        <v>15</v>
      </c>
      <c r="N202" t="n">
        <v>0</v>
      </c>
    </row>
    <row r="203">
      <c r="A203" t="inlineStr">
        <is>
          <t>Oats</t>
        </is>
      </c>
      <c r="B203" t="inlineStr">
        <is>
          <t>15 quarters bought.</t>
        </is>
      </c>
      <c r="C203" t="n">
        <v>0</v>
      </c>
      <c r="D203" t="n">
        <v>0</v>
      </c>
      <c r="E203" t="n">
        <v>0</v>
      </c>
      <c r="F203" t="n">
        <v>0</v>
      </c>
      <c r="H203" t="n">
        <v>15</v>
      </c>
      <c r="I203" t="n">
        <v>0</v>
      </c>
      <c r="J203" t="n">
        <v>15</v>
      </c>
      <c r="K203" t="n">
        <v>15</v>
      </c>
      <c r="L203" t="n">
        <v>0</v>
      </c>
      <c r="M203" t="n">
        <v>15</v>
      </c>
      <c r="N203" t="n">
        <v>0</v>
      </c>
    </row>
    <row r="204">
      <c r="A204" t="inlineStr">
        <is>
          <t>Oats</t>
        </is>
      </c>
      <c r="B204" t="inlineStr">
        <is>
          <t>Total, 90 quarters.</t>
        </is>
      </c>
      <c r="C204" t="n">
        <v>0</v>
      </c>
      <c r="D204" t="n">
        <v>0</v>
      </c>
      <c r="E204" t="n">
        <v>0</v>
      </c>
      <c r="F204" t="n">
        <v>0</v>
      </c>
      <c r="H204" t="n">
        <v>90</v>
      </c>
      <c r="I204" t="n">
        <v>0</v>
      </c>
      <c r="J204" t="n">
        <v>90</v>
      </c>
      <c r="K204" t="n">
        <v>90</v>
      </c>
      <c r="L204" t="n">
        <v>0</v>
      </c>
      <c r="M204" t="n">
        <v>90</v>
      </c>
      <c r="N204" t="n">
        <v>0</v>
      </c>
    </row>
    <row r="205">
      <c r="A205" t="inlineStr">
        <is>
          <t>Oats</t>
        </is>
      </c>
      <c r="B205" t="inlineStr">
        <is>
          <t>Sown over 72 acres in the fields of Rowele, Holecumbe and la Rude, 36 quarters.</t>
        </is>
      </c>
      <c r="C205" t="n">
        <v>0</v>
      </c>
      <c r="D205" t="n">
        <v>0</v>
      </c>
      <c r="E205" t="n">
        <v>0</v>
      </c>
      <c r="F205" t="n">
        <v>0</v>
      </c>
      <c r="H205" t="n">
        <v>36</v>
      </c>
      <c r="I205" t="n">
        <v>0</v>
      </c>
      <c r="J205" t="n">
        <v>36</v>
      </c>
      <c r="K205" t="n">
        <v>36</v>
      </c>
      <c r="L205" t="n">
        <v>0</v>
      </c>
      <c r="M205" t="n">
        <v>36</v>
      </c>
      <c r="N205" t="n">
        <v>0</v>
      </c>
    </row>
    <row r="206">
      <c r="A206" t="inlineStr">
        <is>
          <t>Oats</t>
        </is>
      </c>
      <c r="B206" t="inlineStr">
        <is>
          <t>that is, .5 quarters an acre.</t>
        </is>
      </c>
      <c r="C206" t="n">
        <v>0</v>
      </c>
      <c r="D206" t="n">
        <v>0</v>
      </c>
      <c r="E206" t="n">
        <v>0</v>
      </c>
      <c r="F206" t="n">
        <v>0</v>
      </c>
      <c r="H206" t="n">
        <v>5</v>
      </c>
      <c r="I206" t="n">
        <v>0</v>
      </c>
      <c r="J206" t="n">
        <v>5</v>
      </c>
      <c r="K206" t="n">
        <v>5</v>
      </c>
      <c r="L206" t="n">
        <v>0</v>
      </c>
      <c r="M206" t="n">
        <v>5</v>
      </c>
      <c r="N206" t="n">
        <v>0</v>
      </c>
    </row>
    <row r="207">
      <c r="A207" t="inlineStr">
        <is>
          <t>Oats</t>
        </is>
      </c>
      <c r="B207" t="inlineStr">
        <is>
          <t>.</t>
        </is>
      </c>
      <c r="C207" t="n">
        <v>0</v>
      </c>
      <c r="D207" t="n">
        <v>0</v>
      </c>
      <c r="E207" t="n">
        <v>0</v>
      </c>
      <c r="F207" t="n">
        <v>0</v>
      </c>
      <c r="H207" t="n">
        <v>0</v>
      </c>
      <c r="I207" t="n">
        <v>0</v>
      </c>
      <c r="J207" t="n">
        <v>0</v>
      </c>
      <c r="K207" t="n">
        <v>0</v>
      </c>
      <c r="L207" t="n">
        <v>0</v>
      </c>
      <c r="M207" t="n">
        <v>0</v>
      </c>
      <c r="N207" t="n">
        <v>0</v>
      </c>
    </row>
    <row r="208">
      <c r="A208" t="inlineStr">
        <is>
          <t>Oats</t>
        </is>
      </c>
      <c r="B208" t="inlineStr">
        <is>
          <t>fodder of 3 cart-horses harrowing at both sowings, 18.5 quarters.</t>
        </is>
      </c>
      <c r="C208" t="n">
        <v>0</v>
      </c>
      <c r="D208" t="n">
        <v>0</v>
      </c>
      <c r="E208" t="n">
        <v>0</v>
      </c>
      <c r="F208" t="n">
        <v>0</v>
      </c>
      <c r="H208" t="n">
        <v>18.5</v>
      </c>
      <c r="I208" t="n">
        <v>0</v>
      </c>
      <c r="J208" t="n">
        <v>18.5</v>
      </c>
      <c r="K208" t="n">
        <v>18.5</v>
      </c>
      <c r="L208" t="n">
        <v>0</v>
      </c>
      <c r="M208" t="n">
        <v>18.5</v>
      </c>
      <c r="N208" t="n">
        <v>0</v>
      </c>
    </row>
    <row r="209">
      <c r="A209" t="inlineStr">
        <is>
          <t>Oats</t>
        </is>
      </c>
      <c r="B209" t="inlineStr">
        <is>
          <t>.</t>
        </is>
      </c>
      <c r="C209" t="n">
        <v>0</v>
      </c>
      <c r="D209" t="n">
        <v>0</v>
      </c>
      <c r="E209" t="n">
        <v>0</v>
      </c>
      <c r="F209" t="n">
        <v>0</v>
      </c>
      <c r="H209" t="n">
        <v>0</v>
      </c>
      <c r="I209" t="n">
        <v>0</v>
      </c>
      <c r="J209" t="n">
        <v>0</v>
      </c>
      <c r="K209" t="n">
        <v>0</v>
      </c>
      <c r="L209" t="n">
        <v>0</v>
      </c>
      <c r="M209" t="n">
        <v>0</v>
      </c>
      <c r="N209" t="n">
        <v>0</v>
      </c>
    </row>
    <row r="210">
      <c r="A210" t="inlineStr">
        <is>
          <t>Oats</t>
        </is>
      </c>
      <c r="B210" t="inlineStr">
        <is>
          <t>fodder of oxen by estimation in sheaves, 15 quarters.</t>
        </is>
      </c>
      <c r="C210" t="n">
        <v>0</v>
      </c>
      <c r="D210" t="n">
        <v>0</v>
      </c>
      <c r="E210" t="n">
        <v>0</v>
      </c>
      <c r="F210" t="n">
        <v>0</v>
      </c>
      <c r="H210" t="n">
        <v>15</v>
      </c>
      <c r="I210" t="n">
        <v>0</v>
      </c>
      <c r="J210" t="n">
        <v>15</v>
      </c>
      <c r="K210" t="n">
        <v>15</v>
      </c>
      <c r="L210" t="n">
        <v>0</v>
      </c>
      <c r="M210" t="n">
        <v>15</v>
      </c>
      <c r="N210" t="n">
        <v>0</v>
      </c>
    </row>
    <row r="211">
      <c r="A211" t="inlineStr">
        <is>
          <t>Oats</t>
        </is>
      </c>
      <c r="B211" t="inlineStr">
        <is>
          <t>.</t>
        </is>
      </c>
      <c r="C211" t="n">
        <v>0</v>
      </c>
      <c r="D211" t="n">
        <v>0</v>
      </c>
      <c r="E211" t="n">
        <v>0</v>
      </c>
      <c r="F211" t="n">
        <v>0</v>
      </c>
      <c r="H211" t="n">
        <v>0</v>
      </c>
      <c r="I211" t="n">
        <v>0</v>
      </c>
      <c r="J211" t="n">
        <v>0</v>
      </c>
      <c r="K211" t="n">
        <v>0</v>
      </c>
      <c r="L211" t="n">
        <v>0</v>
      </c>
      <c r="M211" t="n">
        <v>0</v>
      </c>
      <c r="N211" t="n">
        <v>0</v>
      </c>
    </row>
    <row r="212">
      <c r="A212" t="inlineStr">
        <is>
          <t>Oats</t>
        </is>
      </c>
      <c r="B212" t="inlineStr">
        <is>
          <t>fodder of the horses of Simon, clerk, for 2 tourns, 4 bushels.</t>
        </is>
      </c>
      <c r="C212" t="n">
        <v>0</v>
      </c>
      <c r="D212" t="n">
        <v>0</v>
      </c>
      <c r="E212" t="n">
        <v>0</v>
      </c>
      <c r="F212" t="n">
        <v>0</v>
      </c>
      <c r="H212" t="n">
        <v>0</v>
      </c>
      <c r="I212" t="n">
        <v>4</v>
      </c>
      <c r="J212" t="n">
        <v>0.5</v>
      </c>
      <c r="K212" t="n">
        <v>0.5</v>
      </c>
      <c r="L212" t="n">
        <v>0</v>
      </c>
      <c r="M212" t="n">
        <v>0</v>
      </c>
      <c r="N212" t="n">
        <v>4</v>
      </c>
    </row>
    <row r="213">
      <c r="A213" t="inlineStr">
        <is>
          <t>Oats</t>
        </is>
      </c>
      <c r="B213" t="inlineStr">
        <is>
          <t>fodder of the bailiff's horse for the year, 18 quarters.</t>
        </is>
      </c>
      <c r="C213" t="n">
        <v>0</v>
      </c>
      <c r="D213" t="n">
        <v>0</v>
      </c>
      <c r="E213" t="n">
        <v>0</v>
      </c>
      <c r="F213" t="n">
        <v>0</v>
      </c>
      <c r="H213" t="n">
        <v>18</v>
      </c>
      <c r="I213" t="n">
        <v>0</v>
      </c>
      <c r="J213" t="n">
        <v>18</v>
      </c>
      <c r="K213" t="n">
        <v>18</v>
      </c>
      <c r="L213" t="n">
        <v>0</v>
      </c>
      <c r="M213" t="n">
        <v>18</v>
      </c>
      <c r="N213" t="n">
        <v>0</v>
      </c>
    </row>
    <row r="214">
      <c r="A214" t="inlineStr">
        <is>
          <t>Oats</t>
        </is>
      </c>
      <c r="B214" t="inlineStr">
        <is>
          <t>.</t>
        </is>
      </c>
      <c r="C214" t="n">
        <v>0</v>
      </c>
      <c r="D214" t="n">
        <v>0</v>
      </c>
      <c r="E214" t="n">
        <v>0</v>
      </c>
      <c r="F214" t="n">
        <v>0</v>
      </c>
      <c r="H214" t="n">
        <v>0</v>
      </c>
      <c r="I214" t="n">
        <v>0</v>
      </c>
      <c r="J214" t="n">
        <v>0</v>
      </c>
      <c r="K214" t="n">
        <v>0</v>
      </c>
      <c r="L214" t="n">
        <v>0</v>
      </c>
      <c r="M214" t="n">
        <v>0</v>
      </c>
      <c r="N214" t="n">
        <v>0</v>
      </c>
    </row>
    <row r="215">
      <c r="A215" t="inlineStr">
        <is>
          <t>Oats</t>
        </is>
      </c>
      <c r="B215" t="inlineStr">
        <is>
          <t>fodder of the clerk's horse, 2 quarters until Christmas.</t>
        </is>
      </c>
      <c r="C215" t="n">
        <v>0</v>
      </c>
      <c r="D215" t="n">
        <v>0</v>
      </c>
      <c r="E215" t="n">
        <v>0</v>
      </c>
      <c r="F215" t="n">
        <v>0</v>
      </c>
      <c r="H215" t="n">
        <v>2</v>
      </c>
      <c r="I215" t="n">
        <v>0</v>
      </c>
      <c r="J215" t="n">
        <v>2</v>
      </c>
      <c r="K215" t="n">
        <v>2</v>
      </c>
      <c r="L215" t="n">
        <v>0</v>
      </c>
      <c r="M215" t="n">
        <v>2</v>
      </c>
      <c r="N215" t="n">
        <v>0</v>
      </c>
    </row>
    <row r="216">
      <c r="A216" t="inlineStr">
        <is>
          <t>Peas</t>
        </is>
      </c>
      <c r="B216" t="inlineStr">
        <is>
          <t>{yield: 3-fold}</t>
        </is>
      </c>
      <c r="C216" t="n">
        <v>0</v>
      </c>
      <c r="D216" t="n">
        <v>0</v>
      </c>
      <c r="E216" t="n">
        <v>0</v>
      </c>
      <c r="F216" t="n">
        <v>0</v>
      </c>
      <c r="H216" t="n">
        <v>0</v>
      </c>
      <c r="I216" t="n">
        <v>0</v>
      </c>
      <c r="J216" t="n">
        <v>0</v>
      </c>
      <c r="K216" t="n">
        <v>0</v>
      </c>
      <c r="L216" t="n">
        <v>0</v>
      </c>
      <c r="M216" t="n">
        <v>0</v>
      </c>
      <c r="N216" t="n">
        <v>0</v>
      </c>
    </row>
    <row r="217">
      <c r="A217" t="inlineStr">
        <is>
          <t>Peas</t>
        </is>
      </c>
      <c r="B217" t="inlineStr">
        <is>
          <t>The same render account for 1.5 quarters from the whole issue of peas from the grange in the granary without heaped measure.</t>
        </is>
      </c>
      <c r="C217" t="n">
        <v>0</v>
      </c>
      <c r="D217" t="n">
        <v>0</v>
      </c>
      <c r="E217" t="n">
        <v>0</v>
      </c>
      <c r="F217" t="n">
        <v>0</v>
      </c>
      <c r="G217" t="inlineStr">
        <is>
          <t>peas</t>
        </is>
      </c>
      <c r="H217" t="n">
        <v>1.5</v>
      </c>
      <c r="I217" t="n">
        <v>0</v>
      </c>
      <c r="J217" t="n">
        <v>1.5</v>
      </c>
      <c r="K217" t="n">
        <v>1.5</v>
      </c>
      <c r="L217" t="n">
        <v>0</v>
      </c>
      <c r="M217" t="n">
        <v>1.5</v>
      </c>
      <c r="N217" t="n">
        <v>0</v>
      </c>
    </row>
    <row r="218">
      <c r="A218" t="inlineStr">
        <is>
          <t>Peas</t>
        </is>
      </c>
      <c r="B218" t="inlineStr">
        <is>
          <t>Sown, 1 quarters.</t>
        </is>
      </c>
      <c r="C218" t="n">
        <v>0</v>
      </c>
      <c r="D218" t="n">
        <v>0</v>
      </c>
      <c r="E218" t="n">
        <v>0</v>
      </c>
      <c r="F218" t="n">
        <v>0</v>
      </c>
      <c r="H218" t="n">
        <v>1</v>
      </c>
      <c r="I218" t="n">
        <v>0</v>
      </c>
      <c r="J218" t="n">
        <v>1</v>
      </c>
      <c r="K218" t="n">
        <v>1</v>
      </c>
      <c r="L218" t="n">
        <v>0</v>
      </c>
      <c r="M218" t="n">
        <v>1</v>
      </c>
      <c r="N218" t="n">
        <v>0</v>
      </c>
    </row>
    <row r="219">
      <c r="A219" t="inlineStr">
        <is>
          <t>Peas</t>
        </is>
      </c>
      <c r="B219" t="inlineStr">
        <is>
          <t>Sold, 4 bushels</t>
        </is>
      </c>
      <c r="C219" t="n">
        <v>0</v>
      </c>
      <c r="D219" t="n">
        <v>0</v>
      </c>
      <c r="E219" t="n">
        <v>0</v>
      </c>
      <c r="F219" t="n">
        <v>0</v>
      </c>
      <c r="H219" t="n">
        <v>0</v>
      </c>
      <c r="I219" t="n">
        <v>4</v>
      </c>
      <c r="J219" t="n">
        <v>0.5</v>
      </c>
      <c r="K219" t="n">
        <v>0.5</v>
      </c>
      <c r="L219" t="n">
        <v>0</v>
      </c>
      <c r="M219" t="n">
        <v>0</v>
      </c>
      <c r="N219" t="n">
        <v>4</v>
      </c>
    </row>
    <row r="220">
      <c r="A220" t="inlineStr">
        <is>
          <t>Vetches</t>
        </is>
      </c>
      <c r="B220" t="inlineStr">
        <is>
          <t>(yield: two-fold plus 3 bushels)</t>
        </is>
      </c>
      <c r="C220" t="n">
        <v>0</v>
      </c>
      <c r="D220" t="n">
        <v>0</v>
      </c>
      <c r="E220" t="n">
        <v>0</v>
      </c>
      <c r="F220" t="n">
        <v>0</v>
      </c>
      <c r="H220" t="n">
        <v>0</v>
      </c>
      <c r="I220" t="n">
        <v>3</v>
      </c>
      <c r="J220" t="n">
        <v>0.375</v>
      </c>
      <c r="K220" t="n">
        <v>0.375</v>
      </c>
      <c r="L220" t="n">
        <v>0</v>
      </c>
      <c r="M220" t="n">
        <v>0</v>
      </c>
      <c r="N220" t="n">
        <v>3</v>
      </c>
    </row>
    <row r="221">
      <c r="A221" t="inlineStr">
        <is>
          <t>Vetches</t>
        </is>
      </c>
      <c r="B221" t="inlineStr">
        <is>
          <t>The same render account for 2 quarters 5 bushels from the whole issue of vetches.</t>
        </is>
      </c>
      <c r="C221" t="n">
        <v>0</v>
      </c>
      <c r="D221" t="n">
        <v>0</v>
      </c>
      <c r="E221" t="n">
        <v>0</v>
      </c>
      <c r="F221" t="n">
        <v>0</v>
      </c>
      <c r="G221" t="inlineStr">
        <is>
          <t>vetches</t>
        </is>
      </c>
      <c r="H221" t="n">
        <v>2</v>
      </c>
      <c r="I221" t="n">
        <v>5</v>
      </c>
      <c r="J221" t="n">
        <v>2.625</v>
      </c>
      <c r="K221" t="n">
        <v>2.625</v>
      </c>
      <c r="L221" t="n">
        <v>0</v>
      </c>
      <c r="M221" t="n">
        <v>2</v>
      </c>
      <c r="N221" t="n">
        <v>5</v>
      </c>
    </row>
    <row r="222">
      <c r="A222" t="inlineStr">
        <is>
          <t>Vetches</t>
        </is>
      </c>
      <c r="B222" t="inlineStr">
        <is>
          <t>Sown, 5 bushels Mixed with barley for the liveries of the manorial servants, 1 bushels.</t>
        </is>
      </c>
      <c r="C222" t="n">
        <v>0</v>
      </c>
      <c r="D222" t="n">
        <v>0</v>
      </c>
      <c r="E222" t="n">
        <v>0</v>
      </c>
      <c r="F222" t="n">
        <v>0</v>
      </c>
      <c r="G222" t="inlineStr">
        <is>
          <t>barley</t>
        </is>
      </c>
      <c r="H222" t="n">
        <v>0</v>
      </c>
      <c r="I222" t="n">
        <v>1</v>
      </c>
      <c r="J222" t="n">
        <v>0.125</v>
      </c>
      <c r="K222" t="n">
        <v>0.625</v>
      </c>
      <c r="L222" t="n">
        <v>-0.5</v>
      </c>
      <c r="M222" t="n">
        <v>0</v>
      </c>
      <c r="N222" t="n">
        <v>5</v>
      </c>
      <c r="O222" t="n">
        <v>0</v>
      </c>
      <c r="P222" t="n">
        <v>1</v>
      </c>
    </row>
    <row r="223">
      <c r="A223" t="inlineStr">
        <is>
          <t>Vetches</t>
        </is>
      </c>
      <c r="B223" t="inlineStr">
        <is>
          <t>supporting pigs and piglets, 1 quarters 3 bushels Sold, 3 bushels</t>
        </is>
      </c>
      <c r="C223" t="n">
        <v>0</v>
      </c>
      <c r="D223" t="n">
        <v>0</v>
      </c>
      <c r="E223" t="n">
        <v>0</v>
      </c>
      <c r="F223" t="n">
        <v>0</v>
      </c>
      <c r="H223" t="n">
        <v>1</v>
      </c>
      <c r="I223" t="n">
        <v>3</v>
      </c>
      <c r="J223" t="n">
        <v>1.375</v>
      </c>
      <c r="K223" t="n">
        <v>1.375</v>
      </c>
      <c r="L223" t="n">
        <v>0</v>
      </c>
      <c r="M223" t="n">
        <v>1</v>
      </c>
      <c r="N223" t="n">
        <v>3</v>
      </c>
      <c r="O223" t="n">
        <v>0</v>
      </c>
      <c r="P223" t="n">
        <v>3</v>
      </c>
    </row>
    <row r="224">
      <c r="A224" t="inlineStr">
        <is>
          <t>Stock</t>
        </is>
      </c>
      <c r="B224" t="inlineStr">
        <is>
          <t>Cart-horses: 3 remain from the previous year.</t>
        </is>
      </c>
      <c r="C224" t="n">
        <v>0</v>
      </c>
      <c r="D224" t="n">
        <v>0</v>
      </c>
      <c r="E224" t="n">
        <v>0</v>
      </c>
      <c r="F224" t="n">
        <v>0</v>
      </c>
      <c r="H224" t="n">
        <v>0</v>
      </c>
      <c r="I224" t="n">
        <v>0</v>
      </c>
      <c r="J224" t="n">
        <v>0</v>
      </c>
      <c r="K224" t="n">
        <v>0</v>
      </c>
      <c r="L224" t="n">
        <v>0</v>
      </c>
      <c r="M224" t="n">
        <v>0</v>
      </c>
      <c r="N224" t="n">
        <v>0</v>
      </c>
    </row>
    <row r="225">
      <c r="A225" t="inlineStr">
        <is>
          <t>Stock</t>
        </is>
      </c>
      <c r="B225" t="inlineStr">
        <is>
          <t>3 remain.</t>
        </is>
      </c>
      <c r="C225" t="n">
        <v>0</v>
      </c>
      <c r="D225" t="n">
        <v>0</v>
      </c>
      <c r="E225" t="n">
        <v>0</v>
      </c>
      <c r="F225" t="n">
        <v>0</v>
      </c>
      <c r="H225" t="n">
        <v>0</v>
      </c>
      <c r="I225" t="n">
        <v>0</v>
      </c>
      <c r="J225" t="n">
        <v>0</v>
      </c>
      <c r="K225" t="n">
        <v>0</v>
      </c>
      <c r="L225" t="n">
        <v>0</v>
      </c>
      <c r="M225" t="n">
        <v>0</v>
      </c>
      <c r="N225" t="n">
        <v>0</v>
      </c>
    </row>
    <row r="226">
      <c r="A226" t="inlineStr">
        <is>
          <t>Stock</t>
        </is>
      </c>
      <c r="B226" t="inlineStr">
        <is>
          <t>Plough-horses: 7 remain from the previous year.</t>
        </is>
      </c>
      <c r="C226" t="n">
        <v>0</v>
      </c>
      <c r="D226" t="n">
        <v>0</v>
      </c>
      <c r="E226" t="n">
        <v>0</v>
      </c>
      <c r="F226" t="n">
        <v>0</v>
      </c>
      <c r="H226" t="n">
        <v>0</v>
      </c>
      <c r="I226" t="n">
        <v>0</v>
      </c>
      <c r="J226" t="n">
        <v>0</v>
      </c>
      <c r="K226" t="n">
        <v>0</v>
      </c>
      <c r="L226" t="n">
        <v>0</v>
      </c>
      <c r="M226" t="n">
        <v>0</v>
      </c>
      <c r="N226" t="n">
        <v>0</v>
      </c>
    </row>
    <row r="227">
      <c r="A227" t="inlineStr">
        <is>
          <t>Stock</t>
        </is>
      </c>
      <c r="B227" t="inlineStr">
        <is>
          <t>1 from the heriot of Roger le Red'.</t>
        </is>
      </c>
      <c r="C227" t="n">
        <v>0</v>
      </c>
      <c r="D227" t="n">
        <v>0</v>
      </c>
      <c r="E227" t="n">
        <v>0</v>
      </c>
      <c r="F227" t="n">
        <v>0</v>
      </c>
      <c r="H227" t="n">
        <v>0</v>
      </c>
      <c r="I227" t="n">
        <v>0</v>
      </c>
      <c r="J227" t="n">
        <v>0</v>
      </c>
      <c r="K227" t="n">
        <v>0</v>
      </c>
      <c r="L227" t="n">
        <v>0</v>
      </c>
      <c r="M227" t="n">
        <v>0</v>
      </c>
      <c r="N227" t="n">
        <v>0</v>
      </c>
    </row>
    <row r="228">
      <c r="A228" t="inlineStr">
        <is>
          <t>Stock</t>
        </is>
      </c>
      <c r="B228" t="inlineStr">
        <is>
          <t>1 added from stock.</t>
        </is>
      </c>
      <c r="C228" t="n">
        <v>0</v>
      </c>
      <c r="D228" t="n">
        <v>0</v>
      </c>
      <c r="E228" t="n">
        <v>0</v>
      </c>
      <c r="F228" t="n">
        <v>0</v>
      </c>
      <c r="H228" t="n">
        <v>0</v>
      </c>
      <c r="I228" t="n">
        <v>0</v>
      </c>
      <c r="J228" t="n">
        <v>0</v>
      </c>
      <c r="K228" t="n">
        <v>0</v>
      </c>
      <c r="L228" t="n">
        <v>0</v>
      </c>
      <c r="M228" t="n">
        <v>0</v>
      </c>
      <c r="N228" t="n">
        <v>0</v>
      </c>
    </row>
    <row r="229">
      <c r="A229" t="inlineStr">
        <is>
          <t>Stock</t>
        </is>
      </c>
      <c r="B229" t="inlineStr">
        <is>
          <t>Total, 9. 1 in murrain.</t>
        </is>
      </c>
      <c r="C229" t="n">
        <v>0</v>
      </c>
      <c r="D229" t="n">
        <v>0</v>
      </c>
      <c r="E229" t="n">
        <v>0</v>
      </c>
      <c r="F229" t="n">
        <v>0</v>
      </c>
      <c r="H229" t="n">
        <v>0</v>
      </c>
      <c r="I229" t="n">
        <v>0</v>
      </c>
      <c r="J229" t="n">
        <v>0</v>
      </c>
      <c r="K229" t="n">
        <v>0</v>
      </c>
      <c r="L229" t="n">
        <v>0</v>
      </c>
      <c r="M229" t="n">
        <v>0</v>
      </c>
      <c r="N229" t="n">
        <v>0</v>
      </c>
    </row>
    <row r="230">
      <c r="A230" t="inlineStr">
        <is>
          <t>Stock</t>
        </is>
      </c>
      <c r="B230" t="inlineStr">
        <is>
          <t>3 sold Total, 4. 5 remain.</t>
        </is>
      </c>
      <c r="C230" t="n">
        <v>0</v>
      </c>
      <c r="D230" t="n">
        <v>0</v>
      </c>
      <c r="E230" t="n">
        <v>0</v>
      </c>
      <c r="F230" t="n">
        <v>0</v>
      </c>
      <c r="H230" t="n">
        <v>0</v>
      </c>
      <c r="I230" t="n">
        <v>0</v>
      </c>
      <c r="J230" t="n">
        <v>0</v>
      </c>
      <c r="K230" t="n">
        <v>0</v>
      </c>
      <c r="L230" t="n">
        <v>0</v>
      </c>
      <c r="M230" t="n">
        <v>0</v>
      </c>
      <c r="N230" t="n">
        <v>0</v>
      </c>
    </row>
    <row r="231">
      <c r="A231" t="inlineStr">
        <is>
          <t>Stock</t>
        </is>
      </c>
      <c r="B231" t="inlineStr">
        <is>
          <t>Colts: 2 remain from the previous year aged 2.5 years.</t>
        </is>
      </c>
      <c r="C231" t="n">
        <v>0</v>
      </c>
      <c r="D231" t="n">
        <v>0</v>
      </c>
      <c r="E231" t="n">
        <v>0</v>
      </c>
      <c r="F231" t="n">
        <v>0</v>
      </c>
      <c r="H231" t="n">
        <v>0</v>
      </c>
      <c r="I231" t="n">
        <v>0</v>
      </c>
      <c r="J231" t="n">
        <v>0</v>
      </c>
      <c r="K231" t="n">
        <v>0</v>
      </c>
      <c r="L231" t="n">
        <v>0</v>
      </c>
      <c r="M231" t="n">
        <v>0</v>
      </c>
      <c r="N231" t="n">
        <v>0</v>
      </c>
    </row>
    <row r="232">
      <c r="A232" t="inlineStr">
        <is>
          <t>Stock</t>
        </is>
      </c>
      <c r="B232" t="inlineStr">
        <is>
          <t>1 in murrain.</t>
        </is>
      </c>
      <c r="C232" t="n">
        <v>0</v>
      </c>
      <c r="D232" t="n">
        <v>0</v>
      </c>
      <c r="E232" t="n">
        <v>0</v>
      </c>
      <c r="F232" t="n">
        <v>0</v>
      </c>
      <c r="H232" t="n">
        <v>0</v>
      </c>
      <c r="I232" t="n">
        <v>0</v>
      </c>
      <c r="J232" t="n">
        <v>0</v>
      </c>
      <c r="K232" t="n">
        <v>0</v>
      </c>
      <c r="L232" t="n">
        <v>0</v>
      </c>
      <c r="M232" t="n">
        <v>0</v>
      </c>
      <c r="N232" t="n">
        <v>0</v>
      </c>
    </row>
    <row r="233">
      <c r="A233" t="inlineStr">
        <is>
          <t>Stock</t>
        </is>
      </c>
      <c r="B233" t="inlineStr">
        <is>
          <t>1 added to plough-horses.</t>
        </is>
      </c>
      <c r="C233" t="n">
        <v>0</v>
      </c>
      <c r="D233" t="n">
        <v>0</v>
      </c>
      <c r="E233" t="n">
        <v>0</v>
      </c>
      <c r="F233" t="n">
        <v>0</v>
      </c>
      <c r="H233" t="n">
        <v>0</v>
      </c>
      <c r="I233" t="n">
        <v>0</v>
      </c>
      <c r="J233" t="n">
        <v>0</v>
      </c>
      <c r="K233" t="n">
        <v>0</v>
      </c>
      <c r="L233" t="n">
        <v>0</v>
      </c>
      <c r="M233" t="n">
        <v>0</v>
      </c>
      <c r="N233" t="n">
        <v>0</v>
      </c>
    </row>
    <row r="234">
      <c r="A234" t="inlineStr">
        <is>
          <t>Stock</t>
        </is>
      </c>
      <c r="B234" t="inlineStr">
        <is>
          <t>none remain here.</t>
        </is>
      </c>
      <c r="C234" t="n">
        <v>0</v>
      </c>
      <c r="D234" t="n">
        <v>0</v>
      </c>
      <c r="E234" t="n">
        <v>0</v>
      </c>
      <c r="F234" t="n">
        <v>0</v>
      </c>
      <c r="H234" t="n">
        <v>0</v>
      </c>
      <c r="I234" t="n">
        <v>0</v>
      </c>
      <c r="J234" t="n">
        <v>0</v>
      </c>
      <c r="K234" t="n">
        <v>0</v>
      </c>
      <c r="L234" t="n">
        <v>0</v>
      </c>
      <c r="M234" t="n">
        <v>0</v>
      </c>
      <c r="N234" t="n">
        <v>0</v>
      </c>
    </row>
    <row r="235">
      <c r="A235" t="inlineStr">
        <is>
          <t>Stock</t>
        </is>
      </c>
      <c r="B235" t="inlineStr">
        <is>
          <t>Colts: 3 remain from the previous year aged 1.5 years.</t>
        </is>
      </c>
      <c r="C235" t="n">
        <v>0</v>
      </c>
      <c r="D235" t="n">
        <v>0</v>
      </c>
      <c r="E235" t="n">
        <v>0</v>
      </c>
      <c r="F235" t="n">
        <v>0</v>
      </c>
      <c r="H235" t="n">
        <v>0</v>
      </c>
      <c r="I235" t="n">
        <v>0</v>
      </c>
      <c r="J235" t="n">
        <v>0</v>
      </c>
      <c r="K235" t="n">
        <v>0</v>
      </c>
      <c r="L235" t="n">
        <v>0</v>
      </c>
      <c r="M235" t="n">
        <v>0</v>
      </c>
      <c r="N235" t="n">
        <v>0</v>
      </c>
    </row>
    <row r="236">
      <c r="A236" t="inlineStr">
        <is>
          <t>Stock</t>
        </is>
      </c>
      <c r="B236" t="inlineStr">
        <is>
          <t>1 in murrain.</t>
        </is>
      </c>
      <c r="C236" t="n">
        <v>0</v>
      </c>
      <c r="D236" t="n">
        <v>0</v>
      </c>
      <c r="E236" t="n">
        <v>0</v>
      </c>
      <c r="F236" t="n">
        <v>0</v>
      </c>
      <c r="H236" t="n">
        <v>0</v>
      </c>
      <c r="I236" t="n">
        <v>0</v>
      </c>
      <c r="J236" t="n">
        <v>0</v>
      </c>
      <c r="K236" t="n">
        <v>0</v>
      </c>
      <c r="L236" t="n">
        <v>0</v>
      </c>
      <c r="M236" t="n">
        <v>0</v>
      </c>
      <c r="N236" t="n">
        <v>0</v>
      </c>
    </row>
    <row r="237">
      <c r="A237" t="inlineStr">
        <is>
          <t>Stock</t>
        </is>
      </c>
      <c r="B237" t="inlineStr">
        <is>
          <t>2 males remain now aged 2.5 years.</t>
        </is>
      </c>
      <c r="C237" t="n">
        <v>0</v>
      </c>
      <c r="D237" t="n">
        <v>0</v>
      </c>
      <c r="E237" t="n">
        <v>0</v>
      </c>
      <c r="F237" t="n">
        <v>0</v>
      </c>
      <c r="H237" t="n">
        <v>0</v>
      </c>
      <c r="I237" t="n">
        <v>0</v>
      </c>
      <c r="J237" t="n">
        <v>0</v>
      </c>
      <c r="K237" t="n">
        <v>0</v>
      </c>
      <c r="L237" t="n">
        <v>0</v>
      </c>
      <c r="M237" t="n">
        <v>0</v>
      </c>
      <c r="N237" t="n">
        <v>0</v>
      </c>
    </row>
    <row r="238">
      <c r="A238" t="inlineStr">
        <is>
          <t>Stock</t>
        </is>
      </c>
      <c r="B238" t="inlineStr">
        <is>
          <t>Foals: 2 remain from the previous year aged .5 year.</t>
        </is>
      </c>
      <c r="C238" t="n">
        <v>0</v>
      </c>
      <c r="D238" t="n">
        <v>0</v>
      </c>
      <c r="E238" t="n">
        <v>0</v>
      </c>
      <c r="F238" t="n">
        <v>0</v>
      </c>
      <c r="H238" t="n">
        <v>0</v>
      </c>
      <c r="I238" t="n">
        <v>0</v>
      </c>
      <c r="J238" t="n">
        <v>0</v>
      </c>
      <c r="K238" t="n">
        <v>0</v>
      </c>
      <c r="L238" t="n">
        <v>0</v>
      </c>
      <c r="M238" t="n">
        <v>0</v>
      </c>
      <c r="N238" t="n">
        <v>0</v>
      </c>
    </row>
    <row r="239">
      <c r="A239" t="inlineStr">
        <is>
          <t>Stock</t>
        </is>
      </c>
      <c r="B239" t="inlineStr">
        <is>
          <t>1 in murrain.</t>
        </is>
      </c>
      <c r="C239" t="n">
        <v>0</v>
      </c>
      <c r="D239" t="n">
        <v>0</v>
      </c>
      <c r="E239" t="n">
        <v>0</v>
      </c>
      <c r="F239" t="n">
        <v>0</v>
      </c>
      <c r="H239" t="n">
        <v>0</v>
      </c>
      <c r="I239" t="n">
        <v>0</v>
      </c>
      <c r="J239" t="n">
        <v>0</v>
      </c>
      <c r="K239" t="n">
        <v>0</v>
      </c>
      <c r="L239" t="n">
        <v>0</v>
      </c>
      <c r="M239" t="n">
        <v>0</v>
      </c>
      <c r="N239" t="n">
        <v>0</v>
      </c>
    </row>
    <row r="240">
      <c r="A240" t="inlineStr">
        <is>
          <t>Stock</t>
        </is>
      </c>
      <c r="B240" t="inlineStr">
        <is>
          <t>1 female remains aged 1.5 years.</t>
        </is>
      </c>
      <c r="C240" t="n">
        <v>0</v>
      </c>
      <c r="D240" t="n">
        <v>0</v>
      </c>
      <c r="E240" t="n">
        <v>0</v>
      </c>
      <c r="F240" t="n">
        <v>0</v>
      </c>
      <c r="H240" t="n">
        <v>0</v>
      </c>
      <c r="I240" t="n">
        <v>0</v>
      </c>
      <c r="J240" t="n">
        <v>0</v>
      </c>
      <c r="K240" t="n">
        <v>0</v>
      </c>
      <c r="L240" t="n">
        <v>0</v>
      </c>
      <c r="M240" t="n">
        <v>0</v>
      </c>
      <c r="N240" t="n">
        <v>0</v>
      </c>
    </row>
    <row r="241">
      <c r="A241" t="inlineStr">
        <is>
          <t>Stock</t>
        </is>
      </c>
      <c r="B241" t="inlineStr">
        <is>
          <t>Foals: 2 from the offspring of the mares this year.</t>
        </is>
      </c>
      <c r="C241" t="n">
        <v>0</v>
      </c>
      <c r="D241" t="n">
        <v>0</v>
      </c>
      <c r="E241" t="n">
        <v>0</v>
      </c>
      <c r="F241" t="n">
        <v>0</v>
      </c>
      <c r="H241" t="n">
        <v>0</v>
      </c>
      <c r="I241" t="n">
        <v>0</v>
      </c>
      <c r="J241" t="n">
        <v>0</v>
      </c>
      <c r="K241" t="n">
        <v>0</v>
      </c>
      <c r="L241" t="n">
        <v>0</v>
      </c>
      <c r="M241" t="n">
        <v>0</v>
      </c>
      <c r="N241" t="n">
        <v>0</v>
      </c>
    </row>
    <row r="242">
      <c r="A242" t="inlineStr">
        <is>
          <t>Stock</t>
        </is>
      </c>
      <c r="B242" t="inlineStr">
        <is>
          <t>2 remain aged .5 year.</t>
        </is>
      </c>
      <c r="C242" t="n">
        <v>0</v>
      </c>
      <c r="D242" t="n">
        <v>0</v>
      </c>
      <c r="E242" t="n">
        <v>0</v>
      </c>
      <c r="F242" t="n">
        <v>0</v>
      </c>
      <c r="H242" t="n">
        <v>0</v>
      </c>
      <c r="I242" t="n">
        <v>0</v>
      </c>
      <c r="J242" t="n">
        <v>0</v>
      </c>
      <c r="K242" t="n">
        <v>0</v>
      </c>
      <c r="L242" t="n">
        <v>0</v>
      </c>
      <c r="M242" t="n">
        <v>0</v>
      </c>
      <c r="N242" t="n">
        <v>0</v>
      </c>
    </row>
    <row r="243">
      <c r="A243" t="inlineStr">
        <is>
          <t>Stock</t>
        </is>
      </c>
      <c r="B243" t="inlineStr">
        <is>
          <t>Oxen: 28 remain from the previous year.</t>
        </is>
      </c>
      <c r="C243" t="n">
        <v>0</v>
      </c>
      <c r="D243" t="n">
        <v>0</v>
      </c>
      <c r="E243" t="n">
        <v>0</v>
      </c>
      <c r="F243" t="n">
        <v>0</v>
      </c>
      <c r="H243" t="n">
        <v>0</v>
      </c>
      <c r="I243" t="n">
        <v>0</v>
      </c>
      <c r="J243" t="n">
        <v>0</v>
      </c>
      <c r="K243" t="n">
        <v>0</v>
      </c>
      <c r="L243" t="n">
        <v>0</v>
      </c>
      <c r="M243" t="n">
        <v>0</v>
      </c>
      <c r="N243" t="n">
        <v>0</v>
      </c>
    </row>
    <row r="244">
      <c r="A244" t="inlineStr">
        <is>
          <t>Stock</t>
        </is>
      </c>
      <c r="B244" t="inlineStr">
        <is>
          <t>1 from the heriot of the relict Seyld.</t>
        </is>
      </c>
      <c r="C244" t="n">
        <v>0</v>
      </c>
      <c r="D244" t="n">
        <v>0</v>
      </c>
      <c r="E244" t="n">
        <v>0</v>
      </c>
      <c r="F244" t="n">
        <v>0</v>
      </c>
      <c r="H244" t="n">
        <v>0</v>
      </c>
      <c r="I244" t="n">
        <v>0</v>
      </c>
      <c r="J244" t="n">
        <v>0</v>
      </c>
      <c r="K244" t="n">
        <v>0</v>
      </c>
      <c r="L244" t="n">
        <v>0</v>
      </c>
      <c r="M244" t="n">
        <v>0</v>
      </c>
      <c r="N244" t="n">
        <v>0</v>
      </c>
    </row>
    <row r="245">
      <c r="A245" t="inlineStr">
        <is>
          <t>Stock</t>
        </is>
      </c>
      <c r="B245" t="inlineStr">
        <is>
          <t>2added from stock.</t>
        </is>
      </c>
      <c r="C245" t="n">
        <v>0</v>
      </c>
      <c r="D245" t="n">
        <v>0</v>
      </c>
      <c r="E245" t="n">
        <v>0</v>
      </c>
      <c r="F245" t="n">
        <v>0</v>
      </c>
      <c r="H245" t="n">
        <v>0</v>
      </c>
      <c r="I245" t="n">
        <v>0</v>
      </c>
      <c r="J245" t="n">
        <v>0</v>
      </c>
      <c r="K245" t="n">
        <v>0</v>
      </c>
      <c r="L245" t="n">
        <v>0</v>
      </c>
      <c r="M245" t="n">
        <v>0</v>
      </c>
      <c r="N245" t="n">
        <v>0</v>
      </c>
    </row>
    <row r="246">
      <c r="A246" t="inlineStr">
        <is>
          <t>Stock</t>
        </is>
      </c>
      <c r="B246" t="inlineStr">
        <is>
          <t>2 bought.</t>
        </is>
      </c>
      <c r="C246" t="n">
        <v>0</v>
      </c>
      <c r="D246" t="n">
        <v>0</v>
      </c>
      <c r="E246" t="n">
        <v>0</v>
      </c>
      <c r="F246" t="n">
        <v>0</v>
      </c>
      <c r="H246" t="n">
        <v>0</v>
      </c>
      <c r="I246" t="n">
        <v>0</v>
      </c>
      <c r="J246" t="n">
        <v>0</v>
      </c>
      <c r="K246" t="n">
        <v>0</v>
      </c>
      <c r="L246" t="n">
        <v>0</v>
      </c>
      <c r="M246" t="n">
        <v>0</v>
      </c>
      <c r="N246" t="n">
        <v>0</v>
      </c>
    </row>
    <row r="247">
      <c r="A247" t="inlineStr">
        <is>
          <t>Stock</t>
        </is>
      </c>
      <c r="B247" t="inlineStr">
        <is>
          <t>Total, 33. 8 sold.</t>
        </is>
      </c>
      <c r="C247" t="n">
        <v>0</v>
      </c>
      <c r="D247" t="n">
        <v>0</v>
      </c>
      <c r="E247" t="n">
        <v>0</v>
      </c>
      <c r="F247" t="n">
        <v>0</v>
      </c>
      <c r="H247" t="n">
        <v>0</v>
      </c>
      <c r="I247" t="n">
        <v>0</v>
      </c>
      <c r="J247" t="n">
        <v>0</v>
      </c>
      <c r="K247" t="n">
        <v>0</v>
      </c>
      <c r="L247" t="n">
        <v>0</v>
      </c>
      <c r="M247" t="n">
        <v>0</v>
      </c>
      <c r="N247" t="n">
        <v>0</v>
      </c>
    </row>
    <row r="248">
      <c r="A248" t="inlineStr">
        <is>
          <t>Stock</t>
        </is>
      </c>
      <c r="B248" t="inlineStr">
        <is>
          <t>25 remain.</t>
        </is>
      </c>
      <c r="C248" t="n">
        <v>0</v>
      </c>
      <c r="D248" t="n">
        <v>0</v>
      </c>
      <c r="E248" t="n">
        <v>0</v>
      </c>
      <c r="F248" t="n">
        <v>0</v>
      </c>
      <c r="H248" t="n">
        <v>0</v>
      </c>
      <c r="I248" t="n">
        <v>0</v>
      </c>
      <c r="J248" t="n">
        <v>0</v>
      </c>
      <c r="K248" t="n">
        <v>0</v>
      </c>
      <c r="L248" t="n">
        <v>0</v>
      </c>
      <c r="M248" t="n">
        <v>0</v>
      </c>
      <c r="N248" t="n">
        <v>0</v>
      </c>
    </row>
    <row r="249">
      <c r="A249" t="inlineStr">
        <is>
          <t>Stock</t>
        </is>
      </c>
      <c r="B249" t="inlineStr">
        <is>
          <t>Bulls: 2 remain from the previous year.</t>
        </is>
      </c>
      <c r="C249" t="n">
        <v>0</v>
      </c>
      <c r="D249" t="n">
        <v>0</v>
      </c>
      <c r="E249" t="n">
        <v>0</v>
      </c>
      <c r="F249" t="n">
        <v>0</v>
      </c>
      <c r="H249" t="n">
        <v>0</v>
      </c>
      <c r="I249" t="n">
        <v>0</v>
      </c>
      <c r="J249" t="n">
        <v>0</v>
      </c>
      <c r="K249" t="n">
        <v>0</v>
      </c>
      <c r="L249" t="n">
        <v>0</v>
      </c>
      <c r="M249" t="n">
        <v>0</v>
      </c>
      <c r="N249" t="n">
        <v>0</v>
      </c>
    </row>
    <row r="250">
      <c r="A250" t="inlineStr">
        <is>
          <t>Stock</t>
        </is>
      </c>
      <c r="B250" t="inlineStr">
        <is>
          <t>1 sold.</t>
        </is>
      </c>
      <c r="C250" t="n">
        <v>0</v>
      </c>
      <c r="D250" t="n">
        <v>0</v>
      </c>
      <c r="E250" t="n">
        <v>0</v>
      </c>
      <c r="F250" t="n">
        <v>0</v>
      </c>
      <c r="H250" t="n">
        <v>0</v>
      </c>
      <c r="I250" t="n">
        <v>0</v>
      </c>
      <c r="J250" t="n">
        <v>0</v>
      </c>
      <c r="K250" t="n">
        <v>0</v>
      </c>
      <c r="L250" t="n">
        <v>0</v>
      </c>
      <c r="M250" t="n">
        <v>0</v>
      </c>
      <c r="N250" t="n">
        <v>0</v>
      </c>
    </row>
    <row r="251">
      <c r="A251" t="inlineStr">
        <is>
          <t>Stock</t>
        </is>
      </c>
      <c r="B251" t="inlineStr">
        <is>
          <t>1 remains.</t>
        </is>
      </c>
      <c r="C251" t="n">
        <v>0</v>
      </c>
      <c r="D251" t="n">
        <v>0</v>
      </c>
      <c r="E251" t="n">
        <v>0</v>
      </c>
      <c r="F251" t="n">
        <v>0</v>
      </c>
      <c r="H251" t="n">
        <v>0</v>
      </c>
      <c r="I251" t="n">
        <v>0</v>
      </c>
      <c r="J251" t="n">
        <v>0</v>
      </c>
      <c r="K251" t="n">
        <v>0</v>
      </c>
      <c r="L251" t="n">
        <v>0</v>
      </c>
      <c r="M251" t="n">
        <v>0</v>
      </c>
      <c r="N251" t="n">
        <v>0</v>
      </c>
    </row>
    <row r="252">
      <c r="A252" t="inlineStr">
        <is>
          <t>Stock</t>
        </is>
      </c>
      <c r="B252" t="inlineStr">
        <is>
          <t>Cows (henceforth they should have 20 cows): 16 remain from the previous year.</t>
        </is>
      </c>
      <c r="C252" t="n">
        <v>0</v>
      </c>
      <c r="D252" t="n">
        <v>0</v>
      </c>
      <c r="E252" t="n">
        <v>0</v>
      </c>
      <c r="F252" t="n">
        <v>0</v>
      </c>
      <c r="H252" t="n">
        <v>0</v>
      </c>
      <c r="I252" t="n">
        <v>0</v>
      </c>
      <c r="J252" t="n">
        <v>0</v>
      </c>
      <c r="K252" t="n">
        <v>0</v>
      </c>
      <c r="L252" t="n">
        <v>0</v>
      </c>
      <c r="M252" t="n">
        <v>0</v>
      </c>
      <c r="N252" t="n">
        <v>0</v>
      </c>
    </row>
    <row r="253">
      <c r="A253" t="inlineStr">
        <is>
          <t>Stock</t>
        </is>
      </c>
      <c r="B253" t="inlineStr">
        <is>
          <t>4 added from stock.</t>
        </is>
      </c>
      <c r="C253" t="n">
        <v>0</v>
      </c>
      <c r="D253" t="n">
        <v>0</v>
      </c>
      <c r="E253" t="n">
        <v>0</v>
      </c>
      <c r="F253" t="n">
        <v>0</v>
      </c>
      <c r="H253" t="n">
        <v>0</v>
      </c>
      <c r="I253" t="n">
        <v>0</v>
      </c>
      <c r="J253" t="n">
        <v>0</v>
      </c>
      <c r="K253" t="n">
        <v>0</v>
      </c>
      <c r="L253" t="n">
        <v>0</v>
      </c>
      <c r="M253" t="n">
        <v>0</v>
      </c>
      <c r="N253" t="n">
        <v>0</v>
      </c>
    </row>
    <row r="254">
      <c r="A254" t="inlineStr">
        <is>
          <t>Stock</t>
        </is>
      </c>
      <c r="B254" t="inlineStr">
        <is>
          <t>Total, 20. 4 sold before calving.</t>
        </is>
      </c>
      <c r="C254" t="n">
        <v>0</v>
      </c>
      <c r="D254" t="n">
        <v>0</v>
      </c>
      <c r="E254" t="n">
        <v>0</v>
      </c>
      <c r="F254" t="n">
        <v>0</v>
      </c>
      <c r="H254" t="n">
        <v>0</v>
      </c>
      <c r="I254" t="n">
        <v>0</v>
      </c>
      <c r="J254" t="n">
        <v>0</v>
      </c>
      <c r="K254" t="n">
        <v>0</v>
      </c>
      <c r="L254" t="n">
        <v>0</v>
      </c>
      <c r="M254" t="n">
        <v>0</v>
      </c>
      <c r="N254" t="n">
        <v>0</v>
      </c>
    </row>
    <row r="255">
      <c r="A255" t="inlineStr">
        <is>
          <t>Stock</t>
        </is>
      </c>
      <c r="B255" t="inlineStr">
        <is>
          <t>16 remain.</t>
        </is>
      </c>
      <c r="C255" t="n">
        <v>0</v>
      </c>
      <c r="D255" t="n">
        <v>0</v>
      </c>
      <c r="E255" t="n">
        <v>0</v>
      </c>
      <c r="F255" t="n">
        <v>0</v>
      </c>
      <c r="H255" t="n">
        <v>0</v>
      </c>
      <c r="I255" t="n">
        <v>0</v>
      </c>
      <c r="J255" t="n">
        <v>0</v>
      </c>
      <c r="K255" t="n">
        <v>0</v>
      </c>
      <c r="L255" t="n">
        <v>0</v>
      </c>
      <c r="M255" t="n">
        <v>0</v>
      </c>
      <c r="N255" t="n">
        <v>0</v>
      </c>
    </row>
    <row r="256">
      <c r="A256" t="inlineStr">
        <is>
          <t>Stock</t>
        </is>
      </c>
      <c r="B256" t="inlineStr">
        <is>
          <t>Steers: 6 remain from the previous year's bullocks.</t>
        </is>
      </c>
      <c r="C256" t="n">
        <v>0</v>
      </c>
      <c r="D256" t="n">
        <v>0</v>
      </c>
      <c r="E256" t="n">
        <v>0</v>
      </c>
      <c r="F256" t="n">
        <v>0</v>
      </c>
      <c r="H256" t="n">
        <v>0</v>
      </c>
      <c r="I256" t="n">
        <v>0</v>
      </c>
      <c r="J256" t="n">
        <v>0</v>
      </c>
      <c r="K256" t="n">
        <v>0</v>
      </c>
      <c r="L256" t="n">
        <v>0</v>
      </c>
      <c r="M256" t="n">
        <v>0</v>
      </c>
      <c r="N256" t="n">
        <v>0</v>
      </c>
    </row>
    <row r="257">
      <c r="A257" t="inlineStr">
        <is>
          <t>Stock</t>
        </is>
      </c>
      <c r="B257" t="inlineStr">
        <is>
          <t>' 29 bought.</t>
        </is>
      </c>
      <c r="C257" t="n">
        <v>0</v>
      </c>
      <c r="D257" t="n">
        <v>0</v>
      </c>
      <c r="E257" t="n">
        <v>0</v>
      </c>
      <c r="F257" t="n">
        <v>0</v>
      </c>
      <c r="H257" t="n">
        <v>0</v>
      </c>
      <c r="I257" t="n">
        <v>0</v>
      </c>
      <c r="J257" t="n">
        <v>0</v>
      </c>
      <c r="K257" t="n">
        <v>0</v>
      </c>
      <c r="L257" t="n">
        <v>0</v>
      </c>
      <c r="M257" t="n">
        <v>0</v>
      </c>
      <c r="N257" t="n">
        <v>0</v>
      </c>
    </row>
    <row r="258">
      <c r="A258" t="inlineStr">
        <is>
          <t>Stock</t>
        </is>
      </c>
      <c r="B258" t="inlineStr">
        <is>
          <t>Total, 35.2 added to oxen, 4 to cows.</t>
        </is>
      </c>
      <c r="C258" t="n">
        <v>0</v>
      </c>
      <c r="D258" t="n">
        <v>0</v>
      </c>
      <c r="E258" t="n">
        <v>0</v>
      </c>
      <c r="F258" t="n">
        <v>0</v>
      </c>
      <c r="H258" t="n">
        <v>0</v>
      </c>
      <c r="I258" t="n">
        <v>0</v>
      </c>
      <c r="J258" t="n">
        <v>0</v>
      </c>
      <c r="K258" t="n">
        <v>0</v>
      </c>
      <c r="L258" t="n">
        <v>0</v>
      </c>
      <c r="M258" t="n">
        <v>0</v>
      </c>
      <c r="N258" t="n">
        <v>0</v>
      </c>
    </row>
    <row r="259">
      <c r="A259" t="inlineStr">
        <is>
          <t>Stock</t>
        </is>
      </c>
      <c r="B259" t="inlineStr">
        <is>
          <t>29 sold.</t>
        </is>
      </c>
      <c r="C259" t="n">
        <v>0</v>
      </c>
      <c r="D259" t="n">
        <v>0</v>
      </c>
      <c r="E259" t="n">
        <v>0</v>
      </c>
      <c r="F259" t="n">
        <v>0</v>
      </c>
      <c r="H259" t="n">
        <v>0</v>
      </c>
      <c r="I259" t="n">
        <v>0</v>
      </c>
      <c r="J259" t="n">
        <v>0</v>
      </c>
      <c r="K259" t="n">
        <v>0</v>
      </c>
      <c r="L259" t="n">
        <v>0</v>
      </c>
      <c r="M259" t="n">
        <v>0</v>
      </c>
      <c r="N259" t="n">
        <v>0</v>
      </c>
    </row>
    <row r="260">
      <c r="A260" t="inlineStr">
        <is>
          <t>Stock</t>
        </is>
      </c>
      <c r="B260" t="inlineStr">
        <is>
          <t>none remain here.</t>
        </is>
      </c>
      <c r="C260" t="n">
        <v>0</v>
      </c>
      <c r="D260" t="n">
        <v>0</v>
      </c>
      <c r="E260" t="n">
        <v>0</v>
      </c>
      <c r="F260" t="n">
        <v>0</v>
      </c>
      <c r="H260" t="n">
        <v>0</v>
      </c>
      <c r="I260" t="n">
        <v>0</v>
      </c>
      <c r="J260" t="n">
        <v>0</v>
      </c>
      <c r="K260" t="n">
        <v>0</v>
      </c>
      <c r="L260" t="n">
        <v>0</v>
      </c>
      <c r="M260" t="n">
        <v>0</v>
      </c>
      <c r="N260" t="n">
        <v>0</v>
      </c>
    </row>
    <row r="261">
      <c r="A261" t="inlineStr">
        <is>
          <t>Stock</t>
        </is>
      </c>
      <c r="B261" t="inlineStr">
        <is>
          <t>Bullocks: 5 remain from the previous year's yearlings.</t>
        </is>
      </c>
      <c r="C261" t="n">
        <v>0</v>
      </c>
      <c r="D261" t="n">
        <v>0</v>
      </c>
      <c r="E261" t="n">
        <v>0</v>
      </c>
      <c r="F261" t="n">
        <v>0</v>
      </c>
      <c r="H261" t="n">
        <v>0</v>
      </c>
      <c r="I261" t="n">
        <v>0</v>
      </c>
      <c r="J261" t="n">
        <v>0</v>
      </c>
      <c r="K261" t="n">
        <v>0</v>
      </c>
      <c r="L261" t="n">
        <v>0</v>
      </c>
      <c r="M261" t="n">
        <v>0</v>
      </c>
      <c r="N261" t="n">
        <v>0</v>
      </c>
    </row>
    <row r="262">
      <c r="A262" t="inlineStr">
        <is>
          <t>Stock</t>
        </is>
      </c>
      <c r="B262" t="inlineStr">
        <is>
          <t>1 in murrain.</t>
        </is>
      </c>
      <c r="C262" t="n">
        <v>0</v>
      </c>
      <c r="D262" t="n">
        <v>0</v>
      </c>
      <c r="E262" t="n">
        <v>0</v>
      </c>
      <c r="F262" t="n">
        <v>0</v>
      </c>
      <c r="H262" t="n">
        <v>0</v>
      </c>
      <c r="I262" t="n">
        <v>0</v>
      </c>
      <c r="J262" t="n">
        <v>0</v>
      </c>
      <c r="K262" t="n">
        <v>0</v>
      </c>
      <c r="L262" t="n">
        <v>0</v>
      </c>
      <c r="M262" t="n">
        <v>0</v>
      </c>
      <c r="N262" t="n">
        <v>0</v>
      </c>
    </row>
    <row r="263">
      <c r="A263" t="inlineStr">
        <is>
          <t>Stock</t>
        </is>
      </c>
      <c r="B263" t="inlineStr">
        <is>
          <t>4 remain, 3 of them male.</t>
        </is>
      </c>
      <c r="C263" t="n">
        <v>0</v>
      </c>
      <c r="D263" t="n">
        <v>0</v>
      </c>
      <c r="E263" t="n">
        <v>0</v>
      </c>
      <c r="F263" t="n">
        <v>0</v>
      </c>
      <c r="H263" t="n">
        <v>0</v>
      </c>
      <c r="I263" t="n">
        <v>0</v>
      </c>
      <c r="J263" t="n">
        <v>0</v>
      </c>
      <c r="K263" t="n">
        <v>0</v>
      </c>
      <c r="L263" t="n">
        <v>0</v>
      </c>
      <c r="M263" t="n">
        <v>0</v>
      </c>
      <c r="N263" t="n">
        <v>0</v>
      </c>
    </row>
    <row r="264">
      <c r="A264" t="inlineStr">
        <is>
          <t>Stock</t>
        </is>
      </c>
      <c r="B264" t="inlineStr">
        <is>
          <t>Yearlings: 4 remain from the previous year's calves.</t>
        </is>
      </c>
      <c r="C264" t="n">
        <v>0</v>
      </c>
      <c r="D264" t="n">
        <v>0</v>
      </c>
      <c r="E264" t="n">
        <v>0</v>
      </c>
      <c r="F264" t="n">
        <v>0</v>
      </c>
      <c r="H264" t="n">
        <v>0</v>
      </c>
      <c r="I264" t="n">
        <v>0</v>
      </c>
      <c r="J264" t="n">
        <v>0</v>
      </c>
      <c r="K264" t="n">
        <v>0</v>
      </c>
      <c r="L264" t="n">
        <v>0</v>
      </c>
      <c r="M264" t="n">
        <v>0</v>
      </c>
      <c r="N264" t="n">
        <v>0</v>
      </c>
    </row>
    <row r="265">
      <c r="A265" t="inlineStr">
        <is>
          <t>Stock</t>
        </is>
      </c>
      <c r="B265" t="inlineStr">
        <is>
          <t>4 remain, 2 of them male.</t>
        </is>
      </c>
      <c r="C265" t="n">
        <v>0</v>
      </c>
      <c r="D265" t="n">
        <v>0</v>
      </c>
      <c r="E265" t="n">
        <v>0</v>
      </c>
      <c r="F265" t="n">
        <v>0</v>
      </c>
      <c r="H265" t="n">
        <v>0</v>
      </c>
      <c r="I265" t="n">
        <v>0</v>
      </c>
      <c r="J265" t="n">
        <v>0</v>
      </c>
      <c r="K265" t="n">
        <v>0</v>
      </c>
      <c r="L265" t="n">
        <v>0</v>
      </c>
      <c r="M265" t="n">
        <v>0</v>
      </c>
      <c r="N265" t="n">
        <v>0</v>
      </c>
    </row>
    <row r="266">
      <c r="A266" t="inlineStr">
        <is>
          <t>Stock</t>
        </is>
      </c>
      <c r="B266" t="inlineStr">
        <is>
          <t>Calves: 12 from the offspring of the said cows because 2 were sterile and 2 milch-cows did not have calves. 1 in tithe.</t>
        </is>
      </c>
      <c r="C266" t="n">
        <v>0</v>
      </c>
      <c r="D266" t="n">
        <v>0</v>
      </c>
      <c r="E266" t="n">
        <v>0</v>
      </c>
      <c r="F266" t="n">
        <v>0</v>
      </c>
      <c r="H266" t="n">
        <v>0</v>
      </c>
      <c r="I266" t="n">
        <v>0</v>
      </c>
      <c r="J266" t="n">
        <v>0</v>
      </c>
      <c r="K266" t="n">
        <v>0</v>
      </c>
      <c r="L266" t="n">
        <v>0</v>
      </c>
      <c r="M266" t="n">
        <v>0</v>
      </c>
      <c r="N266" t="n">
        <v>0</v>
      </c>
    </row>
    <row r="267">
      <c r="A267" t="inlineStr">
        <is>
          <t>Stock</t>
        </is>
      </c>
      <c r="B267" t="inlineStr">
        <is>
          <t>3 sold Total, 4. 8 remain, 7 of them male.</t>
        </is>
      </c>
      <c r="C267" t="n">
        <v>0</v>
      </c>
      <c r="D267" t="n">
        <v>0</v>
      </c>
      <c r="E267" t="n">
        <v>0</v>
      </c>
      <c r="F267" t="n">
        <v>0</v>
      </c>
      <c r="H267" t="n">
        <v>0</v>
      </c>
      <c r="I267" t="n">
        <v>0</v>
      </c>
      <c r="J267" t="n">
        <v>0</v>
      </c>
      <c r="K267" t="n">
        <v>0</v>
      </c>
      <c r="L267" t="n">
        <v>0</v>
      </c>
      <c r="M267" t="n">
        <v>0</v>
      </c>
      <c r="N267" t="n">
        <v>0</v>
      </c>
    </row>
    <row r="268">
      <c r="A268" t="inlineStr">
        <is>
          <t>Stock</t>
        </is>
      </c>
      <c r="B268" t="inlineStr">
        <is>
          <t>Wethers: 186 remain from the previous year.</t>
        </is>
      </c>
      <c r="C268" t="n">
        <v>0</v>
      </c>
      <c r="D268" t="n">
        <v>0</v>
      </c>
      <c r="E268" t="n">
        <v>0</v>
      </c>
      <c r="F268" t="n">
        <v>0</v>
      </c>
      <c r="H268" t="n">
        <v>0</v>
      </c>
      <c r="I268" t="n">
        <v>0</v>
      </c>
      <c r="J268" t="n">
        <v>0</v>
      </c>
      <c r="K268" t="n">
        <v>0</v>
      </c>
      <c r="L268" t="n">
        <v>0</v>
      </c>
      <c r="M268" t="n">
        <v>0</v>
      </c>
      <c r="N268" t="n">
        <v>0</v>
      </c>
    </row>
    <row r="269">
      <c r="A269" t="inlineStr">
        <is>
          <t>Stock</t>
        </is>
      </c>
      <c r="B269" t="inlineStr">
        <is>
          <t>24 added from stock.</t>
        </is>
      </c>
      <c r="C269" t="n">
        <v>0</v>
      </c>
      <c r="D269" t="n">
        <v>0</v>
      </c>
      <c r="E269" t="n">
        <v>0</v>
      </c>
      <c r="F269" t="n">
        <v>0</v>
      </c>
      <c r="H269" t="n">
        <v>0</v>
      </c>
      <c r="I269" t="n">
        <v>0</v>
      </c>
      <c r="J269" t="n">
        <v>0</v>
      </c>
      <c r="K269" t="n">
        <v>0</v>
      </c>
      <c r="L269" t="n">
        <v>0</v>
      </c>
      <c r="M269" t="n">
        <v>0</v>
      </c>
      <c r="N269" t="n">
        <v>0</v>
      </c>
    </row>
    <row r="270">
      <c r="A270" t="inlineStr">
        <is>
          <t>Stock</t>
        </is>
      </c>
      <c r="B270" t="inlineStr">
        <is>
          <t>Total, 210. 14 sold at Martinmas.</t>
        </is>
      </c>
      <c r="C270" t="n">
        <v>0</v>
      </c>
      <c r="D270" t="n">
        <v>0</v>
      </c>
      <c r="E270" t="n">
        <v>0</v>
      </c>
      <c r="F270" t="n">
        <v>0</v>
      </c>
      <c r="H270" t="n">
        <v>0</v>
      </c>
      <c r="I270" t="n">
        <v>0</v>
      </c>
      <c r="J270" t="n">
        <v>0</v>
      </c>
      <c r="K270" t="n">
        <v>0</v>
      </c>
      <c r="L270" t="n">
        <v>0</v>
      </c>
      <c r="M270" t="n">
        <v>0</v>
      </c>
      <c r="N270" t="n">
        <v>0</v>
      </c>
    </row>
    <row r="271">
      <c r="A271" t="inlineStr">
        <is>
          <t>Stock</t>
        </is>
      </c>
      <c r="B271" t="inlineStr">
        <is>
          <t>7 in murrain before shearing, 1 after shearing.</t>
        </is>
      </c>
      <c r="C271" t="n">
        <v>0</v>
      </c>
      <c r="D271" t="n">
        <v>0</v>
      </c>
      <c r="E271" t="n">
        <v>0</v>
      </c>
      <c r="F271" t="n">
        <v>0</v>
      </c>
      <c r="H271" t="n">
        <v>0</v>
      </c>
      <c r="I271" t="n">
        <v>0</v>
      </c>
      <c r="J271" t="n">
        <v>0</v>
      </c>
      <c r="K271" t="n">
        <v>0</v>
      </c>
      <c r="L271" t="n">
        <v>0</v>
      </c>
      <c r="M271" t="n">
        <v>0</v>
      </c>
      <c r="N271" t="n">
        <v>0</v>
      </c>
    </row>
    <row r="272">
      <c r="A272" t="inlineStr">
        <is>
          <t>Stock</t>
        </is>
      </c>
      <c r="B272" t="inlineStr">
        <is>
          <t>Total, 22. 188 remain.</t>
        </is>
      </c>
      <c r="C272" t="n">
        <v>0</v>
      </c>
      <c r="D272" t="n">
        <v>0</v>
      </c>
      <c r="E272" t="n">
        <v>0</v>
      </c>
      <c r="F272" t="n">
        <v>0</v>
      </c>
      <c r="H272" t="n">
        <v>0</v>
      </c>
      <c r="I272" t="n">
        <v>0</v>
      </c>
      <c r="J272" t="n">
        <v>0</v>
      </c>
      <c r="K272" t="n">
        <v>0</v>
      </c>
      <c r="L272" t="n">
        <v>0</v>
      </c>
      <c r="M272" t="n">
        <v>0</v>
      </c>
      <c r="N272" t="n">
        <v>0</v>
      </c>
    </row>
    <row r="273">
      <c r="A273" t="inlineStr">
        <is>
          <t>Stock</t>
        </is>
      </c>
      <c r="B273" t="inlineStr">
        <is>
          <t>Rams: 6 remain from the previous year.</t>
        </is>
      </c>
      <c r="C273" t="n">
        <v>0</v>
      </c>
      <c r="D273" t="n">
        <v>0</v>
      </c>
      <c r="E273" t="n">
        <v>0</v>
      </c>
      <c r="F273" t="n">
        <v>0</v>
      </c>
      <c r="H273" t="n">
        <v>0</v>
      </c>
      <c r="I273" t="n">
        <v>0</v>
      </c>
      <c r="J273" t="n">
        <v>0</v>
      </c>
      <c r="K273" t="n">
        <v>0</v>
      </c>
      <c r="L273" t="n">
        <v>0</v>
      </c>
      <c r="M273" t="n">
        <v>0</v>
      </c>
      <c r="N273" t="n">
        <v>0</v>
      </c>
    </row>
    <row r="274">
      <c r="A274" t="inlineStr">
        <is>
          <t>Stock</t>
        </is>
      </c>
      <c r="B274" t="inlineStr">
        <is>
          <t>2 added from stock.</t>
        </is>
      </c>
      <c r="C274" t="n">
        <v>0</v>
      </c>
      <c r="D274" t="n">
        <v>0</v>
      </c>
      <c r="E274" t="n">
        <v>0</v>
      </c>
      <c r="F274" t="n">
        <v>0</v>
      </c>
      <c r="H274" t="n">
        <v>0</v>
      </c>
      <c r="I274" t="n">
        <v>0</v>
      </c>
      <c r="J274" t="n">
        <v>0</v>
      </c>
      <c r="K274" t="n">
        <v>0</v>
      </c>
      <c r="L274" t="n">
        <v>0</v>
      </c>
      <c r="M274" t="n">
        <v>0</v>
      </c>
      <c r="N274" t="n">
        <v>0</v>
      </c>
    </row>
    <row r="275">
      <c r="A275" t="inlineStr">
        <is>
          <t>Stock</t>
        </is>
      </c>
      <c r="B275" t="inlineStr">
        <is>
          <t>Total, 8. 8 remain.</t>
        </is>
      </c>
      <c r="C275" t="n">
        <v>0</v>
      </c>
      <c r="D275" t="n">
        <v>0</v>
      </c>
      <c r="E275" t="n">
        <v>0</v>
      </c>
      <c r="F275" t="n">
        <v>0</v>
      </c>
      <c r="H275" t="n">
        <v>0</v>
      </c>
      <c r="I275" t="n">
        <v>0</v>
      </c>
      <c r="J275" t="n">
        <v>0</v>
      </c>
      <c r="K275" t="n">
        <v>0</v>
      </c>
      <c r="L275" t="n">
        <v>0</v>
      </c>
      <c r="M275" t="n">
        <v>0</v>
      </c>
      <c r="N275" t="n">
        <v>0</v>
      </c>
    </row>
    <row r="276">
      <c r="A276" t="inlineStr">
        <is>
          <t>Stock</t>
        </is>
      </c>
      <c r="B276" t="inlineStr">
        <is>
          <t>Ewes: 176 remain from the previous year.</t>
        </is>
      </c>
      <c r="C276" t="n">
        <v>0</v>
      </c>
      <c r="D276" t="n">
        <v>0</v>
      </c>
      <c r="E276" t="n">
        <v>0</v>
      </c>
      <c r="F276" t="n">
        <v>0</v>
      </c>
      <c r="H276" t="n">
        <v>0</v>
      </c>
      <c r="I276" t="n">
        <v>0</v>
      </c>
      <c r="J276" t="n">
        <v>0</v>
      </c>
      <c r="K276" t="n">
        <v>0</v>
      </c>
      <c r="L276" t="n">
        <v>0</v>
      </c>
      <c r="M276" t="n">
        <v>0</v>
      </c>
      <c r="N276" t="n">
        <v>0</v>
      </c>
    </row>
    <row r="277">
      <c r="A277" t="inlineStr">
        <is>
          <t>Stock</t>
        </is>
      </c>
      <c r="B277" t="inlineStr">
        <is>
          <t>30 added from stock.</t>
        </is>
      </c>
      <c r="C277" t="n">
        <v>0</v>
      </c>
      <c r="D277" t="n">
        <v>0</v>
      </c>
      <c r="E277" t="n">
        <v>0</v>
      </c>
      <c r="F277" t="n">
        <v>0</v>
      </c>
      <c r="H277" t="n">
        <v>0</v>
      </c>
      <c r="I277" t="n">
        <v>0</v>
      </c>
      <c r="J277" t="n">
        <v>0</v>
      </c>
      <c r="K277" t="n">
        <v>0</v>
      </c>
      <c r="L277" t="n">
        <v>0</v>
      </c>
      <c r="M277" t="n">
        <v>0</v>
      </c>
      <c r="N277" t="n">
        <v>0</v>
      </c>
    </row>
    <row r="278">
      <c r="A278" t="inlineStr">
        <is>
          <t>Stock</t>
        </is>
      </c>
      <c r="B278" t="inlineStr">
        <is>
          <t>Total, 206. 14 sold at Martinmas.</t>
        </is>
      </c>
      <c r="C278" t="n">
        <v>0</v>
      </c>
      <c r="D278" t="n">
        <v>0</v>
      </c>
      <c r="E278" t="n">
        <v>0</v>
      </c>
      <c r="F278" t="n">
        <v>0</v>
      </c>
      <c r="H278" t="n">
        <v>0</v>
      </c>
      <c r="I278" t="n">
        <v>0</v>
      </c>
      <c r="J278" t="n">
        <v>0</v>
      </c>
      <c r="K278" t="n">
        <v>0</v>
      </c>
      <c r="L278" t="n">
        <v>0</v>
      </c>
      <c r="M278" t="n">
        <v>0</v>
      </c>
      <c r="N278" t="n">
        <v>0</v>
      </c>
    </row>
    <row r="279">
      <c r="A279" t="inlineStr">
        <is>
          <t>Stock</t>
        </is>
      </c>
      <c r="B279" t="inlineStr">
        <is>
          <t>2 in customary payment to the smith and shepherd at the said feast.</t>
        </is>
      </c>
      <c r="C279" t="n">
        <v>0</v>
      </c>
      <c r="D279" t="n">
        <v>0</v>
      </c>
      <c r="E279" t="n">
        <v>0</v>
      </c>
      <c r="F279" t="n">
        <v>0</v>
      </c>
      <c r="H279" t="n">
        <v>0</v>
      </c>
      <c r="I279" t="n">
        <v>0</v>
      </c>
      <c r="J279" t="n">
        <v>0</v>
      </c>
      <c r="K279" t="n">
        <v>0</v>
      </c>
      <c r="L279" t="n">
        <v>0</v>
      </c>
      <c r="M279" t="n">
        <v>0</v>
      </c>
      <c r="N279" t="n">
        <v>0</v>
      </c>
    </row>
    <row r="280">
      <c r="A280" t="inlineStr">
        <is>
          <t>Stock</t>
        </is>
      </c>
      <c r="B280" t="inlineStr">
        <is>
          <t>11 in murrain before lambing, 2 after shearing.</t>
        </is>
      </c>
      <c r="C280" t="n">
        <v>0</v>
      </c>
      <c r="D280" t="n">
        <v>0</v>
      </c>
      <c r="E280" t="n">
        <v>0</v>
      </c>
      <c r="F280" t="n">
        <v>0</v>
      </c>
      <c r="H280" t="n">
        <v>0</v>
      </c>
      <c r="I280" t="n">
        <v>0</v>
      </c>
      <c r="J280" t="n">
        <v>0</v>
      </c>
      <c r="K280" t="n">
        <v>0</v>
      </c>
      <c r="L280" t="n">
        <v>0</v>
      </c>
      <c r="M280" t="n">
        <v>0</v>
      </c>
      <c r="N280" t="n">
        <v>0</v>
      </c>
    </row>
    <row r="281">
      <c r="A281" t="inlineStr">
        <is>
          <t>Stock</t>
        </is>
      </c>
      <c r="B281" t="inlineStr">
        <is>
          <t>Total, 29. 177 remain.</t>
        </is>
      </c>
      <c r="C281" t="n">
        <v>0</v>
      </c>
      <c r="D281" t="n">
        <v>0</v>
      </c>
      <c r="E281" t="n">
        <v>0</v>
      </c>
      <c r="F281" t="n">
        <v>0</v>
      </c>
      <c r="H281" t="n">
        <v>0</v>
      </c>
      <c r="I281" t="n">
        <v>0</v>
      </c>
      <c r="J281" t="n">
        <v>0</v>
      </c>
      <c r="K281" t="n">
        <v>0</v>
      </c>
      <c r="L281" t="n">
        <v>0</v>
      </c>
      <c r="M281" t="n">
        <v>0</v>
      </c>
      <c r="N281" t="n">
        <v>0</v>
      </c>
    </row>
    <row r="282">
      <c r="A282" t="inlineStr">
        <is>
          <t>Stock</t>
        </is>
      </c>
      <c r="B282" t="inlineStr">
        <is>
          <t>Lloggs: 64 remain from the previous year's lambs.</t>
        </is>
      </c>
      <c r="C282" t="n">
        <v>0</v>
      </c>
      <c r="D282" t="n">
        <v>0</v>
      </c>
      <c r="E282" t="n">
        <v>0</v>
      </c>
      <c r="F282" t="n">
        <v>0</v>
      </c>
      <c r="H282" t="n">
        <v>0</v>
      </c>
      <c r="I282" t="n">
        <v>0</v>
      </c>
      <c r="J282" t="n">
        <v>0</v>
      </c>
      <c r="K282" t="n">
        <v>0</v>
      </c>
      <c r="L282" t="n">
        <v>0</v>
      </c>
      <c r="M282" t="n">
        <v>0</v>
      </c>
      <c r="N282" t="n">
        <v>0</v>
      </c>
    </row>
    <row r="283">
      <c r="A283" t="inlineStr">
        <is>
          <t>Stock</t>
        </is>
      </c>
      <c r="B283" t="inlineStr">
        <is>
          <t>8 in murrain before shearing.</t>
        </is>
      </c>
      <c r="C283" t="n">
        <v>0</v>
      </c>
      <c r="D283" t="n">
        <v>0</v>
      </c>
      <c r="E283" t="n">
        <v>0</v>
      </c>
      <c r="F283" t="n">
        <v>0</v>
      </c>
      <c r="H283" t="n">
        <v>0</v>
      </c>
      <c r="I283" t="n">
        <v>0</v>
      </c>
      <c r="J283" t="n">
        <v>0</v>
      </c>
      <c r="K283" t="n">
        <v>0</v>
      </c>
      <c r="L283" t="n">
        <v>0</v>
      </c>
      <c r="M283" t="n">
        <v>0</v>
      </c>
      <c r="N283" t="n">
        <v>0</v>
      </c>
    </row>
    <row r="284">
      <c r="A284" t="inlineStr">
        <is>
          <t>Stock</t>
        </is>
      </c>
      <c r="B284" t="inlineStr">
        <is>
          <t>24 added to wethers, 2 to rams, 30 to ewes.</t>
        </is>
      </c>
      <c r="C284" t="n">
        <v>0</v>
      </c>
      <c r="D284" t="n">
        <v>0</v>
      </c>
      <c r="E284" t="n">
        <v>0</v>
      </c>
      <c r="F284" t="n">
        <v>0</v>
      </c>
      <c r="H284" t="n">
        <v>0</v>
      </c>
      <c r="I284" t="n">
        <v>0</v>
      </c>
      <c r="J284" t="n">
        <v>0</v>
      </c>
      <c r="K284" t="n">
        <v>0</v>
      </c>
      <c r="L284" t="n">
        <v>0</v>
      </c>
      <c r="M284" t="n">
        <v>0</v>
      </c>
      <c r="N284" t="n">
        <v>0</v>
      </c>
    </row>
    <row r="285">
      <c r="A285" t="inlineStr">
        <is>
          <t>Stock</t>
        </is>
      </c>
      <c r="B285" t="inlineStr">
        <is>
          <t>none remain here.</t>
        </is>
      </c>
      <c r="C285" t="n">
        <v>0</v>
      </c>
      <c r="D285" t="n">
        <v>0</v>
      </c>
      <c r="E285" t="n">
        <v>0</v>
      </c>
      <c r="F285" t="n">
        <v>0</v>
      </c>
      <c r="H285" t="n">
        <v>0</v>
      </c>
      <c r="I285" t="n">
        <v>0</v>
      </c>
      <c r="J285" t="n">
        <v>0</v>
      </c>
      <c r="K285" t="n">
        <v>0</v>
      </c>
      <c r="L285" t="n">
        <v>0</v>
      </c>
      <c r="M285" t="n">
        <v>0</v>
      </c>
      <c r="N285" t="n">
        <v>0</v>
      </c>
    </row>
    <row r="286">
      <c r="A286" t="inlineStr">
        <is>
          <t>Stock</t>
        </is>
      </c>
      <c r="B286" t="inlineStr">
        <is>
          <t>Lambs: 126 produced by the said ewes because 23 were sterile.</t>
        </is>
      </c>
      <c r="C286" t="n">
        <v>0</v>
      </c>
      <c r="D286" t="n">
        <v>0</v>
      </c>
      <c r="E286" t="n">
        <v>0</v>
      </c>
      <c r="F286" t="n">
        <v>0</v>
      </c>
      <c r="H286" t="n">
        <v>0</v>
      </c>
      <c r="I286" t="n">
        <v>0</v>
      </c>
      <c r="J286" t="n">
        <v>0</v>
      </c>
      <c r="K286" t="n">
        <v>0</v>
      </c>
      <c r="L286" t="n">
        <v>0</v>
      </c>
      <c r="M286" t="n">
        <v>0</v>
      </c>
      <c r="N286" t="n">
        <v>0</v>
      </c>
    </row>
    <row r="287">
      <c r="A287" t="inlineStr">
        <is>
          <t>Stock</t>
        </is>
      </c>
      <c r="B287" t="inlineStr">
        <is>
          <t>7 from the shepherd for trespass.</t>
        </is>
      </c>
      <c r="C287" t="n">
        <v>0</v>
      </c>
      <c r="D287" t="n">
        <v>0</v>
      </c>
      <c r="E287" t="n">
        <v>0</v>
      </c>
      <c r="F287" t="n">
        <v>0</v>
      </c>
      <c r="H287" t="n">
        <v>0</v>
      </c>
      <c r="I287" t="n">
        <v>0</v>
      </c>
      <c r="J287" t="n">
        <v>0</v>
      </c>
      <c r="K287" t="n">
        <v>0</v>
      </c>
      <c r="L287" t="n">
        <v>0</v>
      </c>
      <c r="M287" t="n">
        <v>0</v>
      </c>
      <c r="N287" t="n">
        <v>0</v>
      </c>
    </row>
    <row r="288">
      <c r="A288" t="inlineStr">
        <is>
          <t>Stock</t>
        </is>
      </c>
      <c r="B288" t="inlineStr">
        <is>
          <t>20 bought before shearing.</t>
        </is>
      </c>
      <c r="C288" t="n">
        <v>0</v>
      </c>
      <c r="D288" t="n">
        <v>0</v>
      </c>
      <c r="E288" t="n">
        <v>0</v>
      </c>
      <c r="F288" t="n">
        <v>0</v>
      </c>
      <c r="H288" t="n">
        <v>0</v>
      </c>
      <c r="I288" t="n">
        <v>0</v>
      </c>
      <c r="J288" t="n">
        <v>0</v>
      </c>
      <c r="K288" t="n">
        <v>0</v>
      </c>
      <c r="L288" t="n">
        <v>0</v>
      </c>
      <c r="M288" t="n">
        <v>0</v>
      </c>
      <c r="N288" t="n">
        <v>0</v>
      </c>
    </row>
    <row r="289">
      <c r="A289" t="inlineStr">
        <is>
          <t>Stock</t>
        </is>
      </c>
      <c r="B289" t="inlineStr">
        <is>
          <t>Total, 153. 12 in tithe, 2 of them skins.</t>
        </is>
      </c>
      <c r="C289" t="n">
        <v>0</v>
      </c>
      <c r="D289" t="n">
        <v>0</v>
      </c>
      <c r="E289" t="n">
        <v>0</v>
      </c>
      <c r="F289" t="n">
        <v>0</v>
      </c>
      <c r="H289" t="n">
        <v>0</v>
      </c>
      <c r="I289" t="n">
        <v>0</v>
      </c>
      <c r="J289" t="n">
        <v>0</v>
      </c>
      <c r="K289" t="n">
        <v>0</v>
      </c>
      <c r="L289" t="n">
        <v>0</v>
      </c>
      <c r="M289" t="n">
        <v>0</v>
      </c>
      <c r="N289" t="n">
        <v>0</v>
      </c>
    </row>
    <row r="290">
      <c r="A290" t="inlineStr">
        <is>
          <t>Stock</t>
        </is>
      </c>
      <c r="B290" t="inlineStr">
        <is>
          <t>3 in customary payment to 1 reeve, 1 smith and 1 shepherd.</t>
        </is>
      </c>
      <c r="C290" t="n">
        <v>0</v>
      </c>
      <c r="D290" t="n">
        <v>0</v>
      </c>
      <c r="E290" t="n">
        <v>0</v>
      </c>
      <c r="F290" t="n">
        <v>0</v>
      </c>
      <c r="H290" t="n">
        <v>0</v>
      </c>
      <c r="I290" t="n">
        <v>0</v>
      </c>
      <c r="J290" t="n">
        <v>0</v>
      </c>
      <c r="K290" t="n">
        <v>0</v>
      </c>
      <c r="L290" t="n">
        <v>0</v>
      </c>
      <c r="M290" t="n">
        <v>0</v>
      </c>
      <c r="N290" t="n">
        <v>0</v>
      </c>
    </row>
    <row r="291">
      <c r="A291" t="inlineStr">
        <is>
          <t>Stock</t>
        </is>
      </c>
      <c r="B291" t="inlineStr">
        <is>
          <t>21 in murrain before weaning, 10 before shearing and after weaning, and 4 after shearing.</t>
        </is>
      </c>
      <c r="C291" t="n">
        <v>0</v>
      </c>
      <c r="D291" t="n">
        <v>0</v>
      </c>
      <c r="E291" t="n">
        <v>0</v>
      </c>
      <c r="F291" t="n">
        <v>0</v>
      </c>
      <c r="H291" t="n">
        <v>0</v>
      </c>
      <c r="I291" t="n">
        <v>0</v>
      </c>
      <c r="J291" t="n">
        <v>0</v>
      </c>
      <c r="K291" t="n">
        <v>0</v>
      </c>
      <c r="L291" t="n">
        <v>0</v>
      </c>
      <c r="M291" t="n">
        <v>0</v>
      </c>
      <c r="N291" t="n">
        <v>0</v>
      </c>
    </row>
    <row r="292">
      <c r="A292" t="inlineStr">
        <is>
          <t>Stock</t>
        </is>
      </c>
      <c r="B292" t="inlineStr">
        <is>
          <t>13 sold because feeble before shearing.</t>
        </is>
      </c>
      <c r="C292" t="n">
        <v>0</v>
      </c>
      <c r="D292" t="n">
        <v>0</v>
      </c>
      <c r="E292" t="n">
        <v>0</v>
      </c>
      <c r="F292" t="n">
        <v>0</v>
      </c>
      <c r="H292" t="n">
        <v>0</v>
      </c>
      <c r="I292" t="n">
        <v>0</v>
      </c>
      <c r="J292" t="n">
        <v>0</v>
      </c>
      <c r="K292" t="n">
        <v>0</v>
      </c>
      <c r="L292" t="n">
        <v>0</v>
      </c>
      <c r="M292" t="n">
        <v>0</v>
      </c>
      <c r="N292" t="n">
        <v>0</v>
      </c>
    </row>
    <row r="293">
      <c r="A293" t="inlineStr">
        <is>
          <t>Stock</t>
        </is>
      </c>
      <c r="B293" t="inlineStr">
        <is>
          <t>Total, 63. 90 remain.</t>
        </is>
      </c>
      <c r="C293" t="n">
        <v>0</v>
      </c>
      <c r="D293" t="n">
        <v>0</v>
      </c>
      <c r="E293" t="n">
        <v>0</v>
      </c>
      <c r="F293" t="n">
        <v>0</v>
      </c>
      <c r="H293" t="n">
        <v>0</v>
      </c>
      <c r="I293" t="n">
        <v>0</v>
      </c>
      <c r="J293" t="n">
        <v>0</v>
      </c>
      <c r="K293" t="n">
        <v>0</v>
      </c>
      <c r="L293" t="n">
        <v>0</v>
      </c>
      <c r="M293" t="n">
        <v>0</v>
      </c>
      <c r="N293" t="n">
        <v>0</v>
      </c>
    </row>
    <row r="294">
      <c r="A294" t="inlineStr">
        <is>
          <t>Stock</t>
        </is>
      </c>
      <c r="B294" t="inlineStr">
        <is>
          <t>Sows: 1 remains from the previous year.</t>
        </is>
      </c>
      <c r="C294" t="n">
        <v>0</v>
      </c>
      <c r="D294" t="n">
        <v>0</v>
      </c>
      <c r="E294" t="n">
        <v>0</v>
      </c>
      <c r="F294" t="n">
        <v>0</v>
      </c>
      <c r="H294" t="n">
        <v>0</v>
      </c>
      <c r="I294" t="n">
        <v>0</v>
      </c>
      <c r="J294" t="n">
        <v>0</v>
      </c>
      <c r="K294" t="n">
        <v>0</v>
      </c>
      <c r="L294" t="n">
        <v>0</v>
      </c>
      <c r="M294" t="n">
        <v>0</v>
      </c>
      <c r="N294" t="n">
        <v>0</v>
      </c>
    </row>
    <row r="295">
      <c r="A295" t="inlineStr">
        <is>
          <t>Stock</t>
        </is>
      </c>
      <c r="B295" t="inlineStr">
        <is>
          <t>1 bought in November.</t>
        </is>
      </c>
      <c r="C295" t="n">
        <v>0</v>
      </c>
      <c r="D295" t="n">
        <v>0</v>
      </c>
      <c r="E295" t="n">
        <v>0</v>
      </c>
      <c r="F295" t="n">
        <v>0</v>
      </c>
      <c r="H295" t="n">
        <v>0</v>
      </c>
      <c r="I295" t="n">
        <v>0</v>
      </c>
      <c r="J295" t="n">
        <v>0</v>
      </c>
      <c r="K295" t="n">
        <v>0</v>
      </c>
      <c r="L295" t="n">
        <v>0</v>
      </c>
      <c r="M295" t="n">
        <v>0</v>
      </c>
      <c r="N295" t="n">
        <v>0</v>
      </c>
    </row>
    <row r="296">
      <c r="A296" t="inlineStr">
        <is>
          <t>Stock</t>
        </is>
      </c>
      <c r="B296" t="inlineStr">
        <is>
          <t>Total, 2. 2 remain.</t>
        </is>
      </c>
      <c r="C296" t="n">
        <v>0</v>
      </c>
      <c r="D296" t="n">
        <v>0</v>
      </c>
      <c r="E296" t="n">
        <v>0</v>
      </c>
      <c r="F296" t="n">
        <v>0</v>
      </c>
      <c r="H296" t="n">
        <v>0</v>
      </c>
      <c r="I296" t="n">
        <v>0</v>
      </c>
      <c r="J296" t="n">
        <v>0</v>
      </c>
      <c r="K296" t="n">
        <v>0</v>
      </c>
      <c r="L296" t="n">
        <v>0</v>
      </c>
      <c r="M296" t="n">
        <v>0</v>
      </c>
      <c r="N296" t="n">
        <v>0</v>
      </c>
    </row>
    <row r="297">
      <c r="A297" t="inlineStr">
        <is>
          <t>Stock</t>
        </is>
      </c>
      <c r="B297" t="inlineStr">
        <is>
          <t>Pigs: 11 remain from the previous year.</t>
        </is>
      </c>
      <c r="C297" t="n">
        <v>0</v>
      </c>
      <c r="D297" t="n">
        <v>0</v>
      </c>
      <c r="E297" t="n">
        <v>0</v>
      </c>
      <c r="F297" t="n">
        <v>0</v>
      </c>
      <c r="H297" t="n">
        <v>0</v>
      </c>
      <c r="I297" t="n">
        <v>0</v>
      </c>
      <c r="J297" t="n">
        <v>0</v>
      </c>
      <c r="K297" t="n">
        <v>0</v>
      </c>
      <c r="L297" t="n">
        <v>0</v>
      </c>
      <c r="M297" t="n">
        <v>0</v>
      </c>
      <c r="N297" t="n">
        <v>0</v>
      </c>
    </row>
    <row r="298">
      <c r="A298" t="inlineStr">
        <is>
          <t>Stock</t>
        </is>
      </c>
      <c r="B298" t="inlineStr">
        <is>
          <t>16 added from stock.</t>
        </is>
      </c>
      <c r="C298" t="n">
        <v>0</v>
      </c>
      <c r="D298" t="n">
        <v>0</v>
      </c>
      <c r="E298" t="n">
        <v>0</v>
      </c>
      <c r="F298" t="n">
        <v>0</v>
      </c>
      <c r="H298" t="n">
        <v>0</v>
      </c>
      <c r="I298" t="n">
        <v>0</v>
      </c>
      <c r="J298" t="n">
        <v>0</v>
      </c>
      <c r="K298" t="n">
        <v>0</v>
      </c>
      <c r="L298" t="n">
        <v>0</v>
      </c>
      <c r="M298" t="n">
        <v>0</v>
      </c>
      <c r="N298" t="n">
        <v>0</v>
      </c>
    </row>
    <row r="299">
      <c r="A299" t="inlineStr">
        <is>
          <t>Stock</t>
        </is>
      </c>
      <c r="B299" t="inlineStr">
        <is>
          <t>1 from strays.</t>
        </is>
      </c>
      <c r="C299" t="n">
        <v>0</v>
      </c>
      <c r="D299" t="n">
        <v>0</v>
      </c>
      <c r="E299" t="n">
        <v>0</v>
      </c>
      <c r="F299" t="n">
        <v>0</v>
      </c>
      <c r="H299" t="n">
        <v>0</v>
      </c>
      <c r="I299" t="n">
        <v>0</v>
      </c>
      <c r="J299" t="n">
        <v>0</v>
      </c>
      <c r="K299" t="n">
        <v>0</v>
      </c>
      <c r="L299" t="n">
        <v>0</v>
      </c>
      <c r="M299" t="n">
        <v>0</v>
      </c>
      <c r="N299" t="n">
        <v>0</v>
      </c>
    </row>
    <row r="300">
      <c r="A300" t="inlineStr">
        <is>
          <t>Stock</t>
        </is>
      </c>
      <c r="B300" t="inlineStr">
        <is>
          <t>11 bought.</t>
        </is>
      </c>
      <c r="C300" t="n">
        <v>0</v>
      </c>
      <c r="D300" t="n">
        <v>0</v>
      </c>
      <c r="E300" t="n">
        <v>0</v>
      </c>
      <c r="F300" t="n">
        <v>0</v>
      </c>
      <c r="H300" t="n">
        <v>0</v>
      </c>
      <c r="I300" t="n">
        <v>0</v>
      </c>
      <c r="J300" t="n">
        <v>0</v>
      </c>
      <c r="K300" t="n">
        <v>0</v>
      </c>
      <c r="L300" t="n">
        <v>0</v>
      </c>
      <c r="M300" t="n">
        <v>0</v>
      </c>
      <c r="N300" t="n">
        <v>0</v>
      </c>
    </row>
    <row r="301">
      <c r="A301" t="inlineStr">
        <is>
          <t>Stock</t>
        </is>
      </c>
      <c r="B301" t="inlineStr">
        <is>
          <t>Total, 39. 4 sold.</t>
        </is>
      </c>
      <c r="C301" t="n">
        <v>0</v>
      </c>
      <c r="D301" t="n">
        <v>0</v>
      </c>
      <c r="E301" t="n">
        <v>0</v>
      </c>
      <c r="F301" t="n">
        <v>0</v>
      </c>
      <c r="H301" t="n">
        <v>0</v>
      </c>
      <c r="I301" t="n">
        <v>0</v>
      </c>
      <c r="J301" t="n">
        <v>0</v>
      </c>
      <c r="K301" t="n">
        <v>0</v>
      </c>
      <c r="L301" t="n">
        <v>0</v>
      </c>
      <c r="M301" t="n">
        <v>0</v>
      </c>
      <c r="N301" t="n">
        <v>0</v>
      </c>
    </row>
    <row r="302">
      <c r="A302" t="inlineStr">
        <is>
          <t>Stock</t>
        </is>
      </c>
      <c r="B302" t="inlineStr">
        <is>
          <t>35 remain.</t>
        </is>
      </c>
      <c r="C302" t="n">
        <v>0</v>
      </c>
      <c r="D302" t="n">
        <v>0</v>
      </c>
      <c r="E302" t="n">
        <v>0</v>
      </c>
      <c r="F302" t="n">
        <v>0</v>
      </c>
      <c r="H302" t="n">
        <v>0</v>
      </c>
      <c r="I302" t="n">
        <v>0</v>
      </c>
      <c r="J302" t="n">
        <v>0</v>
      </c>
      <c r="K302" t="n">
        <v>0</v>
      </c>
      <c r="L302" t="n">
        <v>0</v>
      </c>
      <c r="M302" t="n">
        <v>0</v>
      </c>
      <c r="N302" t="n">
        <v>0</v>
      </c>
    </row>
    <row r="303">
      <c r="A303" t="inlineStr">
        <is>
          <t>Stock</t>
        </is>
      </c>
      <c r="B303" t="inlineStr">
        <is>
          <t>Hoggets: 16 remain from the previous year's piglets.</t>
        </is>
      </c>
      <c r="C303" t="n">
        <v>0</v>
      </c>
      <c r="D303" t="n">
        <v>0</v>
      </c>
      <c r="E303" t="n">
        <v>0</v>
      </c>
      <c r="F303" t="n">
        <v>0</v>
      </c>
      <c r="H303" t="n">
        <v>0</v>
      </c>
      <c r="I303" t="n">
        <v>0</v>
      </c>
      <c r="J303" t="n">
        <v>0</v>
      </c>
      <c r="K303" t="n">
        <v>0</v>
      </c>
      <c r="L303" t="n">
        <v>0</v>
      </c>
      <c r="M303" t="n">
        <v>0</v>
      </c>
      <c r="N303" t="n">
        <v>0</v>
      </c>
    </row>
    <row r="304">
      <c r="A304" t="inlineStr">
        <is>
          <t>Stock</t>
        </is>
      </c>
      <c r="B304" t="inlineStr">
        <is>
          <t>all added to pigs.</t>
        </is>
      </c>
      <c r="C304" t="n">
        <v>0</v>
      </c>
      <c r="D304" t="n">
        <v>0</v>
      </c>
      <c r="E304" t="n">
        <v>0</v>
      </c>
      <c r="F304" t="n">
        <v>0</v>
      </c>
      <c r="H304" t="n">
        <v>0</v>
      </c>
      <c r="I304" t="n">
        <v>0</v>
      </c>
      <c r="J304" t="n">
        <v>0</v>
      </c>
      <c r="K304" t="n">
        <v>0</v>
      </c>
      <c r="L304" t="n">
        <v>0</v>
      </c>
      <c r="M304" t="n">
        <v>0</v>
      </c>
      <c r="N304" t="n">
        <v>0</v>
      </c>
    </row>
    <row r="305">
      <c r="A305" t="inlineStr">
        <is>
          <t>Stock</t>
        </is>
      </c>
      <c r="B305" t="inlineStr">
        <is>
          <t>none remain here.</t>
        </is>
      </c>
      <c r="C305" t="n">
        <v>0</v>
      </c>
      <c r="D305" t="n">
        <v>0</v>
      </c>
      <c r="E305" t="n">
        <v>0</v>
      </c>
      <c r="F305" t="n">
        <v>0</v>
      </c>
      <c r="H305" t="n">
        <v>0</v>
      </c>
      <c r="I305" t="n">
        <v>0</v>
      </c>
      <c r="J305" t="n">
        <v>0</v>
      </c>
      <c r="K305" t="n">
        <v>0</v>
      </c>
      <c r="L305" t="n">
        <v>0</v>
      </c>
      <c r="M305" t="n">
        <v>0</v>
      </c>
      <c r="N305" t="n">
        <v>0</v>
      </c>
    </row>
    <row r="306">
      <c r="A306" t="inlineStr">
        <is>
          <t>Stock</t>
        </is>
      </c>
      <c r="B306" t="inlineStr">
        <is>
          <t>Piglets: 26 from the offspring of the said sows. 2 in tithe.</t>
        </is>
      </c>
      <c r="C306" t="n">
        <v>0</v>
      </c>
      <c r="D306" t="n">
        <v>0</v>
      </c>
      <c r="E306" t="n">
        <v>0</v>
      </c>
      <c r="F306" t="n">
        <v>0</v>
      </c>
      <c r="H306" t="n">
        <v>0</v>
      </c>
      <c r="I306" t="n">
        <v>0</v>
      </c>
      <c r="J306" t="n">
        <v>0</v>
      </c>
      <c r="K306" t="n">
        <v>0</v>
      </c>
      <c r="L306" t="n">
        <v>0</v>
      </c>
      <c r="M306" t="n">
        <v>0</v>
      </c>
      <c r="N306" t="n">
        <v>0</v>
      </c>
    </row>
    <row r="307">
      <c r="A307" t="inlineStr">
        <is>
          <t>Stock</t>
        </is>
      </c>
      <c r="B307" t="inlineStr">
        <is>
          <t>3 in customary payment to the reeve, smith and swineherd.</t>
        </is>
      </c>
      <c r="C307" t="n">
        <v>0</v>
      </c>
      <c r="D307" t="n">
        <v>0</v>
      </c>
      <c r="E307" t="n">
        <v>0</v>
      </c>
      <c r="F307" t="n">
        <v>0</v>
      </c>
      <c r="H307" t="n">
        <v>0</v>
      </c>
      <c r="I307" t="n">
        <v>0</v>
      </c>
      <c r="J307" t="n">
        <v>0</v>
      </c>
      <c r="K307" t="n">
        <v>0</v>
      </c>
      <c r="L307" t="n">
        <v>0</v>
      </c>
      <c r="M307" t="n">
        <v>0</v>
      </c>
      <c r="N307" t="n">
        <v>0</v>
      </c>
    </row>
    <row r="308">
      <c r="A308" t="inlineStr">
        <is>
          <t>Stock</t>
        </is>
      </c>
      <c r="B308" t="inlineStr">
        <is>
          <t>5 in murrain.</t>
        </is>
      </c>
      <c r="C308" t="n">
        <v>0</v>
      </c>
      <c r="D308" t="n">
        <v>0</v>
      </c>
      <c r="E308" t="n">
        <v>0</v>
      </c>
      <c r="F308" t="n">
        <v>0</v>
      </c>
      <c r="H308" t="n">
        <v>0</v>
      </c>
      <c r="I308" t="n">
        <v>0</v>
      </c>
      <c r="J308" t="n">
        <v>0</v>
      </c>
      <c r="K308" t="n">
        <v>0</v>
      </c>
      <c r="L308" t="n">
        <v>0</v>
      </c>
      <c r="M308" t="n">
        <v>0</v>
      </c>
      <c r="N308" t="n">
        <v>0</v>
      </c>
    </row>
    <row r="309">
      <c r="A309" t="inlineStr">
        <is>
          <t>Stock</t>
        </is>
      </c>
      <c r="B309" t="inlineStr">
        <is>
          <t>Total, 10. 16 remain.</t>
        </is>
      </c>
      <c r="C309" t="n">
        <v>0</v>
      </c>
      <c r="D309" t="n">
        <v>0</v>
      </c>
      <c r="E309" t="n">
        <v>0</v>
      </c>
      <c r="F309" t="n">
        <v>0</v>
      </c>
      <c r="H309" t="n">
        <v>0</v>
      </c>
      <c r="I309" t="n">
        <v>0</v>
      </c>
      <c r="J309" t="n">
        <v>0</v>
      </c>
      <c r="K309" t="n">
        <v>0</v>
      </c>
      <c r="L309" t="n">
        <v>0</v>
      </c>
      <c r="M309" t="n">
        <v>0</v>
      </c>
      <c r="N309" t="n">
        <v>0</v>
      </c>
    </row>
    <row r="310">
      <c r="A310" t="inlineStr">
        <is>
          <t>Stock</t>
        </is>
      </c>
      <c r="B310" t="inlineStr">
        <is>
          <t>Coarse wool: {yield of fleece 3.75pence less 1 shilling 5.511. in all): 165 fleeces from wethers, 6 from rams, 149 from ewes and 56 from hoggs produced at the shearing this year.</t>
        </is>
      </c>
      <c r="C310" t="n">
        <v>0.07000000000000001</v>
      </c>
      <c r="D310" t="n">
        <v>0</v>
      </c>
      <c r="E310" t="n">
        <v>1</v>
      </c>
      <c r="F310" t="n">
        <v>3.75</v>
      </c>
      <c r="H310" t="n">
        <v>0</v>
      </c>
      <c r="I310" t="n">
        <v>0</v>
      </c>
      <c r="J310" t="n">
        <v>0</v>
      </c>
      <c r="K310" t="n">
        <v>0</v>
      </c>
      <c r="L310" t="n">
        <v>0</v>
      </c>
      <c r="M310" t="n">
        <v>0</v>
      </c>
      <c r="N310" t="n">
        <v>0</v>
      </c>
    </row>
    <row r="311">
      <c r="A311" t="inlineStr">
        <is>
          <t>Stock</t>
        </is>
      </c>
      <c r="B311" t="inlineStr">
        <is>
          <t>Total, 376. 37 in tithe.</t>
        </is>
      </c>
      <c r="C311" t="n">
        <v>0</v>
      </c>
      <c r="D311" t="n">
        <v>0</v>
      </c>
      <c r="E311" t="n">
        <v>0</v>
      </c>
      <c r="F311" t="n">
        <v>0</v>
      </c>
      <c r="H311" t="n">
        <v>0</v>
      </c>
      <c r="I311" t="n">
        <v>0</v>
      </c>
      <c r="J311" t="n">
        <v>0</v>
      </c>
      <c r="K311" t="n">
        <v>0</v>
      </c>
      <c r="L311" t="n">
        <v>0</v>
      </c>
      <c r="M311" t="n">
        <v>0</v>
      </c>
      <c r="N311" t="n">
        <v>0</v>
      </c>
    </row>
    <row r="312">
      <c r="A312" t="inlineStr">
        <is>
          <t>Stock</t>
        </is>
      </c>
      <c r="B312" t="inlineStr">
        <is>
          <t>1 in customary payment to I shepherpence Total, 38. 338 sent to Wolvesey, which made 2 weys 1 clove.</t>
        </is>
      </c>
      <c r="C312" t="n">
        <v>0</v>
      </c>
      <c r="D312" t="n">
        <v>0</v>
      </c>
      <c r="E312" t="n">
        <v>0</v>
      </c>
      <c r="F312" t="n">
        <v>0</v>
      </c>
      <c r="H312" t="n">
        <v>0</v>
      </c>
      <c r="I312" t="n">
        <v>0</v>
      </c>
      <c r="J312" t="n">
        <v>0</v>
      </c>
      <c r="K312" t="n">
        <v>0</v>
      </c>
      <c r="L312" t="n">
        <v>0</v>
      </c>
      <c r="M312" t="n">
        <v>0</v>
      </c>
      <c r="N312" t="n">
        <v>0</v>
      </c>
    </row>
    <row r="313">
      <c r="A313" t="inlineStr">
        <is>
          <t>Stock</t>
        </is>
      </c>
      <c r="B313" t="inlineStr">
        <is>
          <t>Lamb's-wool: {yield of fleece 1.25pence less 2.5pence in all): 94 fleeces produced at the shearing this year.</t>
        </is>
      </c>
      <c r="C313" t="n">
        <v>0.01</v>
      </c>
      <c r="D313" t="n">
        <v>0</v>
      </c>
      <c r="E313" t="n">
        <v>0</v>
      </c>
      <c r="F313" t="n">
        <v>1.25</v>
      </c>
      <c r="H313" t="n">
        <v>0</v>
      </c>
      <c r="I313" t="n">
        <v>0</v>
      </c>
      <c r="J313" t="n">
        <v>0</v>
      </c>
      <c r="K313" t="n">
        <v>0</v>
      </c>
      <c r="L313" t="n">
        <v>0</v>
      </c>
      <c r="M313" t="n">
        <v>0</v>
      </c>
      <c r="N313" t="n">
        <v>0</v>
      </c>
    </row>
    <row r="314">
      <c r="A314" t="inlineStr">
        <is>
          <t>Stock</t>
        </is>
      </c>
      <c r="B314" t="inlineStr">
        <is>
          <t>all sent to Wolvesey, which made 5 cloves.</t>
        </is>
      </c>
      <c r="C314" t="n">
        <v>0</v>
      </c>
      <c r="D314" t="n">
        <v>0</v>
      </c>
      <c r="E314" t="n">
        <v>0</v>
      </c>
      <c r="F314" t="n">
        <v>0</v>
      </c>
      <c r="H314" t="n">
        <v>0</v>
      </c>
      <c r="I314" t="n">
        <v>0</v>
      </c>
      <c r="J314" t="n">
        <v>0</v>
      </c>
      <c r="K314" t="n">
        <v>0</v>
      </c>
      <c r="L314" t="n">
        <v>0</v>
      </c>
      <c r="M314" t="n">
        <v>0</v>
      </c>
      <c r="N314" t="n">
        <v>0</v>
      </c>
    </row>
    <row r="315">
      <c r="A315" t="inlineStr">
        <is>
          <t>Stock</t>
        </is>
      </c>
      <c r="B315" t="inlineStr">
        <is>
          <t>Winter cheese: 28 rowen cheeses.</t>
        </is>
      </c>
      <c r="C315" t="n">
        <v>0</v>
      </c>
      <c r="D315" t="n">
        <v>0</v>
      </c>
      <c r="E315" t="n">
        <v>0</v>
      </c>
      <c r="F315" t="n">
        <v>0</v>
      </c>
      <c r="H315" t="n">
        <v>0</v>
      </c>
      <c r="I315" t="n">
        <v>0</v>
      </c>
      <c r="J315" t="n">
        <v>0</v>
      </c>
      <c r="K315" t="n">
        <v>0</v>
      </c>
      <c r="L315" t="n">
        <v>0</v>
      </c>
      <c r="M315" t="n">
        <v>0</v>
      </c>
      <c r="N315" t="n">
        <v>0</v>
      </c>
    </row>
    <row r="316">
      <c r="A316" t="inlineStr">
        <is>
          <t>Stock</t>
        </is>
      </c>
      <c r="B316" t="inlineStr">
        <is>
          <t>all sold, which made .5 wey 6 cloves.</t>
        </is>
      </c>
      <c r="C316" t="n">
        <v>0</v>
      </c>
      <c r="D316" t="n">
        <v>0</v>
      </c>
      <c r="E316" t="n">
        <v>0</v>
      </c>
      <c r="F316" t="n">
        <v>0</v>
      </c>
      <c r="H316" t="n">
        <v>0</v>
      </c>
      <c r="I316" t="n">
        <v>0</v>
      </c>
      <c r="J316" t="n">
        <v>0</v>
      </c>
      <c r="K316" t="n">
        <v>0</v>
      </c>
      <c r="L316" t="n">
        <v>0</v>
      </c>
      <c r="M316" t="n">
        <v>0</v>
      </c>
      <c r="N316" t="n">
        <v>0</v>
      </c>
    </row>
    <row r="317">
      <c r="A317" t="inlineStr">
        <is>
          <t>Stock</t>
        </is>
      </c>
      <c r="B317" t="inlineStr">
        <is>
          <t>Cheese: {yield of cow 4 shilling and sheep 3pence with 2 cheeses in customary payment valued at 1 shilling}: 162 cheeses made in summer between St Alphegus' day (19 April) and Michaelmas (29 September), both days included, at 1 cheese a day.</t>
        </is>
      </c>
      <c r="C317" t="n">
        <v>0.21</v>
      </c>
      <c r="D317" t="n">
        <v>0</v>
      </c>
      <c r="E317" t="n">
        <v>4</v>
      </c>
      <c r="F317" t="n">
        <v>3</v>
      </c>
      <c r="H317" t="n">
        <v>0</v>
      </c>
      <c r="I317" t="n">
        <v>0</v>
      </c>
      <c r="J317" t="n">
        <v>0</v>
      </c>
      <c r="K317" t="n">
        <v>0</v>
      </c>
      <c r="L317" t="n">
        <v>0</v>
      </c>
      <c r="M317" t="n">
        <v>0</v>
      </c>
      <c r="N317" t="n">
        <v>0</v>
      </c>
    </row>
    <row r="318">
      <c r="A318" t="inlineStr">
        <is>
          <t>Stock</t>
        </is>
      </c>
      <c r="B318" t="inlineStr">
        <is>
          <t>16 in tithe.</t>
        </is>
      </c>
      <c r="C318" t="n">
        <v>0</v>
      </c>
      <c r="D318" t="n">
        <v>0</v>
      </c>
      <c r="E318" t="n">
        <v>0</v>
      </c>
      <c r="F318" t="n">
        <v>0</v>
      </c>
      <c r="H318" t="n">
        <v>0</v>
      </c>
      <c r="I318" t="n">
        <v>0</v>
      </c>
      <c r="J318" t="n">
        <v>0</v>
      </c>
      <c r="K318" t="n">
        <v>0</v>
      </c>
      <c r="L318" t="n">
        <v>0</v>
      </c>
      <c r="M318" t="n">
        <v>0</v>
      </c>
      <c r="N318" t="n">
        <v>0</v>
      </c>
    </row>
    <row r="319">
      <c r="A319" t="inlineStr">
        <is>
          <t>Stock</t>
        </is>
      </c>
      <c r="B319" t="inlineStr">
        <is>
          <t>2 in customary payment to the smith and shepherd.</t>
        </is>
      </c>
      <c r="C319" t="n">
        <v>0</v>
      </c>
      <c r="D319" t="n">
        <v>0</v>
      </c>
      <c r="E319" t="n">
        <v>0</v>
      </c>
      <c r="F319" t="n">
        <v>0</v>
      </c>
      <c r="H319" t="n">
        <v>0</v>
      </c>
      <c r="I319" t="n">
        <v>0</v>
      </c>
      <c r="J319" t="n">
        <v>0</v>
      </c>
      <c r="K319" t="n">
        <v>0</v>
      </c>
      <c r="L319" t="n">
        <v>0</v>
      </c>
      <c r="M319" t="n">
        <v>0</v>
      </c>
      <c r="N319" t="n">
        <v>0</v>
      </c>
    </row>
    <row r="320">
      <c r="A320" t="inlineStr">
        <is>
          <t>Stock</t>
        </is>
      </c>
      <c r="B320" t="inlineStr">
        <is>
          <t>120 sold, which made 6.5 weys.</t>
        </is>
      </c>
      <c r="C320" t="n">
        <v>0</v>
      </c>
      <c r="D320" t="n">
        <v>0</v>
      </c>
      <c r="E320" t="n">
        <v>0</v>
      </c>
      <c r="F320" t="n">
        <v>0</v>
      </c>
      <c r="H320" t="n">
        <v>0</v>
      </c>
      <c r="I320" t="n">
        <v>0</v>
      </c>
      <c r="J320" t="n">
        <v>0</v>
      </c>
      <c r="K320" t="n">
        <v>0</v>
      </c>
      <c r="L320" t="n">
        <v>0</v>
      </c>
      <c r="M320" t="n">
        <v>0</v>
      </c>
      <c r="N320" t="n">
        <v>0</v>
      </c>
    </row>
    <row r="321">
      <c r="A321" t="inlineStr">
        <is>
          <t>Stock</t>
        </is>
      </c>
      <c r="B321" t="inlineStr">
        <is>
          <t>Butter: 8 cloves.</t>
        </is>
      </c>
      <c r="C321" t="n">
        <v>0</v>
      </c>
      <c r="D321" t="n">
        <v>0</v>
      </c>
      <c r="E321" t="n">
        <v>0</v>
      </c>
      <c r="F321" t="n">
        <v>0</v>
      </c>
      <c r="H321" t="n">
        <v>0</v>
      </c>
      <c r="I321" t="n">
        <v>0</v>
      </c>
      <c r="J321" t="n">
        <v>0</v>
      </c>
      <c r="K321" t="n">
        <v>0</v>
      </c>
      <c r="L321" t="n">
        <v>0</v>
      </c>
      <c r="M321" t="n">
        <v>0</v>
      </c>
      <c r="N321" t="n">
        <v>0</v>
      </c>
    </row>
    <row r="322">
      <c r="A322" t="inlineStr">
        <is>
          <t>Stock</t>
        </is>
      </c>
      <c r="B322" t="inlineStr">
        <is>
          <t>all solpence</t>
        </is>
      </c>
      <c r="C322" t="n">
        <v>0</v>
      </c>
      <c r="D322" t="n">
        <v>0</v>
      </c>
      <c r="E322" t="n">
        <v>0</v>
      </c>
      <c r="F322" t="n">
        <v>0</v>
      </c>
      <c r="H322" t="n">
        <v>0</v>
      </c>
      <c r="I322" t="n">
        <v>0</v>
      </c>
      <c r="J322" t="n">
        <v>0</v>
      </c>
      <c r="K322" t="n">
        <v>0</v>
      </c>
      <c r="L322" t="n">
        <v>0</v>
      </c>
      <c r="M322" t="n">
        <v>0</v>
      </c>
      <c r="N322" t="n">
        <v>0</v>
      </c>
    </row>
    <row r="323">
      <c r="A323" t="inlineStr">
        <is>
          <t>Stock</t>
        </is>
      </c>
      <c r="B323" t="inlineStr">
        <is>
          <t>Hides: 1 from a plough-horse, 3 from colts and 1 from a yearling.</t>
        </is>
      </c>
      <c r="C323" t="n">
        <v>0</v>
      </c>
      <c r="D323" t="n">
        <v>0</v>
      </c>
      <c r="E323" t="n">
        <v>0</v>
      </c>
      <c r="F323" t="n">
        <v>0</v>
      </c>
      <c r="H323" t="n">
        <v>0</v>
      </c>
      <c r="I323" t="n">
        <v>0</v>
      </c>
      <c r="J323" t="n">
        <v>0</v>
      </c>
      <c r="K323" t="n">
        <v>0</v>
      </c>
      <c r="L323" t="n">
        <v>0</v>
      </c>
      <c r="M323" t="n">
        <v>0</v>
      </c>
      <c r="N323" t="n">
        <v>0</v>
      </c>
    </row>
    <row r="324">
      <c r="A324" t="inlineStr">
        <is>
          <t>Stock</t>
        </is>
      </c>
      <c r="B324" t="inlineStr">
        <is>
          <t>all solpence</t>
        </is>
      </c>
      <c r="C324" t="n">
        <v>0</v>
      </c>
      <c r="D324" t="n">
        <v>0</v>
      </c>
      <c r="E324" t="n">
        <v>0</v>
      </c>
      <c r="F324" t="n">
        <v>0</v>
      </c>
      <c r="H324" t="n">
        <v>0</v>
      </c>
      <c r="I324" t="n">
        <v>0</v>
      </c>
      <c r="J324" t="n">
        <v>0</v>
      </c>
      <c r="K324" t="n">
        <v>0</v>
      </c>
      <c r="L324" t="n">
        <v>0</v>
      </c>
      <c r="M324" t="n">
        <v>0</v>
      </c>
      <c r="N324" t="n">
        <v>0</v>
      </c>
    </row>
    <row r="325">
      <c r="A325" t="inlineStr">
        <is>
          <t>Stock</t>
        </is>
      </c>
      <c r="B325" t="inlineStr">
        <is>
          <t>Woolskins: 7 from wethers, 11 from ewes and 8 from hoggs dead from murrain before shearing.</t>
        </is>
      </c>
      <c r="C325" t="n">
        <v>0</v>
      </c>
      <c r="D325" t="n">
        <v>0</v>
      </c>
      <c r="E325" t="n">
        <v>0</v>
      </c>
      <c r="F325" t="n">
        <v>0</v>
      </c>
      <c r="H325" t="n">
        <v>0</v>
      </c>
      <c r="I325" t="n">
        <v>0</v>
      </c>
      <c r="J325" t="n">
        <v>0</v>
      </c>
      <c r="K325" t="n">
        <v>0</v>
      </c>
      <c r="L325" t="n">
        <v>0</v>
      </c>
      <c r="M325" t="n">
        <v>0</v>
      </c>
      <c r="N325" t="n">
        <v>0</v>
      </c>
    </row>
    <row r="326">
      <c r="A326" t="inlineStr">
        <is>
          <t>Stock</t>
        </is>
      </c>
      <c r="B326" t="inlineStr">
        <is>
          <t>all sold-</t>
        </is>
      </c>
      <c r="C326" t="n">
        <v>0</v>
      </c>
      <c r="D326" t="n">
        <v>0</v>
      </c>
      <c r="E326" t="n">
        <v>0</v>
      </c>
      <c r="F326" t="n">
        <v>0</v>
      </c>
      <c r="H326" t="n">
        <v>0</v>
      </c>
      <c r="I326" t="n">
        <v>0</v>
      </c>
      <c r="J326" t="n">
        <v>0</v>
      </c>
      <c r="K326" t="n">
        <v>0</v>
      </c>
      <c r="L326" t="n">
        <v>0</v>
      </c>
      <c r="M326" t="n">
        <v>0</v>
      </c>
      <c r="N326" t="n">
        <v>0</v>
      </c>
    </row>
    <row r="327">
      <c r="A327" t="inlineStr">
        <is>
          <t>Stock</t>
        </is>
      </c>
      <c r="B327" t="inlineStr">
        <is>
          <t>Bare skins: 1 from a wether and 2 from ewes dead from murrain after shearing.</t>
        </is>
      </c>
      <c r="C327" t="n">
        <v>0</v>
      </c>
      <c r="D327" t="n">
        <v>0</v>
      </c>
      <c r="E327" t="n">
        <v>0</v>
      </c>
      <c r="F327" t="n">
        <v>0</v>
      </c>
      <c r="H327" t="n">
        <v>0</v>
      </c>
      <c r="I327" t="n">
        <v>0</v>
      </c>
      <c r="J327" t="n">
        <v>0</v>
      </c>
      <c r="K327" t="n">
        <v>0</v>
      </c>
      <c r="L327" t="n">
        <v>0</v>
      </c>
      <c r="M327" t="n">
        <v>0</v>
      </c>
      <c r="N327" t="n">
        <v>0</v>
      </c>
    </row>
    <row r="328">
      <c r="A328" t="inlineStr">
        <is>
          <t>Stock</t>
        </is>
      </c>
      <c r="B328" t="inlineStr">
        <is>
          <t>all solpence</t>
        </is>
      </c>
      <c r="C328" t="n">
        <v>0</v>
      </c>
      <c r="D328" t="n">
        <v>0</v>
      </c>
      <c r="E328" t="n">
        <v>0</v>
      </c>
      <c r="F328" t="n">
        <v>0</v>
      </c>
      <c r="H328" t="n">
        <v>0</v>
      </c>
      <c r="I328" t="n">
        <v>0</v>
      </c>
      <c r="J328" t="n">
        <v>0</v>
      </c>
      <c r="K328" t="n">
        <v>0</v>
      </c>
      <c r="L328" t="n">
        <v>0</v>
      </c>
      <c r="M328" t="n">
        <v>0</v>
      </c>
      <c r="N328" t="n">
        <v>0</v>
      </c>
    </row>
    <row r="329">
      <c r="A329" t="inlineStr">
        <is>
          <t>Stock</t>
        </is>
      </c>
      <c r="B329" t="inlineStr">
        <is>
          <t>Lambskins: 21 from lambs dead from murrain before weaning and 14 from rotted sheep.</t>
        </is>
      </c>
      <c r="C329" t="n">
        <v>0</v>
      </c>
      <c r="D329" t="n">
        <v>0</v>
      </c>
      <c r="E329" t="n">
        <v>0</v>
      </c>
      <c r="F329" t="n">
        <v>0</v>
      </c>
      <c r="H329" t="n">
        <v>0</v>
      </c>
      <c r="I329" t="n">
        <v>0</v>
      </c>
      <c r="J329" t="n">
        <v>0</v>
      </c>
      <c r="K329" t="n">
        <v>0</v>
      </c>
      <c r="L329" t="n">
        <v>0</v>
      </c>
      <c r="M329" t="n">
        <v>0</v>
      </c>
      <c r="N329" t="n">
        <v>0</v>
      </c>
    </row>
    <row r="330">
      <c r="A330" t="inlineStr">
        <is>
          <t>Stock</t>
        </is>
      </c>
      <c r="B330" t="inlineStr">
        <is>
          <t>all solpence</t>
        </is>
      </c>
      <c r="C330" t="n">
        <v>0</v>
      </c>
      <c r="D330" t="n">
        <v>0</v>
      </c>
      <c r="E330" t="n">
        <v>0</v>
      </c>
      <c r="F330" t="n">
        <v>0</v>
      </c>
      <c r="H330" t="n">
        <v>0</v>
      </c>
      <c r="I330" t="n">
        <v>0</v>
      </c>
      <c r="J330" t="n">
        <v>0</v>
      </c>
      <c r="K330" t="n">
        <v>0</v>
      </c>
      <c r="L330" t="n">
        <v>0</v>
      </c>
      <c r="M330" t="n">
        <v>0</v>
      </c>
      <c r="N330" t="n">
        <v>0</v>
      </c>
    </row>
    <row r="331">
      <c r="A331" t="inlineStr">
        <is>
          <t>Stock</t>
        </is>
      </c>
      <c r="B331" t="inlineStr">
        <is>
          <t>Peacocks: 12 remain from the previous year.</t>
        </is>
      </c>
      <c r="C331" t="n">
        <v>0</v>
      </c>
      <c r="D331" t="n">
        <v>0</v>
      </c>
      <c r="E331" t="n">
        <v>0</v>
      </c>
      <c r="F331" t="n">
        <v>0</v>
      </c>
      <c r="H331" t="n">
        <v>0</v>
      </c>
      <c r="I331" t="n">
        <v>0</v>
      </c>
      <c r="J331" t="n">
        <v>0</v>
      </c>
      <c r="K331" t="n">
        <v>0</v>
      </c>
      <c r="L331" t="n">
        <v>0</v>
      </c>
      <c r="M331" t="n">
        <v>0</v>
      </c>
      <c r="N331" t="n">
        <v>0</v>
      </c>
    </row>
    <row r="332">
      <c r="A332" t="inlineStr">
        <is>
          <t>Stock</t>
        </is>
      </c>
      <c r="B332" t="inlineStr">
        <is>
          <t>2 offspring.</t>
        </is>
      </c>
      <c r="C332" t="n">
        <v>0</v>
      </c>
      <c r="D332" t="n">
        <v>0</v>
      </c>
      <c r="E332" t="n">
        <v>0</v>
      </c>
      <c r="F332" t="n">
        <v>0</v>
      </c>
      <c r="H332" t="n">
        <v>0</v>
      </c>
      <c r="I332" t="n">
        <v>0</v>
      </c>
      <c r="J332" t="n">
        <v>0</v>
      </c>
      <c r="K332" t="n">
        <v>0</v>
      </c>
      <c r="L332" t="n">
        <v>0</v>
      </c>
      <c r="M332" t="n">
        <v>0</v>
      </c>
      <c r="N332" t="n">
        <v>0</v>
      </c>
    </row>
    <row r="333">
      <c r="A333" t="inlineStr">
        <is>
          <t>Stock</t>
        </is>
      </c>
      <c r="B333" t="inlineStr">
        <is>
          <t>Total, 14. 14 remain, 5 of them male.</t>
        </is>
      </c>
      <c r="C333" t="n">
        <v>0</v>
      </c>
      <c r="D333" t="n">
        <v>0</v>
      </c>
      <c r="E333" t="n">
        <v>0</v>
      </c>
      <c r="F333" t="n">
        <v>0</v>
      </c>
      <c r="H333" t="n">
        <v>0</v>
      </c>
      <c r="I333" t="n">
        <v>0</v>
      </c>
      <c r="J333" t="n">
        <v>0</v>
      </c>
      <c r="K333" t="n">
        <v>0</v>
      </c>
      <c r="L333" t="n">
        <v>0</v>
      </c>
      <c r="M333" t="n">
        <v>0</v>
      </c>
      <c r="N333" t="n">
        <v>0</v>
      </c>
    </row>
    <row r="334">
      <c r="A334" t="inlineStr">
        <is>
          <t>Stock</t>
        </is>
      </c>
      <c r="B334" t="inlineStr">
        <is>
          <t>Hens: 162 from churchscot. 1 in default of the land of Togoud because he has no wife.</t>
        </is>
      </c>
      <c r="C334" t="n">
        <v>0</v>
      </c>
      <c r="D334" t="n">
        <v>0</v>
      </c>
      <c r="E334" t="n">
        <v>0</v>
      </c>
      <c r="F334" t="n">
        <v>0</v>
      </c>
      <c r="H334" t="n">
        <v>0</v>
      </c>
      <c r="I334" t="n">
        <v>0</v>
      </c>
      <c r="J334" t="n">
        <v>0</v>
      </c>
      <c r="K334" t="n">
        <v>0</v>
      </c>
      <c r="L334" t="n">
        <v>0</v>
      </c>
      <c r="M334" t="n">
        <v>0</v>
      </c>
      <c r="N334" t="n">
        <v>0</v>
      </c>
    </row>
    <row r="335">
      <c r="A335" t="inlineStr">
        <is>
          <t>Stock</t>
        </is>
      </c>
      <c r="B335" t="inlineStr">
        <is>
          <t>2 in default of the land of le Dug.</t>
        </is>
      </c>
      <c r="C335" t="n">
        <v>0</v>
      </c>
      <c r="D335" t="n">
        <v>0</v>
      </c>
      <c r="E335" t="n">
        <v>0</v>
      </c>
      <c r="F335" t="n">
        <v>0</v>
      </c>
      <c r="H335" t="n">
        <v>0</v>
      </c>
      <c r="I335" t="n">
        <v>0</v>
      </c>
      <c r="J335" t="n">
        <v>0</v>
      </c>
      <c r="K335" t="n">
        <v>0</v>
      </c>
      <c r="L335" t="n">
        <v>0</v>
      </c>
      <c r="M335" t="n">
        <v>0</v>
      </c>
      <c r="N335" t="n">
        <v>0</v>
      </c>
    </row>
    <row r="336">
      <c r="A336" t="inlineStr">
        <is>
          <t>Stock</t>
        </is>
      </c>
      <c r="B336" t="inlineStr">
        <is>
          <t>4 in default of the land of Hendyman because churchscot is commuted on free land, 4 in default of the land of Horn for the same.</t>
        </is>
      </c>
      <c r="C336" t="n">
        <v>0</v>
      </c>
      <c r="D336" t="n">
        <v>0</v>
      </c>
      <c r="E336" t="n">
        <v>0</v>
      </c>
      <c r="F336" t="n">
        <v>0</v>
      </c>
      <c r="H336" t="n">
        <v>0</v>
      </c>
      <c r="I336" t="n">
        <v>0</v>
      </c>
      <c r="J336" t="n">
        <v>0</v>
      </c>
      <c r="K336" t="n">
        <v>0</v>
      </c>
      <c r="L336" t="n">
        <v>0</v>
      </c>
      <c r="M336" t="n">
        <v>0</v>
      </c>
      <c r="N336" t="n">
        <v>0</v>
      </c>
    </row>
    <row r="337">
      <c r="A337" t="inlineStr">
        <is>
          <t>Stock</t>
        </is>
      </c>
      <c r="B337" t="inlineStr">
        <is>
          <t>1 in default of the land of John Horn because he has no wife.</t>
        </is>
      </c>
      <c r="C337" t="n">
        <v>0</v>
      </c>
      <c r="D337" t="n">
        <v>0</v>
      </c>
      <c r="E337" t="n">
        <v>0</v>
      </c>
      <c r="F337" t="n">
        <v>0</v>
      </c>
      <c r="H337" t="n">
        <v>0</v>
      </c>
      <c r="I337" t="n">
        <v>0</v>
      </c>
      <c r="J337" t="n">
        <v>0</v>
      </c>
      <c r="K337" t="n">
        <v>0</v>
      </c>
      <c r="L337" t="n">
        <v>0</v>
      </c>
      <c r="M337" t="n">
        <v>0</v>
      </c>
      <c r="N337" t="n">
        <v>0</v>
      </c>
    </row>
    <row r="338">
      <c r="A338" t="inlineStr">
        <is>
          <t>Stock</t>
        </is>
      </c>
      <c r="B338" t="inlineStr">
        <is>
          <t>2 in default of the land of Walter le Rideler' because he has no wife.</t>
        </is>
      </c>
      <c r="C338" t="n">
        <v>0</v>
      </c>
      <c r="D338" t="n">
        <v>0</v>
      </c>
      <c r="E338" t="n">
        <v>0</v>
      </c>
      <c r="F338" t="n">
        <v>0</v>
      </c>
      <c r="H338" t="n">
        <v>0</v>
      </c>
      <c r="I338" t="n">
        <v>0</v>
      </c>
      <c r="J338" t="n">
        <v>0</v>
      </c>
      <c r="K338" t="n">
        <v>0</v>
      </c>
      <c r="L338" t="n">
        <v>0</v>
      </c>
      <c r="M338" t="n">
        <v>0</v>
      </c>
      <c r="N338" t="n">
        <v>0</v>
      </c>
    </row>
    <row r="339">
      <c r="A339" t="inlineStr">
        <is>
          <t>Stock</t>
        </is>
      </c>
      <c r="B339" t="inlineStr">
        <is>
          <t>2 in default of the land of Matilda ate Flod' because a widow.</t>
        </is>
      </c>
      <c r="C339" t="n">
        <v>0</v>
      </c>
      <c r="D339" t="n">
        <v>0</v>
      </c>
      <c r="E339" t="n">
        <v>0</v>
      </c>
      <c r="F339" t="n">
        <v>0</v>
      </c>
      <c r="H339" t="n">
        <v>0</v>
      </c>
      <c r="I339" t="n">
        <v>0</v>
      </c>
      <c r="J339" t="n">
        <v>0</v>
      </c>
      <c r="K339" t="n">
        <v>0</v>
      </c>
      <c r="L339" t="n">
        <v>0</v>
      </c>
      <c r="M339" t="n">
        <v>0</v>
      </c>
      <c r="N339" t="n">
        <v>0</v>
      </c>
    </row>
    <row r="340">
      <c r="A340" t="inlineStr">
        <is>
          <t>Stock</t>
        </is>
      </c>
      <c r="B340" t="inlineStr">
        <is>
          <t>1 in default of the land of Alice ate Flod' for the same.</t>
        </is>
      </c>
      <c r="C340" t="n">
        <v>0</v>
      </c>
      <c r="D340" t="n">
        <v>0</v>
      </c>
      <c r="E340" t="n">
        <v>0</v>
      </c>
      <c r="F340" t="n">
        <v>0</v>
      </c>
      <c r="H340" t="n">
        <v>0</v>
      </c>
      <c r="I340" t="n">
        <v>0</v>
      </c>
      <c r="J340" t="n">
        <v>0</v>
      </c>
      <c r="K340" t="n">
        <v>0</v>
      </c>
      <c r="L340" t="n">
        <v>0</v>
      </c>
      <c r="M340" t="n">
        <v>0</v>
      </c>
      <c r="N340" t="n">
        <v>0</v>
      </c>
    </row>
    <row r="341">
      <c r="A341" t="inlineStr">
        <is>
          <t>Stock</t>
        </is>
      </c>
      <c r="B341" t="inlineStr">
        <is>
          <t>2 in default of the land of Cecilia le Hud for the same.</t>
        </is>
      </c>
      <c r="C341" t="n">
        <v>0</v>
      </c>
      <c r="D341" t="n">
        <v>0</v>
      </c>
      <c r="E341" t="n">
        <v>0</v>
      </c>
      <c r="F341" t="n">
        <v>0</v>
      </c>
      <c r="H341" t="n">
        <v>0</v>
      </c>
      <c r="I341" t="n">
        <v>0</v>
      </c>
      <c r="J341" t="n">
        <v>0</v>
      </c>
      <c r="K341" t="n">
        <v>0</v>
      </c>
      <c r="L341" t="n">
        <v>0</v>
      </c>
      <c r="M341" t="n">
        <v>0</v>
      </c>
      <c r="N341" t="n">
        <v>0</v>
      </c>
    </row>
    <row r="342">
      <c r="A342" t="inlineStr">
        <is>
          <t>Stock</t>
        </is>
      </c>
      <c r="B342" t="inlineStr">
        <is>
          <t>1 in default of the land of Adam de la Huld' because he has no wife.</t>
        </is>
      </c>
      <c r="C342" t="n">
        <v>0</v>
      </c>
      <c r="D342" t="n">
        <v>0</v>
      </c>
      <c r="E342" t="n">
        <v>0</v>
      </c>
      <c r="F342" t="n">
        <v>0</v>
      </c>
      <c r="H342" t="n">
        <v>0</v>
      </c>
      <c r="I342" t="n">
        <v>0</v>
      </c>
      <c r="J342" t="n">
        <v>0</v>
      </c>
      <c r="K342" t="n">
        <v>0</v>
      </c>
      <c r="L342" t="n">
        <v>0</v>
      </c>
      <c r="M342" t="n">
        <v>0</v>
      </c>
      <c r="N342" t="n">
        <v>0</v>
      </c>
    </row>
    <row r="343">
      <c r="A343" t="inlineStr">
        <is>
          <t>Stock</t>
        </is>
      </c>
      <c r="B343" t="inlineStr">
        <is>
          <t>2 in default of the land of the relict of le Kyng because a widow.</t>
        </is>
      </c>
      <c r="C343" t="n">
        <v>0</v>
      </c>
      <c r="D343" t="n">
        <v>0</v>
      </c>
      <c r="E343" t="n">
        <v>0</v>
      </c>
      <c r="F343" t="n">
        <v>0</v>
      </c>
      <c r="H343" t="n">
        <v>0</v>
      </c>
      <c r="I343" t="n">
        <v>0</v>
      </c>
      <c r="J343" t="n">
        <v>0</v>
      </c>
      <c r="K343" t="n">
        <v>0</v>
      </c>
      <c r="L343" t="n">
        <v>0</v>
      </c>
      <c r="M343" t="n">
        <v>0</v>
      </c>
      <c r="N343" t="n">
        <v>0</v>
      </c>
    </row>
    <row r="344">
      <c r="A344" t="inlineStr">
        <is>
          <t>Stock</t>
        </is>
      </c>
      <c r="B344" t="inlineStr">
        <is>
          <t>2 in default of the land of Corvesir for the same.</t>
        </is>
      </c>
      <c r="C344" t="n">
        <v>0</v>
      </c>
      <c r="D344" t="n">
        <v>0</v>
      </c>
      <c r="E344" t="n">
        <v>0</v>
      </c>
      <c r="F344" t="n">
        <v>0</v>
      </c>
      <c r="H344" t="n">
        <v>0</v>
      </c>
      <c r="I344" t="n">
        <v>0</v>
      </c>
      <c r="J344" t="n">
        <v>0</v>
      </c>
      <c r="K344" t="n">
        <v>0</v>
      </c>
      <c r="L344" t="n">
        <v>0</v>
      </c>
      <c r="M344" t="n">
        <v>0</v>
      </c>
      <c r="N344" t="n">
        <v>0</v>
      </c>
    </row>
    <row r="345">
      <c r="A345" t="inlineStr">
        <is>
          <t>Stock</t>
        </is>
      </c>
      <c r="B345" t="inlineStr">
        <is>
          <t>1 in default of the land of Thomas Molendinarius for the same.</t>
        </is>
      </c>
      <c r="C345" t="n">
        <v>0</v>
      </c>
      <c r="D345" t="n">
        <v>0</v>
      </c>
      <c r="E345" t="n">
        <v>0</v>
      </c>
      <c r="F345" t="n">
        <v>0</v>
      </c>
      <c r="H345" t="n">
        <v>0</v>
      </c>
      <c r="I345" t="n">
        <v>0</v>
      </c>
      <c r="J345" t="n">
        <v>0</v>
      </c>
      <c r="K345" t="n">
        <v>0</v>
      </c>
      <c r="L345" t="n">
        <v>0</v>
      </c>
      <c r="M345" t="n">
        <v>0</v>
      </c>
      <c r="N345" t="n">
        <v>0</v>
      </c>
    </row>
    <row r="346">
      <c r="A346" t="inlineStr">
        <is>
          <t>Stock</t>
        </is>
      </c>
      <c r="B346" t="inlineStr">
        <is>
          <t>2 in default of the land of Richard de Hokkelye for the same.</t>
        </is>
      </c>
      <c r="C346" t="n">
        <v>0</v>
      </c>
      <c r="D346" t="n">
        <v>0</v>
      </c>
      <c r="E346" t="n">
        <v>0</v>
      </c>
      <c r="F346" t="n">
        <v>0</v>
      </c>
      <c r="H346" t="n">
        <v>0</v>
      </c>
      <c r="I346" t="n">
        <v>0</v>
      </c>
      <c r="J346" t="n">
        <v>0</v>
      </c>
      <c r="K346" t="n">
        <v>0</v>
      </c>
      <c r="L346" t="n">
        <v>0</v>
      </c>
      <c r="M346" t="n">
        <v>0</v>
      </c>
      <c r="N346" t="n">
        <v>0</v>
      </c>
    </row>
    <row r="347">
      <c r="A347" t="inlineStr">
        <is>
          <t>Stock</t>
        </is>
      </c>
      <c r="B347" t="inlineStr">
        <is>
          <t>2 in default of the land of Walter Tostrong for the same.</t>
        </is>
      </c>
      <c r="C347" t="n">
        <v>0</v>
      </c>
      <c r="D347" t="n">
        <v>0</v>
      </c>
      <c r="E347" t="n">
        <v>0</v>
      </c>
      <c r="F347" t="n">
        <v>0</v>
      </c>
      <c r="H347" t="n">
        <v>0</v>
      </c>
      <c r="I347" t="n">
        <v>0</v>
      </c>
      <c r="J347" t="n">
        <v>0</v>
      </c>
      <c r="K347" t="n">
        <v>0</v>
      </c>
      <c r="L347" t="n">
        <v>0</v>
      </c>
      <c r="M347" t="n">
        <v>0</v>
      </c>
      <c r="N347" t="n">
        <v>0</v>
      </c>
    </row>
    <row r="348">
      <c r="A348" t="inlineStr">
        <is>
          <t>Stock</t>
        </is>
      </c>
      <c r="B348" t="inlineStr">
        <is>
          <t>2 in default of the land of Henry Gileb' for the same.</t>
        </is>
      </c>
      <c r="C348" t="n">
        <v>0</v>
      </c>
      <c r="D348" t="n">
        <v>0</v>
      </c>
      <c r="E348" t="n">
        <v>0</v>
      </c>
      <c r="F348" t="n">
        <v>0</v>
      </c>
      <c r="H348" t="n">
        <v>0</v>
      </c>
      <c r="I348" t="n">
        <v>0</v>
      </c>
      <c r="J348" t="n">
        <v>0</v>
      </c>
      <c r="K348" t="n">
        <v>0</v>
      </c>
      <c r="L348" t="n">
        <v>0</v>
      </c>
      <c r="M348" t="n">
        <v>0</v>
      </c>
      <c r="N348" t="n">
        <v>0</v>
      </c>
    </row>
    <row r="349">
      <c r="A349" t="inlineStr">
        <is>
          <t>Stock</t>
        </is>
      </c>
      <c r="B349" t="inlineStr">
        <is>
          <t>2 in default of the land of Thomas ate Med for the same.</t>
        </is>
      </c>
      <c r="C349" t="n">
        <v>0</v>
      </c>
      <c r="D349" t="n">
        <v>0</v>
      </c>
      <c r="E349" t="n">
        <v>0</v>
      </c>
      <c r="F349" t="n">
        <v>0</v>
      </c>
      <c r="H349" t="n">
        <v>0</v>
      </c>
      <c r="I349" t="n">
        <v>0</v>
      </c>
      <c r="J349" t="n">
        <v>0</v>
      </c>
      <c r="K349" t="n">
        <v>0</v>
      </c>
      <c r="L349" t="n">
        <v>0</v>
      </c>
      <c r="M349" t="n">
        <v>0</v>
      </c>
      <c r="N349" t="n">
        <v>0</v>
      </c>
    </row>
    <row r="350">
      <c r="A350" t="inlineStr">
        <is>
          <t>Stock</t>
        </is>
      </c>
      <c r="B350" t="inlineStr">
        <is>
          <t>2 in default of the land of John Belystrong' for the same.</t>
        </is>
      </c>
      <c r="C350" t="n">
        <v>0</v>
      </c>
      <c r="D350" t="n">
        <v>0</v>
      </c>
      <c r="E350" t="n">
        <v>0</v>
      </c>
      <c r="F350" t="n">
        <v>0</v>
      </c>
      <c r="H350" t="n">
        <v>0</v>
      </c>
      <c r="I350" t="n">
        <v>0</v>
      </c>
      <c r="J350" t="n">
        <v>0</v>
      </c>
      <c r="K350" t="n">
        <v>0</v>
      </c>
      <c r="L350" t="n">
        <v>0</v>
      </c>
      <c r="M350" t="n">
        <v>0</v>
      </c>
      <c r="N350" t="n">
        <v>0</v>
      </c>
    </row>
    <row r="351">
      <c r="A351" t="inlineStr">
        <is>
          <t>Stock</t>
        </is>
      </c>
      <c r="B351" t="inlineStr">
        <is>
          <t>1 in default of the land of Robert Sewade for the same.</t>
        </is>
      </c>
      <c r="C351" t="n">
        <v>0</v>
      </c>
      <c r="D351" t="n">
        <v>0</v>
      </c>
      <c r="E351" t="n">
        <v>0</v>
      </c>
      <c r="F351" t="n">
        <v>0</v>
      </c>
      <c r="H351" t="n">
        <v>0</v>
      </c>
      <c r="I351" t="n">
        <v>0</v>
      </c>
      <c r="J351" t="n">
        <v>0</v>
      </c>
      <c r="K351" t="n">
        <v>0</v>
      </c>
      <c r="L351" t="n">
        <v>0</v>
      </c>
      <c r="M351" t="n">
        <v>0</v>
      </c>
      <c r="N351" t="n">
        <v>0</v>
      </c>
    </row>
    <row r="352">
      <c r="A352" t="inlineStr">
        <is>
          <t>Stock</t>
        </is>
      </c>
      <c r="B352" t="inlineStr">
        <is>
          <t>2 in default of the land of Margery Mey for the same.</t>
        </is>
      </c>
      <c r="C352" t="n">
        <v>0</v>
      </c>
      <c r="D352" t="n">
        <v>0</v>
      </c>
      <c r="E352" t="n">
        <v>0</v>
      </c>
      <c r="F352" t="n">
        <v>0</v>
      </c>
      <c r="H352" t="n">
        <v>0</v>
      </c>
      <c r="I352" t="n">
        <v>0</v>
      </c>
      <c r="J352" t="n">
        <v>0</v>
      </c>
      <c r="K352" t="n">
        <v>0</v>
      </c>
      <c r="L352" t="n">
        <v>0</v>
      </c>
      <c r="M352" t="n">
        <v>0</v>
      </c>
      <c r="N352" t="n">
        <v>0</v>
      </c>
    </row>
    <row r="353">
      <c r="A353" t="inlineStr">
        <is>
          <t>Stock</t>
        </is>
      </c>
      <c r="B353" t="inlineStr">
        <is>
          <t>Total, 38. 124 sold</t>
        </is>
      </c>
      <c r="C353" t="n">
        <v>0</v>
      </c>
      <c r="D353" t="n">
        <v>0</v>
      </c>
      <c r="E353" t="n">
        <v>0</v>
      </c>
      <c r="F353" t="n">
        <v>0</v>
      </c>
      <c r="H353" t="n">
        <v>0</v>
      </c>
      <c r="I353" t="n">
        <v>0</v>
      </c>
      <c r="J353" t="n">
        <v>0</v>
      </c>
      <c r="K353" t="n">
        <v>0</v>
      </c>
      <c r="L353" t="n">
        <v>0</v>
      </c>
      <c r="M353" t="n">
        <v>0</v>
      </c>
      <c r="N353" t="n">
        <v>0</v>
      </c>
    </row>
    <row r="354">
      <c r="A354" t="inlineStr">
        <is>
          <t>Stock</t>
        </is>
      </c>
      <c r="B354" t="inlineStr">
        <is>
          <t>Eggs: 600 received from churchscot according to custom.</t>
        </is>
      </c>
      <c r="C354" t="n">
        <v>0</v>
      </c>
      <c r="D354" t="n">
        <v>0</v>
      </c>
      <c r="E354" t="n">
        <v>0</v>
      </c>
      <c r="F354" t="n">
        <v>0</v>
      </c>
      <c r="H354" t="n">
        <v>0</v>
      </c>
      <c r="I354" t="n">
        <v>0</v>
      </c>
      <c r="J354" t="n">
        <v>0</v>
      </c>
      <c r="K354" t="n">
        <v>0</v>
      </c>
      <c r="L354" t="n">
        <v>0</v>
      </c>
      <c r="M354" t="n">
        <v>0</v>
      </c>
      <c r="N354" t="n">
        <v>0</v>
      </c>
    </row>
    <row r="355">
      <c r="A355" t="inlineStr">
        <is>
          <t>Stock</t>
        </is>
      </c>
      <c r="B355" t="inlineStr">
        <is>
          <t>all solpence</t>
        </is>
      </c>
      <c r="C355" t="n">
        <v>0</v>
      </c>
      <c r="D355" t="n">
        <v>0</v>
      </c>
      <c r="E355" t="n">
        <v>0</v>
      </c>
      <c r="F355" t="n">
        <v>0</v>
      </c>
      <c r="H355" t="n">
        <v>0</v>
      </c>
      <c r="I355" t="n">
        <v>0</v>
      </c>
      <c r="J355" t="n">
        <v>0</v>
      </c>
      <c r="K355" t="n">
        <v>0</v>
      </c>
      <c r="L355" t="n">
        <v>0</v>
      </c>
      <c r="M355" t="n">
        <v>0</v>
      </c>
      <c r="N355" t="n">
        <v>0</v>
      </c>
    </row>
    <row r="356">
      <c r="A356" t="inlineStr">
        <is>
          <t>Stock</t>
        </is>
      </c>
      <c r="B356" t="inlineStr">
        <is>
          <t>Cider: 1 cask remains from the previous year.</t>
        </is>
      </c>
      <c r="C356" t="n">
        <v>0</v>
      </c>
      <c r="D356" t="n">
        <v>0</v>
      </c>
      <c r="E356" t="n">
        <v>0</v>
      </c>
      <c r="F356" t="n">
        <v>0</v>
      </c>
      <c r="H356" t="n">
        <v>0</v>
      </c>
      <c r="I356" t="n">
        <v>0</v>
      </c>
      <c r="J356" t="n">
        <v>0</v>
      </c>
      <c r="K356" t="n">
        <v>0</v>
      </c>
      <c r="L356" t="n">
        <v>0</v>
      </c>
      <c r="M356" t="n">
        <v>0</v>
      </c>
      <c r="N356" t="n">
        <v>0</v>
      </c>
    </row>
    <row r="357">
      <c r="A357" t="inlineStr">
        <is>
          <t>Stock</t>
        </is>
      </c>
      <c r="B357" t="inlineStr">
        <is>
          <t>6 casks made this year with 8 quarters of apples from churchscot.</t>
        </is>
      </c>
      <c r="C357" t="n">
        <v>0</v>
      </c>
      <c r="D357" t="n">
        <v>0</v>
      </c>
      <c r="E357" t="n">
        <v>0</v>
      </c>
      <c r="F357" t="n">
        <v>0</v>
      </c>
      <c r="H357" t="n">
        <v>8</v>
      </c>
      <c r="I357" t="n">
        <v>0</v>
      </c>
      <c r="J357" t="n">
        <v>8</v>
      </c>
      <c r="K357" t="n">
        <v>8</v>
      </c>
      <c r="L357" t="n">
        <v>0</v>
      </c>
      <c r="M357" t="n">
        <v>8</v>
      </c>
      <c r="N357" t="n">
        <v>0</v>
      </c>
    </row>
    <row r="358">
      <c r="A358" t="inlineStr">
        <is>
          <t>Stock</t>
        </is>
      </c>
      <c r="B358" t="inlineStr">
        <is>
          <t>1 sold.</t>
        </is>
      </c>
      <c r="C358" t="n">
        <v>0</v>
      </c>
      <c r="D358" t="n">
        <v>0</v>
      </c>
      <c r="E358" t="n">
        <v>0</v>
      </c>
      <c r="F358" t="n">
        <v>0</v>
      </c>
      <c r="H358" t="n">
        <v>0</v>
      </c>
      <c r="I358" t="n">
        <v>0</v>
      </c>
      <c r="J358" t="n">
        <v>0</v>
      </c>
      <c r="K358" t="n">
        <v>0</v>
      </c>
      <c r="L358" t="n">
        <v>0</v>
      </c>
      <c r="M358" t="n">
        <v>0</v>
      </c>
      <c r="N358" t="n">
        <v>0</v>
      </c>
    </row>
    <row r="359">
      <c r="A359" t="inlineStr">
        <is>
          <t>Stock</t>
        </is>
      </c>
      <c r="B359" t="inlineStr">
        <is>
          <t>6 casks remain.</t>
        </is>
      </c>
      <c r="C359" t="n">
        <v>0</v>
      </c>
      <c r="D359" t="n">
        <v>0</v>
      </c>
      <c r="E359" t="n">
        <v>0</v>
      </c>
      <c r="F359" t="n">
        <v>0</v>
      </c>
      <c r="H359" t="n">
        <v>0</v>
      </c>
      <c r="I359" t="n">
        <v>0</v>
      </c>
      <c r="J359" t="n">
        <v>0</v>
      </c>
      <c r="K359" t="n">
        <v>0</v>
      </c>
      <c r="L359" t="n">
        <v>0</v>
      </c>
      <c r="M359" t="n">
        <v>0</v>
      </c>
      <c r="N359" t="n">
        <v>0</v>
      </c>
    </row>
    <row r="360">
      <c r="A360" t="inlineStr">
        <is>
          <t>Stock</t>
        </is>
      </c>
      <c r="B360" t="inlineStr">
        <is>
          <t>Plough feet: 1 from John Faber to have maintenance whilst he wishes to remain in the hundred of Bishops Sutton, for the first time this year.</t>
        </is>
      </c>
      <c r="C360" t="n">
        <v>0</v>
      </c>
      <c r="D360" t="n">
        <v>0</v>
      </c>
      <c r="E360" t="n">
        <v>0</v>
      </c>
      <c r="F360" t="n">
        <v>0</v>
      </c>
      <c r="H360" t="n">
        <v>0</v>
      </c>
      <c r="I360" t="n">
        <v>0</v>
      </c>
      <c r="J360" t="n">
        <v>0</v>
      </c>
      <c r="K360" t="n">
        <v>0</v>
      </c>
      <c r="L360" t="n">
        <v>0</v>
      </c>
      <c r="M360" t="n">
        <v>0</v>
      </c>
      <c r="N360" t="n">
        <v>0</v>
      </c>
    </row>
    <row r="361">
      <c r="A361" t="inlineStr">
        <is>
          <t>Stock</t>
        </is>
      </c>
      <c r="B361" t="inlineStr">
        <is>
          <t>delivered to the ploughs.</t>
        </is>
      </c>
      <c r="C361" t="n">
        <v>0</v>
      </c>
      <c r="D361" t="n">
        <v>0</v>
      </c>
      <c r="E361" t="n">
        <v>0</v>
      </c>
      <c r="F361" t="n">
        <v>0</v>
      </c>
      <c r="H361" t="n">
        <v>0</v>
      </c>
      <c r="I361" t="n">
        <v>0</v>
      </c>
      <c r="J361" t="n">
        <v>0</v>
      </c>
      <c r="K361" t="n">
        <v>0</v>
      </c>
      <c r="L361" t="n">
        <v>0</v>
      </c>
      <c r="M361" t="n">
        <v>0</v>
      </c>
      <c r="N361" t="n">
        <v>0</v>
      </c>
    </row>
    <row r="362">
      <c r="A362" t="inlineStr">
        <is>
          <t>Stock</t>
        </is>
      </c>
      <c r="B362" t="inlineStr">
        <is>
          <t>Labour services: 875 owed to the curia of Bishops Sutton by 7 workers working twice a week from Michaelmas until Lammas, except Christmas, Easter and Pentecost, that is, 82 labour services each, and 43 each from Lammas until Michelmas.</t>
        </is>
      </c>
      <c r="C362" t="n">
        <v>0</v>
      </c>
      <c r="D362" t="n">
        <v>0</v>
      </c>
      <c r="E362" t="n">
        <v>0</v>
      </c>
      <c r="F362" t="n">
        <v>0</v>
      </c>
      <c r="H362" t="n">
        <v>0</v>
      </c>
      <c r="I362" t="n">
        <v>0</v>
      </c>
      <c r="J362" t="n">
        <v>0</v>
      </c>
      <c r="K362" t="n">
        <v>0</v>
      </c>
      <c r="L362" t="n">
        <v>0</v>
      </c>
      <c r="M362" t="n">
        <v>0</v>
      </c>
      <c r="N362" t="n">
        <v>0</v>
      </c>
    </row>
    <row r="363">
      <c r="A363" t="inlineStr">
        <is>
          <t>Stock</t>
        </is>
      </c>
      <c r="B363" t="inlineStr">
        <is>
          <t>215 in quittance of 5 workers who gave money for release from their harvest labour service as made clear in the issues of the manor.</t>
        </is>
      </c>
      <c r="C363" t="n">
        <v>0</v>
      </c>
      <c r="D363" t="n">
        <v>0</v>
      </c>
      <c r="E363" t="n">
        <v>0</v>
      </c>
      <c r="F363" t="n">
        <v>0</v>
      </c>
      <c r="H363" t="n">
        <v>0</v>
      </c>
      <c r="I363" t="n">
        <v>0</v>
      </c>
      <c r="J363" t="n">
        <v>0</v>
      </c>
      <c r="K363" t="n">
        <v>0</v>
      </c>
      <c r="L363" t="n">
        <v>0</v>
      </c>
      <c r="M363" t="n">
        <v>0</v>
      </c>
      <c r="N363" t="n">
        <v>0</v>
      </c>
    </row>
    <row r="364">
      <c r="A364" t="inlineStr">
        <is>
          <t>Stock</t>
        </is>
      </c>
      <c r="B364" t="inlineStr">
        <is>
          <t>106 in threshing and winnowing 53 quarters of wheat and curall, at 1 labour service per .5 heaped quarters.</t>
        </is>
      </c>
      <c r="C364" t="n">
        <v>0</v>
      </c>
      <c r="D364" t="n">
        <v>0</v>
      </c>
      <c r="E364" t="n">
        <v>0</v>
      </c>
      <c r="F364" t="n">
        <v>0</v>
      </c>
      <c r="G364" t="inlineStr">
        <is>
          <t>curall, wheat</t>
        </is>
      </c>
      <c r="H364" t="n">
        <v>53</v>
      </c>
      <c r="I364" t="n">
        <v>0</v>
      </c>
      <c r="J364" t="n">
        <v>53</v>
      </c>
      <c r="K364" t="n">
        <v>53</v>
      </c>
      <c r="L364" t="n">
        <v>0</v>
      </c>
      <c r="M364" t="n">
        <v>53</v>
      </c>
      <c r="N364" t="n">
        <v>0</v>
      </c>
    </row>
    <row r="365">
      <c r="A365" t="inlineStr">
        <is>
          <t>Stock</t>
        </is>
      </c>
      <c r="B365" t="inlineStr">
        <is>
          <t>35 in threshing and winnowing 35 quarters of barley.</t>
        </is>
      </c>
      <c r="C365" t="n">
        <v>0</v>
      </c>
      <c r="D365" t="n">
        <v>0</v>
      </c>
      <c r="E365" t="n">
        <v>0</v>
      </c>
      <c r="F365" t="n">
        <v>0</v>
      </c>
      <c r="G365" t="inlineStr">
        <is>
          <t>barley</t>
        </is>
      </c>
      <c r="H365" t="n">
        <v>35</v>
      </c>
      <c r="I365" t="n">
        <v>0</v>
      </c>
      <c r="J365" t="n">
        <v>35</v>
      </c>
      <c r="K365" t="n">
        <v>35</v>
      </c>
      <c r="L365" t="n">
        <v>0</v>
      </c>
      <c r="M365" t="n">
        <v>35</v>
      </c>
      <c r="N365" t="n">
        <v>0</v>
      </c>
    </row>
    <row r="366">
      <c r="A366" t="inlineStr">
        <is>
          <t>Stock</t>
        </is>
      </c>
      <c r="B366" t="inlineStr">
        <is>
          <t>18 in threshing and winnowing 48 quarters of oats.</t>
        </is>
      </c>
      <c r="C366" t="n">
        <v>0</v>
      </c>
      <c r="D366" t="n">
        <v>0</v>
      </c>
      <c r="E366" t="n">
        <v>0</v>
      </c>
      <c r="F366" t="n">
        <v>0</v>
      </c>
      <c r="G366" t="inlineStr">
        <is>
          <t>oats</t>
        </is>
      </c>
      <c r="H366" t="n">
        <v>48</v>
      </c>
      <c r="I366" t="n">
        <v>0</v>
      </c>
      <c r="J366" t="n">
        <v>48</v>
      </c>
      <c r="K366" t="n">
        <v>48</v>
      </c>
      <c r="L366" t="n">
        <v>0</v>
      </c>
      <c r="M366" t="n">
        <v>48</v>
      </c>
      <c r="N366" t="n">
        <v>0</v>
      </c>
    </row>
    <row r="367">
      <c r="A367" t="inlineStr">
        <is>
          <t>Stock</t>
        </is>
      </c>
      <c r="B367" t="inlineStr">
        <is>
          <t>8 in threshing and winnowing 4 quarters of peas and vetches, at 1 labour service per .5 heaped quarters.</t>
        </is>
      </c>
      <c r="C367" t="n">
        <v>0</v>
      </c>
      <c r="D367" t="n">
        <v>0</v>
      </c>
      <c r="E367" t="n">
        <v>0</v>
      </c>
      <c r="F367" t="n">
        <v>0</v>
      </c>
      <c r="G367" t="inlineStr">
        <is>
          <t>vetches, peas</t>
        </is>
      </c>
      <c r="H367" t="n">
        <v>4</v>
      </c>
      <c r="I367" t="n">
        <v>0</v>
      </c>
      <c r="J367" t="n">
        <v>4</v>
      </c>
      <c r="K367" t="n">
        <v>4</v>
      </c>
      <c r="L367" t="n">
        <v>0</v>
      </c>
      <c r="M367" t="n">
        <v>4</v>
      </c>
      <c r="N367" t="n">
        <v>0</v>
      </c>
    </row>
    <row r="368">
      <c r="A368" t="inlineStr">
        <is>
          <t>Stock</t>
        </is>
      </c>
      <c r="B368" t="inlineStr">
        <is>
          <t>138 in weeding 138 acres of wheat, barley and oats.</t>
        </is>
      </c>
      <c r="C368" t="n">
        <v>0</v>
      </c>
      <c r="D368" t="n">
        <v>0</v>
      </c>
      <c r="E368" t="n">
        <v>0</v>
      </c>
      <c r="F368" t="n">
        <v>0</v>
      </c>
      <c r="G368" t="inlineStr">
        <is>
          <t>barley, oats, wheat</t>
        </is>
      </c>
      <c r="H368" t="n">
        <v>0</v>
      </c>
      <c r="I368" t="n">
        <v>0</v>
      </c>
      <c r="J368" t="n">
        <v>0</v>
      </c>
      <c r="K368" t="n">
        <v>0</v>
      </c>
      <c r="L368" t="n">
        <v>0</v>
      </c>
      <c r="M368" t="n">
        <v>0</v>
      </c>
      <c r="N368" t="n">
        <v>0</v>
      </c>
    </row>
    <row r="369">
      <c r="A369" t="inlineStr">
        <is>
          <t>Stock</t>
        </is>
      </c>
      <c r="B369" t="inlineStr">
        <is>
          <t>78 in harrowing 78 acres.</t>
        </is>
      </c>
      <c r="C369" t="n">
        <v>0</v>
      </c>
      <c r="D369" t="n">
        <v>0</v>
      </c>
      <c r="E369" t="n">
        <v>0</v>
      </c>
      <c r="F369" t="n">
        <v>0</v>
      </c>
      <c r="H369" t="n">
        <v>0</v>
      </c>
      <c r="I369" t="n">
        <v>0</v>
      </c>
      <c r="J369" t="n">
        <v>0</v>
      </c>
      <c r="K369" t="n">
        <v>0</v>
      </c>
      <c r="L369" t="n">
        <v>0</v>
      </c>
      <c r="M369" t="n">
        <v>0</v>
      </c>
      <c r="N369" t="n">
        <v>0</v>
      </c>
    </row>
    <row r="370">
      <c r="A370" t="inlineStr">
        <is>
          <t>Stock</t>
        </is>
      </c>
      <c r="B370" t="inlineStr">
        <is>
          <t>77 in spreading dung.</t>
        </is>
      </c>
      <c r="C370" t="n">
        <v>0</v>
      </c>
      <c r="D370" t="n">
        <v>0</v>
      </c>
      <c r="E370" t="n">
        <v>0</v>
      </c>
      <c r="F370" t="n">
        <v>0</v>
      </c>
      <c r="H370" t="n">
        <v>0</v>
      </c>
      <c r="I370" t="n">
        <v>0</v>
      </c>
      <c r="J370" t="n">
        <v>0</v>
      </c>
      <c r="K370" t="n">
        <v>0</v>
      </c>
      <c r="L370" t="n">
        <v>0</v>
      </c>
      <c r="M370" t="n">
        <v>0</v>
      </c>
      <c r="N370" t="n">
        <v>0</v>
      </c>
    </row>
    <row r="371">
      <c r="A371" t="inlineStr">
        <is>
          <t>Stock</t>
        </is>
      </c>
      <c r="B371" t="inlineStr">
        <is>
          <t>10 in carrying the fold.</t>
        </is>
      </c>
      <c r="C371" t="n">
        <v>0</v>
      </c>
      <c r="D371" t="n">
        <v>0</v>
      </c>
      <c r="E371" t="n">
        <v>0</v>
      </c>
      <c r="F371" t="n">
        <v>0</v>
      </c>
      <c r="H371" t="n">
        <v>0</v>
      </c>
      <c r="I371" t="n">
        <v>0</v>
      </c>
      <c r="J371" t="n">
        <v>0</v>
      </c>
      <c r="K371" t="n">
        <v>0</v>
      </c>
      <c r="L371" t="n">
        <v>0</v>
      </c>
      <c r="M371" t="n">
        <v>0</v>
      </c>
      <c r="N371" t="n">
        <v>0</v>
      </c>
    </row>
    <row r="372">
      <c r="A372" t="inlineStr">
        <is>
          <t>Stock</t>
        </is>
      </c>
      <c r="B372" t="inlineStr">
        <is>
          <t>28 in collecting stubble.</t>
        </is>
      </c>
      <c r="C372" t="n">
        <v>0</v>
      </c>
      <c r="D372" t="n">
        <v>0</v>
      </c>
      <c r="E372" t="n">
        <v>0</v>
      </c>
      <c r="F372" t="n">
        <v>0</v>
      </c>
      <c r="H372" t="n">
        <v>0</v>
      </c>
      <c r="I372" t="n">
        <v>0</v>
      </c>
      <c r="J372" t="n">
        <v>0</v>
      </c>
      <c r="K372" t="n">
        <v>0</v>
      </c>
      <c r="L372" t="n">
        <v>0</v>
      </c>
      <c r="M372" t="n">
        <v>0</v>
      </c>
      <c r="N372" t="n">
        <v>0</v>
      </c>
    </row>
    <row r="373">
      <c r="A373" t="inlineStr">
        <is>
          <t>Stock</t>
        </is>
      </c>
      <c r="B373" t="inlineStr">
        <is>
          <t>62 in reaping corn.</t>
        </is>
      </c>
      <c r="C373" t="n">
        <v>0</v>
      </c>
      <c r="D373" t="n">
        <v>0</v>
      </c>
      <c r="E373" t="n">
        <v>0</v>
      </c>
      <c r="F373" t="n">
        <v>0</v>
      </c>
      <c r="H373" t="n">
        <v>0</v>
      </c>
      <c r="I373" t="n">
        <v>0</v>
      </c>
      <c r="J373" t="n">
        <v>0</v>
      </c>
      <c r="K373" t="n">
        <v>0</v>
      </c>
      <c r="L373" t="n">
        <v>0</v>
      </c>
      <c r="M373" t="n">
        <v>0</v>
      </c>
      <c r="N373" t="n">
        <v>0</v>
      </c>
    </row>
    <row r="374">
      <c r="A374" t="inlineStr">
        <is>
          <t>Stock</t>
        </is>
      </c>
      <c r="B374" t="inlineStr">
        <is>
          <t>100 sold</t>
        </is>
      </c>
      <c r="C374" t="n">
        <v>0</v>
      </c>
      <c r="D374" t="n">
        <v>0</v>
      </c>
      <c r="E374" t="n">
        <v>0</v>
      </c>
      <c r="F374" t="n">
        <v>0</v>
      </c>
      <c r="H374" t="n">
        <v>0</v>
      </c>
      <c r="I374" t="n">
        <v>0</v>
      </c>
      <c r="J374" t="n">
        <v>0</v>
      </c>
      <c r="K374" t="n">
        <v>0</v>
      </c>
      <c r="L374" t="n">
        <v>0</v>
      </c>
      <c r="M374" t="n">
        <v>0</v>
      </c>
      <c r="N37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2025-12-18T10:16:50Z</dcterms:modified>
  <cp:lastModifiedBy>Kowalski, Kuba</cp:lastModifiedBy>
</cp:coreProperties>
</file>
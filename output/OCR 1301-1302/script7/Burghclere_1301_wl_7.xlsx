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2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3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38520" yWindow="5790" windowWidth="38640" windowHeight="21120" tabRatio="600" firstSheet="0" activeTab="0" autoFilterDateGrouping="1"/>
  </bookViews>
  <sheets>
    <sheet xmlns:r="http://schemas.openxmlformats.org/officeDocument/2006/relationships" name="Burghclere Overview - Completed" sheetId="1" state="visible" r:id="rId1"/>
    <sheet xmlns:r="http://schemas.openxmlformats.org/officeDocument/2006/relationships" name="Prices" sheetId="2" state="visible" r:id="rId2"/>
    <sheet xmlns:r="http://schemas.openxmlformats.org/officeDocument/2006/relationships" name="Labour Rents" sheetId="3" state="visible" r:id="rId3"/>
    <sheet xmlns:r="http://schemas.openxmlformats.org/officeDocument/2006/relationships" name="Overview" sheetId="4" state="visible" r:id="rId4"/>
    <sheet xmlns:r="http://schemas.openxmlformats.org/officeDocument/2006/relationships" name="Receipts" sheetId="5" state="visible" r:id="rId5"/>
    <sheet xmlns:r="http://schemas.openxmlformats.org/officeDocument/2006/relationships" name="Expenses" sheetId="6" state="visible" r:id="rId6"/>
    <sheet xmlns:r="http://schemas.openxmlformats.org/officeDocument/2006/relationships" name="Issues of the Grange" sheetId="7" state="visible" r:id="rId7"/>
    <sheet xmlns:r="http://schemas.openxmlformats.org/officeDocument/2006/relationships" name="Issues of the Mills" sheetId="8" state="visible" r:id="rId8"/>
    <sheet xmlns:r="http://schemas.openxmlformats.org/officeDocument/2006/relationships" name="Stock" sheetId="9" state="visible" r:id="rId9"/>
    <sheet xmlns:r="http://schemas.openxmlformats.org/officeDocument/2006/relationships" name="raw data" sheetId="10" state="visible" r:id="rId10"/>
    <sheet xmlns:r="http://schemas.openxmlformats.org/officeDocument/2006/relationships" name="Issues of the Grange raw" sheetId="11" state="visible" r:id="rId11"/>
    <sheet xmlns:r="http://schemas.openxmlformats.org/officeDocument/2006/relationships" name="Sale of Corn Prices" sheetId="12" state="visible" r:id="rId1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#,##0.000000"/>
  </numFmts>
  <fonts count="31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sz val="11"/>
    </font>
    <font>
      <name val="Calibri"/>
      <family val="2"/>
      <color rgb="FFFF0000"/>
      <sz val="12"/>
      <scheme val="minor"/>
    </font>
    <font>
      <name val="Calibri"/>
      <family val="2"/>
      <b val="1"/>
      <color theme="1"/>
      <sz val="12"/>
      <scheme val="minor"/>
    </font>
    <font>
      <name val="Calibri (Body)"/>
      <b val="1"/>
      <color theme="1"/>
      <sz val="12"/>
    </font>
    <font>
      <name val="Calibri (Body)"/>
      <b val="1"/>
      <color rgb="FFFF0000"/>
      <sz val="12"/>
    </font>
    <font>
      <name val="Calibri"/>
      <family val="2"/>
      <b val="1"/>
      <sz val="12"/>
    </font>
    <font>
      <name val="Calibri"/>
      <family val="2"/>
      <b val="1"/>
      <color rgb="FF000000"/>
      <sz val="12"/>
      <scheme val="minor"/>
    </font>
    <font>
      <name val="Calibri"/>
      <family val="2"/>
      <i val="1"/>
      <color theme="1"/>
      <sz val="12"/>
      <scheme val="minor"/>
    </font>
    <font>
      <name val="Calibri"/>
      <family val="2"/>
      <b val="1"/>
      <i val="1"/>
      <color theme="1"/>
      <sz val="12"/>
      <scheme val="minor"/>
    </font>
    <font>
      <name val="Calibri"/>
      <family val="2"/>
      <color rgb="FF000000"/>
      <sz val="12"/>
      <scheme val="minor"/>
    </font>
    <font>
      <name val="Calibri"/>
      <family val="2"/>
      <i val="1"/>
      <color rgb="FF000000"/>
      <sz val="12"/>
      <scheme val="minor"/>
    </font>
    <font>
      <name val="Calibri"/>
      <family val="2"/>
      <b val="1"/>
      <i val="1"/>
      <color rgb="FF000000"/>
      <sz val="12"/>
      <scheme val="minor"/>
    </font>
    <font>
      <name val="Calibri (Body)"/>
      <color rgb="FFFF0000"/>
      <sz val="12"/>
    </font>
    <font>
      <name val="Calibri"/>
      <family val="2"/>
      <b val="1"/>
      <color theme="1"/>
      <sz val="11"/>
      <scheme val="minor"/>
    </font>
    <font>
      <name val="Calibri"/>
      <family val="2"/>
      <i val="1"/>
      <color rgb="FFFF0000"/>
      <sz val="12"/>
      <scheme val="minor"/>
    </font>
    <font>
      <name val="Tahoma"/>
      <family val="2"/>
      <b val="1"/>
      <color rgb="FF000000"/>
      <sz val="10"/>
    </font>
    <font>
      <name val="Tahoma"/>
      <family val="2"/>
      <color rgb="FF000000"/>
      <sz val="10"/>
    </font>
    <font>
      <name val="Calibri"/>
      <family val="2"/>
      <i val="1"/>
      <color theme="1"/>
      <sz val="11"/>
      <scheme val="minor"/>
    </font>
    <font>
      <name val="Calibri"/>
      <family val="2"/>
      <i val="1"/>
      <color rgb="FFFF0000"/>
      <sz val="11"/>
      <scheme val="minor"/>
    </font>
    <font>
      <name val="Calibri"/>
      <family val="2"/>
      <sz val="12"/>
      <scheme val="minor"/>
    </font>
    <font>
      <name val="Calibri"/>
      <family val="2"/>
      <b val="1"/>
      <color rgb="FFFF0000"/>
      <sz val="12"/>
      <scheme val="minor"/>
    </font>
    <font>
      <name val="Calibri"/>
      <family val="2"/>
      <color rgb="FFFF0000"/>
      <sz val="11"/>
      <scheme val="minor"/>
    </font>
    <font>
      <name val="Calibri (Body)"/>
      <color rgb="FFFF0000"/>
      <sz val="11"/>
    </font>
    <font>
      <name val="Calibri"/>
      <family val="2"/>
      <b val="1"/>
      <color rgb="FF000000"/>
      <sz val="11"/>
      <scheme val="minor"/>
    </font>
  </fonts>
  <fills count="12">
    <fill>
      <patternFill/>
    </fill>
    <fill>
      <patternFill patternType="gray125"/>
    </fill>
    <fill>
      <patternFill patternType="solid">
        <fgColor rgb="FFF2F2F2"/>
        <bgColor rgb="FF000000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0.7999816888943144"/>
        <bgColor rgb="FF000000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0499893185216834"/>
        <bgColor rgb="FF000000"/>
      </patternFill>
    </fill>
    <fill>
      <patternFill patternType="solid">
        <fgColor theme="2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A6A6A6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5">
    <xf numFmtId="0" fontId="0" fillId="0" borderId="0" pivotButton="0" quotePrefix="0" xfId="0"/>
    <xf numFmtId="0" fontId="7" fillId="0" borderId="1" applyAlignment="1" pivotButton="0" quotePrefix="0" xfId="0">
      <alignment horizontal="center" vertical="top"/>
    </xf>
    <xf numFmtId="0" fontId="10" fillId="0" borderId="0" pivotButton="0" quotePrefix="0" xfId="0"/>
    <xf numFmtId="4" fontId="10" fillId="0" borderId="0" applyAlignment="1" pivotButton="0" quotePrefix="0" xfId="0">
      <alignment horizontal="right"/>
    </xf>
    <xf numFmtId="0" fontId="10" fillId="0" borderId="0" applyAlignment="1" pivotButton="0" quotePrefix="0" xfId="0">
      <alignment horizontal="right"/>
    </xf>
    <xf numFmtId="4" fontId="9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 vertical="top"/>
    </xf>
    <xf numFmtId="0" fontId="12" fillId="0" borderId="0" applyAlignment="1" pivotButton="0" quotePrefix="0" xfId="0">
      <alignment horizontal="left" vertical="top"/>
    </xf>
    <xf numFmtId="0" fontId="13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12" fillId="0" borderId="0" applyAlignment="1" pivotButton="0" quotePrefix="0" xfId="0">
      <alignment horizontal="center" vertical="top"/>
    </xf>
    <xf numFmtId="0" fontId="9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3" fillId="2" borderId="0" pivotButton="0" quotePrefix="0" xfId="0"/>
    <xf numFmtId="0" fontId="17" fillId="2" borderId="0" pivotButton="0" quotePrefix="0" xfId="0"/>
    <xf numFmtId="0" fontId="16" fillId="3" borderId="0" pivotButton="0" quotePrefix="0" xfId="0"/>
    <xf numFmtId="0" fontId="17" fillId="3" borderId="0" pivotButton="0" quotePrefix="0" xfId="0"/>
    <xf numFmtId="0" fontId="17" fillId="4" borderId="0" pivotButton="0" quotePrefix="0" xfId="0"/>
    <xf numFmtId="0" fontId="13" fillId="5" borderId="0" pivotButton="0" quotePrefix="0" xfId="0"/>
    <xf numFmtId="0" fontId="16" fillId="0" borderId="0" applyAlignment="1" pivotButton="0" quotePrefix="0" xfId="0">
      <alignment wrapText="1"/>
    </xf>
    <xf numFmtId="0" fontId="16" fillId="0" borderId="2" pivotButton="0" quotePrefix="0" xfId="0"/>
    <xf numFmtId="0" fontId="16" fillId="0" borderId="0" applyAlignment="1" pivotButton="0" quotePrefix="0" xfId="0">
      <alignment horizontal="right"/>
    </xf>
    <xf numFmtId="0" fontId="16" fillId="0" borderId="2" applyAlignment="1" pivotButton="0" quotePrefix="0" xfId="0">
      <alignment horizontal="left"/>
    </xf>
    <xf numFmtId="2" fontId="6" fillId="0" borderId="0" pivotButton="0" quotePrefix="0" xfId="0"/>
    <xf numFmtId="0" fontId="0" fillId="0" borderId="0" applyAlignment="1" pivotButton="0" quotePrefix="0" xfId="0">
      <alignment horizontal="right" wrapText="1"/>
    </xf>
    <xf numFmtId="0" fontId="0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right" wrapText="1"/>
    </xf>
    <xf numFmtId="0" fontId="12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4" fontId="1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2" fontId="9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7" fillId="0" borderId="0" applyAlignment="1" pivotButton="0" quotePrefix="0" xfId="0">
      <alignment horizontal="center" vertical="top"/>
    </xf>
    <xf numFmtId="0" fontId="20" fillId="0" borderId="0" pivotButton="0" quotePrefix="0" xfId="0"/>
    <xf numFmtId="0" fontId="0" fillId="6" borderId="0" pivotButton="0" quotePrefix="0" xfId="0"/>
    <xf numFmtId="0" fontId="21" fillId="0" borderId="0" pivotButton="0" quotePrefix="0" xfId="0"/>
    <xf numFmtId="0" fontId="0" fillId="0" borderId="0" applyAlignment="1" pivotButton="0" quotePrefix="0" xfId="0">
      <alignment horizontal="center"/>
    </xf>
    <xf numFmtId="0" fontId="0" fillId="8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wrapText="1"/>
    </xf>
    <xf numFmtId="4" fontId="0" fillId="0" borderId="0" applyAlignment="1" pivotButton="0" quotePrefix="0" xfId="0">
      <alignment horizontal="right" wrapText="1"/>
    </xf>
    <xf numFmtId="0" fontId="0" fillId="0" borderId="3" applyAlignment="1" pivotButton="0" quotePrefix="0" xfId="0">
      <alignment horizontal="right"/>
    </xf>
    <xf numFmtId="0" fontId="0" fillId="0" borderId="4" applyAlignment="1" pivotButton="0" quotePrefix="0" xfId="0">
      <alignment horizontal="right"/>
    </xf>
    <xf numFmtId="0" fontId="0" fillId="0" borderId="5" applyAlignment="1" pivotButton="0" quotePrefix="0" xfId="0">
      <alignment horizontal="right"/>
    </xf>
    <xf numFmtId="0" fontId="0" fillId="0" borderId="4" applyAlignment="1" pivotButton="0" quotePrefix="0" xfId="0">
      <alignment horizontal="center"/>
    </xf>
    <xf numFmtId="2" fontId="19" fillId="0" borderId="0" pivotButton="0" quotePrefix="0" xfId="0"/>
    <xf numFmtId="2" fontId="11" fillId="0" borderId="0" applyAlignment="1" pivotButton="0" quotePrefix="0" xfId="0">
      <alignment horizontal="center" vertical="center"/>
    </xf>
    <xf numFmtId="2" fontId="9" fillId="0" borderId="0" applyAlignment="1" pivotButton="0" quotePrefix="0" xfId="0">
      <alignment horizontal="center" vertical="center" wrapText="1"/>
    </xf>
    <xf numFmtId="0" fontId="9" fillId="5" borderId="0" pivotButton="0" quotePrefix="0" xfId="0"/>
    <xf numFmtId="0" fontId="6" fillId="5" borderId="0" pivotButton="0" quotePrefix="0" xfId="0"/>
    <xf numFmtId="2" fontId="6" fillId="5" borderId="0" pivotButton="0" quotePrefix="0" xfId="0"/>
    <xf numFmtId="2" fontId="19" fillId="5" borderId="0" pivotButton="0" quotePrefix="0" xfId="0"/>
    <xf numFmtId="0" fontId="14" fillId="5" borderId="0" pivotButton="0" quotePrefix="0" xfId="0"/>
    <xf numFmtId="0" fontId="21" fillId="5" borderId="0" pivotButton="0" quotePrefix="0" xfId="0"/>
    <xf numFmtId="0" fontId="24" fillId="0" borderId="0" pivotButton="0" quotePrefix="0" xfId="0"/>
    <xf numFmtId="0" fontId="0" fillId="0" borderId="4" pivotButton="0" quotePrefix="0" xfId="0"/>
    <xf numFmtId="0" fontId="25" fillId="0" borderId="0" pivotButton="0" quotePrefix="0" xfId="0"/>
    <xf numFmtId="164" fontId="26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5" fontId="0" fillId="0" borderId="0" pivotButton="0" quotePrefix="0" xfId="0"/>
    <xf numFmtId="164" fontId="0" fillId="0" borderId="0" pivotButton="0" quotePrefix="0" xfId="0"/>
    <xf numFmtId="0" fontId="9" fillId="0" borderId="0" applyAlignment="1" pivotButton="0" quotePrefix="0" xfId="0">
      <alignment wrapText="1"/>
    </xf>
    <xf numFmtId="0" fontId="14" fillId="6" borderId="0" pivotButton="0" quotePrefix="0" xfId="0"/>
    <xf numFmtId="0" fontId="0" fillId="0" borderId="6" pivotButton="0" quotePrefix="0" xfId="0"/>
    <xf numFmtId="0" fontId="0" fillId="0" borderId="6" applyAlignment="1" pivotButton="0" quotePrefix="0" xfId="0">
      <alignment horizontal="left"/>
    </xf>
    <xf numFmtId="0" fontId="0" fillId="5" borderId="0" pivotButton="0" quotePrefix="0" xfId="0"/>
    <xf numFmtId="0" fontId="0" fillId="9" borderId="0" pivotButton="0" quotePrefix="0" xfId="0"/>
    <xf numFmtId="2" fontId="0" fillId="0" borderId="0" pivotButton="0" quotePrefix="0" xfId="0"/>
    <xf numFmtId="2" fontId="0" fillId="0" borderId="0" applyAlignment="1" pivotButton="0" quotePrefix="0" xfId="0">
      <alignment wrapText="1"/>
    </xf>
    <xf numFmtId="2" fontId="9" fillId="0" borderId="0" applyAlignment="1" pivotButton="0" quotePrefix="0" xfId="0">
      <alignment wrapText="1"/>
    </xf>
    <xf numFmtId="4" fontId="0" fillId="0" borderId="0" applyAlignment="1" pivotButton="0" quotePrefix="0" xfId="0">
      <alignment horizontal="right"/>
    </xf>
    <xf numFmtId="0" fontId="4" fillId="0" borderId="0" pivotButton="0" quotePrefix="0" xfId="0"/>
    <xf numFmtId="2" fontId="13" fillId="0" borderId="0" applyAlignment="1" pivotButton="0" quotePrefix="0" xfId="0">
      <alignment horizontal="right"/>
    </xf>
    <xf numFmtId="2" fontId="27" fillId="0" borderId="0" applyAlignment="1" pivotButton="0" quotePrefix="0" xfId="0">
      <alignment horizontal="right"/>
    </xf>
    <xf numFmtId="0" fontId="4" fillId="0" borderId="8" pivotButton="0" quotePrefix="0" xfId="0"/>
    <xf numFmtId="0" fontId="8" fillId="0" borderId="8" pivotButton="0" quotePrefix="0" xfId="0"/>
    <xf numFmtId="0" fontId="15" fillId="5" borderId="8" pivotButton="0" quotePrefix="0" xfId="0"/>
    <xf numFmtId="0" fontId="15" fillId="5" borderId="0" pivotButton="0" quotePrefix="0" xfId="0"/>
    <xf numFmtId="0" fontId="18" fillId="2" borderId="0" pivotButton="0" quotePrefix="0" xfId="0"/>
    <xf numFmtId="2" fontId="4" fillId="0" borderId="0" pivotButton="0" quotePrefix="0" xfId="0"/>
    <xf numFmtId="0" fontId="16" fillId="0" borderId="4" pivotButton="0" quotePrefix="0" xfId="0"/>
    <xf numFmtId="2" fontId="4" fillId="0" borderId="4" pivotButton="0" quotePrefix="0" xfId="0"/>
    <xf numFmtId="0" fontId="8" fillId="0" borderId="4" pivotButton="0" quotePrefix="0" xfId="0"/>
    <xf numFmtId="0" fontId="4" fillId="0" borderId="4" pivotButton="0" quotePrefix="0" xfId="0"/>
    <xf numFmtId="4" fontId="9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right"/>
    </xf>
    <xf numFmtId="2" fontId="13" fillId="5" borderId="0" applyAlignment="1" pivotButton="0" quotePrefix="0" xfId="0">
      <alignment horizontal="right"/>
    </xf>
    <xf numFmtId="0" fontId="13" fillId="10" borderId="0" pivotButton="0" quotePrefix="0" xfId="0"/>
    <xf numFmtId="0" fontId="4" fillId="5" borderId="0" pivotButton="0" quotePrefix="0" xfId="0"/>
    <xf numFmtId="0" fontId="8" fillId="5" borderId="0" pivotButton="0" quotePrefix="0" xfId="0"/>
    <xf numFmtId="0" fontId="9" fillId="5" borderId="0" applyAlignment="1" pivotButton="0" quotePrefix="0" xfId="0">
      <alignment horizontal="right"/>
    </xf>
    <xf numFmtId="0" fontId="3" fillId="0" borderId="0" pivotButton="0" quotePrefix="0" xfId="0"/>
    <xf numFmtId="0" fontId="17" fillId="2" borderId="9" pivotButton="0" quotePrefix="0" xfId="0"/>
    <xf numFmtId="0" fontId="17" fillId="4" borderId="9" pivotButton="0" quotePrefix="0" xfId="0"/>
    <xf numFmtId="0" fontId="16" fillId="0" borderId="9" pivotButton="0" quotePrefix="0" xfId="0"/>
    <xf numFmtId="10" fontId="17" fillId="2" borderId="9" pivotButton="0" quotePrefix="0" xfId="0"/>
    <xf numFmtId="10" fontId="17" fillId="4" borderId="11" pivotButton="0" quotePrefix="0" xfId="0"/>
    <xf numFmtId="0" fontId="8" fillId="0" borderId="12" pivotButton="0" quotePrefix="0" xfId="0"/>
    <xf numFmtId="0" fontId="16" fillId="5" borderId="14" pivotButton="0" quotePrefix="0" xfId="0"/>
    <xf numFmtId="2" fontId="13" fillId="5" borderId="15" applyAlignment="1" pivotButton="0" quotePrefix="0" xfId="0">
      <alignment horizontal="right"/>
    </xf>
    <xf numFmtId="0" fontId="8" fillId="5" borderId="15" pivotButton="0" quotePrefix="0" xfId="0"/>
    <xf numFmtId="0" fontId="3" fillId="0" borderId="12" pivotButton="0" quotePrefix="0" xfId="0"/>
    <xf numFmtId="2" fontId="4" fillId="5" borderId="0" pivotButton="0" quotePrefix="0" xfId="0"/>
    <xf numFmtId="0" fontId="2" fillId="5" borderId="15" pivotButton="0" quotePrefix="0" xfId="0"/>
    <xf numFmtId="0" fontId="2" fillId="5" borderId="16" pivotButton="0" quotePrefix="0" xfId="0"/>
    <xf numFmtId="2" fontId="2" fillId="0" borderId="0" pivotButton="0" quotePrefix="0" xfId="0"/>
    <xf numFmtId="0" fontId="2" fillId="0" borderId="0" pivotButton="0" quotePrefix="0" xfId="0"/>
    <xf numFmtId="0" fontId="2" fillId="0" borderId="10" pivotButton="0" quotePrefix="0" xfId="0"/>
    <xf numFmtId="10" fontId="2" fillId="0" borderId="0" pivotButton="0" quotePrefix="0" xfId="0"/>
    <xf numFmtId="0" fontId="2" fillId="0" borderId="12" pivotButton="0" quotePrefix="0" xfId="0"/>
    <xf numFmtId="0" fontId="2" fillId="0" borderId="13" pivotButton="0" quotePrefix="0" xfId="0"/>
    <xf numFmtId="0" fontId="1" fillId="0" borderId="0" pivotButton="0" quotePrefix="0" xfId="0"/>
    <xf numFmtId="2" fontId="9" fillId="5" borderId="0" pivotButton="0" quotePrefix="0" xfId="0"/>
    <xf numFmtId="2" fontId="13" fillId="0" borderId="0" applyAlignment="1" pivotButton="0" quotePrefix="0" xfId="0">
      <alignment horizontal="left" vertical="center" wrapText="1"/>
    </xf>
    <xf numFmtId="0" fontId="17" fillId="10" borderId="0" pivotButton="0" quotePrefix="0" xfId="0"/>
    <xf numFmtId="0" fontId="9" fillId="5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3" borderId="3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0" borderId="7" applyAlignment="1" pivotButton="0" quotePrefix="0" xfId="0">
      <alignment horizontal="center" wrapText="1"/>
    </xf>
    <xf numFmtId="2" fontId="28" fillId="0" borderId="0" pivotButton="0" quotePrefix="0" xfId="0"/>
    <xf numFmtId="2" fontId="9" fillId="0" borderId="0" pivotButton="0" quotePrefix="0" xfId="0"/>
    <xf numFmtId="0" fontId="28" fillId="5" borderId="0" pivotButton="0" quotePrefix="0" xfId="0"/>
    <xf numFmtId="2" fontId="0" fillId="5" borderId="0" pivotButton="0" quotePrefix="0" xfId="0"/>
    <xf numFmtId="0" fontId="20" fillId="5" borderId="0" pivotButton="0" quotePrefix="0" xfId="0"/>
    <xf numFmtId="0" fontId="0" fillId="0" borderId="17" pivotButton="0" quotePrefix="0" xfId="0"/>
    <xf numFmtId="2" fontId="0" fillId="0" borderId="18" pivotButton="0" quotePrefix="0" xfId="0"/>
    <xf numFmtId="0" fontId="0" fillId="0" borderId="18" pivotButton="0" quotePrefix="0" xfId="0"/>
    <xf numFmtId="10" fontId="0" fillId="0" borderId="18" pivotButton="0" quotePrefix="0" xfId="0"/>
    <xf numFmtId="0" fontId="0" fillId="0" borderId="19" pivotButton="0" quotePrefix="0" xfId="0"/>
    <xf numFmtId="2" fontId="9" fillId="0" borderId="0" applyAlignment="1" pivotButton="0" quotePrefix="0" xfId="0">
      <alignment horizontal="center"/>
    </xf>
    <xf numFmtId="2" fontId="11" fillId="0" borderId="0" applyAlignment="1" pivotButton="0" quotePrefix="0" xfId="0">
      <alignment horizontal="center" vertical="top"/>
    </xf>
    <xf numFmtId="2" fontId="29" fillId="0" borderId="0" pivotButton="0" quotePrefix="0" xfId="0"/>
    <xf numFmtId="0" fontId="7" fillId="0" borderId="0" applyAlignment="1" pivotButton="0" quotePrefix="0" xfId="0">
      <alignment horizontal="center" vertical="top" wrapText="1"/>
    </xf>
    <xf numFmtId="2" fontId="7" fillId="0" borderId="0" applyAlignment="1" pivotButton="0" quotePrefix="0" xfId="0">
      <alignment horizontal="center" vertical="top" wrapText="1"/>
    </xf>
    <xf numFmtId="0" fontId="0" fillId="11" borderId="0" pivotButton="0" quotePrefix="0" xfId="0"/>
    <xf numFmtId="0" fontId="20" fillId="0" borderId="0" applyAlignment="1" pivotButton="0" quotePrefix="0" xfId="0">
      <alignment horizontal="right" wrapText="1"/>
    </xf>
    <xf numFmtId="0" fontId="20" fillId="0" borderId="0" applyAlignment="1" pivotButton="0" quotePrefix="0" xfId="0">
      <alignment wrapText="1"/>
    </xf>
    <xf numFmtId="0" fontId="30" fillId="0" borderId="3" applyAlignment="1" pivotButton="0" quotePrefix="0" xfId="0">
      <alignment wrapText="1"/>
    </xf>
    <xf numFmtId="2" fontId="20" fillId="0" borderId="0" applyAlignment="1" pivotButton="0" quotePrefix="0" xfId="0">
      <alignment horizontal="right" wrapText="1"/>
    </xf>
    <xf numFmtId="0" fontId="0" fillId="0" borderId="3" pivotButton="0" quotePrefix="0" xfId="0"/>
    <xf numFmtId="0" fontId="0" fillId="0" borderId="0" applyAlignment="1" pivotButton="0" quotePrefix="0" xfId="0">
      <alignment horizontal="left" wrapText="1"/>
    </xf>
    <xf numFmtId="0" fontId="0" fillId="0" borderId="7" applyAlignment="1" pivotButton="0" quotePrefix="0" xfId="0">
      <alignment horizontal="left" wrapText="1"/>
    </xf>
    <xf numFmtId="2" fontId="0" fillId="0" borderId="0" applyAlignment="1" pivotButton="0" quotePrefix="0" xfId="0">
      <alignment horizontal="left" wrapText="1"/>
    </xf>
    <xf numFmtId="0" fontId="9" fillId="0" borderId="0" applyAlignment="1" pivotButton="0" quotePrefix="0" xfId="0">
      <alignment horizontal="left" wrapText="1"/>
    </xf>
    <xf numFmtId="0" fontId="9" fillId="0" borderId="0" applyAlignment="1" pivotButton="0" quotePrefix="0" xfId="0">
      <alignment horizontal="left"/>
    </xf>
    <xf numFmtId="2" fontId="9" fillId="0" borderId="0" applyAlignment="1" pivotButton="0" quotePrefix="0" xfId="0">
      <alignment horizontal="left" wrapText="1"/>
    </xf>
    <xf numFmtId="2" fontId="0" fillId="6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Victoria Gierok</author>
  </authors>
  <commentList>
    <comment ref="F86" authorId="0" shapeId="0">
      <text>
        <t>Victoria Gierok:
valued at sales prices where available</t>
      </text>
    </comment>
    <comment ref="F117" authorId="0" shapeId="0">
      <text>
        <t>Victoria Gierok:
valued at sales prices where available</t>
      </text>
    </comment>
    <comment ref="F126" authorId="0" shapeId="0">
      <text>
        <t>Victoria Gierok:
valued at sales prices where available</t>
      </text>
    </comment>
    <comment ref="F150" authorId="0" shapeId="0">
      <text>
        <t>Victoria Gierok:
valued at sales prices where available</t>
      </text>
    </comment>
    <comment ref="F158" authorId="0" shapeId="0">
      <text>
        <t>Victoria Gierok:
valued at sales prices where available</t>
      </text>
    </comment>
    <comment ref="F165" authorId="0" shapeId="0">
      <text>
        <t>Victoria Gierok:
valued at sales prices where available</t>
      </text>
    </comment>
  </commentList>
</comments>
</file>

<file path=xl/comments/comment2.xml><?xml version="1.0" encoding="utf-8"?>
<comments xmlns="http://schemas.openxmlformats.org/spreadsheetml/2006/main">
  <authors>
    <author>Victoria Gierok</author>
  </authors>
  <commentList>
    <comment ref="C10" authorId="0" shapeId="0">
      <text>
        <t xml:space="preserve">Victoria Gierok:
from Issue of the grange </t>
      </text>
    </comment>
  </commentList>
</comments>
</file>

<file path=xl/comments/comment3.xml><?xml version="1.0" encoding="utf-8"?>
<comments xmlns="http://schemas.openxmlformats.org/spreadsheetml/2006/main">
  <authors>
    <author>Victoria Gierok</author>
  </authors>
  <commentList>
    <comment ref="D4" authorId="0" shapeId="0">
      <text>
        <t>Victoria Gierok:
strays that the seem to have added to their own stock?</t>
      </text>
    </comment>
    <comment ref="E4" authorId="0" shapeId="0">
      <text>
        <t>Victoria Gierok:
herbage = a type of customary payment to the lord; hence an addition to the stock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3"/>
  <sheetViews>
    <sheetView topLeftCell="A1" workbookViewId="0">
      <selection activeCell="A1" sqref="A1"/>
    </sheetView>
  </sheetViews>
  <sheetFormatPr baseColWidth="8" defaultColWidth="10.81640625" defaultRowHeight="15.5"/>
  <cols>
    <col width="80" bestFit="1" customWidth="1" style="76" min="1" max="1"/>
    <col width="10.81640625" customWidth="1" style="76" min="2" max="2"/>
    <col width="10.81640625" customWidth="1" style="10" min="3" max="3"/>
    <col width="30.81640625" bestFit="1" customWidth="1" style="76" min="4" max="4"/>
    <col width="29.36328125" bestFit="1" customWidth="1" style="76" min="5" max="5"/>
    <col width="35.453125" bestFit="1" customWidth="1" style="76" min="6" max="6"/>
    <col width="21.1796875" customWidth="1" style="76" min="7" max="7"/>
    <col width="10.81640625" customWidth="1" style="76" min="8" max="16384"/>
  </cols>
  <sheetData>
    <row r="1">
      <c r="A1" s="8" t="inlineStr">
        <is>
          <t>BURGHCLERE OVERVIEW - COMPLETED</t>
        </is>
      </c>
      <c r="B1" s="77" t="inlineStr">
        <is>
          <t>Total in £</t>
        </is>
      </c>
      <c r="C1" s="78" t="inlineStr">
        <is>
          <t>Error</t>
        </is>
      </c>
      <c r="D1" s="12" t="inlineStr">
        <is>
          <t>Note</t>
        </is>
      </c>
      <c r="E1" s="12" t="n"/>
    </row>
    <row r="2">
      <c r="A2" s="8" t="inlineStr">
        <is>
          <t>CASH ACCOUNT</t>
        </is>
      </c>
    </row>
    <row r="3">
      <c r="A3" s="16" t="inlineStr">
        <is>
          <t>RECEIPTS</t>
        </is>
      </c>
    </row>
    <row r="4">
      <c r="A4" s="15" t="inlineStr">
        <is>
          <t>Arrears total</t>
        </is>
      </c>
      <c r="B4" s="76" t="n">
        <v>37.99</v>
      </c>
      <c r="D4" s="13" t="n"/>
      <c r="E4" s="13" t="n"/>
    </row>
    <row r="5">
      <c r="A5" s="15" t="inlineStr">
        <is>
          <t>Rents of assize total</t>
        </is>
      </c>
      <c r="B5" s="76" t="n">
        <v>23.27</v>
      </c>
    </row>
    <row r="6">
      <c r="A6" s="15" t="inlineStr">
        <is>
          <t>Quittances total</t>
        </is>
      </c>
      <c r="B6" s="76" t="n">
        <v>1.5425</v>
      </c>
    </row>
    <row r="7">
      <c r="A7" s="15" t="inlineStr">
        <is>
          <t>Defaults of rent total</t>
        </is>
      </c>
      <c r="B7" s="76" t="n">
        <v>2.38</v>
      </c>
    </row>
    <row r="8">
      <c r="A8" s="76" t="inlineStr">
        <is>
          <t>Defaults of rent through the pestilence total</t>
        </is>
      </c>
      <c r="B8" s="76" t="n"/>
    </row>
    <row r="9">
      <c r="A9" s="76" t="inlineStr">
        <is>
          <t>Cotlands defaults total</t>
        </is>
      </c>
      <c r="B9" s="76" t="n"/>
    </row>
    <row r="10">
      <c r="A10" s="76" t="inlineStr">
        <is>
          <t>Cotlands total</t>
        </is>
      </c>
      <c r="B10" s="76" t="n"/>
    </row>
    <row r="11">
      <c r="A11" s="76" t="inlineStr">
        <is>
          <t>Total of quittances and defaults of rent total</t>
        </is>
      </c>
      <c r="B11" s="76" t="n">
        <v>3.94</v>
      </c>
    </row>
    <row r="12">
      <c r="A12" s="76" t="inlineStr">
        <is>
          <t>Total of rents remaining clear total</t>
        </is>
      </c>
      <c r="B12" s="76" t="n"/>
    </row>
    <row r="13">
      <c r="A13" s="76" t="inlineStr">
        <is>
          <t>Farms total</t>
        </is>
      </c>
      <c r="B13" s="76" t="n"/>
    </row>
    <row r="14">
      <c r="A14" s="15" t="inlineStr">
        <is>
          <t>Annual recognizances total</t>
        </is>
      </c>
      <c r="B14" s="76" t="n">
        <v>0.01</v>
      </c>
    </row>
    <row r="15">
      <c r="A15" s="15" t="inlineStr">
        <is>
          <t>Issues of the Manor total</t>
        </is>
      </c>
      <c r="B15" s="76" t="n">
        <v>14.79</v>
      </c>
    </row>
    <row r="16">
      <c r="A16" s="76" t="inlineStr">
        <is>
          <t>Issues of the tenements in the lord's hands total</t>
        </is>
      </c>
      <c r="B16" s="76" t="n"/>
    </row>
    <row r="17">
      <c r="A17" s="76" t="inlineStr">
        <is>
          <t>Sale of labour services total</t>
        </is>
      </c>
      <c r="B17" s="76" t="n"/>
    </row>
    <row r="18">
      <c r="A18" s="15" t="inlineStr">
        <is>
          <t>Sale of corn total</t>
        </is>
      </c>
      <c r="B18" s="76" t="n">
        <v>41.12</v>
      </c>
    </row>
    <row r="19">
      <c r="A19" s="15" t="inlineStr">
        <is>
          <t>Entry and marriage fines total</t>
        </is>
      </c>
      <c r="B19" s="76" t="n">
        <v>2.75</v>
      </c>
    </row>
    <row r="20">
      <c r="A20" s="15" t="inlineStr">
        <is>
          <t>Pleas &amp; perquisites total</t>
        </is>
      </c>
      <c r="B20" s="76" t="n"/>
    </row>
    <row r="21">
      <c r="A21" s="76" t="inlineStr">
        <is>
          <t>Forfeited chattels total</t>
        </is>
      </c>
      <c r="B21" s="76" t="n"/>
    </row>
    <row r="22">
      <c r="A22" s="76" t="inlineStr">
        <is>
          <t>Farm of the demesne land total</t>
        </is>
      </c>
      <c r="B22" s="76" t="n"/>
      <c r="D22" s="88" t="n"/>
    </row>
    <row r="23">
      <c r="A23" s="81" t="inlineStr">
        <is>
          <t>Total of all receipts (calculated here)</t>
        </is>
      </c>
      <c r="B23" s="79">
        <f>SUM(B5:B22)</f>
        <v/>
      </c>
      <c r="C23" s="80" t="n"/>
    </row>
    <row r="24">
      <c r="A24" s="82" t="inlineStr">
        <is>
          <t>Total of all receipts (calculated here) incl arrears</t>
        </is>
      </c>
      <c r="B24">
        <f>SUM(B4:B22)</f>
        <v/>
      </c>
      <c r="D24" s="13" t="n"/>
      <c r="E24" s="13" t="n"/>
    </row>
    <row r="25">
      <c r="A25" s="83" t="inlineStr">
        <is>
          <t>Total recorded in the accounts excl. arrears</t>
        </is>
      </c>
      <c r="B25" s="76" t="n">
        <v>84.02</v>
      </c>
      <c r="C25" s="10">
        <f>B23-B25</f>
        <v/>
      </c>
    </row>
    <row r="26">
      <c r="A26" s="83" t="inlineStr">
        <is>
          <t>Total recorded in the accounts incl. arrears</t>
        </is>
      </c>
      <c r="B26">
        <f>B25+B4</f>
        <v/>
      </c>
      <c r="D26" s="13" t="n"/>
      <c r="E26" s="13" t="n"/>
    </row>
    <row r="27">
      <c r="A27" s="15" t="n"/>
    </row>
    <row r="28">
      <c r="A28" s="15" t="n"/>
    </row>
    <row r="29">
      <c r="A29" s="16" t="inlineStr">
        <is>
          <t>EXPENSES</t>
        </is>
      </c>
    </row>
    <row r="30">
      <c r="A30" s="15" t="inlineStr">
        <is>
          <t>Cost of ploughs total</t>
        </is>
      </c>
      <c r="B30" t="n">
        <v>19.205</v>
      </c>
    </row>
    <row r="31">
      <c r="A31" s="15" t="inlineStr">
        <is>
          <t>Purchase of corn total</t>
        </is>
      </c>
    </row>
    <row r="32">
      <c r="A32" s="15" t="inlineStr">
        <is>
          <t>Cost of carts and wagons total</t>
        </is>
      </c>
    </row>
    <row r="33">
      <c r="A33" s="15" t="inlineStr">
        <is>
          <t>Cost of dairy total</t>
        </is>
      </c>
    </row>
    <row r="34">
      <c r="A34" s="15" t="inlineStr">
        <is>
          <t>Purchase of stock total</t>
        </is>
      </c>
    </row>
    <row r="35">
      <c r="A35" s="15" t="inlineStr">
        <is>
          <t>Sheepcote total</t>
        </is>
      </c>
      <c r="B35" t="n">
        <v>0.6983333333333334</v>
      </c>
    </row>
    <row r="36">
      <c r="A36" s="15" t="inlineStr">
        <is>
          <t>Cost of buildings total</t>
        </is>
      </c>
      <c r="B36" s="84" t="n">
        <v>1.629166666666667</v>
      </c>
    </row>
    <row r="37">
      <c r="A37" s="15" t="inlineStr">
        <is>
          <t>Threshing total</t>
        </is>
      </c>
      <c r="B37" t="n">
        <v>1.6225</v>
      </c>
    </row>
    <row r="38">
      <c r="A38" s="15" t="inlineStr">
        <is>
          <t>Barley expenses</t>
        </is>
      </c>
    </row>
    <row r="39">
      <c r="A39" s="15" t="inlineStr">
        <is>
          <t>Expenses of the harvest total</t>
        </is>
      </c>
    </row>
    <row r="40">
      <c r="A40" s="15" t="inlineStr">
        <is>
          <t>Necessary expenses</t>
        </is>
      </c>
    </row>
    <row r="41">
      <c r="A41" s="15" t="inlineStr">
        <is>
          <t>Wages of the bailiff</t>
        </is>
      </c>
      <c r="B41" s="84" t="n"/>
    </row>
    <row r="42">
      <c r="A42" s="15" t="inlineStr">
        <is>
          <t>Steward's expenses total</t>
        </is>
      </c>
      <c r="B42" s="84" t="n"/>
    </row>
    <row r="43">
      <c r="A43" s="85" t="inlineStr">
        <is>
          <t>Annual fees</t>
        </is>
      </c>
      <c r="B43" s="86" t="n"/>
      <c r="C43" s="87" t="n"/>
      <c r="D43" s="88" t="n"/>
    </row>
    <row r="44">
      <c r="A44" s="82" t="inlineStr">
        <is>
          <t>Total of all expenses per account</t>
        </is>
      </c>
      <c r="B44" s="84" t="n">
        <v>26.13</v>
      </c>
    </row>
    <row r="45">
      <c r="A45" s="82" t="inlineStr">
        <is>
          <t>Total of all expenses (calculated here)</t>
        </is>
      </c>
      <c r="B45" s="84" t="n">
        <v>27.045</v>
      </c>
    </row>
    <row r="46">
      <c r="A46" s="82" t="inlineStr">
        <is>
          <t>Total fixed investment</t>
        </is>
      </c>
      <c r="B46" s="84" t="n">
        <v>3.505833333333332</v>
      </c>
    </row>
    <row r="47">
      <c r="A47" s="82" t="inlineStr">
        <is>
          <t>Total Demesne fixed investment</t>
        </is>
      </c>
      <c r="B47" s="84" t="n">
        <v>2.430833333333333</v>
      </c>
    </row>
    <row r="48">
      <c r="A48" s="12" t="n"/>
    </row>
    <row r="49">
      <c r="A49" s="18" t="inlineStr">
        <is>
          <t>Owed by the reeve</t>
        </is>
      </c>
      <c r="B49" s="84">
        <f>B23-B45</f>
        <v/>
      </c>
    </row>
    <row r="50">
      <c r="A50" s="18" t="inlineStr">
        <is>
          <t>From accounts</t>
        </is>
      </c>
      <c r="B50" s="84" t="n">
        <v>26.13</v>
      </c>
    </row>
    <row r="51">
      <c r="A51" s="15" t="n"/>
    </row>
    <row r="52">
      <c r="A52" s="18" t="inlineStr">
        <is>
          <t>Allowances</t>
        </is>
      </c>
      <c r="B52" s="84" t="n"/>
    </row>
    <row r="53">
      <c r="A53" s="18" t="inlineStr">
        <is>
          <t>Cash deliveries</t>
        </is>
      </c>
      <c r="B53" s="84" t="n">
        <v>30.67</v>
      </c>
    </row>
    <row r="54">
      <c r="A54" s="19" t="inlineStr">
        <is>
          <t>Sum of the above</t>
        </is>
      </c>
      <c r="B54" s="84">
        <f>SUM(B52:B53)</f>
        <v/>
      </c>
    </row>
    <row r="55">
      <c r="A55" s="20" t="inlineStr">
        <is>
          <t>Total of all allowances and cash deliveries in accounts</t>
        </is>
      </c>
    </row>
    <row r="56">
      <c r="A56" s="15" t="n"/>
    </row>
    <row r="57">
      <c r="A57" s="18" t="inlineStr">
        <is>
          <t>Net amount owed</t>
        </is>
      </c>
      <c r="B57" s="84">
        <f>B50-B54</f>
        <v/>
      </c>
    </row>
    <row r="58">
      <c r="A58" s="18" t="inlineStr">
        <is>
          <t>Net amount owed in accounts</t>
        </is>
      </c>
    </row>
    <row r="59">
      <c r="A59" s="15" t="n"/>
    </row>
    <row r="60">
      <c r="A60" s="16" t="inlineStr">
        <is>
          <t xml:space="preserve">GRANGE ACCOUNT </t>
        </is>
      </c>
      <c r="B60" s="120" t="inlineStr">
        <is>
          <t>Total Production</t>
        </is>
      </c>
      <c r="D60" s="117" t="inlineStr">
        <is>
          <t>Value of total gross production in £</t>
        </is>
      </c>
      <c r="E60" s="117" t="inlineStr">
        <is>
          <t>Value of total net production in £</t>
        </is>
      </c>
    </row>
    <row r="61">
      <c r="A61" s="8" t="inlineStr">
        <is>
          <t>Grange</t>
        </is>
      </c>
      <c r="B61" s="89" t="inlineStr">
        <is>
          <t>qrs</t>
        </is>
      </c>
      <c r="C61" s="90" t="inlineStr">
        <is>
          <t>bus</t>
        </is>
      </c>
    </row>
    <row r="62">
      <c r="A62" s="76" t="inlineStr">
        <is>
          <t>Wheat</t>
        </is>
      </c>
      <c r="B62" t="n">
        <v>135.625</v>
      </c>
      <c r="E62" t="n">
        <v>30.16666666666666</v>
      </c>
      <c r="F62" s="13" t="n"/>
    </row>
    <row r="63">
      <c r="A63" s="76" t="inlineStr">
        <is>
          <t>Rye</t>
        </is>
      </c>
      <c r="F63" s="13" t="n"/>
    </row>
    <row r="64">
      <c r="A64" s="76" t="inlineStr">
        <is>
          <t>Dredge</t>
        </is>
      </c>
      <c r="F64" s="13" t="n"/>
    </row>
    <row r="65">
      <c r="A65" s="76" t="inlineStr">
        <is>
          <t>Curall</t>
        </is>
      </c>
      <c r="F65" s="13" t="n"/>
    </row>
    <row r="66">
      <c r="A66" s="76" t="inlineStr">
        <is>
          <t>Barley</t>
        </is>
      </c>
      <c r="B66" t="n">
        <v>13.75</v>
      </c>
      <c r="E66" t="n">
        <v>0.925</v>
      </c>
      <c r="F66" s="13" t="n"/>
    </row>
    <row r="67">
      <c r="A67" s="76" t="inlineStr">
        <is>
          <t>Oats</t>
        </is>
      </c>
      <c r="B67" t="n">
        <v>181.125</v>
      </c>
      <c r="E67" t="n">
        <v>4.935809748427674</v>
      </c>
      <c r="F67" s="13" t="n"/>
    </row>
    <row r="68">
      <c r="A68" s="76" t="inlineStr">
        <is>
          <t>Beans</t>
        </is>
      </c>
      <c r="F68" s="13" t="n"/>
    </row>
    <row r="69">
      <c r="A69" s="76" t="inlineStr">
        <is>
          <t>Peas</t>
        </is>
      </c>
      <c r="F69" s="13" t="n"/>
    </row>
    <row r="70">
      <c r="A70" s="76" t="inlineStr">
        <is>
          <t>Vetches</t>
        </is>
      </c>
    </row>
    <row r="71">
      <c r="A71" s="17" t="inlineStr">
        <is>
          <t>Total value of gross production (sum of the above)</t>
        </is>
      </c>
      <c r="B71" s="93" t="n"/>
      <c r="C71" s="94" t="n"/>
      <c r="D71" s="93" t="n"/>
      <c r="E71" s="93" t="n"/>
    </row>
    <row r="72">
      <c r="A72" s="17" t="inlineStr">
        <is>
          <t>Total value of net production</t>
        </is>
      </c>
      <c r="B72" s="93" t="n"/>
      <c r="C72" s="94" t="n"/>
      <c r="D72" s="93" t="n"/>
      <c r="E72" s="93" t="n"/>
    </row>
    <row r="73">
      <c r="A73" s="17" t="inlineStr">
        <is>
          <t>Value of sales</t>
        </is>
      </c>
      <c r="B73" s="93" t="n"/>
      <c r="C73" s="94" t="n"/>
      <c r="D73" s="93" t="n"/>
      <c r="E73" s="93" t="n"/>
    </row>
    <row r="74">
      <c r="A74" s="15" t="n"/>
    </row>
    <row r="75">
      <c r="A75" s="16" t="inlineStr">
        <is>
          <t>MILL ACCOUNT</t>
        </is>
      </c>
      <c r="B75" s="120" t="inlineStr">
        <is>
          <t>Total Production</t>
        </is>
      </c>
      <c r="D75" s="91" t="inlineStr">
        <is>
          <t>Total in £</t>
        </is>
      </c>
      <c r="E75" s="91" t="n"/>
    </row>
    <row r="76">
      <c r="A76" s="8" t="inlineStr">
        <is>
          <t>Issues of the mill</t>
        </is>
      </c>
      <c r="B76" s="89" t="inlineStr">
        <is>
          <t>qrs</t>
        </is>
      </c>
      <c r="C76" s="90" t="inlineStr">
        <is>
          <t>bus</t>
        </is>
      </c>
    </row>
    <row r="77">
      <c r="A77" s="15" t="inlineStr">
        <is>
          <t>Wheat</t>
        </is>
      </c>
      <c r="F77" s="13" t="n"/>
    </row>
    <row r="78">
      <c r="A78" s="15" t="inlineStr">
        <is>
          <t>Oatmeal</t>
        </is>
      </c>
    </row>
    <row r="79">
      <c r="A79" s="15" t="inlineStr">
        <is>
          <t>1st grade malt</t>
        </is>
      </c>
    </row>
    <row r="80">
      <c r="A80" s="15" t="inlineStr">
        <is>
          <t>2nd grade malt</t>
        </is>
      </c>
    </row>
    <row r="81">
      <c r="A81" s="15" t="inlineStr">
        <is>
          <t>Maslin</t>
        </is>
      </c>
    </row>
    <row r="82">
      <c r="A82" s="17" t="inlineStr">
        <is>
          <t>Total value of production (sum of the above)</t>
        </is>
      </c>
      <c r="B82" s="93" t="n"/>
      <c r="C82" s="94" t="n"/>
      <c r="D82" s="93" t="n"/>
      <c r="E82" s="93" t="n"/>
    </row>
    <row r="83">
      <c r="A83" s="17" t="inlineStr">
        <is>
          <t>Value of sales</t>
        </is>
      </c>
      <c r="B83" s="93" t="n"/>
      <c r="C83" s="94" t="n"/>
      <c r="D83" s="93" t="n"/>
      <c r="E83" s="93" t="n"/>
    </row>
    <row r="84">
      <c r="A84" s="15" t="n"/>
    </row>
    <row r="85">
      <c r="A85" s="92" t="inlineStr">
        <is>
          <t>STOCK ACCOUNT</t>
        </is>
      </c>
      <c r="B85" s="93" t="n"/>
      <c r="C85" s="94" t="n"/>
      <c r="D85" s="93" t="n"/>
      <c r="E85" s="93" t="n"/>
      <c r="F85" s="93" t="n"/>
      <c r="G85" s="93" t="n"/>
    </row>
    <row r="86">
      <c r="A86" s="21" t="inlineStr">
        <is>
          <t>Livestock</t>
        </is>
      </c>
      <c r="B86" s="95" t="inlineStr">
        <is>
          <t>Begin stock</t>
        </is>
      </c>
      <c r="C86" s="95" t="inlineStr">
        <is>
          <t>End stock</t>
        </is>
      </c>
      <c r="D86" s="95" t="inlineStr">
        <is>
          <t>Stockbuilding</t>
        </is>
      </c>
      <c r="E86" s="95" t="n"/>
      <c r="F86" s="95" t="inlineStr">
        <is>
          <t>Value of stock in £</t>
        </is>
      </c>
      <c r="G86" s="53" t="inlineStr">
        <is>
          <t>Value of stockbuilding</t>
        </is>
      </c>
    </row>
    <row r="87">
      <c r="A87" s="22" t="inlineStr">
        <is>
          <t>Cart-horses</t>
        </is>
      </c>
      <c r="B87" s="76" t="n">
        <v>4</v>
      </c>
      <c r="C87" s="76" t="n">
        <v>4</v>
      </c>
      <c r="D87" s="76" t="n">
        <v>0</v>
      </c>
      <c r="F87" s="84">
        <f>'Stock'!K5*'Stock'!O5</f>
        <v/>
      </c>
      <c r="G87" s="84">
        <f>D87*'Stock'!O5</f>
        <v/>
      </c>
    </row>
    <row r="88">
      <c r="A88" s="22" t="inlineStr">
        <is>
          <t>Mares</t>
        </is>
      </c>
      <c r="B88" s="76" t="n"/>
      <c r="C88" s="76" t="n">
        <v>0</v>
      </c>
      <c r="D88" s="76">
        <f>C88-B88</f>
        <v/>
      </c>
      <c r="F88" s="84">
        <f>'Stock'!K6*'Stock'!O6</f>
        <v/>
      </c>
      <c r="G88" s="84">
        <f>D88*'Stock'!O6</f>
        <v/>
      </c>
    </row>
    <row r="89">
      <c r="A89" s="15" t="inlineStr">
        <is>
          <t>Plough horses</t>
        </is>
      </c>
      <c r="B89" s="76" t="n"/>
      <c r="C89" s="76" t="n"/>
      <c r="D89" s="76">
        <f>C89-B89</f>
        <v/>
      </c>
      <c r="F89" s="84">
        <f>'Stock'!K7*'Stock'!O7</f>
        <v/>
      </c>
      <c r="G89" s="84">
        <f>D89*'Stock'!O7</f>
        <v/>
      </c>
    </row>
    <row r="90">
      <c r="A90" s="15" t="inlineStr">
        <is>
          <t>Colts (2 years)</t>
        </is>
      </c>
      <c r="B90" s="76" t="n"/>
      <c r="C90" s="76" t="n"/>
      <c r="D90" s="76">
        <f>C90-B90</f>
        <v/>
      </c>
      <c r="F90" s="84">
        <f>'Stock'!K9*'Stock'!O9</f>
        <v/>
      </c>
      <c r="G90" s="84">
        <f>D90*'Stock'!O9</f>
        <v/>
      </c>
    </row>
    <row r="91">
      <c r="A91" s="15" t="inlineStr">
        <is>
          <t>Colts (2 years)</t>
        </is>
      </c>
      <c r="B91" s="76" t="n"/>
      <c r="C91" s="76" t="n"/>
      <c r="D91" s="76">
        <f>C91-B91</f>
        <v/>
      </c>
      <c r="F91" s="84">
        <f>'Stock'!K9*'Stock'!O9</f>
        <v/>
      </c>
      <c r="G91" s="84">
        <f>D91*'Stock'!O9</f>
        <v/>
      </c>
    </row>
    <row r="92">
      <c r="A92" s="15" t="inlineStr">
        <is>
          <t>Colts (1 year)</t>
        </is>
      </c>
      <c r="B92" s="76" t="n"/>
      <c r="C92" s="76" t="n"/>
      <c r="D92" s="76">
        <f>C92-B92</f>
        <v/>
      </c>
      <c r="F92" s="84">
        <f>'Stock'!K10*'Stock'!O10</f>
        <v/>
      </c>
      <c r="G92" s="84">
        <f>D92*'Stock'!O10</f>
        <v/>
      </c>
    </row>
    <row r="93">
      <c r="A93" s="15" t="inlineStr">
        <is>
          <t>Foals</t>
        </is>
      </c>
      <c r="B93" s="76" t="n"/>
      <c r="C93" s="76" t="n"/>
      <c r="D93" s="76">
        <f>C93-B93</f>
        <v/>
      </c>
      <c r="F93" s="84">
        <f>'Stock'!K11*'Stock'!O11</f>
        <v/>
      </c>
      <c r="G93" s="84">
        <f>D93*'Stock'!O11</f>
        <v/>
      </c>
    </row>
    <row r="94">
      <c r="A94" s="15" t="inlineStr">
        <is>
          <t>Oxen</t>
        </is>
      </c>
      <c r="B94" s="76" t="n">
        <v>56</v>
      </c>
      <c r="C94" s="76" t="n">
        <v>57</v>
      </c>
      <c r="D94" s="76" t="n">
        <v>1</v>
      </c>
      <c r="F94" s="84">
        <f>'Stock'!K12*'Stock'!O12</f>
        <v/>
      </c>
      <c r="G94" s="84">
        <f>D94*'Stock'!O12</f>
        <v/>
      </c>
    </row>
    <row r="95">
      <c r="A95" s="15" t="inlineStr">
        <is>
          <t>Bulls</t>
        </is>
      </c>
      <c r="B95" s="76" t="n"/>
      <c r="C95" s="76" t="n"/>
      <c r="D95" s="76">
        <f>C95-B95</f>
        <v/>
      </c>
      <c r="F95" s="84">
        <f>'Stock'!K13*'Stock'!O13</f>
        <v/>
      </c>
      <c r="G95" s="84">
        <f>D95*'Stock'!O13</f>
        <v/>
      </c>
    </row>
    <row r="96">
      <c r="A96" s="15" t="inlineStr">
        <is>
          <t>Cows</t>
        </is>
      </c>
      <c r="B96" s="76" t="n"/>
      <c r="C96" s="76" t="n"/>
      <c r="D96" s="76">
        <f>C96-B96</f>
        <v/>
      </c>
      <c r="F96" s="84">
        <f>'Stock'!K14*'Stock'!O14</f>
        <v/>
      </c>
      <c r="G96" s="84">
        <f>D96*'Stock'!O14</f>
        <v/>
      </c>
    </row>
    <row r="97">
      <c r="A97" s="15" t="inlineStr">
        <is>
          <t>Steers</t>
        </is>
      </c>
      <c r="B97" s="76" t="n"/>
      <c r="C97" s="76" t="n"/>
      <c r="D97" s="76">
        <f>C97-B97</f>
        <v/>
      </c>
      <c r="F97" s="84">
        <f>'Stock'!K15*'Stock'!O15</f>
        <v/>
      </c>
      <c r="G97" s="84">
        <f>D97*'Stock'!O15</f>
        <v/>
      </c>
    </row>
    <row r="98">
      <c r="A98" s="15" t="inlineStr">
        <is>
          <t>Bullocks</t>
        </is>
      </c>
      <c r="B98" s="76" t="n"/>
      <c r="C98" s="76" t="n"/>
      <c r="D98" s="76">
        <f>C98-B98</f>
        <v/>
      </c>
      <c r="F98" s="84">
        <f>'Stock'!K16*'Stock'!O16</f>
        <v/>
      </c>
      <c r="G98" s="84">
        <f>D98*'Stock'!O16</f>
        <v/>
      </c>
    </row>
    <row r="99">
      <c r="A99" s="15" t="inlineStr">
        <is>
          <t>Yearlings</t>
        </is>
      </c>
      <c r="B99" s="76" t="n"/>
      <c r="C99" s="76" t="n"/>
      <c r="D99" s="76">
        <f>C99-B99</f>
        <v/>
      </c>
      <c r="F99" s="84">
        <f>'Stock'!K17*'Stock'!O17</f>
        <v/>
      </c>
      <c r="G99" s="84">
        <f>D99*'Stock'!O17</f>
        <v/>
      </c>
    </row>
    <row r="100">
      <c r="A100" s="15" t="inlineStr">
        <is>
          <t>Calves</t>
        </is>
      </c>
      <c r="B100" s="76" t="n"/>
      <c r="C100" s="76" t="n"/>
      <c r="D100" s="76">
        <f>C100-B100</f>
        <v/>
      </c>
      <c r="F100" s="84">
        <f>'Stock'!K18*'Stock'!O18</f>
        <v/>
      </c>
      <c r="G100" s="84">
        <f>D100*'Stock'!O18</f>
        <v/>
      </c>
    </row>
    <row r="101">
      <c r="A101" s="15" t="inlineStr">
        <is>
          <t>Wethers</t>
        </is>
      </c>
      <c r="B101" s="76" t="n"/>
      <c r="C101" s="76" t="n"/>
      <c r="D101" s="76">
        <f>C101-B101</f>
        <v/>
      </c>
      <c r="F101" s="84">
        <f>'Stock'!K19*'Stock'!O19</f>
        <v/>
      </c>
      <c r="G101" s="84">
        <f>D101*'Stock'!O19</f>
        <v/>
      </c>
    </row>
    <row r="102">
      <c r="A102" s="15" t="inlineStr">
        <is>
          <t>Rams</t>
        </is>
      </c>
      <c r="B102" s="76" t="n">
        <v>16</v>
      </c>
      <c r="C102" s="76" t="n">
        <v>14</v>
      </c>
      <c r="D102" s="76" t="n">
        <v>-2</v>
      </c>
      <c r="F102" s="84" t="n">
        <v>0.4655</v>
      </c>
      <c r="G102" s="84" t="n">
        <v>-0.0665</v>
      </c>
    </row>
    <row r="103">
      <c r="A103" s="15" t="inlineStr">
        <is>
          <t>Ewes</t>
        </is>
      </c>
      <c r="B103" s="76" t="n">
        <v>409</v>
      </c>
      <c r="C103" s="76" t="n">
        <v>476</v>
      </c>
      <c r="D103" s="76" t="n">
        <v>67</v>
      </c>
      <c r="F103" s="84" t="n">
        <v>15.827</v>
      </c>
      <c r="G103" s="84" t="n">
        <v>2.22775</v>
      </c>
    </row>
    <row r="104">
      <c r="A104" s="15" t="inlineStr">
        <is>
          <t>Hoggs</t>
        </is>
      </c>
      <c r="B104" s="76" t="n"/>
      <c r="C104" s="76" t="n"/>
      <c r="D104" s="76">
        <f>C104-B104</f>
        <v/>
      </c>
      <c r="F104" s="84">
        <f>'Stock'!K22*'Stock'!O22</f>
        <v/>
      </c>
      <c r="G104" s="84">
        <f>D104*'Stock'!O22</f>
        <v/>
      </c>
    </row>
    <row r="105">
      <c r="A105" s="15" t="inlineStr">
        <is>
          <t>Lambs</t>
        </is>
      </c>
      <c r="B105" s="76" t="n"/>
      <c r="C105" s="76" t="n">
        <v>257</v>
      </c>
      <c r="D105" s="76">
        <f>C105-B105</f>
        <v/>
      </c>
      <c r="F105" s="84">
        <f>'Stock'!K23*'Stock'!O23</f>
        <v/>
      </c>
      <c r="G105" s="84">
        <f>D105*'Stock'!O23</f>
        <v/>
      </c>
    </row>
    <row r="106">
      <c r="A106" s="15" t="inlineStr">
        <is>
          <t>Boars</t>
        </is>
      </c>
      <c r="B106" s="76" t="n"/>
      <c r="C106" s="76" t="n"/>
      <c r="D106" s="76">
        <f>C106-B106</f>
        <v/>
      </c>
      <c r="F106" s="84">
        <f>'Stock'!K24*'Stock'!O24</f>
        <v/>
      </c>
      <c r="G106" s="84">
        <f>D106*'Stock'!O24</f>
        <v/>
      </c>
    </row>
    <row r="107">
      <c r="A107" s="15" t="inlineStr">
        <is>
          <t>Sows</t>
        </is>
      </c>
      <c r="B107" s="76" t="n"/>
      <c r="C107" s="76" t="n"/>
      <c r="D107" s="76">
        <f>C107-B107</f>
        <v/>
      </c>
      <c r="F107" s="84">
        <f>'Stock'!K25*'Stock'!O25</f>
        <v/>
      </c>
      <c r="G107" s="84">
        <f>D107*'Stock'!O25</f>
        <v/>
      </c>
    </row>
    <row r="108">
      <c r="A108" s="15" t="inlineStr">
        <is>
          <t>Pigs</t>
        </is>
      </c>
      <c r="B108" s="76" t="n"/>
      <c r="C108" s="76" t="n">
        <v>0</v>
      </c>
      <c r="D108" s="76">
        <f>C108-B108</f>
        <v/>
      </c>
      <c r="F108" s="84" t="n">
        <v>0</v>
      </c>
      <c r="G108" s="84">
        <f>D108*'Stock'!O26</f>
        <v/>
      </c>
    </row>
    <row r="109">
      <c r="A109" s="15" t="inlineStr">
        <is>
          <t>Hoggets</t>
        </is>
      </c>
      <c r="B109" s="76" t="n"/>
      <c r="C109" s="76" t="n"/>
      <c r="D109" s="76">
        <f>C109-B109</f>
        <v/>
      </c>
      <c r="F109" s="84">
        <f>'Stock'!K27*'Stock'!O27</f>
        <v/>
      </c>
      <c r="G109" s="84">
        <f>D109*'Stock'!O27</f>
        <v/>
      </c>
    </row>
    <row r="110">
      <c r="A110" s="15" t="inlineStr">
        <is>
          <t>Piglets</t>
        </is>
      </c>
      <c r="B110" s="76" t="n"/>
      <c r="C110" s="76" t="n"/>
      <c r="D110" s="76">
        <f>C110-B110</f>
        <v/>
      </c>
      <c r="F110" s="84">
        <f>'Stock'!K28*'Stock'!O28</f>
        <v/>
      </c>
      <c r="G110" s="84">
        <f>D110*'Stock'!O28</f>
        <v/>
      </c>
    </row>
    <row r="111">
      <c r="A111" s="15" t="inlineStr">
        <is>
          <t>Swans</t>
        </is>
      </c>
      <c r="B111" s="76" t="n"/>
      <c r="C111" s="76" t="n"/>
      <c r="D111" s="76">
        <f>C111-B111</f>
        <v/>
      </c>
      <c r="F111" s="84">
        <f>'Stock'!K29*'Stock'!O29</f>
        <v/>
      </c>
      <c r="G111" s="84">
        <f>D111*'Stock'!O29</f>
        <v/>
      </c>
    </row>
    <row r="112">
      <c r="A112" s="15" t="inlineStr">
        <is>
          <t>Peacocks</t>
        </is>
      </c>
      <c r="B112" s="76" t="n"/>
      <c r="C112" s="76" t="n"/>
      <c r="D112" s="76">
        <f>C112-B112</f>
        <v/>
      </c>
      <c r="F112" s="84">
        <f>'Stock'!K30*'Stock'!O30</f>
        <v/>
      </c>
      <c r="G112" s="84">
        <f>D112*'Stock'!O30</f>
        <v/>
      </c>
    </row>
    <row r="113">
      <c r="A113" s="17" t="inlineStr">
        <is>
          <t>Total value of stock (sum of the above)</t>
        </is>
      </c>
      <c r="B113" s="93" t="n"/>
      <c r="C113" s="94" t="n"/>
      <c r="D113" s="93" t="n"/>
      <c r="E113" s="93" t="n"/>
      <c r="F113" s="107">
        <f>SUM(F87:F112)</f>
        <v/>
      </c>
      <c r="G113" s="107">
        <f>SUM(G87:G112)</f>
        <v/>
      </c>
    </row>
    <row r="114">
      <c r="A114" s="17" t="inlineStr">
        <is>
          <t>Total value of production</t>
        </is>
      </c>
      <c r="B114" s="93" t="n"/>
      <c r="C114" s="94" t="n"/>
      <c r="D114" s="93" t="n"/>
      <c r="E114" s="93" t="n"/>
      <c r="F114" s="107">
        <f>SUM('Stock'!T5:T30)</f>
        <v/>
      </c>
      <c r="G114" s="107" t="n"/>
    </row>
    <row r="115">
      <c r="A115" s="17" t="inlineStr">
        <is>
          <t>Value of sales</t>
        </is>
      </c>
      <c r="B115" s="93" t="n"/>
      <c r="C115" s="94" t="n"/>
      <c r="D115" s="93" t="n"/>
      <c r="E115" s="93" t="n"/>
      <c r="F115" s="107">
        <f>SUM('Stock'!R5:R30)</f>
        <v/>
      </c>
      <c r="G115" s="107" t="n"/>
    </row>
    <row r="116">
      <c r="A116" s="15" t="n"/>
    </row>
    <row r="117">
      <c r="A117" s="16" t="inlineStr">
        <is>
          <t>Wool</t>
        </is>
      </c>
      <c r="B117" s="95" t="inlineStr">
        <is>
          <t>Begin stock</t>
        </is>
      </c>
      <c r="C117" s="95" t="inlineStr">
        <is>
          <t>End stock</t>
        </is>
      </c>
      <c r="D117" s="95" t="inlineStr">
        <is>
          <t>Stockbuilding</t>
        </is>
      </c>
      <c r="E117" s="95" t="n"/>
      <c r="F117" s="95" t="inlineStr">
        <is>
          <t>Value of stock in £</t>
        </is>
      </c>
    </row>
    <row r="118">
      <c r="A118" s="22" t="inlineStr">
        <is>
          <t>Fleeces</t>
        </is>
      </c>
      <c r="B118" t="n">
        <v>355</v>
      </c>
      <c r="F118">
        <f>C118*'Stock'!O35</f>
        <v/>
      </c>
      <c r="G118" s="96" t="n"/>
    </row>
    <row r="119">
      <c r="A119" s="15" t="inlineStr">
        <is>
          <t>Coarse wool</t>
        </is>
      </c>
      <c r="F119">
        <f>C119*'Stock'!O38</f>
        <v/>
      </c>
    </row>
    <row r="120">
      <c r="A120" s="15" t="inlineStr">
        <is>
          <t>Lamb's wool</t>
        </is>
      </c>
    </row>
    <row r="121">
      <c r="A121" s="15" t="inlineStr">
        <is>
          <t>Wool locks</t>
        </is>
      </c>
    </row>
    <row r="122">
      <c r="A122" s="15" t="inlineStr">
        <is>
          <t>Wool sold at shearing</t>
        </is>
      </c>
    </row>
    <row r="123">
      <c r="A123" s="119" t="inlineStr">
        <is>
          <t>Total value of production (sum of the above)</t>
        </is>
      </c>
      <c r="B123" s="93" t="n"/>
      <c r="C123" s="94" t="n"/>
      <c r="D123" s="93" t="n"/>
      <c r="E123" s="93" t="n"/>
      <c r="F123" s="93" t="n"/>
    </row>
    <row r="124">
      <c r="A124" s="119" t="inlineStr">
        <is>
          <t>Value of sales</t>
        </is>
      </c>
      <c r="B124" s="93" t="n"/>
      <c r="C124" s="94" t="n"/>
      <c r="D124" s="93" t="n"/>
      <c r="E124" s="93" t="n"/>
      <c r="F124" s="93" t="n"/>
    </row>
    <row r="125">
      <c r="A125" s="8" t="n"/>
    </row>
    <row r="126">
      <c r="A126" s="16" t="inlineStr">
        <is>
          <t>Hides</t>
        </is>
      </c>
      <c r="B126" s="95" t="inlineStr">
        <is>
          <t>Begin stock</t>
        </is>
      </c>
      <c r="C126" s="95" t="inlineStr">
        <is>
          <t>End stock</t>
        </is>
      </c>
      <c r="D126" s="95" t="inlineStr">
        <is>
          <t>Stockbuilding</t>
        </is>
      </c>
      <c r="E126" s="95" t="n"/>
      <c r="F126" s="95" t="inlineStr">
        <is>
          <t>Value of stock in £</t>
        </is>
      </c>
    </row>
    <row r="127">
      <c r="A127" s="15" t="inlineStr">
        <is>
          <t>Ox hides</t>
        </is>
      </c>
      <c r="G127" s="96" t="n"/>
    </row>
    <row r="128">
      <c r="A128" s="15" t="inlineStr">
        <is>
          <t>Cow hides</t>
        </is>
      </c>
    </row>
    <row r="129">
      <c r="A129" s="15" t="inlineStr">
        <is>
          <t>Mare hides</t>
        </is>
      </c>
    </row>
    <row r="130">
      <c r="A130" s="15" t="inlineStr">
        <is>
          <t>Steer hides</t>
        </is>
      </c>
    </row>
    <row r="131">
      <c r="A131" s="15" t="inlineStr">
        <is>
          <t>Yearling Calf hides</t>
        </is>
      </c>
    </row>
    <row r="132">
      <c r="A132" s="15" t="inlineStr">
        <is>
          <t>Calf hides</t>
        </is>
      </c>
    </row>
    <row r="133">
      <c r="A133" s="23" t="inlineStr">
        <is>
          <t>Pig hides</t>
        </is>
      </c>
    </row>
    <row r="134">
      <c r="A134" s="24" t="inlineStr">
        <is>
          <t>Wether woolskins</t>
        </is>
      </c>
    </row>
    <row r="135">
      <c r="A135" s="24" t="inlineStr">
        <is>
          <t>Ram woolskins</t>
        </is>
      </c>
    </row>
    <row r="136">
      <c r="A136" s="24" t="inlineStr">
        <is>
          <t>Ewe woolskins</t>
        </is>
      </c>
    </row>
    <row r="137">
      <c r="A137" s="24" t="inlineStr">
        <is>
          <t>Hogg woolskins</t>
        </is>
      </c>
    </row>
    <row r="138">
      <c r="A138" s="25" t="inlineStr">
        <is>
          <t>Woolskins (total)</t>
        </is>
      </c>
    </row>
    <row r="139">
      <c r="A139" s="24" t="inlineStr">
        <is>
          <t>Wether bareskins</t>
        </is>
      </c>
    </row>
    <row r="140">
      <c r="A140" s="24" t="inlineStr">
        <is>
          <t>Ram bareskins</t>
        </is>
      </c>
    </row>
    <row r="141">
      <c r="A141" s="24" t="inlineStr">
        <is>
          <t>Ewe bareskins</t>
        </is>
      </c>
    </row>
    <row r="142">
      <c r="A142" s="24" t="inlineStr">
        <is>
          <t>Hogg bareskins</t>
        </is>
      </c>
    </row>
    <row r="143">
      <c r="A143" s="25" t="inlineStr">
        <is>
          <t>Bareskins (total)</t>
        </is>
      </c>
    </row>
    <row r="144">
      <c r="A144" s="15" t="inlineStr">
        <is>
          <t>Lambskins</t>
        </is>
      </c>
    </row>
    <row r="145">
      <c r="A145" s="15" t="inlineStr">
        <is>
          <t>Rotted skins</t>
        </is>
      </c>
    </row>
    <row r="146">
      <c r="A146" s="15" t="inlineStr">
        <is>
          <t>Shorn skins</t>
        </is>
      </c>
    </row>
    <row r="147">
      <c r="A147" s="17" t="inlineStr">
        <is>
          <t>Total value of production (sum of the above)</t>
        </is>
      </c>
      <c r="B147" s="93" t="n"/>
      <c r="C147" s="94" t="n"/>
      <c r="D147" s="93" t="n"/>
      <c r="E147" s="93" t="n"/>
      <c r="F147" s="93" t="n"/>
    </row>
    <row r="148">
      <c r="A148" s="17" t="inlineStr">
        <is>
          <t>Value of sales</t>
        </is>
      </c>
      <c r="B148" s="93" t="n"/>
      <c r="C148" s="94" t="n"/>
      <c r="D148" s="93" t="n"/>
      <c r="E148" s="93" t="n"/>
      <c r="F148" s="93" t="n"/>
    </row>
    <row r="149">
      <c r="A149" s="15" t="n"/>
    </row>
    <row r="150">
      <c r="A150" s="16" t="inlineStr">
        <is>
          <t>Poultry stock</t>
        </is>
      </c>
      <c r="B150" s="95" t="inlineStr">
        <is>
          <t>Begin stock</t>
        </is>
      </c>
      <c r="C150" s="95" t="inlineStr">
        <is>
          <t>End stock</t>
        </is>
      </c>
      <c r="D150" s="95" t="inlineStr">
        <is>
          <t>Stockbuilding</t>
        </is>
      </c>
      <c r="E150" s="95" t="n"/>
      <c r="F150" s="95" t="inlineStr">
        <is>
          <t>Value of stock in £</t>
        </is>
      </c>
    </row>
    <row r="151">
      <c r="A151" s="22" t="inlineStr">
        <is>
          <t>Hens</t>
        </is>
      </c>
      <c r="B151" s="76" t="n">
        <v>0</v>
      </c>
      <c r="C151" s="76" t="n">
        <v>0</v>
      </c>
      <c r="D151" s="76" t="n">
        <v>0</v>
      </c>
      <c r="F151" s="76">
        <f>C151*'Stock'!O70</f>
        <v/>
      </c>
      <c r="G151" s="96" t="n"/>
    </row>
    <row r="152">
      <c r="A152" s="15" t="inlineStr">
        <is>
          <t>Geese</t>
        </is>
      </c>
      <c r="B152" s="76" t="n">
        <v>0</v>
      </c>
      <c r="C152" s="76" t="n">
        <v>0</v>
      </c>
      <c r="D152" s="76" t="n">
        <v>0</v>
      </c>
      <c r="F152" s="76">
        <f>C152*'Stock'!O71</f>
        <v/>
      </c>
    </row>
    <row r="153">
      <c r="A153" s="15" t="inlineStr">
        <is>
          <t>Capons (from chickens)</t>
        </is>
      </c>
      <c r="B153" s="76" t="n">
        <v>0</v>
      </c>
      <c r="C153" s="76" t="n">
        <v>0</v>
      </c>
      <c r="D153" s="76" t="n">
        <v>0</v>
      </c>
      <c r="F153" s="76" t="n">
        <v>0</v>
      </c>
    </row>
    <row r="154">
      <c r="A154" s="15" t="inlineStr">
        <is>
          <t>Cocks &amp; hens</t>
        </is>
      </c>
      <c r="B154" s="76" t="n">
        <v>0</v>
      </c>
      <c r="C154" s="76" t="n">
        <v>0</v>
      </c>
      <c r="D154" s="76" t="n">
        <v>0</v>
      </c>
      <c r="F154" s="76" t="n">
        <v>0</v>
      </c>
    </row>
    <row r="155">
      <c r="A155" s="119" t="inlineStr">
        <is>
          <t>Total value of production (sum of the above)</t>
        </is>
      </c>
      <c r="B155" s="93" t="n"/>
      <c r="C155" s="93" t="n"/>
      <c r="D155" s="93" t="n"/>
      <c r="E155" s="93" t="n"/>
      <c r="F155" s="93">
        <f>SUM(F151:F154)</f>
        <v/>
      </c>
    </row>
    <row r="156">
      <c r="A156" s="119" t="inlineStr">
        <is>
          <t>Value of sales</t>
        </is>
      </c>
      <c r="B156" s="93" t="n"/>
      <c r="C156" s="94" t="n"/>
      <c r="D156" s="93" t="n"/>
      <c r="E156" s="93" t="n"/>
      <c r="F156" s="93">
        <f>SUM('Stock'!R67:R70)</f>
        <v/>
      </c>
    </row>
    <row r="157">
      <c r="A157" s="15" t="n"/>
    </row>
    <row r="158">
      <c r="A158" s="16" t="inlineStr">
        <is>
          <t>Poultry production</t>
        </is>
      </c>
      <c r="B158" s="95" t="inlineStr">
        <is>
          <t>Begin stock</t>
        </is>
      </c>
      <c r="C158" s="95" t="inlineStr">
        <is>
          <t>End stock</t>
        </is>
      </c>
      <c r="D158" s="95" t="inlineStr">
        <is>
          <t>Stockbuilding</t>
        </is>
      </c>
      <c r="E158" s="95" t="n"/>
      <c r="F158" s="95" t="inlineStr">
        <is>
          <t>Value of stock in £</t>
        </is>
      </c>
    </row>
    <row r="159">
      <c r="A159" s="15" t="inlineStr">
        <is>
          <t>Eggs</t>
        </is>
      </c>
      <c r="B159" t="n">
        <v>0</v>
      </c>
      <c r="C159" t="n">
        <v>0</v>
      </c>
      <c r="D159" t="n">
        <v>0</v>
      </c>
      <c r="F159" t="n">
        <v>0</v>
      </c>
      <c r="G159" s="116" t="n"/>
    </row>
    <row r="160">
      <c r="A160" s="15" t="inlineStr">
        <is>
          <t>Cocks &amp; hens from churchscot of customary tenants</t>
        </is>
      </c>
      <c r="B160" t="n">
        <v>0</v>
      </c>
      <c r="C160" t="n">
        <v>0</v>
      </c>
      <c r="D160" t="n">
        <v>0</v>
      </c>
      <c r="F160" t="n">
        <v>0</v>
      </c>
    </row>
    <row r="161">
      <c r="A161" s="15" t="inlineStr">
        <is>
          <t>Sum of above</t>
        </is>
      </c>
    </row>
    <row r="162">
      <c r="A162" s="17" t="inlineStr">
        <is>
          <t>Total value of stock</t>
        </is>
      </c>
      <c r="B162" s="93" t="n"/>
      <c r="C162" s="94" t="n"/>
      <c r="D162" s="93" t="n"/>
      <c r="E162" s="93" t="n"/>
      <c r="F162" s="93" t="n"/>
    </row>
    <row r="163">
      <c r="A163" s="17" t="inlineStr">
        <is>
          <t>Value of sales</t>
        </is>
      </c>
      <c r="B163" s="93" t="n"/>
      <c r="C163" s="94" t="n"/>
      <c r="D163" s="93" t="n"/>
      <c r="E163" s="93" t="n"/>
      <c r="F163" s="93" t="n"/>
    </row>
    <row r="164">
      <c r="A164" s="15" t="n"/>
    </row>
    <row r="165">
      <c r="A165" s="16" t="inlineStr">
        <is>
          <t>Dairy Production</t>
        </is>
      </c>
      <c r="B165" s="95" t="inlineStr">
        <is>
          <t>Begin stock</t>
        </is>
      </c>
      <c r="C165" s="95" t="inlineStr">
        <is>
          <t>End stock</t>
        </is>
      </c>
      <c r="D165" s="95" t="inlineStr">
        <is>
          <t>Stockbuilding</t>
        </is>
      </c>
      <c r="E165" s="95" t="n"/>
      <c r="F165" s="95" t="inlineStr">
        <is>
          <t>Value of stock in £</t>
        </is>
      </c>
    </row>
    <row r="166">
      <c r="A166" s="15" t="inlineStr">
        <is>
          <t>Butter</t>
        </is>
      </c>
      <c r="B166" t="n">
        <v>0</v>
      </c>
      <c r="C166" t="n">
        <v>0</v>
      </c>
      <c r="D166" t="n">
        <v>0</v>
      </c>
      <c r="F166" t="n">
        <v>0</v>
      </c>
      <c r="G166" s="116" t="n"/>
    </row>
    <row r="167">
      <c r="A167" s="15" t="inlineStr">
        <is>
          <t>Winter Cheese</t>
        </is>
      </c>
      <c r="B167" t="n">
        <v>0</v>
      </c>
      <c r="C167" t="n">
        <v>0</v>
      </c>
      <c r="D167" t="n">
        <v>0</v>
      </c>
      <c r="F167">
        <f>C167*'Stock'!O91</f>
        <v/>
      </c>
    </row>
    <row r="168">
      <c r="A168" s="15" t="inlineStr">
        <is>
          <t>Summer Cheese</t>
        </is>
      </c>
      <c r="B168" t="n">
        <v>0</v>
      </c>
      <c r="C168" t="n">
        <v>0</v>
      </c>
      <c r="D168" t="n">
        <v>0</v>
      </c>
      <c r="F168">
        <f>C168*'Stock'!O92</f>
        <v/>
      </c>
    </row>
    <row r="169">
      <c r="A169" s="17" t="inlineStr">
        <is>
          <t>Total value of production (sum of the above)</t>
        </is>
      </c>
      <c r="B169" s="93" t="n"/>
      <c r="C169" s="94" t="n"/>
      <c r="D169" s="93" t="n"/>
      <c r="E169" s="93" t="n"/>
      <c r="F169" s="93" t="n"/>
    </row>
    <row r="170">
      <c r="A170" s="17" t="inlineStr">
        <is>
          <t>Value of sales</t>
        </is>
      </c>
      <c r="B170" s="93" t="n"/>
      <c r="C170" s="94" t="n"/>
      <c r="D170" s="93" t="n"/>
      <c r="E170" s="93" t="n"/>
      <c r="F170" s="93" t="n"/>
    </row>
    <row r="171">
      <c r="A171" s="15" t="n"/>
    </row>
    <row r="172">
      <c r="A172" s="15" t="n"/>
    </row>
    <row r="173" ht="16" customHeight="1" thickBot="1"/>
    <row r="174" ht="16" customHeight="1" thickBot="1">
      <c r="A174" s="103" t="n"/>
      <c r="B174" s="104" t="inlineStr">
        <is>
          <t>Total in £</t>
        </is>
      </c>
      <c r="C174" s="105" t="n"/>
      <c r="D174" s="108" t="n"/>
      <c r="E174" s="108" t="n"/>
      <c r="F174" s="109" t="n"/>
    </row>
    <row r="175">
      <c r="A175" s="97" t="inlineStr">
        <is>
          <t>Total Production Value of all Output (Grange, Dairy, Livestock Sales, Wools, Skins - NO Mill)</t>
        </is>
      </c>
      <c r="B175" s="110">
        <f>F169+F162+F156+F147+F123+F115+D71</f>
        <v/>
      </c>
      <c r="D175" s="111" t="n"/>
      <c r="E175" s="111" t="n"/>
      <c r="F175" s="112" t="n"/>
    </row>
    <row r="176">
      <c r="A176" s="98" t="inlineStr">
        <is>
          <t>Total Sales Value of all Output as defined above</t>
        </is>
      </c>
      <c r="B176" s="110">
        <f>F170+F163+F156+F148+F124+F115+D73</f>
        <v/>
      </c>
      <c r="D176" s="111" t="n"/>
      <c r="E176" s="111" t="n"/>
      <c r="F176" s="112" t="n"/>
    </row>
    <row r="177">
      <c r="A177" s="98" t="inlineStr">
        <is>
          <t>Total Sales of Corn + Issues of the Manor as recorded in account</t>
        </is>
      </c>
      <c r="B177" s="110">
        <f>B15+B18</f>
        <v/>
      </c>
      <c r="D177" s="111" t="n"/>
      <c r="E177" s="111" t="n"/>
      <c r="F177" s="112" t="n"/>
    </row>
    <row r="178">
      <c r="A178" s="98" t="inlineStr">
        <is>
          <t>Production Value + Cash Receipts (excl. Arrears, Issues, Corn and Mill)</t>
        </is>
      </c>
      <c r="B178" s="110">
        <f>B175+B12+B13+B14+B16+B17+B19+B20+B21+B22</f>
        <v/>
      </c>
      <c r="D178" s="111" t="n"/>
      <c r="E178" s="111" t="n"/>
      <c r="F178" s="112" t="n"/>
    </row>
    <row r="179">
      <c r="A179" s="99" t="n"/>
      <c r="B179" s="111" t="n"/>
      <c r="D179" s="111" t="n"/>
      <c r="E179" s="111" t="n"/>
      <c r="F179" s="112" t="n"/>
    </row>
    <row r="180">
      <c r="A180" s="100" t="inlineStr">
        <is>
          <t>% of capital expenses in terms of total production</t>
        </is>
      </c>
      <c r="B180" s="113">
        <f>B47/B175</f>
        <v/>
      </c>
      <c r="C180" s="13" t="n"/>
      <c r="F180" s="112" t="n"/>
    </row>
    <row r="181">
      <c r="A181" s="98" t="inlineStr">
        <is>
          <t>% of capital expenses in terms of total production + cash receipts</t>
        </is>
      </c>
      <c r="B181" s="113">
        <f>B47/B178</f>
        <v/>
      </c>
      <c r="D181" s="111" t="n"/>
      <c r="E181" s="111" t="n"/>
      <c r="F181" s="112" t="n"/>
    </row>
    <row r="182">
      <c r="A182" s="99" t="n"/>
      <c r="D182" s="111" t="n"/>
      <c r="E182" s="111" t="n"/>
      <c r="F182" s="112" t="n"/>
    </row>
    <row r="183" ht="16" customHeight="1" thickBot="1">
      <c r="A183" s="101" t="inlineStr">
        <is>
          <t>% of capital expenses as calculated previously</t>
        </is>
      </c>
      <c r="B183" s="106" t="inlineStr">
        <is>
          <t>n/a</t>
        </is>
      </c>
      <c r="C183" s="102" t="n"/>
      <c r="D183" s="114" t="n"/>
      <c r="E183" s="114" t="n"/>
      <c r="F183" s="115" t="n"/>
    </row>
  </sheetData>
  <mergeCells count="2">
    <mergeCell ref="B60:C60"/>
    <mergeCell ref="B75:C75"/>
  </mergeCells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topLeftCell="A1" workbookViewId="0">
      <selection activeCell="A1" sqref="A1"/>
    </sheetView>
  </sheetViews>
  <sheetFormatPr baseColWidth="8" defaultColWidth="12.6328125" defaultRowHeight="14.5"/>
  <sheetData>
    <row r="1" ht="15.5" customHeight="1">
      <c r="A1" s="12" t="inlineStr">
        <is>
          <t>Meat &amp; Dairy Prices</t>
        </is>
      </c>
    </row>
    <row r="2">
      <c r="C2" t="n">
        <v>1301</v>
      </c>
      <c r="D2" t="n">
        <v>1302</v>
      </c>
      <c r="E2" s="28" t="inlineStr">
        <is>
          <t>Average</t>
        </is>
      </c>
    </row>
    <row r="3" ht="15.5" customHeight="1">
      <c r="A3" t="inlineStr">
        <is>
          <t>Beef</t>
        </is>
      </c>
      <c r="B3" t="inlineStr">
        <is>
          <t>£ per lb</t>
        </is>
      </c>
      <c r="C3" s="62" t="n">
        <v>0.003335185413087333</v>
      </c>
      <c r="D3" s="62" t="n">
        <v>0.003260853786849182</v>
      </c>
      <c r="E3" s="63">
        <f>AVERAGE(C3:D3)</f>
        <v/>
      </c>
    </row>
    <row r="4">
      <c r="A4" t="inlineStr">
        <is>
          <t>Mutton</t>
        </is>
      </c>
      <c r="B4" t="inlineStr">
        <is>
          <t>£ per lb</t>
        </is>
      </c>
      <c r="C4" s="63" t="n">
        <v>0.003659397726835158</v>
      </c>
      <c r="D4" s="63" t="n">
        <v>0.003712551295250783</v>
      </c>
      <c r="E4" s="63">
        <f>AVERAGE(C4:D4)</f>
        <v/>
      </c>
    </row>
    <row r="5">
      <c r="A5" t="inlineStr">
        <is>
          <t>Pork</t>
        </is>
      </c>
      <c r="B5" t="inlineStr">
        <is>
          <t>£ per lb</t>
        </is>
      </c>
      <c r="C5" s="63" t="n">
        <v>0.003843132608634785</v>
      </c>
      <c r="D5" s="63" t="n">
        <v>0.003757480310106574</v>
      </c>
      <c r="E5" s="63">
        <f>AVERAGE(C5:D5)</f>
        <v/>
      </c>
    </row>
    <row r="6">
      <c r="A6" t="inlineStr">
        <is>
          <t>Cheese</t>
        </is>
      </c>
      <c r="B6" t="inlineStr">
        <is>
          <t>£ per lb</t>
        </is>
      </c>
      <c r="C6" s="64" t="n">
        <v>0.005576875401355813</v>
      </c>
      <c r="D6" s="63" t="n">
        <v>0.005665489823647453</v>
      </c>
      <c r="E6" s="63">
        <f>AVERAGE(C6:D6)</f>
        <v/>
      </c>
    </row>
    <row r="7">
      <c r="A7" t="inlineStr">
        <is>
          <t>Butter</t>
        </is>
      </c>
      <c r="B7" t="inlineStr">
        <is>
          <t>£ per lb</t>
        </is>
      </c>
      <c r="C7" s="63" t="n">
        <v>0.00366262210285494</v>
      </c>
      <c r="D7" s="63" t="n">
        <v>0.003593507742292381</v>
      </c>
      <c r="E7" s="63">
        <f>AVERAGE(C7:D7)</f>
        <v/>
      </c>
    </row>
    <row r="8">
      <c r="A8" t="inlineStr">
        <is>
          <t>Milk</t>
        </is>
      </c>
      <c r="B8" t="inlineStr">
        <is>
          <t>£ per gallon</t>
        </is>
      </c>
      <c r="C8" s="65" t="n">
        <v>0.005576875401355813</v>
      </c>
      <c r="D8" s="63" t="n">
        <v>0.005665489823647453</v>
      </c>
      <c r="E8" s="63">
        <f>AVERAGE(C8:D8)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topLeftCell="A1" workbookViewId="0">
      <selection activeCell="A1" sqref="A1"/>
    </sheetView>
  </sheetViews>
  <sheetFormatPr baseColWidth="8" defaultColWidth="8.81640625" defaultRowHeight="14.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0"/>
  <sheetViews>
    <sheetView topLeftCell="A1" workbookViewId="0">
      <selection activeCell="A1" sqref="A1"/>
    </sheetView>
  </sheetViews>
  <sheetFormatPr baseColWidth="8" defaultRowHeight="15"/>
  <cols>
    <col width="80" customWidth="1" min="1" max="1"/>
    <col width="29.1640625" customWidth="1" min="2" max="2"/>
    <col width="8.83203125" customWidth="1" min="3" max="3"/>
    <col width="30.83203125" customWidth="1" min="5" max="5"/>
    <col width="29.33203125" customWidth="1" min="6" max="6"/>
  </cols>
  <sheetData>
    <row r="1">
      <c r="A1" s="8" t="inlineStr">
        <is>
          <t>BURGHCLERE</t>
        </is>
      </c>
      <c r="B1" s="77" t="inlineStr">
        <is>
          <t>Total in £</t>
        </is>
      </c>
      <c r="C1" s="78" t="inlineStr">
        <is>
          <t>Error</t>
        </is>
      </c>
      <c r="D1" s="12" t="inlineStr">
        <is>
          <t>Note</t>
        </is>
      </c>
    </row>
    <row r="2">
      <c r="A2" s="8" t="inlineStr">
        <is>
          <t>CASH ACCOUNT</t>
        </is>
      </c>
    </row>
    <row r="3">
      <c r="A3" s="16" t="inlineStr">
        <is>
          <t>RECEIPTS</t>
        </is>
      </c>
    </row>
    <row r="4">
      <c r="A4" s="15" t="inlineStr">
        <is>
          <t>Arrears total</t>
        </is>
      </c>
    </row>
    <row r="5">
      <c r="A5" s="15" t="inlineStr">
        <is>
          <t>Rents of assize total</t>
        </is>
      </c>
    </row>
    <row r="6">
      <c r="A6" s="15" t="inlineStr">
        <is>
          <t>Quittances total</t>
        </is>
      </c>
    </row>
    <row r="7">
      <c r="A7" s="15" t="inlineStr">
        <is>
          <t>Defaults of rent total</t>
        </is>
      </c>
    </row>
    <row r="8">
      <c r="A8" s="9" t="inlineStr">
        <is>
          <t>Defaults of rent through the pestilence total</t>
        </is>
      </c>
    </row>
    <row r="9">
      <c r="A9" s="9" t="inlineStr">
        <is>
          <t>Cotlands defaults total</t>
        </is>
      </c>
    </row>
    <row r="10">
      <c r="A10" s="9" t="inlineStr">
        <is>
          <t>Cotlands total</t>
        </is>
      </c>
    </row>
    <row r="11">
      <c r="A11" s="9" t="inlineStr">
        <is>
          <t>Total of quittances and defaults of rent total</t>
        </is>
      </c>
    </row>
    <row r="12">
      <c r="A12" s="9" t="inlineStr">
        <is>
          <t>Total of rents remaining clear total</t>
        </is>
      </c>
    </row>
    <row r="13">
      <c r="A13" s="9" t="inlineStr">
        <is>
          <t>Farms total</t>
        </is>
      </c>
    </row>
    <row r="14">
      <c r="A14" s="15" t="inlineStr">
        <is>
          <t>Annual recognizances total</t>
        </is>
      </c>
    </row>
    <row r="15">
      <c r="A15" s="15" t="inlineStr">
        <is>
          <t>Issues of the Manor total</t>
        </is>
      </c>
    </row>
    <row r="16">
      <c r="A16" s="9" t="inlineStr">
        <is>
          <t>Issues of the tenements in the lord's hands total</t>
        </is>
      </c>
    </row>
    <row r="17">
      <c r="A17" s="9" t="inlineStr">
        <is>
          <t>Sale of labour services total</t>
        </is>
      </c>
    </row>
    <row r="18">
      <c r="A18" s="15" t="inlineStr">
        <is>
          <t>Sale of corn total</t>
        </is>
      </c>
    </row>
    <row r="19">
      <c r="A19" s="15" t="inlineStr">
        <is>
          <t>Entry and marriage fines total</t>
        </is>
      </c>
    </row>
    <row r="20">
      <c r="A20" s="15" t="inlineStr">
        <is>
          <t>Pleas &amp; perquisites total</t>
        </is>
      </c>
    </row>
    <row r="21">
      <c r="A21" s="9" t="inlineStr">
        <is>
          <t>Forfeited chattels total</t>
        </is>
      </c>
    </row>
    <row r="22">
      <c r="A22" s="9" t="inlineStr">
        <is>
          <t>Farm of the demesne land total</t>
        </is>
      </c>
    </row>
    <row r="23">
      <c r="A23" s="81" t="inlineStr">
        <is>
          <t>Total of all receipts (calculated here)</t>
        </is>
      </c>
      <c r="B23" s="72">
        <f>Receipts!F145</f>
        <v/>
      </c>
    </row>
    <row r="24">
      <c r="A24" s="82" t="inlineStr">
        <is>
          <t>Total of all receipts (calculated here) incl arrears</t>
        </is>
      </c>
      <c r="B24" s="72">
        <f>Receipts!F146</f>
        <v/>
      </c>
    </row>
    <row r="25">
      <c r="A25" s="83" t="inlineStr">
        <is>
          <t>Total recorded in the accounts excl. arrears</t>
        </is>
      </c>
      <c r="B25" s="72">
        <f>Receipts!F145</f>
        <v/>
      </c>
      <c r="C25" s="127">
        <f>B25-B23</f>
        <v/>
      </c>
    </row>
    <row r="26">
      <c r="A26" s="83" t="inlineStr">
        <is>
          <t>Total recorded in the accounts incl. arrears</t>
        </is>
      </c>
    </row>
    <row r="27">
      <c r="A27" s="15" t="n"/>
    </row>
    <row r="28">
      <c r="A28" s="15" t="n"/>
    </row>
    <row r="29">
      <c r="A29" s="16" t="inlineStr">
        <is>
          <t>EXPENSES</t>
        </is>
      </c>
    </row>
    <row r="30">
      <c r="A30" s="15" t="inlineStr">
        <is>
          <t>Cost of ploughs total</t>
        </is>
      </c>
    </row>
    <row r="31">
      <c r="A31" s="15" t="inlineStr">
        <is>
          <t>Purchase of corn total</t>
        </is>
      </c>
    </row>
    <row r="32">
      <c r="A32" s="15" t="inlineStr">
        <is>
          <t>Cost of carts and wagons total</t>
        </is>
      </c>
    </row>
    <row r="33">
      <c r="A33" s="15" t="inlineStr">
        <is>
          <t>Cost of dairy total</t>
        </is>
      </c>
    </row>
    <row r="34">
      <c r="A34" s="15" t="inlineStr">
        <is>
          <t>Purchase of stock total</t>
        </is>
      </c>
    </row>
    <row r="35">
      <c r="A35" s="15" t="inlineStr">
        <is>
          <t>Sheepcote total</t>
        </is>
      </c>
    </row>
    <row r="36">
      <c r="A36" s="15" t="inlineStr">
        <is>
          <t>Cost of buildings total</t>
        </is>
      </c>
    </row>
    <row r="37">
      <c r="A37" s="15" t="inlineStr">
        <is>
          <t>Threshing total</t>
        </is>
      </c>
    </row>
    <row r="38">
      <c r="A38" s="15" t="inlineStr">
        <is>
          <t>Barley expenses</t>
        </is>
      </c>
    </row>
    <row r="39">
      <c r="A39" s="15" t="inlineStr">
        <is>
          <t>Expenses of the harvest total</t>
        </is>
      </c>
    </row>
    <row r="40">
      <c r="A40" s="15" t="inlineStr">
        <is>
          <t>Necessary expenses</t>
        </is>
      </c>
    </row>
    <row r="41">
      <c r="A41" s="15" t="inlineStr">
        <is>
          <t>Wages of the bailiff</t>
        </is>
      </c>
    </row>
    <row r="42">
      <c r="A42" s="15" t="inlineStr">
        <is>
          <t>Steward's expenses total</t>
        </is>
      </c>
    </row>
    <row r="43">
      <c r="A43" s="85" t="inlineStr">
        <is>
          <t>Annual fees</t>
        </is>
      </c>
    </row>
    <row r="44">
      <c r="A44" s="82" t="inlineStr">
        <is>
          <t>Total of all expenses per account</t>
        </is>
      </c>
      <c r="B44" s="72">
        <f>Expenses!F94</f>
        <v/>
      </c>
    </row>
    <row r="45">
      <c r="A45" s="82" t="inlineStr">
        <is>
          <t>Total of all expenses (calculated here)</t>
        </is>
      </c>
      <c r="B45" s="72">
        <f>Expenses!F95</f>
        <v/>
      </c>
      <c r="C45" s="127">
        <f>B45-B44</f>
        <v/>
      </c>
    </row>
    <row r="46">
      <c r="A46" s="82" t="inlineStr">
        <is>
          <t>Total fixed investment</t>
        </is>
      </c>
      <c r="B46" s="72">
        <f>Expenses!F96</f>
        <v/>
      </c>
    </row>
    <row r="47">
      <c r="A47" s="82" t="inlineStr">
        <is>
          <t>Total Demesne fixed investment</t>
        </is>
      </c>
      <c r="B47" s="72">
        <f>Expenses!F97</f>
        <v/>
      </c>
    </row>
    <row r="48">
      <c r="A48" s="12" t="n"/>
    </row>
    <row r="49">
      <c r="A49" s="18" t="inlineStr">
        <is>
          <t>Owed by the reeve</t>
        </is>
      </c>
    </row>
    <row r="50">
      <c r="A50" s="18" t="inlineStr">
        <is>
          <t>From accounts</t>
        </is>
      </c>
    </row>
    <row r="51">
      <c r="A51" s="15" t="n"/>
    </row>
    <row r="52">
      <c r="A52" s="18" t="inlineStr">
        <is>
          <t>Allowances</t>
        </is>
      </c>
    </row>
    <row r="53">
      <c r="A53" s="18" t="inlineStr">
        <is>
          <t>Cash deliveries</t>
        </is>
      </c>
    </row>
    <row r="54">
      <c r="A54" s="19" t="inlineStr">
        <is>
          <t>Sum of the above</t>
        </is>
      </c>
    </row>
    <row r="55">
      <c r="A55" s="20" t="inlineStr">
        <is>
          <t>Total of all allowances and cash deliveries in accounts</t>
        </is>
      </c>
    </row>
    <row r="56">
      <c r="A56" s="15" t="n"/>
    </row>
    <row r="57">
      <c r="A57" s="18" t="inlineStr">
        <is>
          <t>Net amount owed</t>
        </is>
      </c>
    </row>
    <row r="58">
      <c r="A58" s="18" t="inlineStr">
        <is>
          <t>Net amount owed in accounts</t>
        </is>
      </c>
    </row>
    <row r="59">
      <c r="A59" s="15" t="n"/>
    </row>
    <row r="60">
      <c r="A60" s="16" t="inlineStr">
        <is>
          <t xml:space="preserve">GRANGE ACCOUNT </t>
        </is>
      </c>
      <c r="B60" s="120" t="inlineStr">
        <is>
          <t>Total Production</t>
        </is>
      </c>
      <c r="D60" s="54" t="n"/>
      <c r="E60" s="54" t="n"/>
      <c r="F60" s="55" t="n"/>
    </row>
    <row r="61">
      <c r="A61" s="8" t="inlineStr">
        <is>
          <t>Grange</t>
        </is>
      </c>
      <c r="B61" s="89" t="inlineStr">
        <is>
          <t>qrs</t>
        </is>
      </c>
      <c r="C61" s="90" t="n"/>
      <c r="D61" s="9" t="n"/>
      <c r="E61" s="128" t="inlineStr">
        <is>
          <t>Value of total gross production in £</t>
        </is>
      </c>
      <c r="F61" s="128" t="inlineStr">
        <is>
          <t>Value of total net production in £</t>
        </is>
      </c>
    </row>
    <row r="62" ht="15" customHeight="1">
      <c r="A62" t="inlineStr">
        <is>
          <t>wheat</t>
        </is>
      </c>
      <c r="B62">
        <f>'Issues of the Grange'!B2</f>
        <v/>
      </c>
      <c r="E62" s="72">
        <f>'Issues of the Grange'!I2</f>
        <v/>
      </c>
      <c r="F62" s="72">
        <f>'Issues of the Grange'!O11</f>
        <v/>
      </c>
    </row>
    <row r="63" ht="15" customHeight="1">
      <c r="A63" t="inlineStr">
        <is>
          <t>bere</t>
        </is>
      </c>
      <c r="B63">
        <f>'Issues of the Grange'!B3</f>
        <v/>
      </c>
      <c r="E63" s="72">
        <f>'Issues of the Grange'!I3</f>
        <v/>
      </c>
      <c r="F63" s="72">
        <f>'Issues of the Grange'!O12</f>
        <v/>
      </c>
    </row>
    <row r="64" ht="15" customHeight="1">
      <c r="A64" t="inlineStr">
        <is>
          <t>barley</t>
        </is>
      </c>
      <c r="B64">
        <f>'Issues of the Grange'!B4</f>
        <v/>
      </c>
      <c r="E64" s="72">
        <f>'Issues of the Grange'!I4</f>
        <v/>
      </c>
      <c r="F64" s="72">
        <f>'Issues of the Grange'!O13</f>
        <v/>
      </c>
    </row>
    <row r="65" ht="15" customHeight="1">
      <c r="A65" t="inlineStr">
        <is>
          <t>oats</t>
        </is>
      </c>
      <c r="B65">
        <f>'Issues of the Grange'!B5</f>
        <v/>
      </c>
      <c r="E65" s="72">
        <f>'Issues of the Grange'!I5</f>
        <v/>
      </c>
      <c r="F65" s="72">
        <f>'Issues of the Grange'!O14</f>
        <v/>
      </c>
    </row>
    <row r="66">
      <c r="A66" s="17" t="inlineStr">
        <is>
          <t>Total value of gross production (sum of the above)</t>
        </is>
      </c>
      <c r="B66" s="70" t="n"/>
      <c r="C66" s="129" t="n"/>
      <c r="D66" s="70" t="n"/>
      <c r="E66" s="130">
        <f>SUM(E62:E65)</f>
        <v/>
      </c>
      <c r="F66" s="70" t="n"/>
    </row>
    <row r="67">
      <c r="A67" s="17" t="inlineStr">
        <is>
          <t>Total value of net production</t>
        </is>
      </c>
      <c r="B67" s="70" t="n"/>
      <c r="C67" s="129" t="n"/>
      <c r="D67" s="70" t="n"/>
      <c r="E67" s="130">
        <f>SUM(F62:F65)</f>
        <v/>
      </c>
      <c r="F67" s="70" t="n"/>
    </row>
    <row r="68">
      <c r="A68" s="17" t="inlineStr">
        <is>
          <t>Value of sales</t>
        </is>
      </c>
      <c r="B68" s="70" t="n"/>
      <c r="C68" s="129" t="n"/>
      <c r="D68" s="70" t="n"/>
      <c r="E68" s="130">
        <f>Receipts!F84</f>
        <v/>
      </c>
      <c r="F68" s="70" t="n"/>
    </row>
    <row r="69">
      <c r="A69" s="15" t="n"/>
    </row>
    <row r="70">
      <c r="A70" s="16" t="inlineStr">
        <is>
          <t>MILL ACCOUNT</t>
        </is>
      </c>
    </row>
    <row r="71">
      <c r="A71" s="8" t="inlineStr">
        <is>
          <t>Issues of the mill</t>
        </is>
      </c>
    </row>
    <row r="72">
      <c r="A72" s="15" t="inlineStr">
        <is>
          <t>Wheat</t>
        </is>
      </c>
    </row>
    <row r="73">
      <c r="A73" s="15" t="inlineStr">
        <is>
          <t>Oatmeal</t>
        </is>
      </c>
    </row>
    <row r="74">
      <c r="A74" s="15" t="inlineStr">
        <is>
          <t>1st grade malt</t>
        </is>
      </c>
    </row>
    <row r="75">
      <c r="A75" s="15" t="inlineStr">
        <is>
          <t>2nd grade malt</t>
        </is>
      </c>
    </row>
    <row r="76">
      <c r="A76" s="15" t="inlineStr">
        <is>
          <t>Maslin</t>
        </is>
      </c>
    </row>
    <row r="77">
      <c r="A77" s="17" t="inlineStr">
        <is>
          <t>Total value of production (sum of the above)</t>
        </is>
      </c>
    </row>
    <row r="78">
      <c r="A78" s="17" t="inlineStr">
        <is>
          <t>Value of sales</t>
        </is>
      </c>
    </row>
    <row r="79">
      <c r="A79" s="15" t="n"/>
    </row>
    <row r="80">
      <c r="A80" s="92" t="inlineStr">
        <is>
          <t>STOCK ACCOUNT</t>
        </is>
      </c>
      <c r="B80" s="70" t="n"/>
    </row>
    <row r="81">
      <c r="A81" s="21" t="inlineStr">
        <is>
          <t>Livestock</t>
        </is>
      </c>
      <c r="B81" s="131" t="inlineStr">
        <is>
          <t>Sales value in £</t>
        </is>
      </c>
    </row>
    <row r="82" ht="17" customHeight="1">
      <c r="A82" s="22" t="inlineStr">
        <is>
          <t>Cart-horses</t>
        </is>
      </c>
      <c r="B82">
        <f>Stock!R5</f>
        <v/>
      </c>
    </row>
    <row r="83" ht="17" customHeight="1">
      <c r="A83" s="22" t="inlineStr">
        <is>
          <t>Mares</t>
        </is>
      </c>
      <c r="B83">
        <f>Stock!R6</f>
        <v/>
      </c>
    </row>
    <row r="84">
      <c r="A84" s="15" t="inlineStr">
        <is>
          <t>Plough horses</t>
        </is>
      </c>
      <c r="B84">
        <f>Stock!R7</f>
        <v/>
      </c>
    </row>
    <row r="85">
      <c r="A85" s="15" t="inlineStr">
        <is>
          <t>Colts (2 years)</t>
        </is>
      </c>
      <c r="B85">
        <f>Stock!R8</f>
        <v/>
      </c>
    </row>
    <row r="86">
      <c r="A86" s="15" t="inlineStr">
        <is>
          <t>Colts (2 years)</t>
        </is>
      </c>
      <c r="B86">
        <f>Stock!R9</f>
        <v/>
      </c>
    </row>
    <row r="87">
      <c r="A87" s="15" t="inlineStr">
        <is>
          <t>Colts (1 year)</t>
        </is>
      </c>
      <c r="B87">
        <f>Stock!R10</f>
        <v/>
      </c>
    </row>
    <row r="88">
      <c r="A88" s="15" t="inlineStr">
        <is>
          <t>Foals</t>
        </is>
      </c>
      <c r="B88">
        <f>Stock!R11</f>
        <v/>
      </c>
    </row>
    <row r="89">
      <c r="A89" s="15" t="inlineStr">
        <is>
          <t>Oxen</t>
        </is>
      </c>
      <c r="B89">
        <f>Stock!R12</f>
        <v/>
      </c>
    </row>
    <row r="90">
      <c r="A90" s="15" t="inlineStr">
        <is>
          <t>Bulls</t>
        </is>
      </c>
      <c r="B90">
        <f>Stock!R13</f>
        <v/>
      </c>
    </row>
    <row r="91">
      <c r="A91" s="15" t="inlineStr">
        <is>
          <t>Cows</t>
        </is>
      </c>
      <c r="B91">
        <f>Stock!R14</f>
        <v/>
      </c>
    </row>
    <row r="92">
      <c r="A92" s="15" t="inlineStr">
        <is>
          <t>Steers</t>
        </is>
      </c>
      <c r="B92">
        <f>Stock!R15</f>
        <v/>
      </c>
    </row>
    <row r="93">
      <c r="A93" s="15" t="inlineStr">
        <is>
          <t>Bullocks</t>
        </is>
      </c>
      <c r="B93">
        <f>Stock!R16</f>
        <v/>
      </c>
    </row>
    <row r="94">
      <c r="A94" s="15" t="inlineStr">
        <is>
          <t>Yearlings</t>
        </is>
      </c>
      <c r="B94">
        <f>Stock!R17</f>
        <v/>
      </c>
    </row>
    <row r="95">
      <c r="A95" s="15" t="inlineStr">
        <is>
          <t>Calves</t>
        </is>
      </c>
      <c r="B95">
        <f>Stock!R18</f>
        <v/>
      </c>
    </row>
    <row r="96">
      <c r="A96" s="15" t="inlineStr">
        <is>
          <t>Wethers</t>
        </is>
      </c>
      <c r="B96">
        <f>Stock!R19</f>
        <v/>
      </c>
    </row>
    <row r="97">
      <c r="A97" s="15" t="inlineStr">
        <is>
          <t>Rams</t>
        </is>
      </c>
      <c r="B97">
        <f>Stock!R20</f>
        <v/>
      </c>
    </row>
    <row r="98">
      <c r="A98" s="15" t="inlineStr">
        <is>
          <t>Ewes</t>
        </is>
      </c>
      <c r="B98">
        <f>Stock!R21</f>
        <v/>
      </c>
    </row>
    <row r="99">
      <c r="A99" s="15" t="inlineStr">
        <is>
          <t>Hoggs</t>
        </is>
      </c>
      <c r="B99">
        <f>Stock!R22</f>
        <v/>
      </c>
    </row>
    <row r="100">
      <c r="A100" s="15" t="inlineStr">
        <is>
          <t>Lambs</t>
        </is>
      </c>
      <c r="B100">
        <f>Stock!R23</f>
        <v/>
      </c>
    </row>
    <row r="101">
      <c r="A101" s="15" t="inlineStr">
        <is>
          <t>Boars</t>
        </is>
      </c>
      <c r="B101">
        <f>Stock!R24</f>
        <v/>
      </c>
    </row>
    <row r="102">
      <c r="A102" s="15" t="inlineStr">
        <is>
          <t>Sows</t>
        </is>
      </c>
      <c r="B102">
        <f>Stock!R25</f>
        <v/>
      </c>
    </row>
    <row r="103">
      <c r="A103" s="15" t="inlineStr">
        <is>
          <t>Pigs</t>
        </is>
      </c>
      <c r="B103">
        <f>Stock!R26</f>
        <v/>
      </c>
    </row>
    <row r="104">
      <c r="A104" s="15" t="inlineStr">
        <is>
          <t>Hoggets</t>
        </is>
      </c>
      <c r="B104">
        <f>Stock!R27</f>
        <v/>
      </c>
    </row>
    <row r="105">
      <c r="A105" s="15" t="inlineStr">
        <is>
          <t>Piglets</t>
        </is>
      </c>
      <c r="B105">
        <f>Stock!R28</f>
        <v/>
      </c>
    </row>
    <row r="106">
      <c r="A106" s="15" t="inlineStr">
        <is>
          <t>Swans</t>
        </is>
      </c>
      <c r="B106">
        <f>Stock!R29</f>
        <v/>
      </c>
    </row>
    <row r="107">
      <c r="A107" s="15" t="inlineStr">
        <is>
          <t>Peacocks</t>
        </is>
      </c>
      <c r="B107">
        <f>Stock!R30</f>
        <v/>
      </c>
    </row>
    <row r="108">
      <c r="A108" s="17" t="inlineStr">
        <is>
          <t>Total value of stock (sum of the above)</t>
        </is>
      </c>
      <c r="B108" s="70" t="n"/>
    </row>
    <row r="109">
      <c r="A109" s="17" t="inlineStr">
        <is>
          <t>Total value of production</t>
        </is>
      </c>
      <c r="B109" s="70" t="n"/>
    </row>
    <row r="110">
      <c r="A110" s="17" t="inlineStr">
        <is>
          <t>Value of sales</t>
        </is>
      </c>
      <c r="B110" s="70">
        <f>Stock!R31</f>
        <v/>
      </c>
    </row>
    <row r="111">
      <c r="A111" s="15" t="n"/>
    </row>
    <row r="112">
      <c r="A112" s="16" t="inlineStr">
        <is>
          <t>Wool</t>
        </is>
      </c>
      <c r="B112" s="131" t="inlineStr">
        <is>
          <t>Value of production at sales prices £</t>
        </is>
      </c>
    </row>
    <row r="113" ht="15" customHeight="1">
      <c r="A113" t="inlineStr">
        <is>
          <t>Fleeces</t>
        </is>
      </c>
      <c r="B113">
        <f>Stock!T35</f>
        <v/>
      </c>
    </row>
    <row r="114" ht="15" customHeight="1">
      <c r="A114" s="28" t="inlineStr">
        <is>
          <t>from rams</t>
        </is>
      </c>
      <c r="B114">
        <f>Stock!T36</f>
        <v/>
      </c>
    </row>
    <row r="115" ht="15" customHeight="1">
      <c r="A115" s="28" t="inlineStr">
        <is>
          <t>from ewes</t>
        </is>
      </c>
      <c r="B115">
        <f>Stock!T37</f>
        <v/>
      </c>
    </row>
    <row r="116" ht="15" customHeight="1">
      <c r="A116" t="inlineStr">
        <is>
          <t>Coarse wool</t>
        </is>
      </c>
      <c r="B116">
        <f>Stock!T38</f>
        <v/>
      </c>
    </row>
    <row r="117" ht="15" customHeight="1">
      <c r="A117" t="inlineStr">
        <is>
          <t>Lamb's wool</t>
        </is>
      </c>
      <c r="B117">
        <f>Stock!T39</f>
        <v/>
      </c>
    </row>
    <row r="118" ht="15" customHeight="1">
      <c r="A118" t="inlineStr">
        <is>
          <t>Wool locks</t>
        </is>
      </c>
      <c r="B118">
        <f>Stock!T40</f>
        <v/>
      </c>
    </row>
    <row r="119" ht="15" customHeight="1">
      <c r="A119" t="inlineStr">
        <is>
          <t>Wool sold at shearing</t>
        </is>
      </c>
      <c r="B119">
        <f>Stock!T41</f>
        <v/>
      </c>
    </row>
    <row r="120">
      <c r="A120" s="119" t="inlineStr">
        <is>
          <t>Total value of production (sum of the above)</t>
        </is>
      </c>
      <c r="B120" s="70">
        <f>Stock!T42</f>
        <v/>
      </c>
    </row>
    <row r="121">
      <c r="A121" s="119" t="inlineStr">
        <is>
          <t>Value of sales</t>
        </is>
      </c>
      <c r="B121" s="70" t="n"/>
    </row>
    <row r="122">
      <c r="A122" s="8" t="n"/>
    </row>
    <row r="123">
      <c r="A123" s="16" t="inlineStr">
        <is>
          <t>Hides</t>
        </is>
      </c>
      <c r="B123" s="131" t="inlineStr">
        <is>
          <t>Value of production at sales prices £</t>
        </is>
      </c>
    </row>
    <row r="124">
      <c r="A124" s="15" t="inlineStr">
        <is>
          <t>Ox hides</t>
        </is>
      </c>
      <c r="B124">
        <f>Stock!T46</f>
        <v/>
      </c>
    </row>
    <row r="125">
      <c r="A125" s="15" t="inlineStr">
        <is>
          <t>Cow hides</t>
        </is>
      </c>
      <c r="B125">
        <f>Stock!T47</f>
        <v/>
      </c>
    </row>
    <row r="126">
      <c r="A126" s="15" t="inlineStr">
        <is>
          <t>Mare hides</t>
        </is>
      </c>
      <c r="B126">
        <f>Stock!T48</f>
        <v/>
      </c>
    </row>
    <row r="127">
      <c r="A127" s="15" t="inlineStr">
        <is>
          <t>Steer hides</t>
        </is>
      </c>
      <c r="B127">
        <f>Stock!T49</f>
        <v/>
      </c>
    </row>
    <row r="128">
      <c r="A128" s="15" t="inlineStr">
        <is>
          <t>Yearling Calf hides</t>
        </is>
      </c>
      <c r="B128">
        <f>Stock!T50</f>
        <v/>
      </c>
    </row>
    <row r="129">
      <c r="A129" s="15" t="inlineStr">
        <is>
          <t>Calf hides</t>
        </is>
      </c>
      <c r="B129">
        <f>Stock!T51</f>
        <v/>
      </c>
    </row>
    <row r="130">
      <c r="A130" s="23" t="inlineStr">
        <is>
          <t>Pig hides</t>
        </is>
      </c>
      <c r="B130">
        <f>Stock!T52</f>
        <v/>
      </c>
    </row>
    <row r="131">
      <c r="A131" s="24" t="inlineStr">
        <is>
          <t>Wether woolskins</t>
        </is>
      </c>
      <c r="B131">
        <f>Stock!T53</f>
        <v/>
      </c>
    </row>
    <row r="132">
      <c r="A132" s="24" t="inlineStr">
        <is>
          <t>Ram woolskins</t>
        </is>
      </c>
      <c r="B132">
        <f>Stock!T54</f>
        <v/>
      </c>
    </row>
    <row r="133">
      <c r="A133" s="24" t="inlineStr">
        <is>
          <t>Ewe woolskins</t>
        </is>
      </c>
      <c r="B133">
        <f>Stock!T55</f>
        <v/>
      </c>
    </row>
    <row r="134">
      <c r="A134" s="24" t="inlineStr">
        <is>
          <t>Hogg woolskins</t>
        </is>
      </c>
      <c r="B134">
        <f>Stock!T56</f>
        <v/>
      </c>
    </row>
    <row r="135">
      <c r="A135" s="25" t="inlineStr">
        <is>
          <t>Woolskins (total)</t>
        </is>
      </c>
      <c r="B135">
        <f>Stock!T57</f>
        <v/>
      </c>
    </row>
    <row r="136">
      <c r="A136" s="24" t="inlineStr">
        <is>
          <t>Wether bareskins</t>
        </is>
      </c>
      <c r="B136">
        <f>Stock!T58</f>
        <v/>
      </c>
    </row>
    <row r="137">
      <c r="A137" s="24" t="inlineStr">
        <is>
          <t>Ram bareskins</t>
        </is>
      </c>
      <c r="B137">
        <f>Stock!T59</f>
        <v/>
      </c>
    </row>
    <row r="138">
      <c r="A138" s="24" t="inlineStr">
        <is>
          <t>Ewe bareskins</t>
        </is>
      </c>
      <c r="B138">
        <f>Stock!T60</f>
        <v/>
      </c>
    </row>
    <row r="139">
      <c r="A139" s="24" t="inlineStr">
        <is>
          <t>Hogg bareskins</t>
        </is>
      </c>
      <c r="B139">
        <f>Stock!T61</f>
        <v/>
      </c>
    </row>
    <row r="140">
      <c r="A140" s="25" t="inlineStr">
        <is>
          <t>Bareskins (total)</t>
        </is>
      </c>
      <c r="B140">
        <f>Stock!T62</f>
        <v/>
      </c>
    </row>
    <row r="141">
      <c r="A141" s="15" t="inlineStr">
        <is>
          <t>Lambskins</t>
        </is>
      </c>
      <c r="B141">
        <f>Stock!T63</f>
        <v/>
      </c>
    </row>
    <row r="142">
      <c r="A142" s="15" t="inlineStr">
        <is>
          <t>Rotted skins</t>
        </is>
      </c>
      <c r="B142">
        <f>Stock!T64</f>
        <v/>
      </c>
    </row>
    <row r="143">
      <c r="A143" s="15" t="inlineStr">
        <is>
          <t>Shorn skins</t>
        </is>
      </c>
      <c r="B143">
        <f>Stock!T65</f>
        <v/>
      </c>
    </row>
    <row r="144">
      <c r="A144" s="17" t="inlineStr">
        <is>
          <t>Total value of production (sum of the above)</t>
        </is>
      </c>
      <c r="B144" s="130">
        <f>Stock!T66</f>
        <v/>
      </c>
    </row>
    <row r="145">
      <c r="A145" s="17" t="inlineStr">
        <is>
          <t>Value of sales</t>
        </is>
      </c>
      <c r="B145" s="70">
        <f>Stock!R66</f>
        <v/>
      </c>
    </row>
    <row r="146">
      <c r="A146" s="15" t="n"/>
    </row>
    <row r="147">
      <c r="A147" s="16" t="inlineStr">
        <is>
          <t>Poultry stock</t>
        </is>
      </c>
      <c r="B147" s="131" t="inlineStr">
        <is>
          <t>Value of production at sales prices £</t>
        </is>
      </c>
    </row>
    <row r="148" ht="17" customHeight="1">
      <c r="A148" s="22" t="inlineStr">
        <is>
          <t>Hens</t>
        </is>
      </c>
      <c r="B148">
        <f>Stock!T70</f>
        <v/>
      </c>
    </row>
    <row r="149">
      <c r="A149" s="15" t="inlineStr">
        <is>
          <t>Geese</t>
        </is>
      </c>
      <c r="B149">
        <f>Stock!T71</f>
        <v/>
      </c>
    </row>
    <row r="150">
      <c r="A150" s="15" t="inlineStr">
        <is>
          <t>Capons (from chickens)</t>
        </is>
      </c>
      <c r="B150">
        <f>Stock!T72</f>
        <v/>
      </c>
    </row>
    <row r="151">
      <c r="A151" s="15" t="inlineStr">
        <is>
          <t>Cocks &amp; hens</t>
        </is>
      </c>
      <c r="B151">
        <f>Stock!T73</f>
        <v/>
      </c>
    </row>
    <row r="152">
      <c r="A152" s="119" t="inlineStr">
        <is>
          <t>Total value of production (sum of the above)</t>
        </is>
      </c>
      <c r="B152">
        <f>Stock!T74</f>
        <v/>
      </c>
    </row>
    <row r="153">
      <c r="A153" s="119" t="inlineStr">
        <is>
          <t>Value of sales</t>
        </is>
      </c>
      <c r="B153">
        <f>Stock!T75</f>
        <v/>
      </c>
    </row>
    <row r="154">
      <c r="A154" s="15" t="n"/>
    </row>
    <row r="155">
      <c r="A155" s="16" t="inlineStr">
        <is>
          <t>Poultry production</t>
        </is>
      </c>
    </row>
    <row r="156">
      <c r="A156" s="15" t="inlineStr">
        <is>
          <t>Eggs</t>
        </is>
      </c>
      <c r="B156">
        <f>Stock!T78</f>
        <v/>
      </c>
    </row>
    <row r="157">
      <c r="A157" s="15" t="inlineStr">
        <is>
          <t>Cocks &amp; hens from churchscot of customary tenants</t>
        </is>
      </c>
      <c r="B157">
        <f>Stock!T79</f>
        <v/>
      </c>
    </row>
    <row r="158">
      <c r="A158" s="15" t="inlineStr">
        <is>
          <t>Sum of above</t>
        </is>
      </c>
      <c r="B158">
        <f>Stock!T80</f>
        <v/>
      </c>
    </row>
    <row r="159">
      <c r="A159" s="17" t="inlineStr">
        <is>
          <t>Total value of stock</t>
        </is>
      </c>
      <c r="B159" s="70">
        <f>SUM(B156:B157)</f>
        <v/>
      </c>
    </row>
    <row r="160">
      <c r="A160" s="17" t="inlineStr">
        <is>
          <t>Value of sales</t>
        </is>
      </c>
      <c r="B160" s="130">
        <f>Stock!R81</f>
        <v/>
      </c>
    </row>
    <row r="161">
      <c r="A161" s="15" t="n"/>
    </row>
    <row r="162">
      <c r="A162" s="16" t="inlineStr">
        <is>
          <t>Dairy Production</t>
        </is>
      </c>
      <c r="B162" s="131" t="inlineStr">
        <is>
          <t>Value of production at sales prices £</t>
        </is>
      </c>
    </row>
    <row r="163">
      <c r="A163" s="15" t="inlineStr">
        <is>
          <t>Butter</t>
        </is>
      </c>
    </row>
    <row r="164">
      <c r="A164" s="15" t="inlineStr">
        <is>
          <t>Winter Cheese</t>
        </is>
      </c>
    </row>
    <row r="165">
      <c r="A165" s="15" t="inlineStr">
        <is>
          <t>Summer Cheese</t>
        </is>
      </c>
    </row>
    <row r="166">
      <c r="A166" s="17" t="inlineStr">
        <is>
          <t>Total value of production (sum of the above)</t>
        </is>
      </c>
    </row>
    <row r="167">
      <c r="A167" s="17" t="inlineStr">
        <is>
          <t>Value of sales</t>
        </is>
      </c>
    </row>
    <row r="168">
      <c r="A168" s="15" t="n"/>
    </row>
    <row r="169">
      <c r="A169" s="15" t="n"/>
    </row>
    <row r="170" ht="17" customHeight="1"/>
    <row r="171" ht="17" customHeight="1">
      <c r="A171" s="103" t="n"/>
      <c r="B171" s="132" t="n"/>
    </row>
    <row r="172">
      <c r="A172" s="97" t="inlineStr">
        <is>
          <t>Total Production Value of all Output (Grange, Dairy, Livestock Sales, Wools, Skins - NO Mill)</t>
        </is>
      </c>
      <c r="B172" s="133">
        <f>B159+B152+B144+B120+B110+E67</f>
        <v/>
      </c>
    </row>
    <row r="173">
      <c r="A173" s="98" t="inlineStr">
        <is>
          <t>Total Sales Value of all Output as defined above</t>
        </is>
      </c>
      <c r="B173" s="133">
        <f>B167+B160+B145+B121+B110+E68</f>
        <v/>
      </c>
    </row>
    <row r="174">
      <c r="A174" s="98" t="inlineStr">
        <is>
          <t>Total Sales of Corn + Issues of the Manor as recorded in account</t>
        </is>
      </c>
      <c r="B174" s="133">
        <f>Receipts!F84+Receipts!F71</f>
        <v/>
      </c>
    </row>
    <row r="175">
      <c r="A175" s="98" t="inlineStr">
        <is>
          <t>Production Value + Cash Receipts (excl. Arrears, Issues, Corn and Mill)</t>
        </is>
      </c>
      <c r="B175" s="133">
        <f>B172+Receipts!F20-Receipts!F28-Receipts!F38+Receipts!F44+Receipts!F77+Receipts!F101+Receipts!F142</f>
        <v/>
      </c>
    </row>
    <row r="176">
      <c r="A176" s="99" t="n"/>
      <c r="B176" s="134" t="n"/>
    </row>
    <row r="177">
      <c r="A177" s="100" t="inlineStr">
        <is>
          <t>% of capital expenses in terms of total production</t>
        </is>
      </c>
      <c r="B177" s="135">
        <f>B47/B172</f>
        <v/>
      </c>
    </row>
    <row r="178">
      <c r="A178" s="98" t="inlineStr">
        <is>
          <t>% of capital expenses in terms of total production + cash receipts</t>
        </is>
      </c>
      <c r="B178" s="135">
        <f>B47/B175</f>
        <v/>
      </c>
    </row>
    <row r="179">
      <c r="A179" s="99" t="n"/>
      <c r="B179" s="134" t="n"/>
    </row>
    <row r="180" ht="17" customHeight="1">
      <c r="A180" s="101" t="inlineStr">
        <is>
          <t>% of capital expenses as calculated previously</t>
        </is>
      </c>
      <c r="B180" s="136" t="n"/>
    </row>
  </sheetData>
  <mergeCells count="1">
    <mergeCell ref="B60:C6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7"/>
  <sheetViews>
    <sheetView topLeftCell="A1" workbookViewId="0">
      <selection activeCell="A1" sqref="A1"/>
    </sheetView>
  </sheetViews>
  <sheetFormatPr baseColWidth="8" defaultRowHeight="15"/>
  <cols>
    <col width="32.83203125" customWidth="1" min="1" max="1"/>
    <col width="8.83203125" customWidth="1" min="6" max="6"/>
    <col width="8.83203125" customWidth="1" min="7" max="7"/>
  </cols>
  <sheetData>
    <row r="1" ht="16" customHeight="1">
      <c r="A1" s="2" t="inlineStr">
        <is>
          <t>BURGHCLERE RECEIPTS</t>
        </is>
      </c>
    </row>
    <row r="2" ht="16" customHeight="1">
      <c r="A2" s="11" t="inlineStr">
        <is>
          <t>Heading</t>
        </is>
      </c>
      <c r="B2" s="3" t="inlineStr">
        <is>
          <t>£</t>
        </is>
      </c>
      <c r="C2" s="4" t="inlineStr">
        <is>
          <t xml:space="preserve">s </t>
        </is>
      </c>
      <c r="D2" s="4" t="inlineStr">
        <is>
          <t>d</t>
        </is>
      </c>
      <c r="E2" s="4" t="n"/>
      <c r="F2" s="137" t="inlineStr">
        <is>
          <t>Total in £</t>
        </is>
      </c>
      <c r="G2" s="138" t="inlineStr">
        <is>
          <t>Error</t>
        </is>
      </c>
      <c r="H2" s="7" t="inlineStr">
        <is>
          <t>Notes</t>
        </is>
      </c>
    </row>
    <row r="3">
      <c r="A3" t="inlineStr">
        <is>
          <t>Arrears</t>
        </is>
      </c>
      <c r="B3" t="n">
        <v>37</v>
      </c>
      <c r="C3" t="n">
        <v>19</v>
      </c>
      <c r="D3" t="n">
        <v>10.5</v>
      </c>
      <c r="F3" s="72" t="n">
        <v>37.99</v>
      </c>
      <c r="H3" t="inlineStr">
        <is>
          <t>Henry la Wayte, bailiff, and John le Sone, reeve, render account for £37 19 shilling 10.5pence of arrears from the previous year.</t>
        </is>
      </c>
    </row>
    <row r="4">
      <c r="A4" t="inlineStr">
        <is>
          <t>Arrears</t>
        </is>
      </c>
      <c r="B4" t="n">
        <v>0</v>
      </c>
      <c r="C4" t="n">
        <v>0</v>
      </c>
      <c r="D4" t="n">
        <v>0</v>
      </c>
      <c r="F4" s="72" t="n">
        <v>0</v>
      </c>
      <c r="H4" t="inlineStr">
        <is>
          <t>All delivered to Sir Geoffrey, treasurer of Wolvesey, by 1 tally.</t>
        </is>
      </c>
    </row>
    <row r="5">
      <c r="A5" t="inlineStr">
        <is>
          <t>Arrears</t>
        </is>
      </c>
      <c r="B5" t="n">
        <v>0</v>
      </c>
      <c r="C5" t="n">
        <v>0</v>
      </c>
      <c r="D5" t="n">
        <v>0</v>
      </c>
      <c r="F5" s="72" t="n">
        <v>0</v>
      </c>
      <c r="H5" t="inlineStr">
        <is>
          <t>They are quit.</t>
        </is>
      </c>
    </row>
    <row r="6">
      <c r="A6" t="inlineStr">
        <is>
          <t>Arrears</t>
        </is>
      </c>
      <c r="F6" s="72" t="n">
        <v>37.99</v>
      </c>
      <c r="G6" s="139">
        <f>F6-F3</f>
        <v/>
      </c>
      <c r="H6" t="inlineStr">
        <is>
          <t>Total</t>
        </is>
      </c>
    </row>
    <row r="7"/>
    <row r="8">
      <c r="A8" t="inlineStr">
        <is>
          <t>Rents</t>
        </is>
      </c>
      <c r="B8" t="n">
        <v>2</v>
      </c>
      <c r="C8" t="n">
        <v>7</v>
      </c>
      <c r="D8" t="n">
        <v>0</v>
      </c>
      <c r="F8" s="72" t="n">
        <v>2.35</v>
      </c>
      <c r="H8" t="inlineStr">
        <is>
          <t>The same render account for £2 7 shilling for all rents of assize at Christmas.</t>
        </is>
      </c>
    </row>
    <row r="9">
      <c r="A9" t="inlineStr">
        <is>
          <t>Rents</t>
        </is>
      </c>
      <c r="B9" t="n">
        <v>2</v>
      </c>
      <c r="C9" t="n">
        <v>7</v>
      </c>
      <c r="D9" t="n">
        <v>0</v>
      </c>
      <c r="F9" s="72" t="n">
        <v>2.35</v>
      </c>
      <c r="H9" t="inlineStr">
        <is>
          <t>£2 7 shilling at Easter (22 April).</t>
        </is>
      </c>
    </row>
    <row r="10">
      <c r="A10" t="inlineStr">
        <is>
          <t>Rents</t>
        </is>
      </c>
      <c r="B10" t="n">
        <v>2</v>
      </c>
      <c r="C10" t="n">
        <v>7</v>
      </c>
      <c r="D10" t="n">
        <v>0</v>
      </c>
      <c r="F10" s="72" t="n">
        <v>2.35</v>
      </c>
      <c r="H10" t="inlineStr">
        <is>
          <t>£2 7 shilling at the Nativity of St John the Baptist (24 June).</t>
        </is>
      </c>
    </row>
    <row r="11">
      <c r="A11" t="inlineStr">
        <is>
          <t>Rents</t>
        </is>
      </c>
      <c r="B11" t="n">
        <v>16</v>
      </c>
      <c r="C11" t="n">
        <v>4</v>
      </c>
      <c r="D11" t="n">
        <v>6</v>
      </c>
      <c r="F11" s="72" t="n">
        <v>16.22</v>
      </c>
      <c r="H11" t="inlineStr">
        <is>
          <t>£16 4 shilling 6pence at Michaelmas (29 September).</t>
        </is>
      </c>
    </row>
    <row r="12">
      <c r="A12" t="inlineStr">
        <is>
          <t>Rents</t>
        </is>
      </c>
      <c r="B12" t="n">
        <v>23</v>
      </c>
      <c r="C12" t="n">
        <v>5</v>
      </c>
      <c r="D12" t="n">
        <v>6</v>
      </c>
      <c r="F12" s="72" t="n">
        <v>23.27</v>
      </c>
      <c r="H12" t="inlineStr">
        <is>
          <t>Total, £23 5 shilling 6pence</t>
        </is>
      </c>
    </row>
    <row r="13">
      <c r="A13" t="inlineStr">
        <is>
          <t>Rents</t>
        </is>
      </c>
      <c r="F13" s="72">
        <f>SUM(F8:F11)</f>
        <v/>
      </c>
      <c r="G13" s="139" t="n">
        <v>0</v>
      </c>
      <c r="H13" t="inlineStr">
        <is>
          <t>Total</t>
        </is>
      </c>
    </row>
    <row r="14"/>
    <row r="15">
      <c r="A15" t="inlineStr">
        <is>
          <t>Increment</t>
        </is>
      </c>
      <c r="B15" t="n">
        <v>0</v>
      </c>
      <c r="C15" t="n">
        <v>0</v>
      </c>
      <c r="D15" t="n">
        <v>1</v>
      </c>
      <c r="F15" s="72" t="n">
        <v>0</v>
      </c>
      <c r="H15" t="inlineStr">
        <is>
          <t>The same render account for 1pence from John Scissor' for increment of rent to have entry to 1 plot, 36 feet long and 24 feet wide, beside the forge of la Wydegate.</t>
        </is>
      </c>
    </row>
    <row r="16">
      <c r="A16" t="inlineStr">
        <is>
          <t>Increment</t>
        </is>
      </c>
      <c r="B16" t="n">
        <v>0</v>
      </c>
      <c r="C16" t="n">
        <v>0</v>
      </c>
      <c r="D16" t="n">
        <v>1</v>
      </c>
      <c r="F16" s="72" t="n">
        <v>0</v>
      </c>
      <c r="H16" t="inlineStr">
        <is>
          <t>Total, 1pence</t>
        </is>
      </c>
    </row>
    <row r="17">
      <c r="A17" t="inlineStr">
        <is>
          <t>Increment</t>
        </is>
      </c>
      <c r="F17" s="72" t="n">
        <v>0</v>
      </c>
      <c r="G17" s="139" t="n">
        <v>0</v>
      </c>
      <c r="H17" t="inlineStr">
        <is>
          <t>Total</t>
        </is>
      </c>
    </row>
    <row r="18"/>
    <row r="19">
      <c r="A19" t="inlineStr">
        <is>
          <t>Total of rents with increment</t>
        </is>
      </c>
      <c r="B19" t="n">
        <v>23</v>
      </c>
      <c r="C19" t="n">
        <v>15</v>
      </c>
      <c r="D19" t="n">
        <v>7</v>
      </c>
      <c r="F19" s="72" t="n">
        <v>23.78</v>
      </c>
      <c r="H19" t="inlineStr">
        <is>
          <t>Total of rents with increment, £23 15 shilling 7pence1</t>
        </is>
      </c>
    </row>
    <row r="20">
      <c r="A20" t="inlineStr">
        <is>
          <t>Total of rents with increment</t>
        </is>
      </c>
      <c r="F20" s="72" t="n">
        <v>23.78</v>
      </c>
      <c r="G20" s="139">
        <f>F20-F19</f>
        <v/>
      </c>
      <c r="H20" t="inlineStr">
        <is>
          <t>Total</t>
        </is>
      </c>
    </row>
    <row r="21"/>
    <row r="22">
      <c r="A22" t="inlineStr">
        <is>
          <t>Quittances</t>
        </is>
      </c>
      <c r="B22" t="n">
        <v>0</v>
      </c>
      <c r="C22" t="n">
        <v>4</v>
      </c>
      <c r="D22" t="n">
        <v>8</v>
      </c>
      <c r="F22" s="72" t="n">
        <v>0.23</v>
      </c>
      <c r="H22" t="inlineStr">
        <is>
          <t>In quittance of 1 reeve for the year 4 shilling 8pence.</t>
        </is>
      </c>
    </row>
    <row r="23">
      <c r="A23" t="inlineStr">
        <is>
          <t>Quittances</t>
        </is>
      </c>
      <c r="B23" t="n">
        <v>0</v>
      </c>
      <c r="C23" t="n">
        <v>3</v>
      </c>
      <c r="D23" t="n">
        <v>0</v>
      </c>
      <c r="F23" s="72" t="n">
        <v>0.15</v>
      </c>
      <c r="H23" t="inlineStr">
        <is>
          <t>1 hayward for the year 3 shilling.</t>
        </is>
      </c>
    </row>
    <row r="24">
      <c r="A24" t="inlineStr">
        <is>
          <t>Quittances</t>
        </is>
      </c>
      <c r="B24" t="n">
        <v>1</v>
      </c>
      <c r="C24" t="n">
        <v>1</v>
      </c>
      <c r="D24" t="n">
        <v>0</v>
      </c>
      <c r="F24" s="72" t="n">
        <v>1.05</v>
      </c>
      <c r="H24" t="inlineStr">
        <is>
          <t>7 ploughmen for the year £1 1 shilling.</t>
        </is>
      </c>
    </row>
    <row r="25">
      <c r="A25" t="inlineStr">
        <is>
          <t>Quittances</t>
        </is>
      </c>
      <c r="B25" t="n">
        <v>0</v>
      </c>
      <c r="C25" t="n">
        <v>1</v>
      </c>
      <c r="D25" t="n">
        <v>0</v>
      </c>
      <c r="F25" s="72" t="n">
        <v>0.05</v>
      </c>
      <c r="H25" t="inlineStr">
        <is>
          <t>2 ploughmen for 1 term 1 shilling.</t>
        </is>
      </c>
    </row>
    <row r="26">
      <c r="A26" t="inlineStr">
        <is>
          <t>Quittances</t>
        </is>
      </c>
      <c r="B26" t="n">
        <v>0</v>
      </c>
      <c r="C26" t="n">
        <v>1</v>
      </c>
      <c r="D26" t="n">
        <v>3</v>
      </c>
      <c r="F26" s="72">
        <f>B26+C26/20+D26/240</f>
        <v/>
      </c>
      <c r="H26" t="inlineStr">
        <is>
          <t xml:space="preserve">1 shepherd for 2.5 terms 1 shilling 3pence </t>
        </is>
      </c>
    </row>
    <row r="27">
      <c r="A27" t="inlineStr">
        <is>
          <t>Quittances</t>
        </is>
      </c>
      <c r="B27" t="n">
        <v>1</v>
      </c>
      <c r="C27" t="n">
        <v>10</v>
      </c>
      <c r="D27" t="n">
        <v>11</v>
      </c>
      <c r="F27" s="72" t="n">
        <v>1.55</v>
      </c>
      <c r="H27" t="inlineStr">
        <is>
          <t>Total, £1 10 shilling 11pence</t>
        </is>
      </c>
    </row>
    <row r="28">
      <c r="A28" t="inlineStr">
        <is>
          <t>Quittances</t>
        </is>
      </c>
      <c r="F28" s="72">
        <f>SUM(F22:F26)</f>
        <v/>
      </c>
      <c r="G28" s="139">
        <f>F28-F27</f>
        <v/>
      </c>
      <c r="H28" t="inlineStr">
        <is>
          <t>Total</t>
        </is>
      </c>
    </row>
    <row r="29"/>
    <row r="30">
      <c r="A30" t="inlineStr">
        <is>
          <t>Defaults of rent</t>
        </is>
      </c>
      <c r="B30" t="n">
        <v>1</v>
      </c>
      <c r="C30" t="n">
        <v>17</v>
      </c>
      <c r="D30" t="n">
        <v>0</v>
      </c>
      <c r="F30" s="72" t="n">
        <v>1.85</v>
      </c>
      <c r="H30" t="inlineStr">
        <is>
          <t>In default of 335 acres of land drawn into demesne, £1 17 shilling for the year.</t>
        </is>
      </c>
    </row>
    <row r="31">
      <c r="A31" t="inlineStr">
        <is>
          <t>Defaults of rent</t>
        </is>
      </c>
      <c r="B31" t="n">
        <v>0</v>
      </c>
      <c r="C31" t="n">
        <v>3</v>
      </c>
      <c r="D31" t="n">
        <v>0</v>
      </c>
      <c r="F31" s="72" t="n">
        <v>0.15</v>
      </c>
      <c r="H31" t="inlineStr">
        <is>
          <t>the land of Alwyn' drawn into demesne, 3 shilling for the year.</t>
        </is>
      </c>
    </row>
    <row r="32">
      <c r="A32" t="inlineStr">
        <is>
          <t>Defaults of rent</t>
        </is>
      </c>
      <c r="B32" t="n">
        <v>0</v>
      </c>
      <c r="C32" t="n">
        <v>1</v>
      </c>
      <c r="D32" t="n">
        <v>8</v>
      </c>
      <c r="F32" s="72" t="n">
        <v>0.08</v>
      </c>
      <c r="H32" t="inlineStr">
        <is>
          <t>10 acres of land of Roger Mainpetyt drawn into demesne, 1 shilling 8pence for the year.</t>
        </is>
      </c>
    </row>
    <row r="33">
      <c r="A33" t="inlineStr">
        <is>
          <t>Defaults of rent</t>
        </is>
      </c>
      <c r="B33" t="n">
        <v>0</v>
      </c>
      <c r="C33" t="n">
        <v>2</v>
      </c>
      <c r="D33" t="n">
        <v>6</v>
      </c>
      <c r="F33" s="72" t="n">
        <v>0.12</v>
      </c>
      <c r="H33" t="inlineStr">
        <is>
          <t>10 acres of land of Osmund' drawn into demesne, 2 shilling 6pence for the year.</t>
        </is>
      </c>
    </row>
    <row r="34">
      <c r="A34" t="inlineStr">
        <is>
          <t>Defaults of rent</t>
        </is>
      </c>
      <c r="B34" t="n">
        <v>0</v>
      </c>
      <c r="C34" t="n">
        <v>1</v>
      </c>
      <c r="D34" t="n">
        <v>8</v>
      </c>
      <c r="F34" s="72" t="n">
        <v>0.08</v>
      </c>
      <c r="H34" t="inlineStr">
        <is>
          <t>10 acres of land of Simon Clericus drawn into demesne, 1 shilling 8pence for the year.</t>
        </is>
      </c>
    </row>
    <row r="35">
      <c r="A35" t="inlineStr">
        <is>
          <t>Defaults of rent</t>
        </is>
      </c>
      <c r="B35" t="n">
        <v>0</v>
      </c>
      <c r="C35" t="n">
        <v>1</v>
      </c>
      <c r="D35" t="n">
        <v>0</v>
      </c>
      <c r="F35" s="72" t="n">
        <v>0.05</v>
      </c>
      <c r="H35" t="inlineStr">
        <is>
          <t>the land of Alwyn drawn into demesne, 1 shilling for the year.</t>
        </is>
      </c>
    </row>
    <row r="36">
      <c r="A36" t="inlineStr">
        <is>
          <t>Defaults of rent</t>
        </is>
      </c>
      <c r="B36" t="n">
        <v>0</v>
      </c>
      <c r="C36" t="n">
        <v>1</v>
      </c>
      <c r="D36" t="n">
        <v>0</v>
      </c>
      <c r="F36" s="72" t="n">
        <v>0.05</v>
      </c>
      <c r="H36" t="inlineStr">
        <is>
          <t>the land of Osmund Dustr' drawn into demesne, 1 shilling for the year.</t>
        </is>
      </c>
    </row>
    <row r="37">
      <c r="A37" t="inlineStr">
        <is>
          <t>Defaults of rent</t>
        </is>
      </c>
      <c r="B37" t="n">
        <v>2</v>
      </c>
      <c r="C37" t="n">
        <v>7</v>
      </c>
      <c r="D37" t="n">
        <v>10</v>
      </c>
      <c r="F37" s="72" t="n">
        <v>2.39</v>
      </c>
      <c r="H37" t="inlineStr">
        <is>
          <t>Total, £2 7 shilling 10pence</t>
        </is>
      </c>
    </row>
    <row r="38">
      <c r="A38" t="inlineStr">
        <is>
          <t>Defaults of rent</t>
        </is>
      </c>
      <c r="F38" s="72">
        <f>SUM(F30:F36)</f>
        <v/>
      </c>
      <c r="G38" s="139">
        <f>F38-F37</f>
        <v/>
      </c>
      <c r="H38" t="inlineStr">
        <is>
          <t>Total</t>
        </is>
      </c>
    </row>
    <row r="39"/>
    <row r="40">
      <c r="A40" t="inlineStr">
        <is>
          <t>Total of quittances and defaults of rent</t>
        </is>
      </c>
      <c r="B40" t="n">
        <v>3</v>
      </c>
      <c r="C40" t="n">
        <v>18</v>
      </c>
      <c r="D40" t="n">
        <v>9</v>
      </c>
      <c r="F40" s="72" t="n">
        <v>3.94</v>
      </c>
      <c r="H40" t="inlineStr">
        <is>
          <t>Total of quittances and defaults of rent, £3 18 shilling 9pence</t>
        </is>
      </c>
    </row>
    <row r="41"/>
    <row r="42">
      <c r="A42" t="inlineStr">
        <is>
          <t>Release from labour service</t>
        </is>
      </c>
      <c r="B42" t="n">
        <v>0</v>
      </c>
      <c r="C42" t="n">
        <v>7</v>
      </c>
      <c r="D42" t="n">
        <v>0</v>
      </c>
      <c r="F42" s="72" t="n">
        <v>0.35</v>
      </c>
      <c r="H42" t="inlineStr">
        <is>
          <t>The same render account for 7 shilling from Richard le Eyr for release from his labour service for 1 virgate of land for the year.</t>
        </is>
      </c>
    </row>
    <row r="43">
      <c r="A43" t="inlineStr">
        <is>
          <t>Release from labour service</t>
        </is>
      </c>
      <c r="B43" t="n">
        <v>0</v>
      </c>
      <c r="C43" t="n">
        <v>7</v>
      </c>
      <c r="D43" t="n">
        <v>0</v>
      </c>
      <c r="F43" s="72" t="n">
        <v>0.35</v>
      </c>
      <c r="H43" t="inlineStr">
        <is>
          <t>Total, 7 shilling</t>
        </is>
      </c>
    </row>
    <row r="44">
      <c r="A44" t="inlineStr">
        <is>
          <t>Release from labour service</t>
        </is>
      </c>
      <c r="F44" s="72" t="n">
        <v>0.35</v>
      </c>
      <c r="G44" s="139" t="n">
        <v>0</v>
      </c>
      <c r="H44" t="inlineStr">
        <is>
          <t>Total</t>
        </is>
      </c>
    </row>
    <row r="45"/>
    <row r="46">
      <c r="A46" t="inlineStr">
        <is>
          <t>Issues of the manor</t>
        </is>
      </c>
      <c r="B46" t="n">
        <v>1</v>
      </c>
      <c r="C46" t="n">
        <v>1</v>
      </c>
      <c r="D46" t="n">
        <v>9.5</v>
      </c>
      <c r="F46" s="72" t="n">
        <v>1.09</v>
      </c>
      <c r="H46" t="inlineStr">
        <is>
          <t>The same render account for £1 1 shilling 9.5pence from pannage of pigs within, that is, from 253 pigs and 13 piglets, at 1pence a pig and .5pence a piglet.</t>
        </is>
      </c>
    </row>
    <row r="47">
      <c r="A47" t="inlineStr">
        <is>
          <t>Issues of the manor</t>
        </is>
      </c>
      <c r="B47" t="n">
        <v>0</v>
      </c>
      <c r="C47" t="n">
        <v>0</v>
      </c>
      <c r="D47" t="n">
        <v>0</v>
      </c>
      <c r="F47" s="72" t="n">
        <v>0</v>
      </c>
      <c r="H47" t="inlineStr">
        <is>
          <t>nothing from foreign pannage this year for a want of mast.</t>
        </is>
      </c>
    </row>
    <row r="48">
      <c r="A48" t="inlineStr">
        <is>
          <t>Issues of the manor</t>
        </is>
      </c>
      <c r="B48" t="n">
        <v>1</v>
      </c>
      <c r="C48" t="n">
        <v>0</v>
      </c>
      <c r="D48" t="n">
        <v>0</v>
      </c>
      <c r="F48" s="72" t="n">
        <v>1</v>
      </c>
      <c r="H48" t="inlineStr">
        <is>
          <t>£1 from the pasturage of Oldehull' at Michaelmas.</t>
        </is>
      </c>
    </row>
    <row r="49">
      <c r="A49" t="inlineStr">
        <is>
          <t>Issues of the manor</t>
        </is>
      </c>
      <c r="B49" t="n">
        <v>0</v>
      </c>
      <c r="C49" t="n">
        <v>5</v>
      </c>
      <c r="D49" t="n">
        <v>0</v>
      </c>
      <c r="F49" s="72" t="n">
        <v>0.25</v>
      </c>
      <c r="H49" t="inlineStr">
        <is>
          <t>5 shilling1 from the men of Earlstone according to custom at the Nativity of St John the Baptist for herbage.</t>
        </is>
      </c>
    </row>
    <row r="50">
      <c r="A50" t="inlineStr">
        <is>
          <t>Issues of the manor</t>
        </is>
      </c>
      <c r="B50" t="n">
        <v>0</v>
      </c>
      <c r="C50" t="n">
        <v>5</v>
      </c>
      <c r="D50" t="n">
        <v>0</v>
      </c>
      <c r="F50" s="72" t="n">
        <v>0.25</v>
      </c>
      <c r="H50" t="inlineStr">
        <is>
          <t>5 shilling for the farm of the quarry at Michaelmas.</t>
        </is>
      </c>
    </row>
    <row r="51">
      <c r="A51" t="inlineStr">
        <is>
          <t>Issues of the manor</t>
        </is>
      </c>
      <c r="B51" t="n">
        <v>0</v>
      </c>
      <c r="C51" t="n">
        <v>3</v>
      </c>
      <c r="D51" t="n">
        <v>0</v>
      </c>
      <c r="F51" s="72" t="n">
        <v>0.15</v>
      </c>
      <c r="H51" t="inlineStr">
        <is>
          <t>3 shilling from the men of Addebury for not making charcoal at Christmas.</t>
        </is>
      </c>
    </row>
    <row r="52">
      <c r="A52" t="inlineStr">
        <is>
          <t>Issues of the manor</t>
        </is>
      </c>
      <c r="B52" t="n">
        <v>0</v>
      </c>
      <c r="C52" t="n">
        <v>3</v>
      </c>
      <c r="D52" t="n">
        <v>0</v>
      </c>
      <c r="F52" s="72" t="n">
        <v>0.15</v>
      </c>
      <c r="H52" t="inlineStr">
        <is>
          <t>3 shilling from the free men of Earlstone for release from ploughing at Michaelmas because the villeins plough for the winter sowing and fallow.</t>
        </is>
      </c>
    </row>
    <row r="53">
      <c r="A53" t="inlineStr">
        <is>
          <t>Issues of the manor</t>
        </is>
      </c>
      <c r="B53" t="n">
        <v>0</v>
      </c>
      <c r="C53" t="n">
        <v>2</v>
      </c>
      <c r="D53" t="n">
        <v>0</v>
      </c>
      <c r="F53" s="72" t="n">
        <v>0.1</v>
      </c>
      <c r="H53" t="inlineStr">
        <is>
          <t>2 shilling from honey according to custom at Michaelmas for land which Thomas Gerard holds.</t>
        </is>
      </c>
    </row>
    <row r="54">
      <c r="A54" t="inlineStr">
        <is>
          <t>Issues of the manor</t>
        </is>
      </c>
      <c r="B54" t="n">
        <v>0</v>
      </c>
      <c r="C54" t="n">
        <v>7</v>
      </c>
      <c r="D54" t="n">
        <v>0</v>
      </c>
      <c r="F54" s="72" t="n">
        <v>0.35</v>
      </c>
      <c r="H54" t="inlineStr">
        <is>
          <t>7 shilling from the pasturage of la Garston sold at Mic¬haelmas.</t>
        </is>
      </c>
    </row>
    <row r="55">
      <c r="A55" t="inlineStr">
        <is>
          <t>Issues of the manor</t>
        </is>
      </c>
      <c r="B55" t="n">
        <v>0</v>
      </c>
      <c r="C55" t="n">
        <v>0</v>
      </c>
      <c r="D55" t="n">
        <v>0</v>
      </c>
      <c r="F55" s="72" t="n">
        <v>0</v>
      </c>
      <c r="H55" t="inlineStr">
        <is>
          <t>nothing from winter pasturage on account of the lord's stock.</t>
        </is>
      </c>
    </row>
    <row r="56">
      <c r="A56" t="inlineStr">
        <is>
          <t>Issues of the manor</t>
        </is>
      </c>
      <c r="B56" t="n">
        <v>0</v>
      </c>
      <c r="C56" t="n">
        <v>0</v>
      </c>
      <c r="D56" t="n">
        <v>0</v>
      </c>
      <c r="F56" s="72" t="n">
        <v>0</v>
      </c>
      <c r="H56" t="inlineStr">
        <is>
          <t>nothing from summer pasturage for the same reason.</t>
        </is>
      </c>
    </row>
    <row r="57">
      <c r="A57" t="inlineStr">
        <is>
          <t>Issues of the manor</t>
        </is>
      </c>
      <c r="B57" t="n">
        <v>0</v>
      </c>
      <c r="C57" t="n">
        <v>4</v>
      </c>
      <c r="D57" t="n">
        <v>0</v>
      </c>
      <c r="F57" s="72" t="n">
        <v>0.2</v>
      </c>
      <c r="H57" t="inlineStr">
        <is>
          <t>4 shilling from 1 plough-horse from a heriot sold.</t>
        </is>
      </c>
    </row>
    <row r="58">
      <c r="A58" t="inlineStr">
        <is>
          <t>Issues of the manor</t>
        </is>
      </c>
      <c r="B58" t="n">
        <v>6</v>
      </c>
      <c r="C58" t="n">
        <v>7</v>
      </c>
      <c r="D58" t="n">
        <v>0</v>
      </c>
      <c r="F58" s="72" t="n">
        <v>6.35</v>
      </c>
      <c r="H58" t="inlineStr">
        <is>
          <t>£6 7 shilling from 14 oxen sold at Michaelmas, at 9 shilling each for 13, and 10 shilling for 1.</t>
        </is>
      </c>
    </row>
    <row r="59">
      <c r="A59" t="inlineStr">
        <is>
          <t>Issues of the manor</t>
        </is>
      </c>
      <c r="B59" t="n">
        <v>0</v>
      </c>
      <c r="C59" t="n">
        <v>11</v>
      </c>
      <c r="D59" t="n">
        <v>0</v>
      </c>
      <c r="F59" s="72" t="n">
        <v>0.55</v>
      </c>
      <c r="H59" t="inlineStr">
        <is>
          <t>11 shilling from 2 half-dead oxen sold soon after Easter.</t>
        </is>
      </c>
    </row>
    <row r="60">
      <c r="A60" t="inlineStr">
        <is>
          <t>Issues of the manor</t>
        </is>
      </c>
      <c r="B60" t="n">
        <v>1</v>
      </c>
      <c r="C60" t="n">
        <v>6</v>
      </c>
      <c r="D60" t="n">
        <v>8</v>
      </c>
      <c r="F60" s="72" t="n">
        <v>1.33</v>
      </c>
      <c r="H60" t="inlineStr">
        <is>
          <t>£1 6 shilling 8pence from 1 ram and 29 ewes sold at Martinmas, at 8pence each.</t>
        </is>
      </c>
    </row>
    <row r="61">
      <c r="A61" t="inlineStr">
        <is>
          <t>Issues of the manor</t>
        </is>
      </c>
      <c r="B61" t="n">
        <v>0</v>
      </c>
      <c r="C61" t="n">
        <v>16</v>
      </c>
      <c r="D61" t="n">
        <v>4</v>
      </c>
      <c r="F61" s="72" t="n">
        <v>0.82</v>
      </c>
      <c r="H61" t="inlineStr">
        <is>
          <t>16 shilling 4pence from the hides sold of 7 oxen in murrain, at 2 shilling 6pence each for 3, 2 shilling 4pence each for 2, 2 shilling 2pence for 1, and 2 shilling for 1.</t>
        </is>
      </c>
    </row>
    <row r="62">
      <c r="A62" t="inlineStr">
        <is>
          <t>Issues of the manor</t>
        </is>
      </c>
      <c r="B62" t="n">
        <v>0</v>
      </c>
      <c r="C62" t="n">
        <v>2</v>
      </c>
      <c r="D62" t="n">
        <v>4</v>
      </c>
      <c r="F62" s="72" t="n">
        <v>0.12</v>
      </c>
      <c r="H62" t="inlineStr">
        <is>
          <t>2 shilling 4pence from the flesh sold of 2 oxen in murrain.</t>
        </is>
      </c>
    </row>
    <row r="63">
      <c r="A63" t="inlineStr">
        <is>
          <t>Issues of the manor</t>
        </is>
      </c>
      <c r="B63" t="n">
        <v>0</v>
      </c>
      <c r="C63" t="n">
        <v>6</v>
      </c>
      <c r="D63" t="n">
        <v>3</v>
      </c>
      <c r="F63" s="72" t="n">
        <v>0.31</v>
      </c>
      <c r="H63" t="inlineStr">
        <is>
          <t>6 shilling from the skins of 2 rams and 22 ewes in murrain before shearing, at 3pence a skin.</t>
        </is>
      </c>
    </row>
    <row r="64">
      <c r="A64" t="inlineStr">
        <is>
          <t>Issues of the manor</t>
        </is>
      </c>
      <c r="B64" t="n">
        <v>0</v>
      </c>
      <c r="C64" t="n">
        <v>0</v>
      </c>
      <c r="D64" t="n">
        <v>7</v>
      </c>
      <c r="F64" s="72" t="n">
        <v>0.03</v>
      </c>
      <c r="H64" t="inlineStr">
        <is>
          <t>7pence from the skins sold of 7 ewes in murrain after shearing.</t>
        </is>
      </c>
    </row>
    <row r="65">
      <c r="A65" t="inlineStr">
        <is>
          <t>Issues of the manor</t>
        </is>
      </c>
      <c r="B65" t="n">
        <v>0</v>
      </c>
      <c r="C65" t="n">
        <v>4</v>
      </c>
      <c r="D65" t="n">
        <v>4</v>
      </c>
      <c r="F65" s="72" t="n">
        <v>0.22</v>
      </c>
      <c r="H65" t="inlineStr">
        <is>
          <t>4 shilling 4pence from the skins sold of 52 lambs in murrain before shearing, at 1pence a skin.</t>
        </is>
      </c>
    </row>
    <row r="66">
      <c r="A66" t="inlineStr">
        <is>
          <t>Issues of the manor</t>
        </is>
      </c>
      <c r="B66" t="n">
        <v>0</v>
      </c>
      <c r="C66" t="n">
        <v>12</v>
      </c>
      <c r="D66" t="n">
        <v>1</v>
      </c>
      <c r="F66" s="72" t="n">
        <v>0.6</v>
      </c>
      <c r="H66" t="inlineStr">
        <is>
          <t>12 shilling 1pence from 145 hens from churchscot sold.</t>
        </is>
      </c>
    </row>
    <row r="67">
      <c r="A67" t="inlineStr">
        <is>
          <t>Issues of the manor</t>
        </is>
      </c>
      <c r="B67" t="n">
        <v>0</v>
      </c>
      <c r="C67" t="n">
        <v>3</v>
      </c>
      <c r="D67" t="n">
        <v>2.5</v>
      </c>
      <c r="F67" s="72" t="n">
        <v>0.16</v>
      </c>
      <c r="H67" t="inlineStr">
        <is>
          <t>3 shilling 2.5pence from 1,100 eggs sold, received according to custom at Easter, at 3.5pence a hundred.</t>
        </is>
      </c>
    </row>
    <row r="68">
      <c r="A68" t="inlineStr">
        <is>
          <t>Issues of the manor</t>
        </is>
      </c>
      <c r="B68" t="n">
        <v>0</v>
      </c>
      <c r="C68" t="n">
        <v>8</v>
      </c>
      <c r="D68" t="n">
        <v>8</v>
      </c>
      <c r="F68" s="72" t="n">
        <v>0.43</v>
      </c>
      <c r="H68" t="inlineStr">
        <is>
          <t>8 shilling 8pence from 3 pigs sold.</t>
        </is>
      </c>
    </row>
    <row r="69">
      <c r="A69" t="inlineStr">
        <is>
          <t>Issues of the manor</t>
        </is>
      </c>
      <c r="B69" t="n">
        <v>0</v>
      </c>
      <c r="C69" t="n">
        <v>6</v>
      </c>
      <c r="D69" t="n">
        <v>8</v>
      </c>
      <c r="F69" s="72" t="n">
        <v>0.33</v>
      </c>
      <c r="H69" t="inlineStr">
        <is>
          <t>6 shilling 8pence from the heriot of Edith Cuteles who withdrew from the manor and surrendered her lands and tenements into the lord's hands.</t>
        </is>
      </c>
    </row>
    <row r="70">
      <c r="A70" t="inlineStr">
        <is>
          <t>Issues of the manor</t>
        </is>
      </c>
      <c r="B70" t="n">
        <v>14</v>
      </c>
      <c r="C70" t="n">
        <v>15</v>
      </c>
      <c r="D70" t="n">
        <v>8</v>
      </c>
      <c r="F70" s="72" t="n">
        <v>14.78</v>
      </c>
      <c r="H70" t="inlineStr">
        <is>
          <t>Total, £14 15 shilling 8pence</t>
        </is>
      </c>
    </row>
    <row r="71">
      <c r="A71" t="inlineStr">
        <is>
          <t>Issues of the manor</t>
        </is>
      </c>
      <c r="F71" s="72" t="n">
        <v>14.79</v>
      </c>
      <c r="G71" s="139" t="n">
        <v>0.009999999999999787</v>
      </c>
      <c r="H71" t="inlineStr">
        <is>
          <t>Total</t>
        </is>
      </c>
    </row>
    <row r="72"/>
    <row r="73">
      <c r="A73" t="inlineStr">
        <is>
          <t>Annual recognizance</t>
        </is>
      </c>
      <c r="B73" t="n">
        <v>0</v>
      </c>
      <c r="C73" t="n">
        <v>0</v>
      </c>
      <c r="D73" t="n">
        <v>0</v>
      </c>
      <c r="F73" s="72" t="n">
        <v>0</v>
      </c>
      <c r="H73" t="inlineStr">
        <is>
          <t>Nothing from Roger Mareschal because he is dead.</t>
        </is>
      </c>
    </row>
    <row r="74">
      <c r="A74" t="inlineStr">
        <is>
          <t>Annual recognizance</t>
        </is>
      </c>
      <c r="B74" t="n">
        <v>0</v>
      </c>
      <c r="C74" t="n">
        <v>0</v>
      </c>
      <c r="D74" t="n">
        <v>3</v>
      </c>
      <c r="F74" s="72" t="n">
        <v>0.01</v>
      </c>
      <c r="H74" t="inlineStr">
        <is>
          <t>3pence from Richard atte Heth' for annual recognizance.</t>
        </is>
      </c>
    </row>
    <row r="75">
      <c r="A75" t="inlineStr">
        <is>
          <t>Annual recognizance</t>
        </is>
      </c>
      <c r="B75" t="n">
        <v>0</v>
      </c>
      <c r="C75" t="n">
        <v>0</v>
      </c>
      <c r="D75" t="n">
        <v>0</v>
      </c>
      <c r="F75" s="72">
        <f>B75+C75/20+D75/240</f>
        <v/>
      </c>
      <c r="H75" t="inlineStr">
        <is>
          <t>nothing from John Lunt because he is dead</t>
        </is>
      </c>
    </row>
    <row r="76">
      <c r="A76" t="inlineStr">
        <is>
          <t>Annual recognizance</t>
        </is>
      </c>
      <c r="B76" t="n">
        <v>0</v>
      </c>
      <c r="C76" t="n">
        <v>0</v>
      </c>
      <c r="D76" t="n">
        <v>3</v>
      </c>
      <c r="F76" s="72">
        <f>B76+C76/20+D76/240</f>
        <v/>
      </c>
      <c r="H76" t="inlineStr">
        <is>
          <t>Total, 3pence</t>
        </is>
      </c>
    </row>
    <row r="77">
      <c r="A77" t="inlineStr">
        <is>
          <t>Annual recognizance</t>
        </is>
      </c>
      <c r="F77" s="72">
        <f>SUM(F73:F75)</f>
        <v/>
      </c>
      <c r="G77" s="139">
        <f>F77-F76</f>
        <v/>
      </c>
      <c r="H77" t="inlineStr">
        <is>
          <t>Total</t>
        </is>
      </c>
    </row>
    <row r="78"/>
    <row r="79">
      <c r="A79" t="inlineStr">
        <is>
          <t>Sale of corn</t>
        </is>
      </c>
      <c r="B79" t="n">
        <v>30</v>
      </c>
      <c r="C79" t="n">
        <v>3</v>
      </c>
      <c r="D79" t="n">
        <v>4</v>
      </c>
      <c r="F79" s="72" t="n">
        <v>30.17</v>
      </c>
      <c r="H79" t="inlineStr">
        <is>
          <t>The same render account for £30 3 shilling 4pence from 90.5 quarters of wheat sold, at 6 shilling 8pence a qr.</t>
        </is>
      </c>
    </row>
    <row r="80">
      <c r="A80" t="inlineStr">
        <is>
          <t>Sale of corn</t>
        </is>
      </c>
      <c r="B80" t="n">
        <v>5</v>
      </c>
      <c r="C80" t="n">
        <v>7</v>
      </c>
      <c r="D80" t="n">
        <v>6</v>
      </c>
      <c r="F80" s="72" t="n">
        <v>5.38</v>
      </c>
      <c r="H80" t="inlineStr">
        <is>
          <t>£5 7 shilling 6pence from 26 quarters 7 bushels of bere sold, at 4 shilling a qr.</t>
        </is>
      </c>
    </row>
    <row r="81">
      <c r="A81" t="inlineStr">
        <is>
          <t>Sale of corn</t>
        </is>
      </c>
      <c r="B81" t="n">
        <v>0</v>
      </c>
      <c r="C81" t="n">
        <v>18</v>
      </c>
      <c r="D81" t="n">
        <v>6</v>
      </c>
      <c r="F81" s="72" t="n">
        <v>0.93</v>
      </c>
      <c r="H81" t="inlineStr">
        <is>
          <t>18 shilling 6pence from 4 quarters 5 bushels of barley sold, at 4 shilling a qr.</t>
        </is>
      </c>
    </row>
    <row r="82">
      <c r="A82" t="inlineStr">
        <is>
          <t>Sale of corn</t>
        </is>
      </c>
      <c r="B82" t="n">
        <v>4</v>
      </c>
      <c r="C82" t="n">
        <v>12</v>
      </c>
      <c r="D82" t="n">
        <v>10.5</v>
      </c>
      <c r="F82" s="72" t="n">
        <v>4.64</v>
      </c>
      <c r="H82" t="inlineStr">
        <is>
          <t xml:space="preserve">£4 12 shilling 10.5pence from 39 quarters 6 bushels of oats sold, at 2 shilling a qr for 13 quarters, and 2 shilling 6pence a qr for 26 quarters 6 bushels </t>
        </is>
      </c>
    </row>
    <row r="83">
      <c r="A83" t="inlineStr">
        <is>
          <t>Sale of corn</t>
        </is>
      </c>
      <c r="B83" t="n">
        <v>41</v>
      </c>
      <c r="C83" t="n">
        <v>2</v>
      </c>
      <c r="D83" t="n">
        <v>2.5</v>
      </c>
      <c r="F83" s="72">
        <f>B83+C83/20+D83/240</f>
        <v/>
      </c>
      <c r="H83" t="inlineStr">
        <is>
          <t>Total of all corn sold, £41 2 shilling 2.5pence</t>
        </is>
      </c>
    </row>
    <row r="84">
      <c r="A84" t="inlineStr">
        <is>
          <t>Sale of corn</t>
        </is>
      </c>
      <c r="F84" s="72" t="n">
        <v>41.12</v>
      </c>
      <c r="G84" s="139">
        <f>F84-F83</f>
        <v/>
      </c>
      <c r="H84" t="inlineStr">
        <is>
          <t>Total</t>
        </is>
      </c>
    </row>
    <row r="85"/>
    <row r="86">
      <c r="A86" t="inlineStr">
        <is>
          <t>Sale of the mill's corn</t>
        </is>
      </c>
      <c r="B86" t="n">
        <v>0</v>
      </c>
      <c r="C86" t="n">
        <v>1</v>
      </c>
      <c r="D86" t="n">
        <v>6</v>
      </c>
      <c r="F86" s="72" t="n">
        <v>0.08</v>
      </c>
      <c r="H86" t="inlineStr">
        <is>
          <t>The same render account for 1 shilling 6pence from 2 bushels of wheat from the issue of the mill sold, at 9pence a bushels.</t>
        </is>
      </c>
    </row>
    <row r="87">
      <c r="A87" t="inlineStr">
        <is>
          <t>Sale of the mill's corn</t>
        </is>
      </c>
      <c r="B87" t="n">
        <v>2</v>
      </c>
      <c r="C87" t="n">
        <v>8</v>
      </c>
      <c r="D87" t="n">
        <v>9</v>
      </c>
      <c r="F87" s="72" t="n">
        <v>2.44</v>
      </c>
      <c r="H87" t="inlineStr">
        <is>
          <t>£2 8 shilling 9pence from 14 quarters 5 bushels of maslin sold, at 3 shilling 4pence a qr.</t>
        </is>
      </c>
    </row>
    <row r="88">
      <c r="A88" t="inlineStr">
        <is>
          <t>Sale of the mill's corn</t>
        </is>
      </c>
      <c r="B88" t="n">
        <v>0</v>
      </c>
      <c r="C88" t="n">
        <v>10</v>
      </c>
      <c r="D88" t="n">
        <v>6</v>
      </c>
      <c r="F88" s="72" t="n">
        <v>0.53</v>
      </c>
      <c r="H88" t="inlineStr">
        <is>
          <t>10 shilling from 4 quarters of malt sold, at 2 shilling 6pence a qr.</t>
        </is>
      </c>
    </row>
    <row r="89">
      <c r="A89" t="inlineStr">
        <is>
          <t>Sale of the mill's corn</t>
        </is>
      </c>
      <c r="B89" t="n">
        <v>3</v>
      </c>
      <c r="C89" t="n">
        <v>0</v>
      </c>
      <c r="D89" t="n">
        <v>3</v>
      </c>
      <c r="F89" s="72" t="n">
        <v>3.01</v>
      </c>
      <c r="H89" t="inlineStr">
        <is>
          <t>Total, £3 3pence</t>
        </is>
      </c>
    </row>
    <row r="90">
      <c r="A90" t="inlineStr">
        <is>
          <t>Sale of the mill's corn</t>
        </is>
      </c>
      <c r="F90" s="72" t="n">
        <v>3.05</v>
      </c>
      <c r="G90" s="139" t="n">
        <v>0.04000000000000004</v>
      </c>
      <c r="H90" t="inlineStr">
        <is>
          <t>Total</t>
        </is>
      </c>
    </row>
    <row r="91"/>
    <row r="92">
      <c r="A92" t="inlineStr">
        <is>
          <t>Entry and marriage fines</t>
        </is>
      </c>
      <c r="B92" t="n">
        <v>1</v>
      </c>
      <c r="C92" t="n">
        <v>6</v>
      </c>
      <c r="D92" t="n">
        <v>8</v>
      </c>
      <c r="F92" s="72" t="n">
        <v>1.33</v>
      </c>
      <c r="H92" t="inlineStr">
        <is>
          <t>The same render account for £1 6 shilling 8pence from tithingpenny at the two hundred-courts for the year.</t>
        </is>
      </c>
    </row>
    <row r="93">
      <c r="A93" t="inlineStr">
        <is>
          <t>Entry and marriage fines</t>
        </is>
      </c>
      <c r="B93" t="n">
        <v>0</v>
      </c>
      <c r="C93" t="n">
        <v>13</v>
      </c>
      <c r="D93" t="n">
        <v>4</v>
      </c>
      <c r="F93" s="72" t="n">
        <v>0.67</v>
      </c>
      <c r="H93" t="inlineStr">
        <is>
          <t>13 shilling 4pence from Cecilia Marescall' to retain 0.5 virgate of land which belonged to her husband.</t>
        </is>
      </c>
    </row>
    <row r="94">
      <c r="A94" t="inlineStr">
        <is>
          <t>Entry and marriage fines</t>
        </is>
      </c>
      <c r="B94" t="n">
        <v>0</v>
      </c>
      <c r="C94" t="n">
        <v>1</v>
      </c>
      <c r="D94" t="n">
        <v>0</v>
      </c>
      <c r="F94" s="72" t="n">
        <v>0.05</v>
      </c>
      <c r="H94" t="inlineStr">
        <is>
          <t>1 shilling from John le Sone for marrying Agnes his daughter outside.</t>
        </is>
      </c>
    </row>
    <row r="95">
      <c r="A95" t="inlineStr">
        <is>
          <t>Entry and marriage fines</t>
        </is>
      </c>
      <c r="B95" t="n">
        <v>0</v>
      </c>
      <c r="C95" t="n">
        <v>5</v>
      </c>
      <c r="D95" t="n">
        <v>0</v>
      </c>
      <c r="F95" s="72" t="n">
        <v>0.25</v>
      </c>
      <c r="H95" t="inlineStr">
        <is>
          <t>5 shilling from Roger atte Garston to have 1 messuage 6.5 acres' of purpresture which belonged to Robert atte Garston' his uncle.</t>
        </is>
      </c>
    </row>
    <row r="96">
      <c r="A96" t="inlineStr">
        <is>
          <t>Entry and marriage fines</t>
        </is>
      </c>
      <c r="B96" t="n">
        <v>0</v>
      </c>
      <c r="C96" t="n">
        <v>2</v>
      </c>
      <c r="D96" t="n">
        <v>0</v>
      </c>
      <c r="F96" s="72" t="n">
        <v>0.1</v>
      </c>
      <c r="H96" t="inlineStr">
        <is>
          <t>2 shilling from Walter le Son' for marrying Isabel his daughter outside.</t>
        </is>
      </c>
    </row>
    <row r="97">
      <c r="A97" t="inlineStr">
        <is>
          <t>Entry and marriage fines</t>
        </is>
      </c>
      <c r="B97" t="n">
        <v>0</v>
      </c>
      <c r="C97" t="n">
        <v>1</v>
      </c>
      <c r="D97" t="n">
        <v>0</v>
      </c>
      <c r="F97" s="72" t="n">
        <v>0.05</v>
      </c>
      <c r="H97" t="inlineStr">
        <is>
          <t>1 shilling from John le Tayllor to have entry to a certain small plot, 36 feet long and 24 feet wide, beside the forge of la Wydegate.</t>
        </is>
      </c>
    </row>
    <row r="98">
      <c r="A98" t="inlineStr">
        <is>
          <t>Entry and marriage fines</t>
        </is>
      </c>
      <c r="B98" t="n">
        <v>0</v>
      </c>
      <c r="C98" t="n">
        <v>1</v>
      </c>
      <c r="D98" t="n">
        <v>0</v>
      </c>
      <c r="F98" s="72" t="n">
        <v>0.05</v>
      </c>
      <c r="H98" t="inlineStr">
        <is>
          <t>1 shilling from Edith (Aldich') Cuteles for marrying herself outside the manor.</t>
        </is>
      </c>
    </row>
    <row r="99">
      <c r="A99" t="inlineStr">
        <is>
          <t>Entry and marriage fines</t>
        </is>
      </c>
      <c r="B99" t="n">
        <v>0</v>
      </c>
      <c r="C99" t="n">
        <v>5</v>
      </c>
      <c r="D99" t="n">
        <v>0</v>
      </c>
      <c r="F99" s="72" t="n">
        <v>0.25</v>
      </c>
      <c r="H99" t="inlineStr">
        <is>
          <t>5 shilling from John Cutel of Whitway to have land which belonged to Adam Kutel his father by resignation of Edith Cutel his stepmother.</t>
        </is>
      </c>
    </row>
    <row r="100">
      <c r="A100" t="inlineStr">
        <is>
          <t>Entry and marriage fines</t>
        </is>
      </c>
      <c r="B100" t="n">
        <v>2</v>
      </c>
      <c r="C100" t="n">
        <v>15</v>
      </c>
      <c r="D100" t="n">
        <v>0</v>
      </c>
      <c r="F100" s="72" t="n">
        <v>2.75</v>
      </c>
      <c r="H100" t="inlineStr">
        <is>
          <t>Total, £2 15 shilling</t>
        </is>
      </c>
    </row>
    <row r="101">
      <c r="A101" t="inlineStr">
        <is>
          <t>Entry and marriage fines</t>
        </is>
      </c>
      <c r="F101" s="72" t="n">
        <v>2.75</v>
      </c>
      <c r="G101" s="139" t="n">
        <v>0</v>
      </c>
      <c r="H101" t="inlineStr">
        <is>
          <t>Total</t>
        </is>
      </c>
    </row>
    <row r="102"/>
    <row r="103">
      <c r="A103" t="inlineStr">
        <is>
          <t>Perquisites</t>
        </is>
      </c>
      <c r="B103" t="n">
        <v>0</v>
      </c>
      <c r="C103" t="n">
        <v>2</v>
      </c>
      <c r="D103" t="n">
        <v>0</v>
      </c>
      <c r="F103" s="72" t="n">
        <v>0.1</v>
      </c>
      <c r="H103" t="inlineStr">
        <is>
          <t>The same render account for 2 shilling from Juliana Sone, John atte Park' and their fellows for trespass of pasture.</t>
        </is>
      </c>
    </row>
    <row r="104">
      <c r="A104" t="inlineStr">
        <is>
          <t>Perquisites</t>
        </is>
      </c>
      <c r="B104" t="n">
        <v>0</v>
      </c>
      <c r="C104" t="n">
        <v>0</v>
      </c>
      <c r="D104" t="n">
        <v>2</v>
      </c>
      <c r="F104" s="72" t="n">
        <v>0.01</v>
      </c>
      <c r="H104" t="inlineStr">
        <is>
          <t>2pence from William Tokelyn because he is convicted.</t>
        </is>
      </c>
    </row>
    <row r="105">
      <c r="A105" t="inlineStr">
        <is>
          <t>Perquisites</t>
        </is>
      </c>
      <c r="B105" t="n">
        <v>0</v>
      </c>
      <c r="C105" t="n">
        <v>0</v>
      </c>
      <c r="D105" t="n">
        <v>6</v>
      </c>
      <c r="F105" s="72" t="n">
        <v>0.03</v>
      </c>
      <c r="H105" t="inlineStr">
        <is>
          <t>6pence from William Frensch' and his fellows for concealment.</t>
        </is>
      </c>
    </row>
    <row r="106">
      <c r="A106" t="inlineStr">
        <is>
          <t>Perquisites</t>
        </is>
      </c>
      <c r="B106" t="n">
        <v>0</v>
      </c>
      <c r="C106" t="n">
        <v>1</v>
      </c>
      <c r="D106" t="n">
        <v>3</v>
      </c>
      <c r="F106" s="72" t="n">
        <v>0.06</v>
      </c>
      <c r="H106" t="inlineStr">
        <is>
          <t>1 shilling 3pence from Richard Kuppe and his fellows for trespass of pasture.</t>
        </is>
      </c>
    </row>
    <row r="107">
      <c r="A107" t="inlineStr">
        <is>
          <t>Perquisites</t>
        </is>
      </c>
      <c r="B107" t="n">
        <v>0</v>
      </c>
      <c r="C107" t="n">
        <v>1</v>
      </c>
      <c r="D107" t="n">
        <v>3</v>
      </c>
      <c r="F107" s="72" t="n">
        <v>0.06</v>
      </c>
      <c r="H107" t="inlineStr">
        <is>
          <t>1 shilling 3pence from John Lunt, Stephen Rotelond and Robert Lot for bad ploughing.</t>
        </is>
      </c>
    </row>
    <row r="108">
      <c r="A108" t="inlineStr">
        <is>
          <t>Perquisites</t>
        </is>
      </c>
      <c r="B108" t="n">
        <v>0</v>
      </c>
      <c r="C108" t="n">
        <v>2</v>
      </c>
      <c r="D108" t="n">
        <v>3</v>
      </c>
      <c r="F108" s="72" t="n">
        <v>0.11</v>
      </c>
      <c r="H108" t="inlineStr">
        <is>
          <t>2 shilling 3pence from John Cutel, Robert Lot and their fellows for trespass of pasture.</t>
        </is>
      </c>
    </row>
    <row r="109">
      <c r="A109" t="inlineStr">
        <is>
          <t>Perquisites</t>
        </is>
      </c>
      <c r="B109" t="n">
        <v>0</v>
      </c>
      <c r="C109" t="n">
        <v>0</v>
      </c>
      <c r="D109" t="n">
        <v>6</v>
      </c>
      <c r="F109" s="72" t="n">
        <v>0.03</v>
      </c>
      <c r="H109" t="inlineStr">
        <is>
          <t>6pence from Nicholas Tritur' and Stephen Bercarius for transgression.</t>
        </is>
      </c>
    </row>
    <row r="110">
      <c r="A110" t="inlineStr">
        <is>
          <t>Perquisites</t>
        </is>
      </c>
      <c r="B110" t="n">
        <v>0</v>
      </c>
      <c r="C110" t="n">
        <v>3</v>
      </c>
      <c r="D110" t="n">
        <v>0</v>
      </c>
      <c r="F110" s="72" t="n">
        <v>0.15</v>
      </c>
      <c r="H110" t="inlineStr">
        <is>
          <t>3 shilling from Ralph le Koc for carrying off 1 oak.</t>
        </is>
      </c>
    </row>
    <row r="111">
      <c r="A111" t="inlineStr">
        <is>
          <t>Perquisites</t>
        </is>
      </c>
      <c r="B111" t="n">
        <v>0</v>
      </c>
      <c r="C111" t="n">
        <v>0</v>
      </c>
      <c r="D111" t="n">
        <v>3</v>
      </c>
      <c r="F111" s="72" t="n">
        <v>0.01</v>
      </c>
      <c r="H111" t="inlineStr">
        <is>
          <t>3pence from William Bykemere and Richard le Sone for transgression.</t>
        </is>
      </c>
    </row>
    <row r="112">
      <c r="A112" t="inlineStr">
        <is>
          <t>Perquisites</t>
        </is>
      </c>
      <c r="B112" t="n">
        <v>0</v>
      </c>
      <c r="C112" t="n">
        <v>0</v>
      </c>
      <c r="D112" t="n">
        <v>3</v>
      </c>
      <c r="F112" s="72" t="n">
        <v>0.01</v>
      </c>
      <c r="H112" t="inlineStr">
        <is>
          <t>3pence from Stephen de Aul' for unjustly withholding.</t>
        </is>
      </c>
    </row>
    <row r="113">
      <c r="A113" t="inlineStr">
        <is>
          <t>Perquisites</t>
        </is>
      </c>
      <c r="B113" t="n">
        <v>0</v>
      </c>
      <c r="C113" t="n">
        <v>3</v>
      </c>
      <c r="D113" t="n">
        <v>0</v>
      </c>
      <c r="F113" s="72" t="n">
        <v>0.15</v>
      </c>
      <c r="H113" t="inlineStr">
        <is>
          <t>3 shilling from John Burch' and his fellows for breaking the assize.</t>
        </is>
      </c>
    </row>
    <row r="114">
      <c r="A114" t="inlineStr">
        <is>
          <t>Perquisites</t>
        </is>
      </c>
      <c r="B114" t="n">
        <v>0</v>
      </c>
      <c r="C114" t="n">
        <v>2</v>
      </c>
      <c r="D114" t="n">
        <v>0</v>
      </c>
      <c r="F114" s="72" t="n">
        <v>0.1</v>
      </c>
      <c r="H114" t="inlineStr">
        <is>
          <t>2 shilling from John Druery for bloodshed.</t>
        </is>
      </c>
    </row>
    <row r="115">
      <c r="A115" t="inlineStr">
        <is>
          <t>Perquisites</t>
        </is>
      </c>
      <c r="B115" t="n">
        <v>0</v>
      </c>
      <c r="C115" t="n">
        <v>1</v>
      </c>
      <c r="D115" t="n">
        <v>0</v>
      </c>
      <c r="F115" s="72" t="n">
        <v>0.05</v>
      </c>
      <c r="H115" t="inlineStr">
        <is>
          <t>1 shilling from the reeve because his horse spent the night in the curia.</t>
        </is>
      </c>
    </row>
    <row r="116">
      <c r="A116" t="inlineStr">
        <is>
          <t>Perquisites</t>
        </is>
      </c>
      <c r="B116" t="n">
        <v>0</v>
      </c>
      <c r="C116" t="n">
        <v>0</v>
      </c>
      <c r="D116" t="n">
        <v>3</v>
      </c>
      <c r="F116" s="72" t="n">
        <v>0.01</v>
      </c>
      <c r="H116" t="inlineStr">
        <is>
          <t>3pence from William Freynsch' for false presentment.</t>
        </is>
      </c>
    </row>
    <row r="117">
      <c r="A117" t="inlineStr">
        <is>
          <t>Perquisites</t>
        </is>
      </c>
      <c r="B117" t="n">
        <v>0</v>
      </c>
      <c r="C117" t="n">
        <v>1</v>
      </c>
      <c r="D117" t="n">
        <v>0</v>
      </c>
      <c r="F117" s="72" t="n">
        <v>0.05</v>
      </c>
      <c r="H117" t="inlineStr">
        <is>
          <t>1 shilling from William Edgar and his fellows for ploughing.</t>
        </is>
      </c>
    </row>
    <row r="118">
      <c r="A118" t="inlineStr">
        <is>
          <t>Perquisites</t>
        </is>
      </c>
      <c r="B118" t="n">
        <v>0</v>
      </c>
      <c r="C118" t="n">
        <v>1</v>
      </c>
      <c r="D118" t="n">
        <v>9</v>
      </c>
      <c r="F118" s="72" t="n">
        <v>0.09</v>
      </c>
      <c r="H118" t="inlineStr">
        <is>
          <t>1 shilling 9pence from John atte Tuneshend' and his fellows for trespass in the corn.</t>
        </is>
      </c>
    </row>
    <row r="119">
      <c r="A119" t="inlineStr">
        <is>
          <t>Perquisites</t>
        </is>
      </c>
      <c r="B119" t="n">
        <v>0</v>
      </c>
      <c r="C119" t="n">
        <v>0</v>
      </c>
      <c r="D119" t="n">
        <v>9</v>
      </c>
      <c r="F119" s="72" t="n">
        <v>0.04</v>
      </c>
      <c r="H119" t="inlineStr">
        <is>
          <t>9pence from Richard le Sone and his fellows for trespass of pasture.</t>
        </is>
      </c>
    </row>
    <row r="120">
      <c r="A120" t="inlineStr">
        <is>
          <t>Perquisites</t>
        </is>
      </c>
      <c r="B120" t="n">
        <v>0</v>
      </c>
      <c r="C120" t="n">
        <v>1</v>
      </c>
      <c r="D120" t="n">
        <v>0</v>
      </c>
      <c r="F120" s="72" t="n">
        <v>0.05</v>
      </c>
      <c r="H120" t="inlineStr">
        <is>
          <t>1 shilling from the whole tithing because it did not produce in court.</t>
        </is>
      </c>
    </row>
    <row r="121">
      <c r="A121" t="inlineStr">
        <is>
          <t>Perquisites</t>
        </is>
      </c>
      <c r="B121" t="n">
        <v>0</v>
      </c>
      <c r="C121" t="n">
        <v>0</v>
      </c>
      <c r="D121" t="n">
        <v>3</v>
      </c>
      <c r="F121" s="72" t="n">
        <v>0.01</v>
      </c>
      <c r="H121" t="inlineStr">
        <is>
          <t>3pence from Robert Tastard because he came late.</t>
        </is>
      </c>
    </row>
    <row r="122">
      <c r="A122" t="inlineStr">
        <is>
          <t>Perquisites</t>
        </is>
      </c>
      <c r="B122" t="n">
        <v>0</v>
      </c>
      <c r="C122" t="n">
        <v>0</v>
      </c>
      <c r="D122" t="n">
        <v>3</v>
      </c>
      <c r="F122" s="72" t="n">
        <v>0.01</v>
      </c>
      <c r="H122" t="inlineStr">
        <is>
          <t>3pence from John Elys for transgression.</t>
        </is>
      </c>
    </row>
    <row r="123">
      <c r="A123" t="inlineStr">
        <is>
          <t>Perquisites</t>
        </is>
      </c>
      <c r="B123" t="n">
        <v>0</v>
      </c>
      <c r="C123" t="n">
        <v>1</v>
      </c>
      <c r="D123" t="n">
        <v>0</v>
      </c>
      <c r="F123" s="72" t="n">
        <v>0.05</v>
      </c>
      <c r="H123" t="inlineStr">
        <is>
          <t>1 shilling from Edith Godd' to have an enrolment.</t>
        </is>
      </c>
    </row>
    <row r="124">
      <c r="A124" t="inlineStr">
        <is>
          <t>Perquisites</t>
        </is>
      </c>
      <c r="B124" t="n">
        <v>0</v>
      </c>
      <c r="C124" t="n">
        <v>2</v>
      </c>
      <c r="D124" t="n">
        <v>0</v>
      </c>
      <c r="F124" s="72" t="n">
        <v>0.1</v>
      </c>
      <c r="H124" t="inlineStr">
        <is>
          <t>2 shilling from Richard atte Well' and his fellows because convicted by inquest against Edith Gudd'.</t>
        </is>
      </c>
    </row>
    <row r="125">
      <c r="A125" t="inlineStr">
        <is>
          <t>Perquisites</t>
        </is>
      </c>
      <c r="B125" t="n">
        <v>0</v>
      </c>
      <c r="C125" t="n">
        <v>0</v>
      </c>
      <c r="D125" t="n">
        <v>6</v>
      </c>
      <c r="F125" s="72" t="n">
        <v>0.03</v>
      </c>
      <c r="H125" t="inlineStr">
        <is>
          <t>6pence from William Bykemere for unjustly withholding.</t>
        </is>
      </c>
    </row>
    <row r="126">
      <c r="A126" t="inlineStr">
        <is>
          <t>Perquisites</t>
        </is>
      </c>
      <c r="B126" t="n">
        <v>0</v>
      </c>
      <c r="C126" t="n">
        <v>2</v>
      </c>
      <c r="D126" t="n">
        <v>0</v>
      </c>
      <c r="F126" s="72" t="n">
        <v>0.1</v>
      </c>
      <c r="H126" t="inlineStr">
        <is>
          <t>2 shilling from Richard atte Well' because his horse spent the night in the curia.</t>
        </is>
      </c>
    </row>
    <row r="127">
      <c r="A127" t="inlineStr">
        <is>
          <t>Perquisites</t>
        </is>
      </c>
      <c r="B127" t="n">
        <v>0</v>
      </c>
      <c r="C127" t="n">
        <v>0</v>
      </c>
      <c r="D127" t="n">
        <v>3</v>
      </c>
      <c r="F127" s="72" t="n">
        <v>0.01</v>
      </c>
      <c r="H127" t="inlineStr">
        <is>
          <t>3pence from William Edgar for trespass of ploughing.</t>
        </is>
      </c>
    </row>
    <row r="128">
      <c r="A128" t="inlineStr">
        <is>
          <t>Perquisites</t>
        </is>
      </c>
      <c r="B128" t="n">
        <v>0</v>
      </c>
      <c r="C128" t="n">
        <v>0</v>
      </c>
      <c r="D128" t="n">
        <v>6</v>
      </c>
      <c r="F128" s="72" t="n">
        <v>0.03</v>
      </c>
      <c r="H128" t="inlineStr">
        <is>
          <t>6pence from William Frenssh' for false presentment.</t>
        </is>
      </c>
    </row>
    <row r="129">
      <c r="A129" t="inlineStr">
        <is>
          <t>Perquisites</t>
        </is>
      </c>
      <c r="B129" t="n">
        <v>0</v>
      </c>
      <c r="C129" t="n">
        <v>1</v>
      </c>
      <c r="D129" t="n">
        <v>0</v>
      </c>
      <c r="F129" s="72" t="n">
        <v>0.05</v>
      </c>
      <c r="H129" t="inlineStr">
        <is>
          <t>1 shilling from Richard Herberd, Roger Cupping for trespass of wood and corn.</t>
        </is>
      </c>
    </row>
    <row r="130">
      <c r="A130" t="inlineStr">
        <is>
          <t>Perquisites</t>
        </is>
      </c>
      <c r="B130" t="n">
        <v>0</v>
      </c>
      <c r="C130" t="n">
        <v>2</v>
      </c>
      <c r="D130" t="n">
        <v>3</v>
      </c>
      <c r="F130" s="72" t="n">
        <v>0.11</v>
      </c>
      <c r="H130" t="inlineStr">
        <is>
          <t>2 shilling 3pence from Roger Cupping, Nicholas Burch', John atte Toneshend' and their fellows for trespass of pasture.</t>
        </is>
      </c>
    </row>
    <row r="131">
      <c r="A131" t="inlineStr">
        <is>
          <t>Perquisites</t>
        </is>
      </c>
      <c r="B131" t="n">
        <v>0</v>
      </c>
      <c r="C131" t="n">
        <v>4</v>
      </c>
      <c r="D131" t="n">
        <v>6</v>
      </c>
      <c r="F131" s="72" t="n">
        <v>0.23</v>
      </c>
      <c r="H131" t="inlineStr">
        <is>
          <t>4 shilling 6pence from Roger Cuppyng, Robert Gal', Hugh Servient', Roger Cuppyng and their fellows for trespass of corn.</t>
        </is>
      </c>
    </row>
    <row r="132">
      <c r="A132" t="inlineStr">
        <is>
          <t>Perquisites</t>
        </is>
      </c>
      <c r="B132" t="n">
        <v>0</v>
      </c>
      <c r="C132" t="n">
        <v>1</v>
      </c>
      <c r="D132" t="n">
        <v>6</v>
      </c>
      <c r="F132" s="72" t="n">
        <v>0.08</v>
      </c>
      <c r="H132" t="inlineStr">
        <is>
          <t>1 shilling 6pence from 3 oxherds for contempt.</t>
        </is>
      </c>
    </row>
    <row r="133">
      <c r="A133" t="inlineStr">
        <is>
          <t>Perquisites</t>
        </is>
      </c>
      <c r="B133" t="n">
        <v>0</v>
      </c>
      <c r="C133" t="n">
        <v>6</v>
      </c>
      <c r="D133" t="n">
        <v>3</v>
      </c>
      <c r="F133" s="72" t="n">
        <v>0.31</v>
      </c>
      <c r="H133" t="inlineStr">
        <is>
          <t>6 shilling 3pence from 7 ploughmen, John Cutel and their fellows for bad ploughing.</t>
        </is>
      </c>
    </row>
    <row r="134">
      <c r="A134" t="inlineStr">
        <is>
          <t>Perquisites</t>
        </is>
      </c>
      <c r="B134" t="n">
        <v>0</v>
      </c>
      <c r="C134" t="n">
        <v>0</v>
      </c>
      <c r="D134" t="n">
        <v>6</v>
      </c>
      <c r="F134" s="72" t="n">
        <v>0.03</v>
      </c>
      <c r="H134" t="inlineStr">
        <is>
          <t>6pence from John de Parco and fellows because they did not come to the shearing.</t>
        </is>
      </c>
    </row>
    <row r="135">
      <c r="A135" t="inlineStr">
        <is>
          <t>Perquisites</t>
        </is>
      </c>
      <c r="B135" t="n">
        <v>0</v>
      </c>
      <c r="C135" t="n">
        <v>4</v>
      </c>
      <c r="D135" t="n">
        <v>0</v>
      </c>
      <c r="F135" s="72" t="n">
        <v>0.2</v>
      </c>
      <c r="H135" t="inlineStr">
        <is>
          <t>4 shilling from Geoffrey atte Den' and other of his fellows for breaking the assize.</t>
        </is>
      </c>
    </row>
    <row r="136">
      <c r="A136" t="inlineStr">
        <is>
          <t>Perquisites</t>
        </is>
      </c>
      <c r="B136" t="n">
        <v>0</v>
      </c>
      <c r="C136" t="n">
        <v>0</v>
      </c>
      <c r="D136" t="n">
        <v>6</v>
      </c>
      <c r="F136" s="72" t="n">
        <v>0.03</v>
      </c>
      <c r="H136" t="inlineStr">
        <is>
          <t>6pence from William Rod' for the hue.</t>
        </is>
      </c>
    </row>
    <row r="137">
      <c r="A137" t="inlineStr">
        <is>
          <t>Perquisites</t>
        </is>
      </c>
      <c r="B137" t="n">
        <v>0</v>
      </c>
      <c r="C137" t="n">
        <v>0</v>
      </c>
      <c r="D137" t="n">
        <v>3</v>
      </c>
      <c r="F137" s="72" t="n">
        <v>0.01</v>
      </c>
      <c r="H137" t="inlineStr">
        <is>
          <t>3pence from Roger Cuppyng for trespass of the enclosure.</t>
        </is>
      </c>
    </row>
    <row r="138">
      <c r="A138" t="inlineStr">
        <is>
          <t>Perquisites</t>
        </is>
      </c>
      <c r="B138" t="n">
        <v>0</v>
      </c>
      <c r="C138" t="n">
        <v>0</v>
      </c>
      <c r="D138" t="n">
        <v>3</v>
      </c>
      <c r="F138" s="72" t="n">
        <v>0.01</v>
      </c>
      <c r="H138" t="inlineStr">
        <is>
          <t>3pence from Cecilia Maresschall' for suit of mill.</t>
        </is>
      </c>
    </row>
    <row r="139">
      <c r="A139" t="inlineStr">
        <is>
          <t>Perquisites</t>
        </is>
      </c>
      <c r="B139" t="n">
        <v>0</v>
      </c>
      <c r="C139" t="n">
        <v>1</v>
      </c>
      <c r="D139" t="n">
        <v>0</v>
      </c>
      <c r="F139" s="72" t="n">
        <v>0.05</v>
      </c>
      <c r="H139" t="inlineStr">
        <is>
          <t>1 shilling From Walter Malot and his fellows for trespass of pasture.</t>
        </is>
      </c>
    </row>
    <row r="140">
      <c r="A140" t="inlineStr">
        <is>
          <t>Perquisites</t>
        </is>
      </c>
      <c r="B140" t="n">
        <v>0</v>
      </c>
      <c r="C140" t="n">
        <v>1</v>
      </c>
      <c r="D140" t="n">
        <v>0</v>
      </c>
      <c r="F140" s="72" t="n">
        <v>0.05</v>
      </c>
      <c r="H140" t="inlineStr">
        <is>
          <t>1 shilling from Adam atte Ford' for the recovery and custody of his livestock.</t>
        </is>
      </c>
    </row>
    <row r="141">
      <c r="A141" t="inlineStr">
        <is>
          <t>Perquisites</t>
        </is>
      </c>
      <c r="B141" t="n">
        <v>2</v>
      </c>
      <c r="C141" t="n">
        <v>13</v>
      </c>
      <c r="D141" t="n">
        <v>3</v>
      </c>
      <c r="F141" s="72" t="n">
        <v>2.66</v>
      </c>
      <c r="H141" t="inlineStr">
        <is>
          <t>Total, £2 13 shilling 3pence</t>
        </is>
      </c>
    </row>
    <row r="142">
      <c r="A142" t="inlineStr">
        <is>
          <t>Perquisites</t>
        </is>
      </c>
      <c r="F142" s="72" t="n">
        <v>2.61</v>
      </c>
      <c r="G142" s="139" t="n">
        <v>-0.05000000000000027</v>
      </c>
      <c r="H142" t="inlineStr">
        <is>
          <t>Total</t>
        </is>
      </c>
    </row>
    <row r="143"/>
    <row r="144"/>
    <row r="145">
      <c r="A145" s="38" t="inlineStr">
        <is>
          <t>Total of all receipts recorded in accounts</t>
        </is>
      </c>
      <c r="B145" t="n">
        <v>84</v>
      </c>
      <c r="C145" t="n">
        <v>0</v>
      </c>
      <c r="D145" t="n">
        <v>5.5</v>
      </c>
      <c r="F145" s="72" t="n">
        <v>84.02</v>
      </c>
      <c r="H145" t="inlineStr">
        <is>
          <t>Total of all receipts, £84 5.5pence</t>
        </is>
      </c>
    </row>
    <row r="146" ht="16" customHeight="1">
      <c r="A146" s="9" t="inlineStr">
        <is>
          <t>Total cross-check without arrears</t>
        </is>
      </c>
      <c r="F146" s="72">
        <f>F142++F101+F90+F84+F77+F71+F44+F20-F28-F37</f>
        <v/>
      </c>
      <c r="G146" s="139">
        <f>F146-F145</f>
        <v/>
      </c>
    </row>
    <row r="147" ht="16" customHeight="1">
      <c r="A147" s="9" t="inlineStr">
        <is>
          <t>Total cross-check with arrears</t>
        </is>
      </c>
      <c r="F147" s="72">
        <f>F146+F6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7"/>
  <sheetViews>
    <sheetView topLeftCell="A1" workbookViewId="0">
      <selection activeCell="A1" sqref="A1"/>
    </sheetView>
  </sheetViews>
  <sheetFormatPr baseColWidth="8" defaultRowHeight="15"/>
  <cols>
    <col width="33.1640625" customWidth="1" min="1" max="1"/>
    <col width="8.83203125" customWidth="1" min="6" max="6"/>
    <col width="8.83203125" customWidth="1" min="7" max="7"/>
    <col width="34" customWidth="1" min="8" max="8"/>
    <col width="20.1640625" customWidth="1" min="10" max="10"/>
    <col width="17.83203125" customWidth="1" min="11" max="11"/>
  </cols>
  <sheetData>
    <row r="1" ht="16" customHeight="1">
      <c r="A1" s="2" t="inlineStr">
        <is>
          <t>BURGHCLERE RECEIPTS</t>
        </is>
      </c>
    </row>
    <row r="2" ht="34" customHeight="1">
      <c r="A2" s="11" t="inlineStr">
        <is>
          <t>Heading</t>
        </is>
      </c>
      <c r="B2" s="3" t="inlineStr">
        <is>
          <t>£</t>
        </is>
      </c>
      <c r="C2" s="4" t="inlineStr">
        <is>
          <t xml:space="preserve">s </t>
        </is>
      </c>
      <c r="D2" s="4" t="inlineStr">
        <is>
          <t>d</t>
        </is>
      </c>
      <c r="E2" s="4" t="n"/>
      <c r="F2" s="137" t="inlineStr">
        <is>
          <t>Total in £</t>
        </is>
      </c>
      <c r="G2" s="138" t="inlineStr">
        <is>
          <t>Error</t>
        </is>
      </c>
      <c r="H2" s="7" t="inlineStr">
        <is>
          <t>Notes</t>
        </is>
      </c>
      <c r="J2" s="52" t="inlineStr">
        <is>
          <t>Fixed investment</t>
        </is>
      </c>
      <c r="K2" s="52" t="inlineStr">
        <is>
          <t>Demesne fixed investment</t>
        </is>
      </c>
    </row>
    <row r="3">
      <c r="A3" t="inlineStr">
        <is>
          <t>Cost of ploughs</t>
        </is>
      </c>
      <c r="B3" t="n">
        <v>0</v>
      </c>
      <c r="C3" t="n">
        <v>6</v>
      </c>
      <c r="D3" t="n">
        <v>3</v>
      </c>
      <c r="F3" s="72" t="n">
        <v>0.31</v>
      </c>
      <c r="H3" t="inlineStr">
        <is>
          <t>In the ironwork of 5 ploughs for the year and 1 plough for 1 term 6 shilling 3pence.</t>
        </is>
      </c>
      <c r="J3" s="72">
        <f>F3</f>
        <v/>
      </c>
      <c r="K3" s="72">
        <f>J3</f>
        <v/>
      </c>
    </row>
    <row r="4">
      <c r="A4" t="inlineStr">
        <is>
          <t>Cost of ploughs</t>
        </is>
      </c>
      <c r="B4" t="n">
        <v>0</v>
      </c>
      <c r="C4" t="n">
        <v>0</v>
      </c>
      <c r="D4" t="n">
        <v>0</v>
      </c>
      <c r="F4" s="72" t="n">
        <v>0</v>
      </c>
      <c r="H4" t="inlineStr">
        <is>
          <t>stipend of 1 smith, nothing, because he takes 1 acre of wheat for his stipenpence.</t>
        </is>
      </c>
      <c r="K4" s="72" t="n"/>
    </row>
    <row r="5">
      <c r="A5" t="inlineStr">
        <is>
          <t>Cost of ploughs</t>
        </is>
      </c>
      <c r="B5" t="n">
        <v>0</v>
      </c>
      <c r="C5" t="n">
        <v>1</v>
      </c>
      <c r="D5" t="n">
        <v>6</v>
      </c>
      <c r="F5" s="72">
        <f>B5+C5/20+D5/240</f>
        <v/>
      </c>
      <c r="H5" t="inlineStr">
        <is>
          <t>6 plough-irons bought 1 shilling, 6pence.</t>
        </is>
      </c>
      <c r="J5" s="72">
        <f>F5</f>
        <v/>
      </c>
      <c r="K5" s="72">
        <f>J5</f>
        <v/>
      </c>
    </row>
    <row r="6">
      <c r="A6" t="inlineStr">
        <is>
          <t>Cost of ploughs</t>
        </is>
      </c>
      <c r="B6" t="n">
        <v>0</v>
      </c>
      <c r="C6" t="n">
        <v>0</v>
      </c>
      <c r="D6" t="n">
        <v>10</v>
      </c>
      <c r="F6" s="72" t="n">
        <v>0.04</v>
      </c>
      <c r="H6" t="inlineStr">
        <is>
          <t>1 coulter bought 10pence.</t>
        </is>
      </c>
      <c r="J6" s="72">
        <f>F6</f>
        <v/>
      </c>
      <c r="K6" s="72">
        <f>J6</f>
        <v/>
      </c>
    </row>
    <row r="7">
      <c r="A7" t="inlineStr">
        <is>
          <t>Cost of ploughs</t>
        </is>
      </c>
      <c r="B7" t="n">
        <v>0</v>
      </c>
      <c r="C7" t="n">
        <v>3</v>
      </c>
      <c r="D7" t="n">
        <v>4</v>
      </c>
      <c r="F7" s="72" t="n">
        <v>0.17</v>
      </c>
      <c r="H7" t="inlineStr">
        <is>
          <t>4 ploughshares 3 shilling 4pence.</t>
        </is>
      </c>
      <c r="J7" s="72">
        <f>F7</f>
        <v/>
      </c>
      <c r="K7" s="72">
        <f>J7</f>
        <v/>
      </c>
    </row>
    <row r="8">
      <c r="A8" t="inlineStr">
        <is>
          <t>Cost of ploughs</t>
        </is>
      </c>
      <c r="B8" t="n">
        <v>0</v>
      </c>
      <c r="C8" t="n">
        <v>1</v>
      </c>
      <c r="D8" t="n">
        <v>4</v>
      </c>
      <c r="F8" s="72" t="n">
        <v>0.07000000000000001</v>
      </c>
      <c r="H8" t="inlineStr">
        <is>
          <t>3 ploughs made anew and others mended, fitted with share-beams, and covered with boards for the year, 1 shilling 4pence.</t>
        </is>
      </c>
      <c r="J8" s="72">
        <f>F8</f>
        <v/>
      </c>
      <c r="K8" s="72">
        <f>J8</f>
        <v/>
      </c>
    </row>
    <row r="9">
      <c r="A9" t="inlineStr">
        <is>
          <t>Cost of ploughs</t>
        </is>
      </c>
      <c r="B9" t="n">
        <v>0</v>
      </c>
      <c r="C9" t="n">
        <v>0</v>
      </c>
      <c r="D9" t="n">
        <v>6</v>
      </c>
      <c r="F9" s="72" t="n">
        <v>0.03</v>
      </c>
      <c r="H9" t="inlineStr">
        <is>
          <t>yokes and wooden halters made 6pence.</t>
        </is>
      </c>
      <c r="J9" s="72">
        <f>F9</f>
        <v/>
      </c>
      <c r="K9" s="72">
        <f>J9</f>
        <v/>
      </c>
    </row>
    <row r="10">
      <c r="A10" t="inlineStr">
        <is>
          <t>Cost of ploughs</t>
        </is>
      </c>
      <c r="B10" t="n">
        <v>0</v>
      </c>
      <c r="C10" t="n">
        <v>1</v>
      </c>
      <c r="D10" t="n">
        <v>0</v>
      </c>
      <c r="F10" s="72" t="n">
        <v>0.05</v>
      </c>
      <c r="H10" t="inlineStr">
        <is>
          <t>4 pairs of wheels bought 1 shilling.</t>
        </is>
      </c>
      <c r="J10" s="72">
        <f>F10</f>
        <v/>
      </c>
      <c r="K10" s="72">
        <f>J10</f>
        <v/>
      </c>
    </row>
    <row r="11">
      <c r="A11" t="inlineStr">
        <is>
          <t>Cost of ploughs</t>
        </is>
      </c>
      <c r="B11" t="n">
        <v>0</v>
      </c>
      <c r="C11" t="n">
        <v>13</v>
      </c>
      <c r="D11" t="n">
        <v>4</v>
      </c>
      <c r="F11" s="72" t="n">
        <v>0.67</v>
      </c>
      <c r="H11" t="inlineStr">
        <is>
          <t>boon-works of 40 ploughmen in winter and as many in Lent who ploughed as many acres as they lie 13 shilling 4pence, or 2pence a ploughman a day.</t>
        </is>
      </c>
    </row>
    <row r="12">
      <c r="A12" t="inlineStr">
        <is>
          <t>Cost of ploughs</t>
        </is>
      </c>
      <c r="B12" t="n">
        <v>0</v>
      </c>
      <c r="C12" t="n">
        <v>0</v>
      </c>
      <c r="D12" t="n">
        <v>0</v>
      </c>
      <c r="F12" s="72" t="n">
        <v>0</v>
      </c>
      <c r="H12" t="inlineStr">
        <is>
          <t>Moreover, each ploughman will plough 1 acre in summer for fallow without food according to custom.</t>
        </is>
      </c>
    </row>
    <row r="13">
      <c r="A13" t="inlineStr">
        <is>
          <t>Cost of ploughs</t>
        </is>
      </c>
      <c r="B13" t="n">
        <v>0</v>
      </c>
      <c r="C13" t="n">
        <v>19</v>
      </c>
      <c r="D13" t="n">
        <v>3</v>
      </c>
      <c r="F13" s="72" t="n">
        <v>0.96</v>
      </c>
      <c r="H13" t="inlineStr">
        <is>
          <t>reward of 8 ploughmen for the year and 2 for 1 term for their Saturday ploughings 19 shilling 3pence, each taking 2 shilling less than they are accustomed, because more than accustomed was delivered to one sergeant who is there, and besides this they should each remove 1 horse which they are accustomed to have in the lord's pasture.</t>
        </is>
      </c>
    </row>
    <row r="14">
      <c r="A14" t="inlineStr">
        <is>
          <t>Cost of ploughs</t>
        </is>
      </c>
      <c r="B14" t="n">
        <v>0</v>
      </c>
      <c r="C14" t="n">
        <v>0</v>
      </c>
      <c r="D14" t="n">
        <v>4</v>
      </c>
      <c r="F14" s="72" t="n">
        <v>0.02</v>
      </c>
      <c r="H14" t="inlineStr">
        <is>
          <t>healing (medicinand) oxen 4pence.</t>
        </is>
      </c>
    </row>
    <row r="15">
      <c r="A15" t="inlineStr">
        <is>
          <t>Cost of ploughs</t>
        </is>
      </c>
      <c r="B15" t="n">
        <v>13</v>
      </c>
      <c r="C15" t="n">
        <v>19</v>
      </c>
      <c r="D15" t="n">
        <v>5</v>
      </c>
      <c r="F15" s="72" t="n">
        <v>13.97</v>
      </c>
      <c r="H15" t="inlineStr">
        <is>
          <t>24 oxen bought for ploughs £13 19 shilling 5pence, at 10 shilling 3pence each for 2, 11 shilling 2pence each for 15, and 13 shilling each for 7, plus 5pence in all.</t>
        </is>
      </c>
    </row>
    <row r="16">
      <c r="A16" t="inlineStr">
        <is>
          <t>Cost of ploughs</t>
        </is>
      </c>
      <c r="B16" t="n">
        <v>0</v>
      </c>
      <c r="C16" t="n">
        <v>9</v>
      </c>
      <c r="D16" t="n">
        <v>0</v>
      </c>
      <c r="F16" s="72" t="n">
        <v>0.45</v>
      </c>
      <c r="H16" t="inlineStr">
        <is>
          <t>stipend of 3 oxherds for the year 9 shilling.</t>
        </is>
      </c>
    </row>
    <row r="17">
      <c r="A17" t="inlineStr">
        <is>
          <t>Cost of ploughs</t>
        </is>
      </c>
      <c r="B17" t="n">
        <v>1</v>
      </c>
      <c r="C17" t="n">
        <v>15</v>
      </c>
      <c r="D17" t="n">
        <v>10</v>
      </c>
      <c r="F17" s="72" t="n">
        <v>1.79</v>
      </c>
      <c r="H17" t="inlineStr">
        <is>
          <t>10 quarters 6 bushels of maslin bought for the liveries of the manorial servants £1 15 shilling 10pence, at 3 shilling 4pence a qr.</t>
        </is>
      </c>
    </row>
    <row r="18">
      <c r="A18" t="inlineStr">
        <is>
          <t>Cost of ploughs</t>
        </is>
      </c>
      <c r="B18" t="n">
        <v>0</v>
      </c>
      <c r="C18" t="n">
        <v>12</v>
      </c>
      <c r="D18" t="n">
        <v>0</v>
      </c>
      <c r="F18" s="72" t="n">
        <v>0.6</v>
      </c>
      <c r="H18" t="inlineStr">
        <is>
          <t>3 quarters of barley bought for sowing 12 shilling, at 4 shilling a qr.</t>
        </is>
      </c>
    </row>
    <row r="19">
      <c r="A19" t="inlineStr">
        <is>
          <t>Cost of ploughs</t>
        </is>
      </c>
      <c r="B19" t="n">
        <v>19</v>
      </c>
      <c r="C19" t="n">
        <v>3</v>
      </c>
      <c r="D19" t="n">
        <v>11</v>
      </c>
      <c r="F19" s="72" t="n">
        <v>19.2</v>
      </c>
      <c r="H19" t="inlineStr">
        <is>
          <t>Total, £19 3 shilling 11pence</t>
        </is>
      </c>
    </row>
    <row r="20">
      <c r="A20" t="inlineStr">
        <is>
          <t>Cost of ploughs</t>
        </is>
      </c>
      <c r="F20" s="72">
        <f>SUM(F3:F18)</f>
        <v/>
      </c>
      <c r="G20" s="139">
        <f>F20-F19</f>
        <v/>
      </c>
      <c r="H20" t="inlineStr">
        <is>
          <t>Total</t>
        </is>
      </c>
    </row>
    <row r="21"/>
    <row r="22">
      <c r="A22" t="inlineStr">
        <is>
          <t>Cost of carts</t>
        </is>
      </c>
      <c r="B22" t="n">
        <v>0</v>
      </c>
      <c r="C22" t="n">
        <v>2</v>
      </c>
      <c r="D22" t="n">
        <v>0</v>
      </c>
      <c r="F22" s="72" t="n">
        <v>0.1</v>
      </c>
      <c r="H22" t="inlineStr">
        <is>
          <t>In clouts, nails, grease and white leather bought for the carts for the year, and fitting 3 carts with axles at various times, 2 shilling.</t>
        </is>
      </c>
      <c r="J22" s="72">
        <f>F22</f>
        <v/>
      </c>
      <c r="K22" s="72">
        <f>F22</f>
        <v/>
      </c>
    </row>
    <row r="23">
      <c r="A23" t="inlineStr">
        <is>
          <t>Cost of carts</t>
        </is>
      </c>
      <c r="B23" t="n">
        <v>0</v>
      </c>
      <c r="C23" t="n">
        <v>1</v>
      </c>
      <c r="D23" t="n">
        <v>1</v>
      </c>
      <c r="F23" s="72" t="n">
        <v>0.05</v>
      </c>
      <c r="H23" t="inlineStr">
        <is>
          <t>2 collars bought 1 shilling 1pence.</t>
        </is>
      </c>
      <c r="J23" s="72">
        <f>F23</f>
        <v/>
      </c>
      <c r="K23" s="72">
        <f>F23</f>
        <v/>
      </c>
    </row>
    <row r="24">
      <c r="A24" t="inlineStr">
        <is>
          <t>Cost of carts</t>
        </is>
      </c>
      <c r="B24" t="n">
        <v>0</v>
      </c>
      <c r="C24" t="n">
        <v>0</v>
      </c>
      <c r="D24" t="n">
        <v>6</v>
      </c>
      <c r="F24" s="72" t="n">
        <v>0.03</v>
      </c>
      <c r="H24" t="inlineStr">
        <is>
          <t>1 pair of tie-beams 6pence.</t>
        </is>
      </c>
      <c r="J24" s="72">
        <f>F24</f>
        <v/>
      </c>
      <c r="K24" s="72">
        <f>F24</f>
        <v/>
      </c>
    </row>
    <row r="25">
      <c r="A25" t="inlineStr">
        <is>
          <t>Cost of carts</t>
        </is>
      </c>
      <c r="B25" t="n">
        <v>0</v>
      </c>
      <c r="C25" t="n">
        <v>1</v>
      </c>
      <c r="D25" t="n">
        <v>1</v>
      </c>
      <c r="F25" s="72" t="n">
        <v>0.05</v>
      </c>
      <c r="H25" t="inlineStr">
        <is>
          <t>2 pairs of traces bought 1 shilling 1pence.</t>
        </is>
      </c>
      <c r="J25" s="72">
        <f>F25</f>
        <v/>
      </c>
      <c r="K25" s="72">
        <f>F25</f>
        <v/>
      </c>
    </row>
    <row r="26">
      <c r="A26" t="inlineStr">
        <is>
          <t>Cost of carts</t>
        </is>
      </c>
      <c r="B26" t="n">
        <v>0</v>
      </c>
      <c r="C26" t="n">
        <v>0</v>
      </c>
      <c r="D26" t="n">
        <v>5</v>
      </c>
      <c r="F26" s="72" t="n">
        <v>0.02</v>
      </c>
      <c r="H26" t="inlineStr">
        <is>
          <t>2 halters bought 5pence.</t>
        </is>
      </c>
      <c r="J26" s="72">
        <f>F26</f>
        <v/>
      </c>
      <c r="K26" s="72">
        <f>F26</f>
        <v/>
      </c>
    </row>
    <row r="27">
      <c r="A27" t="inlineStr">
        <is>
          <t>Cost of carts</t>
        </is>
      </c>
      <c r="B27" t="n">
        <v>0</v>
      </c>
      <c r="C27" t="n">
        <v>0</v>
      </c>
      <c r="D27" t="n">
        <v>4</v>
      </c>
      <c r="F27" s="72" t="n">
        <v>0.02</v>
      </c>
      <c r="H27" t="inlineStr">
        <is>
          <t>1 saddle-base bought 4pence.</t>
        </is>
      </c>
      <c r="J27" s="72">
        <f>F27</f>
        <v/>
      </c>
      <c r="K27" s="72">
        <f>F27</f>
        <v/>
      </c>
    </row>
    <row r="28">
      <c r="A28" t="inlineStr">
        <is>
          <t>Cost of carts</t>
        </is>
      </c>
      <c r="B28" t="n">
        <v>0</v>
      </c>
      <c r="C28" t="n">
        <v>1</v>
      </c>
      <c r="D28" t="n">
        <v>2</v>
      </c>
      <c r="F28" s="72" t="n">
        <v>0.06</v>
      </c>
      <c r="H28" t="inlineStr">
        <is>
          <t>1 cart-rope 1 shilling 2pence.</t>
        </is>
      </c>
      <c r="J28" s="72">
        <f>F28</f>
        <v/>
      </c>
      <c r="K28" s="72">
        <f>F28</f>
        <v/>
      </c>
    </row>
    <row r="29">
      <c r="A29" t="inlineStr">
        <is>
          <t>Cost of carts</t>
        </is>
      </c>
      <c r="B29" t="n">
        <v>0</v>
      </c>
      <c r="C29" t="n">
        <v>3</v>
      </c>
      <c r="D29" t="n">
        <v>6</v>
      </c>
      <c r="F29" s="72" t="n">
        <v>0.17</v>
      </c>
      <c r="H29" t="inlineStr">
        <is>
          <t>shoeing 3 cart-horses for the year and 1 for 1 term 3 shilling 6pence.</t>
        </is>
      </c>
      <c r="J29" s="72">
        <f>F29</f>
        <v/>
      </c>
      <c r="K29" s="72">
        <f>F29</f>
        <v/>
      </c>
    </row>
    <row r="30">
      <c r="A30" t="inlineStr">
        <is>
          <t>Cost of carts</t>
        </is>
      </c>
      <c r="B30" t="n">
        <v>0</v>
      </c>
      <c r="C30" t="n">
        <v>3</v>
      </c>
      <c r="D30" t="n">
        <v>0</v>
      </c>
      <c r="F30" s="72">
        <f>B30+C30/20+D30/240</f>
        <v/>
      </c>
      <c r="H30" t="inlineStr">
        <is>
          <t xml:space="preserve">stipend of 1 carter for the year 3 shilling </t>
        </is>
      </c>
      <c r="J30" s="72">
        <f>F30</f>
        <v/>
      </c>
      <c r="K30" s="72">
        <f>J30/2</f>
        <v/>
      </c>
    </row>
    <row r="31">
      <c r="A31" t="inlineStr">
        <is>
          <t>Cost of carts</t>
        </is>
      </c>
      <c r="B31" t="n">
        <v>0</v>
      </c>
      <c r="C31" t="n">
        <v>13</v>
      </c>
      <c r="D31" t="n">
        <v>1</v>
      </c>
      <c r="F31" s="72">
        <f>B31+C31/20+D31/240</f>
        <v/>
      </c>
      <c r="H31" t="inlineStr">
        <is>
          <t>Total, 13 shilling 1pence</t>
        </is>
      </c>
    </row>
    <row r="32">
      <c r="A32" t="inlineStr">
        <is>
          <t>Cost of carts</t>
        </is>
      </c>
      <c r="F32" s="72" t="n">
        <v>0.6500000000000001</v>
      </c>
      <c r="G32" s="139">
        <f>F32-F31</f>
        <v/>
      </c>
      <c r="H32" t="inlineStr">
        <is>
          <t>Total</t>
        </is>
      </c>
    </row>
    <row r="33"/>
    <row r="34">
      <c r="A34" t="inlineStr">
        <is>
          <t>Cost of buildings</t>
        </is>
      </c>
      <c r="B34" t="n">
        <v>0</v>
      </c>
      <c r="C34" t="n">
        <v>1</v>
      </c>
      <c r="D34" t="n">
        <v>6</v>
      </c>
      <c r="F34" s="72">
        <f>B34+C34/20+D34/240</f>
        <v/>
      </c>
      <c r="H34" t="inlineStr">
        <is>
          <t>In roofing the wheat-barn in places 1 shilling 6pence.</t>
        </is>
      </c>
      <c r="J34" s="72">
        <f>F34</f>
        <v/>
      </c>
      <c r="K34" s="72">
        <f>J34</f>
        <v/>
      </c>
    </row>
    <row r="35">
      <c r="A35" t="inlineStr">
        <is>
          <t>Cost of buildings</t>
        </is>
      </c>
      <c r="B35" t="n">
        <v>0</v>
      </c>
      <c r="C35" t="n">
        <v>3</v>
      </c>
      <c r="D35" t="n">
        <v>0</v>
      </c>
      <c r="F35" s="72">
        <f>B35+C35/20+D35/240</f>
        <v/>
      </c>
      <c r="H35" t="inlineStr">
        <is>
          <t>roofing and mending the byre and sheepcote beside the church in places 3 shilling.</t>
        </is>
      </c>
      <c r="J35" s="72">
        <f>F35</f>
        <v/>
      </c>
      <c r="K35" s="72">
        <f>J35</f>
        <v/>
      </c>
    </row>
    <row r="36">
      <c r="A36" t="inlineStr">
        <is>
          <t>Cost of buildings</t>
        </is>
      </c>
      <c r="B36" t="n">
        <v>0</v>
      </c>
      <c r="C36" t="n">
        <v>1</v>
      </c>
      <c r="D36" t="n">
        <v>3</v>
      </c>
      <c r="F36" s="72">
        <f>B36+C36/20+D36/240</f>
        <v/>
      </c>
      <c r="H36" t="inlineStr">
        <is>
          <t>roofing the sheepcote of Landecumbe 1 shilling 3pence.</t>
        </is>
      </c>
      <c r="J36" s="72">
        <f>F36</f>
        <v/>
      </c>
      <c r="K36" s="72">
        <f>J36</f>
        <v/>
      </c>
    </row>
    <row r="37">
      <c r="A37" t="inlineStr">
        <is>
          <t>Cost of buildings</t>
        </is>
      </c>
      <c r="B37" t="n">
        <v>0</v>
      </c>
      <c r="C37" t="n">
        <v>1</v>
      </c>
      <c r="D37" t="n">
        <v>6</v>
      </c>
      <c r="F37" s="72">
        <f>B37+C37/20+D37/240</f>
        <v/>
      </c>
      <c r="H37" t="inlineStr">
        <is>
          <t>constructing 2 perches of palisade between the curia and the cemetery 1 shilling 6pence.</t>
        </is>
      </c>
      <c r="J37" s="72">
        <f>F37</f>
        <v/>
      </c>
      <c r="K37" s="72">
        <f>J37</f>
        <v/>
      </c>
    </row>
    <row r="38">
      <c r="A38" t="inlineStr">
        <is>
          <t>Cost of buildings</t>
        </is>
      </c>
      <c r="B38" t="n">
        <v>0</v>
      </c>
      <c r="C38" t="n">
        <v>1</v>
      </c>
      <c r="D38" t="n">
        <v>0</v>
      </c>
      <c r="F38" s="72">
        <f>B38+C38/20+D38/240</f>
        <v/>
      </c>
      <c r="H38" t="inlineStr">
        <is>
          <t>pulling down the old byre 1 shilling.</t>
        </is>
      </c>
      <c r="J38" s="72">
        <f>F38</f>
        <v/>
      </c>
      <c r="K38" s="72">
        <f>J38</f>
        <v/>
      </c>
    </row>
    <row r="39">
      <c r="A39" t="inlineStr">
        <is>
          <t>Cost of buildings</t>
        </is>
      </c>
      <c r="B39" t="n">
        <v>0</v>
      </c>
      <c r="C39" t="n">
        <v>4</v>
      </c>
      <c r="D39" t="n">
        <v>0</v>
      </c>
      <c r="F39" s="72">
        <f>B39+C39/20+D39/240</f>
        <v/>
      </c>
      <c r="H39" t="inlineStr">
        <is>
          <t>cleaning the grips in the field 4 shilling.</t>
        </is>
      </c>
      <c r="J39" s="72" t="n"/>
    </row>
    <row r="40">
      <c r="A40" t="inlineStr">
        <is>
          <t>Cost of buildings</t>
        </is>
      </c>
      <c r="B40" t="n">
        <v>0</v>
      </c>
      <c r="C40" t="n">
        <v>1</v>
      </c>
      <c r="D40" t="n">
        <v>6</v>
      </c>
      <c r="F40" s="72">
        <f>B40+C40/20+D40/240</f>
        <v/>
      </c>
      <c r="H40" t="inlineStr">
        <is>
          <t>marling the land sown with barley 1 shilling 6pence.</t>
        </is>
      </c>
      <c r="J40" s="72" t="n"/>
    </row>
    <row r="41">
      <c r="A41" t="inlineStr">
        <is>
          <t>Cost of buildings</t>
        </is>
      </c>
      <c r="B41" t="n">
        <v>0</v>
      </c>
      <c r="C41" t="n">
        <v>13</v>
      </c>
      <c r="D41" t="n">
        <v>10</v>
      </c>
      <c r="F41" s="72">
        <f>B41+C41/20+D41/240</f>
        <v/>
      </c>
      <c r="H41" t="inlineStr">
        <is>
          <t>forage bought 13 shilling 10pence.</t>
        </is>
      </c>
    </row>
    <row r="42">
      <c r="A42" t="inlineStr">
        <is>
          <t>Cost of buildings</t>
        </is>
      </c>
      <c r="B42" t="n">
        <v>0</v>
      </c>
      <c r="C42" t="n">
        <v>5</v>
      </c>
      <c r="D42" t="n">
        <v>0</v>
      </c>
      <c r="F42" s="72">
        <f>B42+C42/20+D42/240</f>
        <v/>
      </c>
      <c r="H42" t="inlineStr">
        <is>
          <t xml:space="preserve">3 pigs bought 5 shilling </t>
        </is>
      </c>
    </row>
    <row r="43">
      <c r="A43" t="inlineStr">
        <is>
          <t>Cost of buildings</t>
        </is>
      </c>
      <c r="B43" t="n">
        <v>1</v>
      </c>
      <c r="C43" t="n">
        <v>8</v>
      </c>
      <c r="D43" t="n">
        <v>11</v>
      </c>
      <c r="F43" s="72">
        <f>B43+C43/20+D43/240</f>
        <v/>
      </c>
      <c r="H43" t="inlineStr">
        <is>
          <t>Total, £1 8 shilling 11pence</t>
        </is>
      </c>
    </row>
    <row r="44">
      <c r="A44" t="inlineStr">
        <is>
          <t>Cost of buildings</t>
        </is>
      </c>
      <c r="F44" s="72">
        <f>SUM(F34:F42)</f>
        <v/>
      </c>
      <c r="G44" s="139">
        <f>F44-F43</f>
        <v/>
      </c>
      <c r="H44" t="inlineStr">
        <is>
          <t>Total</t>
        </is>
      </c>
    </row>
    <row r="45"/>
    <row r="46">
      <c r="A46" t="inlineStr">
        <is>
          <t>Sheepcote and sheepfold</t>
        </is>
      </c>
      <c r="B46" t="n">
        <v>0</v>
      </c>
      <c r="C46" t="n">
        <v>12</v>
      </c>
      <c r="D46" t="n">
        <v>4</v>
      </c>
      <c r="F46" s="72" t="n">
        <v>0.62</v>
      </c>
      <c r="H46" t="inlineStr">
        <is>
          <t>In grease bought for greasing sheep 12 shilling 4pence.</t>
        </is>
      </c>
      <c r="J46" s="72">
        <f>F46</f>
        <v/>
      </c>
      <c r="K46" s="72">
        <f>J46</f>
        <v/>
      </c>
    </row>
    <row r="47">
      <c r="A47" t="inlineStr">
        <is>
          <t>Sheepcote and sheepfold</t>
        </is>
      </c>
      <c r="B47" t="n">
        <v>0</v>
      </c>
      <c r="C47" t="n">
        <v>1</v>
      </c>
      <c r="D47" t="n">
        <v>0</v>
      </c>
      <c r="F47" s="72" t="n">
        <v>0.05</v>
      </c>
      <c r="H47" t="inlineStr">
        <is>
          <t>stipend of 1 shepherd for' year 1 shilling.</t>
        </is>
      </c>
      <c r="J47" s="72">
        <f>F47</f>
        <v/>
      </c>
      <c r="K47" s="72">
        <f>J47</f>
        <v/>
      </c>
    </row>
    <row r="48">
      <c r="A48" t="inlineStr">
        <is>
          <t>Sheepcote and sheepfold</t>
        </is>
      </c>
      <c r="B48" t="n">
        <v>0</v>
      </c>
      <c r="C48" t="n">
        <v>0</v>
      </c>
      <c r="D48" t="n">
        <v>5</v>
      </c>
      <c r="F48" s="72" t="n">
        <v>0.02</v>
      </c>
      <c r="H48" t="inlineStr">
        <is>
          <t>wattling the fold 5pence.</t>
        </is>
      </c>
      <c r="J48" s="72">
        <f>F48</f>
        <v/>
      </c>
      <c r="K48" s="72">
        <f>J48</f>
        <v/>
      </c>
    </row>
    <row r="49">
      <c r="A49" t="inlineStr">
        <is>
          <t>Sheepcote and sheepfold</t>
        </is>
      </c>
      <c r="B49" t="n">
        <v>0</v>
      </c>
      <c r="C49" t="n">
        <v>0</v>
      </c>
      <c r="D49" t="n">
        <v>2</v>
      </c>
      <c r="F49" s="72">
        <f>B49+C49/20+D49/240</f>
        <v/>
      </c>
      <c r="H49" t="inlineStr">
        <is>
          <t xml:space="preserve">mending hurdles bought 2pence </t>
        </is>
      </c>
      <c r="J49" s="72">
        <f>F49</f>
        <v/>
      </c>
      <c r="K49" s="72">
        <f>J49</f>
        <v/>
      </c>
    </row>
    <row r="50">
      <c r="A50" t="inlineStr">
        <is>
          <t>Sheepcote and sheepfold</t>
        </is>
      </c>
      <c r="B50" t="n">
        <v>0</v>
      </c>
      <c r="C50" t="n">
        <v>13</v>
      </c>
      <c r="D50" t="n">
        <v>11</v>
      </c>
      <c r="F50" s="72">
        <f>B50+C50/20+D50/240</f>
        <v/>
      </c>
      <c r="H50" t="inlineStr">
        <is>
          <t>Total, 13 shilling 11pence</t>
        </is>
      </c>
    </row>
    <row r="51">
      <c r="A51" t="inlineStr">
        <is>
          <t>Sheepcote and sheepfold</t>
        </is>
      </c>
      <c r="F51" s="72">
        <f>SUM(F46:F49)</f>
        <v/>
      </c>
      <c r="G51" s="139">
        <f>F51-F50</f>
        <v/>
      </c>
      <c r="H51" t="inlineStr">
        <is>
          <t>Total</t>
        </is>
      </c>
    </row>
    <row r="52"/>
    <row r="53">
      <c r="A53" t="inlineStr">
        <is>
          <t>Threshing and winnowing</t>
        </is>
      </c>
      <c r="B53" t="n">
        <v>0</v>
      </c>
      <c r="C53" t="n">
        <v>17</v>
      </c>
      <c r="D53" t="n">
        <v>4</v>
      </c>
      <c r="F53" s="72" t="n">
        <v>0.87</v>
      </c>
      <c r="H53" t="inlineStr">
        <is>
          <t>In threshing and winnowing 104 quarters of wheat by piece-work 17 shilling 4pence, at 2pence a qr.</t>
        </is>
      </c>
    </row>
    <row r="54">
      <c r="A54" t="inlineStr">
        <is>
          <t>Threshing and winnowing</t>
        </is>
      </c>
      <c r="B54" t="n">
        <v>0</v>
      </c>
      <c r="C54" t="n">
        <v>5</v>
      </c>
      <c r="D54" t="n">
        <v>8.5</v>
      </c>
      <c r="F54" s="72" t="n">
        <v>0.29</v>
      </c>
      <c r="H54" t="inlineStr">
        <is>
          <t>threshing 39 quarters 1 bushels of bere by piece-work 5 shilling 8.5pence, at 1.75pence a qr.</t>
        </is>
      </c>
    </row>
    <row r="55">
      <c r="A55" t="inlineStr">
        <is>
          <t>Threshing and winnowing</t>
        </is>
      </c>
      <c r="B55" t="n">
        <v>0</v>
      </c>
      <c r="C55" t="n">
        <v>0</v>
      </c>
      <c r="D55" t="n">
        <v>10.25</v>
      </c>
      <c r="F55" s="72" t="n">
        <v>0.04</v>
      </c>
      <c r="H55" t="inlineStr">
        <is>
          <t>threshing and winnowing 8 quarters 2 bushels of barley by piece-work 10.25pence, at 1.25pence a qr.</t>
        </is>
      </c>
    </row>
    <row r="56">
      <c r="A56" t="inlineStr">
        <is>
          <t>Threshing and winnowing</t>
        </is>
      </c>
      <c r="B56" t="n">
        <v>0</v>
      </c>
      <c r="C56" t="n">
        <v>5</v>
      </c>
      <c r="D56" t="n">
        <v>1.75</v>
      </c>
      <c r="F56" s="72" t="n">
        <v>0.26</v>
      </c>
      <c r="H56" t="inlineStr">
        <is>
          <t>threshing 123.5 quarters of oats by piece-work 5 shilling 1.75pence, at .5pence a qr.</t>
        </is>
      </c>
    </row>
    <row r="57">
      <c r="A57" t="inlineStr">
        <is>
          <t>Threshing and winnowing</t>
        </is>
      </c>
      <c r="B57" t="n">
        <v>0</v>
      </c>
      <c r="C57" t="n">
        <v>1</v>
      </c>
      <c r="D57" t="n">
        <v>3.5</v>
      </c>
      <c r="F57" s="72" t="n">
        <v>0.06</v>
      </c>
      <c r="H57" t="inlineStr">
        <is>
          <t>winnowing the same 1 shilling 3.5pence, at 1pence per 8 quarters.</t>
        </is>
      </c>
    </row>
    <row r="58">
      <c r="A58" t="inlineStr">
        <is>
          <t>Threshing and winnowing</t>
        </is>
      </c>
      <c r="B58" t="n">
        <v>0</v>
      </c>
      <c r="C58" t="n">
        <v>1</v>
      </c>
      <c r="D58" t="n">
        <v>9.75</v>
      </c>
      <c r="F58" s="72" t="n">
        <v>0.09</v>
      </c>
      <c r="H58" t="inlineStr">
        <is>
          <t>4 sacks bought 1 shilling 9.75pence.</t>
        </is>
      </c>
    </row>
    <row r="59">
      <c r="A59" t="inlineStr">
        <is>
          <t>Threshing and winnowing</t>
        </is>
      </c>
      <c r="B59" t="n">
        <v>0</v>
      </c>
      <c r="C59" t="n">
        <v>0</v>
      </c>
      <c r="D59" t="n">
        <v>3</v>
      </c>
      <c r="F59" s="72">
        <f>B59+C59/20+D59/240</f>
        <v/>
      </c>
      <c r="H59" t="inlineStr">
        <is>
          <t xml:space="preserve">1 basket bought 3pence </t>
        </is>
      </c>
    </row>
    <row r="60">
      <c r="A60" t="inlineStr">
        <is>
          <t>Threshing and winnowing</t>
        </is>
      </c>
      <c r="B60" t="n">
        <v>1</v>
      </c>
      <c r="C60" t="n">
        <v>12</v>
      </c>
      <c r="D60" t="n">
        <v>4.75</v>
      </c>
      <c r="F60" s="72">
        <f>B60+C60/20+D60/240</f>
        <v/>
      </c>
      <c r="H60" t="inlineStr">
        <is>
          <t>Total, £1 12 shilling 4.75pence</t>
        </is>
      </c>
    </row>
    <row r="61">
      <c r="A61" t="inlineStr">
        <is>
          <t>Threshing and winnowing</t>
        </is>
      </c>
      <c r="F61" s="72">
        <f>SUM(F53:F59)</f>
        <v/>
      </c>
      <c r="G61" s="139">
        <f>F61-F60</f>
        <v/>
      </c>
      <c r="H61" t="inlineStr">
        <is>
          <t>Total</t>
        </is>
      </c>
    </row>
    <row r="62"/>
    <row r="63">
      <c r="A63" t="inlineStr">
        <is>
          <t>Weeding</t>
        </is>
      </c>
      <c r="B63" t="n">
        <v>0</v>
      </c>
      <c r="C63" t="n">
        <v>3</v>
      </c>
      <c r="D63" t="n">
        <v>4</v>
      </c>
      <c r="F63" s="72" t="n">
        <v>0.17</v>
      </c>
      <c r="H63" t="inlineStr">
        <is>
          <t>In weeding corn this year 3 shilling 4pence</t>
        </is>
      </c>
    </row>
    <row r="64">
      <c r="A64" t="inlineStr">
        <is>
          <t>Weeding</t>
        </is>
      </c>
      <c r="F64" s="72" t="n">
        <v>0.17</v>
      </c>
      <c r="H64" t="inlineStr">
        <is>
          <t xml:space="preserve"> Total, 3 shilling 4pence</t>
        </is>
      </c>
    </row>
    <row r="65">
      <c r="A65" t="inlineStr">
        <is>
          <t>Weeding</t>
        </is>
      </c>
      <c r="F65" s="72" t="n">
        <v>0.17</v>
      </c>
      <c r="G65" s="139" t="n">
        <v>0</v>
      </c>
      <c r="H65" t="inlineStr">
        <is>
          <t>Total</t>
        </is>
      </c>
    </row>
    <row r="66"/>
    <row r="67">
      <c r="A67" t="inlineStr">
        <is>
          <t>Harvest-time</t>
        </is>
      </c>
      <c r="B67" t="n">
        <v>0</v>
      </c>
      <c r="C67" t="n">
        <v>0</v>
      </c>
      <c r="D67" t="n">
        <v>6</v>
      </c>
      <c r="F67" s="72" t="n">
        <v>0.03</v>
      </c>
      <c r="H67" t="inlineStr">
        <is>
          <t>In mowing 10 acres of meadow according to custom 6pence.</t>
        </is>
      </c>
    </row>
    <row r="68">
      <c r="A68" t="inlineStr">
        <is>
          <t>Harvest-time</t>
        </is>
      </c>
      <c r="B68" t="n">
        <v>0</v>
      </c>
      <c r="C68" t="n">
        <v>13</v>
      </c>
      <c r="D68" t="n">
        <v>4</v>
      </c>
      <c r="F68" s="72" t="n">
        <v>0.67</v>
      </c>
      <c r="H68" t="inlineStr">
        <is>
          <t>2 boon-works of 167 men with the officials of the curia who reaped 65 acres of wheat and 66 acres of oats as they lie 13 shilling 4pence.</t>
        </is>
      </c>
    </row>
    <row r="69">
      <c r="A69" t="inlineStr">
        <is>
          <t>Harvest-time</t>
        </is>
      </c>
      <c r="B69" t="n">
        <v>0</v>
      </c>
      <c r="C69" t="n">
        <v>6</v>
      </c>
      <c r="D69" t="n">
        <v>9</v>
      </c>
      <c r="F69" s="72" t="n">
        <v>0.34</v>
      </c>
      <c r="H69" t="inlineStr">
        <is>
          <t>1 boon-work of 81 free men of Eneburn and Earlstone who reaped 33 acres of wheat as they lie 6 shilling 9pence, as in bread, ale and relish.</t>
        </is>
      </c>
    </row>
    <row r="70">
      <c r="A70" t="inlineStr">
        <is>
          <t>Harvest-time</t>
        </is>
      </c>
      <c r="B70" t="n">
        <v>0</v>
      </c>
      <c r="C70" t="n">
        <v>6</v>
      </c>
      <c r="D70" t="n">
        <v>2</v>
      </c>
      <c r="F70" s="72" t="n">
        <v>0.31</v>
      </c>
      <c r="H70" t="inlineStr">
        <is>
          <t>36 acres of oats reaped by piece-work 6 shilling, at 2pence an acre.</t>
        </is>
      </c>
    </row>
    <row r="71">
      <c r="A71" t="inlineStr">
        <is>
          <t>Harvest-time</t>
        </is>
      </c>
      <c r="B71" t="n">
        <v>1</v>
      </c>
      <c r="C71" t="n">
        <v>6</v>
      </c>
      <c r="D71" t="n">
        <v>7</v>
      </c>
      <c r="F71" s="72" t="n">
        <v>1.33</v>
      </c>
      <c r="H71" t="inlineStr">
        <is>
          <t>Total, £1 6 shilling 7pence</t>
        </is>
      </c>
    </row>
    <row r="72">
      <c r="A72" t="inlineStr">
        <is>
          <t>Harvest-time</t>
        </is>
      </c>
      <c r="F72" s="72" t="n">
        <v>1.35</v>
      </c>
      <c r="G72" s="139">
        <f>F72-F71</f>
        <v/>
      </c>
      <c r="H72" t="inlineStr">
        <is>
          <t>Total</t>
        </is>
      </c>
    </row>
    <row r="73"/>
    <row r="74">
      <c r="A74" t="inlineStr">
        <is>
          <t>Cost of the mill</t>
        </is>
      </c>
      <c r="B74" t="n">
        <v>0</v>
      </c>
      <c r="C74" t="n">
        <v>0</v>
      </c>
      <c r="D74" t="n">
        <v>4</v>
      </c>
      <c r="F74" s="72" t="n">
        <v>0.02</v>
      </c>
      <c r="H74" t="inlineStr">
        <is>
          <t>In roofing the mill-building 4pence.</t>
        </is>
      </c>
      <c r="J74" s="72">
        <f>F74</f>
        <v/>
      </c>
    </row>
    <row r="75">
      <c r="A75" t="inlineStr">
        <is>
          <t>Cost of the mill</t>
        </is>
      </c>
      <c r="B75" t="n">
        <v>0</v>
      </c>
      <c r="C75" t="n">
        <v>0</v>
      </c>
      <c r="D75" t="n">
        <v>4</v>
      </c>
      <c r="F75" s="72" t="n">
        <v>0.02</v>
      </c>
      <c r="H75" t="inlineStr">
        <is>
          <t>steeling and mending bills 4pence.</t>
        </is>
      </c>
      <c r="J75" s="72">
        <f>F75</f>
        <v/>
      </c>
    </row>
    <row r="76">
      <c r="A76" t="inlineStr">
        <is>
          <t>Cost of the mill</t>
        </is>
      </c>
      <c r="B76" t="n">
        <v>0</v>
      </c>
      <c r="C76" t="n">
        <v>0</v>
      </c>
      <c r="D76" t="n">
        <v>3</v>
      </c>
      <c r="F76" s="72" t="n">
        <v>0.01</v>
      </c>
      <c r="H76" t="inlineStr">
        <is>
          <t>1 gudgeon for the driving-shaft of the mill 3pence.</t>
        </is>
      </c>
      <c r="J76" s="72">
        <f>F76</f>
        <v/>
      </c>
    </row>
    <row r="77">
      <c r="A77" t="inlineStr">
        <is>
          <t>Cost of the mill</t>
        </is>
      </c>
      <c r="B77" t="n">
        <v>0</v>
      </c>
      <c r="C77" t="n">
        <v>2</v>
      </c>
      <c r="D77" t="n">
        <v>1.5</v>
      </c>
      <c r="F77" s="72" t="n">
        <v>0.11</v>
      </c>
      <c r="H77" t="inlineStr">
        <is>
          <t>1 large mill-iron made under the driving-shaft of the mill with iron bought for the same 2 shilling 1.5pence.</t>
        </is>
      </c>
      <c r="J77" s="72">
        <f>F77</f>
        <v/>
      </c>
    </row>
    <row r="78">
      <c r="A78" t="inlineStr">
        <is>
          <t>Cost of the mill</t>
        </is>
      </c>
      <c r="B78" t="n">
        <v>0</v>
      </c>
      <c r="C78" t="n">
        <v>10</v>
      </c>
      <c r="D78" t="n">
        <v>2</v>
      </c>
      <c r="F78" s="72" t="n">
        <v>0.51</v>
      </c>
      <c r="H78" t="inlineStr">
        <is>
          <t>40 ells of canvas bought for the mill's sails 10 shilling 2pence, at 3.25pence an ell.</t>
        </is>
      </c>
      <c r="J78" s="72">
        <f>F78</f>
        <v/>
      </c>
    </row>
    <row r="79">
      <c r="A79" t="inlineStr">
        <is>
          <t>Cost of the mill</t>
        </is>
      </c>
      <c r="B79" t="n">
        <v>0</v>
      </c>
      <c r="C79" t="n">
        <v>0</v>
      </c>
      <c r="D79" t="n">
        <v>6</v>
      </c>
      <c r="F79" s="72" t="n">
        <v>0.03</v>
      </c>
      <c r="H79" t="inlineStr">
        <is>
          <t>grease bought 6pence.</t>
        </is>
      </c>
      <c r="J79" s="72">
        <f>F79</f>
        <v/>
      </c>
    </row>
    <row r="80">
      <c r="A80" t="inlineStr">
        <is>
          <t>Cost of the mill</t>
        </is>
      </c>
      <c r="B80" t="n">
        <v>0</v>
      </c>
      <c r="C80" t="n">
        <v>6</v>
      </c>
      <c r="D80" t="n">
        <v>0</v>
      </c>
      <c r="F80" s="72">
        <f>B80+C80/20+D80/240</f>
        <v/>
      </c>
      <c r="H80" t="inlineStr">
        <is>
          <t xml:space="preserve">stipend of 1 miller for the year 6 shilling </t>
        </is>
      </c>
      <c r="J80" s="72">
        <f>F80</f>
        <v/>
      </c>
    </row>
    <row r="81">
      <c r="A81" t="inlineStr">
        <is>
          <t>Cost of the mill</t>
        </is>
      </c>
      <c r="B81" t="n">
        <v>1</v>
      </c>
      <c r="C81" t="n">
        <v>0</v>
      </c>
      <c r="D81" t="n">
        <v>4.5</v>
      </c>
      <c r="F81" s="72">
        <f>B81+C81/20+D81/240</f>
        <v/>
      </c>
      <c r="H81" t="inlineStr">
        <is>
          <t>Total, £1 4.5pence</t>
        </is>
      </c>
    </row>
    <row r="82">
      <c r="A82" t="inlineStr">
        <is>
          <t>Cost of the mill</t>
        </is>
      </c>
      <c r="F82" s="72" t="n">
        <v>1.72</v>
      </c>
      <c r="G82" s="139">
        <f>F82-F81</f>
        <v/>
      </c>
      <c r="H82" t="inlineStr">
        <is>
          <t>Total</t>
        </is>
      </c>
    </row>
    <row r="83"/>
    <row r="84">
      <c r="A84" t="inlineStr">
        <is>
          <t>Total of all expenses</t>
        </is>
      </c>
      <c r="B84" t="n">
        <v>26</v>
      </c>
      <c r="C84" t="n">
        <v>2</v>
      </c>
      <c r="D84" t="n">
        <v>6.25</v>
      </c>
      <c r="F84" s="72" t="n">
        <v>26.13</v>
      </c>
      <c r="H84" t="inlineStr">
        <is>
          <t>Total of all expenses, £26 2 shilling 6.25pence</t>
        </is>
      </c>
    </row>
    <row r="85">
      <c r="A85" t="inlineStr">
        <is>
          <t>Total of all expenses</t>
        </is>
      </c>
      <c r="F85" s="72" t="n">
        <v>26.13</v>
      </c>
      <c r="G85" s="139">
        <f>F85-F84</f>
        <v/>
      </c>
      <c r="H85" t="inlineStr">
        <is>
          <t>Total</t>
        </is>
      </c>
    </row>
    <row r="86"/>
    <row r="87"/>
    <row r="88">
      <c r="A88" t="inlineStr">
        <is>
          <t>And he owes</t>
        </is>
      </c>
      <c r="B88" t="n">
        <v>57</v>
      </c>
      <c r="C88" t="n">
        <v>17</v>
      </c>
      <c r="D88" t="n">
        <v>11.25</v>
      </c>
      <c r="F88" s="72" t="n">
        <v>57.9</v>
      </c>
      <c r="H88" t="inlineStr">
        <is>
          <t>And he owes, £57 17 shilling 11.25pence</t>
        </is>
      </c>
    </row>
    <row r="89">
      <c r="A89" t="inlineStr">
        <is>
          <t>And he owes</t>
        </is>
      </c>
      <c r="F89" s="72" t="n">
        <v>57.9</v>
      </c>
      <c r="G89" s="139" t="n">
        <v>0</v>
      </c>
      <c r="H89" t="inlineStr">
        <is>
          <t>Total</t>
        </is>
      </c>
    </row>
    <row r="90"/>
    <row r="91"/>
    <row r="92">
      <c r="A92" t="inlineStr">
        <is>
          <t>Cash deliveries</t>
        </is>
      </c>
      <c r="B92" t="n">
        <v>30</v>
      </c>
      <c r="C92" t="n">
        <v>13</v>
      </c>
      <c r="D92" t="n">
        <v>4</v>
      </c>
      <c r="F92" s="72" t="n">
        <v>30.67</v>
      </c>
      <c r="H92" t="inlineStr">
        <is>
          <t>Delivered to Sir Geoffrey, treasurer of Wolvesey, by 1 tally, £30 13 shilling 4pence</t>
        </is>
      </c>
    </row>
    <row r="93"/>
    <row r="94" ht="16" customHeight="1">
      <c r="A94" s="12" t="inlineStr">
        <is>
          <t>Total of all expenses per account</t>
        </is>
      </c>
      <c r="F94" s="72">
        <f>F85</f>
        <v/>
      </c>
    </row>
    <row r="95" ht="16" customHeight="1">
      <c r="A95" s="12" t="inlineStr">
        <is>
          <t>Total of all expenses (calculated here)</t>
        </is>
      </c>
      <c r="F95" s="72">
        <f>F82+F72+F65+F61+F51+F44+F32+F20</f>
        <v/>
      </c>
      <c r="G95" s="139">
        <f>F95-F94</f>
        <v/>
      </c>
    </row>
    <row r="96" ht="16" customHeight="1">
      <c r="A96" s="12" t="inlineStr">
        <is>
          <t>Total fixed investment</t>
        </is>
      </c>
      <c r="F96" s="72">
        <f>SUM(J3:J81)</f>
        <v/>
      </c>
    </row>
    <row r="97" ht="16" customHeight="1">
      <c r="A97" s="12" t="inlineStr">
        <is>
          <t>Total Demesne fixed investment</t>
        </is>
      </c>
      <c r="F97" s="72">
        <f>SUM(K3:K80)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6"/>
  <sheetViews>
    <sheetView topLeftCell="A1" workbookViewId="0">
      <selection activeCell="A1" sqref="A1"/>
    </sheetView>
  </sheetViews>
  <sheetFormatPr baseColWidth="8" defaultRowHeight="15"/>
  <cols>
    <col width="30" customWidth="1" min="1" max="1"/>
    <col width="12.1640625" customWidth="1" min="2" max="2"/>
    <col width="11.83203125" customWidth="1" min="3" max="3"/>
    <col width="12.6640625" customWidth="1" min="4" max="4"/>
    <col width="15.83203125" customWidth="1" min="5" max="5"/>
    <col width="18.6640625" customWidth="1" min="7" max="7"/>
    <col width="25.6640625" customWidth="1" min="10" max="10"/>
    <col width="20.6640625" customWidth="1" min="12" max="12"/>
    <col width="17.83203125" customWidth="1" min="13" max="13"/>
    <col width="8.1640625" customWidth="1" min="14" max="14"/>
    <col width="19.5" customWidth="1" min="15" max="15"/>
    <col width="25.6640625" customWidth="1" min="16" max="16"/>
  </cols>
  <sheetData>
    <row r="1" ht="48" customHeight="1">
      <c r="A1" s="37" t="inlineStr">
        <is>
          <t>Gross Output</t>
        </is>
      </c>
      <c r="B1" s="37" t="inlineStr">
        <is>
          <t>Total Quantity</t>
        </is>
      </c>
      <c r="C1" s="140" t="inlineStr">
        <is>
          <t>Account Total Quarters</t>
        </is>
      </c>
      <c r="D1" s="140" t="inlineStr">
        <is>
          <t>Bought in Total Quarters</t>
        </is>
      </c>
      <c r="E1" s="140" t="inlineStr">
        <is>
          <t>Received from churchscot</t>
        </is>
      </c>
      <c r="F1" s="37" t="inlineStr">
        <is>
          <t>Sold Total Quarters</t>
        </is>
      </c>
      <c r="G1" s="140" t="inlineStr">
        <is>
          <t>Difference Produced+Bought-Sold</t>
        </is>
      </c>
      <c r="H1" s="140" t="inlineStr">
        <is>
          <t>Weighted Average Price per Quarter</t>
        </is>
      </c>
      <c r="I1" s="141" t="inlineStr">
        <is>
          <t>Value of Total Production weighted</t>
        </is>
      </c>
    </row>
    <row r="2">
      <c r="A2" t="inlineStr">
        <is>
          <t>wheat</t>
        </is>
      </c>
      <c r="B2" t="n">
        <v>135.625</v>
      </c>
      <c r="D2" t="n">
        <v>0</v>
      </c>
      <c r="F2" t="n">
        <v>90.5</v>
      </c>
      <c r="G2" s="72">
        <f>B2-F2</f>
        <v/>
      </c>
      <c r="H2" s="72" t="n">
        <v>0.3333333333333333</v>
      </c>
      <c r="I2" s="72">
        <f>H2*B2</f>
        <v/>
      </c>
    </row>
    <row r="3">
      <c r="A3" t="inlineStr">
        <is>
          <t>bere</t>
        </is>
      </c>
      <c r="B3" t="n">
        <v>60.875</v>
      </c>
      <c r="D3" t="n">
        <v>10.75</v>
      </c>
      <c r="F3" t="n">
        <v>26.875</v>
      </c>
      <c r="G3" s="72">
        <f>B3-F3</f>
        <v/>
      </c>
      <c r="H3" s="72" t="n">
        <v>0.2</v>
      </c>
      <c r="I3" s="72">
        <f>H3*B3</f>
        <v/>
      </c>
    </row>
    <row r="4">
      <c r="A4" t="inlineStr">
        <is>
          <t>barley</t>
        </is>
      </c>
      <c r="B4" t="n">
        <v>13.75</v>
      </c>
      <c r="D4" t="n">
        <v>3</v>
      </c>
      <c r="F4" t="n">
        <v>4.625</v>
      </c>
      <c r="G4" s="72">
        <f>B4-F4</f>
        <v/>
      </c>
      <c r="H4" s="72" t="n">
        <v>0.2</v>
      </c>
      <c r="I4" s="72">
        <f>H4*B4</f>
        <v/>
      </c>
    </row>
    <row r="5">
      <c r="A5" t="inlineStr">
        <is>
          <t>oats</t>
        </is>
      </c>
      <c r="B5" t="n">
        <v>181.125</v>
      </c>
      <c r="D5" t="n">
        <v>0</v>
      </c>
      <c r="F5" t="n">
        <v>39.75</v>
      </c>
      <c r="G5" s="72">
        <f>B5-F5</f>
        <v/>
      </c>
      <c r="H5" s="72" t="n">
        <v>0.1168238993710692</v>
      </c>
      <c r="I5" s="72">
        <f>H5*B5</f>
        <v/>
      </c>
    </row>
    <row r="6"/>
    <row r="7">
      <c r="A7" s="142" t="inlineStr">
        <is>
          <t>Total Production</t>
        </is>
      </c>
    </row>
    <row r="8">
      <c r="A8" s="142" t="inlineStr">
        <is>
          <t>Sales of corn (as recorded in accounts)</t>
        </is>
      </c>
    </row>
    <row r="9"/>
    <row r="10" ht="32" customHeight="1">
      <c r="A10" s="38" t="inlineStr">
        <is>
          <t>Net output</t>
        </is>
      </c>
      <c r="B10" s="143" t="inlineStr">
        <is>
          <t>Gross output</t>
        </is>
      </c>
      <c r="C10" s="144" t="inlineStr">
        <is>
          <t>Seed quarters</t>
        </is>
      </c>
      <c r="D10" s="144" t="inlineStr">
        <is>
          <t>Seed bushels</t>
        </is>
      </c>
      <c r="E10" s="144" t="inlineStr">
        <is>
          <t>Seed total quarters</t>
        </is>
      </c>
      <c r="F10" s="38" t="inlineStr">
        <is>
          <t>tithe quarters</t>
        </is>
      </c>
      <c r="G10" s="144" t="inlineStr">
        <is>
          <t>tithe bushels</t>
        </is>
      </c>
      <c r="H10" s="144" t="inlineStr">
        <is>
          <t>tithe total</t>
        </is>
      </c>
      <c r="I10" s="144" t="inlineStr">
        <is>
          <t>manorial servants quarters</t>
        </is>
      </c>
      <c r="J10" s="144" t="inlineStr">
        <is>
          <t>manorial servants bushels</t>
        </is>
      </c>
      <c r="K10" s="145" t="inlineStr">
        <is>
          <t>manorial servants total quarters</t>
        </is>
      </c>
      <c r="L10" s="144" t="inlineStr">
        <is>
          <t>output net of tithe, seed, liveries</t>
        </is>
      </c>
      <c r="M10" s="144" t="inlineStr">
        <is>
          <t>in stock from last year</t>
        </is>
      </c>
      <c r="N10" s="146" t="inlineStr">
        <is>
          <t>Price in £</t>
        </is>
      </c>
      <c r="O10" s="146" t="inlineStr">
        <is>
          <t>Value of net output in £</t>
        </is>
      </c>
      <c r="P10" s="143" t="inlineStr">
        <is>
          <t>Value of sales (in "Sale of Corn") in £</t>
        </is>
      </c>
    </row>
    <row r="11">
      <c r="A11" t="inlineStr">
        <is>
          <t>wheat</t>
        </is>
      </c>
      <c r="B11">
        <f>B2</f>
        <v/>
      </c>
      <c r="C11" t="n">
        <v>31</v>
      </c>
      <c r="D11" t="n">
        <v>1</v>
      </c>
      <c r="E11">
        <f>C11+D11/8</f>
        <v/>
      </c>
      <c r="I11">
        <f>1.5+4+7.5</f>
        <v/>
      </c>
      <c r="J11">
        <f>1+6+1</f>
        <v/>
      </c>
      <c r="K11" s="147">
        <f>I11+J11/8</f>
        <v/>
      </c>
      <c r="L11">
        <f>B11-E11-H11-K11</f>
        <v/>
      </c>
      <c r="N11" s="72">
        <f>H2</f>
        <v/>
      </c>
      <c r="O11" s="72">
        <f>N11*L11</f>
        <v/>
      </c>
    </row>
    <row r="12">
      <c r="A12" t="inlineStr">
        <is>
          <t>bere</t>
        </is>
      </c>
      <c r="B12">
        <f>B3</f>
        <v/>
      </c>
      <c r="C12" t="n">
        <v>4</v>
      </c>
      <c r="D12" t="n">
        <v>5</v>
      </c>
      <c r="E12">
        <f>C12+D12/8</f>
        <v/>
      </c>
      <c r="I12">
        <f>20+2.5+1+4</f>
        <v/>
      </c>
      <c r="J12">
        <f>6+4+3+2</f>
        <v/>
      </c>
      <c r="K12" s="147">
        <f>I12+J12/8</f>
        <v/>
      </c>
      <c r="L12">
        <f>B12-E12-H12-K12</f>
        <v/>
      </c>
      <c r="N12" s="72">
        <f>H3</f>
        <v/>
      </c>
      <c r="O12" s="72">
        <f>N12*L12</f>
        <v/>
      </c>
    </row>
    <row r="13">
      <c r="A13" t="inlineStr">
        <is>
          <t>barley</t>
        </is>
      </c>
      <c r="B13">
        <f>B4</f>
        <v/>
      </c>
      <c r="C13" t="n">
        <v>8.5</v>
      </c>
      <c r="D13" t="n">
        <v>1</v>
      </c>
      <c r="E13">
        <f>C13+D13/8</f>
        <v/>
      </c>
      <c r="J13" t="n">
        <v>4</v>
      </c>
      <c r="K13" s="147">
        <f>I13+J13/8</f>
        <v/>
      </c>
      <c r="L13">
        <f>B13-E13-H13-K13</f>
        <v/>
      </c>
      <c r="N13" s="72">
        <f>H4</f>
        <v/>
      </c>
      <c r="O13" s="72">
        <f>N13*L13</f>
        <v/>
      </c>
    </row>
    <row r="14">
      <c r="A14" t="inlineStr">
        <is>
          <t>oats</t>
        </is>
      </c>
      <c r="B14">
        <f>B5</f>
        <v/>
      </c>
      <c r="C14" t="n">
        <v>90</v>
      </c>
      <c r="D14" t="n">
        <v>7</v>
      </c>
      <c r="E14">
        <f>C14+D14/8</f>
        <v/>
      </c>
      <c r="I14">
        <f>6.5+4+24+12.5</f>
        <v/>
      </c>
      <c r="J14">
        <f>1+5+2</f>
        <v/>
      </c>
      <c r="K14" s="147">
        <f>I14+J14/8</f>
        <v/>
      </c>
      <c r="L14">
        <f>B14-E14-H14-K14</f>
        <v/>
      </c>
      <c r="N14" s="72">
        <f>H5</f>
        <v/>
      </c>
      <c r="O14" s="72">
        <f>N14*L14</f>
        <v/>
      </c>
    </row>
    <row r="15"/>
    <row r="16">
      <c r="A16" s="42" t="inlineStr">
        <is>
          <t>Total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topLeftCell="A1"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131"/>
  <sheetViews>
    <sheetView topLeftCell="A1" workbookViewId="0">
      <selection activeCell="A1" sqref="A1"/>
    </sheetView>
  </sheetViews>
  <sheetFormatPr baseColWidth="8" defaultRowHeight="15"/>
  <cols>
    <col width="44.33203125" customWidth="1" min="1" max="1"/>
    <col width="15.5" customWidth="1" min="10" max="10"/>
    <col width="12" customWidth="1" min="14" max="14"/>
    <col width="8.83203125" customWidth="1" min="15" max="15"/>
    <col width="17" customWidth="1" min="16" max="16"/>
    <col width="15.83203125" customWidth="1" min="17" max="17"/>
    <col width="14.83203125" customWidth="1" min="20" max="20"/>
  </cols>
  <sheetData>
    <row r="1" ht="16" customHeight="1">
      <c r="A1" s="12" t="inlineStr">
        <is>
          <t>BURGHCLERE STOCK ACCOUNT</t>
        </is>
      </c>
      <c r="B1" s="37" t="n"/>
      <c r="C1" s="37" t="n"/>
      <c r="D1" s="37" t="n"/>
      <c r="E1" s="37" t="n"/>
      <c r="F1" s="37" t="n"/>
      <c r="G1" s="37" t="n"/>
      <c r="H1" s="37" t="n"/>
      <c r="I1" s="37" t="n"/>
    </row>
    <row r="2" ht="16" customHeight="1">
      <c r="A2" s="12" t="n"/>
    </row>
    <row r="3" ht="17" customHeight="1">
      <c r="A3" s="148" t="n"/>
      <c r="B3" s="148" t="n"/>
      <c r="C3" s="148" t="inlineStr">
        <is>
          <t>added</t>
        </is>
      </c>
      <c r="G3" s="149" t="inlineStr">
        <is>
          <t>subtracted</t>
        </is>
      </c>
      <c r="K3" s="148" t="n"/>
      <c r="L3" s="148" t="n"/>
      <c r="M3" s="148" t="n"/>
      <c r="N3" s="148" t="n"/>
      <c r="O3" s="150" t="n"/>
      <c r="P3" s="150" t="n"/>
      <c r="Q3" s="148" t="n"/>
      <c r="R3" s="148" t="n"/>
      <c r="S3" s="148" t="n"/>
      <c r="T3" s="148" t="n"/>
    </row>
    <row r="4" ht="68" customHeight="1">
      <c r="A4" s="151" t="inlineStr">
        <is>
          <t>Livestock</t>
        </is>
      </c>
      <c r="B4" s="151" t="inlineStr">
        <is>
          <t>Inherited stock</t>
        </is>
      </c>
      <c r="C4" s="151" t="inlineStr">
        <is>
          <t>added</t>
        </is>
      </c>
      <c r="D4" s="152" t="inlineStr">
        <is>
          <t>strays</t>
        </is>
      </c>
      <c r="E4" s="152" t="inlineStr">
        <is>
          <t>herbage</t>
        </is>
      </c>
      <c r="F4" s="152" t="inlineStr">
        <is>
          <t>churchscot</t>
        </is>
      </c>
      <c r="G4" s="152" t="inlineStr">
        <is>
          <t>of which in default</t>
        </is>
      </c>
      <c r="H4" s="151" t="inlineStr">
        <is>
          <t>sold</t>
        </is>
      </c>
      <c r="I4" s="151" t="inlineStr">
        <is>
          <t>in murrain</t>
        </is>
      </c>
      <c r="J4" s="151" t="inlineStr">
        <is>
          <t>accounted for elsewhere</t>
        </is>
      </c>
      <c r="K4" s="151" t="inlineStr">
        <is>
          <t>End-period  stock</t>
        </is>
      </c>
      <c r="L4" s="151" t="inlineStr">
        <is>
          <t>cross-check</t>
        </is>
      </c>
      <c r="M4" s="151" t="inlineStr">
        <is>
          <t>stock building</t>
        </is>
      </c>
      <c r="N4" s="151" t="inlineStr">
        <is>
          <t>raw production</t>
        </is>
      </c>
      <c r="O4" s="153" t="inlineStr">
        <is>
          <t>Unit price (£)</t>
        </is>
      </c>
      <c r="P4" s="153" t="inlineStr">
        <is>
          <t>Value of stock  (£) at given value</t>
        </is>
      </c>
      <c r="Q4" s="151" t="inlineStr">
        <is>
          <t>Value of stock  (£) at sales prices</t>
        </is>
      </c>
      <c r="R4" s="151" t="inlineStr">
        <is>
          <t>Sales in (£)</t>
        </is>
      </c>
      <c r="S4" s="151" t="inlineStr">
        <is>
          <t>Value of stock building (£)</t>
        </is>
      </c>
      <c r="T4" s="118" t="inlineStr">
        <is>
          <t>Value of production (£) at sales prices</t>
        </is>
      </c>
      <c r="U4" s="151" t="inlineStr">
        <is>
          <t>Details</t>
        </is>
      </c>
    </row>
    <row r="5" ht="16" customHeight="1">
      <c r="A5" s="44" t="inlineStr">
        <is>
          <t>Cart-horses</t>
        </is>
      </c>
      <c r="B5" t="n">
        <v>4</v>
      </c>
      <c r="K5" t="n">
        <v>4</v>
      </c>
      <c r="L5">
        <f>B5+C5+D5+E5+F5-G5-H5-I5-J5</f>
        <v/>
      </c>
      <c r="M5">
        <f>K5-B5</f>
        <v/>
      </c>
    </row>
    <row r="6" ht="16" customHeight="1">
      <c r="A6" s="44" t="inlineStr">
        <is>
          <t>Mares</t>
        </is>
      </c>
      <c r="C6" t="n">
        <v>1</v>
      </c>
      <c r="H6" t="n">
        <v>1</v>
      </c>
      <c r="K6" t="n">
        <v>0</v>
      </c>
      <c r="L6">
        <f>B6+C6+D6+E6+F6-G6-H6-I6-J6</f>
        <v/>
      </c>
      <c r="M6">
        <f>K6-B6</f>
        <v/>
      </c>
      <c r="R6" s="72">
        <f>Receipts!F57</f>
        <v/>
      </c>
      <c r="U6" t="inlineStr">
        <is>
          <t>noted as a plough horse in issues</t>
        </is>
      </c>
    </row>
    <row r="7">
      <c r="A7" t="inlineStr">
        <is>
          <t>Plough horses</t>
        </is>
      </c>
      <c r="L7">
        <f>B7+C7+D7+E7+F7-G7-H7-I7-J7</f>
        <v/>
      </c>
      <c r="M7">
        <f>K7-B7</f>
        <v/>
      </c>
    </row>
    <row r="8">
      <c r="A8" t="inlineStr">
        <is>
          <t>Colts (unspecified years)</t>
        </is>
      </c>
      <c r="L8">
        <f>B8+C8+D8+E8+F8-G8-H8-I8-J8</f>
        <v/>
      </c>
      <c r="M8">
        <f>K8-B8</f>
        <v/>
      </c>
    </row>
    <row r="9">
      <c r="A9" t="inlineStr">
        <is>
          <t>Colts (2 years)</t>
        </is>
      </c>
      <c r="L9">
        <f>B9+C9+D9+E9+F9-G9-H9-I9-J9</f>
        <v/>
      </c>
      <c r="M9">
        <f>K9-B9</f>
        <v/>
      </c>
    </row>
    <row r="10">
      <c r="A10" t="inlineStr">
        <is>
          <t>Colts (1 year)</t>
        </is>
      </c>
      <c r="L10">
        <f>B10+C10+D10+E10+F10-G10-H10-I10-J10</f>
        <v/>
      </c>
      <c r="M10">
        <f>K10-B10</f>
        <v/>
      </c>
    </row>
    <row r="11">
      <c r="A11" t="inlineStr">
        <is>
          <t>Foals</t>
        </is>
      </c>
      <c r="L11">
        <f>B11+C11+D11+E11+F11-G11-H11-I11-J11</f>
        <v/>
      </c>
      <c r="M11">
        <f>K11-B11</f>
        <v/>
      </c>
    </row>
    <row r="12">
      <c r="A12" t="inlineStr">
        <is>
          <t>Oxen</t>
        </is>
      </c>
      <c r="B12" t="n">
        <v>56</v>
      </c>
      <c r="C12" t="n">
        <v>24</v>
      </c>
      <c r="H12" t="n">
        <v>14</v>
      </c>
      <c r="I12">
        <f>7+2</f>
        <v/>
      </c>
      <c r="K12" t="n">
        <v>57</v>
      </c>
      <c r="L12">
        <f>B12+C12+D12+E12+F12-G12-H12-I12-J12</f>
        <v/>
      </c>
      <c r="M12">
        <f>K12-B12</f>
        <v/>
      </c>
      <c r="R12" s="72">
        <f>Receipts!F58</f>
        <v/>
      </c>
    </row>
    <row r="13">
      <c r="A13" t="inlineStr">
        <is>
          <t>Bulls</t>
        </is>
      </c>
      <c r="L13">
        <f>B13+C13+D13+E13+F13-G13-H13-I13-J13</f>
        <v/>
      </c>
      <c r="M13">
        <f>K13-B13</f>
        <v/>
      </c>
    </row>
    <row r="14">
      <c r="A14" t="inlineStr">
        <is>
          <t>Cows</t>
        </is>
      </c>
      <c r="L14">
        <f>B14+C14+D14+E14+F14-G14-H14-I14-J14</f>
        <v/>
      </c>
      <c r="M14">
        <f>K14-B14</f>
        <v/>
      </c>
    </row>
    <row r="15">
      <c r="A15" t="inlineStr">
        <is>
          <t>Steers</t>
        </is>
      </c>
      <c r="L15">
        <f>B15+C15+D15+E15+F15-G15-H15-I15-J15</f>
        <v/>
      </c>
      <c r="M15">
        <f>K15-B15</f>
        <v/>
      </c>
    </row>
    <row r="16">
      <c r="A16" t="inlineStr">
        <is>
          <t>Bullocks</t>
        </is>
      </c>
      <c r="L16">
        <f>B16+C16+D16+E16+F16-G16-H16-I16-J16</f>
        <v/>
      </c>
      <c r="M16">
        <f>K16-B16</f>
        <v/>
      </c>
    </row>
    <row r="17">
      <c r="A17" t="inlineStr">
        <is>
          <t>Yearlings</t>
        </is>
      </c>
      <c r="L17">
        <f>B17+C17+D17+E17+F17-G17-H17-I17-J17</f>
        <v/>
      </c>
      <c r="M17">
        <f>K17-B17</f>
        <v/>
      </c>
    </row>
    <row r="18">
      <c r="A18" t="inlineStr">
        <is>
          <t>Calves</t>
        </is>
      </c>
      <c r="L18">
        <f>B18+C18+D18+E18+F18-G18-H18-I18-J18</f>
        <v/>
      </c>
      <c r="M18">
        <f>K18-B18</f>
        <v/>
      </c>
    </row>
    <row r="19">
      <c r="A19" t="inlineStr">
        <is>
          <t>Wethers</t>
        </is>
      </c>
      <c r="L19">
        <f>B19+C19+D19+E19+F19-G19-H19-I19-J19</f>
        <v/>
      </c>
      <c r="M19">
        <f>K19-B19</f>
        <v/>
      </c>
    </row>
    <row r="20">
      <c r="A20" t="inlineStr">
        <is>
          <t>Rams</t>
        </is>
      </c>
      <c r="B20" t="n">
        <v>16</v>
      </c>
      <c r="C20" t="n">
        <v>4</v>
      </c>
      <c r="H20" t="n">
        <v>1</v>
      </c>
      <c r="I20" t="n">
        <v>2</v>
      </c>
      <c r="J20" t="n">
        <v>3</v>
      </c>
      <c r="K20" t="n">
        <v>14</v>
      </c>
      <c r="L20">
        <f>B20+C20+D20+E20+F20-G20-H20-I20-J20</f>
        <v/>
      </c>
      <c r="M20">
        <f>K20-B20</f>
        <v/>
      </c>
      <c r="O20" s="72">
        <f>R20/(H20+H21)</f>
        <v/>
      </c>
      <c r="R20" s="72">
        <f>Receipts!F60</f>
        <v/>
      </c>
    </row>
    <row r="21">
      <c r="A21" t="inlineStr">
        <is>
          <t>Ewes</t>
        </is>
      </c>
      <c r="B21" t="n">
        <v>409</v>
      </c>
      <c r="C21" t="n">
        <v>138</v>
      </c>
      <c r="H21" t="n">
        <v>39</v>
      </c>
      <c r="I21">
        <f>7+18+7</f>
        <v/>
      </c>
      <c r="K21" t="n">
        <v>476</v>
      </c>
      <c r="L21">
        <f>B21+C21+D21+E21+F21-G21-H21-I21-J21</f>
        <v/>
      </c>
      <c r="M21">
        <f>K21-B21</f>
        <v/>
      </c>
      <c r="O21" s="72">
        <f>R20/(H20+H21)</f>
        <v/>
      </c>
      <c r="R21" s="72">
        <f>Receipts!F60</f>
        <v/>
      </c>
    </row>
    <row r="22">
      <c r="A22" t="inlineStr">
        <is>
          <t>Hoggs</t>
        </is>
      </c>
      <c r="L22">
        <f>B22+C22+D22+E22+F22-G22-H22-I22-J22</f>
        <v/>
      </c>
      <c r="M22">
        <f>K22-B22</f>
        <v/>
      </c>
    </row>
    <row r="23">
      <c r="A23" t="inlineStr">
        <is>
          <t>Lambs</t>
        </is>
      </c>
      <c r="C23" t="n">
        <v>345</v>
      </c>
      <c r="H23" t="n">
        <v>39</v>
      </c>
      <c r="I23">
        <f>7+57</f>
        <v/>
      </c>
      <c r="J23">
        <f>28+3</f>
        <v/>
      </c>
      <c r="K23" t="n">
        <v>257</v>
      </c>
      <c r="L23">
        <f>B23+C23+D23+E23+F23-G23-H23-I23-J23</f>
        <v/>
      </c>
      <c r="M23">
        <f>K23-B23</f>
        <v/>
      </c>
      <c r="U23" t="inlineStr">
        <is>
          <t>cannot be found in issues</t>
        </is>
      </c>
    </row>
    <row r="24">
      <c r="A24" t="inlineStr">
        <is>
          <t>Boars</t>
        </is>
      </c>
      <c r="L24">
        <f>B24+C24+D24+E24+F24-G24-H24-I24-J24</f>
        <v/>
      </c>
      <c r="M24">
        <f>K24-B24</f>
        <v/>
      </c>
    </row>
    <row r="25">
      <c r="A25" t="inlineStr">
        <is>
          <t>Sows</t>
        </is>
      </c>
      <c r="L25">
        <f>B25+C25+D25+E25+F25-G25-H25-I25-J25</f>
        <v/>
      </c>
      <c r="M25">
        <f>K25-B25</f>
        <v/>
      </c>
    </row>
    <row r="26">
      <c r="A26" t="inlineStr">
        <is>
          <t>Pigs</t>
        </is>
      </c>
      <c r="C26" t="n">
        <v>3</v>
      </c>
      <c r="H26" t="n">
        <v>3</v>
      </c>
      <c r="K26" t="n">
        <v>0</v>
      </c>
      <c r="L26">
        <f>B26+C26+D26+E26+F26-G26-H26-I26-J26</f>
        <v/>
      </c>
      <c r="M26">
        <f>K26-B26</f>
        <v/>
      </c>
      <c r="O26" s="72">
        <f>R26/H26</f>
        <v/>
      </c>
      <c r="R26" s="72">
        <f>Receipts!F68</f>
        <v/>
      </c>
    </row>
    <row r="27">
      <c r="A27" t="inlineStr">
        <is>
          <t>Hoggets</t>
        </is>
      </c>
    </row>
    <row r="28">
      <c r="A28" t="inlineStr">
        <is>
          <t>Piglets</t>
        </is>
      </c>
    </row>
    <row r="29">
      <c r="A29" t="inlineStr">
        <is>
          <t>Swans</t>
        </is>
      </c>
    </row>
    <row r="30">
      <c r="A30" t="inlineStr">
        <is>
          <t>Peacocks</t>
        </is>
      </c>
    </row>
    <row r="31" ht="16" customHeight="1">
      <c r="A31" s="67" t="inlineStr">
        <is>
          <t>Total Value</t>
        </is>
      </c>
      <c r="O31" s="154" t="n"/>
      <c r="R31" s="39">
        <f>SUM(R5:R29)</f>
        <v/>
      </c>
    </row>
    <row r="32"/>
    <row r="33"/>
    <row r="34" ht="17" customHeight="1">
      <c r="A34" s="66" t="inlineStr">
        <is>
          <t>Wool / Fleeces</t>
        </is>
      </c>
    </row>
    <row r="35">
      <c r="A35" t="inlineStr">
        <is>
          <t>Fleeces</t>
        </is>
      </c>
      <c r="B35">
        <f>SUM(B36:B37)</f>
        <v/>
      </c>
      <c r="J35">
        <f>35+320</f>
        <v/>
      </c>
      <c r="O35" s="72" t="n">
        <v>0.02</v>
      </c>
      <c r="T35">
        <f>O35*J35</f>
        <v/>
      </c>
    </row>
    <row r="36">
      <c r="A36" s="28" t="inlineStr">
        <is>
          <t>from rams</t>
        </is>
      </c>
      <c r="B36" t="n">
        <v>10</v>
      </c>
    </row>
    <row r="37">
      <c r="A37" s="28" t="inlineStr">
        <is>
          <t>from ewes</t>
        </is>
      </c>
      <c r="B37" t="n">
        <v>345</v>
      </c>
    </row>
    <row r="38">
      <c r="A38" t="inlineStr">
        <is>
          <t>Coarse wool</t>
        </is>
      </c>
    </row>
    <row r="39">
      <c r="A39" t="inlineStr">
        <is>
          <t>Lamb's wool</t>
        </is>
      </c>
    </row>
    <row r="40">
      <c r="A40" t="inlineStr">
        <is>
          <t>Wool locks</t>
        </is>
      </c>
    </row>
    <row r="41">
      <c r="A41" t="inlineStr">
        <is>
          <t>Wool sold at shearing</t>
        </is>
      </c>
    </row>
    <row r="42" ht="16" customHeight="1">
      <c r="A42" s="67" t="inlineStr">
        <is>
          <t>Total wool</t>
        </is>
      </c>
      <c r="O42" s="154" t="n"/>
      <c r="T42" s="39">
        <f>SUM(T35:T41)</f>
        <v/>
      </c>
    </row>
    <row r="43"/>
    <row r="44"/>
    <row r="45" ht="17" customHeight="1">
      <c r="A45" s="66" t="inlineStr">
        <is>
          <t>Hides</t>
        </is>
      </c>
    </row>
    <row r="46">
      <c r="A46" t="inlineStr">
        <is>
          <t>Ox hides</t>
        </is>
      </c>
    </row>
    <row r="47">
      <c r="A47" t="inlineStr">
        <is>
          <t>Mare</t>
        </is>
      </c>
    </row>
    <row r="48">
      <c r="A48" t="inlineStr">
        <is>
          <t>Steer</t>
        </is>
      </c>
    </row>
    <row r="49">
      <c r="A49" t="inlineStr">
        <is>
          <t>calves</t>
        </is>
      </c>
    </row>
    <row r="50">
      <c r="A50" s="68" t="inlineStr">
        <is>
          <t>pigs</t>
        </is>
      </c>
    </row>
    <row r="51">
      <c r="A51" t="inlineStr">
        <is>
          <t>Woolskins</t>
        </is>
      </c>
    </row>
    <row r="52">
      <c r="A52" s="28" t="inlineStr">
        <is>
          <t>wethers</t>
        </is>
      </c>
    </row>
    <row r="53">
      <c r="A53" s="28" t="inlineStr">
        <is>
          <t>rams</t>
        </is>
      </c>
      <c r="C53" t="n">
        <v>2</v>
      </c>
    </row>
    <row r="54">
      <c r="A54" s="28" t="inlineStr">
        <is>
          <t>ewes</t>
        </is>
      </c>
      <c r="C54" t="n">
        <v>25</v>
      </c>
    </row>
    <row r="55">
      <c r="A55" s="28" t="inlineStr">
        <is>
          <t>hoggs</t>
        </is>
      </c>
    </row>
    <row r="56">
      <c r="A56" s="69" t="inlineStr">
        <is>
          <t>Woolskins</t>
        </is>
      </c>
      <c r="C56">
        <f>SUM(C53:C54)</f>
        <v/>
      </c>
      <c r="H56" t="n">
        <v>24</v>
      </c>
      <c r="J56" t="n">
        <v>3</v>
      </c>
      <c r="O56" s="72">
        <f>R56/H56</f>
        <v/>
      </c>
      <c r="R56" s="72">
        <f>Receipts!F63</f>
        <v/>
      </c>
      <c r="T56" s="72">
        <f>O56*C56</f>
        <v/>
      </c>
    </row>
    <row r="57">
      <c r="A57" s="43" t="inlineStr">
        <is>
          <t>Bareskins</t>
        </is>
      </c>
      <c r="T57" s="72">
        <f>O57*C57</f>
        <v/>
      </c>
    </row>
    <row r="58">
      <c r="A58" s="28" t="inlineStr">
        <is>
          <t>wethers</t>
        </is>
      </c>
      <c r="T58" s="72">
        <f>O58*C58</f>
        <v/>
      </c>
    </row>
    <row r="59">
      <c r="A59" s="28" t="inlineStr">
        <is>
          <t>rams</t>
        </is>
      </c>
      <c r="T59" s="72">
        <f>O59*C59</f>
        <v/>
      </c>
    </row>
    <row r="60">
      <c r="A60" s="28" t="inlineStr">
        <is>
          <t>ewes</t>
        </is>
      </c>
      <c r="C60" t="n">
        <v>7</v>
      </c>
      <c r="T60" s="72">
        <f>O60*C60</f>
        <v/>
      </c>
    </row>
    <row r="61">
      <c r="A61" s="28" t="inlineStr">
        <is>
          <t>hoggs</t>
        </is>
      </c>
      <c r="T61" s="72">
        <f>O61*C61</f>
        <v/>
      </c>
    </row>
    <row r="62">
      <c r="A62" s="69" t="inlineStr">
        <is>
          <t>Bareskins (total)</t>
        </is>
      </c>
      <c r="T62" s="72">
        <f>O62*C62</f>
        <v/>
      </c>
    </row>
    <row r="63">
      <c r="A63" t="inlineStr">
        <is>
          <t>Lambskins</t>
        </is>
      </c>
      <c r="C63" t="n">
        <v>57</v>
      </c>
      <c r="H63" t="n">
        <v>52</v>
      </c>
      <c r="J63" t="n">
        <v>5</v>
      </c>
      <c r="O63" s="72">
        <f>R63/H63</f>
        <v/>
      </c>
      <c r="R63" s="72">
        <f>Receipts!F65</f>
        <v/>
      </c>
      <c r="T63" s="72">
        <f>O63*C63</f>
        <v/>
      </c>
    </row>
    <row r="64">
      <c r="A64" t="inlineStr">
        <is>
          <t>Rotted skins</t>
        </is>
      </c>
      <c r="T64" s="72">
        <f>O64*C64</f>
        <v/>
      </c>
    </row>
    <row r="65">
      <c r="A65" t="inlineStr">
        <is>
          <t>Shorn skins</t>
        </is>
      </c>
      <c r="T65" s="72">
        <f>O65*C65</f>
        <v/>
      </c>
    </row>
    <row r="66">
      <c r="A66" s="39" t="inlineStr">
        <is>
          <t xml:space="preserve">Total </t>
        </is>
      </c>
      <c r="O66" s="154" t="n"/>
      <c r="R66" s="39">
        <f>SUM(R46:R65)</f>
        <v/>
      </c>
      <c r="T66" s="154">
        <f>SUM(T56:T65)</f>
        <v/>
      </c>
    </row>
    <row r="67"/>
    <row r="68"/>
    <row r="69" ht="17" customHeight="1">
      <c r="A69" s="66" t="inlineStr">
        <is>
          <t>Poultry stock</t>
        </is>
      </c>
    </row>
    <row r="70" ht="16" customHeight="1">
      <c r="A70" s="44" t="inlineStr">
        <is>
          <t>Hens</t>
        </is>
      </c>
    </row>
    <row r="71">
      <c r="A71" t="inlineStr">
        <is>
          <t>Geese</t>
        </is>
      </c>
    </row>
    <row r="72">
      <c r="A72" t="inlineStr">
        <is>
          <t>Capons (from chickens)</t>
        </is>
      </c>
    </row>
    <row r="73">
      <c r="A73" t="inlineStr">
        <is>
          <t>Cocks &amp; hens</t>
        </is>
      </c>
    </row>
    <row r="74">
      <c r="A74" s="70" t="inlineStr">
        <is>
          <t>Total poultry stock</t>
        </is>
      </c>
    </row>
    <row r="75">
      <c r="A75" s="71" t="inlineStr">
        <is>
          <t>Total poultry excluding churchscot</t>
        </is>
      </c>
    </row>
    <row r="76"/>
    <row r="77" ht="16" customHeight="1">
      <c r="A77" s="12" t="inlineStr">
        <is>
          <t>Poultry production</t>
        </is>
      </c>
    </row>
    <row r="78">
      <c r="A78" t="inlineStr">
        <is>
          <t>Eggs</t>
        </is>
      </c>
      <c r="F78" t="n">
        <v>1100</v>
      </c>
      <c r="H78" t="n">
        <v>1100</v>
      </c>
      <c r="O78" s="72">
        <f>R78/H78</f>
        <v/>
      </c>
      <c r="R78" s="72">
        <f>Receipts!F67</f>
        <v/>
      </c>
      <c r="T78">
        <f>O78*H78</f>
        <v/>
      </c>
    </row>
    <row r="79">
      <c r="A79" t="inlineStr">
        <is>
          <t>Cocks &amp; hens from churchscot of customary tenants</t>
        </is>
      </c>
      <c r="F79" t="n">
        <v>172</v>
      </c>
      <c r="G79" t="n">
        <v>27</v>
      </c>
      <c r="H79" t="n">
        <v>145</v>
      </c>
      <c r="O79" s="72">
        <f>R79/H79</f>
        <v/>
      </c>
      <c r="R79" s="72">
        <f>Receipts!F66</f>
        <v/>
      </c>
      <c r="T79">
        <f>O79*H79</f>
        <v/>
      </c>
    </row>
    <row r="80">
      <c r="A80" t="inlineStr">
        <is>
          <t>Sum of above</t>
        </is>
      </c>
    </row>
    <row r="81">
      <c r="A81" s="39" t="inlineStr">
        <is>
          <t>Total</t>
        </is>
      </c>
      <c r="O81" s="154" t="n"/>
      <c r="R81" s="154">
        <f>SUM(R78:R80)</f>
        <v/>
      </c>
      <c r="T81" s="39">
        <f>SUM(T78:T79)</f>
        <v/>
      </c>
    </row>
    <row r="82"/>
    <row r="83"/>
    <row r="84" ht="16" customHeight="1">
      <c r="A84" s="12" t="inlineStr">
        <is>
          <t>Meat</t>
        </is>
      </c>
    </row>
    <row r="85">
      <c r="A85" t="inlineStr">
        <is>
          <t>Beef</t>
        </is>
      </c>
    </row>
    <row r="86">
      <c r="A86" t="inlineStr">
        <is>
          <t>Mutton</t>
        </is>
      </c>
    </row>
    <row r="87">
      <c r="A87" t="inlineStr">
        <is>
          <t>Pork</t>
        </is>
      </c>
    </row>
    <row r="88" ht="16" customHeight="1">
      <c r="A88" s="57" t="inlineStr">
        <is>
          <t xml:space="preserve">Total </t>
        </is>
      </c>
    </row>
    <row r="89"/>
    <row r="90" ht="16" customHeight="1">
      <c r="A90" s="12" t="inlineStr">
        <is>
          <t>Cheese</t>
        </is>
      </c>
    </row>
    <row r="91">
      <c r="A91" t="inlineStr">
        <is>
          <t>Winter cheese</t>
        </is>
      </c>
    </row>
    <row r="92">
      <c r="A92" t="inlineStr">
        <is>
          <t>Summer cheese</t>
        </is>
      </c>
    </row>
    <row r="93" ht="16" customHeight="1">
      <c r="A93" s="57" t="inlineStr">
        <is>
          <t>Total</t>
        </is>
      </c>
    </row>
    <row r="94"/>
    <row r="95" ht="16" customHeight="1">
      <c r="A95" s="12" t="inlineStr">
        <is>
          <t>Butter</t>
        </is>
      </c>
    </row>
    <row r="96">
      <c r="A96" t="inlineStr">
        <is>
          <t>Butter</t>
        </is>
      </c>
    </row>
    <row r="97" ht="16" customHeight="1">
      <c r="A97" s="57" t="inlineStr">
        <is>
          <t>Total</t>
        </is>
      </c>
    </row>
    <row r="98" ht="16" customHeight="1">
      <c r="A98" s="13" t="n"/>
    </row>
    <row r="99" ht="16" customHeight="1">
      <c r="A99" s="57" t="inlineStr">
        <is>
          <t>Total Dairy Sales</t>
        </is>
      </c>
    </row>
    <row r="100"/>
    <row r="101"/>
    <row r="102" ht="16" customHeight="1">
      <c r="A102" s="12" t="inlineStr">
        <is>
          <t>Cider</t>
        </is>
      </c>
    </row>
    <row r="103"/>
    <row r="104"/>
    <row r="105" ht="16" customHeight="1">
      <c r="A105" s="13" t="inlineStr">
        <is>
          <t>Additional Information (not necessarily useful)</t>
        </is>
      </c>
    </row>
    <row r="106" ht="16" customHeight="1">
      <c r="A106" s="12" t="inlineStr">
        <is>
          <t>Utensils</t>
        </is>
      </c>
    </row>
    <row r="107">
      <c r="A107" t="inlineStr">
        <is>
          <t>ploughs</t>
        </is>
      </c>
    </row>
    <row r="108">
      <c r="A108" t="inlineStr">
        <is>
          <t>carts</t>
        </is>
      </c>
    </row>
    <row r="109">
      <c r="A109" t="inlineStr">
        <is>
          <t>cart-ropes</t>
        </is>
      </c>
    </row>
    <row r="110">
      <c r="A110" t="inlineStr">
        <is>
          <t>corn baskets</t>
        </is>
      </c>
    </row>
    <row r="111">
      <c r="A111" t="inlineStr">
        <is>
          <t>seed-sacks</t>
        </is>
      </c>
    </row>
    <row r="112">
      <c r="A112" t="inlineStr">
        <is>
          <t>seed basket</t>
        </is>
      </c>
    </row>
    <row r="113">
      <c r="A113" t="inlineStr">
        <is>
          <t>locks for the doors</t>
        </is>
      </c>
    </row>
    <row r="114">
      <c r="A114" t="inlineStr">
        <is>
          <t>lead vessel</t>
        </is>
      </c>
    </row>
    <row r="115">
      <c r="A115" t="inlineStr">
        <is>
          <t>brass pots</t>
        </is>
      </c>
    </row>
    <row r="116">
      <c r="A116" t="inlineStr">
        <is>
          <t>pans</t>
        </is>
      </c>
    </row>
    <row r="117">
      <c r="A117" t="inlineStr">
        <is>
          <t>tripods</t>
        </is>
      </c>
    </row>
    <row r="118">
      <c r="A118" t="inlineStr">
        <is>
          <t>mortar</t>
        </is>
      </c>
    </row>
    <row r="119">
      <c r="A119" t="inlineStr">
        <is>
          <t>axe</t>
        </is>
      </c>
    </row>
    <row r="120">
      <c r="A120" t="inlineStr">
        <is>
          <t>casks</t>
        </is>
      </c>
    </row>
    <row r="121">
      <c r="A121" t="inlineStr">
        <is>
          <t>tubs</t>
        </is>
      </c>
    </row>
    <row r="122">
      <c r="A122" t="inlineStr">
        <is>
          <t>troughs</t>
        </is>
      </c>
    </row>
    <row r="123">
      <c r="A123" t="inlineStr">
        <is>
          <t>bucket</t>
        </is>
      </c>
    </row>
    <row r="124">
      <c r="A124" t="inlineStr">
        <is>
          <t>cheese basket</t>
        </is>
      </c>
    </row>
    <row r="125">
      <c r="A125" t="inlineStr">
        <is>
          <t>tables</t>
        </is>
      </c>
    </row>
    <row r="126">
      <c r="A126" t="inlineStr">
        <is>
          <t>table with trestles</t>
        </is>
      </c>
    </row>
    <row r="127">
      <c r="A127" t="inlineStr">
        <is>
          <t>benches</t>
        </is>
      </c>
    </row>
    <row r="128">
      <c r="A128" t="inlineStr">
        <is>
          <t>ewer with a basin</t>
        </is>
      </c>
    </row>
    <row r="129">
      <c r="A129" t="inlineStr">
        <is>
          <t>ladders</t>
        </is>
      </c>
    </row>
    <row r="130">
      <c r="A130" t="inlineStr">
        <is>
          <t>cloth</t>
        </is>
      </c>
    </row>
    <row r="131">
      <c r="A131" t="inlineStr">
        <is>
          <t>brass posnets</t>
        </is>
      </c>
    </row>
  </sheetData>
  <mergeCells count="2">
    <mergeCell ref="C3:F3"/>
    <mergeCell ref="G3:J3"/>
  </mergeCell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308"/>
  <sheetViews>
    <sheetView topLeftCell="A1" workbookViewId="0">
      <selection activeCell="A1" sqref="A1"/>
    </sheetView>
  </sheetViews>
  <sheetFormatPr baseColWidth="8" defaultRowHeight="15"/>
  <sheetData>
    <row r="1">
      <c r="A1" s="1" t="inlineStr">
        <is>
          <t>Heading</t>
        </is>
      </c>
      <c r="B1" s="1" t="inlineStr">
        <is>
          <t>Sentence</t>
        </is>
      </c>
      <c r="C1" s="1" t="inlineStr">
        <is>
          <t>Total in Pounds</t>
        </is>
      </c>
      <c r="D1" s="1" t="inlineStr">
        <is>
          <t>Pounds</t>
        </is>
      </c>
      <c r="E1" s="1" t="inlineStr">
        <is>
          <t>Shillings</t>
        </is>
      </c>
      <c r="F1" s="1" t="inlineStr">
        <is>
          <t>Pence</t>
        </is>
      </c>
      <c r="G1" s="1" t="inlineStr">
        <is>
          <t>Corn</t>
        </is>
      </c>
      <c r="H1" s="1" t="inlineStr">
        <is>
          <t>Total Quarters Except 1</t>
        </is>
      </c>
      <c r="I1" s="1" t="inlineStr">
        <is>
          <t>Total Bushels Except 1</t>
        </is>
      </c>
      <c r="J1" s="1" t="inlineStr">
        <is>
          <t>Total Corn Cross-Check</t>
        </is>
      </c>
      <c r="K1" s="1" t="inlineStr">
        <is>
          <t>Total Corn Manorial Account</t>
        </is>
      </c>
      <c r="L1" s="1" t="inlineStr">
        <is>
          <t>Corn Quantity Error</t>
        </is>
      </c>
      <c r="M1" s="1" t="inlineStr">
        <is>
          <t>Quarters 1</t>
        </is>
      </c>
      <c r="N1" s="1" t="inlineStr">
        <is>
          <t>Bushels 1</t>
        </is>
      </c>
      <c r="O1" s="1" t="inlineStr">
        <is>
          <t>Quarters 2</t>
        </is>
      </c>
      <c r="P1" s="1" t="inlineStr">
        <is>
          <t>Bushels 2</t>
        </is>
      </c>
      <c r="Q1" s="1" t="inlineStr">
        <is>
          <t>Quarters 3</t>
        </is>
      </c>
      <c r="R1" s="1" t="inlineStr">
        <is>
          <t>Bushels 3</t>
        </is>
      </c>
      <c r="S1" s="1" t="inlineStr">
        <is>
          <t>shilling a quarter 1</t>
        </is>
      </c>
      <c r="T1" s="1" t="inlineStr">
        <is>
          <t>pence a quarter 1</t>
        </is>
      </c>
      <c r="U1" s="1" t="inlineStr">
        <is>
          <t>shilling a quarter 2</t>
        </is>
      </c>
      <c r="V1" s="1" t="inlineStr">
        <is>
          <t>pence a quarter 2</t>
        </is>
      </c>
      <c r="W1" s="1" t="inlineStr">
        <is>
          <t>shilling a quarter 3</t>
        </is>
      </c>
      <c r="X1" s="1" t="inlineStr">
        <is>
          <t>pence a quarter 3</t>
        </is>
      </c>
      <c r="Y1" s="1" t="inlineStr">
        <is>
          <t>shilling a quarter 4</t>
        </is>
      </c>
      <c r="Z1" s="1" t="inlineStr">
        <is>
          <t>pence a quarter 4</t>
        </is>
      </c>
      <c r="AA1" s="1" t="inlineStr">
        <is>
          <t>shilling a bushel 1</t>
        </is>
      </c>
      <c r="AB1" s="1" t="inlineStr">
        <is>
          <t>pence a bushel 1</t>
        </is>
      </c>
      <c r="AC1" s="1" t="inlineStr">
        <is>
          <t>shilling a bushel 2</t>
        </is>
      </c>
      <c r="AD1" s="1" t="inlineStr">
        <is>
          <t>pence a bushel 2</t>
        </is>
      </c>
      <c r="AE1" s="1" t="inlineStr">
        <is>
          <t>shilling a bushel 3</t>
        </is>
      </c>
      <c r="AF1" s="1" t="inlineStr">
        <is>
          <t>pence a bushel 3</t>
        </is>
      </c>
      <c r="AG1" s="1" t="inlineStr">
        <is>
          <t>shilling a bushel 4</t>
        </is>
      </c>
      <c r="AH1" s="1" t="inlineStr">
        <is>
          <t>pence a bushel 4</t>
        </is>
      </c>
    </row>
    <row r="2">
      <c r="A2" t="inlineStr">
        <is>
          <t>Arrears</t>
        </is>
      </c>
      <c r="B2" t="inlineStr">
        <is>
          <t>Henry la Wayte, bailiff, and John le Sone, reeve, render account for £37 19 shilling 10.5pence of arrears from the previous year.</t>
        </is>
      </c>
      <c r="C2" t="n">
        <v>37.99</v>
      </c>
      <c r="D2" t="n">
        <v>37</v>
      </c>
      <c r="E2" t="n">
        <v>19</v>
      </c>
      <c r="F2" t="n">
        <v>10.5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Arrears</t>
        </is>
      </c>
      <c r="B3" t="inlineStr">
        <is>
          <t>All delivered to Sir Geoffrey, treasurer of Wolvesey, by 1 tally.</t>
        </is>
      </c>
      <c r="C3" t="n">
        <v>0</v>
      </c>
      <c r="D3" t="n">
        <v>0</v>
      </c>
      <c r="E3" t="n">
        <v>0</v>
      </c>
      <c r="F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Arrears</t>
        </is>
      </c>
      <c r="B4" t="inlineStr">
        <is>
          <t>They are quit.</t>
        </is>
      </c>
      <c r="C4" t="n">
        <v>0</v>
      </c>
      <c r="D4" t="n">
        <v>0</v>
      </c>
      <c r="E4" t="n">
        <v>0</v>
      </c>
      <c r="F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Rents</t>
        </is>
      </c>
      <c r="B5" t="inlineStr">
        <is>
          <t>The same render account for £2 7 shilling for all rents of assize at Christmas.</t>
        </is>
      </c>
      <c r="C5" t="n">
        <v>2.35</v>
      </c>
      <c r="D5" t="n">
        <v>2</v>
      </c>
      <c r="E5" t="n">
        <v>7</v>
      </c>
      <c r="F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Rents</t>
        </is>
      </c>
      <c r="B6" t="inlineStr">
        <is>
          <t>£2 7 shilling at Easter (22 April).</t>
        </is>
      </c>
      <c r="C6" t="n">
        <v>2.35</v>
      </c>
      <c r="D6" t="n">
        <v>2</v>
      </c>
      <c r="E6" t="n">
        <v>7</v>
      </c>
      <c r="F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Rents</t>
        </is>
      </c>
      <c r="B7" t="inlineStr">
        <is>
          <t>£2 7 shilling at the Nativity of St John the Baptist (24 June).</t>
        </is>
      </c>
      <c r="C7" t="n">
        <v>2.35</v>
      </c>
      <c r="D7" t="n">
        <v>2</v>
      </c>
      <c r="E7" t="n">
        <v>7</v>
      </c>
      <c r="F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Rents</t>
        </is>
      </c>
      <c r="B8" t="inlineStr">
        <is>
          <t>£16 4 shilling 6pence at Michaelmas (29 September).</t>
        </is>
      </c>
      <c r="C8" t="n">
        <v>16.22</v>
      </c>
      <c r="D8" t="n">
        <v>16</v>
      </c>
      <c r="E8" t="n">
        <v>4</v>
      </c>
      <c r="F8" t="n">
        <v>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Rents</t>
        </is>
      </c>
      <c r="B9" t="inlineStr">
        <is>
          <t>Total, £23 5 shilling 6pence</t>
        </is>
      </c>
      <c r="C9" t="n">
        <v>23.27</v>
      </c>
      <c r="D9" t="n">
        <v>23</v>
      </c>
      <c r="E9" t="n">
        <v>5</v>
      </c>
      <c r="F9" t="n">
        <v>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Increment</t>
        </is>
      </c>
      <c r="B10" t="inlineStr">
        <is>
          <t>The same render account for 1pence from John Scissor' for increment of rent to have entry to 1 plot, 36 feet long and 24 feet wide, beside the forge of la Wydegate.</t>
        </is>
      </c>
      <c r="C10" t="n">
        <v>0</v>
      </c>
      <c r="D10" t="n">
        <v>0</v>
      </c>
      <c r="E10" t="n">
        <v>0</v>
      </c>
      <c r="F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Increment</t>
        </is>
      </c>
      <c r="B11" t="inlineStr">
        <is>
          <t>Total, 1pence</t>
        </is>
      </c>
      <c r="C11" t="n">
        <v>0</v>
      </c>
      <c r="D11" t="n">
        <v>0</v>
      </c>
      <c r="E11" t="n">
        <v>0</v>
      </c>
      <c r="F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Total of rents with increment</t>
        </is>
      </c>
      <c r="B12" t="inlineStr">
        <is>
          <t>Total of rents with increment, £23 15 shilling 7pence1</t>
        </is>
      </c>
      <c r="C12" t="n">
        <v>23.78</v>
      </c>
      <c r="D12" t="n">
        <v>23</v>
      </c>
      <c r="E12" t="n">
        <v>15</v>
      </c>
      <c r="F12" t="n">
        <v>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Quittances</t>
        </is>
      </c>
      <c r="B13" t="inlineStr">
        <is>
          <t>In quittance of 1 reeve for the year 4 shilling 8pence.</t>
        </is>
      </c>
      <c r="C13" t="n">
        <v>0.23</v>
      </c>
      <c r="D13" t="n">
        <v>0</v>
      </c>
      <c r="E13" t="n">
        <v>4</v>
      </c>
      <c r="F13" t="n">
        <v>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Quittances</t>
        </is>
      </c>
      <c r="B14" t="inlineStr">
        <is>
          <t>1 hayward for the year 3 shilling.</t>
        </is>
      </c>
      <c r="C14" t="n">
        <v>0.15</v>
      </c>
      <c r="D14" t="n">
        <v>0</v>
      </c>
      <c r="E14" t="n">
        <v>3</v>
      </c>
      <c r="F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Quittances</t>
        </is>
      </c>
      <c r="B15" t="inlineStr">
        <is>
          <t>7 ploughmen for the year £1 1 shilling.</t>
        </is>
      </c>
      <c r="C15" t="n">
        <v>1.05</v>
      </c>
      <c r="D15" t="n">
        <v>1</v>
      </c>
      <c r="E15" t="n">
        <v>1</v>
      </c>
      <c r="F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Quittances</t>
        </is>
      </c>
      <c r="B16" t="inlineStr">
        <is>
          <t>2 ploughmen for 1 term 1 shilling.</t>
        </is>
      </c>
      <c r="C16" t="n">
        <v>0.05</v>
      </c>
      <c r="D16" t="n">
        <v>0</v>
      </c>
      <c r="E16" t="n">
        <v>1</v>
      </c>
      <c r="F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Quittances</t>
        </is>
      </c>
      <c r="B17" t="inlineStr">
        <is>
          <t>1 shepherd for 2.5 terms 1 shilling 3pence Total, £1 10 shilling 11pence</t>
        </is>
      </c>
      <c r="C17" t="n">
        <v>1.55</v>
      </c>
      <c r="D17" t="n">
        <v>1</v>
      </c>
      <c r="E17" t="n">
        <v>10</v>
      </c>
      <c r="F17" t="n">
        <v>11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Defaults of rent</t>
        </is>
      </c>
      <c r="B18" t="inlineStr">
        <is>
          <t>In default of 335 acres of land drawn into demesne, £1 17 shilling for the year.</t>
        </is>
      </c>
      <c r="C18" t="n">
        <v>1.85</v>
      </c>
      <c r="D18" t="n">
        <v>1</v>
      </c>
      <c r="E18" t="n">
        <v>17</v>
      </c>
      <c r="F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Defaults of rent</t>
        </is>
      </c>
      <c r="B19" t="inlineStr">
        <is>
          <t>the land of Alwyn' drawn into demesne, 3 shilling for the year.</t>
        </is>
      </c>
      <c r="C19" t="n">
        <v>0.15</v>
      </c>
      <c r="D19" t="n">
        <v>0</v>
      </c>
      <c r="E19" t="n">
        <v>3</v>
      </c>
      <c r="F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Defaults of rent</t>
        </is>
      </c>
      <c r="B20" t="inlineStr">
        <is>
          <t>10 acres of land of Roger Mainpetyt drawn into demesne, 1 shilling 8pence for the year.</t>
        </is>
      </c>
      <c r="C20" t="n">
        <v>0.08</v>
      </c>
      <c r="D20" t="n">
        <v>0</v>
      </c>
      <c r="E20" t="n">
        <v>1</v>
      </c>
      <c r="F20" t="n">
        <v>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Defaults of rent</t>
        </is>
      </c>
      <c r="B21" t="inlineStr">
        <is>
          <t>10 acres of land of Osmund' drawn into demesne, 2 shilling 6pence for the year.</t>
        </is>
      </c>
      <c r="C21" t="n">
        <v>0.12</v>
      </c>
      <c r="D21" t="n">
        <v>0</v>
      </c>
      <c r="E21" t="n">
        <v>2</v>
      </c>
      <c r="F21" t="n">
        <v>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Defaults of rent</t>
        </is>
      </c>
      <c r="B22" t="inlineStr">
        <is>
          <t>10 acres of land of Simon Clericus drawn into demesne, 1 shilling 8pence for the year.</t>
        </is>
      </c>
      <c r="C22" t="n">
        <v>0.08</v>
      </c>
      <c r="D22" t="n">
        <v>0</v>
      </c>
      <c r="E22" t="n">
        <v>1</v>
      </c>
      <c r="F22" t="n">
        <v>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Defaults of rent</t>
        </is>
      </c>
      <c r="B23" t="inlineStr">
        <is>
          <t>the land of Alwyn drawn into demesne, 1 shilling for the year.</t>
        </is>
      </c>
      <c r="C23" t="n">
        <v>0.05</v>
      </c>
      <c r="D23" t="n">
        <v>0</v>
      </c>
      <c r="E23" t="n">
        <v>1</v>
      </c>
      <c r="F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Defaults of rent</t>
        </is>
      </c>
      <c r="B24" t="inlineStr">
        <is>
          <t>the land of Osmund Dustr' drawn into demesne, 1 shilling for the year.</t>
        </is>
      </c>
      <c r="C24" t="n">
        <v>0.05</v>
      </c>
      <c r="D24" t="n">
        <v>0</v>
      </c>
      <c r="E24" t="n">
        <v>1</v>
      </c>
      <c r="F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Defaults of rent</t>
        </is>
      </c>
      <c r="B25" t="inlineStr">
        <is>
          <t>Total, £2 7 shilling 10pence</t>
        </is>
      </c>
      <c r="C25" t="n">
        <v>2.39</v>
      </c>
      <c r="D25" t="n">
        <v>2</v>
      </c>
      <c r="E25" t="n">
        <v>7</v>
      </c>
      <c r="F25" t="n">
        <v>10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Defaults of rent</t>
        </is>
      </c>
      <c r="B26" t="inlineStr">
        <is>
          <t>Total of quittances and defaults of rent, £3 18 shilling 9pence</t>
        </is>
      </c>
      <c r="C26" t="n">
        <v>3.94</v>
      </c>
      <c r="D26" t="n">
        <v>3</v>
      </c>
      <c r="E26" t="n">
        <v>18</v>
      </c>
      <c r="F26" t="n">
        <v>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 xml:space="preserve">Total of rents remaining </t>
        </is>
      </c>
      <c r="B27" t="inlineStr">
        <is>
          <t>Total of rents remaining, £19 6 shilling 10pence</t>
        </is>
      </c>
      <c r="C27" t="n">
        <v>19.34</v>
      </c>
      <c r="D27" t="n">
        <v>19</v>
      </c>
      <c r="E27" t="n">
        <v>6</v>
      </c>
      <c r="F27" t="n">
        <v>10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Release from labour service</t>
        </is>
      </c>
      <c r="B28" t="inlineStr">
        <is>
          <t>The same render account for 7 shilling from Richard le Eyr for release from his labour service for 1 virgate of land for the year.</t>
        </is>
      </c>
      <c r="C28" t="n">
        <v>0.35</v>
      </c>
      <c r="D28" t="n">
        <v>0</v>
      </c>
      <c r="E28" t="n">
        <v>7</v>
      </c>
      <c r="F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Release from labour service</t>
        </is>
      </c>
      <c r="B29" t="inlineStr">
        <is>
          <t>Total, 7 shilling</t>
        </is>
      </c>
      <c r="C29" t="n">
        <v>0.35</v>
      </c>
      <c r="D29" t="n">
        <v>0</v>
      </c>
      <c r="E29" t="n">
        <v>7</v>
      </c>
      <c r="F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Issues of the manor</t>
        </is>
      </c>
      <c r="B30" t="inlineStr">
        <is>
          <t>The same render account for £1 1 shilling 9.5pence from pannage of pigs within, that is, from 253 pigs and 13 piglets, at 1pence a pig and .5pence a piglet.</t>
        </is>
      </c>
      <c r="C30" t="n">
        <v>1.09</v>
      </c>
      <c r="D30" t="n">
        <v>1</v>
      </c>
      <c r="E30" t="n">
        <v>1</v>
      </c>
      <c r="F30" t="n">
        <v>9.5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Issues of the manor</t>
        </is>
      </c>
      <c r="B31" t="inlineStr">
        <is>
          <t>nothing from foreign pannage this year for a want of mast.</t>
        </is>
      </c>
      <c r="C31" t="n">
        <v>0</v>
      </c>
      <c r="D31" t="n">
        <v>0</v>
      </c>
      <c r="E31" t="n">
        <v>0</v>
      </c>
      <c r="F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Issues of the manor</t>
        </is>
      </c>
      <c r="B32" t="inlineStr">
        <is>
          <t>£1 from the pasturage of Oldehull' at Michaelmas.</t>
        </is>
      </c>
      <c r="C32" t="n">
        <v>1</v>
      </c>
      <c r="D32" t="n">
        <v>1</v>
      </c>
      <c r="E32" t="n">
        <v>0</v>
      </c>
      <c r="F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Issues of the manor</t>
        </is>
      </c>
      <c r="B33" t="inlineStr">
        <is>
          <t>5 shilling1 from the men of Earlstone according to custom at the Nativity of St John the Baptist for herbage.</t>
        </is>
      </c>
      <c r="C33" t="n">
        <v>0.25</v>
      </c>
      <c r="D33" t="n">
        <v>0</v>
      </c>
      <c r="E33" t="n">
        <v>5</v>
      </c>
      <c r="F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inlineStr">
        <is>
          <t>Issues of the manor</t>
        </is>
      </c>
      <c r="B34" t="inlineStr">
        <is>
          <t>5 shilling for the farm of the quarry at Michaelmas.</t>
        </is>
      </c>
      <c r="C34" t="n">
        <v>0.25</v>
      </c>
      <c r="D34" t="n">
        <v>0</v>
      </c>
      <c r="E34" t="n">
        <v>5</v>
      </c>
      <c r="F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Issues of the manor</t>
        </is>
      </c>
      <c r="B35" t="inlineStr">
        <is>
          <t>3 shilling from the men of Addebury for not making charcoal at Christmas.</t>
        </is>
      </c>
      <c r="C35" t="n">
        <v>0.15</v>
      </c>
      <c r="D35" t="n">
        <v>0</v>
      </c>
      <c r="E35" t="n">
        <v>3</v>
      </c>
      <c r="F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inlineStr">
        <is>
          <t>Issues of the manor</t>
        </is>
      </c>
      <c r="B36" t="inlineStr">
        <is>
          <t>3 shilling from the free men of Earlstone for release from ploughing at Michaelmas because the villeins plough for the winter sowing and fallow.</t>
        </is>
      </c>
      <c r="C36" t="n">
        <v>0.15</v>
      </c>
      <c r="D36" t="n">
        <v>0</v>
      </c>
      <c r="E36" t="n">
        <v>3</v>
      </c>
      <c r="F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</row>
    <row r="37">
      <c r="A37" t="inlineStr">
        <is>
          <t>Issues of the manor</t>
        </is>
      </c>
      <c r="B37" t="inlineStr">
        <is>
          <t>2 shilling from honey according to custom at Michaelmas for land which Thomas Gerard holds.</t>
        </is>
      </c>
      <c r="C37" t="n">
        <v>0.1</v>
      </c>
      <c r="D37" t="n">
        <v>0</v>
      </c>
      <c r="E37" t="n">
        <v>2</v>
      </c>
      <c r="F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</row>
    <row r="38">
      <c r="A38" t="inlineStr">
        <is>
          <t>Issues of the manor</t>
        </is>
      </c>
      <c r="B38" t="inlineStr">
        <is>
          <t>7 shilling from the pasturage of la Garston sold at Mic¬haelmas.</t>
        </is>
      </c>
      <c r="C38" t="n">
        <v>0.35</v>
      </c>
      <c r="D38" t="n">
        <v>0</v>
      </c>
      <c r="E38" t="n">
        <v>7</v>
      </c>
      <c r="F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inlineStr">
        <is>
          <t>Issues of the manor</t>
        </is>
      </c>
      <c r="B39" t="inlineStr">
        <is>
          <t>nothing from winter pasturage on account of the lord's stock.</t>
        </is>
      </c>
      <c r="C39" t="n">
        <v>0</v>
      </c>
      <c r="D39" t="n">
        <v>0</v>
      </c>
      <c r="E39" t="n">
        <v>0</v>
      </c>
      <c r="F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</row>
    <row r="40">
      <c r="A40" t="inlineStr">
        <is>
          <t>Issues of the manor</t>
        </is>
      </c>
      <c r="B40" t="inlineStr">
        <is>
          <t>nothing from summer pasturage for the same reason.</t>
        </is>
      </c>
      <c r="C40" t="n">
        <v>0</v>
      </c>
      <c r="D40" t="n">
        <v>0</v>
      </c>
      <c r="E40" t="n">
        <v>0</v>
      </c>
      <c r="F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inlineStr">
        <is>
          <t>Issues of the manor</t>
        </is>
      </c>
      <c r="B41" t="inlineStr">
        <is>
          <t>4 shilling from 1 plough-horse from a heriot sold.</t>
        </is>
      </c>
      <c r="C41" t="n">
        <v>0.2</v>
      </c>
      <c r="D41" t="n">
        <v>0</v>
      </c>
      <c r="E41" t="n">
        <v>4</v>
      </c>
      <c r="F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</row>
    <row r="42">
      <c r="A42" t="inlineStr">
        <is>
          <t>Issues of the manor</t>
        </is>
      </c>
      <c r="B42" t="inlineStr">
        <is>
          <t>£6 7 shilling from 14 oxen sold at Michaelmas, at 9 shilling each for 13, and 10 shilling for 1.</t>
        </is>
      </c>
      <c r="C42" t="n">
        <v>6.35</v>
      </c>
      <c r="D42" t="n">
        <v>6</v>
      </c>
      <c r="E42" t="n">
        <v>7</v>
      </c>
      <c r="F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</row>
    <row r="43">
      <c r="A43" t="inlineStr">
        <is>
          <t>Issues of the manor</t>
        </is>
      </c>
      <c r="B43" t="inlineStr">
        <is>
          <t>11 shilling from 2 half-dead oxen sold soon after Easter.</t>
        </is>
      </c>
      <c r="C43" t="n">
        <v>0.55</v>
      </c>
      <c r="D43" t="n">
        <v>0</v>
      </c>
      <c r="E43" t="n">
        <v>11</v>
      </c>
      <c r="F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</row>
    <row r="44">
      <c r="A44" t="inlineStr">
        <is>
          <t>Issues of the manor</t>
        </is>
      </c>
      <c r="B44" t="inlineStr">
        <is>
          <t>£1 6 shilling 8pence from 1 ram and 29 ewes sold at Martinmas, at 8pence each.</t>
        </is>
      </c>
      <c r="C44" t="n">
        <v>1.33</v>
      </c>
      <c r="D44" t="n">
        <v>1</v>
      </c>
      <c r="E44" t="n">
        <v>6</v>
      </c>
      <c r="F44" t="n">
        <v>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A45" t="inlineStr">
        <is>
          <t>Issues of the manor</t>
        </is>
      </c>
      <c r="B45" t="inlineStr">
        <is>
          <t>16 shilling 4pence from the hides sold of 7 oxen in murrain, at 2 shilling 6pence each for 3, 2 shilling 4pence each for 2, 2 shilling 2pence for 1, and 2 shilling for 1.</t>
        </is>
      </c>
      <c r="C45" t="n">
        <v>0.82</v>
      </c>
      <c r="D45" t="n">
        <v>0</v>
      </c>
      <c r="E45" t="n">
        <v>16</v>
      </c>
      <c r="F45" t="n">
        <v>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t="inlineStr">
        <is>
          <t>Issues of the manor</t>
        </is>
      </c>
      <c r="B46" t="inlineStr">
        <is>
          <t>2 shilling 4pence from the flesh sold of 2 oxen in murrain.</t>
        </is>
      </c>
      <c r="C46" t="n">
        <v>0.12</v>
      </c>
      <c r="D46" t="n">
        <v>0</v>
      </c>
      <c r="E46" t="n">
        <v>2</v>
      </c>
      <c r="F46" t="n">
        <v>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Issues of the manor</t>
        </is>
      </c>
      <c r="B47" t="inlineStr">
        <is>
          <t>6 shilling from the skins of 2 rams and 22 ewes in murrain before shearing, at 3pence a skin.</t>
        </is>
      </c>
      <c r="C47" t="n">
        <v>0.31</v>
      </c>
      <c r="D47" t="n">
        <v>0</v>
      </c>
      <c r="E47" t="n">
        <v>6</v>
      </c>
      <c r="F47" t="n">
        <v>3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inlineStr">
        <is>
          <t>Issues of the manor</t>
        </is>
      </c>
      <c r="B48" t="inlineStr">
        <is>
          <t>7pence from the skins sold of 7 ewes in murrain after shearing.</t>
        </is>
      </c>
      <c r="C48" t="n">
        <v>0.03</v>
      </c>
      <c r="D48" t="n">
        <v>0</v>
      </c>
      <c r="E48" t="n">
        <v>0</v>
      </c>
      <c r="F48" t="n">
        <v>7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>Issues of the manor</t>
        </is>
      </c>
      <c r="B49" t="inlineStr">
        <is>
          <t>4 shilling 4pence from the skins sold of 52 lambs in murrain before shearing, at 1pence a skin.</t>
        </is>
      </c>
      <c r="C49" t="n">
        <v>0.22</v>
      </c>
      <c r="D49" t="n">
        <v>0</v>
      </c>
      <c r="E49" t="n">
        <v>4</v>
      </c>
      <c r="F49" t="n">
        <v>4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inlineStr">
        <is>
          <t>Issues of the manor</t>
        </is>
      </c>
      <c r="B50" t="inlineStr">
        <is>
          <t>12 shilling 1pence from 145 hens from churchscot sold.</t>
        </is>
      </c>
      <c r="C50" t="n">
        <v>0.6</v>
      </c>
      <c r="D50" t="n">
        <v>0</v>
      </c>
      <c r="E50" t="n">
        <v>12</v>
      </c>
      <c r="F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t="inlineStr">
        <is>
          <t>Issues of the manor</t>
        </is>
      </c>
      <c r="B51" t="inlineStr">
        <is>
          <t>3 shilling 2.5pence from 1,100 eggs sold, received according to custom at Easter, at 3.5pence a hundred.</t>
        </is>
      </c>
      <c r="C51" t="n">
        <v>0.16</v>
      </c>
      <c r="D51" t="n">
        <v>0</v>
      </c>
      <c r="E51" t="n">
        <v>3</v>
      </c>
      <c r="F51" t="n">
        <v>2.5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t="inlineStr">
        <is>
          <t>Issues of the manor</t>
        </is>
      </c>
      <c r="B52" t="inlineStr">
        <is>
          <t>8 shilling 8pence from 3 pigs sold.</t>
        </is>
      </c>
      <c r="C52" t="n">
        <v>0.43</v>
      </c>
      <c r="D52" t="n">
        <v>0</v>
      </c>
      <c r="E52" t="n">
        <v>8</v>
      </c>
      <c r="F52" t="n">
        <v>8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inlineStr">
        <is>
          <t>Issues of the manor</t>
        </is>
      </c>
      <c r="B53" t="inlineStr">
        <is>
          <t>6 shilling 8pence from the heriot of Edith Cuteles who withdrew from the manor and surrendered her lands and tenements into the lord's hands.</t>
        </is>
      </c>
      <c r="C53" t="n">
        <v>0.33</v>
      </c>
      <c r="D53" t="n">
        <v>0</v>
      </c>
      <c r="E53" t="n">
        <v>6</v>
      </c>
      <c r="F53" t="n">
        <v>8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inlineStr">
        <is>
          <t>Issues of the manor</t>
        </is>
      </c>
      <c r="B54" t="inlineStr">
        <is>
          <t>Total, £14 15 shilling 8pence</t>
        </is>
      </c>
      <c r="C54" t="n">
        <v>14.78</v>
      </c>
      <c r="D54" t="n">
        <v>14</v>
      </c>
      <c r="E54" t="n">
        <v>15</v>
      </c>
      <c r="F54" t="n">
        <v>8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t="inlineStr">
        <is>
          <t>Annual recognizance</t>
        </is>
      </c>
      <c r="B55" t="inlineStr">
        <is>
          <t>Nothing from Roger Mareschal because he is dead.</t>
        </is>
      </c>
      <c r="C55" t="n">
        <v>0</v>
      </c>
      <c r="D55" t="n">
        <v>0</v>
      </c>
      <c r="E55" t="n">
        <v>0</v>
      </c>
      <c r="F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</row>
    <row r="56">
      <c r="A56" t="inlineStr">
        <is>
          <t>Annual recognizance</t>
        </is>
      </c>
      <c r="B56" t="inlineStr">
        <is>
          <t>3pence from Richard atte Heth' for annual recognizance.</t>
        </is>
      </c>
      <c r="C56" t="n">
        <v>0.01</v>
      </c>
      <c r="D56" t="n">
        <v>0</v>
      </c>
      <c r="E56" t="n">
        <v>0</v>
      </c>
      <c r="F56" t="n">
        <v>3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</row>
    <row r="57">
      <c r="A57" t="inlineStr">
        <is>
          <t>Annual recognizance</t>
        </is>
      </c>
      <c r="B57" t="inlineStr">
        <is>
          <t>nothing from John Lunt because he is deapence Total, 3pence</t>
        </is>
      </c>
      <c r="C57" t="n">
        <v>0.01</v>
      </c>
      <c r="D57" t="n">
        <v>0</v>
      </c>
      <c r="E57" t="n">
        <v>0</v>
      </c>
      <c r="F57" t="n">
        <v>3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</row>
    <row r="58">
      <c r="A58" t="inlineStr">
        <is>
          <t>Sale of corn</t>
        </is>
      </c>
      <c r="B58" t="inlineStr">
        <is>
          <t>The same render account for £30 3 shilling 4pence from 90.5 quarters of wheat sold, at 6 shilling 8pence a quarters.</t>
        </is>
      </c>
      <c r="C58" t="n">
        <v>30.17</v>
      </c>
      <c r="D58" t="n">
        <v>30</v>
      </c>
      <c r="E58" t="n">
        <v>3</v>
      </c>
      <c r="F58" t="n">
        <v>4</v>
      </c>
      <c r="G58" t="inlineStr">
        <is>
          <t>wheat</t>
        </is>
      </c>
      <c r="H58" t="n">
        <v>90.5</v>
      </c>
      <c r="I58" t="n">
        <v>0</v>
      </c>
      <c r="J58" t="n">
        <v>90.5</v>
      </c>
      <c r="K58" t="n">
        <v>90.5</v>
      </c>
      <c r="L58" t="n">
        <v>0</v>
      </c>
      <c r="M58" t="n">
        <v>90.5</v>
      </c>
      <c r="N58" t="n">
        <v>0</v>
      </c>
      <c r="S58" t="n">
        <v>6</v>
      </c>
      <c r="T58" t="n">
        <v>8</v>
      </c>
    </row>
    <row r="59">
      <c r="A59" t="inlineStr">
        <is>
          <t>Sale of corn</t>
        </is>
      </c>
      <c r="B59" t="inlineStr">
        <is>
          <t>£5 7 shilling 6pence from 26 quarters 7 bushels of bere sold, at 4 shilling a quarters.</t>
        </is>
      </c>
      <c r="C59" t="n">
        <v>5.38</v>
      </c>
      <c r="D59" t="n">
        <v>5</v>
      </c>
      <c r="E59" t="n">
        <v>7</v>
      </c>
      <c r="F59" t="n">
        <v>6</v>
      </c>
      <c r="H59" t="n">
        <v>26</v>
      </c>
      <c r="I59" t="n">
        <v>7</v>
      </c>
      <c r="J59" t="n">
        <v>26.875</v>
      </c>
      <c r="K59" t="n">
        <v>26.875</v>
      </c>
      <c r="L59" t="n">
        <v>0</v>
      </c>
      <c r="M59" t="n">
        <v>26</v>
      </c>
      <c r="N59" t="n">
        <v>7</v>
      </c>
      <c r="S59" t="n">
        <v>4</v>
      </c>
      <c r="T59" t="n">
        <v>0</v>
      </c>
    </row>
    <row r="60">
      <c r="A60" t="inlineStr">
        <is>
          <t>Sale of corn</t>
        </is>
      </c>
      <c r="B60" t="inlineStr">
        <is>
          <t>18 shilling 6pence from 4 quarters 5 bushels of barley sold, at 4 shilling a quarters.</t>
        </is>
      </c>
      <c r="C60" t="n">
        <v>0.93</v>
      </c>
      <c r="D60" t="n">
        <v>0</v>
      </c>
      <c r="E60" t="n">
        <v>18</v>
      </c>
      <c r="F60" t="n">
        <v>6</v>
      </c>
      <c r="G60" t="inlineStr">
        <is>
          <t>barley</t>
        </is>
      </c>
      <c r="H60" t="n">
        <v>4</v>
      </c>
      <c r="I60" t="n">
        <v>5</v>
      </c>
      <c r="J60" t="n">
        <v>4.625</v>
      </c>
      <c r="K60" t="n">
        <v>4.625</v>
      </c>
      <c r="L60" t="n">
        <v>0</v>
      </c>
      <c r="M60" t="n">
        <v>4</v>
      </c>
      <c r="N60" t="n">
        <v>5</v>
      </c>
      <c r="S60" t="n">
        <v>4</v>
      </c>
      <c r="T60" t="n">
        <v>0</v>
      </c>
    </row>
    <row r="61">
      <c r="A61" t="inlineStr">
        <is>
          <t>Sale of corn</t>
        </is>
      </c>
      <c r="B61" t="inlineStr">
        <is>
          <t>£4 12 shilling 10.5pence from 39 quarters 6 bushels of oats sold, at 2 shilling a quarters for 13 quarters, and 2 shilling 6pence a quarters for 26 quarters 6 bushels Total of all corn sold, £41 2 shilling 2.5pence</t>
        </is>
      </c>
      <c r="C61" t="n">
        <v>4.64</v>
      </c>
      <c r="D61" t="n">
        <v>4</v>
      </c>
      <c r="E61" t="n">
        <v>12</v>
      </c>
      <c r="F61" t="n">
        <v>10.5</v>
      </c>
      <c r="G61" t="inlineStr">
        <is>
          <t>oats</t>
        </is>
      </c>
      <c r="H61" t="n">
        <v>39</v>
      </c>
      <c r="I61" t="n">
        <v>6</v>
      </c>
      <c r="J61" t="n">
        <v>39.75</v>
      </c>
      <c r="K61" t="n">
        <v>39.75</v>
      </c>
      <c r="L61" t="n">
        <v>0</v>
      </c>
      <c r="M61" t="n">
        <v>39</v>
      </c>
      <c r="N61" t="n">
        <v>6</v>
      </c>
      <c r="O61" t="n">
        <v>13</v>
      </c>
      <c r="P61" t="n">
        <v>0</v>
      </c>
      <c r="Q61" t="n">
        <v>26</v>
      </c>
      <c r="R61" t="n">
        <v>6</v>
      </c>
      <c r="S61" t="n">
        <v>2</v>
      </c>
      <c r="T61" t="n">
        <v>0</v>
      </c>
      <c r="U61" t="n">
        <v>2</v>
      </c>
      <c r="V61" t="n">
        <v>6</v>
      </c>
    </row>
    <row r="62">
      <c r="A62" t="inlineStr">
        <is>
          <t>Sale of the mill's corn</t>
        </is>
      </c>
      <c r="B62" t="inlineStr">
        <is>
          <t>The same render account for 1 shilling 6pence from 2 bushels of wheat from the issue of the mill sold, at 9pence a bushels.</t>
        </is>
      </c>
      <c r="C62" t="n">
        <v>0.08</v>
      </c>
      <c r="D62" t="n">
        <v>0</v>
      </c>
      <c r="E62" t="n">
        <v>1</v>
      </c>
      <c r="F62" t="n">
        <v>6</v>
      </c>
      <c r="G62" t="inlineStr">
        <is>
          <t>wheat</t>
        </is>
      </c>
      <c r="H62" t="n">
        <v>0</v>
      </c>
      <c r="I62" t="n">
        <v>2</v>
      </c>
      <c r="J62" t="n">
        <v>0.25</v>
      </c>
      <c r="K62" t="n">
        <v>0.25</v>
      </c>
      <c r="L62" t="n">
        <v>0</v>
      </c>
      <c r="M62" t="n">
        <v>0</v>
      </c>
      <c r="N62" t="n">
        <v>2</v>
      </c>
      <c r="AA62" t="n">
        <v>0</v>
      </c>
      <c r="AB62" t="n">
        <v>9</v>
      </c>
    </row>
    <row r="63">
      <c r="A63" t="inlineStr">
        <is>
          <t>Sale of the mill's corn</t>
        </is>
      </c>
      <c r="B63" t="inlineStr">
        <is>
          <t>£2 8 shilling 9pence from 14 quarters 5 bushels of maslin sold, at 3 shilling 4pence a quarters.</t>
        </is>
      </c>
      <c r="C63" t="n">
        <v>2.44</v>
      </c>
      <c r="D63" t="n">
        <v>2</v>
      </c>
      <c r="E63" t="n">
        <v>8</v>
      </c>
      <c r="F63" t="n">
        <v>9</v>
      </c>
      <c r="G63" t="inlineStr">
        <is>
          <t>maslin</t>
        </is>
      </c>
      <c r="H63" t="n">
        <v>14</v>
      </c>
      <c r="I63" t="n">
        <v>5</v>
      </c>
      <c r="J63" t="n">
        <v>14.625</v>
      </c>
      <c r="K63" t="n">
        <v>14.625</v>
      </c>
      <c r="L63" t="n">
        <v>0</v>
      </c>
      <c r="M63" t="n">
        <v>14</v>
      </c>
      <c r="N63" t="n">
        <v>5</v>
      </c>
      <c r="S63" t="n">
        <v>3</v>
      </c>
      <c r="T63" t="n">
        <v>4</v>
      </c>
    </row>
    <row r="64">
      <c r="A64" t="inlineStr">
        <is>
          <t>Sale of the mill's corn</t>
        </is>
      </c>
      <c r="B64" t="inlineStr">
        <is>
          <t>10 shilling from 4 quarters of malt sold, at 2 shilling 6pence a quarters.</t>
        </is>
      </c>
      <c r="C64" t="n">
        <v>0.53</v>
      </c>
      <c r="D64" t="n">
        <v>0</v>
      </c>
      <c r="E64" t="n">
        <v>10</v>
      </c>
      <c r="F64" t="n">
        <v>6</v>
      </c>
      <c r="H64" t="n">
        <v>4</v>
      </c>
      <c r="I64" t="n">
        <v>0</v>
      </c>
      <c r="J64" t="n">
        <v>4</v>
      </c>
      <c r="K64" t="n">
        <v>4</v>
      </c>
      <c r="L64" t="n">
        <v>0</v>
      </c>
      <c r="M64" t="n">
        <v>4</v>
      </c>
      <c r="N64" t="n">
        <v>0</v>
      </c>
      <c r="S64" t="n">
        <v>2</v>
      </c>
      <c r="T64" t="n">
        <v>6</v>
      </c>
    </row>
    <row r="65">
      <c r="A65" t="inlineStr">
        <is>
          <t>Sale of the mill's corn</t>
        </is>
      </c>
      <c r="B65" t="inlineStr">
        <is>
          <t>Total, £3 3pence</t>
        </is>
      </c>
      <c r="C65" t="n">
        <v>3.01</v>
      </c>
      <c r="D65" t="n">
        <v>3</v>
      </c>
      <c r="E65" t="n">
        <v>0</v>
      </c>
      <c r="F65" t="n">
        <v>3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</row>
    <row r="66">
      <c r="A66" t="inlineStr">
        <is>
          <t>Entry and marriage fines</t>
        </is>
      </c>
      <c r="B66" t="inlineStr">
        <is>
          <t>The same render account for £1 6 shilling 8pence from tithingpenny at the two hundred-courts for the year.</t>
        </is>
      </c>
      <c r="C66" t="n">
        <v>1.33</v>
      </c>
      <c r="D66" t="n">
        <v>1</v>
      </c>
      <c r="E66" t="n">
        <v>6</v>
      </c>
      <c r="F66" t="n">
        <v>8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</row>
    <row r="67">
      <c r="A67" t="inlineStr">
        <is>
          <t>Entry and marriage fines</t>
        </is>
      </c>
      <c r="B67" t="inlineStr">
        <is>
          <t>13 shilling 4pence from Cecilia Marescall' to retain 0.5 virgate of land which belonged to her husband.</t>
        </is>
      </c>
      <c r="C67" t="n">
        <v>0.67</v>
      </c>
      <c r="D67" t="n">
        <v>0</v>
      </c>
      <c r="E67" t="n">
        <v>13</v>
      </c>
      <c r="F67" t="n">
        <v>4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</row>
    <row r="68">
      <c r="A68" t="inlineStr">
        <is>
          <t>Entry and marriage fines</t>
        </is>
      </c>
      <c r="B68" t="inlineStr">
        <is>
          <t>1 shilling from John le Sone for marrying Agnes his daughter outside.</t>
        </is>
      </c>
      <c r="C68" t="n">
        <v>0.05</v>
      </c>
      <c r="D68" t="n">
        <v>0</v>
      </c>
      <c r="E68" t="n">
        <v>1</v>
      </c>
      <c r="F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</row>
    <row r="69">
      <c r="A69" t="inlineStr">
        <is>
          <t>Entry and marriage fines</t>
        </is>
      </c>
      <c r="B69" t="inlineStr">
        <is>
          <t>5 shilling from Roger atte Garston to have 1 messuage 6.5 acres' of purpresture which belonged to Robert atte Garston' his uncle.</t>
        </is>
      </c>
      <c r="C69" t="n">
        <v>0.25</v>
      </c>
      <c r="D69" t="n">
        <v>0</v>
      </c>
      <c r="E69" t="n">
        <v>5</v>
      </c>
      <c r="F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</row>
    <row r="70">
      <c r="A70" t="inlineStr">
        <is>
          <t>Entry and marriage fines</t>
        </is>
      </c>
      <c r="B70" t="inlineStr">
        <is>
          <t>2 shilling from Walter le Son' for marrying Isabel his daughter outside.</t>
        </is>
      </c>
      <c r="C70" t="n">
        <v>0.1</v>
      </c>
      <c r="D70" t="n">
        <v>0</v>
      </c>
      <c r="E70" t="n">
        <v>2</v>
      </c>
      <c r="F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</row>
    <row r="71">
      <c r="A71" t="inlineStr">
        <is>
          <t>Entry and marriage fines</t>
        </is>
      </c>
      <c r="B71" t="inlineStr">
        <is>
          <t>1 shilling from John le Tayllor to have entry to a certain small plot, 36 feet long and 24 feet wide, beside the forge of la Wydegate.</t>
        </is>
      </c>
      <c r="C71" t="n">
        <v>0.05</v>
      </c>
      <c r="D71" t="n">
        <v>0</v>
      </c>
      <c r="E71" t="n">
        <v>1</v>
      </c>
      <c r="F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</row>
    <row r="72">
      <c r="A72" t="inlineStr">
        <is>
          <t>Entry and marriage fines</t>
        </is>
      </c>
      <c r="B72" t="inlineStr">
        <is>
          <t>1 shilling from Edith (Aldich') Cuteles for marrying herself outside the manor.</t>
        </is>
      </c>
      <c r="C72" t="n">
        <v>0.05</v>
      </c>
      <c r="D72" t="n">
        <v>0</v>
      </c>
      <c r="E72" t="n">
        <v>1</v>
      </c>
      <c r="F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</row>
    <row r="73">
      <c r="A73" t="inlineStr">
        <is>
          <t>Entry and marriage fines</t>
        </is>
      </c>
      <c r="B73" t="inlineStr">
        <is>
          <t>5 shilling from John Cutel of Whitway to have land which belonged to Adam Kutel his father by resignation of Edith Cutel his stepmother.</t>
        </is>
      </c>
      <c r="C73" t="n">
        <v>0.25</v>
      </c>
      <c r="D73" t="n">
        <v>0</v>
      </c>
      <c r="E73" t="n">
        <v>5</v>
      </c>
      <c r="F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</row>
    <row r="74">
      <c r="A74" t="inlineStr">
        <is>
          <t>Entry and marriage fines</t>
        </is>
      </c>
      <c r="B74" t="inlineStr">
        <is>
          <t>Total, £2 15 shilling</t>
        </is>
      </c>
      <c r="C74" t="n">
        <v>2.75</v>
      </c>
      <c r="D74" t="n">
        <v>2</v>
      </c>
      <c r="E74" t="n">
        <v>15</v>
      </c>
      <c r="F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</row>
    <row r="75">
      <c r="A75" t="inlineStr">
        <is>
          <t>Perquisites</t>
        </is>
      </c>
      <c r="B75" t="inlineStr">
        <is>
          <t>The same render account for 2 shilling from Juliana Sone, John atte Park' and their fellows for trespass of pasture.</t>
        </is>
      </c>
      <c r="C75" t="n">
        <v>0.1</v>
      </c>
      <c r="D75" t="n">
        <v>0</v>
      </c>
      <c r="E75" t="n">
        <v>2</v>
      </c>
      <c r="F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</row>
    <row r="76">
      <c r="A76" t="inlineStr">
        <is>
          <t>Perquisites</t>
        </is>
      </c>
      <c r="B76" t="inlineStr">
        <is>
          <t>2pence from William Tokelyn because he is convicted.</t>
        </is>
      </c>
      <c r="C76" t="n">
        <v>0.01</v>
      </c>
      <c r="D76" t="n">
        <v>0</v>
      </c>
      <c r="E76" t="n">
        <v>0</v>
      </c>
      <c r="F76" t="n">
        <v>2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</row>
    <row r="77">
      <c r="A77" t="inlineStr">
        <is>
          <t>Perquisites</t>
        </is>
      </c>
      <c r="B77" t="inlineStr">
        <is>
          <t>6pence from William Frensch' and his fellows for concealment.</t>
        </is>
      </c>
      <c r="C77" t="n">
        <v>0.03</v>
      </c>
      <c r="D77" t="n">
        <v>0</v>
      </c>
      <c r="E77" t="n">
        <v>0</v>
      </c>
      <c r="F77" t="n">
        <v>6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</row>
    <row r="78">
      <c r="A78" t="inlineStr">
        <is>
          <t>Perquisites</t>
        </is>
      </c>
      <c r="B78" t="inlineStr">
        <is>
          <t>1 shilling 3pence from Richard Kuppe and his fellows for trespass of pasture.</t>
        </is>
      </c>
      <c r="C78" t="n">
        <v>0.06</v>
      </c>
      <c r="D78" t="n">
        <v>0</v>
      </c>
      <c r="E78" t="n">
        <v>1</v>
      </c>
      <c r="F78" t="n">
        <v>3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</row>
    <row r="79">
      <c r="A79" t="inlineStr">
        <is>
          <t>Perquisites</t>
        </is>
      </c>
      <c r="B79" t="inlineStr">
        <is>
          <t>1 shilling 3pence from John Lunt, Stephen Rotelond and Robert Lot for bad ploughing.</t>
        </is>
      </c>
      <c r="C79" t="n">
        <v>0.06</v>
      </c>
      <c r="D79" t="n">
        <v>0</v>
      </c>
      <c r="E79" t="n">
        <v>1</v>
      </c>
      <c r="F79" t="n">
        <v>3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</row>
    <row r="80">
      <c r="A80" t="inlineStr">
        <is>
          <t>Perquisites</t>
        </is>
      </c>
      <c r="B80" t="inlineStr">
        <is>
          <t>2 shilling 3pence from John Cutel, Robert Lot and their fellows for trespass of pasture.</t>
        </is>
      </c>
      <c r="C80" t="n">
        <v>0.11</v>
      </c>
      <c r="D80" t="n">
        <v>0</v>
      </c>
      <c r="E80" t="n">
        <v>2</v>
      </c>
      <c r="F80" t="n">
        <v>3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</row>
    <row r="81">
      <c r="A81" t="inlineStr">
        <is>
          <t>Perquisites</t>
        </is>
      </c>
      <c r="B81" t="inlineStr">
        <is>
          <t>6pence from Nicholas Tritur' and Stephen Bercarius for transgression.</t>
        </is>
      </c>
      <c r="C81" t="n">
        <v>0.03</v>
      </c>
      <c r="D81" t="n">
        <v>0</v>
      </c>
      <c r="E81" t="n">
        <v>0</v>
      </c>
      <c r="F81" t="n">
        <v>6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</row>
    <row r="82">
      <c r="A82" t="inlineStr">
        <is>
          <t>Perquisites</t>
        </is>
      </c>
      <c r="B82" t="inlineStr">
        <is>
          <t>3 shilling from Ralph le Koc for carrying off 1 oak.</t>
        </is>
      </c>
      <c r="C82" t="n">
        <v>0.15</v>
      </c>
      <c r="D82" t="n">
        <v>0</v>
      </c>
      <c r="E82" t="n">
        <v>3</v>
      </c>
      <c r="F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</row>
    <row r="83">
      <c r="A83" t="inlineStr">
        <is>
          <t>Perquisites</t>
        </is>
      </c>
      <c r="B83" t="inlineStr">
        <is>
          <t>3pence from William Bykemere and Richard le Sone for transgression.</t>
        </is>
      </c>
      <c r="C83" t="n">
        <v>0.01</v>
      </c>
      <c r="D83" t="n">
        <v>0</v>
      </c>
      <c r="E83" t="n">
        <v>0</v>
      </c>
      <c r="F83" t="n">
        <v>3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</row>
    <row r="84">
      <c r="A84" t="inlineStr">
        <is>
          <t>Perquisites</t>
        </is>
      </c>
      <c r="B84" t="inlineStr">
        <is>
          <t>3pence from Stephen de Aul' for unjustly withholding.</t>
        </is>
      </c>
      <c r="C84" t="n">
        <v>0.01</v>
      </c>
      <c r="D84" t="n">
        <v>0</v>
      </c>
      <c r="E84" t="n">
        <v>0</v>
      </c>
      <c r="F84" t="n">
        <v>3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</row>
    <row r="85">
      <c r="A85" t="inlineStr">
        <is>
          <t>Perquisites</t>
        </is>
      </c>
      <c r="B85" t="inlineStr">
        <is>
          <t>3 shilling from John Burch' and his fellows for breaking the assize.</t>
        </is>
      </c>
      <c r="C85" t="n">
        <v>0.15</v>
      </c>
      <c r="D85" t="n">
        <v>0</v>
      </c>
      <c r="E85" t="n">
        <v>3</v>
      </c>
      <c r="F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</row>
    <row r="86">
      <c r="A86" t="inlineStr">
        <is>
          <t>Perquisites</t>
        </is>
      </c>
      <c r="B86" t="inlineStr">
        <is>
          <t>2 shilling from John Druery for bloodshed.</t>
        </is>
      </c>
      <c r="C86" t="n">
        <v>0.1</v>
      </c>
      <c r="D86" t="n">
        <v>0</v>
      </c>
      <c r="E86" t="n">
        <v>2</v>
      </c>
      <c r="F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</row>
    <row r="87">
      <c r="A87" t="inlineStr">
        <is>
          <t>Perquisites</t>
        </is>
      </c>
      <c r="B87" t="inlineStr">
        <is>
          <t>1 shilling from the reeve because his horse spent the night in the curia.</t>
        </is>
      </c>
      <c r="C87" t="n">
        <v>0.05</v>
      </c>
      <c r="D87" t="n">
        <v>0</v>
      </c>
      <c r="E87" t="n">
        <v>1</v>
      </c>
      <c r="F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</row>
    <row r="88">
      <c r="A88" t="inlineStr">
        <is>
          <t>Perquisites</t>
        </is>
      </c>
      <c r="B88" t="inlineStr">
        <is>
          <t>3pence from William Freynsch' for false presentment.</t>
        </is>
      </c>
      <c r="C88" t="n">
        <v>0.01</v>
      </c>
      <c r="D88" t="n">
        <v>0</v>
      </c>
      <c r="E88" t="n">
        <v>0</v>
      </c>
      <c r="F88" t="n">
        <v>3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</row>
    <row r="89">
      <c r="A89" t="inlineStr">
        <is>
          <t>Perquisites</t>
        </is>
      </c>
      <c r="B89" t="inlineStr">
        <is>
          <t>1 shilling from William Edgar and his fellows for ploughing.</t>
        </is>
      </c>
      <c r="C89" t="n">
        <v>0.05</v>
      </c>
      <c r="D89" t="n">
        <v>0</v>
      </c>
      <c r="E89" t="n">
        <v>1</v>
      </c>
      <c r="F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</row>
    <row r="90">
      <c r="A90" t="inlineStr">
        <is>
          <t>Perquisites</t>
        </is>
      </c>
      <c r="B90" t="inlineStr">
        <is>
          <t>1 shilling 9pence from John atte Tuneshend' and his fellows for trespass in the corn.</t>
        </is>
      </c>
      <c r="C90" t="n">
        <v>0.09</v>
      </c>
      <c r="D90" t="n">
        <v>0</v>
      </c>
      <c r="E90" t="n">
        <v>1</v>
      </c>
      <c r="F90" t="n">
        <v>9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</row>
    <row r="91">
      <c r="A91" t="inlineStr">
        <is>
          <t>Perquisites</t>
        </is>
      </c>
      <c r="B91" t="inlineStr">
        <is>
          <t>9pence from Richard le Sone and his fellows for trespass of pasture.</t>
        </is>
      </c>
      <c r="C91" t="n">
        <v>0.04</v>
      </c>
      <c r="D91" t="n">
        <v>0</v>
      </c>
      <c r="E91" t="n">
        <v>0</v>
      </c>
      <c r="F91" t="n">
        <v>9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</row>
    <row r="92">
      <c r="A92" t="inlineStr">
        <is>
          <t>Perquisites</t>
        </is>
      </c>
      <c r="B92" t="inlineStr">
        <is>
          <t>1 shilling from the whole tithing because it did not produce in court.</t>
        </is>
      </c>
      <c r="C92" t="n">
        <v>0.05</v>
      </c>
      <c r="D92" t="n">
        <v>0</v>
      </c>
      <c r="E92" t="n">
        <v>1</v>
      </c>
      <c r="F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</row>
    <row r="93">
      <c r="A93" t="inlineStr">
        <is>
          <t>Perquisites</t>
        </is>
      </c>
      <c r="B93" t="inlineStr">
        <is>
          <t>3pence from Robert Tastard because he came late.</t>
        </is>
      </c>
      <c r="C93" t="n">
        <v>0.01</v>
      </c>
      <c r="D93" t="n">
        <v>0</v>
      </c>
      <c r="E93" t="n">
        <v>0</v>
      </c>
      <c r="F93" t="n">
        <v>3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</row>
    <row r="94">
      <c r="A94" t="inlineStr">
        <is>
          <t>Perquisites</t>
        </is>
      </c>
      <c r="B94" t="inlineStr">
        <is>
          <t>3pence from John Elys for transgression.</t>
        </is>
      </c>
      <c r="C94" t="n">
        <v>0.01</v>
      </c>
      <c r="D94" t="n">
        <v>0</v>
      </c>
      <c r="E94" t="n">
        <v>0</v>
      </c>
      <c r="F94" t="n">
        <v>3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</row>
    <row r="95">
      <c r="A95" t="inlineStr">
        <is>
          <t>Perquisites</t>
        </is>
      </c>
      <c r="B95" t="inlineStr">
        <is>
          <t>1 shilling from Edith Godd' to have an enrolment.</t>
        </is>
      </c>
      <c r="C95" t="n">
        <v>0.05</v>
      </c>
      <c r="D95" t="n">
        <v>0</v>
      </c>
      <c r="E95" t="n">
        <v>1</v>
      </c>
      <c r="F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</row>
    <row r="96">
      <c r="A96" t="inlineStr">
        <is>
          <t>Perquisites</t>
        </is>
      </c>
      <c r="B96" t="inlineStr">
        <is>
          <t>2 shilling from Richard atte Well' and his fellows because convicted by inquest against Edith Gudd'.</t>
        </is>
      </c>
      <c r="C96" t="n">
        <v>0.1</v>
      </c>
      <c r="D96" t="n">
        <v>0</v>
      </c>
      <c r="E96" t="n">
        <v>2</v>
      </c>
      <c r="F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</row>
    <row r="97">
      <c r="A97" t="inlineStr">
        <is>
          <t>Perquisites</t>
        </is>
      </c>
      <c r="B97" t="inlineStr">
        <is>
          <t>6pence from William Bykemere for unjustly withholding.</t>
        </is>
      </c>
      <c r="C97" t="n">
        <v>0.03</v>
      </c>
      <c r="D97" t="n">
        <v>0</v>
      </c>
      <c r="E97" t="n">
        <v>0</v>
      </c>
      <c r="F97" t="n">
        <v>6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</row>
    <row r="98">
      <c r="A98" t="inlineStr">
        <is>
          <t>Perquisites</t>
        </is>
      </c>
      <c r="B98" t="inlineStr">
        <is>
          <t>2 shilling from Richard atte Well' because his horse spent the night in the curia.</t>
        </is>
      </c>
      <c r="C98" t="n">
        <v>0.1</v>
      </c>
      <c r="D98" t="n">
        <v>0</v>
      </c>
      <c r="E98" t="n">
        <v>2</v>
      </c>
      <c r="F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</row>
    <row r="99">
      <c r="A99" t="inlineStr">
        <is>
          <t>Perquisites</t>
        </is>
      </c>
      <c r="B99" t="inlineStr">
        <is>
          <t>3pence from William Edgar for trespass of ploughing.</t>
        </is>
      </c>
      <c r="C99" t="n">
        <v>0.01</v>
      </c>
      <c r="D99" t="n">
        <v>0</v>
      </c>
      <c r="E99" t="n">
        <v>0</v>
      </c>
      <c r="F99" t="n">
        <v>3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</row>
    <row r="100">
      <c r="A100" t="inlineStr">
        <is>
          <t>Perquisites</t>
        </is>
      </c>
      <c r="B100" t="inlineStr">
        <is>
          <t>6pence from William Frenssh' for false presentment.</t>
        </is>
      </c>
      <c r="C100" t="n">
        <v>0.03</v>
      </c>
      <c r="D100" t="n">
        <v>0</v>
      </c>
      <c r="E100" t="n">
        <v>0</v>
      </c>
      <c r="F100" t="n">
        <v>6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</row>
    <row r="101">
      <c r="A101" t="inlineStr">
        <is>
          <t>Perquisites</t>
        </is>
      </c>
      <c r="B101" t="inlineStr">
        <is>
          <t>1 shilling from Richard Herberd, Roger Cupping for trespass of wood and corn.</t>
        </is>
      </c>
      <c r="C101" t="n">
        <v>0.05</v>
      </c>
      <c r="D101" t="n">
        <v>0</v>
      </c>
      <c r="E101" t="n">
        <v>1</v>
      </c>
      <c r="F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</row>
    <row r="102">
      <c r="A102" t="inlineStr">
        <is>
          <t>Perquisites</t>
        </is>
      </c>
      <c r="B102" t="inlineStr">
        <is>
          <t>2 shilling 3pence from Roger Cupping, Nicholas Burch', John atte Toneshend' and their fellows for trespass of pasture.</t>
        </is>
      </c>
      <c r="C102" t="n">
        <v>0.11</v>
      </c>
      <c r="D102" t="n">
        <v>0</v>
      </c>
      <c r="E102" t="n">
        <v>2</v>
      </c>
      <c r="F102" t="n">
        <v>3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</row>
    <row r="103">
      <c r="A103" t="inlineStr">
        <is>
          <t>Perquisites</t>
        </is>
      </c>
      <c r="B103" t="inlineStr">
        <is>
          <t>4 shilling 6pence from Roger Cuppyng, Robert Gal', Hugh Servient', Roger Cuppyng and their fellows for trespass of corn.</t>
        </is>
      </c>
      <c r="C103" t="n">
        <v>0.23</v>
      </c>
      <c r="D103" t="n">
        <v>0</v>
      </c>
      <c r="E103" t="n">
        <v>4</v>
      </c>
      <c r="F103" t="n">
        <v>6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</row>
    <row r="104">
      <c r="A104" t="inlineStr">
        <is>
          <t>Perquisites</t>
        </is>
      </c>
      <c r="B104" t="inlineStr">
        <is>
          <t>1 shilling 6pence from 3 oxherds for contempt.</t>
        </is>
      </c>
      <c r="C104" t="n">
        <v>0.08</v>
      </c>
      <c r="D104" t="n">
        <v>0</v>
      </c>
      <c r="E104" t="n">
        <v>1</v>
      </c>
      <c r="F104" t="n">
        <v>6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</row>
    <row r="105">
      <c r="A105" t="inlineStr">
        <is>
          <t>Perquisites</t>
        </is>
      </c>
      <c r="B105" t="inlineStr">
        <is>
          <t>6 shilling 3pence from 7 ploughmen, John Cutel and their fellows for bad ploughing.</t>
        </is>
      </c>
      <c r="C105" t="n">
        <v>0.31</v>
      </c>
      <c r="D105" t="n">
        <v>0</v>
      </c>
      <c r="E105" t="n">
        <v>6</v>
      </c>
      <c r="F105" t="n">
        <v>3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</row>
    <row r="106">
      <c r="A106" t="inlineStr">
        <is>
          <t>Perquisites</t>
        </is>
      </c>
      <c r="B106" t="inlineStr">
        <is>
          <t>6pence from John de Parco and fellows because they did not come to the shearing.</t>
        </is>
      </c>
      <c r="C106" t="n">
        <v>0.03</v>
      </c>
      <c r="D106" t="n">
        <v>0</v>
      </c>
      <c r="E106" t="n">
        <v>0</v>
      </c>
      <c r="F106" t="n">
        <v>6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</row>
    <row r="107">
      <c r="A107" t="inlineStr">
        <is>
          <t>Perquisites</t>
        </is>
      </c>
      <c r="B107" t="inlineStr">
        <is>
          <t>4 shilling from Geoffrey atte Den' and other of his fellows for breaking the assize.</t>
        </is>
      </c>
      <c r="C107" t="n">
        <v>0.2</v>
      </c>
      <c r="D107" t="n">
        <v>0</v>
      </c>
      <c r="E107" t="n">
        <v>4</v>
      </c>
      <c r="F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</row>
    <row r="108">
      <c r="A108" t="inlineStr">
        <is>
          <t>Perquisites</t>
        </is>
      </c>
      <c r="B108" t="inlineStr">
        <is>
          <t>6pence from William Rod' for the hue.</t>
        </is>
      </c>
      <c r="C108" t="n">
        <v>0.03</v>
      </c>
      <c r="D108" t="n">
        <v>0</v>
      </c>
      <c r="E108" t="n">
        <v>0</v>
      </c>
      <c r="F108" t="n">
        <v>6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</row>
    <row r="109">
      <c r="A109" t="inlineStr">
        <is>
          <t>Perquisites</t>
        </is>
      </c>
      <c r="B109" t="inlineStr">
        <is>
          <t>3pence from Roger Cuppyng for trespass of the enclosure.</t>
        </is>
      </c>
      <c r="C109" t="n">
        <v>0.01</v>
      </c>
      <c r="D109" t="n">
        <v>0</v>
      </c>
      <c r="E109" t="n">
        <v>0</v>
      </c>
      <c r="F109" t="n">
        <v>3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</row>
    <row r="110">
      <c r="A110" t="inlineStr">
        <is>
          <t>Perquisites</t>
        </is>
      </c>
      <c r="B110" t="inlineStr">
        <is>
          <t>3pence from Cecilia Maresschall' for suit of mill.</t>
        </is>
      </c>
      <c r="C110" t="n">
        <v>0.01</v>
      </c>
      <c r="D110" t="n">
        <v>0</v>
      </c>
      <c r="E110" t="n">
        <v>0</v>
      </c>
      <c r="F110" t="n">
        <v>3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</row>
    <row r="111">
      <c r="A111" t="inlineStr">
        <is>
          <t>Perquisites</t>
        </is>
      </c>
      <c r="B111" t="inlineStr">
        <is>
          <t>1 shilling From Walter Malot and his fellows for trespass of pasture.</t>
        </is>
      </c>
      <c r="C111" t="n">
        <v>0.05</v>
      </c>
      <c r="D111" t="n">
        <v>0</v>
      </c>
      <c r="E111" t="n">
        <v>1</v>
      </c>
      <c r="F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</row>
    <row r="112">
      <c r="A112" t="inlineStr">
        <is>
          <t>Perquisites</t>
        </is>
      </c>
      <c r="B112" t="inlineStr">
        <is>
          <t>1 shilling from Adam atte Ford' for the recovery and custody of his livestock.</t>
        </is>
      </c>
      <c r="C112" t="n">
        <v>0.05</v>
      </c>
      <c r="D112" t="n">
        <v>0</v>
      </c>
      <c r="E112" t="n">
        <v>1</v>
      </c>
      <c r="F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Perquisites</t>
        </is>
      </c>
      <c r="B113" t="inlineStr">
        <is>
          <t>Total, £2 13 shilling 3pence</t>
        </is>
      </c>
      <c r="C113" t="n">
        <v>2.66</v>
      </c>
      <c r="D113" t="n">
        <v>2</v>
      </c>
      <c r="E113" t="n">
        <v>13</v>
      </c>
      <c r="F113" t="n">
        <v>3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t="inlineStr">
        <is>
          <t>Total of both</t>
        </is>
      </c>
      <c r="B114" t="inlineStr">
        <is>
          <t>Total of both, £5 8 shilling 3pence</t>
        </is>
      </c>
      <c r="C114" t="n">
        <v>5.41</v>
      </c>
      <c r="D114" t="n">
        <v>5</v>
      </c>
      <c r="E114" t="n">
        <v>8</v>
      </c>
      <c r="F114" t="n">
        <v>3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</row>
    <row r="115">
      <c r="A115" t="inlineStr">
        <is>
          <t>Total of all receipts</t>
        </is>
      </c>
      <c r="B115" t="inlineStr">
        <is>
          <t>Total of all receipts, £84 5.5pence</t>
        </is>
      </c>
      <c r="C115" t="n">
        <v>84.02</v>
      </c>
      <c r="D115" t="n">
        <v>84</v>
      </c>
      <c r="E115" t="n">
        <v>0</v>
      </c>
      <c r="F115" t="n">
        <v>5.5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</row>
    <row r="116">
      <c r="A116" t="inlineStr">
        <is>
          <t>Cost of ploughs</t>
        </is>
      </c>
      <c r="B116" t="inlineStr">
        <is>
          <t>In the ironwork of 5 ploughs for the year and 1 plough for 1 term 6 shilling 3pence.</t>
        </is>
      </c>
      <c r="C116" t="n">
        <v>0.31</v>
      </c>
      <c r="D116" t="n">
        <v>0</v>
      </c>
      <c r="E116" t="n">
        <v>6</v>
      </c>
      <c r="F116" t="n">
        <v>3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</row>
    <row r="117">
      <c r="A117" t="inlineStr">
        <is>
          <t>Cost of ploughs</t>
        </is>
      </c>
      <c r="B117" t="inlineStr">
        <is>
          <t>stipend of 1 smith, nothing, because he takes 1 acre of wheat for his stipenpence.</t>
        </is>
      </c>
      <c r="C117" t="n">
        <v>0</v>
      </c>
      <c r="D117" t="n">
        <v>0</v>
      </c>
      <c r="E117" t="n">
        <v>0</v>
      </c>
      <c r="F117" t="n">
        <v>0</v>
      </c>
      <c r="G117" t="inlineStr">
        <is>
          <t>wheat</t>
        </is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</row>
    <row r="118">
      <c r="A118" t="inlineStr">
        <is>
          <t>Cost of ploughs</t>
        </is>
      </c>
      <c r="B118" t="inlineStr">
        <is>
          <t>6 plough-irons bought Is, 6pence.</t>
        </is>
      </c>
      <c r="C118" t="n">
        <v>0.03</v>
      </c>
      <c r="D118" t="n">
        <v>0</v>
      </c>
      <c r="E118" t="n">
        <v>0</v>
      </c>
      <c r="F118" t="n">
        <v>6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</row>
    <row r="119">
      <c r="A119" t="inlineStr">
        <is>
          <t>Cost of ploughs</t>
        </is>
      </c>
      <c r="B119" t="inlineStr">
        <is>
          <t>1 coulter bought 10pence.</t>
        </is>
      </c>
      <c r="C119" t="n">
        <v>0.04</v>
      </c>
      <c r="D119" t="n">
        <v>0</v>
      </c>
      <c r="E119" t="n">
        <v>0</v>
      </c>
      <c r="F119" t="n">
        <v>10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</row>
    <row r="120">
      <c r="A120" t="inlineStr">
        <is>
          <t>Cost of ploughs</t>
        </is>
      </c>
      <c r="B120" t="inlineStr">
        <is>
          <t>4 ploughshares 3 shilling 4pence.</t>
        </is>
      </c>
      <c r="C120" t="n">
        <v>0.17</v>
      </c>
      <c r="D120" t="n">
        <v>0</v>
      </c>
      <c r="E120" t="n">
        <v>3</v>
      </c>
      <c r="F120" t="n">
        <v>4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</row>
    <row r="121">
      <c r="A121" t="inlineStr">
        <is>
          <t>Cost of ploughs</t>
        </is>
      </c>
      <c r="B121" t="inlineStr">
        <is>
          <t>3 ploughs made anew and others mended, fitted with share-beams, and covered with boards for the year, 1 shilling 4pence.</t>
        </is>
      </c>
      <c r="C121" t="n">
        <v>0.07000000000000001</v>
      </c>
      <c r="D121" t="n">
        <v>0</v>
      </c>
      <c r="E121" t="n">
        <v>1</v>
      </c>
      <c r="F121" t="n">
        <v>4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</row>
    <row r="122">
      <c r="A122" t="inlineStr">
        <is>
          <t>Cost of ploughs</t>
        </is>
      </c>
      <c r="B122" t="inlineStr">
        <is>
          <t>yokes and wooden halters made 6pence.</t>
        </is>
      </c>
      <c r="C122" t="n">
        <v>0.03</v>
      </c>
      <c r="D122" t="n">
        <v>0</v>
      </c>
      <c r="E122" t="n">
        <v>0</v>
      </c>
      <c r="F122" t="n">
        <v>6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</row>
    <row r="123">
      <c r="A123" t="inlineStr">
        <is>
          <t>Cost of ploughs</t>
        </is>
      </c>
      <c r="B123" t="inlineStr">
        <is>
          <t>4 pairs of wheels bought 1 shilling.</t>
        </is>
      </c>
      <c r="C123" t="n">
        <v>0.05</v>
      </c>
      <c r="D123" t="n">
        <v>0</v>
      </c>
      <c r="E123" t="n">
        <v>1</v>
      </c>
      <c r="F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</row>
    <row r="124">
      <c r="A124" t="inlineStr">
        <is>
          <t>Cost of ploughs</t>
        </is>
      </c>
      <c r="B124" t="inlineStr">
        <is>
          <t>boon-works of 40 ploughmen in winter and as many in Lent who ploughed as many acres as they lie 13 shilling 4pence, or 2pence a ploughman a day.</t>
        </is>
      </c>
      <c r="C124" t="n">
        <v>0.67</v>
      </c>
      <c r="D124" t="n">
        <v>0</v>
      </c>
      <c r="E124" t="n">
        <v>13</v>
      </c>
      <c r="F124" t="n">
        <v>4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</row>
    <row r="125">
      <c r="A125" t="inlineStr">
        <is>
          <t>Cost of ploughs</t>
        </is>
      </c>
      <c r="B125" t="inlineStr">
        <is>
          <t>Moreover, each ploughman will plough 1 acre in summer for fallow without food according to custom.</t>
        </is>
      </c>
      <c r="C125" t="n">
        <v>0</v>
      </c>
      <c r="D125" t="n">
        <v>0</v>
      </c>
      <c r="E125" t="n">
        <v>0</v>
      </c>
      <c r="F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</row>
    <row r="126">
      <c r="A126" t="inlineStr">
        <is>
          <t>Cost of ploughs</t>
        </is>
      </c>
      <c r="B126" t="inlineStr">
        <is>
          <t>.</t>
        </is>
      </c>
      <c r="C126" t="n">
        <v>0</v>
      </c>
      <c r="D126" t="n">
        <v>0</v>
      </c>
      <c r="E126" t="n">
        <v>0</v>
      </c>
      <c r="F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</row>
    <row r="127">
      <c r="A127" t="inlineStr">
        <is>
          <t>Cost of ploughs</t>
        </is>
      </c>
      <c r="B127" t="inlineStr">
        <is>
          <t>reward of 8 ploughmen for the year and 2 for 1 term for their Saturday ploughings 19 shilling 3pence, each taking 2 shilling less than they are accustomed, because more than accustomed was delivered to one sergeant who is there, and besides this they should each remove 1 horse which they are accustomed to have in the lord's pasture.</t>
        </is>
      </c>
      <c r="C127" t="n">
        <v>0.96</v>
      </c>
      <c r="D127" t="n">
        <v>0</v>
      </c>
      <c r="E127" t="n">
        <v>19</v>
      </c>
      <c r="F127" t="n">
        <v>3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</row>
    <row r="128">
      <c r="A128" t="inlineStr">
        <is>
          <t>Cost of ploughs</t>
        </is>
      </c>
      <c r="B128" t="inlineStr">
        <is>
          <t>.</t>
        </is>
      </c>
      <c r="C128" t="n">
        <v>0</v>
      </c>
      <c r="D128" t="n">
        <v>0</v>
      </c>
      <c r="E128" t="n">
        <v>0</v>
      </c>
      <c r="F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</row>
    <row r="129">
      <c r="A129" t="inlineStr">
        <is>
          <t>Cost of ploughs</t>
        </is>
      </c>
      <c r="B129" t="inlineStr">
        <is>
          <t>healing (medicinand) oxen 4pence.</t>
        </is>
      </c>
      <c r="C129" t="n">
        <v>0.02</v>
      </c>
      <c r="D129" t="n">
        <v>0</v>
      </c>
      <c r="E129" t="n">
        <v>0</v>
      </c>
      <c r="F129" t="n">
        <v>4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</row>
    <row r="130">
      <c r="A130" t="inlineStr">
        <is>
          <t>Cost of ploughs</t>
        </is>
      </c>
      <c r="B130" t="inlineStr">
        <is>
          <t>24 oxen bought for ploughs £13 19 shilling 5pence, at 10 shilling 3pence each for 2, 11 shilling 2pence each for 15, and 13 shilling each for 7, plus 5pence in all.</t>
        </is>
      </c>
      <c r="C130" t="n">
        <v>13.97</v>
      </c>
      <c r="D130" t="n">
        <v>13</v>
      </c>
      <c r="E130" t="n">
        <v>19</v>
      </c>
      <c r="F130" t="n">
        <v>5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</row>
    <row r="131">
      <c r="A131" t="inlineStr">
        <is>
          <t>Cost of ploughs</t>
        </is>
      </c>
      <c r="B131" t="inlineStr">
        <is>
          <t>.</t>
        </is>
      </c>
      <c r="C131" t="n">
        <v>0</v>
      </c>
      <c r="D131" t="n">
        <v>0</v>
      </c>
      <c r="E131" t="n">
        <v>0</v>
      </c>
      <c r="F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</row>
    <row r="132">
      <c r="A132" t="inlineStr">
        <is>
          <t>Cost of ploughs</t>
        </is>
      </c>
      <c r="B132" t="inlineStr">
        <is>
          <t>stipend of 3 oxherds for the year 9 shilling.</t>
        </is>
      </c>
      <c r="C132" t="n">
        <v>0.45</v>
      </c>
      <c r="D132" t="n">
        <v>0</v>
      </c>
      <c r="E132" t="n">
        <v>9</v>
      </c>
      <c r="F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</row>
    <row r="133">
      <c r="A133" t="inlineStr">
        <is>
          <t>Cost of ploughs</t>
        </is>
      </c>
      <c r="B133" t="inlineStr">
        <is>
          <t>10 quarters 6 bushels of maslin bought for the liveries of the manorial servants £1 15 shilling 10pence, at 3 shilling 4pence a quarters.</t>
        </is>
      </c>
      <c r="C133" t="n">
        <v>1.79</v>
      </c>
      <c r="D133" t="n">
        <v>1</v>
      </c>
      <c r="E133" t="n">
        <v>15</v>
      </c>
      <c r="F133" t="n">
        <v>10</v>
      </c>
      <c r="G133" t="inlineStr">
        <is>
          <t>maslin</t>
        </is>
      </c>
      <c r="H133" t="n">
        <v>10</v>
      </c>
      <c r="I133" t="n">
        <v>6</v>
      </c>
      <c r="J133" t="n">
        <v>10.75</v>
      </c>
      <c r="K133" t="n">
        <v>10.75</v>
      </c>
      <c r="L133" t="n">
        <v>0</v>
      </c>
      <c r="M133" t="n">
        <v>10</v>
      </c>
      <c r="N133" t="n">
        <v>6</v>
      </c>
      <c r="S133" t="n">
        <v>3</v>
      </c>
      <c r="T133" t="n">
        <v>4</v>
      </c>
    </row>
    <row r="134">
      <c r="A134" t="inlineStr">
        <is>
          <t>Cost of ploughs</t>
        </is>
      </c>
      <c r="B134" t="inlineStr">
        <is>
          <t>.</t>
        </is>
      </c>
      <c r="C134" t="n">
        <v>0</v>
      </c>
      <c r="D134" t="n">
        <v>0</v>
      </c>
      <c r="E134" t="n">
        <v>0</v>
      </c>
      <c r="F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</row>
    <row r="135">
      <c r="A135" t="inlineStr">
        <is>
          <t>Cost of ploughs</t>
        </is>
      </c>
      <c r="B135" t="inlineStr">
        <is>
          <t>3 quarters of barley bought for sowing 12 shilling, at 4 shilling a quarters.</t>
        </is>
      </c>
      <c r="C135" t="n">
        <v>0.6</v>
      </c>
      <c r="D135" t="n">
        <v>0</v>
      </c>
      <c r="E135" t="n">
        <v>12</v>
      </c>
      <c r="F135" t="n">
        <v>0</v>
      </c>
      <c r="G135" t="inlineStr">
        <is>
          <t>barley</t>
        </is>
      </c>
      <c r="H135" t="n">
        <v>3</v>
      </c>
      <c r="I135" t="n">
        <v>0</v>
      </c>
      <c r="J135" t="n">
        <v>3</v>
      </c>
      <c r="K135" t="n">
        <v>3</v>
      </c>
      <c r="L135" t="n">
        <v>0</v>
      </c>
      <c r="M135" t="n">
        <v>3</v>
      </c>
      <c r="N135" t="n">
        <v>0</v>
      </c>
      <c r="S135" t="n">
        <v>4</v>
      </c>
      <c r="T135" t="n">
        <v>0</v>
      </c>
    </row>
    <row r="136">
      <c r="A136" t="inlineStr">
        <is>
          <t>Cost of ploughs</t>
        </is>
      </c>
      <c r="B136" t="inlineStr">
        <is>
          <t>Total, £19 3 shilling 11pence</t>
        </is>
      </c>
      <c r="C136" t="n">
        <v>19.2</v>
      </c>
      <c r="D136" t="n">
        <v>19</v>
      </c>
      <c r="E136" t="n">
        <v>3</v>
      </c>
      <c r="F136" t="n">
        <v>11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</row>
    <row r="137">
      <c r="A137" t="inlineStr">
        <is>
          <t>Cost of carts</t>
        </is>
      </c>
      <c r="B137" t="inlineStr">
        <is>
          <t>In clouts, nails, grease and white leather bought for the carts for the year, and fitting 3 carts with axles at various times, 2 shilling.</t>
        </is>
      </c>
      <c r="C137" t="n">
        <v>0.1</v>
      </c>
      <c r="D137" t="n">
        <v>0</v>
      </c>
      <c r="E137" t="n">
        <v>2</v>
      </c>
      <c r="F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</row>
    <row r="138">
      <c r="A138" t="inlineStr">
        <is>
          <t>Cost of carts</t>
        </is>
      </c>
      <c r="B138" t="inlineStr">
        <is>
          <t>2 collars bought 1 shilling 1pence.</t>
        </is>
      </c>
      <c r="C138" t="n">
        <v>0.05</v>
      </c>
      <c r="D138" t="n">
        <v>0</v>
      </c>
      <c r="E138" t="n">
        <v>1</v>
      </c>
      <c r="F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</row>
    <row r="139">
      <c r="A139" t="inlineStr">
        <is>
          <t>Cost of carts</t>
        </is>
      </c>
      <c r="B139" t="inlineStr">
        <is>
          <t>1 pair of tie-beams 6pence.</t>
        </is>
      </c>
      <c r="C139" t="n">
        <v>0.03</v>
      </c>
      <c r="D139" t="n">
        <v>0</v>
      </c>
      <c r="E139" t="n">
        <v>0</v>
      </c>
      <c r="F139" t="n">
        <v>6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</row>
    <row r="140">
      <c r="A140" t="inlineStr">
        <is>
          <t>Cost of carts</t>
        </is>
      </c>
      <c r="B140" t="inlineStr">
        <is>
          <t>2 pairs of traces bought 1 shilling 1pence.</t>
        </is>
      </c>
      <c r="C140" t="n">
        <v>0.05</v>
      </c>
      <c r="D140" t="n">
        <v>0</v>
      </c>
      <c r="E140" t="n">
        <v>1</v>
      </c>
      <c r="F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</row>
    <row r="141">
      <c r="A141" t="inlineStr">
        <is>
          <t>Cost of carts</t>
        </is>
      </c>
      <c r="B141" t="inlineStr">
        <is>
          <t>2 halters bought 5pence.</t>
        </is>
      </c>
      <c r="C141" t="n">
        <v>0.02</v>
      </c>
      <c r="D141" t="n">
        <v>0</v>
      </c>
      <c r="E141" t="n">
        <v>0</v>
      </c>
      <c r="F141" t="n">
        <v>5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</row>
    <row r="142">
      <c r="A142" t="inlineStr">
        <is>
          <t>Cost of carts</t>
        </is>
      </c>
      <c r="B142" t="inlineStr">
        <is>
          <t>1 saddle-base bought 4pence.</t>
        </is>
      </c>
      <c r="C142" t="n">
        <v>0.02</v>
      </c>
      <c r="D142" t="n">
        <v>0</v>
      </c>
      <c r="E142" t="n">
        <v>0</v>
      </c>
      <c r="F142" t="n">
        <v>4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</row>
    <row r="143">
      <c r="A143" t="inlineStr">
        <is>
          <t>Cost of carts</t>
        </is>
      </c>
      <c r="B143" t="inlineStr">
        <is>
          <t>1 cart-rope 1 shilling 2pence.</t>
        </is>
      </c>
      <c r="C143" t="n">
        <v>0.06</v>
      </c>
      <c r="D143" t="n">
        <v>0</v>
      </c>
      <c r="E143" t="n">
        <v>1</v>
      </c>
      <c r="F143" t="n">
        <v>2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</row>
    <row r="144">
      <c r="A144" t="inlineStr">
        <is>
          <t>Cost of carts</t>
        </is>
      </c>
      <c r="B144" t="inlineStr">
        <is>
          <t>shoeing 3 cart-horses for the year and 1 for 1 term 3 shilling 6pence.</t>
        </is>
      </c>
      <c r="C144" t="n">
        <v>0.17</v>
      </c>
      <c r="D144" t="n">
        <v>0</v>
      </c>
      <c r="E144" t="n">
        <v>3</v>
      </c>
      <c r="F144" t="n">
        <v>6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</row>
    <row r="145">
      <c r="A145" t="inlineStr">
        <is>
          <t>Cost of carts</t>
        </is>
      </c>
      <c r="B145" t="inlineStr">
        <is>
          <t>stipend of 1 carter for the year 3 shilling Total, 13 shilling 1pence</t>
        </is>
      </c>
      <c r="C145" t="n">
        <v>0.15</v>
      </c>
      <c r="D145" t="n">
        <v>0</v>
      </c>
      <c r="E145" t="n">
        <v>3</v>
      </c>
      <c r="F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</row>
    <row r="146">
      <c r="A146" t="inlineStr">
        <is>
          <t>Cost of buildings</t>
        </is>
      </c>
      <c r="B146" t="inlineStr">
        <is>
          <t>In roofing the wheat-barn in places 1 shilling 6pence.</t>
        </is>
      </c>
      <c r="C146" t="n">
        <v>0.08</v>
      </c>
      <c r="D146" t="n">
        <v>0</v>
      </c>
      <c r="E146" t="n">
        <v>1</v>
      </c>
      <c r="F146" t="n">
        <v>6</v>
      </c>
      <c r="G146" t="inlineStr">
        <is>
          <t>wheat</t>
        </is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</row>
    <row r="147">
      <c r="A147" t="inlineStr">
        <is>
          <t>Cost of buildings</t>
        </is>
      </c>
      <c r="B147" t="inlineStr">
        <is>
          <t>roofing and mending the byre and sheepcote beside the church in places 3 shilling.</t>
        </is>
      </c>
      <c r="C147" t="n">
        <v>0.15</v>
      </c>
      <c r="D147" t="n">
        <v>0</v>
      </c>
      <c r="E147" t="n">
        <v>3</v>
      </c>
      <c r="F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</row>
    <row r="148">
      <c r="A148" t="inlineStr">
        <is>
          <t>Cost of buildings</t>
        </is>
      </c>
      <c r="B148" t="inlineStr">
        <is>
          <t>roofing the sheepcote of Landecumbe 1 shilling 3pence.</t>
        </is>
      </c>
      <c r="C148" t="n">
        <v>0.06</v>
      </c>
      <c r="D148" t="n">
        <v>0</v>
      </c>
      <c r="E148" t="n">
        <v>1</v>
      </c>
      <c r="F148" t="n">
        <v>3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</row>
    <row r="149">
      <c r="A149" t="inlineStr">
        <is>
          <t>Cost of buildings</t>
        </is>
      </c>
      <c r="B149" t="inlineStr">
        <is>
          <t>constructing 2 perches of palisade between the curia and the cemetery 1 shilling 6pence.</t>
        </is>
      </c>
      <c r="C149" t="n">
        <v>0.08</v>
      </c>
      <c r="D149" t="n">
        <v>0</v>
      </c>
      <c r="E149" t="n">
        <v>1</v>
      </c>
      <c r="F149" t="n">
        <v>6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</row>
    <row r="150">
      <c r="A150" t="inlineStr">
        <is>
          <t>Cost of buildings</t>
        </is>
      </c>
      <c r="B150" t="inlineStr">
        <is>
          <t>pulling down the old byre 1 shilling.</t>
        </is>
      </c>
      <c r="C150" t="n">
        <v>0.05</v>
      </c>
      <c r="D150" t="n">
        <v>0</v>
      </c>
      <c r="E150" t="n">
        <v>1</v>
      </c>
      <c r="F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</row>
    <row r="151">
      <c r="A151" t="inlineStr">
        <is>
          <t>Cost of buildings</t>
        </is>
      </c>
      <c r="B151" t="inlineStr">
        <is>
          <t>cleaning the grips in the field 4 shilling.</t>
        </is>
      </c>
      <c r="C151" t="n">
        <v>0.2</v>
      </c>
      <c r="D151" t="n">
        <v>0</v>
      </c>
      <c r="E151" t="n">
        <v>4</v>
      </c>
      <c r="F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</row>
    <row r="152">
      <c r="A152" t="inlineStr">
        <is>
          <t>Cost of buildings</t>
        </is>
      </c>
      <c r="B152" t="inlineStr">
        <is>
          <t>marling the land sown with barley 1 shilling 6pence.</t>
        </is>
      </c>
      <c r="C152" t="n">
        <v>0.08</v>
      </c>
      <c r="D152" t="n">
        <v>0</v>
      </c>
      <c r="E152" t="n">
        <v>1</v>
      </c>
      <c r="F152" t="n">
        <v>6</v>
      </c>
      <c r="G152" t="inlineStr">
        <is>
          <t>barley</t>
        </is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</row>
    <row r="153">
      <c r="A153" t="inlineStr">
        <is>
          <t>Cost of buildings</t>
        </is>
      </c>
      <c r="B153" t="inlineStr">
        <is>
          <t>forage bought 13 shilling 10pence.</t>
        </is>
      </c>
      <c r="C153" t="n">
        <v>0.6899999999999999</v>
      </c>
      <c r="D153" t="n">
        <v>0</v>
      </c>
      <c r="E153" t="n">
        <v>13</v>
      </c>
      <c r="F153" t="n">
        <v>10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</row>
    <row r="154">
      <c r="A154" t="inlineStr">
        <is>
          <t>Cost of buildings</t>
        </is>
      </c>
      <c r="B154" t="inlineStr">
        <is>
          <t>3 pigs bought 5 shilling Total, £1 8 shilling 11pence</t>
        </is>
      </c>
      <c r="C154" t="n">
        <v>1.45</v>
      </c>
      <c r="D154" t="n">
        <v>1</v>
      </c>
      <c r="E154" t="n">
        <v>8</v>
      </c>
      <c r="F154" t="n">
        <v>11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</row>
    <row r="155">
      <c r="A155" t="inlineStr">
        <is>
          <t>Sheepcote and sheepfold</t>
        </is>
      </c>
      <c r="B155" t="inlineStr">
        <is>
          <t>In grease bought for greasing sheep 12 shilling 4pence.</t>
        </is>
      </c>
      <c r="C155" t="n">
        <v>0.62</v>
      </c>
      <c r="D155" t="n">
        <v>0</v>
      </c>
      <c r="E155" t="n">
        <v>12</v>
      </c>
      <c r="F155" t="n">
        <v>4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</row>
    <row r="156">
      <c r="A156" t="inlineStr">
        <is>
          <t>Sheepcote and sheepfold</t>
        </is>
      </c>
      <c r="B156" t="inlineStr">
        <is>
          <t>stipend of 1 shepherd for' year 1 shilling.</t>
        </is>
      </c>
      <c r="C156" t="n">
        <v>0.05</v>
      </c>
      <c r="D156" t="n">
        <v>0</v>
      </c>
      <c r="E156" t="n">
        <v>1</v>
      </c>
      <c r="F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</row>
    <row r="157">
      <c r="A157" t="inlineStr">
        <is>
          <t>Sheepcote and sheepfold</t>
        </is>
      </c>
      <c r="B157" t="inlineStr">
        <is>
          <t>wattling the fold 5pence.</t>
        </is>
      </c>
      <c r="C157" t="n">
        <v>0.02</v>
      </c>
      <c r="D157" t="n">
        <v>0</v>
      </c>
      <c r="E157" t="n">
        <v>0</v>
      </c>
      <c r="F157" t="n">
        <v>5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</row>
    <row r="158">
      <c r="A158" t="inlineStr">
        <is>
          <t>Sheepcote and sheepfold</t>
        </is>
      </c>
      <c r="B158" t="inlineStr">
        <is>
          <t>mending hurdles bought 2pence Total, 13 shilling 11pence</t>
        </is>
      </c>
      <c r="C158" t="n">
        <v>0.66</v>
      </c>
      <c r="D158" t="n">
        <v>0</v>
      </c>
      <c r="E158" t="n">
        <v>13</v>
      </c>
      <c r="F158" t="n">
        <v>2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</row>
    <row r="159">
      <c r="A159" t="inlineStr">
        <is>
          <t>Threshing and winnowing</t>
        </is>
      </c>
      <c r="B159" t="inlineStr">
        <is>
          <t>In threshing and winnowing 104 quarters of wheat by piece-work 17 shilling 4pence, at 2pence a quarters.</t>
        </is>
      </c>
      <c r="C159" t="n">
        <v>0.87</v>
      </c>
      <c r="D159" t="n">
        <v>0</v>
      </c>
      <c r="E159" t="n">
        <v>17</v>
      </c>
      <c r="F159" t="n">
        <v>4</v>
      </c>
      <c r="G159" t="inlineStr">
        <is>
          <t>wheat</t>
        </is>
      </c>
      <c r="H159" t="n">
        <v>104</v>
      </c>
      <c r="I159" t="n">
        <v>0</v>
      </c>
      <c r="J159" t="n">
        <v>104</v>
      </c>
      <c r="K159" t="n">
        <v>104</v>
      </c>
      <c r="L159" t="n">
        <v>0</v>
      </c>
      <c r="M159" t="n">
        <v>104</v>
      </c>
      <c r="N159" t="n">
        <v>0</v>
      </c>
    </row>
    <row r="160">
      <c r="A160" t="inlineStr">
        <is>
          <t>Threshing and winnowing</t>
        </is>
      </c>
      <c r="B160" t="inlineStr">
        <is>
          <t>.</t>
        </is>
      </c>
      <c r="C160" t="n">
        <v>0</v>
      </c>
      <c r="D160" t="n">
        <v>0</v>
      </c>
      <c r="E160" t="n">
        <v>0</v>
      </c>
      <c r="F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</row>
    <row r="161">
      <c r="A161" t="inlineStr">
        <is>
          <t>Threshing and winnowing</t>
        </is>
      </c>
      <c r="B161" t="inlineStr">
        <is>
          <t>threshing 39 quarters 1 bushels of bere by piece-work 5 shilling 8.5pence, at 1.75pence a quarters.</t>
        </is>
      </c>
      <c r="C161" t="n">
        <v>0.29</v>
      </c>
      <c r="D161" t="n">
        <v>0</v>
      </c>
      <c r="E161" t="n">
        <v>5</v>
      </c>
      <c r="F161" t="n">
        <v>8.5</v>
      </c>
      <c r="H161" t="n">
        <v>39</v>
      </c>
      <c r="I161" t="n">
        <v>1</v>
      </c>
      <c r="J161" t="n">
        <v>39.125</v>
      </c>
      <c r="K161" t="n">
        <v>39.125</v>
      </c>
      <c r="L161" t="n">
        <v>0</v>
      </c>
      <c r="M161" t="n">
        <v>39</v>
      </c>
      <c r="N161" t="n">
        <v>1</v>
      </c>
    </row>
    <row r="162">
      <c r="A162" t="inlineStr">
        <is>
          <t>Threshing and winnowing</t>
        </is>
      </c>
      <c r="B162" t="inlineStr">
        <is>
          <t>.</t>
        </is>
      </c>
      <c r="C162" t="n">
        <v>0</v>
      </c>
      <c r="D162" t="n">
        <v>0</v>
      </c>
      <c r="E162" t="n">
        <v>0</v>
      </c>
      <c r="F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</row>
    <row r="163">
      <c r="A163" t="inlineStr">
        <is>
          <t>Threshing and winnowing</t>
        </is>
      </c>
      <c r="B163" t="inlineStr">
        <is>
          <t>threshing and winnowing 8 quarters 2 bushels of barley by piece-work 10.25pence, at 1.25pence a quarters.</t>
        </is>
      </c>
      <c r="C163" t="n">
        <v>0.04</v>
      </c>
      <c r="D163" t="n">
        <v>0</v>
      </c>
      <c r="E163" t="n">
        <v>0</v>
      </c>
      <c r="F163" t="n">
        <v>10.25</v>
      </c>
      <c r="G163" t="inlineStr">
        <is>
          <t>barley</t>
        </is>
      </c>
      <c r="H163" t="n">
        <v>8</v>
      </c>
      <c r="I163" t="n">
        <v>2</v>
      </c>
      <c r="J163" t="n">
        <v>8.25</v>
      </c>
      <c r="K163" t="n">
        <v>8.25</v>
      </c>
      <c r="L163" t="n">
        <v>0</v>
      </c>
      <c r="M163" t="n">
        <v>8</v>
      </c>
      <c r="N163" t="n">
        <v>2</v>
      </c>
    </row>
    <row r="164">
      <c r="A164" t="inlineStr">
        <is>
          <t>Threshing and winnowing</t>
        </is>
      </c>
      <c r="B164" t="inlineStr">
        <is>
          <t>.</t>
        </is>
      </c>
      <c r="C164" t="n">
        <v>0</v>
      </c>
      <c r="D164" t="n">
        <v>0</v>
      </c>
      <c r="E164" t="n">
        <v>0</v>
      </c>
      <c r="F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</row>
    <row r="165">
      <c r="A165" t="inlineStr">
        <is>
          <t>Threshing and winnowing</t>
        </is>
      </c>
      <c r="B165" t="inlineStr">
        <is>
          <t>threshing 123.5 quarters of oats by piece-work 5 shilling 1.75pence, at .5pence a quarters.</t>
        </is>
      </c>
      <c r="C165" t="n">
        <v>0.26</v>
      </c>
      <c r="D165" t="n">
        <v>0</v>
      </c>
      <c r="E165" t="n">
        <v>5</v>
      </c>
      <c r="F165" t="n">
        <v>1.75</v>
      </c>
      <c r="G165" t="inlineStr">
        <is>
          <t>oats</t>
        </is>
      </c>
      <c r="H165" t="n">
        <v>123.5</v>
      </c>
      <c r="I165" t="n">
        <v>0</v>
      </c>
      <c r="J165" t="n">
        <v>123.5</v>
      </c>
      <c r="K165" t="n">
        <v>123.5</v>
      </c>
      <c r="L165" t="n">
        <v>0</v>
      </c>
      <c r="M165" t="n">
        <v>123.5</v>
      </c>
      <c r="N165" t="n">
        <v>0</v>
      </c>
    </row>
    <row r="166">
      <c r="A166" t="inlineStr">
        <is>
          <t>Threshing and winnowing</t>
        </is>
      </c>
      <c r="B166" t="inlineStr">
        <is>
          <t>.</t>
        </is>
      </c>
      <c r="C166" t="n">
        <v>0</v>
      </c>
      <c r="D166" t="n">
        <v>0</v>
      </c>
      <c r="E166" t="n">
        <v>0</v>
      </c>
      <c r="F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</row>
    <row r="167">
      <c r="A167" t="inlineStr">
        <is>
          <t>Threshing and winnowing</t>
        </is>
      </c>
      <c r="B167" t="inlineStr">
        <is>
          <t>winnowing the same 1 shilling 3.5pence, at 1pence per 8 quarters.</t>
        </is>
      </c>
      <c r="C167" t="n">
        <v>0.06</v>
      </c>
      <c r="D167" t="n">
        <v>0</v>
      </c>
      <c r="E167" t="n">
        <v>1</v>
      </c>
      <c r="F167" t="n">
        <v>3.5</v>
      </c>
      <c r="H167" t="n">
        <v>8</v>
      </c>
      <c r="I167" t="n">
        <v>0</v>
      </c>
      <c r="J167" t="n">
        <v>8</v>
      </c>
      <c r="K167" t="n">
        <v>8</v>
      </c>
      <c r="L167" t="n">
        <v>0</v>
      </c>
      <c r="M167" t="n">
        <v>8</v>
      </c>
      <c r="N167" t="n">
        <v>0</v>
      </c>
    </row>
    <row r="168">
      <c r="A168" t="inlineStr">
        <is>
          <t>Threshing and winnowing</t>
        </is>
      </c>
      <c r="B168" t="inlineStr">
        <is>
          <t>.</t>
        </is>
      </c>
      <c r="C168" t="n">
        <v>0</v>
      </c>
      <c r="D168" t="n">
        <v>0</v>
      </c>
      <c r="E168" t="n">
        <v>0</v>
      </c>
      <c r="F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</row>
    <row r="169">
      <c r="A169" t="inlineStr">
        <is>
          <t>Threshing and winnowing</t>
        </is>
      </c>
      <c r="B169" t="inlineStr">
        <is>
          <t>4 sacks bought 1 shilling 9.75pence.</t>
        </is>
      </c>
      <c r="C169" t="n">
        <v>0.09</v>
      </c>
      <c r="D169" t="n">
        <v>0</v>
      </c>
      <c r="E169" t="n">
        <v>1</v>
      </c>
      <c r="F169" t="n">
        <v>9.75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</row>
    <row r="170">
      <c r="A170" t="inlineStr">
        <is>
          <t>Threshing and winnowing</t>
        </is>
      </c>
      <c r="B170" t="inlineStr">
        <is>
          <t>1 basket bought 3pence Total, £1 12 shilling 4.75pence</t>
        </is>
      </c>
      <c r="C170" t="n">
        <v>1.62</v>
      </c>
      <c r="D170" t="n">
        <v>1</v>
      </c>
      <c r="E170" t="n">
        <v>12</v>
      </c>
      <c r="F170" t="n">
        <v>4.75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</row>
    <row r="171">
      <c r="A171" t="inlineStr">
        <is>
          <t>Weeding</t>
        </is>
      </c>
      <c r="B171" t="inlineStr">
        <is>
          <t>In weeding corn this year 3 shilling 4pence Total, 3 shilling 4pence</t>
        </is>
      </c>
      <c r="C171" t="n">
        <v>0.17</v>
      </c>
      <c r="D171" t="n">
        <v>0</v>
      </c>
      <c r="E171" t="n">
        <v>3</v>
      </c>
      <c r="F171" t="n">
        <v>4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</row>
    <row r="172">
      <c r="A172" t="inlineStr">
        <is>
          <t>Harvest-time</t>
        </is>
      </c>
      <c r="B172" t="inlineStr">
        <is>
          <t>In mowing 10 acres of meadow according to custom 6pence.</t>
        </is>
      </c>
      <c r="C172" t="n">
        <v>0.03</v>
      </c>
      <c r="D172" t="n">
        <v>0</v>
      </c>
      <c r="E172" t="n">
        <v>0</v>
      </c>
      <c r="F172" t="n">
        <v>6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</row>
    <row r="173">
      <c r="A173" t="inlineStr">
        <is>
          <t>Harvest-time</t>
        </is>
      </c>
      <c r="B173" t="inlineStr">
        <is>
          <t>2 boon-works of 167 men with the officials of the curia who reaped 65 acres of wheat and 66 acres of oats as they lie 13 shilling 4pence.</t>
        </is>
      </c>
      <c r="C173" t="n">
        <v>0.67</v>
      </c>
      <c r="D173" t="n">
        <v>0</v>
      </c>
      <c r="E173" t="n">
        <v>13</v>
      </c>
      <c r="F173" t="n">
        <v>4</v>
      </c>
      <c r="G173" t="inlineStr">
        <is>
          <t>oats, wheat</t>
        </is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</row>
    <row r="174">
      <c r="A174" t="inlineStr">
        <is>
          <t>Harvest-time</t>
        </is>
      </c>
      <c r="B174" t="inlineStr">
        <is>
          <t>1 boon-work of 81 free men of Eneburn and Earlstone who reaped 33 acres of wheat as they lie 6 shilling 9pence, as in bread, ale and relish.</t>
        </is>
      </c>
      <c r="C174" t="n">
        <v>0.34</v>
      </c>
      <c r="D174" t="n">
        <v>0</v>
      </c>
      <c r="E174" t="n">
        <v>6</v>
      </c>
      <c r="F174" t="n">
        <v>9</v>
      </c>
      <c r="G174" t="inlineStr">
        <is>
          <t>wheat</t>
        </is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</row>
    <row r="175">
      <c r="A175" t="inlineStr">
        <is>
          <t>Harvest-time</t>
        </is>
      </c>
      <c r="B175" t="inlineStr">
        <is>
          <t>.</t>
        </is>
      </c>
      <c r="C175" t="n">
        <v>0</v>
      </c>
      <c r="D175" t="n">
        <v>0</v>
      </c>
      <c r="E175" t="n">
        <v>0</v>
      </c>
      <c r="F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</row>
    <row r="176">
      <c r="A176" t="inlineStr">
        <is>
          <t>Harvest-time</t>
        </is>
      </c>
      <c r="B176" t="inlineStr">
        <is>
          <t>36 acres of oats reaped by piece-work 6 shilling, at 2pence an acre.</t>
        </is>
      </c>
      <c r="C176" t="n">
        <v>0.31</v>
      </c>
      <c r="D176" t="n">
        <v>0</v>
      </c>
      <c r="E176" t="n">
        <v>6</v>
      </c>
      <c r="F176" t="n">
        <v>2</v>
      </c>
      <c r="G176" t="inlineStr">
        <is>
          <t>oats</t>
        </is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</row>
    <row r="177">
      <c r="A177" t="inlineStr">
        <is>
          <t>Harvest-time</t>
        </is>
      </c>
      <c r="B177" t="inlineStr">
        <is>
          <t>Total, £1 6 shilling 7pence</t>
        </is>
      </c>
      <c r="C177" t="n">
        <v>1.33</v>
      </c>
      <c r="D177" t="n">
        <v>1</v>
      </c>
      <c r="E177" t="n">
        <v>6</v>
      </c>
      <c r="F177" t="n">
        <v>7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</row>
    <row r="178">
      <c r="A178" t="inlineStr">
        <is>
          <t>Cost of the mill</t>
        </is>
      </c>
      <c r="B178" t="inlineStr">
        <is>
          <t>In roofing the mill-building 4pence.</t>
        </is>
      </c>
      <c r="C178" t="n">
        <v>0.02</v>
      </c>
      <c r="D178" t="n">
        <v>0</v>
      </c>
      <c r="E178" t="n">
        <v>0</v>
      </c>
      <c r="F178" t="n">
        <v>4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</row>
    <row r="179">
      <c r="A179" t="inlineStr">
        <is>
          <t>Cost of the mill</t>
        </is>
      </c>
      <c r="B179" t="inlineStr">
        <is>
          <t>steeling and mending bills 4pence.</t>
        </is>
      </c>
      <c r="C179" t="n">
        <v>0.02</v>
      </c>
      <c r="D179" t="n">
        <v>0</v>
      </c>
      <c r="E179" t="n">
        <v>0</v>
      </c>
      <c r="F179" t="n">
        <v>4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</row>
    <row r="180">
      <c r="A180" t="inlineStr">
        <is>
          <t>Cost of the mill</t>
        </is>
      </c>
      <c r="B180" t="inlineStr">
        <is>
          <t>1 gudgeon for the driving-shaft of the mill 3pence.</t>
        </is>
      </c>
      <c r="C180" t="n">
        <v>0.01</v>
      </c>
      <c r="D180" t="n">
        <v>0</v>
      </c>
      <c r="E180" t="n">
        <v>0</v>
      </c>
      <c r="F180" t="n">
        <v>3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</row>
    <row r="181">
      <c r="A181" t="inlineStr">
        <is>
          <t>Cost of the mill</t>
        </is>
      </c>
      <c r="B181" t="inlineStr">
        <is>
          <t>1 large mill-iron made under the driving-shaft of the mill with iron bought for the same 2 shilling 1.5pence.</t>
        </is>
      </c>
      <c r="C181" t="n">
        <v>0.11</v>
      </c>
      <c r="D181" t="n">
        <v>0</v>
      </c>
      <c r="E181" t="n">
        <v>2</v>
      </c>
      <c r="F181" t="n">
        <v>1.5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</row>
    <row r="182">
      <c r="A182" t="inlineStr">
        <is>
          <t>Cost of the mill</t>
        </is>
      </c>
      <c r="B182" t="inlineStr">
        <is>
          <t>40 ells of canvas bought for the mill's sails 10 shilling 2pence, at 3.25pence an ell.</t>
        </is>
      </c>
      <c r="C182" t="n">
        <v>0.51</v>
      </c>
      <c r="D182" t="n">
        <v>0</v>
      </c>
      <c r="E182" t="n">
        <v>10</v>
      </c>
      <c r="F182" t="n">
        <v>2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</row>
    <row r="183">
      <c r="A183" t="inlineStr">
        <is>
          <t>Cost of the mill</t>
        </is>
      </c>
      <c r="B183" t="inlineStr">
        <is>
          <t>.</t>
        </is>
      </c>
      <c r="C183" t="n">
        <v>0</v>
      </c>
      <c r="D183" t="n">
        <v>0</v>
      </c>
      <c r="E183" t="n">
        <v>0</v>
      </c>
      <c r="F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</row>
    <row r="184">
      <c r="A184" t="inlineStr">
        <is>
          <t>Cost of the mill</t>
        </is>
      </c>
      <c r="B184" t="inlineStr">
        <is>
          <t>grease bought 6pence.</t>
        </is>
      </c>
      <c r="C184" t="n">
        <v>0.03</v>
      </c>
      <c r="D184" t="n">
        <v>0</v>
      </c>
      <c r="E184" t="n">
        <v>0</v>
      </c>
      <c r="F184" t="n">
        <v>6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</row>
    <row r="185">
      <c r="A185" t="inlineStr">
        <is>
          <t>Cost of the mill</t>
        </is>
      </c>
      <c r="B185" t="inlineStr">
        <is>
          <t>stipend of 1 miller for the year 6 shilling Total, £1 4.5pence</t>
        </is>
      </c>
      <c r="C185" t="n">
        <v>1.02</v>
      </c>
      <c r="D185" t="n">
        <v>1</v>
      </c>
      <c r="E185" t="n">
        <v>0</v>
      </c>
      <c r="F185" t="n">
        <v>4.5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</row>
    <row r="186">
      <c r="A186" t="inlineStr">
        <is>
          <t>Total of all expenses</t>
        </is>
      </c>
      <c r="B186" t="inlineStr">
        <is>
          <t>Total of all expenses, £26 2 shilling 6.25pence</t>
        </is>
      </c>
      <c r="C186" t="n">
        <v>26.13</v>
      </c>
      <c r="D186" t="n">
        <v>26</v>
      </c>
      <c r="E186" t="n">
        <v>2</v>
      </c>
      <c r="F186" t="n">
        <v>6.25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</row>
    <row r="187">
      <c r="A187" t="inlineStr">
        <is>
          <t>And he owes</t>
        </is>
      </c>
      <c r="B187" t="inlineStr">
        <is>
          <t>And he owes, £57 17 shilling 11.25pence</t>
        </is>
      </c>
      <c r="C187" t="n">
        <v>57.9</v>
      </c>
      <c r="D187" t="n">
        <v>57</v>
      </c>
      <c r="E187" t="n">
        <v>17</v>
      </c>
      <c r="F187" t="n">
        <v>11.25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</row>
    <row r="188">
      <c r="A188" t="inlineStr">
        <is>
          <t>Cash deliveries</t>
        </is>
      </c>
      <c r="B188" t="inlineStr">
        <is>
          <t>Delivered to Sir Geoffrey, treasurer of Wolvesey, by 1 tally, £30 13 shilling 4pence</t>
        </is>
      </c>
      <c r="C188" t="n">
        <v>30.67</v>
      </c>
      <c r="D188" t="n">
        <v>30</v>
      </c>
      <c r="E188" t="n">
        <v>13</v>
      </c>
      <c r="F188" t="n">
        <v>4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</row>
    <row r="189">
      <c r="A189" t="inlineStr">
        <is>
          <t>And he owes clear</t>
        </is>
      </c>
      <c r="B189" t="inlineStr">
        <is>
          <t>And he owes clear, £27 4 shilling 7.25pence</t>
        </is>
      </c>
      <c r="C189" t="n">
        <v>27.23</v>
      </c>
      <c r="D189" t="n">
        <v>27</v>
      </c>
      <c r="E189" t="n">
        <v>4</v>
      </c>
      <c r="F189" t="n">
        <v>7.25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</row>
    <row r="190">
      <c r="A190" t="inlineStr">
        <is>
          <t>Wheat</t>
        </is>
      </c>
      <c r="B190" t="inlineStr">
        <is>
          <t>{yield: five-fold plus 4 quarters 3 bushels)</t>
        </is>
      </c>
      <c r="C190" t="n">
        <v>0</v>
      </c>
      <c r="D190" t="n">
        <v>0</v>
      </c>
      <c r="E190" t="n">
        <v>0</v>
      </c>
      <c r="F190" t="n">
        <v>0</v>
      </c>
      <c r="H190" t="n">
        <v>4</v>
      </c>
      <c r="I190" t="n">
        <v>3</v>
      </c>
      <c r="J190" t="n">
        <v>4.375</v>
      </c>
      <c r="K190" t="n">
        <v>4.375</v>
      </c>
      <c r="L190" t="n">
        <v>0</v>
      </c>
      <c r="M190" t="n">
        <v>4</v>
      </c>
      <c r="N190" t="n">
        <v>3</v>
      </c>
    </row>
    <row r="191">
      <c r="A191" t="inlineStr">
        <is>
          <t>Wheat</t>
        </is>
      </c>
      <c r="B191" t="inlineStr">
        <is>
          <t>The same render account for 130 quarters from the whole issue of wheat by struck measure.</t>
        </is>
      </c>
      <c r="C191" t="n">
        <v>0</v>
      </c>
      <c r="D191" t="n">
        <v>0</v>
      </c>
      <c r="E191" t="n">
        <v>0</v>
      </c>
      <c r="F191" t="n">
        <v>0</v>
      </c>
      <c r="G191" t="inlineStr">
        <is>
          <t>wheat</t>
        </is>
      </c>
      <c r="H191" t="n">
        <v>130</v>
      </c>
      <c r="I191" t="n">
        <v>0</v>
      </c>
      <c r="J191" t="n">
        <v>130</v>
      </c>
      <c r="K191" t="n">
        <v>130</v>
      </c>
      <c r="L191" t="n">
        <v>0</v>
      </c>
      <c r="M191" t="n">
        <v>130</v>
      </c>
      <c r="N191" t="n">
        <v>0</v>
      </c>
    </row>
    <row r="192">
      <c r="A192" t="inlineStr">
        <is>
          <t>Wheat</t>
        </is>
      </c>
      <c r="B192" t="inlineStr">
        <is>
          <t>1.5 quarters by estimation in 3 acres delivered to 1 reeve, 1 hayward and 1 smith according to custom.</t>
        </is>
      </c>
      <c r="C192" t="n">
        <v>0</v>
      </c>
      <c r="D192" t="n">
        <v>0</v>
      </c>
      <c r="E192" t="n">
        <v>0</v>
      </c>
      <c r="F192" t="n">
        <v>0</v>
      </c>
      <c r="H192" t="n">
        <v>1.5</v>
      </c>
      <c r="I192" t="n">
        <v>0</v>
      </c>
      <c r="J192" t="n">
        <v>1.5</v>
      </c>
      <c r="K192" t="n">
        <v>1.5</v>
      </c>
      <c r="L192" t="n">
        <v>0</v>
      </c>
      <c r="M192" t="n">
        <v>1.5</v>
      </c>
      <c r="N192" t="n">
        <v>0</v>
      </c>
    </row>
    <row r="193">
      <c r="A193" t="inlineStr">
        <is>
          <t>Wheat</t>
        </is>
      </c>
      <c r="B193" t="inlineStr">
        <is>
          <t>4 quarters 1 bushels by estimation in 412 sheaves delivered to the reapers of 206 acres, at 2 sheaves an acre.</t>
        </is>
      </c>
      <c r="C193" t="n">
        <v>0</v>
      </c>
      <c r="D193" t="n">
        <v>0</v>
      </c>
      <c r="E193" t="n">
        <v>0</v>
      </c>
      <c r="F193" t="n">
        <v>0</v>
      </c>
      <c r="H193" t="n">
        <v>4</v>
      </c>
      <c r="I193" t="n">
        <v>1</v>
      </c>
      <c r="J193" t="n">
        <v>4.125</v>
      </c>
      <c r="K193" t="n">
        <v>4.125</v>
      </c>
      <c r="L193" t="n">
        <v>0</v>
      </c>
      <c r="M193" t="n">
        <v>4</v>
      </c>
      <c r="N193" t="n">
        <v>1</v>
      </c>
    </row>
    <row r="194">
      <c r="A194" t="inlineStr">
        <is>
          <t>Wheat</t>
        </is>
      </c>
      <c r="B194" t="inlineStr">
        <is>
          <t>Total, 135 quarters 5 bushels</t>
        </is>
      </c>
      <c r="C194" t="n">
        <v>0</v>
      </c>
      <c r="D194" t="n">
        <v>0</v>
      </c>
      <c r="E194" t="n">
        <v>0</v>
      </c>
      <c r="F194" t="n">
        <v>0</v>
      </c>
      <c r="H194" t="n">
        <v>135</v>
      </c>
      <c r="I194" t="n">
        <v>5</v>
      </c>
      <c r="J194" t="n">
        <v>135.625</v>
      </c>
      <c r="K194" t="n">
        <v>135.625</v>
      </c>
      <c r="L194" t="n">
        <v>0</v>
      </c>
      <c r="M194" t="n">
        <v>135</v>
      </c>
      <c r="N194" t="n">
        <v>5</v>
      </c>
    </row>
    <row r="195">
      <c r="A195" t="inlineStr">
        <is>
          <t>Wheat</t>
        </is>
      </c>
      <c r="B195" t="inlineStr">
        <is>
          <t>Sown over 252 acres as they lie in the fields of Stok' and Suthlond', 31 quarters 1 bushels.</t>
        </is>
      </c>
      <c r="C195" t="n">
        <v>0</v>
      </c>
      <c r="D195" t="n">
        <v>0</v>
      </c>
      <c r="E195" t="n">
        <v>0</v>
      </c>
      <c r="F195" t="n">
        <v>0</v>
      </c>
      <c r="H195" t="n">
        <v>31</v>
      </c>
      <c r="I195" t="n">
        <v>1</v>
      </c>
      <c r="J195" t="n">
        <v>31.125</v>
      </c>
      <c r="K195" t="n">
        <v>31.125</v>
      </c>
      <c r="L195" t="n">
        <v>0</v>
      </c>
      <c r="M195" t="n">
        <v>31</v>
      </c>
      <c r="N195" t="n">
        <v>1</v>
      </c>
    </row>
    <row r="196">
      <c r="A196" t="inlineStr">
        <is>
          <t>Wheat</t>
        </is>
      </c>
      <c r="B196" t="inlineStr">
        <is>
          <t>that is, 1 bushels an acre, less 3 bushels in all.</t>
        </is>
      </c>
      <c r="C196" t="n">
        <v>0</v>
      </c>
      <c r="D196" t="n">
        <v>0</v>
      </c>
      <c r="E196" t="n">
        <v>0</v>
      </c>
      <c r="F196" t="n">
        <v>0</v>
      </c>
      <c r="H196" t="n">
        <v>0</v>
      </c>
      <c r="I196" t="n">
        <v>3</v>
      </c>
      <c r="J196" t="n">
        <v>0.375</v>
      </c>
      <c r="K196" t="n">
        <v>0.125</v>
      </c>
      <c r="L196" t="n">
        <v>0.25</v>
      </c>
      <c r="M196" t="n">
        <v>0</v>
      </c>
      <c r="N196" t="n">
        <v>1</v>
      </c>
      <c r="O196" t="n">
        <v>0</v>
      </c>
      <c r="P196" t="n">
        <v>3</v>
      </c>
    </row>
    <row r="197">
      <c r="A197" t="inlineStr">
        <is>
          <t>Wheat</t>
        </is>
      </c>
      <c r="B197" t="inlineStr">
        <is>
          <t>.</t>
        </is>
      </c>
      <c r="C197" t="n">
        <v>0</v>
      </c>
      <c r="D197" t="n">
        <v>0</v>
      </c>
      <c r="E197" t="n">
        <v>0</v>
      </c>
      <c r="F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</row>
    <row r="198">
      <c r="A198" t="inlineStr">
        <is>
          <t>Wheat</t>
        </is>
      </c>
      <c r="B198" t="inlineStr">
        <is>
          <t>customary payment to the hayward, 1 bushels.</t>
        </is>
      </c>
      <c r="C198" t="n">
        <v>0</v>
      </c>
      <c r="D198" t="n">
        <v>0</v>
      </c>
      <c r="E198" t="n">
        <v>0</v>
      </c>
      <c r="F198" t="n">
        <v>0</v>
      </c>
      <c r="H198" t="n">
        <v>0</v>
      </c>
      <c r="I198" t="n">
        <v>1</v>
      </c>
      <c r="J198" t="n">
        <v>0.125</v>
      </c>
      <c r="K198" t="n">
        <v>0.125</v>
      </c>
      <c r="L198" t="n">
        <v>0</v>
      </c>
      <c r="M198" t="n">
        <v>0</v>
      </c>
      <c r="N198" t="n">
        <v>1</v>
      </c>
    </row>
    <row r="199">
      <c r="A199" t="inlineStr">
        <is>
          <t>Wheat</t>
        </is>
      </c>
      <c r="B199" t="inlineStr">
        <is>
          <t>customary payment for the mowing of the meadows, 6 bushels.</t>
        </is>
      </c>
      <c r="C199" t="n">
        <v>0</v>
      </c>
      <c r="D199" t="n">
        <v>0</v>
      </c>
      <c r="E199" t="n">
        <v>0</v>
      </c>
      <c r="F199" t="n">
        <v>0</v>
      </c>
      <c r="H199" t="n">
        <v>0</v>
      </c>
      <c r="I199" t="n">
        <v>6</v>
      </c>
      <c r="J199" t="n">
        <v>0.75</v>
      </c>
      <c r="K199" t="n">
        <v>0.75</v>
      </c>
      <c r="L199" t="n">
        <v>0</v>
      </c>
      <c r="M199" t="n">
        <v>0</v>
      </c>
      <c r="N199" t="n">
        <v>6</v>
      </c>
    </row>
    <row r="200">
      <c r="A200" t="inlineStr">
        <is>
          <t>Wheat</t>
        </is>
      </c>
      <c r="B200" t="inlineStr">
        <is>
          <t>customary payment to 1 reeve, 1 hayward, 1 smith by estimation in 3 acres according to custom, 1.5 quarters.</t>
        </is>
      </c>
      <c r="C200" t="n">
        <v>0</v>
      </c>
      <c r="D200" t="n">
        <v>0</v>
      </c>
      <c r="E200" t="n">
        <v>0</v>
      </c>
      <c r="F200" t="n">
        <v>0</v>
      </c>
      <c r="H200" t="n">
        <v>1.5</v>
      </c>
      <c r="I200" t="n">
        <v>0</v>
      </c>
      <c r="J200" t="n">
        <v>1.5</v>
      </c>
      <c r="K200" t="n">
        <v>1.5</v>
      </c>
      <c r="L200" t="n">
        <v>0</v>
      </c>
      <c r="M200" t="n">
        <v>1.5</v>
      </c>
      <c r="N200" t="n">
        <v>0</v>
      </c>
    </row>
    <row r="201">
      <c r="A201" t="inlineStr">
        <is>
          <t>Wheat</t>
        </is>
      </c>
      <c r="B201" t="inlineStr">
        <is>
          <t>Delivered to the reapers by estimation in 412 sheaves, 4 quarters 1 bushels.</t>
        </is>
      </c>
      <c r="C201" t="n">
        <v>0</v>
      </c>
      <c r="D201" t="n">
        <v>0</v>
      </c>
      <c r="E201" t="n">
        <v>0</v>
      </c>
      <c r="F201" t="n">
        <v>0</v>
      </c>
      <c r="H201" t="n">
        <v>4</v>
      </c>
      <c r="I201" t="n">
        <v>1</v>
      </c>
      <c r="J201" t="n">
        <v>4.125</v>
      </c>
      <c r="K201" t="n">
        <v>4.125</v>
      </c>
      <c r="L201" t="n">
        <v>0</v>
      </c>
      <c r="M201" t="n">
        <v>4</v>
      </c>
      <c r="N201" t="n">
        <v>1</v>
      </c>
    </row>
    <row r="202">
      <c r="A202" t="inlineStr">
        <is>
          <t>Wheat</t>
        </is>
      </c>
      <c r="B202" t="inlineStr">
        <is>
          <t>the bailiff's bread, 7.5 quarters, because he takes the rest at Ecchinswell.</t>
        </is>
      </c>
      <c r="C202" t="n">
        <v>0</v>
      </c>
      <c r="D202" t="n">
        <v>0</v>
      </c>
      <c r="E202" t="n">
        <v>0</v>
      </c>
      <c r="F202" t="n">
        <v>0</v>
      </c>
      <c r="H202" t="n">
        <v>7.5</v>
      </c>
      <c r="I202" t="n">
        <v>0</v>
      </c>
      <c r="J202" t="n">
        <v>7.5</v>
      </c>
      <c r="K202" t="n">
        <v>7.5</v>
      </c>
      <c r="L202" t="n">
        <v>0</v>
      </c>
      <c r="M202" t="n">
        <v>7.5</v>
      </c>
      <c r="N202" t="n">
        <v>0</v>
      </c>
    </row>
    <row r="203">
      <c r="A203" t="inlineStr">
        <is>
          <t>Wheat</t>
        </is>
      </c>
      <c r="B203" t="inlineStr">
        <is>
          <t>Sold, 90.5 quarters.</t>
        </is>
      </c>
      <c r="C203" t="n">
        <v>0</v>
      </c>
      <c r="D203" t="n">
        <v>0</v>
      </c>
      <c r="E203" t="n">
        <v>0</v>
      </c>
      <c r="F203" t="n">
        <v>0</v>
      </c>
      <c r="H203" t="n">
        <v>90.5</v>
      </c>
      <c r="I203" t="n">
        <v>0</v>
      </c>
      <c r="J203" t="n">
        <v>90.5</v>
      </c>
      <c r="K203" t="n">
        <v>90.5</v>
      </c>
      <c r="L203" t="n">
        <v>0</v>
      </c>
      <c r="M203" t="n">
        <v>90.5</v>
      </c>
      <c r="N203" t="n">
        <v>0</v>
      </c>
    </row>
    <row r="204">
      <c r="A204" t="inlineStr">
        <is>
          <t>Bere</t>
        </is>
      </c>
      <c r="B204" t="inlineStr">
        <is>
          <t>{yield: two-fold plus 1 bushels}</t>
        </is>
      </c>
      <c r="C204" t="n">
        <v>0</v>
      </c>
      <c r="D204" t="n">
        <v>0</v>
      </c>
      <c r="E204" t="n">
        <v>0</v>
      </c>
      <c r="F204" t="n">
        <v>0</v>
      </c>
      <c r="H204" t="n">
        <v>0</v>
      </c>
      <c r="I204" t="n">
        <v>1</v>
      </c>
      <c r="J204" t="n">
        <v>0.125</v>
      </c>
      <c r="K204" t="n">
        <v>0.125</v>
      </c>
      <c r="L204" t="n">
        <v>0</v>
      </c>
      <c r="M204" t="n">
        <v>0</v>
      </c>
      <c r="N204" t="n">
        <v>1</v>
      </c>
    </row>
    <row r="205">
      <c r="A205" t="inlineStr">
        <is>
          <t>Bere</t>
        </is>
      </c>
      <c r="B205" t="inlineStr">
        <is>
          <t>The same render account for 48 quarters 7 bushels from the whole issue of bere by struck measure.</t>
        </is>
      </c>
      <c r="C205" t="n">
        <v>0</v>
      </c>
      <c r="D205" t="n">
        <v>0</v>
      </c>
      <c r="E205" t="n">
        <v>0</v>
      </c>
      <c r="F205" t="n">
        <v>0</v>
      </c>
      <c r="H205" t="n">
        <v>48</v>
      </c>
      <c r="I205" t="n">
        <v>7</v>
      </c>
      <c r="J205" t="n">
        <v>48.875</v>
      </c>
      <c r="K205" t="n">
        <v>48.875</v>
      </c>
      <c r="L205" t="n">
        <v>0</v>
      </c>
      <c r="M205" t="n">
        <v>48</v>
      </c>
      <c r="N205" t="n">
        <v>7</v>
      </c>
    </row>
    <row r="206">
      <c r="A206" t="inlineStr">
        <is>
          <t>Bere</t>
        </is>
      </c>
      <c r="B206" t="inlineStr">
        <is>
          <t>10 quarters 6 bushels bought.</t>
        </is>
      </c>
      <c r="C206" t="n">
        <v>0</v>
      </c>
      <c r="D206" t="n">
        <v>0</v>
      </c>
      <c r="E206" t="n">
        <v>0</v>
      </c>
      <c r="F206" t="n">
        <v>0</v>
      </c>
      <c r="H206" t="n">
        <v>10</v>
      </c>
      <c r="I206" t="n">
        <v>6</v>
      </c>
      <c r="J206" t="n">
        <v>10.75</v>
      </c>
      <c r="K206" t="n">
        <v>10.75</v>
      </c>
      <c r="L206" t="n">
        <v>0</v>
      </c>
      <c r="M206" t="n">
        <v>10</v>
      </c>
      <c r="N206" t="n">
        <v>6</v>
      </c>
    </row>
    <row r="207">
      <c r="A207" t="inlineStr">
        <is>
          <t>Bere</t>
        </is>
      </c>
      <c r="B207" t="inlineStr">
        <is>
          <t>1 quarters 2 bushels by estimation in 128 sheaves delivered to the reapers of 64 acres, at 2 sheaves an acre.</t>
        </is>
      </c>
      <c r="C207" t="n">
        <v>0</v>
      </c>
      <c r="D207" t="n">
        <v>0</v>
      </c>
      <c r="E207" t="n">
        <v>0</v>
      </c>
      <c r="F207" t="n">
        <v>0</v>
      </c>
      <c r="H207" t="n">
        <v>1</v>
      </c>
      <c r="I207" t="n">
        <v>2</v>
      </c>
      <c r="J207" t="n">
        <v>1.25</v>
      </c>
      <c r="K207" t="n">
        <v>1.25</v>
      </c>
      <c r="L207" t="n">
        <v>0</v>
      </c>
      <c r="M207" t="n">
        <v>1</v>
      </c>
      <c r="N207" t="n">
        <v>2</v>
      </c>
    </row>
    <row r="208">
      <c r="A208" t="inlineStr">
        <is>
          <t>Bere</t>
        </is>
      </c>
      <c r="B208" t="inlineStr">
        <is>
          <t>Total, 60 quarters 7 bushels</t>
        </is>
      </c>
      <c r="C208" t="n">
        <v>0</v>
      </c>
      <c r="D208" t="n">
        <v>0</v>
      </c>
      <c r="E208" t="n">
        <v>0</v>
      </c>
      <c r="F208" t="n">
        <v>0</v>
      </c>
      <c r="H208" t="n">
        <v>60</v>
      </c>
      <c r="I208" t="n">
        <v>7</v>
      </c>
      <c r="J208" t="n">
        <v>60.875</v>
      </c>
      <c r="K208" t="n">
        <v>60.875</v>
      </c>
      <c r="L208" t="n">
        <v>0</v>
      </c>
      <c r="M208" t="n">
        <v>60</v>
      </c>
      <c r="N208" t="n">
        <v>7</v>
      </c>
    </row>
    <row r="209">
      <c r="A209" t="inlineStr">
        <is>
          <t>Bere</t>
        </is>
      </c>
      <c r="B209" t="inlineStr">
        <is>
          <t>Sown over 25 acres as they lie in the field of Stok', 4 quarters 5 bushels.</t>
        </is>
      </c>
      <c r="C209" t="n">
        <v>0</v>
      </c>
      <c r="D209" t="n">
        <v>0</v>
      </c>
      <c r="E209" t="n">
        <v>0</v>
      </c>
      <c r="F209" t="n">
        <v>0</v>
      </c>
      <c r="H209" t="n">
        <v>4</v>
      </c>
      <c r="I209" t="n">
        <v>5</v>
      </c>
      <c r="J209" t="n">
        <v>4.625</v>
      </c>
      <c r="K209" t="n">
        <v>4.625</v>
      </c>
      <c r="L209" t="n">
        <v>0</v>
      </c>
      <c r="M209" t="n">
        <v>4</v>
      </c>
      <c r="N209" t="n">
        <v>5</v>
      </c>
    </row>
    <row r="210">
      <c r="A210" t="inlineStr">
        <is>
          <t>Bere</t>
        </is>
      </c>
      <c r="B210" t="inlineStr">
        <is>
          <t>that is, 1.5 bushels an acre, less .5 bushels in all.</t>
        </is>
      </c>
      <c r="C210" t="n">
        <v>0</v>
      </c>
      <c r="D210" t="n">
        <v>0</v>
      </c>
      <c r="E210" t="n">
        <v>0</v>
      </c>
      <c r="F210" t="n">
        <v>0</v>
      </c>
      <c r="H210" t="n">
        <v>0</v>
      </c>
      <c r="I210" t="n">
        <v>5</v>
      </c>
      <c r="J210" t="n">
        <v>0.625</v>
      </c>
      <c r="K210" t="n">
        <v>0.1875</v>
      </c>
      <c r="L210" t="n">
        <v>0.4375</v>
      </c>
      <c r="M210" t="n">
        <v>0</v>
      </c>
      <c r="N210" t="n">
        <v>1.5</v>
      </c>
      <c r="O210" t="n">
        <v>0</v>
      </c>
      <c r="P210" t="n">
        <v>5</v>
      </c>
    </row>
    <row r="211">
      <c r="A211" t="inlineStr">
        <is>
          <t>Bere</t>
        </is>
      </c>
      <c r="B211" t="inlineStr">
        <is>
          <t>Delivered to 1 carter, 3 oxherds for the year, 20 quarters 6 bushels, each taking a quarter every 10 weeks.</t>
        </is>
      </c>
      <c r="C211" t="n">
        <v>0</v>
      </c>
      <c r="D211" t="n">
        <v>0</v>
      </c>
      <c r="E211" t="n">
        <v>0</v>
      </c>
      <c r="F211" t="n">
        <v>0</v>
      </c>
      <c r="H211" t="n">
        <v>20</v>
      </c>
      <c r="I211" t="n">
        <v>6</v>
      </c>
      <c r="J211" t="n">
        <v>20.75</v>
      </c>
      <c r="K211" t="n">
        <v>20.75</v>
      </c>
      <c r="L211" t="n">
        <v>0</v>
      </c>
      <c r="M211" t="n">
        <v>20</v>
      </c>
      <c r="N211" t="n">
        <v>6</v>
      </c>
    </row>
    <row r="212">
      <c r="A212" t="inlineStr">
        <is>
          <t>Bere</t>
        </is>
      </c>
      <c r="B212" t="inlineStr">
        <is>
          <t>Delivered to 1 keeper of ewes from Michaelmas (29 September) until the Annunciation (25 March), that is, for 25 weeks, 2.5 quarters.</t>
        </is>
      </c>
      <c r="C212" t="n">
        <v>0</v>
      </c>
      <c r="D212" t="n">
        <v>0</v>
      </c>
      <c r="E212" t="n">
        <v>0</v>
      </c>
      <c r="F212" t="n">
        <v>0</v>
      </c>
      <c r="H212" t="n">
        <v>2.5</v>
      </c>
      <c r="I212" t="n">
        <v>0</v>
      </c>
      <c r="J212" t="n">
        <v>2.5</v>
      </c>
      <c r="K212" t="n">
        <v>2.5</v>
      </c>
      <c r="L212" t="n">
        <v>0</v>
      </c>
      <c r="M212" t="n">
        <v>2.5</v>
      </c>
      <c r="N212" t="n">
        <v>0</v>
      </c>
    </row>
    <row r="213">
      <c r="A213" t="inlineStr">
        <is>
          <t>Bere</t>
        </is>
      </c>
      <c r="B213" t="inlineStr">
        <is>
          <t>Delivered to 1 harrower at the time of the summer sowing, 4 bushels Delivered to 1 rook-scarer (rochurd'), 3 bushels Delivered to the reapers by estimation in 128 sheaves, 1 quarters 2 bushels.</t>
        </is>
      </c>
      <c r="C213" t="n">
        <v>0</v>
      </c>
      <c r="D213" t="n">
        <v>0</v>
      </c>
      <c r="E213" t="n">
        <v>0</v>
      </c>
      <c r="F213" t="n">
        <v>0</v>
      </c>
      <c r="H213" t="n">
        <v>1</v>
      </c>
      <c r="I213" t="n">
        <v>5</v>
      </c>
      <c r="J213" t="n">
        <v>1.625</v>
      </c>
      <c r="K213" t="n">
        <v>0.5</v>
      </c>
      <c r="L213" t="n">
        <v>1.125</v>
      </c>
      <c r="M213" t="n">
        <v>0</v>
      </c>
      <c r="N213" t="n">
        <v>4</v>
      </c>
      <c r="O213" t="n">
        <v>0</v>
      </c>
      <c r="P213" t="n">
        <v>3</v>
      </c>
      <c r="Q213" t="n">
        <v>1</v>
      </c>
      <c r="R213" t="n">
        <v>2</v>
      </c>
    </row>
    <row r="214">
      <c r="A214" t="inlineStr">
        <is>
          <t>Bere</t>
        </is>
      </c>
      <c r="B214" t="inlineStr">
        <is>
          <t>provision of the bailiff for the year, 4 quarters.</t>
        </is>
      </c>
      <c r="C214" t="n">
        <v>0</v>
      </c>
      <c r="D214" t="n">
        <v>0</v>
      </c>
      <c r="E214" t="n">
        <v>0</v>
      </c>
      <c r="F214" t="n">
        <v>0</v>
      </c>
      <c r="H214" t="n">
        <v>4</v>
      </c>
      <c r="I214" t="n">
        <v>0</v>
      </c>
      <c r="J214" t="n">
        <v>4</v>
      </c>
      <c r="K214" t="n">
        <v>4</v>
      </c>
      <c r="L214" t="n">
        <v>0</v>
      </c>
      <c r="M214" t="n">
        <v>4</v>
      </c>
      <c r="N214" t="n">
        <v>0</v>
      </c>
    </row>
    <row r="215">
      <c r="A215" t="inlineStr">
        <is>
          <t>Bere</t>
        </is>
      </c>
      <c r="B215" t="inlineStr">
        <is>
          <t>Sold, 26 quarters 7 bushels</t>
        </is>
      </c>
      <c r="C215" t="n">
        <v>0</v>
      </c>
      <c r="D215" t="n">
        <v>0</v>
      </c>
      <c r="E215" t="n">
        <v>0</v>
      </c>
      <c r="F215" t="n">
        <v>0</v>
      </c>
      <c r="H215" t="n">
        <v>26</v>
      </c>
      <c r="I215" t="n">
        <v>7</v>
      </c>
      <c r="J215" t="n">
        <v>26.875</v>
      </c>
      <c r="K215" t="n">
        <v>26.875</v>
      </c>
      <c r="L215" t="n">
        <v>0</v>
      </c>
      <c r="M215" t="n">
        <v>26</v>
      </c>
      <c r="N215" t="n">
        <v>7</v>
      </c>
    </row>
    <row r="216">
      <c r="A216" t="inlineStr">
        <is>
          <t>Barley</t>
        </is>
      </c>
      <c r="B216" t="inlineStr">
        <is>
          <t>{yield: two-fold less 2 bushels)</t>
        </is>
      </c>
      <c r="C216" t="n">
        <v>0</v>
      </c>
      <c r="D216" t="n">
        <v>0</v>
      </c>
      <c r="E216" t="n">
        <v>0</v>
      </c>
      <c r="F216" t="n">
        <v>0</v>
      </c>
      <c r="H216" t="n">
        <v>0</v>
      </c>
      <c r="I216" t="n">
        <v>2</v>
      </c>
      <c r="J216" t="n">
        <v>0.25</v>
      </c>
      <c r="K216" t="n">
        <v>0.25</v>
      </c>
      <c r="L216" t="n">
        <v>0</v>
      </c>
      <c r="M216" t="n">
        <v>0</v>
      </c>
      <c r="N216" t="n">
        <v>2</v>
      </c>
    </row>
    <row r="217">
      <c r="A217" t="inlineStr">
        <is>
          <t>Barley</t>
        </is>
      </c>
      <c r="B217" t="inlineStr">
        <is>
          <t>The same render account for 10 quarters 2 bushels from the whole issue of barley by struck measure.</t>
        </is>
      </c>
      <c r="C217" t="n">
        <v>0</v>
      </c>
      <c r="D217" t="n">
        <v>0</v>
      </c>
      <c r="E217" t="n">
        <v>0</v>
      </c>
      <c r="F217" t="n">
        <v>0</v>
      </c>
      <c r="G217" t="inlineStr">
        <is>
          <t>barley</t>
        </is>
      </c>
      <c r="H217" t="n">
        <v>10</v>
      </c>
      <c r="I217" t="n">
        <v>2</v>
      </c>
      <c r="J217" t="n">
        <v>10.25</v>
      </c>
      <c r="K217" t="n">
        <v>10.25</v>
      </c>
      <c r="L217" t="n">
        <v>0</v>
      </c>
      <c r="M217" t="n">
        <v>10</v>
      </c>
      <c r="N217" t="n">
        <v>2</v>
      </c>
    </row>
    <row r="218">
      <c r="A218" t="inlineStr">
        <is>
          <t>Barley</t>
        </is>
      </c>
      <c r="B218" t="inlineStr">
        <is>
          <t>4 bushels by estimation in 44 sheaves delivered to the reapers of 32 acres, at 2 sheaves an acre.</t>
        </is>
      </c>
      <c r="C218" t="n">
        <v>0</v>
      </c>
      <c r="D218" t="n">
        <v>0</v>
      </c>
      <c r="E218" t="n">
        <v>0</v>
      </c>
      <c r="F218" t="n">
        <v>0</v>
      </c>
      <c r="H218" t="n">
        <v>0</v>
      </c>
      <c r="I218" t="n">
        <v>4</v>
      </c>
      <c r="J218" t="n">
        <v>0.5</v>
      </c>
      <c r="K218" t="n">
        <v>0.5</v>
      </c>
      <c r="L218" t="n">
        <v>0</v>
      </c>
      <c r="M218" t="n">
        <v>0</v>
      </c>
      <c r="N218" t="n">
        <v>4</v>
      </c>
    </row>
    <row r="219">
      <c r="A219" t="inlineStr">
        <is>
          <t>Barley</t>
        </is>
      </c>
      <c r="B219" t="inlineStr">
        <is>
          <t>3 quarters bought.</t>
        </is>
      </c>
      <c r="C219" t="n">
        <v>0</v>
      </c>
      <c r="D219" t="n">
        <v>0</v>
      </c>
      <c r="E219" t="n">
        <v>0</v>
      </c>
      <c r="F219" t="n">
        <v>0</v>
      </c>
      <c r="H219" t="n">
        <v>3</v>
      </c>
      <c r="I219" t="n">
        <v>0</v>
      </c>
      <c r="J219" t="n">
        <v>3</v>
      </c>
      <c r="K219" t="n">
        <v>3</v>
      </c>
      <c r="L219" t="n">
        <v>0</v>
      </c>
      <c r="M219" t="n">
        <v>3</v>
      </c>
      <c r="N219" t="n">
        <v>0</v>
      </c>
    </row>
    <row r="220">
      <c r="A220" t="inlineStr">
        <is>
          <t>Barley</t>
        </is>
      </c>
      <c r="B220" t="inlineStr">
        <is>
          <t>Total, 13 quarters 6 bushels</t>
        </is>
      </c>
      <c r="C220" t="n">
        <v>0</v>
      </c>
      <c r="D220" t="n">
        <v>0</v>
      </c>
      <c r="E220" t="n">
        <v>0</v>
      </c>
      <c r="F220" t="n">
        <v>0</v>
      </c>
      <c r="H220" t="n">
        <v>13</v>
      </c>
      <c r="I220" t="n">
        <v>6</v>
      </c>
      <c r="J220" t="n">
        <v>13.75</v>
      </c>
      <c r="K220" t="n">
        <v>13.75</v>
      </c>
      <c r="L220" t="n">
        <v>0</v>
      </c>
      <c r="M220" t="n">
        <v>13</v>
      </c>
      <c r="N220" t="n">
        <v>6</v>
      </c>
    </row>
    <row r="221">
      <c r="A221" t="inlineStr">
        <is>
          <t>Barley</t>
        </is>
      </c>
      <c r="B221" t="inlineStr">
        <is>
          <t>Sown over 35 acres as they lie in the field of Legh', 8.5 quarters 1 bushels.</t>
        </is>
      </c>
      <c r="C221" t="n">
        <v>0</v>
      </c>
      <c r="D221" t="n">
        <v>0</v>
      </c>
      <c r="E221" t="n">
        <v>0</v>
      </c>
      <c r="F221" t="n">
        <v>0</v>
      </c>
      <c r="H221" t="n">
        <v>8.5</v>
      </c>
      <c r="I221" t="n">
        <v>1</v>
      </c>
      <c r="J221" t="n">
        <v>8.625</v>
      </c>
      <c r="K221" t="n">
        <v>8.625</v>
      </c>
      <c r="L221" t="n">
        <v>0</v>
      </c>
      <c r="M221" t="n">
        <v>8.5</v>
      </c>
      <c r="N221" t="n">
        <v>1</v>
      </c>
    </row>
    <row r="222">
      <c r="A222" t="inlineStr">
        <is>
          <t>Barley</t>
        </is>
      </c>
      <c r="B222" t="inlineStr">
        <is>
          <t>that is, 2 bushels an  acre, less 1 bushels in all.</t>
        </is>
      </c>
      <c r="C222" t="n">
        <v>0</v>
      </c>
      <c r="D222" t="n">
        <v>0</v>
      </c>
      <c r="E222" t="n">
        <v>0</v>
      </c>
      <c r="F222" t="n">
        <v>0</v>
      </c>
      <c r="H222" t="n">
        <v>0</v>
      </c>
      <c r="I222" t="n">
        <v>1</v>
      </c>
      <c r="J222" t="n">
        <v>0.125</v>
      </c>
      <c r="K222" t="n">
        <v>0.25</v>
      </c>
      <c r="L222" t="n">
        <v>-0.125</v>
      </c>
      <c r="M222" t="n">
        <v>0</v>
      </c>
      <c r="N222" t="n">
        <v>2</v>
      </c>
      <c r="O222" t="n">
        <v>0</v>
      </c>
      <c r="P222" t="n">
        <v>1</v>
      </c>
    </row>
    <row r="223">
      <c r="A223" t="inlineStr">
        <is>
          <t>Barley</t>
        </is>
      </c>
      <c r="B223" t="inlineStr">
        <is>
          <t>Delivered to the reapers by estimation in 44 sheaves, 4 bushels Sold, 4 quarters 5 bushels</t>
        </is>
      </c>
      <c r="C223" t="n">
        <v>0</v>
      </c>
      <c r="D223" t="n">
        <v>0</v>
      </c>
      <c r="E223" t="n">
        <v>0</v>
      </c>
      <c r="F223" t="n">
        <v>0</v>
      </c>
      <c r="H223" t="n">
        <v>4</v>
      </c>
      <c r="I223" t="n">
        <v>5</v>
      </c>
      <c r="J223" t="n">
        <v>4.625</v>
      </c>
      <c r="K223" t="n">
        <v>0.5</v>
      </c>
      <c r="L223" t="n">
        <v>4.125</v>
      </c>
      <c r="M223" t="n">
        <v>0</v>
      </c>
      <c r="N223" t="n">
        <v>4</v>
      </c>
      <c r="O223" t="n">
        <v>4</v>
      </c>
      <c r="P223" t="n">
        <v>5</v>
      </c>
    </row>
    <row r="224">
      <c r="A224" t="inlineStr">
        <is>
          <t>Oats</t>
        </is>
      </c>
      <c r="B224" t="inlineStr">
        <is>
          <t>{yield: two-fold plus 17 quarters 1 bushels)</t>
        </is>
      </c>
      <c r="C224" t="n">
        <v>0</v>
      </c>
      <c r="D224" t="n">
        <v>0</v>
      </c>
      <c r="E224" t="n">
        <v>0</v>
      </c>
      <c r="F224" t="n">
        <v>0</v>
      </c>
      <c r="H224" t="n">
        <v>17</v>
      </c>
      <c r="I224" t="n">
        <v>1</v>
      </c>
      <c r="J224" t="n">
        <v>17.125</v>
      </c>
      <c r="K224" t="n">
        <v>17.125</v>
      </c>
      <c r="L224" t="n">
        <v>0</v>
      </c>
      <c r="M224" t="n">
        <v>17</v>
      </c>
      <c r="N224" t="n">
        <v>1</v>
      </c>
    </row>
    <row r="225">
      <c r="A225" t="inlineStr">
        <is>
          <t>Oats</t>
        </is>
      </c>
      <c r="B225" t="inlineStr">
        <is>
          <t>The same render account for 154 quarters 3 bushels from the whole issue of oats by struck measure.</t>
        </is>
      </c>
      <c r="C225" t="n">
        <v>0</v>
      </c>
      <c r="D225" t="n">
        <v>0</v>
      </c>
      <c r="E225" t="n">
        <v>0</v>
      </c>
      <c r="F225" t="n">
        <v>0</v>
      </c>
      <c r="G225" t="inlineStr">
        <is>
          <t>oats</t>
        </is>
      </c>
      <c r="H225" t="n">
        <v>154</v>
      </c>
      <c r="I225" t="n">
        <v>3</v>
      </c>
      <c r="J225" t="n">
        <v>154.375</v>
      </c>
      <c r="K225" t="n">
        <v>154.375</v>
      </c>
      <c r="L225" t="n">
        <v>0</v>
      </c>
      <c r="M225" t="n">
        <v>154</v>
      </c>
      <c r="N225" t="n">
        <v>3</v>
      </c>
    </row>
    <row r="226">
      <c r="A226" t="inlineStr">
        <is>
          <t>Oats</t>
        </is>
      </c>
      <c r="B226" t="inlineStr">
        <is>
          <t>24 quarters by estimation in sheaves given to oxen.</t>
        </is>
      </c>
      <c r="C226" t="n">
        <v>0</v>
      </c>
      <c r="D226" t="n">
        <v>0</v>
      </c>
      <c r="E226" t="n">
        <v>0</v>
      </c>
      <c r="F226" t="n">
        <v>0</v>
      </c>
      <c r="H226" t="n">
        <v>24</v>
      </c>
      <c r="I226" t="n">
        <v>0</v>
      </c>
      <c r="J226" t="n">
        <v>24</v>
      </c>
      <c r="K226" t="n">
        <v>24</v>
      </c>
      <c r="L226" t="n">
        <v>0</v>
      </c>
      <c r="M226" t="n">
        <v>24</v>
      </c>
      <c r="N226" t="n">
        <v>0</v>
      </c>
    </row>
    <row r="227">
      <c r="A227" t="inlineStr">
        <is>
          <t>Oats</t>
        </is>
      </c>
      <c r="B227" t="inlineStr">
        <is>
          <t>2 bushels by estimation in 1.5 acres delivered to the hayward according to custom.</t>
        </is>
      </c>
      <c r="C227" t="n">
        <v>0</v>
      </c>
      <c r="D227" t="n">
        <v>0</v>
      </c>
      <c r="E227" t="n">
        <v>0</v>
      </c>
      <c r="F227" t="n">
        <v>0</v>
      </c>
      <c r="H227" t="n">
        <v>0</v>
      </c>
      <c r="I227" t="n">
        <v>2</v>
      </c>
      <c r="J227" t="n">
        <v>0.25</v>
      </c>
      <c r="K227" t="n">
        <v>0.25</v>
      </c>
      <c r="L227" t="n">
        <v>0</v>
      </c>
      <c r="M227" t="n">
        <v>0</v>
      </c>
      <c r="N227" t="n">
        <v>2</v>
      </c>
    </row>
    <row r="228">
      <c r="A228" t="inlineStr">
        <is>
          <t>Oats</t>
        </is>
      </c>
      <c r="B228" t="inlineStr">
        <is>
          <t>2.5 quarters by estimation in 366 sheaves delivered to the reapers of 183 acres, at 2 sheaves an acre.</t>
        </is>
      </c>
      <c r="C228" t="n">
        <v>0</v>
      </c>
      <c r="D228" t="n">
        <v>0</v>
      </c>
      <c r="E228" t="n">
        <v>0</v>
      </c>
      <c r="F228" t="n">
        <v>0</v>
      </c>
      <c r="H228" t="n">
        <v>2.5</v>
      </c>
      <c r="I228" t="n">
        <v>0</v>
      </c>
      <c r="J228" t="n">
        <v>2.5</v>
      </c>
      <c r="K228" t="n">
        <v>2.5</v>
      </c>
      <c r="L228" t="n">
        <v>0</v>
      </c>
      <c r="M228" t="n">
        <v>2.5</v>
      </c>
      <c r="N228" t="n">
        <v>0</v>
      </c>
    </row>
    <row r="229">
      <c r="A229" t="inlineStr">
        <is>
          <t>Oats</t>
        </is>
      </c>
      <c r="B229" t="inlineStr">
        <is>
          <t>Total, 181 quarters 1 bushels</t>
        </is>
      </c>
      <c r="C229" t="n">
        <v>0</v>
      </c>
      <c r="D229" t="n">
        <v>0</v>
      </c>
      <c r="E229" t="n">
        <v>0</v>
      </c>
      <c r="F229" t="n">
        <v>0</v>
      </c>
      <c r="H229" t="n">
        <v>181</v>
      </c>
      <c r="I229" t="n">
        <v>1</v>
      </c>
      <c r="J229" t="n">
        <v>181.125</v>
      </c>
      <c r="K229" t="n">
        <v>181.125</v>
      </c>
      <c r="L229" t="n">
        <v>0</v>
      </c>
      <c r="M229" t="n">
        <v>181</v>
      </c>
      <c r="N229" t="n">
        <v>1</v>
      </c>
    </row>
    <row r="230">
      <c r="A230" t="inlineStr">
        <is>
          <t>Oats</t>
        </is>
      </c>
      <c r="B230" t="inlineStr">
        <is>
          <t>Sown over 364 acres as they lie in the fields of Ligh', Hareberd and la Nywelond', 90 quarters 7 bushels.</t>
        </is>
      </c>
      <c r="C230" t="n">
        <v>0</v>
      </c>
      <c r="D230" t="n">
        <v>0</v>
      </c>
      <c r="E230" t="n">
        <v>0</v>
      </c>
      <c r="F230" t="n">
        <v>0</v>
      </c>
      <c r="H230" t="n">
        <v>90</v>
      </c>
      <c r="I230" t="n">
        <v>7</v>
      </c>
      <c r="J230" t="n">
        <v>90.875</v>
      </c>
      <c r="K230" t="n">
        <v>90.875</v>
      </c>
      <c r="L230" t="n">
        <v>0</v>
      </c>
      <c r="M230" t="n">
        <v>90</v>
      </c>
      <c r="N230" t="n">
        <v>7</v>
      </c>
    </row>
    <row r="231">
      <c r="A231" t="inlineStr">
        <is>
          <t>Oats</t>
        </is>
      </c>
      <c r="B231" t="inlineStr">
        <is>
          <t>that is, 2 bushels an acre, less 1 bushels in all.</t>
        </is>
      </c>
      <c r="C231" t="n">
        <v>0</v>
      </c>
      <c r="D231" t="n">
        <v>0</v>
      </c>
      <c r="E231" t="n">
        <v>0</v>
      </c>
      <c r="F231" t="n">
        <v>0</v>
      </c>
      <c r="H231" t="n">
        <v>0</v>
      </c>
      <c r="I231" t="n">
        <v>1</v>
      </c>
      <c r="J231" t="n">
        <v>0.125</v>
      </c>
      <c r="K231" t="n">
        <v>0.25</v>
      </c>
      <c r="L231" t="n">
        <v>-0.125</v>
      </c>
      <c r="M231" t="n">
        <v>0</v>
      </c>
      <c r="N231" t="n">
        <v>2</v>
      </c>
      <c r="O231" t="n">
        <v>0</v>
      </c>
      <c r="P231" t="n">
        <v>1</v>
      </c>
    </row>
    <row r="232">
      <c r="A232" t="inlineStr">
        <is>
          <t>Oats</t>
        </is>
      </c>
      <c r="B232" t="inlineStr">
        <is>
          <t>.</t>
        </is>
      </c>
      <c r="C232" t="n">
        <v>0</v>
      </c>
      <c r="D232" t="n">
        <v>0</v>
      </c>
      <c r="E232" t="n">
        <v>0</v>
      </c>
      <c r="F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</row>
    <row r="233">
      <c r="A233" t="inlineStr">
        <is>
          <t>Oats</t>
        </is>
      </c>
      <c r="B233" t="inlineStr">
        <is>
          <t>customary payment to the hayward, 1 bushels.</t>
        </is>
      </c>
      <c r="C233" t="n">
        <v>0</v>
      </c>
      <c r="D233" t="n">
        <v>0</v>
      </c>
      <c r="E233" t="n">
        <v>0</v>
      </c>
      <c r="F233" t="n">
        <v>0</v>
      </c>
      <c r="H233" t="n">
        <v>0</v>
      </c>
      <c r="I233" t="n">
        <v>1</v>
      </c>
      <c r="J233" t="n">
        <v>0.125</v>
      </c>
      <c r="K233" t="n">
        <v>0.125</v>
      </c>
      <c r="L233" t="n">
        <v>0</v>
      </c>
      <c r="M233" t="n">
        <v>0</v>
      </c>
      <c r="N233" t="n">
        <v>1</v>
      </c>
    </row>
    <row r="234">
      <c r="A234" t="inlineStr">
        <is>
          <t>Oats</t>
        </is>
      </c>
      <c r="B234" t="inlineStr">
        <is>
          <t>fodder of 2 cart-horses at sowing-time, 6.5 quarters.</t>
        </is>
      </c>
      <c r="C234" t="n">
        <v>0</v>
      </c>
      <c r="D234" t="n">
        <v>0</v>
      </c>
      <c r="E234" t="n">
        <v>0</v>
      </c>
      <c r="F234" t="n">
        <v>0</v>
      </c>
      <c r="H234" t="n">
        <v>6.5</v>
      </c>
      <c r="I234" t="n">
        <v>0</v>
      </c>
      <c r="J234" t="n">
        <v>6.5</v>
      </c>
      <c r="K234" t="n">
        <v>6.5</v>
      </c>
      <c r="L234" t="n">
        <v>0</v>
      </c>
      <c r="M234" t="n">
        <v>6.5</v>
      </c>
      <c r="N234" t="n">
        <v>0</v>
      </c>
    </row>
    <row r="235">
      <c r="A235" t="inlineStr">
        <is>
          <t>Oats</t>
        </is>
      </c>
      <c r="B235" t="inlineStr">
        <is>
          <t>.</t>
        </is>
      </c>
      <c r="C235" t="n">
        <v>0</v>
      </c>
      <c r="D235" t="n">
        <v>0</v>
      </c>
      <c r="E235" t="n">
        <v>0</v>
      </c>
      <c r="F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</row>
    <row r="236">
      <c r="A236" t="inlineStr">
        <is>
          <t>Oats</t>
        </is>
      </c>
      <c r="B236" t="inlineStr">
        <is>
          <t>fodder of horses harrowing at both sowings, 4 quarters 5 bushels.</t>
        </is>
      </c>
      <c r="C236" t="n">
        <v>0</v>
      </c>
      <c r="D236" t="n">
        <v>0</v>
      </c>
      <c r="E236" t="n">
        <v>0</v>
      </c>
      <c r="F236" t="n">
        <v>0</v>
      </c>
      <c r="H236" t="n">
        <v>4</v>
      </c>
      <c r="I236" t="n">
        <v>5</v>
      </c>
      <c r="J236" t="n">
        <v>4.625</v>
      </c>
      <c r="K236" t="n">
        <v>4.625</v>
      </c>
      <c r="L236" t="n">
        <v>0</v>
      </c>
      <c r="M236" t="n">
        <v>4</v>
      </c>
      <c r="N236" t="n">
        <v>5</v>
      </c>
    </row>
    <row r="237">
      <c r="A237" t="inlineStr">
        <is>
          <t>Oats</t>
        </is>
      </c>
      <c r="B237" t="inlineStr">
        <is>
          <t>supporting oxen by estimation in sheaves, 24 quarters.</t>
        </is>
      </c>
      <c r="C237" t="n">
        <v>0</v>
      </c>
      <c r="D237" t="n">
        <v>0</v>
      </c>
      <c r="E237" t="n">
        <v>0</v>
      </c>
      <c r="F237" t="n">
        <v>0</v>
      </c>
      <c r="H237" t="n">
        <v>24</v>
      </c>
      <c r="I237" t="n">
        <v>0</v>
      </c>
      <c r="J237" t="n">
        <v>24</v>
      </c>
      <c r="K237" t="n">
        <v>24</v>
      </c>
      <c r="L237" t="n">
        <v>0</v>
      </c>
      <c r="M237" t="n">
        <v>24</v>
      </c>
      <c r="N237" t="n">
        <v>0</v>
      </c>
    </row>
    <row r="238">
      <c r="A238" t="inlineStr">
        <is>
          <t>Oats</t>
        </is>
      </c>
      <c r="B238" t="inlineStr">
        <is>
          <t>.</t>
        </is>
      </c>
      <c r="C238" t="n">
        <v>0</v>
      </c>
      <c r="D238" t="n">
        <v>0</v>
      </c>
      <c r="E238" t="n">
        <v>0</v>
      </c>
      <c r="F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</row>
    <row r="239">
      <c r="A239" t="inlineStr">
        <is>
          <t>Oats</t>
        </is>
      </c>
      <c r="B239" t="inlineStr">
        <is>
          <t>fodder of the bailiff's horses, 12.5 quarters, because he took the rest at Ecchinswell.</t>
        </is>
      </c>
      <c r="C239" t="n">
        <v>0</v>
      </c>
      <c r="D239" t="n">
        <v>0</v>
      </c>
      <c r="E239" t="n">
        <v>0</v>
      </c>
      <c r="F239" t="n">
        <v>0</v>
      </c>
      <c r="H239" t="n">
        <v>12.5</v>
      </c>
      <c r="I239" t="n">
        <v>0</v>
      </c>
      <c r="J239" t="n">
        <v>12.5</v>
      </c>
      <c r="K239" t="n">
        <v>12.5</v>
      </c>
      <c r="L239" t="n">
        <v>0</v>
      </c>
      <c r="M239" t="n">
        <v>12.5</v>
      </c>
      <c r="N239" t="n">
        <v>0</v>
      </c>
    </row>
    <row r="240">
      <c r="A240" t="inlineStr">
        <is>
          <t>Oats</t>
        </is>
      </c>
      <c r="B240" t="inlineStr">
        <is>
          <t>.</t>
        </is>
      </c>
      <c r="C240" t="n">
        <v>0</v>
      </c>
      <c r="D240" t="n">
        <v>0</v>
      </c>
      <c r="E240" t="n">
        <v>0</v>
      </c>
      <c r="F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</row>
    <row r="241">
      <c r="A241" t="inlineStr">
        <is>
          <t>Oats</t>
        </is>
      </c>
      <c r="B241" t="inlineStr">
        <is>
          <t>customary payment to the hayward in 1.5 acres, 2 bushels Delivered to the reapers by estimation in 366 sheaves, 2.5 quarters.</t>
        </is>
      </c>
      <c r="C241" t="n">
        <v>0</v>
      </c>
      <c r="D241" t="n">
        <v>0</v>
      </c>
      <c r="E241" t="n">
        <v>0</v>
      </c>
      <c r="F241" t="n">
        <v>0</v>
      </c>
      <c r="H241" t="n">
        <v>2.5</v>
      </c>
      <c r="I241" t="n">
        <v>2</v>
      </c>
      <c r="J241" t="n">
        <v>2.75</v>
      </c>
      <c r="K241" t="n">
        <v>0.25</v>
      </c>
      <c r="L241" t="n">
        <v>2.5</v>
      </c>
      <c r="M241" t="n">
        <v>0</v>
      </c>
      <c r="N241" t="n">
        <v>2</v>
      </c>
      <c r="O241" t="n">
        <v>2.5</v>
      </c>
      <c r="P241" t="n">
        <v>0</v>
      </c>
    </row>
    <row r="242">
      <c r="A242" t="inlineStr">
        <is>
          <t>Oats</t>
        </is>
      </c>
      <c r="B242" t="inlineStr">
        <is>
          <t>Sold, 39 quarters 6 bushels</t>
        </is>
      </c>
      <c r="C242" t="n">
        <v>0</v>
      </c>
      <c r="D242" t="n">
        <v>0</v>
      </c>
      <c r="E242" t="n">
        <v>0</v>
      </c>
      <c r="F242" t="n">
        <v>0</v>
      </c>
      <c r="H242" t="n">
        <v>39</v>
      </c>
      <c r="I242" t="n">
        <v>6</v>
      </c>
      <c r="J242" t="n">
        <v>39.75</v>
      </c>
      <c r="K242" t="n">
        <v>39.75</v>
      </c>
      <c r="L242" t="n">
        <v>0</v>
      </c>
      <c r="M242" t="n">
        <v>39</v>
      </c>
      <c r="N242" t="n">
        <v>6</v>
      </c>
    </row>
    <row r="243">
      <c r="A243" t="inlineStr">
        <is>
          <t>Mill</t>
        </is>
      </c>
      <c r="B243" t="inlineStr">
        <is>
          <t>Wheat: 2 bushels from the whole issue of the mill this year.</t>
        </is>
      </c>
      <c r="C243" t="n">
        <v>0</v>
      </c>
      <c r="D243" t="n">
        <v>0</v>
      </c>
      <c r="E243" t="n">
        <v>0</v>
      </c>
      <c r="F243" t="n">
        <v>0</v>
      </c>
      <c r="G243" t="inlineStr">
        <is>
          <t>wheat</t>
        </is>
      </c>
      <c r="H243" t="n">
        <v>0</v>
      </c>
      <c r="I243" t="n">
        <v>2</v>
      </c>
      <c r="J243" t="n">
        <v>0.25</v>
      </c>
      <c r="K243" t="n">
        <v>0.25</v>
      </c>
      <c r="L243" t="n">
        <v>0</v>
      </c>
      <c r="M243" t="n">
        <v>0</v>
      </c>
      <c r="N243" t="n">
        <v>2</v>
      </c>
    </row>
    <row r="244">
      <c r="A244" t="inlineStr">
        <is>
          <t>Mill</t>
        </is>
      </c>
      <c r="B244" t="inlineStr">
        <is>
          <t>all solpence</t>
        </is>
      </c>
      <c r="C244" t="n">
        <v>0</v>
      </c>
      <c r="D244" t="n">
        <v>0</v>
      </c>
      <c r="E244" t="n">
        <v>0</v>
      </c>
      <c r="F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</row>
    <row r="245">
      <c r="A245" t="inlineStr">
        <is>
          <t>Mill</t>
        </is>
      </c>
      <c r="B245" t="inlineStr">
        <is>
          <t>Maslin: 19 quarters 6 bushels from the whole issue of the mill this year.</t>
        </is>
      </c>
      <c r="C245" t="n">
        <v>0</v>
      </c>
      <c r="D245" t="n">
        <v>0</v>
      </c>
      <c r="E245" t="n">
        <v>0</v>
      </c>
      <c r="F245" t="n">
        <v>0</v>
      </c>
      <c r="G245" t="inlineStr">
        <is>
          <t>maslin</t>
        </is>
      </c>
      <c r="H245" t="n">
        <v>19</v>
      </c>
      <c r="I245" t="n">
        <v>6</v>
      </c>
      <c r="J245" t="n">
        <v>19.75</v>
      </c>
      <c r="K245" t="n">
        <v>19.75</v>
      </c>
      <c r="L245" t="n">
        <v>0</v>
      </c>
      <c r="M245" t="n">
        <v>19</v>
      </c>
      <c r="N245" t="n">
        <v>6</v>
      </c>
    </row>
    <row r="246">
      <c r="A246" t="inlineStr">
        <is>
          <t>Mill</t>
        </is>
      </c>
      <c r="B246" t="inlineStr">
        <is>
          <t>5 quarters 1 bushels delivered to 1 miller.</t>
        </is>
      </c>
      <c r="C246" t="n">
        <v>0</v>
      </c>
      <c r="D246" t="n">
        <v>0</v>
      </c>
      <c r="E246" t="n">
        <v>0</v>
      </c>
      <c r="F246" t="n">
        <v>0</v>
      </c>
      <c r="H246" t="n">
        <v>5</v>
      </c>
      <c r="I246" t="n">
        <v>1</v>
      </c>
      <c r="J246" t="n">
        <v>5.125</v>
      </c>
      <c r="K246" t="n">
        <v>5.125</v>
      </c>
      <c r="L246" t="n">
        <v>0</v>
      </c>
      <c r="M246" t="n">
        <v>5</v>
      </c>
      <c r="N246" t="n">
        <v>1</v>
      </c>
    </row>
    <row r="247">
      <c r="A247" t="inlineStr">
        <is>
          <t>Mill</t>
        </is>
      </c>
      <c r="B247" t="inlineStr">
        <is>
          <t>14 quarters 5 bushels solpence</t>
        </is>
      </c>
      <c r="C247" t="n">
        <v>0</v>
      </c>
      <c r="D247" t="n">
        <v>0</v>
      </c>
      <c r="E247" t="n">
        <v>0</v>
      </c>
      <c r="F247" t="n">
        <v>0</v>
      </c>
      <c r="H247" t="n">
        <v>14</v>
      </c>
      <c r="I247" t="n">
        <v>5</v>
      </c>
      <c r="J247" t="n">
        <v>14.625</v>
      </c>
      <c r="K247" t="n">
        <v>14.625</v>
      </c>
      <c r="L247" t="n">
        <v>0</v>
      </c>
      <c r="M247" t="n">
        <v>14</v>
      </c>
      <c r="N247" t="n">
        <v>5</v>
      </c>
    </row>
    <row r="248">
      <c r="A248" t="inlineStr">
        <is>
          <t>Mill</t>
        </is>
      </c>
      <c r="B248" t="inlineStr">
        <is>
          <t>Malt: 4 quarters from the whole issue of the same mill.</t>
        </is>
      </c>
      <c r="C248" t="n">
        <v>0</v>
      </c>
      <c r="D248" t="n">
        <v>0</v>
      </c>
      <c r="E248" t="n">
        <v>0</v>
      </c>
      <c r="F248" t="n">
        <v>0</v>
      </c>
      <c r="H248" t="n">
        <v>4</v>
      </c>
      <c r="I248" t="n">
        <v>0</v>
      </c>
      <c r="J248" t="n">
        <v>4</v>
      </c>
      <c r="K248" t="n">
        <v>4</v>
      </c>
      <c r="L248" t="n">
        <v>0</v>
      </c>
      <c r="M248" t="n">
        <v>4</v>
      </c>
      <c r="N248" t="n">
        <v>0</v>
      </c>
    </row>
    <row r="249">
      <c r="A249" t="inlineStr">
        <is>
          <t>Mill</t>
        </is>
      </c>
      <c r="B249" t="inlineStr">
        <is>
          <t>all solpence</t>
        </is>
      </c>
      <c r="C249" t="n">
        <v>0</v>
      </c>
      <c r="D249" t="n">
        <v>0</v>
      </c>
      <c r="E249" t="n">
        <v>0</v>
      </c>
      <c r="F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</row>
    <row r="250">
      <c r="A250" t="inlineStr">
        <is>
          <t>Stock</t>
        </is>
      </c>
      <c r="B250" t="inlineStr">
        <is>
          <t>Horses: 4 cart-horses remain from the previous year.</t>
        </is>
      </c>
      <c r="C250" t="n">
        <v>0</v>
      </c>
      <c r="D250" t="n">
        <v>0</v>
      </c>
      <c r="E250" t="n">
        <v>0</v>
      </c>
      <c r="F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</row>
    <row r="251">
      <c r="A251" t="inlineStr">
        <is>
          <t>Stock</t>
        </is>
      </c>
      <c r="B251" t="inlineStr">
        <is>
          <t>4 remain</t>
        </is>
      </c>
      <c r="C251" t="n">
        <v>0</v>
      </c>
      <c r="D251" t="n">
        <v>0</v>
      </c>
      <c r="E251" t="n">
        <v>0</v>
      </c>
      <c r="F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</row>
    <row r="252">
      <c r="A252" t="inlineStr">
        <is>
          <t>Stock</t>
        </is>
      </c>
      <c r="B252" t="inlineStr">
        <is>
          <t>Mares: 1 from the heriot of John Maresschal.</t>
        </is>
      </c>
      <c r="C252" t="n">
        <v>0</v>
      </c>
      <c r="D252" t="n">
        <v>0</v>
      </c>
      <c r="E252" t="n">
        <v>0</v>
      </c>
      <c r="F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</row>
    <row r="253">
      <c r="A253" t="inlineStr">
        <is>
          <t>Stock</t>
        </is>
      </c>
      <c r="B253" t="inlineStr">
        <is>
          <t>1 sold.</t>
        </is>
      </c>
      <c r="C253" t="n">
        <v>0</v>
      </c>
      <c r="D253" t="n">
        <v>0</v>
      </c>
      <c r="E253" t="n">
        <v>0</v>
      </c>
      <c r="F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</row>
    <row r="254">
      <c r="A254" t="inlineStr">
        <is>
          <t>Stock</t>
        </is>
      </c>
      <c r="B254" t="inlineStr">
        <is>
          <t>none remain.</t>
        </is>
      </c>
      <c r="C254" t="n">
        <v>0</v>
      </c>
      <c r="D254" t="n">
        <v>0</v>
      </c>
      <c r="E254" t="n">
        <v>0</v>
      </c>
      <c r="F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</row>
    <row r="255">
      <c r="A255" t="inlineStr">
        <is>
          <t>Stock</t>
        </is>
      </c>
      <c r="B255" t="inlineStr">
        <is>
          <t>Oxen: 56 remain from the previous year.</t>
        </is>
      </c>
      <c r="C255" t="n">
        <v>0</v>
      </c>
      <c r="D255" t="n">
        <v>0</v>
      </c>
      <c r="E255" t="n">
        <v>0</v>
      </c>
      <c r="F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</row>
    <row r="256">
      <c r="A256" t="inlineStr">
        <is>
          <t>Stock</t>
        </is>
      </c>
      <c r="B256" t="inlineStr">
        <is>
          <t>24 bought.</t>
        </is>
      </c>
      <c r="C256" t="n">
        <v>0</v>
      </c>
      <c r="D256" t="n">
        <v>0</v>
      </c>
      <c r="E256" t="n">
        <v>0</v>
      </c>
      <c r="F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</row>
    <row r="257">
      <c r="A257" t="inlineStr">
        <is>
          <t>Stock</t>
        </is>
      </c>
      <c r="B257" t="inlineStr">
        <is>
          <t>Total, 80. 14 sold at Martinmas.</t>
        </is>
      </c>
      <c r="C257" t="n">
        <v>0</v>
      </c>
      <c r="D257" t="n">
        <v>0</v>
      </c>
      <c r="E257" t="n">
        <v>0</v>
      </c>
      <c r="F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</row>
    <row r="258">
      <c r="A258" t="inlineStr">
        <is>
          <t>Stock</t>
        </is>
      </c>
      <c r="B258" t="inlineStr">
        <is>
          <t>7 in murrain.</t>
        </is>
      </c>
      <c r="C258" t="n">
        <v>0</v>
      </c>
      <c r="D258" t="n">
        <v>0</v>
      </c>
      <c r="E258" t="n">
        <v>0</v>
      </c>
      <c r="F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</row>
    <row r="259">
      <c r="A259" t="inlineStr">
        <is>
          <t>Stock</t>
        </is>
      </c>
      <c r="B259" t="inlineStr">
        <is>
          <t>2 sold soon after Easter because feeble.</t>
        </is>
      </c>
      <c r="C259" t="n">
        <v>0</v>
      </c>
      <c r="D259" t="n">
        <v>0</v>
      </c>
      <c r="E259" t="n">
        <v>0</v>
      </c>
      <c r="F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</row>
    <row r="260">
      <c r="A260" t="inlineStr">
        <is>
          <t>Stock</t>
        </is>
      </c>
      <c r="B260" t="inlineStr">
        <is>
          <t>Total, 23. 57 remain.</t>
        </is>
      </c>
      <c r="C260" t="n">
        <v>0</v>
      </c>
      <c r="D260" t="n">
        <v>0</v>
      </c>
      <c r="E260" t="n">
        <v>0</v>
      </c>
      <c r="F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</row>
    <row r="261">
      <c r="A261" t="inlineStr">
        <is>
          <t>Stock</t>
        </is>
      </c>
      <c r="B261" t="inlineStr">
        <is>
          <t>Rams: 16 remain from the previous year.</t>
        </is>
      </c>
      <c r="C261" t="n">
        <v>0</v>
      </c>
      <c r="D261" t="n">
        <v>0</v>
      </c>
      <c r="E261" t="n">
        <v>0</v>
      </c>
      <c r="F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</row>
    <row r="262">
      <c r="A262" t="inlineStr">
        <is>
          <t>Stock</t>
        </is>
      </c>
      <c r="B262" t="inlineStr">
        <is>
          <t>4 received from the hoggs of Ecchinswell.</t>
        </is>
      </c>
      <c r="C262" t="n">
        <v>0</v>
      </c>
      <c r="D262" t="n">
        <v>0</v>
      </c>
      <c r="E262" t="n">
        <v>0</v>
      </c>
      <c r="F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</row>
    <row r="263">
      <c r="A263" t="inlineStr">
        <is>
          <t>Stock</t>
        </is>
      </c>
      <c r="B263" t="inlineStr">
        <is>
          <t>Total, 20. 1 sold at Martinmas.</t>
        </is>
      </c>
      <c r="C263" t="n">
        <v>0</v>
      </c>
      <c r="D263" t="n">
        <v>0</v>
      </c>
      <c r="E263" t="n">
        <v>0</v>
      </c>
      <c r="F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</row>
    <row r="264">
      <c r="A264" t="inlineStr">
        <is>
          <t>Stock</t>
        </is>
      </c>
      <c r="B264" t="inlineStr">
        <is>
          <t>2 in murrain before shearing.</t>
        </is>
      </c>
      <c r="C264" t="n">
        <v>0</v>
      </c>
      <c r="D264" t="n">
        <v>0</v>
      </c>
      <c r="E264" t="n">
        <v>0</v>
      </c>
      <c r="F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</row>
    <row r="265">
      <c r="A265" t="inlineStr">
        <is>
          <t>Stock</t>
        </is>
      </c>
      <c r="B265" t="inlineStr">
        <is>
          <t>3 castrated and added to the wethers of Ecchinswell.</t>
        </is>
      </c>
      <c r="C265" t="n">
        <v>0</v>
      </c>
      <c r="D265" t="n">
        <v>0</v>
      </c>
      <c r="E265" t="n">
        <v>0</v>
      </c>
      <c r="F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</row>
    <row r="266">
      <c r="A266" t="inlineStr">
        <is>
          <t>Stock</t>
        </is>
      </c>
      <c r="B266" t="inlineStr">
        <is>
          <t>Total, 6. 14 remain.</t>
        </is>
      </c>
      <c r="C266" t="n">
        <v>0</v>
      </c>
      <c r="D266" t="n">
        <v>0</v>
      </c>
      <c r="E266" t="n">
        <v>0</v>
      </c>
      <c r="F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</row>
    <row r="267">
      <c r="A267" t="inlineStr">
        <is>
          <t>Stock</t>
        </is>
      </c>
      <c r="B267" t="inlineStr">
        <is>
          <t>Ewes: 409 remain from the previous year.</t>
        </is>
      </c>
      <c r="C267" t="n">
        <v>0</v>
      </c>
      <c r="D267" t="n">
        <v>0</v>
      </c>
      <c r="E267" t="n">
        <v>0</v>
      </c>
      <c r="F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</row>
    <row r="268">
      <c r="A268" t="inlineStr">
        <is>
          <t>Stock</t>
        </is>
      </c>
      <c r="B268" t="inlineStr">
        <is>
          <t>138 added from the hoggs of Ecchinswell.</t>
        </is>
      </c>
      <c r="C268" t="n">
        <v>0</v>
      </c>
      <c r="D268" t="n">
        <v>0</v>
      </c>
      <c r="E268" t="n">
        <v>0</v>
      </c>
      <c r="F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</row>
    <row r="269">
      <c r="A269" t="inlineStr">
        <is>
          <t>Stock</t>
        </is>
      </c>
      <c r="B269" t="inlineStr">
        <is>
          <t>Total, 547. 39 sold at Martinmas.</t>
        </is>
      </c>
      <c r="C269" t="n">
        <v>0</v>
      </c>
      <c r="D269" t="n">
        <v>0</v>
      </c>
      <c r="E269" t="n">
        <v>0</v>
      </c>
      <c r="F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</row>
    <row r="270">
      <c r="A270" t="inlineStr">
        <is>
          <t>Stock</t>
        </is>
      </c>
      <c r="B270" t="inlineStr">
        <is>
          <t>7 in murrain before giving birth, 18 after giving birth and before shearing, and 7 after shearing.</t>
        </is>
      </c>
      <c r="C270" t="n">
        <v>0</v>
      </c>
      <c r="D270" t="n">
        <v>0</v>
      </c>
      <c r="E270" t="n">
        <v>0</v>
      </c>
      <c r="F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</row>
    <row r="271">
      <c r="A271" t="inlineStr">
        <is>
          <t>Stock</t>
        </is>
      </c>
      <c r="B271" t="inlineStr">
        <is>
          <t>Total, 71. 476 remain.</t>
        </is>
      </c>
      <c r="C271" t="n">
        <v>0</v>
      </c>
      <c r="D271" t="n">
        <v>0</v>
      </c>
      <c r="E271" t="n">
        <v>0</v>
      </c>
      <c r="F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</row>
    <row r="272">
      <c r="A272" t="inlineStr">
        <is>
          <t>Stock</t>
        </is>
      </c>
      <c r="B272" t="inlineStr">
        <is>
          <t>Lambs: 345 from the offspring of the said ewes this year because 18 sterile, 7 in murrain before giving birth, and 39 sold at Martinmas.</t>
        </is>
      </c>
      <c r="C272" t="n">
        <v>0</v>
      </c>
      <c r="D272" t="n">
        <v>0</v>
      </c>
      <c r="E272" t="n">
        <v>0</v>
      </c>
      <c r="F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</row>
    <row r="273">
      <c r="A273" t="inlineStr">
        <is>
          <t>Stock</t>
        </is>
      </c>
      <c r="B273" t="inlineStr">
        <is>
          <t>57 in murrain before weaning.</t>
        </is>
      </c>
      <c r="C273" t="n">
        <v>0</v>
      </c>
      <c r="D273" t="n">
        <v>0</v>
      </c>
      <c r="E273" t="n">
        <v>0</v>
      </c>
      <c r="F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</row>
    <row r="274">
      <c r="A274" t="inlineStr">
        <is>
          <t>Stock</t>
        </is>
      </c>
      <c r="B274" t="inlineStr">
        <is>
          <t>28 in tithe.</t>
        </is>
      </c>
      <c r="C274" t="n">
        <v>0</v>
      </c>
      <c r="D274" t="n">
        <v>0</v>
      </c>
      <c r="E274" t="n">
        <v>0</v>
      </c>
      <c r="F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</row>
    <row r="275">
      <c r="A275" t="inlineStr">
        <is>
          <t>Stock</t>
        </is>
      </c>
      <c r="B275" t="inlineStr">
        <is>
          <t>3 in customary payment to 1 reeve, 1 hayward and 1 shepherd.</t>
        </is>
      </c>
      <c r="C275" t="n">
        <v>0</v>
      </c>
      <c r="D275" t="n">
        <v>0</v>
      </c>
      <c r="E275" t="n">
        <v>0</v>
      </c>
      <c r="F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</row>
    <row r="276">
      <c r="A276" t="inlineStr">
        <is>
          <t>Stock</t>
        </is>
      </c>
      <c r="B276" t="inlineStr">
        <is>
          <t>257 sent to Ashmansworth.</t>
        </is>
      </c>
      <c r="C276" t="n">
        <v>0</v>
      </c>
      <c r="D276" t="n">
        <v>0</v>
      </c>
      <c r="E276" t="n">
        <v>0</v>
      </c>
      <c r="F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</row>
    <row r="277">
      <c r="A277" t="inlineStr">
        <is>
          <t>Stock</t>
        </is>
      </c>
      <c r="B277" t="inlineStr">
        <is>
          <t>none remain.</t>
        </is>
      </c>
      <c r="C277" t="n">
        <v>0</v>
      </c>
      <c r="D277" t="n">
        <v>0</v>
      </c>
      <c r="E277" t="n">
        <v>0</v>
      </c>
      <c r="F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</row>
    <row r="278">
      <c r="A278" t="inlineStr">
        <is>
          <t>Stock</t>
        </is>
      </c>
      <c r="B278" t="inlineStr">
        <is>
          <t>Pigs: 3 bought.</t>
        </is>
      </c>
      <c r="C278" t="n">
        <v>0</v>
      </c>
      <c r="D278" t="n">
        <v>0</v>
      </c>
      <c r="E278" t="n">
        <v>0</v>
      </c>
      <c r="F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</row>
    <row r="279">
      <c r="A279" t="inlineStr">
        <is>
          <t>Stock</t>
        </is>
      </c>
      <c r="B279" t="inlineStr">
        <is>
          <t>3 sold.</t>
        </is>
      </c>
      <c r="C279" t="n">
        <v>0</v>
      </c>
      <c r="D279" t="n">
        <v>0</v>
      </c>
      <c r="E279" t="n">
        <v>0</v>
      </c>
      <c r="F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</row>
    <row r="280">
      <c r="A280" t="inlineStr">
        <is>
          <t>Stock</t>
        </is>
      </c>
      <c r="B280" t="inlineStr">
        <is>
          <t>none remain.</t>
        </is>
      </c>
      <c r="C280" t="n">
        <v>0</v>
      </c>
      <c r="D280" t="n">
        <v>0</v>
      </c>
      <c r="E280" t="n">
        <v>0</v>
      </c>
      <c r="F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</row>
    <row r="281">
      <c r="A281" t="inlineStr">
        <is>
          <t>Stock</t>
        </is>
      </c>
      <c r="B281" t="inlineStr">
        <is>
          <t>Fleeces: 10 from rams, 345 from ewes produced at the shearing this year.</t>
        </is>
      </c>
      <c r="C281" t="n">
        <v>0</v>
      </c>
      <c r="D281" t="n">
        <v>0</v>
      </c>
      <c r="E281" t="n">
        <v>0</v>
      </c>
      <c r="F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</row>
    <row r="282">
      <c r="A282" t="inlineStr">
        <is>
          <t>Stock</t>
        </is>
      </c>
      <c r="B282" t="inlineStr">
        <is>
          <t>Total, 355. 35 in tithe.</t>
        </is>
      </c>
      <c r="C282" t="n">
        <v>0</v>
      </c>
      <c r="D282" t="n">
        <v>0</v>
      </c>
      <c r="E282" t="n">
        <v>0</v>
      </c>
      <c r="F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</row>
    <row r="283">
      <c r="A283" t="inlineStr">
        <is>
          <t>Stock</t>
        </is>
      </c>
      <c r="B283" t="inlineStr">
        <is>
          <t>320 delivered to the reeve of Highclere.</t>
        </is>
      </c>
      <c r="C283" t="n">
        <v>0</v>
      </c>
      <c r="D283" t="n">
        <v>0</v>
      </c>
      <c r="E283" t="n">
        <v>0</v>
      </c>
      <c r="F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</row>
    <row r="284">
      <c r="A284" t="inlineStr">
        <is>
          <t>Stock</t>
        </is>
      </c>
      <c r="B284" t="inlineStr">
        <is>
          <t>Woolskins: 2 from rams, 25 from ewes in murrain before shearing.</t>
        </is>
      </c>
      <c r="C284" t="n">
        <v>0</v>
      </c>
      <c r="D284" t="n">
        <v>0</v>
      </c>
      <c r="E284" t="n">
        <v>0</v>
      </c>
      <c r="F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</row>
    <row r="285">
      <c r="A285" t="inlineStr">
        <is>
          <t>Stock</t>
        </is>
      </c>
      <c r="B285" t="inlineStr">
        <is>
          <t>Total, 27. 3 in tithe.</t>
        </is>
      </c>
      <c r="C285" t="n">
        <v>0</v>
      </c>
      <c r="D285" t="n">
        <v>0</v>
      </c>
      <c r="E285" t="n">
        <v>0</v>
      </c>
      <c r="F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</row>
    <row r="286">
      <c r="A286" t="inlineStr">
        <is>
          <t>Stock</t>
        </is>
      </c>
      <c r="B286" t="inlineStr">
        <is>
          <t>24 solpence</t>
        </is>
      </c>
      <c r="C286" t="n">
        <v>0</v>
      </c>
      <c r="D286" t="n">
        <v>0</v>
      </c>
      <c r="E286" t="n">
        <v>0</v>
      </c>
      <c r="F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</row>
    <row r="287">
      <c r="A287" t="inlineStr">
        <is>
          <t>Stock</t>
        </is>
      </c>
      <c r="B287" t="inlineStr">
        <is>
          <t>Bare skins: 7 from ewes in murrain after shearing.</t>
        </is>
      </c>
      <c r="C287" t="n">
        <v>0</v>
      </c>
      <c r="D287" t="n">
        <v>0</v>
      </c>
      <c r="E287" t="n">
        <v>0</v>
      </c>
      <c r="F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</row>
    <row r="288">
      <c r="A288" t="inlineStr">
        <is>
          <t>Stock</t>
        </is>
      </c>
      <c r="B288" t="inlineStr">
        <is>
          <t>all solpence</t>
        </is>
      </c>
      <c r="C288" t="n">
        <v>0</v>
      </c>
      <c r="D288" t="n">
        <v>0</v>
      </c>
      <c r="E288" t="n">
        <v>0</v>
      </c>
      <c r="F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</row>
    <row r="289">
      <c r="A289" t="inlineStr">
        <is>
          <t>Stock</t>
        </is>
      </c>
      <c r="B289" t="inlineStr">
        <is>
          <t>Lambskins: 57 from lambs in murrain before weaning.</t>
        </is>
      </c>
      <c r="C289" t="n">
        <v>0</v>
      </c>
      <c r="D289" t="n">
        <v>0</v>
      </c>
      <c r="E289" t="n">
        <v>0</v>
      </c>
      <c r="F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</row>
    <row r="290">
      <c r="A290" t="inlineStr">
        <is>
          <t>Stock</t>
        </is>
      </c>
      <c r="B290" t="inlineStr">
        <is>
          <t>5 in tithe.</t>
        </is>
      </c>
      <c r="C290" t="n">
        <v>0</v>
      </c>
      <c r="D290" t="n">
        <v>0</v>
      </c>
      <c r="E290" t="n">
        <v>0</v>
      </c>
      <c r="F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</row>
    <row r="291">
      <c r="A291" t="inlineStr">
        <is>
          <t>Stock</t>
        </is>
      </c>
      <c r="B291" t="inlineStr">
        <is>
          <t>52 solpence</t>
        </is>
      </c>
      <c r="C291" t="n">
        <v>0</v>
      </c>
      <c r="D291" t="n">
        <v>0</v>
      </c>
      <c r="E291" t="n">
        <v>0</v>
      </c>
      <c r="F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</row>
    <row r="292">
      <c r="A292" t="inlineStr">
        <is>
          <t>Stock</t>
        </is>
      </c>
      <c r="B292" t="inlineStr">
        <is>
          <t>Hens: 172 from churchscot. 12 in default of the land in Spoltlond drawn into demesne for the year.</t>
        </is>
      </c>
      <c r="C292" t="n">
        <v>0</v>
      </c>
      <c r="D292" t="n">
        <v>0</v>
      </c>
      <c r="E292" t="n">
        <v>0</v>
      </c>
      <c r="F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</row>
    <row r="293">
      <c r="A293" t="inlineStr">
        <is>
          <t>Stock</t>
        </is>
      </c>
      <c r="B293" t="inlineStr">
        <is>
          <t>2 in default of Roger Elys because he has no wife.</t>
        </is>
      </c>
      <c r="C293" t="n">
        <v>0</v>
      </c>
      <c r="D293" t="n">
        <v>0</v>
      </c>
      <c r="E293" t="n">
        <v>0</v>
      </c>
      <c r="F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</row>
    <row r="294">
      <c r="A294" t="inlineStr">
        <is>
          <t>Stock</t>
        </is>
      </c>
      <c r="B294" t="inlineStr">
        <is>
          <t>2 in default of Alice le Webb' because she has no husband.</t>
        </is>
      </c>
      <c r="C294" t="n">
        <v>0</v>
      </c>
      <c r="D294" t="n">
        <v>0</v>
      </c>
      <c r="E294" t="n">
        <v>0</v>
      </c>
      <c r="F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</row>
    <row r="295">
      <c r="A295" t="inlineStr">
        <is>
          <t>Stock</t>
        </is>
      </c>
      <c r="B295" t="inlineStr">
        <is>
          <t>2 in default of Alveva la Prute for the same.</t>
        </is>
      </c>
      <c r="C295" t="n">
        <v>0</v>
      </c>
      <c r="D295" t="n">
        <v>0</v>
      </c>
      <c r="E295" t="n">
        <v>0</v>
      </c>
      <c r="F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</row>
    <row r="296">
      <c r="A296" t="inlineStr">
        <is>
          <t>Stock</t>
        </is>
      </c>
      <c r="B296" t="inlineStr">
        <is>
          <t>2 in default of Christina Byke for the same.</t>
        </is>
      </c>
      <c r="C296" t="n">
        <v>0</v>
      </c>
      <c r="D296" t="n">
        <v>0</v>
      </c>
      <c r="E296" t="n">
        <v>0</v>
      </c>
      <c r="F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</row>
    <row r="297">
      <c r="A297" t="inlineStr">
        <is>
          <t>Stock</t>
        </is>
      </c>
      <c r="B297" t="inlineStr">
        <is>
          <t>2 in default of Alice Druery for the same.</t>
        </is>
      </c>
      <c r="C297" t="n">
        <v>0</v>
      </c>
      <c r="D297" t="n">
        <v>0</v>
      </c>
      <c r="E297" t="n">
        <v>0</v>
      </c>
      <c r="F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</row>
    <row r="298">
      <c r="A298" t="inlineStr">
        <is>
          <t>Stock</t>
        </is>
      </c>
      <c r="B298" t="inlineStr">
        <is>
          <t>2 in default of Matilda atte Holme for the same.</t>
        </is>
      </c>
      <c r="C298" t="n">
        <v>0</v>
      </c>
      <c r="D298" t="n">
        <v>0</v>
      </c>
      <c r="E298" t="n">
        <v>0</v>
      </c>
      <c r="F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</row>
    <row r="299">
      <c r="A299" t="inlineStr">
        <is>
          <t>Stock</t>
        </is>
      </c>
      <c r="B299" t="inlineStr">
        <is>
          <t>2 in default of Edith Cuteles for the same.</t>
        </is>
      </c>
      <c r="C299" t="n">
        <v>0</v>
      </c>
      <c r="D299" t="n">
        <v>0</v>
      </c>
      <c r="E299" t="n">
        <v>0</v>
      </c>
      <c r="F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</row>
    <row r="300">
      <c r="A300" t="inlineStr">
        <is>
          <t>Stock</t>
        </is>
      </c>
      <c r="B300" t="inlineStr">
        <is>
          <t>1 in default of Henry atte Pund' because he has no wife.</t>
        </is>
      </c>
      <c r="C300" t="n">
        <v>0</v>
      </c>
      <c r="D300" t="n">
        <v>0</v>
      </c>
      <c r="E300" t="n">
        <v>0</v>
      </c>
      <c r="F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</row>
    <row r="301">
      <c r="A301" t="inlineStr">
        <is>
          <t>Stock</t>
        </is>
      </c>
      <c r="B301" t="inlineStr">
        <is>
          <t>Total, 27. 145 solpence</t>
        </is>
      </c>
      <c r="C301" t="n">
        <v>0</v>
      </c>
      <c r="D301" t="n">
        <v>0</v>
      </c>
      <c r="E301" t="n">
        <v>0</v>
      </c>
      <c r="F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</row>
    <row r="302">
      <c r="A302" t="inlineStr">
        <is>
          <t>Stock</t>
        </is>
      </c>
      <c r="B302" t="inlineStr">
        <is>
          <t>Eggs: 1,100 received according to custom at Easter.</t>
        </is>
      </c>
      <c r="C302" t="n">
        <v>0</v>
      </c>
      <c r="D302" t="n">
        <v>0</v>
      </c>
      <c r="E302" t="n">
        <v>0</v>
      </c>
      <c r="F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</row>
    <row r="303">
      <c r="A303" t="inlineStr">
        <is>
          <t>Stock</t>
        </is>
      </c>
      <c r="B303" t="inlineStr">
        <is>
          <t>all solpence</t>
        </is>
      </c>
      <c r="C303" t="n">
        <v>0</v>
      </c>
      <c r="D303" t="n">
        <v>0</v>
      </c>
      <c r="E303" t="n">
        <v>0</v>
      </c>
      <c r="F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</row>
    <row r="304">
      <c r="A304" t="inlineStr">
        <is>
          <t>Stock</t>
        </is>
      </c>
      <c r="B304" t="inlineStr">
        <is>
          <t>Carts: 3 remain from the previous year.</t>
        </is>
      </c>
      <c r="C304" t="n">
        <v>0</v>
      </c>
      <c r="D304" t="n">
        <v>0</v>
      </c>
      <c r="E304" t="n">
        <v>0</v>
      </c>
      <c r="F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</row>
    <row r="305">
      <c r="A305" t="inlineStr">
        <is>
          <t>Stock</t>
        </is>
      </c>
      <c r="B305" t="inlineStr">
        <is>
          <t>1 of wood worn out.</t>
        </is>
      </c>
      <c r="C305" t="n">
        <v>0</v>
      </c>
      <c r="D305" t="n">
        <v>0</v>
      </c>
      <c r="E305" t="n">
        <v>0</v>
      </c>
      <c r="F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</row>
    <row r="306">
      <c r="A306" t="inlineStr">
        <is>
          <t>Stock</t>
        </is>
      </c>
      <c r="B306" t="inlineStr">
        <is>
          <t>2 remain.</t>
        </is>
      </c>
      <c r="C306" t="n">
        <v>0</v>
      </c>
      <c r="D306" t="n">
        <v>0</v>
      </c>
      <c r="E306" t="n">
        <v>0</v>
      </c>
      <c r="F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</row>
    <row r="307">
      <c r="A307" t="inlineStr">
        <is>
          <t>Stock</t>
        </is>
      </c>
      <c r="B307" t="inlineStr">
        <is>
          <t>Wagons: 2 remain from the previous year.</t>
        </is>
      </c>
      <c r="C307" t="n">
        <v>0</v>
      </c>
      <c r="D307" t="n">
        <v>0</v>
      </c>
      <c r="E307" t="n">
        <v>0</v>
      </c>
      <c r="F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</row>
    <row r="308">
      <c r="A308" t="inlineStr">
        <is>
          <t>Stock</t>
        </is>
      </c>
      <c r="B308" t="inlineStr">
        <is>
          <t>2 remain, 1 with iron tyres and 1 of woopence</t>
        </is>
      </c>
      <c r="C308" t="n">
        <v>0</v>
      </c>
      <c r="D308" t="n">
        <v>0</v>
      </c>
      <c r="E308" t="n">
        <v>0</v>
      </c>
      <c r="F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7"/>
  <sheetViews>
    <sheetView topLeftCell="A1" workbookViewId="0">
      <selection activeCell="A1" sqref="A1"/>
    </sheetView>
  </sheetViews>
  <sheetFormatPr baseColWidth="8" defaultRowHeight="15"/>
  <sheetData>
    <row r="1">
      <c r="A1" s="1" t="inlineStr">
        <is>
          <t>Heading</t>
        </is>
      </c>
      <c r="B1" s="1" t="inlineStr">
        <is>
          <t>Sentence</t>
        </is>
      </c>
      <c r="C1" s="1" t="inlineStr">
        <is>
          <t>Quarters 1_x</t>
        </is>
      </c>
      <c r="D1" s="1" t="inlineStr">
        <is>
          <t>Bushels 1_x</t>
        </is>
      </c>
      <c r="E1" s="1" t="inlineStr">
        <is>
          <t>Sown Quarters</t>
        </is>
      </c>
      <c r="F1" s="1" t="inlineStr">
        <is>
          <t>Sown Bushels</t>
        </is>
      </c>
      <c r="G1" s="1" t="inlineStr">
        <is>
          <t>Sown Total Quarters</t>
        </is>
      </c>
      <c r="H1" s="1" t="inlineStr">
        <is>
          <t>Bought in Quarters</t>
        </is>
      </c>
      <c r="I1" s="1" t="inlineStr">
        <is>
          <t>Bought in Bushels</t>
        </is>
      </c>
      <c r="J1" s="1" t="inlineStr">
        <is>
          <t>Bought in Total Quarters</t>
        </is>
      </c>
      <c r="K1" s="1" t="inlineStr">
        <is>
          <t>Tithe Quarters</t>
        </is>
      </c>
      <c r="L1" s="1" t="inlineStr">
        <is>
          <t>Tithe Bushels</t>
        </is>
      </c>
      <c r="M1" s="1" t="inlineStr">
        <is>
          <t>Tithe Total Quarters</t>
        </is>
      </c>
      <c r="N1" s="1" t="inlineStr">
        <is>
          <t>Manorial servants &amp; livestock Quarters</t>
        </is>
      </c>
      <c r="O1" s="1" t="inlineStr">
        <is>
          <t>Manorial servants &amp; livestock Bushels</t>
        </is>
      </c>
      <c r="P1" s="1" t="inlineStr">
        <is>
          <t>Manorial servants &amp; livestock Total Quarters</t>
        </is>
      </c>
      <c r="Q1" s="1" t="inlineStr">
        <is>
          <t>Sold Quarters</t>
        </is>
      </c>
      <c r="R1" s="1" t="inlineStr">
        <is>
          <t>Sold Bushels</t>
        </is>
      </c>
      <c r="S1" s="1" t="inlineStr">
        <is>
          <t>Sold Total Quarters</t>
        </is>
      </c>
      <c r="T1" s="1" t="inlineStr">
        <is>
          <t>Account Quarters</t>
        </is>
      </c>
      <c r="U1" s="1" t="inlineStr">
        <is>
          <t>Account Bushels</t>
        </is>
      </c>
      <c r="V1" s="1" t="inlineStr">
        <is>
          <t>Account Total Quarters</t>
        </is>
      </c>
      <c r="W1" s="1" t="inlineStr">
        <is>
          <t>bought only</t>
        </is>
      </c>
      <c r="X1" s="1" t="inlineStr">
        <is>
          <t>Total Quarters Except 1</t>
        </is>
      </c>
      <c r="Y1" s="1" t="inlineStr">
        <is>
          <t>Total Bushels Except 1</t>
        </is>
      </c>
      <c r="Z1" s="1" t="inlineStr">
        <is>
          <t>Total Corn Cross-Check</t>
        </is>
      </c>
      <c r="AA1" s="1" t="inlineStr">
        <is>
          <t>Total Corn Manorial Account</t>
        </is>
      </c>
      <c r="AB1" s="1" t="inlineStr">
        <is>
          <t>Corn Quantity Error</t>
        </is>
      </c>
      <c r="AC1" s="1" t="inlineStr">
        <is>
          <t>Quarters 1_y</t>
        </is>
      </c>
      <c r="AD1" s="1" t="inlineStr">
        <is>
          <t>Bushels 1_y</t>
        </is>
      </c>
      <c r="AE1" s="1" t="inlineStr">
        <is>
          <t>Quarters 2</t>
        </is>
      </c>
      <c r="AF1" s="1" t="inlineStr">
        <is>
          <t>Bushels 2</t>
        </is>
      </c>
      <c r="AG1" s="1" t="inlineStr">
        <is>
          <t>Quarters 3</t>
        </is>
      </c>
      <c r="AH1" s="1" t="inlineStr">
        <is>
          <t>Bushels 3</t>
        </is>
      </c>
    </row>
    <row r="2">
      <c r="A2" t="inlineStr">
        <is>
          <t>Cash deliveries</t>
        </is>
      </c>
      <c r="B2" t="inlineStr">
        <is>
          <t>Total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</row>
    <row r="3">
      <c r="A3" t="inlineStr">
        <is>
          <t>Wheat</t>
        </is>
      </c>
      <c r="B3" t="inlineStr">
        <is>
          <t>{yield: five-fold plus 4 quarters 3 bushels)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4</v>
      </c>
      <c r="Y3" t="n">
        <v>3</v>
      </c>
      <c r="Z3" t="n">
        <v>4.375</v>
      </c>
      <c r="AA3" t="n">
        <v>4.375</v>
      </c>
      <c r="AB3" t="n">
        <v>0</v>
      </c>
      <c r="AC3" t="n">
        <v>4</v>
      </c>
      <c r="AD3" t="n">
        <v>3</v>
      </c>
    </row>
    <row r="4">
      <c r="A4" t="inlineStr">
        <is>
          <t>Wheat</t>
        </is>
      </c>
      <c r="B4" t="inlineStr">
        <is>
          <t>The same render account for 130 quarters from the whole issue of wheat by struck measure.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130</v>
      </c>
      <c r="U4" t="n">
        <v>0</v>
      </c>
      <c r="V4" t="n">
        <v>130</v>
      </c>
      <c r="W4" t="n">
        <v>0</v>
      </c>
      <c r="X4" t="n">
        <v>130</v>
      </c>
      <c r="Y4" t="n">
        <v>0</v>
      </c>
      <c r="Z4" t="n">
        <v>130</v>
      </c>
      <c r="AA4" t="n">
        <v>130</v>
      </c>
      <c r="AB4" t="n">
        <v>0</v>
      </c>
      <c r="AC4" t="n">
        <v>130</v>
      </c>
      <c r="AD4" t="n">
        <v>0</v>
      </c>
    </row>
    <row r="5">
      <c r="A5" t="inlineStr">
        <is>
          <t>Wheat</t>
        </is>
      </c>
      <c r="B5" t="inlineStr">
        <is>
          <t>1.5 quarters by estimation in 3 acres delivered to 1 reeve, 1 hayward and 1 smith according to custom.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1.5</v>
      </c>
      <c r="Y5" t="n">
        <v>0</v>
      </c>
      <c r="Z5" t="n">
        <v>1.5</v>
      </c>
      <c r="AA5" t="n">
        <v>1.5</v>
      </c>
      <c r="AB5" t="n">
        <v>0</v>
      </c>
      <c r="AC5" t="n">
        <v>1.5</v>
      </c>
      <c r="AD5" t="n">
        <v>0</v>
      </c>
    </row>
    <row r="6">
      <c r="A6" t="inlineStr">
        <is>
          <t>Wheat</t>
        </is>
      </c>
      <c r="B6" t="inlineStr">
        <is>
          <t>4 quarters 1 bushels by estimation in 412 sheaves delivered to the reapers of 206 acres, at 2 sheaves an acre.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4</v>
      </c>
      <c r="Y6" t="n">
        <v>1</v>
      </c>
      <c r="Z6" t="n">
        <v>4.125</v>
      </c>
      <c r="AA6" t="n">
        <v>4.125</v>
      </c>
      <c r="AB6" t="n">
        <v>0</v>
      </c>
      <c r="AC6" t="n">
        <v>4</v>
      </c>
      <c r="AD6" t="n">
        <v>1</v>
      </c>
    </row>
    <row r="7">
      <c r="A7" t="inlineStr">
        <is>
          <t>Wheat</t>
        </is>
      </c>
      <c r="B7" t="inlineStr">
        <is>
          <t>Total, 135 quarters 5 bushels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135</v>
      </c>
      <c r="Y7" t="n">
        <v>5</v>
      </c>
      <c r="Z7" t="n">
        <v>135.625</v>
      </c>
      <c r="AA7" t="n">
        <v>135.625</v>
      </c>
      <c r="AB7" t="n">
        <v>0</v>
      </c>
      <c r="AC7" t="n">
        <v>135</v>
      </c>
      <c r="AD7" t="n">
        <v>5</v>
      </c>
    </row>
    <row r="8">
      <c r="A8" t="inlineStr">
        <is>
          <t>Wheat</t>
        </is>
      </c>
      <c r="B8" t="inlineStr">
        <is>
          <t>Sown over 252 acres as they lie in the fields of Stok' and Suthlond', 31 quarters 1 bushels.</t>
        </is>
      </c>
      <c r="C8" t="n">
        <v>0</v>
      </c>
      <c r="D8" t="n">
        <v>0</v>
      </c>
      <c r="E8" t="n">
        <v>31</v>
      </c>
      <c r="F8" t="n">
        <v>1</v>
      </c>
      <c r="G8" t="n">
        <v>31.125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31</v>
      </c>
      <c r="Y8" t="n">
        <v>1</v>
      </c>
      <c r="Z8" t="n">
        <v>31.125</v>
      </c>
      <c r="AA8" t="n">
        <v>31.125</v>
      </c>
      <c r="AB8" t="n">
        <v>0</v>
      </c>
      <c r="AC8" t="n">
        <v>31</v>
      </c>
      <c r="AD8" t="n">
        <v>1</v>
      </c>
    </row>
    <row r="9">
      <c r="A9" t="inlineStr">
        <is>
          <t>Wheat</t>
        </is>
      </c>
      <c r="B9" t="inlineStr">
        <is>
          <t>that is, 1 bushels an acre, less 3 bushels in all.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3</v>
      </c>
      <c r="Z9" t="n">
        <v>0.375</v>
      </c>
      <c r="AA9" t="n">
        <v>0.125</v>
      </c>
      <c r="AB9" t="n">
        <v>0.25</v>
      </c>
      <c r="AC9" t="n">
        <v>0</v>
      </c>
      <c r="AD9" t="n">
        <v>1</v>
      </c>
      <c r="AE9" t="n">
        <v>0</v>
      </c>
      <c r="AF9" t="n">
        <v>3</v>
      </c>
    </row>
    <row r="10">
      <c r="A10" t="inlineStr">
        <is>
          <t>Wheat</t>
        </is>
      </c>
      <c r="B10" t="inlineStr">
        <is>
          <t>.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</row>
    <row r="11">
      <c r="A11" t="inlineStr">
        <is>
          <t>Wheat</t>
        </is>
      </c>
      <c r="B11" t="inlineStr">
        <is>
          <t>customary payment to the hayward, 1 bushels.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0.125</v>
      </c>
      <c r="AA11" t="n">
        <v>0.125</v>
      </c>
      <c r="AB11" t="n">
        <v>0</v>
      </c>
      <c r="AC11" t="n">
        <v>0</v>
      </c>
      <c r="AD11" t="n">
        <v>1</v>
      </c>
    </row>
    <row r="12">
      <c r="A12" t="inlineStr">
        <is>
          <t>Wheat</t>
        </is>
      </c>
      <c r="B12" t="inlineStr">
        <is>
          <t>customary payment for the mowing of the meadows, 6 bushels.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6</v>
      </c>
      <c r="Z12" t="n">
        <v>0.75</v>
      </c>
      <c r="AA12" t="n">
        <v>0.75</v>
      </c>
      <c r="AB12" t="n">
        <v>0</v>
      </c>
      <c r="AC12" t="n">
        <v>0</v>
      </c>
      <c r="AD12" t="n">
        <v>6</v>
      </c>
    </row>
    <row r="13">
      <c r="A13" t="inlineStr">
        <is>
          <t>Wheat</t>
        </is>
      </c>
      <c r="B13" t="inlineStr">
        <is>
          <t>customary payment to 1 reeve, 1 hayward, 1 smith by estimation in 3 acres according to custom, 1.5 quarters.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1.5</v>
      </c>
      <c r="Y13" t="n">
        <v>0</v>
      </c>
      <c r="Z13" t="n">
        <v>1.5</v>
      </c>
      <c r="AA13" t="n">
        <v>1.5</v>
      </c>
      <c r="AB13" t="n">
        <v>0</v>
      </c>
      <c r="AC13" t="n">
        <v>1.5</v>
      </c>
      <c r="AD13" t="n">
        <v>0</v>
      </c>
    </row>
    <row r="14">
      <c r="A14" t="inlineStr">
        <is>
          <t>Wheat</t>
        </is>
      </c>
      <c r="B14" t="inlineStr">
        <is>
          <t>Delivered to the reapers by estimation in 412 sheaves, 4 quarters 1 bushels.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4</v>
      </c>
      <c r="Y14" t="n">
        <v>1</v>
      </c>
      <c r="Z14" t="n">
        <v>4.125</v>
      </c>
      <c r="AA14" t="n">
        <v>4.125</v>
      </c>
      <c r="AB14" t="n">
        <v>0</v>
      </c>
      <c r="AC14" t="n">
        <v>4</v>
      </c>
      <c r="AD14" t="n">
        <v>1</v>
      </c>
    </row>
    <row r="15">
      <c r="A15" t="inlineStr">
        <is>
          <t>Wheat</t>
        </is>
      </c>
      <c r="B15" t="inlineStr">
        <is>
          <t>the bailiff's bread, 7.5 quarters, because he takes the rest at Ecchinswell.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7.5</v>
      </c>
      <c r="Y15" t="n">
        <v>0</v>
      </c>
      <c r="Z15" t="n">
        <v>7.5</v>
      </c>
      <c r="AA15" t="n">
        <v>7.5</v>
      </c>
      <c r="AB15" t="n">
        <v>0</v>
      </c>
      <c r="AC15" t="n">
        <v>7.5</v>
      </c>
      <c r="AD15" t="n">
        <v>0</v>
      </c>
    </row>
    <row r="16">
      <c r="A16" t="inlineStr">
        <is>
          <t>Wheat</t>
        </is>
      </c>
      <c r="B16" t="inlineStr">
        <is>
          <t>Sold, 90.5 quarters.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90.5</v>
      </c>
      <c r="R16" t="n">
        <v>0</v>
      </c>
      <c r="S16" t="n">
        <v>90.5</v>
      </c>
      <c r="T16" t="n">
        <v>0</v>
      </c>
      <c r="U16" t="n">
        <v>0</v>
      </c>
      <c r="V16" t="n">
        <v>0</v>
      </c>
      <c r="W16" t="n">
        <v>0</v>
      </c>
      <c r="X16" t="n">
        <v>90.5</v>
      </c>
      <c r="Y16" t="n">
        <v>0</v>
      </c>
      <c r="Z16" t="n">
        <v>90.5</v>
      </c>
      <c r="AA16" t="n">
        <v>90.5</v>
      </c>
      <c r="AB16" t="n">
        <v>0</v>
      </c>
      <c r="AC16" t="n">
        <v>90.5</v>
      </c>
      <c r="AD16" t="n">
        <v>0</v>
      </c>
    </row>
    <row r="17">
      <c r="A17" t="inlineStr">
        <is>
          <t>Wheat</t>
        </is>
      </c>
      <c r="B17" t="inlineStr">
        <is>
          <t>Total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</row>
    <row r="18">
      <c r="A18" t="inlineStr">
        <is>
          <t>Barley</t>
        </is>
      </c>
      <c r="B18" t="inlineStr">
        <is>
          <t>{yield: two-fold less 2 bushels)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</v>
      </c>
      <c r="Z18" t="n">
        <v>0.25</v>
      </c>
      <c r="AA18" t="n">
        <v>0.25</v>
      </c>
      <c r="AB18" t="n">
        <v>0</v>
      </c>
      <c r="AC18" t="n">
        <v>0</v>
      </c>
      <c r="AD18" t="n">
        <v>2</v>
      </c>
    </row>
    <row r="19">
      <c r="A19" t="inlineStr">
        <is>
          <t>Barley</t>
        </is>
      </c>
      <c r="B19" t="inlineStr">
        <is>
          <t>The same render account for 10 quarters 2 bushels from the whole issue of barley by struck measure.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</v>
      </c>
      <c r="U19" t="n">
        <v>2</v>
      </c>
      <c r="V19" t="n">
        <v>10.25</v>
      </c>
      <c r="W19" t="n">
        <v>0</v>
      </c>
      <c r="X19" t="n">
        <v>10</v>
      </c>
      <c r="Y19" t="n">
        <v>2</v>
      </c>
      <c r="Z19" t="n">
        <v>10.25</v>
      </c>
      <c r="AA19" t="n">
        <v>10.25</v>
      </c>
      <c r="AB19" t="n">
        <v>0</v>
      </c>
      <c r="AC19" t="n">
        <v>10</v>
      </c>
      <c r="AD19" t="n">
        <v>2</v>
      </c>
    </row>
    <row r="20">
      <c r="A20" t="inlineStr">
        <is>
          <t>Barley</t>
        </is>
      </c>
      <c r="B20" t="inlineStr">
        <is>
          <t>4 bushels by estimation in 44 sheaves delivered to the reapers of 32 acres, at 2 sheaves an acre.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</v>
      </c>
      <c r="Z20" t="n">
        <v>0.5</v>
      </c>
      <c r="AA20" t="n">
        <v>0.5</v>
      </c>
      <c r="AB20" t="n">
        <v>0</v>
      </c>
      <c r="AC20" t="n">
        <v>0</v>
      </c>
      <c r="AD20" t="n">
        <v>4</v>
      </c>
    </row>
    <row r="21">
      <c r="A21" t="inlineStr">
        <is>
          <t>Barley</t>
        </is>
      </c>
      <c r="B21" t="inlineStr">
        <is>
          <t>3 quarters bought.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</v>
      </c>
      <c r="I21" t="n">
        <v>0</v>
      </c>
      <c r="J21" t="n">
        <v>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3</v>
      </c>
      <c r="Y21" t="n">
        <v>0</v>
      </c>
      <c r="Z21" t="n">
        <v>3</v>
      </c>
      <c r="AA21" t="n">
        <v>3</v>
      </c>
      <c r="AB21" t="n">
        <v>0</v>
      </c>
      <c r="AC21" t="n">
        <v>3</v>
      </c>
      <c r="AD21" t="n">
        <v>0</v>
      </c>
    </row>
    <row r="22">
      <c r="A22" t="inlineStr">
        <is>
          <t>Barley</t>
        </is>
      </c>
      <c r="B22" t="inlineStr">
        <is>
          <t>Total, 13 quarters 6 bushels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13</v>
      </c>
      <c r="Y22" t="n">
        <v>6</v>
      </c>
      <c r="Z22" t="n">
        <v>13.75</v>
      </c>
      <c r="AA22" t="n">
        <v>13.75</v>
      </c>
      <c r="AB22" t="n">
        <v>0</v>
      </c>
      <c r="AC22" t="n">
        <v>13</v>
      </c>
      <c r="AD22" t="n">
        <v>6</v>
      </c>
    </row>
    <row r="23">
      <c r="A23" t="inlineStr">
        <is>
          <t>Barley</t>
        </is>
      </c>
      <c r="B23" t="inlineStr">
        <is>
          <t>Sown over 35 acres as they lie in the field of Legh', 8.5 quarters 1 bushels.</t>
        </is>
      </c>
      <c r="C23" t="n">
        <v>0</v>
      </c>
      <c r="D23" t="n">
        <v>0</v>
      </c>
      <c r="E23" t="n">
        <v>8.5</v>
      </c>
      <c r="F23" t="n">
        <v>1</v>
      </c>
      <c r="G23" t="n">
        <v>8.625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8.5</v>
      </c>
      <c r="Y23" t="n">
        <v>1</v>
      </c>
      <c r="Z23" t="n">
        <v>8.625</v>
      </c>
      <c r="AA23" t="n">
        <v>8.625</v>
      </c>
      <c r="AB23" t="n">
        <v>0</v>
      </c>
      <c r="AC23" t="n">
        <v>8.5</v>
      </c>
      <c r="AD23" t="n">
        <v>1</v>
      </c>
    </row>
    <row r="24">
      <c r="A24" t="inlineStr">
        <is>
          <t>Barley</t>
        </is>
      </c>
      <c r="B24" t="inlineStr">
        <is>
          <t>that is, 2 bushels an  acre, less 1 bushels in all.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n">
        <v>0.125</v>
      </c>
      <c r="AA24" t="n">
        <v>0.25</v>
      </c>
      <c r="AB24" t="n">
        <v>-0.125</v>
      </c>
      <c r="AC24" t="n">
        <v>0</v>
      </c>
      <c r="AD24" t="n">
        <v>2</v>
      </c>
      <c r="AE24" t="n">
        <v>0</v>
      </c>
      <c r="AF24" t="n">
        <v>1</v>
      </c>
    </row>
    <row r="25">
      <c r="A25" t="inlineStr">
        <is>
          <t>Barley</t>
        </is>
      </c>
      <c r="B25" t="inlineStr">
        <is>
          <t>Delivered to the reapers by estimation in 44 sheaves, 4 bushels Sold, 4 quarters 5 bushels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</v>
      </c>
      <c r="R25" t="n">
        <v>5</v>
      </c>
      <c r="S25" t="n">
        <v>4.625</v>
      </c>
      <c r="T25" t="n">
        <v>0</v>
      </c>
      <c r="U25" t="n">
        <v>0</v>
      </c>
      <c r="V25" t="n">
        <v>0</v>
      </c>
      <c r="W25" t="n">
        <v>0</v>
      </c>
      <c r="X25" t="n">
        <v>4</v>
      </c>
      <c r="Y25" t="n">
        <v>5</v>
      </c>
      <c r="Z25" t="n">
        <v>4.625</v>
      </c>
      <c r="AA25" t="n">
        <v>0.5</v>
      </c>
      <c r="AB25" t="n">
        <v>4.125</v>
      </c>
      <c r="AC25" t="n">
        <v>0</v>
      </c>
      <c r="AD25" t="n">
        <v>4</v>
      </c>
      <c r="AE25" t="n">
        <v>4</v>
      </c>
      <c r="AF25" t="n">
        <v>5</v>
      </c>
    </row>
    <row r="26">
      <c r="A26" t="inlineStr">
        <is>
          <t>Barley</t>
        </is>
      </c>
      <c r="B26" t="inlineStr">
        <is>
          <t>Total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</row>
    <row r="27">
      <c r="A27" t="inlineStr">
        <is>
          <t>Oats</t>
        </is>
      </c>
      <c r="B27" t="inlineStr">
        <is>
          <t>{yield: two-fold plus 17 quarters 1 bushels)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17</v>
      </c>
      <c r="Y27" t="n">
        <v>1</v>
      </c>
      <c r="Z27" t="n">
        <v>17.125</v>
      </c>
      <c r="AA27" t="n">
        <v>17.125</v>
      </c>
      <c r="AB27" t="n">
        <v>0</v>
      </c>
      <c r="AC27" t="n">
        <v>17</v>
      </c>
      <c r="AD27" t="n">
        <v>1</v>
      </c>
    </row>
    <row r="28">
      <c r="A28" t="inlineStr">
        <is>
          <t>Oats</t>
        </is>
      </c>
      <c r="B28" t="inlineStr">
        <is>
          <t>The same render account for 154 quarters 3 bushels from the whole issue of oats by struck measure.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154</v>
      </c>
      <c r="U28" t="n">
        <v>3</v>
      </c>
      <c r="V28" t="n">
        <v>154.375</v>
      </c>
      <c r="W28" t="n">
        <v>0</v>
      </c>
      <c r="X28" t="n">
        <v>154</v>
      </c>
      <c r="Y28" t="n">
        <v>3</v>
      </c>
      <c r="Z28" t="n">
        <v>154.375</v>
      </c>
      <c r="AA28" t="n">
        <v>154.375</v>
      </c>
      <c r="AB28" t="n">
        <v>0</v>
      </c>
      <c r="AC28" t="n">
        <v>154</v>
      </c>
      <c r="AD28" t="n">
        <v>3</v>
      </c>
    </row>
    <row r="29">
      <c r="A29" t="inlineStr">
        <is>
          <t>Oats</t>
        </is>
      </c>
      <c r="B29" t="inlineStr">
        <is>
          <t>24 quarters by estimation in sheaves given to oxen.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</v>
      </c>
      <c r="Y29" t="n">
        <v>0</v>
      </c>
      <c r="Z29" t="n">
        <v>24</v>
      </c>
      <c r="AA29" t="n">
        <v>24</v>
      </c>
      <c r="AB29" t="n">
        <v>0</v>
      </c>
      <c r="AC29" t="n">
        <v>24</v>
      </c>
      <c r="AD29" t="n">
        <v>0</v>
      </c>
    </row>
    <row r="30">
      <c r="A30" t="inlineStr">
        <is>
          <t>Oats</t>
        </is>
      </c>
      <c r="B30" t="inlineStr">
        <is>
          <t>2 bushels by estimation in 1.5 acres delivered to the hayward according to custom.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</v>
      </c>
      <c r="Z30" t="n">
        <v>0.25</v>
      </c>
      <c r="AA30" t="n">
        <v>0.25</v>
      </c>
      <c r="AB30" t="n">
        <v>0</v>
      </c>
      <c r="AC30" t="n">
        <v>0</v>
      </c>
      <c r="AD30" t="n">
        <v>2</v>
      </c>
    </row>
    <row r="31">
      <c r="A31" t="inlineStr">
        <is>
          <t>Oats</t>
        </is>
      </c>
      <c r="B31" t="inlineStr">
        <is>
          <t>2.5 quarters by estimation in 366 sheaves delivered to the reapers of 183 acres, at 2 sheaves an acre.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2.5</v>
      </c>
      <c r="Y31" t="n">
        <v>0</v>
      </c>
      <c r="Z31" t="n">
        <v>2.5</v>
      </c>
      <c r="AA31" t="n">
        <v>2.5</v>
      </c>
      <c r="AB31" t="n">
        <v>0</v>
      </c>
      <c r="AC31" t="n">
        <v>2.5</v>
      </c>
      <c r="AD31" t="n">
        <v>0</v>
      </c>
    </row>
    <row r="32">
      <c r="A32" t="inlineStr">
        <is>
          <t>Oats</t>
        </is>
      </c>
      <c r="B32" t="inlineStr">
        <is>
          <t>Total, 181 quarters 1 bushels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181</v>
      </c>
      <c r="Y32" t="n">
        <v>1</v>
      </c>
      <c r="Z32" t="n">
        <v>181.125</v>
      </c>
      <c r="AA32" t="n">
        <v>181.125</v>
      </c>
      <c r="AB32" t="n">
        <v>0</v>
      </c>
      <c r="AC32" t="n">
        <v>181</v>
      </c>
      <c r="AD32" t="n">
        <v>1</v>
      </c>
    </row>
    <row r="33">
      <c r="A33" t="inlineStr">
        <is>
          <t>Oats</t>
        </is>
      </c>
      <c r="B33" t="inlineStr">
        <is>
          <t>Sown over 364 acres as they lie in the fields of Ligh', Hareberd and la Nywelond', 90 quarters 7 bushels.</t>
        </is>
      </c>
      <c r="C33" t="n">
        <v>0</v>
      </c>
      <c r="D33" t="n">
        <v>0</v>
      </c>
      <c r="E33" t="n">
        <v>90</v>
      </c>
      <c r="F33" t="n">
        <v>7</v>
      </c>
      <c r="G33" t="n">
        <v>90.875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90</v>
      </c>
      <c r="Y33" t="n">
        <v>7</v>
      </c>
      <c r="Z33" t="n">
        <v>90.875</v>
      </c>
      <c r="AA33" t="n">
        <v>90.875</v>
      </c>
      <c r="AB33" t="n">
        <v>0</v>
      </c>
      <c r="AC33" t="n">
        <v>90</v>
      </c>
      <c r="AD33" t="n">
        <v>7</v>
      </c>
    </row>
    <row r="34">
      <c r="A34" t="inlineStr">
        <is>
          <t>Oats</t>
        </is>
      </c>
      <c r="B34" t="inlineStr">
        <is>
          <t>that is, 2 bushels an acre, less 1 bushels in all.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n">
        <v>0.125</v>
      </c>
      <c r="AA34" t="n">
        <v>0.25</v>
      </c>
      <c r="AB34" t="n">
        <v>-0.125</v>
      </c>
      <c r="AC34" t="n">
        <v>0</v>
      </c>
      <c r="AD34" t="n">
        <v>2</v>
      </c>
      <c r="AE34" t="n">
        <v>0</v>
      </c>
      <c r="AF34" t="n">
        <v>1</v>
      </c>
    </row>
    <row r="35">
      <c r="A35" t="inlineStr">
        <is>
          <t>Oats</t>
        </is>
      </c>
      <c r="B35" t="inlineStr">
        <is>
          <t>.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</row>
    <row r="36">
      <c r="A36" t="inlineStr">
        <is>
          <t>Oats</t>
        </is>
      </c>
      <c r="B36" t="inlineStr">
        <is>
          <t>.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</row>
    <row r="37">
      <c r="A37" t="inlineStr">
        <is>
          <t>Oats</t>
        </is>
      </c>
      <c r="B37" t="inlineStr">
        <is>
          <t>.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</row>
    <row r="38">
      <c r="A38" t="inlineStr">
        <is>
          <t>Oats</t>
        </is>
      </c>
      <c r="B38" t="inlineStr">
        <is>
          <t>.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inlineStr">
        <is>
          <t>Oats</t>
        </is>
      </c>
      <c r="B39" t="inlineStr">
        <is>
          <t>customary payment to the hayward, 1 bushels.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n">
        <v>0.125</v>
      </c>
      <c r="AA39" t="n">
        <v>0.125</v>
      </c>
      <c r="AB39" t="n">
        <v>0</v>
      </c>
      <c r="AC39" t="n">
        <v>0</v>
      </c>
      <c r="AD39" t="n">
        <v>1</v>
      </c>
    </row>
    <row r="40">
      <c r="A40" t="inlineStr">
        <is>
          <t>Oats</t>
        </is>
      </c>
      <c r="B40" t="inlineStr">
        <is>
          <t>fodder of 2 cart-horses at sowing-time, 6.5 quarters.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6.5</v>
      </c>
      <c r="O40" t="n">
        <v>0</v>
      </c>
      <c r="P40" t="n">
        <v>6.5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6.5</v>
      </c>
      <c r="Y40" t="n">
        <v>0</v>
      </c>
      <c r="Z40" t="n">
        <v>6.5</v>
      </c>
      <c r="AA40" t="n">
        <v>6.5</v>
      </c>
      <c r="AB40" t="n">
        <v>0</v>
      </c>
      <c r="AC40" t="n">
        <v>6.5</v>
      </c>
      <c r="AD40" t="n">
        <v>0</v>
      </c>
    </row>
    <row r="41">
      <c r="A41" t="inlineStr">
        <is>
          <t>Oats</t>
        </is>
      </c>
      <c r="B41" t="inlineStr">
        <is>
          <t>.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</row>
    <row r="42">
      <c r="A42" t="inlineStr">
        <is>
          <t>Oats</t>
        </is>
      </c>
      <c r="B42" t="inlineStr">
        <is>
          <t>.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</row>
    <row r="43">
      <c r="A43" t="inlineStr">
        <is>
          <t>Oats</t>
        </is>
      </c>
      <c r="B43" t="inlineStr">
        <is>
          <t>.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inlineStr">
        <is>
          <t>Oats</t>
        </is>
      </c>
      <c r="B44" t="inlineStr">
        <is>
          <t>.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</row>
    <row r="45">
      <c r="A45" t="inlineStr">
        <is>
          <t>Oats</t>
        </is>
      </c>
      <c r="B45" t="inlineStr">
        <is>
          <t>fodder of horses harrowing at both sowings, 4 quarters 5 bushels.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4</v>
      </c>
      <c r="O45" t="n">
        <v>5</v>
      </c>
      <c r="P45" t="n">
        <v>4.625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4</v>
      </c>
      <c r="Y45" t="n">
        <v>5</v>
      </c>
      <c r="Z45" t="n">
        <v>4.625</v>
      </c>
      <c r="AA45" t="n">
        <v>4.625</v>
      </c>
      <c r="AB45" t="n">
        <v>0</v>
      </c>
      <c r="AC45" t="n">
        <v>4</v>
      </c>
      <c r="AD45" t="n">
        <v>5</v>
      </c>
    </row>
    <row r="46">
      <c r="A46" t="inlineStr">
        <is>
          <t>Oats</t>
        </is>
      </c>
      <c r="B46" t="inlineStr">
        <is>
          <t>supporting oxen by estimation in sheaves, 24 quarters.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24</v>
      </c>
      <c r="Y46" t="n">
        <v>0</v>
      </c>
      <c r="Z46" t="n">
        <v>24</v>
      </c>
      <c r="AA46" t="n">
        <v>24</v>
      </c>
      <c r="AB46" t="n">
        <v>0</v>
      </c>
      <c r="AC46" t="n">
        <v>24</v>
      </c>
      <c r="AD46" t="n">
        <v>0</v>
      </c>
    </row>
    <row r="47">
      <c r="A47" t="inlineStr">
        <is>
          <t>Oats</t>
        </is>
      </c>
      <c r="B47" t="inlineStr">
        <is>
          <t>.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</row>
    <row r="48">
      <c r="A48" t="inlineStr">
        <is>
          <t>Oats</t>
        </is>
      </c>
      <c r="B48" t="inlineStr">
        <is>
          <t>.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</row>
    <row r="49">
      <c r="A49" t="inlineStr">
        <is>
          <t>Oats</t>
        </is>
      </c>
      <c r="B49" t="inlineStr">
        <is>
          <t>.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</row>
    <row r="50">
      <c r="A50" t="inlineStr">
        <is>
          <t>Oats</t>
        </is>
      </c>
      <c r="B50" t="inlineStr">
        <is>
          <t>.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</row>
    <row r="51">
      <c r="A51" t="inlineStr">
        <is>
          <t>Oats</t>
        </is>
      </c>
      <c r="B51" t="inlineStr">
        <is>
          <t>fodder of the bailiff's horses, 12.5 quarters, because he took the rest at Ecchinswell.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12.5</v>
      </c>
      <c r="O51" t="n">
        <v>0</v>
      </c>
      <c r="P51" t="n">
        <v>12.5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12.5</v>
      </c>
      <c r="Y51" t="n">
        <v>0</v>
      </c>
      <c r="Z51" t="n">
        <v>12.5</v>
      </c>
      <c r="AA51" t="n">
        <v>12.5</v>
      </c>
      <c r="AB51" t="n">
        <v>0</v>
      </c>
      <c r="AC51" t="n">
        <v>12.5</v>
      </c>
      <c r="AD51" t="n">
        <v>0</v>
      </c>
    </row>
    <row r="52">
      <c r="A52" t="inlineStr">
        <is>
          <t>Oats</t>
        </is>
      </c>
      <c r="B52" t="inlineStr">
        <is>
          <t>.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</row>
    <row r="53">
      <c r="A53" t="inlineStr">
        <is>
          <t>Oats</t>
        </is>
      </c>
      <c r="B53" t="inlineStr">
        <is>
          <t>.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</row>
    <row r="54">
      <c r="A54" t="inlineStr">
        <is>
          <t>Oats</t>
        </is>
      </c>
      <c r="B54" t="inlineStr">
        <is>
          <t>.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</row>
    <row r="55">
      <c r="A55" t="inlineStr">
        <is>
          <t>Oats</t>
        </is>
      </c>
      <c r="B55" t="inlineStr">
        <is>
          <t>.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</row>
    <row r="56">
      <c r="A56" t="inlineStr">
        <is>
          <t>Oats</t>
        </is>
      </c>
      <c r="B56" t="inlineStr">
        <is>
          <t>customary payment to the hayward in 1.5 acres, 2 bushels Delivered to the reapers by estimation in 366 sheaves, 2.5 quarters.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2.5</v>
      </c>
      <c r="Y56" t="n">
        <v>2</v>
      </c>
      <c r="Z56" t="n">
        <v>2.75</v>
      </c>
      <c r="AA56" t="n">
        <v>0.25</v>
      </c>
      <c r="AB56" t="n">
        <v>2.5</v>
      </c>
      <c r="AC56" t="n">
        <v>0</v>
      </c>
      <c r="AD56" t="n">
        <v>2</v>
      </c>
      <c r="AE56" t="n">
        <v>2.5</v>
      </c>
      <c r="AF56" t="n">
        <v>0</v>
      </c>
    </row>
    <row r="57">
      <c r="A57" t="inlineStr">
        <is>
          <t>Oats</t>
        </is>
      </c>
      <c r="B57" t="inlineStr">
        <is>
          <t>Sold, 39 quarters 6 bushels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39</v>
      </c>
      <c r="R57" t="n">
        <v>6</v>
      </c>
      <c r="S57" t="n">
        <v>39.75</v>
      </c>
      <c r="T57" t="n">
        <v>0</v>
      </c>
      <c r="U57" t="n">
        <v>0</v>
      </c>
      <c r="V57" t="n">
        <v>0</v>
      </c>
      <c r="W57" t="n">
        <v>0</v>
      </c>
      <c r="X57" t="n">
        <v>39</v>
      </c>
      <c r="Y57" t="n">
        <v>6</v>
      </c>
      <c r="Z57" t="n">
        <v>39.75</v>
      </c>
      <c r="AA57" t="n">
        <v>39.75</v>
      </c>
      <c r="AB57" t="n">
        <v>0</v>
      </c>
      <c r="AC57" t="n">
        <v>39</v>
      </c>
      <c r="AD57" t="n">
        <v>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"/>
  <sheetViews>
    <sheetView topLeftCell="A1" workbookViewId="0">
      <selection activeCell="A1" sqref="A1"/>
    </sheetView>
  </sheetViews>
  <sheetFormatPr baseColWidth="8" defaultRowHeight="15"/>
  <sheetData>
    <row r="1">
      <c r="A1" s="1" t="inlineStr">
        <is>
          <t>Heading</t>
        </is>
      </c>
      <c r="B1" s="1" t="inlineStr">
        <is>
          <t>Sentence</t>
        </is>
      </c>
      <c r="C1" s="1" t="inlineStr">
        <is>
          <t>Total in Pounds</t>
        </is>
      </c>
      <c r="D1" s="1" t="inlineStr">
        <is>
          <t>Pounds</t>
        </is>
      </c>
      <c r="E1" s="1" t="inlineStr">
        <is>
          <t>Shillings</t>
        </is>
      </c>
      <c r="F1" s="1" t="inlineStr">
        <is>
          <t>Pence</t>
        </is>
      </c>
      <c r="G1" s="1" t="inlineStr">
        <is>
          <t>Corn</t>
        </is>
      </c>
      <c r="H1" s="1" t="inlineStr">
        <is>
          <t>Total Quarters Except 1</t>
        </is>
      </c>
      <c r="I1" s="1" t="inlineStr">
        <is>
          <t>Total Bushels Except 1</t>
        </is>
      </c>
      <c r="J1" s="1" t="inlineStr">
        <is>
          <t>Total Corn Cross-Check</t>
        </is>
      </c>
      <c r="K1" s="1" t="inlineStr">
        <is>
          <t>Total Corn Manorial Account</t>
        </is>
      </c>
      <c r="L1" s="1" t="inlineStr">
        <is>
          <t>Corn Quantity Error</t>
        </is>
      </c>
      <c r="M1" s="1" t="inlineStr">
        <is>
          <t>Quarters 0</t>
        </is>
      </c>
      <c r="N1" s="1" t="inlineStr">
        <is>
          <t>Bushels 0</t>
        </is>
      </c>
      <c r="O1" s="1" t="inlineStr">
        <is>
          <t>shilling a quarter 1</t>
        </is>
      </c>
      <c r="P1" s="1" t="inlineStr">
        <is>
          <t>pence a quarter 1</t>
        </is>
      </c>
      <c r="Q1" s="1" t="inlineStr">
        <is>
          <t>Quarters 1</t>
        </is>
      </c>
      <c r="R1" s="1" t="inlineStr">
        <is>
          <t>Bushels 1</t>
        </is>
      </c>
      <c r="S1" s="1" t="inlineStr">
        <is>
          <t>shilling a quarter 2</t>
        </is>
      </c>
      <c r="T1" s="1" t="inlineStr">
        <is>
          <t>pence a quarter 2</t>
        </is>
      </c>
      <c r="U1" s="1" t="inlineStr">
        <is>
          <t>Quarters 2</t>
        </is>
      </c>
      <c r="V1" s="1" t="inlineStr">
        <is>
          <t>Bushels 2</t>
        </is>
      </c>
      <c r="W1" s="1" t="inlineStr">
        <is>
          <t>shilling a quarter 3</t>
        </is>
      </c>
      <c r="X1" s="1" t="inlineStr">
        <is>
          <t>pence a quarter 3</t>
        </is>
      </c>
      <c r="Y1" s="1" t="inlineStr">
        <is>
          <t>shilling a quarter 4</t>
        </is>
      </c>
      <c r="Z1" s="1" t="inlineStr">
        <is>
          <t>pence a quarter 4</t>
        </is>
      </c>
      <c r="AA1" s="1" t="inlineStr">
        <is>
          <t>£ a quarter 1</t>
        </is>
      </c>
      <c r="AB1" s="1" t="inlineStr">
        <is>
          <t>£ a quarter 2</t>
        </is>
      </c>
      <c r="AC1" s="1" t="inlineStr">
        <is>
          <t>£ a quarter 3</t>
        </is>
      </c>
      <c r="AD1" s="1" t="inlineStr">
        <is>
          <t>£ a quarter 4</t>
        </is>
      </c>
      <c r="AE1" s="1" t="inlineStr">
        <is>
          <t>Quarters Sold</t>
        </is>
      </c>
      <c r="AF1" s="1" t="inlineStr">
        <is>
          <t>Weighted Average Price per Quarter</t>
        </is>
      </c>
      <c r="AG1" s="1" t="inlineStr">
        <is>
          <t>Non-Weighted Average Price per Quarter</t>
        </is>
      </c>
      <c r="AH1" s="1" t="inlineStr">
        <is>
          <t>Corn lowercase</t>
        </is>
      </c>
    </row>
    <row r="2">
      <c r="A2" t="inlineStr">
        <is>
          <t>Sale of corn</t>
        </is>
      </c>
      <c r="B2" t="inlineStr">
        <is>
          <t>The same render account for £30 3 shilling 4pence from 90.5 quarters of wheat sold, at 6 shilling 8pence a quarters.</t>
        </is>
      </c>
      <c r="C2" t="n">
        <v>30.17</v>
      </c>
      <c r="D2" t="n">
        <v>30</v>
      </c>
      <c r="E2" t="n">
        <v>3</v>
      </c>
      <c r="F2" t="n">
        <v>4</v>
      </c>
      <c r="G2" t="inlineStr">
        <is>
          <t>wheat</t>
        </is>
      </c>
      <c r="H2" t="n">
        <v>90.5</v>
      </c>
      <c r="I2" t="n">
        <v>0</v>
      </c>
      <c r="J2" t="n">
        <v>90.5</v>
      </c>
      <c r="K2" t="n">
        <v>90.5</v>
      </c>
      <c r="L2" t="n">
        <v>0</v>
      </c>
      <c r="M2" t="n">
        <v>90.5</v>
      </c>
      <c r="N2" t="n">
        <v>0</v>
      </c>
      <c r="O2" t="n">
        <v>6</v>
      </c>
      <c r="P2" t="n">
        <v>8</v>
      </c>
      <c r="AA2" t="n">
        <v>0.3333333333333333</v>
      </c>
      <c r="AE2" t="n">
        <v>90.5</v>
      </c>
      <c r="AF2" t="n">
        <v>0.3333333333333333</v>
      </c>
      <c r="AG2" t="n">
        <v>0.3333333333333333</v>
      </c>
      <c r="AH2" t="inlineStr">
        <is>
          <t>wheat</t>
        </is>
      </c>
    </row>
    <row r="3">
      <c r="A3" t="inlineStr">
        <is>
          <t>Sale of corn</t>
        </is>
      </c>
      <c r="B3" t="inlineStr">
        <is>
          <t>£5 7 shilling 6pence from 26 quarters 7 bushels of bere sold, at 4 shilling a quarters.</t>
        </is>
      </c>
      <c r="C3" t="n">
        <v>5.38</v>
      </c>
      <c r="D3" t="n">
        <v>5</v>
      </c>
      <c r="E3" t="n">
        <v>7</v>
      </c>
      <c r="F3" t="n">
        <v>6</v>
      </c>
      <c r="H3" t="n">
        <v>26</v>
      </c>
      <c r="I3" t="n">
        <v>7</v>
      </c>
      <c r="J3" t="n">
        <v>26.875</v>
      </c>
      <c r="K3" t="n">
        <v>26.875</v>
      </c>
      <c r="L3" t="n">
        <v>0</v>
      </c>
      <c r="M3" t="n">
        <v>26</v>
      </c>
      <c r="N3" t="n">
        <v>7</v>
      </c>
      <c r="O3" t="n">
        <v>4</v>
      </c>
      <c r="P3" t="n">
        <v>0</v>
      </c>
      <c r="AA3" t="n">
        <v>0.2</v>
      </c>
      <c r="AE3" t="n">
        <v>26.875</v>
      </c>
      <c r="AF3" t="n">
        <v>0.2</v>
      </c>
      <c r="AG3" t="n">
        <v>0.2</v>
      </c>
    </row>
    <row r="4">
      <c r="A4" t="inlineStr">
        <is>
          <t>Sale of corn</t>
        </is>
      </c>
      <c r="B4" t="inlineStr">
        <is>
          <t>18 shilling 6pence from 4 quarters 5 bushels of barley sold, at 4 shilling a quarters.</t>
        </is>
      </c>
      <c r="C4" t="n">
        <v>0.93</v>
      </c>
      <c r="D4" t="n">
        <v>0</v>
      </c>
      <c r="E4" t="n">
        <v>18</v>
      </c>
      <c r="F4" t="n">
        <v>6</v>
      </c>
      <c r="G4" t="inlineStr">
        <is>
          <t>barley</t>
        </is>
      </c>
      <c r="H4" t="n">
        <v>4</v>
      </c>
      <c r="I4" t="n">
        <v>5</v>
      </c>
      <c r="J4" t="n">
        <v>4.625</v>
      </c>
      <c r="K4" t="n">
        <v>4.625</v>
      </c>
      <c r="L4" t="n">
        <v>0</v>
      </c>
      <c r="M4" t="n">
        <v>4</v>
      </c>
      <c r="N4" t="n">
        <v>5</v>
      </c>
      <c r="O4" t="n">
        <v>4</v>
      </c>
      <c r="P4" t="n">
        <v>0</v>
      </c>
      <c r="AA4" t="n">
        <v>0.2</v>
      </c>
      <c r="AE4" t="n">
        <v>4.625</v>
      </c>
      <c r="AF4" t="n">
        <v>0.2</v>
      </c>
      <c r="AG4" t="n">
        <v>0.2</v>
      </c>
      <c r="AH4" t="inlineStr">
        <is>
          <t>barley</t>
        </is>
      </c>
    </row>
    <row r="5">
      <c r="A5" t="inlineStr">
        <is>
          <t>Sale of corn</t>
        </is>
      </c>
      <c r="B5" t="inlineStr">
        <is>
          <t>£4 12 shilling 10.5pence from 39 quarters 6 bushels of oats sold, at 2 shilling a quarters for 13 quarters, and 2 shilling 6pence a quarters for 26 quarters 6 bushels Total of all corn sold, £41 2 shilling 2.5pence</t>
        </is>
      </c>
      <c r="C5" t="n">
        <v>4.64</v>
      </c>
      <c r="D5" t="n">
        <v>4</v>
      </c>
      <c r="E5" t="n">
        <v>12</v>
      </c>
      <c r="F5" t="n">
        <v>10.5</v>
      </c>
      <c r="G5" t="inlineStr">
        <is>
          <t>oats</t>
        </is>
      </c>
      <c r="H5" t="n">
        <v>39</v>
      </c>
      <c r="I5" t="n">
        <v>6</v>
      </c>
      <c r="J5" t="n">
        <v>39.75</v>
      </c>
      <c r="K5" t="n">
        <v>39.75</v>
      </c>
      <c r="L5" t="n">
        <v>0</v>
      </c>
      <c r="M5" t="n">
        <v>39</v>
      </c>
      <c r="N5" t="n">
        <v>6</v>
      </c>
      <c r="O5" t="n">
        <v>2</v>
      </c>
      <c r="P5" t="n">
        <v>0</v>
      </c>
      <c r="Q5" t="n">
        <v>13</v>
      </c>
      <c r="R5" t="n">
        <v>0</v>
      </c>
      <c r="S5" t="n">
        <v>2</v>
      </c>
      <c r="T5" t="n">
        <v>6</v>
      </c>
      <c r="U5" t="n">
        <v>26</v>
      </c>
      <c r="V5" t="n">
        <v>6</v>
      </c>
      <c r="AA5" t="n">
        <v>0.1</v>
      </c>
      <c r="AB5" t="n">
        <v>0.125</v>
      </c>
      <c r="AE5" t="n">
        <v>39.75</v>
      </c>
      <c r="AF5" t="n">
        <v>0.1168238993710692</v>
      </c>
      <c r="AG5" t="n">
        <v>0.1125</v>
      </c>
      <c r="AH5" t="inlineStr">
        <is>
          <t>oats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2024-09-06T15:22:17Z</dcterms:created>
  <dcterms:modified xmlns:dcterms="http://purl.org/dc/terms/" xmlns:xsi="http://www.w3.org/2001/XMLSchema-instance" xsi:type="dcterms:W3CDTF">2025-12-18T10:16:55Z</dcterms:modified>
  <cp:lastModifiedBy>Kowalski, Kuba</cp:lastModifiedBy>
</cp:coreProperties>
</file>
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Upton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Upton Overview" sheetId="6" state="visible" r:id="rId6"/>
    <sheet xmlns:r="http://schemas.openxmlformats.org/officeDocument/2006/relationships" name="Upton Receipts" sheetId="7" state="visible" r:id="rId7"/>
    <sheet xmlns:r="http://schemas.openxmlformats.org/officeDocument/2006/relationships" name="Upton Expenses" sheetId="8" state="visible" r:id="rId8"/>
    <sheet xmlns:r="http://schemas.openxmlformats.org/officeDocument/2006/relationships" name="Issues of the Grange" sheetId="9" state="visible" r:id="rId9"/>
    <sheet xmlns:r="http://schemas.openxmlformats.org/officeDocument/2006/relationships" name="Stock" sheetId="10" state="visible" r:id="rId10"/>
    <sheet xmlns:r="http://schemas.openxmlformats.org/officeDocument/2006/relationships" name="Assumptions" sheetId="11" state="visible" r:id="rId11"/>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rgb="FF000000"/>
      <sz val="14"/>
      <scheme val="minor"/>
    </font>
    <font>
      <name val="Calibri"/>
      <family val="2"/>
      <color rgb="FF000000"/>
      <sz val="14"/>
      <scheme val="minor"/>
    </font>
    <font>
      <name val="Calibri"/>
      <family val="2"/>
      <b val="1"/>
      <color rgb="FFFF0000"/>
      <sz val="14"/>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FFEDEDED"/>
        <bgColor rgb="FF000000"/>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1">
    <xf numFmtId="0" fontId="0" fillId="0" borderId="0"/>
  </cellStyleXfs>
  <cellXfs count="192">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16" fillId="0" borderId="0" pivotButton="0" quotePrefix="0" xfId="0"/>
    <xf numFmtId="0" fontId="16" fillId="2" borderId="0" pivotButton="0" quotePrefix="0" xfId="0"/>
    <xf numFmtId="2" fontId="16" fillId="2" borderId="0" pivotButton="0" quotePrefix="0" xfId="0"/>
    <xf numFmtId="2" fontId="17" fillId="2" borderId="0" pivotButton="0" quotePrefix="0" xfId="0"/>
    <xf numFmtId="4" fontId="8" fillId="0" borderId="0" pivotButton="0" quotePrefix="0" xfId="0"/>
    <xf numFmtId="2" fontId="16" fillId="11" borderId="0" pivotButton="0" quotePrefix="0" xfId="0"/>
    <xf numFmtId="0" fontId="13" fillId="2" borderId="0" applyAlignment="1" pivotButton="0" quotePrefix="0" xfId="0">
      <alignment horizontal="center"/>
    </xf>
    <xf numFmtId="4" fontId="13" fillId="0" borderId="0" applyAlignment="1" pivotButton="0" quotePrefix="0" xfId="0">
      <alignment horizontal="right"/>
    </xf>
    <xf numFmtId="0" fontId="13" fillId="0" borderId="0" applyAlignment="1" pivotButton="0" quotePrefix="0" xfId="0">
      <alignment horizontal="right"/>
    </xf>
    <xf numFmtId="2" fontId="9" fillId="0" borderId="0" pivotButton="0" quotePrefix="0" xfId="0"/>
    <xf numFmtId="0" fontId="13" fillId="0" borderId="0" applyAlignment="1" pivotButton="0" quotePrefix="0" xfId="0">
      <alignment horizontal="right" wrapText="1"/>
    </xf>
    <xf numFmtId="2" fontId="13" fillId="0" borderId="0" applyAlignment="1" pivotButton="0" quotePrefix="0" xfId="0">
      <alignment wrapText="1"/>
    </xf>
    <xf numFmtId="0" fontId="13" fillId="2" borderId="0" applyAlignment="1" pivotButton="0" quotePrefix="0" xfId="0">
      <alignment horizontal="right"/>
    </xf>
    <xf numFmtId="2" fontId="13" fillId="2" borderId="0" applyAlignment="1" pivotButton="0" quotePrefix="0" xfId="0">
      <alignment horizontal="right"/>
    </xf>
    <xf numFmtId="0" fontId="6" fillId="5" borderId="15" pivotButton="0" quotePrefix="0" xfId="0"/>
    <xf numFmtId="0" fontId="6" fillId="5" borderId="16" pivotButton="0" quotePrefix="0" xfId="0"/>
    <xf numFmtId="0" fontId="6" fillId="0" borderId="10" pivotButton="0" quotePrefix="0" xfId="0"/>
    <xf numFmtId="2" fontId="8" fillId="0" borderId="0" pivotButton="0" quotePrefix="0" xfId="0"/>
    <xf numFmtId="9" fontId="16" fillId="0" borderId="0" pivotButton="0" quotePrefix="0" xfId="0"/>
    <xf numFmtId="10" fontId="6" fillId="0" borderId="0" pivotButton="0" quotePrefix="0" xfId="0"/>
    <xf numFmtId="10" fontId="6" fillId="0" borderId="12" pivotButton="0" quotePrefix="0" xfId="0"/>
    <xf numFmtId="0" fontId="6" fillId="0" borderId="12" pivotButton="0" quotePrefix="0" xfId="0"/>
    <xf numFmtId="0" fontId="6" fillId="0" borderId="13" pivotButton="0" quotePrefix="0" xfId="0"/>
    <xf numFmtId="4" fontId="6" fillId="0" borderId="0" pivotButton="0" quotePrefix="0" xfId="0"/>
    <xf numFmtId="0" fontId="27" fillId="0" borderId="0" pivotButton="0" quotePrefix="0" xfId="0"/>
    <xf numFmtId="4" fontId="9" fillId="0" borderId="0" pivotButton="0" quotePrefix="0" xfId="0"/>
    <xf numFmtId="166" fontId="16" fillId="0" borderId="0" pivotButton="0" quotePrefix="0" xfId="0"/>
    <xf numFmtId="166" fontId="13" fillId="0" borderId="0"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xf>
    <xf numFmtId="0" fontId="6" fillId="7" borderId="0" pivotButton="0" quotePrefix="0" xfId="0"/>
    <xf numFmtId="0" fontId="6" fillId="3" borderId="0" pivotButton="0" quotePrefix="0" xfId="0"/>
    <xf numFmtId="0" fontId="6" fillId="3" borderId="3" pivotButton="0" quotePrefix="0" xfId="0"/>
    <xf numFmtId="0" fontId="6" fillId="8" borderId="0" pivotButton="0" quotePrefix="0" xfId="0"/>
    <xf numFmtId="0" fontId="6" fillId="0" borderId="3" applyAlignment="1" pivotButton="0" quotePrefix="0" xfId="0">
      <alignment horizontal="right"/>
    </xf>
    <xf numFmtId="0" fontId="6" fillId="0" borderId="4" applyAlignment="1" pivotButton="0" quotePrefix="0" xfId="0">
      <alignment horizontal="right"/>
    </xf>
    <xf numFmtId="0" fontId="6" fillId="0" borderId="5" applyAlignment="1" pivotButton="0" quotePrefix="0" xfId="0">
      <alignment horizontal="right"/>
    </xf>
    <xf numFmtId="0" fontId="6" fillId="0" borderId="4" applyAlignment="1" pivotButton="0" quotePrefix="0" xfId="0">
      <alignment horizontal="center"/>
    </xf>
    <xf numFmtId="0" fontId="6" fillId="0" borderId="4" pivotButton="0" quotePrefix="0" xfId="0"/>
    <xf numFmtId="2" fontId="6" fillId="0" borderId="17" pivotButton="0" quotePrefix="0" xfId="0"/>
    <xf numFmtId="0" fontId="6" fillId="0" borderId="3" pivotButton="0" quotePrefix="0" xfId="0"/>
    <xf numFmtId="2" fontId="6" fillId="0" borderId="3" pivotButton="0" quotePrefix="0" xfId="0"/>
    <xf numFmtId="0" fontId="6" fillId="6" borderId="0" pivotButton="0" quotePrefix="0" xfId="0"/>
    <xf numFmtId="0" fontId="6" fillId="0" borderId="0" applyAlignment="1" pivotButton="0" quotePrefix="0" xfId="0">
      <alignment horizontal="right" wrapText="1"/>
    </xf>
    <xf numFmtId="0" fontId="6" fillId="0" borderId="0" applyAlignment="1" pivotButton="0" quotePrefix="0" xfId="0">
      <alignment horizontal="center" wrapText="1"/>
    </xf>
    <xf numFmtId="0" fontId="6" fillId="0" borderId="3" applyAlignment="1" pivotButton="0" quotePrefix="0" xfId="0">
      <alignment horizontal="center" wrapText="1"/>
    </xf>
    <xf numFmtId="4" fontId="6" fillId="0" borderId="0" applyAlignment="1" pivotButton="0" quotePrefix="0" xfId="0">
      <alignment horizontal="right" wrapText="1"/>
    </xf>
    <xf numFmtId="4" fontId="6" fillId="0" borderId="0" applyAlignment="1" pivotButton="0" quotePrefix="0" xfId="0">
      <alignment horizontal="right"/>
    </xf>
    <xf numFmtId="166" fontId="6" fillId="0" borderId="0" pivotButton="0" quotePrefix="0" xfId="0"/>
    <xf numFmtId="0" fontId="13" fillId="0" borderId="0" applyAlignment="1" pivotButton="0" quotePrefix="0" xfId="0">
      <alignment wrapText="1"/>
    </xf>
    <xf numFmtId="2" fontId="13" fillId="0" borderId="0" applyAlignment="1" pivotButton="0" quotePrefix="0" xfId="0">
      <alignment horizontal="right" wrapText="1"/>
    </xf>
    <xf numFmtId="2" fontId="16" fillId="0" borderId="0" applyAlignment="1" pivotButton="0" quotePrefix="0" xfId="0">
      <alignment horizontal="right" wrapText="1"/>
    </xf>
    <xf numFmtId="0" fontId="16" fillId="0" borderId="0" applyAlignment="1" pivotButton="0" quotePrefix="0" xfId="0">
      <alignment horizontal="right" wrapText="1"/>
    </xf>
    <xf numFmtId="0" fontId="16" fillId="8" borderId="0" pivotButton="0" quotePrefix="0" xfId="0"/>
    <xf numFmtId="0" fontId="13" fillId="8" borderId="0" applyAlignment="1" pivotButton="0" quotePrefix="0" xfId="0">
      <alignment horizontal="right" wrapText="1"/>
    </xf>
    <xf numFmtId="2" fontId="16" fillId="8" borderId="0" pivotButton="0" quotePrefix="0" xfId="0"/>
    <xf numFmtId="0" fontId="17" fillId="0" borderId="0" pivotButton="0" quotePrefix="0" xfId="0"/>
    <xf numFmtId="4" fontId="16" fillId="0" borderId="0" pivotButton="0" quotePrefix="0" xfId="0"/>
    <xf numFmtId="4" fontId="16" fillId="0" borderId="0" applyAlignment="1" pivotButton="0" quotePrefix="0" xfId="0">
      <alignment horizontal="righ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6" authorId="0" shapeId="0">
      <text>
        <t xml:space="preserve">Victoria Gierok:
from Issue of the grange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UPTON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5.154166666666667</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23</v>
      </c>
      <c r="F62" s="13" t="n"/>
    </row>
    <row r="63">
      <c r="A63" s="76" t="inlineStr">
        <is>
          <t>Rye</t>
        </is>
      </c>
      <c r="F63" s="13" t="n"/>
    </row>
    <row r="64">
      <c r="A64" s="76" t="inlineStr">
        <is>
          <t>Dredge</t>
        </is>
      </c>
      <c r="F64" s="13" t="n"/>
    </row>
    <row r="65">
      <c r="A65" s="76" t="inlineStr">
        <is>
          <t>Curall</t>
        </is>
      </c>
      <c r="B65" t="n">
        <v>6</v>
      </c>
      <c r="F65" s="13" t="n"/>
    </row>
    <row r="66">
      <c r="A66" s="76" t="inlineStr">
        <is>
          <t>Barley</t>
        </is>
      </c>
      <c r="B66" t="n">
        <v>34.5</v>
      </c>
      <c r="F66" s="13" t="n"/>
    </row>
    <row r="67">
      <c r="A67" s="76" t="inlineStr">
        <is>
          <t>Oats</t>
        </is>
      </c>
      <c r="B67" t="n">
        <v>32</v>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v>16</v>
      </c>
      <c r="C88" s="76" t="n">
        <v>0.7416666666666666</v>
      </c>
      <c r="D88" s="76" t="n">
        <v>-15.25833333333333</v>
      </c>
      <c r="F88" s="84">
        <f>'Stock'!K5*'Stock'!O5</f>
        <v/>
      </c>
      <c r="G88" s="84">
        <f>D88*'Stock'!O5</f>
        <v/>
      </c>
    </row>
    <row r="89">
      <c r="A89" s="15" t="inlineStr">
        <is>
          <t>Plough horses</t>
        </is>
      </c>
      <c r="B89" s="76" t="n">
        <v>2</v>
      </c>
      <c r="C89" s="76" t="n"/>
      <c r="D89" s="76">
        <f>C89-B89</f>
        <v/>
      </c>
      <c r="F89" s="84">
        <f>'Stock'!K6*'Stock'!O6</f>
        <v/>
      </c>
      <c r="G89" s="84">
        <f>D89*'Stock'!O6</f>
        <v/>
      </c>
    </row>
    <row r="90">
      <c r="A90" s="15" t="inlineStr">
        <is>
          <t>Colts (2 years)</t>
        </is>
      </c>
      <c r="B90" s="76" t="n"/>
      <c r="C90" s="76" t="n"/>
      <c r="D90" s="76">
        <f>C90-B90</f>
        <v/>
      </c>
      <c r="F90" s="84">
        <f>'Stock'!K8*'Stock'!O8</f>
        <v/>
      </c>
      <c r="G90" s="84">
        <f>D90*'Stock'!O8</f>
        <v/>
      </c>
    </row>
    <row r="91">
      <c r="A91" s="15" t="inlineStr">
        <is>
          <t>Colts (2 years)</t>
        </is>
      </c>
      <c r="B91" s="76" t="n"/>
      <c r="C91" s="76" t="n"/>
      <c r="D91" s="76">
        <f>C91-B91</f>
        <v/>
      </c>
      <c r="F91" s="84">
        <f>'Stock'!K8*'Stock'!O8</f>
        <v/>
      </c>
      <c r="G91" s="84">
        <f>D91*'Stock'!O8</f>
        <v/>
      </c>
    </row>
    <row r="92">
      <c r="A92" s="15" t="inlineStr">
        <is>
          <t>Colts (1 year)</t>
        </is>
      </c>
      <c r="B92" s="76" t="n"/>
      <c r="C92" s="76" t="n"/>
      <c r="D92" s="76">
        <f>C92-B92</f>
        <v/>
      </c>
      <c r="F92" s="84">
        <f>'Stock'!K9*'Stock'!O9</f>
        <v/>
      </c>
      <c r="G92" s="84">
        <f>D92*'Stock'!O9</f>
        <v/>
      </c>
    </row>
    <row r="93">
      <c r="A93" s="15" t="inlineStr">
        <is>
          <t>Foals</t>
        </is>
      </c>
      <c r="B93" s="76" t="n"/>
      <c r="C93" s="76" t="n"/>
      <c r="D93" s="76">
        <f>C93-B93</f>
        <v/>
      </c>
      <c r="F93" s="84">
        <f>'Stock'!K10*'Stock'!O10</f>
        <v/>
      </c>
      <c r="G93" s="84">
        <f>D93*'Stock'!O10</f>
        <v/>
      </c>
    </row>
    <row r="94">
      <c r="A94" s="15" t="inlineStr">
        <is>
          <t>Oxen</t>
        </is>
      </c>
      <c r="B94" s="76" t="n"/>
      <c r="C94" s="76" t="n"/>
      <c r="D94" s="76">
        <f>C94-B94</f>
        <v/>
      </c>
      <c r="F94" s="84">
        <f>'Stock'!K11*'Stock'!O11</f>
        <v/>
      </c>
      <c r="G94" s="84">
        <f>D94*'Stock'!O11</f>
        <v/>
      </c>
    </row>
    <row r="95">
      <c r="A95" s="15" t="inlineStr">
        <is>
          <t>Bulls</t>
        </is>
      </c>
      <c r="B95" s="76" t="n"/>
      <c r="C95" s="76" t="n"/>
      <c r="D95" s="76">
        <f>C95-B95</f>
        <v/>
      </c>
      <c r="F95" s="84">
        <f>'Stock'!K12*'Stock'!O12</f>
        <v/>
      </c>
      <c r="G95" s="84">
        <f>D95*'Stock'!O12</f>
        <v/>
      </c>
    </row>
    <row r="96">
      <c r="A96" s="15" t="inlineStr">
        <is>
          <t>Cows</t>
        </is>
      </c>
      <c r="B96" s="76" t="n"/>
      <c r="C96" s="76" t="n"/>
      <c r="D96" s="76">
        <f>C96-B96</f>
        <v/>
      </c>
      <c r="F96" s="84">
        <f>'Stock'!K13*'Stock'!O13</f>
        <v/>
      </c>
      <c r="G96" s="84">
        <f>D96*'Stock'!O13</f>
        <v/>
      </c>
    </row>
    <row r="97">
      <c r="A97" s="15" t="inlineStr">
        <is>
          <t>Steers</t>
        </is>
      </c>
      <c r="B97" s="76" t="n"/>
      <c r="C97" s="76" t="n"/>
      <c r="D97" s="76">
        <f>C97-B97</f>
        <v/>
      </c>
      <c r="F97" s="84">
        <f>'Stock'!K14*'Stock'!O14</f>
        <v/>
      </c>
      <c r="G97" s="84">
        <f>D97*'Stock'!O14</f>
        <v/>
      </c>
    </row>
    <row r="98">
      <c r="A98" s="15" t="inlineStr">
        <is>
          <t>Bullocks</t>
        </is>
      </c>
      <c r="B98" s="76" t="n"/>
      <c r="C98" s="76" t="n"/>
      <c r="D98" s="76">
        <f>C98-B98</f>
        <v/>
      </c>
      <c r="F98" s="84">
        <f>'Stock'!K15*'Stock'!O15</f>
        <v/>
      </c>
      <c r="G98" s="84">
        <f>D98*'Stock'!O15</f>
        <v/>
      </c>
    </row>
    <row r="99">
      <c r="A99" s="15" t="inlineStr">
        <is>
          <t>Yearlings</t>
        </is>
      </c>
      <c r="B99" s="76" t="n"/>
      <c r="C99" s="76" t="n"/>
      <c r="D99" s="76">
        <f>C99-B99</f>
        <v/>
      </c>
      <c r="F99" s="84">
        <f>'Stock'!K16*'Stock'!O16</f>
        <v/>
      </c>
      <c r="G99" s="84">
        <f>D99*'Stock'!O16</f>
        <v/>
      </c>
    </row>
    <row r="100">
      <c r="A100" s="15" t="inlineStr">
        <is>
          <t>Calves</t>
        </is>
      </c>
      <c r="B100" s="76" t="n"/>
      <c r="C100" s="76" t="n"/>
      <c r="D100" s="76">
        <f>C100-B100</f>
        <v/>
      </c>
      <c r="F100" s="84">
        <f>'Stock'!K17*'Stock'!O17</f>
        <v/>
      </c>
      <c r="G100" s="84">
        <f>D100*'Stock'!O17</f>
        <v/>
      </c>
    </row>
    <row r="101">
      <c r="A101" s="15" t="inlineStr">
        <is>
          <t>Wethers</t>
        </is>
      </c>
      <c r="B101" s="76" t="n">
        <v>313</v>
      </c>
      <c r="C101" s="76" t="n">
        <v>1.74375</v>
      </c>
      <c r="D101" s="76" t="n">
        <v>-311.25625</v>
      </c>
      <c r="F101" s="84">
        <f>'Stock'!K18*'Stock'!O18</f>
        <v/>
      </c>
      <c r="G101" s="84">
        <f>D101*'Stock'!O18</f>
        <v/>
      </c>
    </row>
    <row r="102">
      <c r="A102" s="15" t="inlineStr">
        <is>
          <t>Rams</t>
        </is>
      </c>
      <c r="B102" s="76" t="n"/>
      <c r="C102" s="76" t="n"/>
      <c r="D102" s="76">
        <f>C102-B102</f>
        <v/>
      </c>
      <c r="F102" s="84">
        <f>'Stock'!K19*'Stock'!O19</f>
        <v/>
      </c>
      <c r="G102" s="84">
        <f>D102*'Stock'!O19</f>
        <v/>
      </c>
    </row>
    <row r="103">
      <c r="A103" s="15" t="inlineStr">
        <is>
          <t>Ewes</t>
        </is>
      </c>
      <c r="B103" s="76" t="n"/>
      <c r="C103" s="76" t="n"/>
      <c r="D103" s="76">
        <f>C103-B103</f>
        <v/>
      </c>
      <c r="F103" s="84">
        <f>'Stock'!K20*'Stock'!O20</f>
        <v/>
      </c>
      <c r="G103" s="84">
        <f>D103*'Stock'!O20</f>
        <v/>
      </c>
    </row>
    <row r="104">
      <c r="A104" s="15" t="inlineStr">
        <is>
          <t>Hoggs</t>
        </is>
      </c>
      <c r="B104" s="76" t="n"/>
      <c r="C104" s="76" t="n"/>
      <c r="D104" s="76">
        <f>C104-B104</f>
        <v/>
      </c>
      <c r="F104" s="84">
        <f>'Stock'!K21*'Stock'!O21</f>
        <v/>
      </c>
      <c r="G104" s="84">
        <f>D104*'Stock'!O21</f>
        <v/>
      </c>
    </row>
    <row r="105">
      <c r="A105" s="15" t="inlineStr">
        <is>
          <t>Lambs</t>
        </is>
      </c>
      <c r="B105" s="76" t="n"/>
      <c r="C105" s="76" t="n"/>
      <c r="D105" s="76">
        <f>C105-B105</f>
        <v/>
      </c>
      <c r="F105" s="84">
        <f>'Stock'!K22*'Stock'!O22</f>
        <v/>
      </c>
      <c r="G105" s="84">
        <f>D105*'Stock'!O22</f>
        <v/>
      </c>
    </row>
    <row r="106">
      <c r="A106" s="15" t="inlineStr">
        <is>
          <t>Boars</t>
        </is>
      </c>
      <c r="B106" s="76" t="n"/>
      <c r="C106" s="76" t="n"/>
      <c r="D106" s="76">
        <f>C106-B106</f>
        <v/>
      </c>
      <c r="F106" s="84">
        <f>'Stock'!K23*'Stock'!O23</f>
        <v/>
      </c>
      <c r="G106" s="84">
        <f>D106*'Stock'!O23</f>
        <v/>
      </c>
    </row>
    <row r="107">
      <c r="A107" s="15" t="inlineStr">
        <is>
          <t>Sows</t>
        </is>
      </c>
      <c r="B107" s="76" t="n"/>
      <c r="C107" s="76" t="n"/>
      <c r="D107" s="76">
        <f>C107-B107</f>
        <v/>
      </c>
      <c r="F107" s="84">
        <f>'Stock'!K24*'Stock'!O24</f>
        <v/>
      </c>
      <c r="G107" s="84">
        <f>D107*'Stock'!O24</f>
        <v/>
      </c>
    </row>
    <row r="108">
      <c r="A108" s="15" t="inlineStr">
        <is>
          <t>Pigs</t>
        </is>
      </c>
      <c r="B108" s="76" t="n"/>
      <c r="C108" s="76" t="n"/>
      <c r="D108" s="76">
        <f>C108-B108</f>
        <v/>
      </c>
      <c r="F108" s="84">
        <f>'Stock'!K25*'Stock'!O25</f>
        <v/>
      </c>
      <c r="G108" s="84">
        <f>D108*'Stock'!O25</f>
        <v/>
      </c>
    </row>
    <row r="109">
      <c r="A109" s="15" t="inlineStr">
        <is>
          <t>Hoggets</t>
        </is>
      </c>
      <c r="B109" s="76" t="n"/>
      <c r="C109" s="76" t="n"/>
      <c r="D109" s="76">
        <f>C109-B109</f>
        <v/>
      </c>
      <c r="F109" s="84">
        <f>'Stock'!K26*'Stock'!O26</f>
        <v/>
      </c>
      <c r="G109" s="84">
        <f>D109*'Stock'!O26</f>
        <v/>
      </c>
    </row>
    <row r="110">
      <c r="A110" s="15" t="inlineStr">
        <is>
          <t>Piglets</t>
        </is>
      </c>
      <c r="B110" s="76" t="n"/>
      <c r="C110" s="76" t="n"/>
      <c r="D110" s="76">
        <f>C110-B110</f>
        <v/>
      </c>
      <c r="F110" s="84">
        <f>'Stock'!K27*'Stock'!O27</f>
        <v/>
      </c>
      <c r="G110" s="84">
        <f>D110*'Stock'!O27</f>
        <v/>
      </c>
    </row>
    <row r="111">
      <c r="A111" s="15" t="inlineStr">
        <is>
          <t>Swans</t>
        </is>
      </c>
      <c r="B111" s="76" t="n"/>
      <c r="C111" s="76" t="n"/>
      <c r="D111" s="76">
        <f>C111-B111</f>
        <v/>
      </c>
      <c r="F111" s="84">
        <f>'Stock'!K28*'Stock'!O28</f>
        <v/>
      </c>
      <c r="G111" s="84">
        <f>D111*'Stock'!O28</f>
        <v/>
      </c>
    </row>
    <row r="112">
      <c r="A112" s="15" t="inlineStr">
        <is>
          <t>Peacocks</t>
        </is>
      </c>
      <c r="B112" s="76" t="n"/>
      <c r="C112" s="76" t="n"/>
      <c r="D112" s="76">
        <f>C112-B112</f>
        <v/>
      </c>
      <c r="F112" s="84">
        <f>'Stock'!K29*'Stock'!O29</f>
        <v/>
      </c>
      <c r="G112" s="84">
        <f>D112*'Stock'!O29</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F119">
        <f>C119*'Stock'!O35</f>
        <v/>
      </c>
    </row>
    <row r="120">
      <c r="A120" s="15" t="inlineStr">
        <is>
          <t>Lamb's wool</t>
        </is>
      </c>
      <c r="F120">
        <f>C120*'Stock'!O36</f>
        <v/>
      </c>
    </row>
    <row r="121">
      <c r="A121" s="15" t="inlineStr">
        <is>
          <t>Wool locks</t>
        </is>
      </c>
      <c r="D121" t="n">
        <v>0.1428571428571428</v>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f>C153*'Stock'!O68</f>
        <v/>
      </c>
    </row>
    <row r="154">
      <c r="A154" s="15" t="inlineStr">
        <is>
          <t>Cocks &amp; hens</t>
        </is>
      </c>
      <c r="B154" s="76" t="n">
        <v>0</v>
      </c>
      <c r="C154" s="76" t="n">
        <v>0</v>
      </c>
      <c r="D154" s="76" t="n">
        <v>0</v>
      </c>
      <c r="F154" s="76">
        <f>C154*'Stock'!O69</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C166*'Stock'!O88</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2"/>
  <sheetViews>
    <sheetView topLeftCell="A1" workbookViewId="0">
      <selection activeCell="A1" sqref="A1"/>
    </sheetView>
  </sheetViews>
  <sheetFormatPr baseColWidth="8" defaultRowHeight="15"/>
  <cols>
    <col width="80" customWidth="1" min="1" max="1"/>
    <col width="30.875" customWidth="1" min="7" max="7"/>
    <col width="29.375" customWidth="1" min="8" max="8"/>
  </cols>
  <sheetData>
    <row r="1" ht="18.95" customHeight="1">
      <c r="A1" s="127" t="inlineStr">
        <is>
          <t>UPTON OVERVIEW</t>
        </is>
      </c>
      <c r="B1" s="128" t="inlineStr">
        <is>
          <t>£</t>
        </is>
      </c>
      <c r="C1" s="129" t="inlineStr">
        <is>
          <t xml:space="preserve">s </t>
        </is>
      </c>
      <c r="D1" s="129" t="inlineStr">
        <is>
          <t>d</t>
        </is>
      </c>
      <c r="E1" s="130" t="n"/>
      <c r="F1" s="130" t="n"/>
      <c r="G1" s="131" t="inlineStr">
        <is>
          <t>Total in £</t>
        </is>
      </c>
      <c r="H1" s="132" t="inlineStr">
        <is>
          <t>Error</t>
        </is>
      </c>
    </row>
    <row r="2">
      <c r="A2" s="15" t="n"/>
      <c r="B2" s="15" t="n"/>
      <c r="C2" s="15" t="n"/>
      <c r="D2" s="15" t="n"/>
      <c r="E2" s="15" t="n"/>
      <c r="F2" s="15" t="n"/>
      <c r="G2" s="133" t="n"/>
      <c r="H2" s="10" t="n"/>
    </row>
    <row r="3">
      <c r="A3" s="8" t="inlineStr">
        <is>
          <t>CASH ACCOUNT</t>
        </is>
      </c>
      <c r="B3" s="15" t="n"/>
      <c r="C3" s="15" t="n"/>
      <c r="D3" s="15" t="n"/>
      <c r="E3" s="15" t="n"/>
      <c r="F3" s="15" t="n"/>
      <c r="G3" s="133" t="n"/>
      <c r="H3" s="10" t="n"/>
    </row>
    <row r="4">
      <c r="A4" s="16" t="inlineStr">
        <is>
          <t>RECEIPTS</t>
        </is>
      </c>
      <c r="B4" s="134" t="n"/>
      <c r="C4" s="134" t="n"/>
      <c r="D4" s="134" t="n"/>
      <c r="E4" s="134" t="n"/>
      <c r="F4" s="134" t="n"/>
      <c r="G4" s="135" t="n"/>
      <c r="H4" s="10" t="n"/>
    </row>
    <row r="5">
      <c r="A5" s="15" t="inlineStr">
        <is>
          <t>Arrears</t>
        </is>
      </c>
      <c r="B5" s="15" t="n"/>
      <c r="C5" s="15" t="n"/>
      <c r="D5" s="15" t="n"/>
      <c r="E5" s="15" t="n"/>
      <c r="F5" s="15" t="n"/>
      <c r="G5" s="133">
        <f>'Upton Receipts'!F5</f>
        <v/>
      </c>
      <c r="H5" s="10" t="n"/>
    </row>
    <row r="6">
      <c r="A6" s="15" t="inlineStr">
        <is>
          <t>Rents of assize</t>
        </is>
      </c>
      <c r="B6" s="15" t="n"/>
      <c r="C6" s="15" t="n"/>
      <c r="D6" s="15" t="n"/>
      <c r="E6" s="15" t="n"/>
      <c r="F6" s="15" t="n"/>
      <c r="G6" s="133">
        <f>'Upton Receipts'!F14</f>
        <v/>
      </c>
      <c r="H6" s="10" t="n"/>
    </row>
    <row r="7">
      <c r="A7" s="15" t="inlineStr">
        <is>
          <t>Quittances</t>
        </is>
      </c>
      <c r="B7" s="15" t="n"/>
      <c r="C7" s="15" t="n"/>
      <c r="D7" s="15" t="n"/>
      <c r="E7" s="15" t="n"/>
      <c r="F7" s="15" t="n"/>
      <c r="G7" s="133">
        <f>'Upton Receipts'!F22</f>
        <v/>
      </c>
      <c r="H7" s="10" t="n"/>
    </row>
    <row r="8">
      <c r="A8" s="15" t="inlineStr">
        <is>
          <t>Defaults of rent</t>
        </is>
      </c>
      <c r="B8" s="15" t="n"/>
      <c r="C8" s="15" t="n"/>
      <c r="D8" s="15" t="n"/>
      <c r="E8" s="15" t="n"/>
      <c r="F8" s="15" t="n"/>
      <c r="G8" s="133">
        <f>'Upton Receipts'!F27</f>
        <v/>
      </c>
      <c r="H8" s="10" t="n"/>
    </row>
    <row r="9">
      <c r="A9" s="15" t="inlineStr">
        <is>
          <t>Annual reconizances</t>
        </is>
      </c>
      <c r="B9" s="15" t="n"/>
      <c r="C9" s="15" t="n"/>
      <c r="D9" s="15" t="n"/>
      <c r="E9" s="15" t="n"/>
      <c r="F9" s="15" t="n"/>
      <c r="G9" s="133" t="n"/>
      <c r="H9" s="10" t="n"/>
    </row>
    <row r="10">
      <c r="A10" s="15" t="inlineStr">
        <is>
          <t>Issues of the Manor</t>
        </is>
      </c>
      <c r="B10" s="15" t="n"/>
      <c r="C10" s="15" t="n"/>
      <c r="D10" s="15" t="n"/>
      <c r="E10" s="15" t="n"/>
      <c r="F10" s="15" t="n"/>
      <c r="G10" s="133">
        <f>'Upton Receipts'!F39</f>
        <v/>
      </c>
      <c r="H10" s="10" t="n"/>
    </row>
    <row r="11">
      <c r="A11" s="15" t="inlineStr">
        <is>
          <t>Sale of corn</t>
        </is>
      </c>
      <c r="B11" s="15" t="n"/>
      <c r="C11" s="15" t="n"/>
      <c r="D11" s="15" t="n"/>
      <c r="E11" s="15" t="n"/>
      <c r="F11" s="15" t="n"/>
      <c r="G11" s="133">
        <f>'Upton Receipts'!F48</f>
        <v/>
      </c>
      <c r="H11" s="10" t="n"/>
    </row>
    <row r="12">
      <c r="A12" s="15" t="inlineStr">
        <is>
          <t>Entry and marriage fines</t>
        </is>
      </c>
      <c r="B12" s="15" t="n"/>
      <c r="C12" s="15" t="n"/>
      <c r="D12" s="15" t="n"/>
      <c r="E12" s="15" t="n"/>
      <c r="F12" s="15" t="n"/>
      <c r="G12" s="133" t="n"/>
      <c r="H12" s="10" t="n"/>
    </row>
    <row r="13">
      <c r="A13" s="15" t="inlineStr">
        <is>
          <t>Pleas &amp; Perquisites</t>
        </is>
      </c>
      <c r="B13" s="15" t="n"/>
      <c r="C13" s="15" t="n"/>
      <c r="D13" s="15" t="n"/>
      <c r="E13" s="15" t="n"/>
      <c r="F13" s="15" t="n"/>
      <c r="G13" s="133">
        <f>'Upton Receipts'!F51</f>
        <v/>
      </c>
      <c r="H13" s="10" t="n"/>
    </row>
    <row r="14">
      <c r="A14" s="17" t="inlineStr">
        <is>
          <t>Sum of the above (incl. arrears)</t>
        </is>
      </c>
      <c r="B14" s="17" t="n"/>
      <c r="C14" s="17" t="n"/>
      <c r="D14" s="17" t="n"/>
      <c r="E14" s="17" t="n"/>
      <c r="F14" s="17" t="n"/>
      <c r="G14" s="136">
        <f>SUM(G5:G13)</f>
        <v/>
      </c>
      <c r="H14" s="10" t="n"/>
    </row>
    <row r="15">
      <c r="A15" s="17" t="inlineStr">
        <is>
          <t>Total recorded in the accounts excl. arrears? (p.10)</t>
        </is>
      </c>
      <c r="B15" s="17" t="n"/>
      <c r="C15" s="17" t="n"/>
      <c r="D15" s="17" t="n"/>
      <c r="E15" s="17" t="n"/>
      <c r="F15" s="17" t="n"/>
      <c r="G15" s="136">
        <f>'Upton Receipts'!F55</f>
        <v/>
      </c>
      <c r="H15" s="137">
        <f>G14-G15</f>
        <v/>
      </c>
      <c r="I15" s="40" t="n"/>
    </row>
    <row r="16">
      <c r="A16" s="17" t="inlineStr">
        <is>
          <t>Total recorded in the accounts incl. arrears? (p.10)</t>
        </is>
      </c>
      <c r="B16" s="17" t="n"/>
      <c r="C16" s="17" t="n"/>
      <c r="D16" s="17" t="n"/>
      <c r="E16" s="17" t="n"/>
      <c r="F16" s="17" t="n"/>
      <c r="G16" s="136" t="inlineStr">
        <is>
          <t>n/a</t>
        </is>
      </c>
      <c r="H16" s="137" t="n"/>
    </row>
    <row r="17">
      <c r="A17" s="15" t="n"/>
      <c r="B17" s="15" t="n"/>
      <c r="C17" s="15" t="n"/>
      <c r="D17" s="15" t="n"/>
      <c r="E17" s="15" t="n"/>
      <c r="F17" s="15" t="n"/>
      <c r="G17" s="133" t="n"/>
      <c r="H17" s="10" t="n"/>
    </row>
    <row r="18">
      <c r="A18" s="16" t="inlineStr">
        <is>
          <t>EXPENSES</t>
        </is>
      </c>
      <c r="B18" s="134" t="n"/>
      <c r="C18" s="134" t="n"/>
      <c r="D18" s="134" t="n"/>
      <c r="E18" s="134" t="n"/>
      <c r="F18" s="134" t="n"/>
      <c r="G18" s="135" t="n"/>
      <c r="H18" s="10" t="n"/>
    </row>
    <row r="19">
      <c r="A19" s="15" t="inlineStr">
        <is>
          <t>Cost of ploughs</t>
        </is>
      </c>
      <c r="B19" s="15" t="n"/>
      <c r="C19" s="15" t="n"/>
      <c r="D19" s="15" t="n"/>
      <c r="E19" s="15" t="n"/>
      <c r="F19" s="15" t="n"/>
      <c r="G19" s="133">
        <f>'Upton Expenses'!F14</f>
        <v/>
      </c>
      <c r="H19" s="10" t="n"/>
    </row>
    <row r="20">
      <c r="A20" s="15" t="inlineStr">
        <is>
          <t>Purchase of corn</t>
        </is>
      </c>
      <c r="B20" s="15" t="n"/>
      <c r="C20" s="15" t="n"/>
      <c r="D20" s="15" t="n"/>
      <c r="E20" s="15" t="n"/>
      <c r="F20" s="15" t="n"/>
      <c r="G20" s="133" t="n"/>
      <c r="H20" s="10" t="n"/>
    </row>
    <row r="21">
      <c r="A21" s="15" t="inlineStr">
        <is>
          <t>Cost of carts and wagons</t>
        </is>
      </c>
      <c r="B21" s="15" t="n"/>
      <c r="C21" s="15" t="n"/>
      <c r="D21" s="15" t="n"/>
      <c r="E21" s="15" t="n"/>
      <c r="F21" s="15" t="n"/>
      <c r="G21" s="133">
        <f>'Upton Expenses'!F25</f>
        <v/>
      </c>
      <c r="H21" s="10" t="n"/>
    </row>
    <row r="22">
      <c r="A22" s="15" t="inlineStr">
        <is>
          <t>Cost of dairy</t>
        </is>
      </c>
      <c r="B22" s="15" t="n"/>
      <c r="C22" s="15" t="n"/>
      <c r="D22" s="15" t="n"/>
      <c r="E22" s="15" t="n"/>
      <c r="F22" s="15" t="n"/>
      <c r="G22" s="133" t="n"/>
      <c r="H22" s="10" t="n"/>
    </row>
    <row r="23">
      <c r="A23" s="15" t="inlineStr">
        <is>
          <t>Purchase of stock</t>
        </is>
      </c>
      <c r="B23" s="15" t="n"/>
      <c r="C23" s="15" t="n"/>
      <c r="D23" s="15" t="n"/>
      <c r="E23" s="15" t="n"/>
      <c r="F23" s="15" t="n"/>
      <c r="G23" s="133" t="n"/>
      <c r="H23" s="10" t="n"/>
    </row>
    <row r="24">
      <c r="A24" s="15" t="inlineStr">
        <is>
          <t>Sheepcote</t>
        </is>
      </c>
      <c r="B24" s="15" t="n"/>
      <c r="C24" s="15" t="n"/>
      <c r="D24" s="15" t="n"/>
      <c r="E24" s="15" t="n"/>
      <c r="F24" s="15" t="n"/>
      <c r="G24" s="133">
        <f>'Upton Expenses'!F32</f>
        <v/>
      </c>
      <c r="H24" s="10" t="n"/>
    </row>
    <row r="25">
      <c r="A25" s="15" t="inlineStr">
        <is>
          <t>Cost of buildings</t>
        </is>
      </c>
      <c r="B25" s="15" t="n"/>
      <c r="C25" s="15" t="n"/>
      <c r="D25" s="15" t="n"/>
      <c r="E25" s="15" t="n"/>
      <c r="F25" s="15" t="n"/>
      <c r="G25" s="133">
        <f>'Upton Expenses'!F44</f>
        <v/>
      </c>
      <c r="H25" s="10" t="n"/>
    </row>
    <row r="26">
      <c r="A26" s="15" t="inlineStr">
        <is>
          <t>Threshing</t>
        </is>
      </c>
      <c r="B26" s="15" t="n"/>
      <c r="C26" s="15" t="n"/>
      <c r="D26" s="15" t="n"/>
      <c r="E26" s="15" t="n"/>
      <c r="F26" s="15" t="n"/>
      <c r="G26" s="133">
        <f>'Upton Expenses'!F53</f>
        <v/>
      </c>
      <c r="H26" s="10" t="n"/>
    </row>
    <row r="27">
      <c r="A27" s="15" t="inlineStr">
        <is>
          <t>Expenses of the harvest</t>
        </is>
      </c>
      <c r="B27" s="15" t="n"/>
      <c r="C27" s="15" t="n"/>
      <c r="D27" s="15" t="n"/>
      <c r="E27" s="15" t="n"/>
      <c r="F27" s="15" t="n"/>
      <c r="G27" s="133">
        <f>'Upton Expenses'!F63</f>
        <v/>
      </c>
      <c r="H27" s="10" t="n"/>
    </row>
    <row r="28">
      <c r="A28" s="15" t="inlineStr">
        <is>
          <t>Stewards expenses</t>
        </is>
      </c>
      <c r="B28" s="15" t="n"/>
      <c r="C28" s="15" t="n"/>
      <c r="D28" s="15" t="n"/>
      <c r="E28" s="15" t="n"/>
      <c r="F28" s="15" t="n"/>
      <c r="G28" s="133" t="n"/>
      <c r="H28" s="10" t="n"/>
    </row>
    <row r="29">
      <c r="A29" s="17" t="inlineStr">
        <is>
          <t>Sum of the above</t>
        </is>
      </c>
      <c r="B29" s="134" t="n"/>
      <c r="C29" s="134" t="n"/>
      <c r="D29" s="134" t="n"/>
      <c r="E29" s="134" t="n"/>
      <c r="F29" s="134" t="n"/>
      <c r="G29" s="135">
        <f>SUM(G19:G28)</f>
        <v/>
      </c>
      <c r="H29" s="10" t="n"/>
    </row>
    <row r="30">
      <c r="A30" s="17" t="inlineStr">
        <is>
          <t>Total of all expenses</t>
        </is>
      </c>
      <c r="B30" s="134" t="n"/>
      <c r="C30" s="134" t="n"/>
      <c r="D30" s="134" t="n"/>
      <c r="E30" s="134" t="n"/>
      <c r="F30" s="134" t="n"/>
      <c r="G30" s="135">
        <f>'Upton Expenses'!F65</f>
        <v/>
      </c>
      <c r="H30" s="137">
        <f>G29-G30</f>
        <v/>
      </c>
    </row>
    <row r="31">
      <c r="A31" s="17" t="inlineStr">
        <is>
          <t>Capital Expenses</t>
        </is>
      </c>
      <c r="B31" s="134" t="n"/>
      <c r="C31" s="134" t="n"/>
      <c r="D31" s="134" t="n"/>
      <c r="E31" s="134" t="n"/>
      <c r="F31" s="134" t="n"/>
      <c r="G31" s="135">
        <f>'Upton Expenses'!F69</f>
        <v/>
      </c>
      <c r="H31" s="10" t="n"/>
    </row>
    <row r="32">
      <c r="A32" s="15" t="n"/>
      <c r="B32" s="15" t="n"/>
      <c r="C32" s="15" t="n"/>
      <c r="D32" s="15" t="n"/>
      <c r="E32" s="15" t="n"/>
      <c r="F32" s="15" t="n"/>
      <c r="G32" s="133" t="n"/>
      <c r="H32" s="10" t="n"/>
    </row>
    <row r="33">
      <c r="A33" s="15" t="inlineStr">
        <is>
          <t>Owed by the reeve</t>
        </is>
      </c>
      <c r="B33" s="15" t="n"/>
      <c r="C33" s="15" t="n"/>
      <c r="D33" s="15" t="n"/>
      <c r="E33" s="15" t="n"/>
      <c r="F33" s="15" t="n"/>
      <c r="G33" s="133">
        <f>'Upton Expenses'!F67</f>
        <v/>
      </c>
      <c r="H33" s="10" t="n"/>
    </row>
    <row r="34">
      <c r="A34" s="15" t="inlineStr">
        <is>
          <t>From accounts</t>
        </is>
      </c>
      <c r="B34" s="15" t="n"/>
      <c r="C34" s="15" t="n"/>
      <c r="D34" s="15" t="n"/>
      <c r="E34" s="15" t="n"/>
      <c r="F34" s="15" t="n"/>
      <c r="G34" s="133" t="n"/>
      <c r="H34" s="137" t="n"/>
    </row>
    <row r="35">
      <c r="A35" s="15" t="n"/>
      <c r="B35" s="15" t="n"/>
      <c r="C35" s="15" t="n"/>
      <c r="D35" s="15" t="n"/>
      <c r="E35" s="15" t="n"/>
      <c r="F35" s="15" t="n"/>
      <c r="G35" s="133" t="n"/>
      <c r="H35" s="10" t="n"/>
    </row>
    <row r="36">
      <c r="A36" s="15" t="inlineStr">
        <is>
          <t>Cash deliveries</t>
        </is>
      </c>
      <c r="B36" s="15" t="n"/>
      <c r="C36" s="15" t="n"/>
      <c r="D36" s="15" t="n"/>
      <c r="E36" s="15" t="n"/>
      <c r="F36" s="15" t="n"/>
      <c r="G36" s="26">
        <f>'Upton Expenses'!F68</f>
        <v/>
      </c>
      <c r="H36" s="10" t="n"/>
    </row>
    <row r="37">
      <c r="A37" s="15" t="inlineStr">
        <is>
          <t>Cash delivers (Hindon Borough)</t>
        </is>
      </c>
      <c r="B37" s="15" t="n"/>
      <c r="C37" s="15" t="n"/>
      <c r="D37" s="15" t="n"/>
      <c r="E37" s="15" t="n"/>
      <c r="F37" s="15" t="n"/>
      <c r="H37" s="10" t="n"/>
    </row>
    <row r="38">
      <c r="A38" s="17" t="inlineStr">
        <is>
          <t>Sum of the above</t>
        </is>
      </c>
      <c r="B38" s="134">
        <f>SUM(B36:B37)</f>
        <v/>
      </c>
      <c r="C38" s="134">
        <f>SUM(C36:C37)</f>
        <v/>
      </c>
      <c r="D38" s="134">
        <f>SUM(D36:D37)</f>
        <v/>
      </c>
      <c r="E38" s="134">
        <f>SUM(E36:E37)</f>
        <v/>
      </c>
      <c r="F38" s="134" t="n"/>
      <c r="G38" s="135">
        <f>SUM(G36:G37)</f>
        <v/>
      </c>
      <c r="H38" s="10" t="n"/>
    </row>
    <row r="39">
      <c r="A39" s="17" t="inlineStr">
        <is>
          <t>Total of all allowances and cash deliveries in accounts</t>
        </is>
      </c>
      <c r="B39" s="134" t="inlineStr">
        <is>
          <t>n/a</t>
        </is>
      </c>
      <c r="C39" s="134" t="n"/>
      <c r="D39" s="134" t="n"/>
      <c r="E39" s="134" t="n"/>
      <c r="F39" s="134" t="n"/>
      <c r="G39" s="138" t="n"/>
      <c r="H39" s="10" t="n"/>
    </row>
    <row r="40">
      <c r="A40" s="15" t="n"/>
      <c r="B40" s="15" t="n"/>
      <c r="C40" s="15" t="n"/>
      <c r="D40" s="15" t="n"/>
      <c r="E40" s="15" t="n"/>
      <c r="F40" s="15" t="n"/>
      <c r="G40" s="133" t="n"/>
      <c r="H40" s="10" t="n"/>
    </row>
    <row r="41">
      <c r="A41" s="15" t="inlineStr">
        <is>
          <t>Net amount owed</t>
        </is>
      </c>
      <c r="B41" s="15" t="n"/>
      <c r="C41" s="15" t="n"/>
      <c r="D41" s="15" t="n"/>
      <c r="E41" s="15" t="n"/>
      <c r="F41" s="15" t="n"/>
      <c r="G41" s="26">
        <f>'Upton Expenses'!F67</f>
        <v/>
      </c>
      <c r="H41" s="10" t="n"/>
    </row>
    <row r="42">
      <c r="A42" s="15" t="inlineStr">
        <is>
          <t>Net amount owed in accounts</t>
        </is>
      </c>
      <c r="B42" s="15" t="n"/>
      <c r="C42" s="15" t="n"/>
      <c r="D42" s="15" t="n"/>
      <c r="E42" s="15" t="n"/>
      <c r="F42" s="15" t="n"/>
      <c r="H42" s="137">
        <f>G41-G42</f>
        <v/>
      </c>
    </row>
    <row r="43">
      <c r="A43" s="15" t="n"/>
      <c r="B43" s="15" t="n"/>
      <c r="C43" s="15" t="n"/>
      <c r="D43" s="15" t="n"/>
      <c r="E43" s="15" t="n"/>
      <c r="F43" s="15" t="n"/>
      <c r="G43" s="133" t="n"/>
      <c r="H43" s="10" t="n"/>
    </row>
    <row r="44">
      <c r="A44" s="16" t="inlineStr">
        <is>
          <t xml:space="preserve">GRANGE ACCOUNT </t>
        </is>
      </c>
      <c r="B44" s="139" t="inlineStr">
        <is>
          <t>Total Production</t>
        </is>
      </c>
      <c r="D44" s="134" t="n"/>
      <c r="E44" s="134" t="n"/>
      <c r="F44" s="134" t="n"/>
      <c r="G44" s="135" t="n"/>
      <c r="H44" s="94" t="n"/>
    </row>
    <row r="45">
      <c r="A45" s="8" t="inlineStr">
        <is>
          <t>Grange</t>
        </is>
      </c>
      <c r="B45" s="140" t="inlineStr">
        <is>
          <t>qrs</t>
        </is>
      </c>
      <c r="C45" s="141" t="inlineStr">
        <is>
          <t>bus</t>
        </is>
      </c>
      <c r="D45" s="15" t="n"/>
      <c r="E45" s="15" t="n"/>
      <c r="F45" s="15" t="n"/>
      <c r="G45" s="142" t="inlineStr">
        <is>
          <t>Value of total gross production in £</t>
        </is>
      </c>
      <c r="H45" s="142" t="inlineStr">
        <is>
          <t>Value of total net production in £</t>
        </is>
      </c>
    </row>
    <row r="46">
      <c r="A46" t="inlineStr">
        <is>
          <t>Wheat</t>
        </is>
      </c>
      <c r="B46" s="15">
        <f>'Issues of the Grange'!B5</f>
        <v/>
      </c>
      <c r="C46" s="15">
        <f>'Issues of the Grange'!C5</f>
        <v/>
      </c>
      <c r="D46" s="15" t="n"/>
      <c r="E46" s="15" t="n"/>
      <c r="F46" s="15" t="n"/>
      <c r="G46" s="133">
        <f>'Issues of the Grange'!P5</f>
        <v/>
      </c>
      <c r="H46" s="26">
        <f>'Issues of the Grange'!M18</f>
        <v/>
      </c>
    </row>
    <row r="47">
      <c r="A47" t="inlineStr">
        <is>
          <t>Curall</t>
        </is>
      </c>
      <c r="B47" s="15">
        <f>'Issues of the Grange'!B6</f>
        <v/>
      </c>
      <c r="C47" s="15">
        <f>'Issues of the Grange'!C6</f>
        <v/>
      </c>
      <c r="D47" s="15" t="n"/>
      <c r="E47" s="15" t="n"/>
      <c r="F47" s="15" t="n"/>
      <c r="G47" s="133">
        <f>'Issues of the Grange'!P6</f>
        <v/>
      </c>
      <c r="H47" s="26">
        <f>'Issues of the Grange'!M19</f>
        <v/>
      </c>
    </row>
    <row r="48">
      <c r="A48" t="inlineStr">
        <is>
          <t>Barley</t>
        </is>
      </c>
      <c r="B48" s="15">
        <f>'Issues of the Grange'!B7</f>
        <v/>
      </c>
      <c r="C48" s="15">
        <f>'Issues of the Grange'!C7</f>
        <v/>
      </c>
      <c r="D48" s="15" t="n"/>
      <c r="E48" s="15" t="n"/>
      <c r="F48" s="15" t="n"/>
      <c r="G48" s="133">
        <f>'Issues of the Grange'!P7</f>
        <v/>
      </c>
      <c r="H48" s="26">
        <f>'Issues of the Grange'!M20</f>
        <v/>
      </c>
    </row>
    <row r="49">
      <c r="A49" t="inlineStr">
        <is>
          <t>Oats</t>
        </is>
      </c>
      <c r="B49" s="15">
        <f>'Issues of the Grange'!B8</f>
        <v/>
      </c>
      <c r="C49" s="15">
        <f>'Issues of the Grange'!C8</f>
        <v/>
      </c>
      <c r="D49" s="15" t="n"/>
      <c r="E49" s="15" t="n"/>
      <c r="F49" s="15" t="n"/>
      <c r="G49" s="133">
        <f>'Issues of the Grange'!P8</f>
        <v/>
      </c>
      <c r="H49" s="26">
        <f>'Issues of the Grange'!M21</f>
        <v/>
      </c>
    </row>
    <row r="50">
      <c r="A50" t="inlineStr">
        <is>
          <t>Peas</t>
        </is>
      </c>
      <c r="B50" s="15">
        <f>'Issues of the Grange'!B9</f>
        <v/>
      </c>
      <c r="C50" s="15">
        <f>'Issues of the Grange'!C9</f>
        <v/>
      </c>
      <c r="D50" s="15" t="n"/>
      <c r="E50" s="15" t="n"/>
      <c r="F50" s="15" t="n"/>
      <c r="G50" s="133">
        <f>'Issues of the Grange'!P9</f>
        <v/>
      </c>
      <c r="H50" s="26">
        <f>'Issues of the Grange'!M22</f>
        <v/>
      </c>
    </row>
    <row r="51">
      <c r="A51" t="inlineStr">
        <is>
          <t>Vetches</t>
        </is>
      </c>
      <c r="B51" s="15">
        <f>'Issues of the Grange'!B10</f>
        <v/>
      </c>
      <c r="C51" s="15">
        <f>'Issues of the Grange'!C10</f>
        <v/>
      </c>
      <c r="D51" s="15" t="n"/>
      <c r="E51" s="15" t="n"/>
      <c r="F51" s="15" t="n"/>
      <c r="G51" s="133">
        <f>'Issues of the Grange'!P10</f>
        <v/>
      </c>
      <c r="H51" s="26">
        <f>'Issues of the Grange'!M23</f>
        <v/>
      </c>
    </row>
    <row r="52">
      <c r="A52" s="17" t="inlineStr">
        <is>
          <t>Total value of gross production (sum of the above)</t>
        </is>
      </c>
      <c r="B52" s="134">
        <f>SUM(B46:B51)</f>
        <v/>
      </c>
      <c r="C52" s="134">
        <f>SUM(C46:C51)</f>
        <v/>
      </c>
      <c r="D52" s="134" t="n"/>
      <c r="E52" s="134" t="n"/>
      <c r="F52" s="134" t="n"/>
      <c r="G52" s="135">
        <f>SUM(G46:G51)</f>
        <v/>
      </c>
      <c r="H52" s="94" t="n"/>
    </row>
    <row r="53">
      <c r="A53" s="17" t="inlineStr">
        <is>
          <t>Total value of net production</t>
        </is>
      </c>
      <c r="B53" s="134" t="n"/>
      <c r="C53" s="134" t="n"/>
      <c r="D53" s="134" t="n"/>
      <c r="E53" s="134" t="n"/>
      <c r="F53" s="134" t="n"/>
      <c r="G53" s="135">
        <f>SUM(H46:H51)</f>
        <v/>
      </c>
      <c r="H53" s="94" t="n"/>
    </row>
    <row r="54">
      <c r="A54" s="17" t="inlineStr">
        <is>
          <t>Value of sales</t>
        </is>
      </c>
      <c r="B54" s="135">
        <f>'Issues of the Grange'!N24</f>
        <v/>
      </c>
      <c r="C54" s="134" t="n"/>
      <c r="D54" s="134" t="n"/>
      <c r="E54" s="134" t="n"/>
      <c r="F54" s="134" t="n"/>
      <c r="G54" s="135">
        <f>'Issues of the Grange'!N24</f>
        <v/>
      </c>
      <c r="H54" s="94" t="n"/>
    </row>
    <row r="55">
      <c r="A55" s="15" t="n"/>
      <c r="B55" s="15" t="n"/>
      <c r="C55" s="15" t="n"/>
      <c r="D55" s="15" t="n"/>
      <c r="E55" s="15" t="n"/>
      <c r="F55" s="15" t="n"/>
      <c r="G55" s="133" t="n"/>
      <c r="H55" s="10" t="n"/>
    </row>
    <row r="56">
      <c r="A56" s="16" t="inlineStr">
        <is>
          <t>MILL ACCOUNT</t>
        </is>
      </c>
      <c r="B56" s="134" t="inlineStr">
        <is>
          <t>n/a</t>
        </is>
      </c>
      <c r="C56" s="134" t="n"/>
      <c r="D56" s="134" t="n"/>
      <c r="E56" s="134" t="n"/>
      <c r="F56" s="134" t="n"/>
      <c r="G56" s="135" t="n"/>
      <c r="H56" s="10" t="n"/>
    </row>
    <row r="57">
      <c r="A57" s="8" t="inlineStr">
        <is>
          <t>Issues of the mill</t>
        </is>
      </c>
      <c r="B57" s="140" t="inlineStr">
        <is>
          <t>qrs</t>
        </is>
      </c>
      <c r="C57" s="141" t="inlineStr">
        <is>
          <t>bus</t>
        </is>
      </c>
      <c r="D57" s="15" t="n"/>
      <c r="E57" s="15" t="n"/>
      <c r="F57" s="15" t="n"/>
      <c r="G57" s="77" t="inlineStr">
        <is>
          <t>£</t>
        </is>
      </c>
      <c r="H57" s="10" t="n"/>
    </row>
    <row r="58">
      <c r="A58" s="15" t="inlineStr">
        <is>
          <t>Wheat</t>
        </is>
      </c>
      <c r="B58" s="15" t="n"/>
      <c r="C58" s="15" t="n"/>
      <c r="D58" s="15" t="n"/>
      <c r="E58" s="15" t="n"/>
      <c r="F58" s="15" t="n"/>
      <c r="G58" s="133" t="n"/>
      <c r="H58" s="10" t="n"/>
    </row>
    <row r="59">
      <c r="A59" s="15" t="inlineStr">
        <is>
          <t>Oatmeal</t>
        </is>
      </c>
      <c r="B59" s="15" t="n"/>
      <c r="C59" s="15" t="n"/>
      <c r="D59" s="15" t="n"/>
      <c r="E59" s="15" t="n"/>
      <c r="F59" s="15" t="n"/>
      <c r="G59" s="133" t="n"/>
      <c r="H59" s="10" t="n"/>
    </row>
    <row r="60">
      <c r="A60" s="15" t="inlineStr">
        <is>
          <t>1st grade malt</t>
        </is>
      </c>
      <c r="B60" s="15" t="n"/>
      <c r="C60" s="15" t="n"/>
      <c r="D60" s="15" t="n"/>
      <c r="E60" s="15" t="n"/>
      <c r="F60" s="15" t="n"/>
      <c r="G60" s="133" t="n"/>
      <c r="H60" s="10" t="n"/>
    </row>
    <row r="61">
      <c r="A61" s="15" t="inlineStr">
        <is>
          <t>2nd grade malt</t>
        </is>
      </c>
      <c r="B61" s="15" t="n"/>
      <c r="C61" s="15" t="n"/>
      <c r="D61" s="15" t="n"/>
      <c r="E61" s="15" t="n"/>
      <c r="F61" s="15" t="n"/>
      <c r="G61" s="133" t="n"/>
      <c r="H61" s="10" t="n"/>
    </row>
    <row r="62">
      <c r="A62" s="15" t="inlineStr">
        <is>
          <t>Maslin</t>
        </is>
      </c>
      <c r="B62" s="15" t="n"/>
      <c r="C62" s="15" t="n"/>
      <c r="D62" s="15" t="n"/>
      <c r="E62" s="15" t="n"/>
      <c r="F62" s="15" t="n"/>
      <c r="G62" s="133" t="n"/>
      <c r="H62" s="10" t="n"/>
    </row>
    <row r="63">
      <c r="A63" s="17" t="inlineStr">
        <is>
          <t>Total value of production (sum of the above)</t>
        </is>
      </c>
      <c r="B63" s="134" t="n"/>
      <c r="C63" s="134" t="n"/>
      <c r="D63" s="134" t="n"/>
      <c r="E63" s="134" t="n"/>
      <c r="F63" s="134" t="n"/>
      <c r="G63" s="135" t="n"/>
      <c r="H63" s="10" t="n"/>
    </row>
    <row r="64">
      <c r="A64" s="17" t="inlineStr">
        <is>
          <t>Value of sales</t>
        </is>
      </c>
      <c r="B64" s="134" t="n"/>
      <c r="C64" s="134" t="n"/>
      <c r="D64" s="134" t="n"/>
      <c r="E64" s="134" t="n"/>
      <c r="F64" s="134" t="n"/>
      <c r="G64" s="135" t="inlineStr">
        <is>
          <t>n/a</t>
        </is>
      </c>
      <c r="H64" s="10" t="n"/>
    </row>
    <row r="65">
      <c r="A65" s="15" t="n"/>
      <c r="B65" s="15" t="n"/>
      <c r="C65" s="15" t="n"/>
      <c r="D65" s="15" t="n"/>
      <c r="E65" s="15" t="n"/>
      <c r="F65" s="15" t="n"/>
      <c r="G65" s="133" t="n"/>
      <c r="H65" s="10" t="n"/>
    </row>
    <row r="66">
      <c r="A66" s="16" t="inlineStr">
        <is>
          <t>STOCK ACCOUNT</t>
        </is>
      </c>
      <c r="B66" s="134" t="n"/>
      <c r="C66" s="134" t="n"/>
      <c r="D66" s="134" t="n"/>
      <c r="E66" s="134" t="n"/>
      <c r="F66" s="134" t="n"/>
      <c r="G66" s="135" t="n"/>
      <c r="H66" s="10" t="n"/>
    </row>
    <row r="67" ht="33.95" customHeight="1">
      <c r="A67" s="8" t="inlineStr">
        <is>
          <t>Livestock</t>
        </is>
      </c>
      <c r="B67" s="143" t="inlineStr">
        <is>
          <t>Inherited stock</t>
        </is>
      </c>
      <c r="C67" s="143" t="inlineStr">
        <is>
          <t>End-period  stock</t>
        </is>
      </c>
      <c r="D67" s="141" t="inlineStr">
        <is>
          <t>Stockbuilding</t>
        </is>
      </c>
      <c r="E67" s="15" t="n"/>
      <c r="F67" s="144" t="inlineStr">
        <is>
          <t>Sales in (£)</t>
        </is>
      </c>
      <c r="G67" s="144" t="inlineStr">
        <is>
          <t>Value of production (£) at sales prices</t>
        </is>
      </c>
      <c r="H67" s="10" t="n"/>
    </row>
    <row r="68" ht="17.1" customHeight="1">
      <c r="A68" s="22" t="inlineStr">
        <is>
          <t>Cart-horses</t>
        </is>
      </c>
      <c r="B68" s="15">
        <f>IFERROR(INDEX(Stock!$A$3:$S$91,MATCH('Upton Overview'!$A68,Stock!$A$3:$A$91,0),MATCH('Upton Overview'!B$67,Stock!$A$3:$S$3,0)),0)</f>
        <v/>
      </c>
      <c r="C68" s="15">
        <f>IFERROR(INDEX(Stock!$A$3:$S$91,MATCH('Upton Overview'!$A68,Stock!$A$3:$A$91,0),MATCH('Upton Overview'!C$67,Stock!$A$3:$S$3,0)),0)</f>
        <v/>
      </c>
      <c r="D68" s="15">
        <f>C68-B68</f>
        <v/>
      </c>
      <c r="E68" s="133" t="n"/>
      <c r="F68" s="15">
        <f>IFERROR(INDEX(Stock!$A$3:$S$91,MATCH('Upton Overview'!$A68,Stock!$A$3:$A$91,0),MATCH('Upton Overview'!F$67,Stock!$A$3:$S$3,0)),0)</f>
        <v/>
      </c>
      <c r="G68" s="15">
        <f>IFERROR(INDEX(Stock!$A$3:$S$91,MATCH('Upton Overview'!$A68,Stock!$A$3:$A$91,0),MATCH('Upton Overview'!G$67,Stock!$A$3:$S$3,0)),0)</f>
        <v/>
      </c>
      <c r="H68" s="10" t="n"/>
    </row>
    <row r="69" ht="17.1" customHeight="1">
      <c r="A69" s="22" t="inlineStr">
        <is>
          <t>Mares</t>
        </is>
      </c>
      <c r="B69" s="15">
        <f>IFERROR(INDEX(Stock!$A$3:$S$91,MATCH('Upton Overview'!$A69,Stock!$A$3:$A$91,0),MATCH('Upton Overview'!B$67,Stock!$A$3:$S$3,0)),0)</f>
        <v/>
      </c>
      <c r="C69" s="15">
        <f>IFERROR(INDEX(Stock!$A$3:$S$91,MATCH('Upton Overview'!$A69,Stock!$A$3:$A$91,0),MATCH('Upton Overview'!C$67,Stock!$A$3:$S$3,0)),0)</f>
        <v/>
      </c>
      <c r="D69" s="15">
        <f>C69-B69</f>
        <v/>
      </c>
      <c r="E69" s="133" t="n"/>
      <c r="F69" s="15">
        <f>IFERROR(INDEX(Stock!$A$3:$S$91,MATCH('Upton Overview'!$A69,Stock!$A$3:$A$91,0),MATCH('Upton Overview'!F$67,Stock!$A$3:$S$3,0)),0)</f>
        <v/>
      </c>
      <c r="G69" s="15">
        <f>IFERROR(INDEX(Stock!$A$3:$S$91,MATCH('Upton Overview'!$A69,Stock!$A$3:$A$91,0),MATCH('Upton Overview'!G$67,Stock!$A$3:$S$3,0)),0)</f>
        <v/>
      </c>
      <c r="H69" s="10" t="n"/>
    </row>
    <row r="70">
      <c r="A70" s="15" t="inlineStr">
        <is>
          <t>Plough horses</t>
        </is>
      </c>
      <c r="B70" s="15">
        <f>IFERROR(INDEX(Stock!$A$3:$S$91,MATCH('Upton Overview'!$A70,Stock!$A$3:$A$91,0),MATCH('Upton Overview'!B$67,Stock!$A$3:$S$3,0)),0)</f>
        <v/>
      </c>
      <c r="C70" s="15">
        <f>IFERROR(INDEX(Stock!$A$3:$S$91,MATCH('Upton Overview'!$A70,Stock!$A$3:$A$91,0),MATCH('Upton Overview'!C$67,Stock!$A$3:$S$3,0)),0)</f>
        <v/>
      </c>
      <c r="D70" s="15">
        <f>C70-B70</f>
        <v/>
      </c>
      <c r="E70" s="133" t="n"/>
      <c r="F70" s="15">
        <f>IFERROR(INDEX(Stock!$A$3:$S$91,MATCH('Upton Overview'!$A70,Stock!$A$3:$A$91,0),MATCH('Upton Overview'!F$67,Stock!$A$3:$S$3,0)),0)</f>
        <v/>
      </c>
      <c r="G70" s="15">
        <f>IFERROR(INDEX(Stock!$A$3:$S$91,MATCH('Upton Overview'!$A70,Stock!$A$3:$A$91,0),MATCH('Upton Overview'!G$67,Stock!$A$3:$S$3,0)),0)</f>
        <v/>
      </c>
      <c r="H70" s="10" t="n"/>
    </row>
    <row r="71">
      <c r="A71" s="15" t="inlineStr">
        <is>
          <t>Colts (2 years)</t>
        </is>
      </c>
      <c r="B71" s="15">
        <f>IFERROR(INDEX(Stock!$A$3:$S$91,MATCH('Upton Overview'!$A71,Stock!$A$3:$A$91,0),MATCH('Upton Overview'!B$67,Stock!$A$3:$S$3,0)),0)</f>
        <v/>
      </c>
      <c r="C71" s="15">
        <f>IFERROR(INDEX(Stock!$A$3:$S$91,MATCH('Upton Overview'!$A71,Stock!$A$3:$A$91,0),MATCH('Upton Overview'!C$67,Stock!$A$3:$S$3,0)),0)</f>
        <v/>
      </c>
      <c r="D71" s="15">
        <f>C71-B71</f>
        <v/>
      </c>
      <c r="E71" s="133" t="n"/>
      <c r="F71" s="15">
        <f>IFERROR(INDEX(Stock!$A$3:$S$91,MATCH('Upton Overview'!$A71,Stock!$A$3:$A$91,0),MATCH('Upton Overview'!F$67,Stock!$A$3:$S$3,0)),0)</f>
        <v/>
      </c>
      <c r="G71" s="15">
        <f>IFERROR(INDEX(Stock!$A$3:$S$91,MATCH('Upton Overview'!$A71,Stock!$A$3:$A$91,0),MATCH('Upton Overview'!G$67,Stock!$A$3:$S$3,0)),0)</f>
        <v/>
      </c>
      <c r="H71" s="10" t="n"/>
    </row>
    <row r="72">
      <c r="A72" s="15" t="inlineStr">
        <is>
          <t>Colts (2 years)</t>
        </is>
      </c>
      <c r="B72" s="15">
        <f>IFERROR(INDEX(Stock!$A$3:$S$91,MATCH('Upton Overview'!$A72,Stock!$A$3:$A$91,0),MATCH('Upton Overview'!B$67,Stock!$A$3:$S$3,0)),0)</f>
        <v/>
      </c>
      <c r="C72" s="15">
        <f>IFERROR(INDEX(Stock!$A$3:$S$91,MATCH('Upton Overview'!$A72,Stock!$A$3:$A$91,0),MATCH('Upton Overview'!C$67,Stock!$A$3:$S$3,0)),0)</f>
        <v/>
      </c>
      <c r="D72" s="15">
        <f>C72-B72</f>
        <v/>
      </c>
      <c r="E72" s="133" t="n"/>
      <c r="F72" s="15">
        <f>IFERROR(INDEX(Stock!$A$3:$S$91,MATCH('Upton Overview'!$A72,Stock!$A$3:$A$91,0),MATCH('Upton Overview'!F$67,Stock!$A$3:$S$3,0)),0)</f>
        <v/>
      </c>
      <c r="G72" s="15">
        <f>IFERROR(INDEX(Stock!$A$3:$S$91,MATCH('Upton Overview'!$A72,Stock!$A$3:$A$91,0),MATCH('Upton Overview'!G$67,Stock!$A$3:$S$3,0)),0)</f>
        <v/>
      </c>
      <c r="H72" s="10" t="n"/>
    </row>
    <row r="73">
      <c r="A73" s="15" t="inlineStr">
        <is>
          <t>Colts (1 year)</t>
        </is>
      </c>
      <c r="B73" s="15">
        <f>IFERROR(INDEX(Stock!$A$3:$S$91,MATCH('Upton Overview'!$A73,Stock!$A$3:$A$91,0),MATCH('Upton Overview'!B$67,Stock!$A$3:$S$3,0)),0)</f>
        <v/>
      </c>
      <c r="C73" s="15">
        <f>IFERROR(INDEX(Stock!$A$3:$S$91,MATCH('Upton Overview'!$A73,Stock!$A$3:$A$91,0),MATCH('Upton Overview'!C$67,Stock!$A$3:$S$3,0)),0)</f>
        <v/>
      </c>
      <c r="D73" s="15">
        <f>C73-B73</f>
        <v/>
      </c>
      <c r="E73" s="133" t="n"/>
      <c r="F73" s="15">
        <f>IFERROR(INDEX(Stock!$A$3:$S$91,MATCH('Upton Overview'!$A73,Stock!$A$3:$A$91,0),MATCH('Upton Overview'!F$67,Stock!$A$3:$S$3,0)),0)</f>
        <v/>
      </c>
      <c r="G73" s="15">
        <f>IFERROR(INDEX(Stock!$A$3:$S$91,MATCH('Upton Overview'!$A73,Stock!$A$3:$A$91,0),MATCH('Upton Overview'!G$67,Stock!$A$3:$S$3,0)),0)</f>
        <v/>
      </c>
      <c r="H73" s="10" t="n"/>
    </row>
    <row r="74">
      <c r="A74" s="15" t="inlineStr">
        <is>
          <t>Foals</t>
        </is>
      </c>
      <c r="B74" s="15">
        <f>IFERROR(INDEX(Stock!$A$3:$S$91,MATCH('Upton Overview'!$A74,Stock!$A$3:$A$91,0),MATCH('Upton Overview'!B$67,Stock!$A$3:$S$3,0)),0)</f>
        <v/>
      </c>
      <c r="C74" s="15">
        <f>IFERROR(INDEX(Stock!$A$3:$S$91,MATCH('Upton Overview'!$A74,Stock!$A$3:$A$91,0),MATCH('Upton Overview'!C$67,Stock!$A$3:$S$3,0)),0)</f>
        <v/>
      </c>
      <c r="D74" s="15">
        <f>C74-B74</f>
        <v/>
      </c>
      <c r="E74" s="133" t="n"/>
      <c r="F74" s="15">
        <f>IFERROR(INDEX(Stock!$A$3:$S$91,MATCH('Upton Overview'!$A74,Stock!$A$3:$A$91,0),MATCH('Upton Overview'!F$67,Stock!$A$3:$S$3,0)),0)</f>
        <v/>
      </c>
      <c r="G74" s="15">
        <f>IFERROR(INDEX(Stock!$A$3:$S$91,MATCH('Upton Overview'!$A74,Stock!$A$3:$A$91,0),MATCH('Upton Overview'!G$67,Stock!$A$3:$S$3,0)),0)</f>
        <v/>
      </c>
      <c r="H74" s="10" t="n"/>
    </row>
    <row r="75">
      <c r="A75" s="15" t="inlineStr">
        <is>
          <t>Oxen</t>
        </is>
      </c>
      <c r="B75" s="15">
        <f>IFERROR(INDEX(Stock!$A$3:$S$91,MATCH('Upton Overview'!$A75,Stock!$A$3:$A$91,0),MATCH('Upton Overview'!B$67,Stock!$A$3:$S$3,0)),0)</f>
        <v/>
      </c>
      <c r="C75" s="15">
        <f>IFERROR(INDEX(Stock!$A$3:$S$91,MATCH('Upton Overview'!$A75,Stock!$A$3:$A$91,0),MATCH('Upton Overview'!C$67,Stock!$A$3:$S$3,0)),0)</f>
        <v/>
      </c>
      <c r="D75" s="15">
        <f>C75-B75</f>
        <v/>
      </c>
      <c r="E75" s="133" t="n"/>
      <c r="F75" s="15">
        <f>IFERROR(INDEX(Stock!$A$3:$S$91,MATCH('Upton Overview'!$A75,Stock!$A$3:$A$91,0),MATCH('Upton Overview'!F$67,Stock!$A$3:$S$3,0)),0)</f>
        <v/>
      </c>
      <c r="G75" s="15">
        <f>IFERROR(INDEX(Stock!$A$3:$S$91,MATCH('Upton Overview'!$A75,Stock!$A$3:$A$91,0),MATCH('Upton Overview'!G$67,Stock!$A$3:$S$3,0)),0)</f>
        <v/>
      </c>
      <c r="H75" s="10" t="n"/>
    </row>
    <row r="76">
      <c r="A76" s="15" t="inlineStr">
        <is>
          <t>Bulls</t>
        </is>
      </c>
      <c r="B76" s="15">
        <f>IFERROR(INDEX(Stock!$A$3:$S$91,MATCH('Upton Overview'!$A76,Stock!$A$3:$A$91,0),MATCH('Upton Overview'!B$67,Stock!$A$3:$S$3,0)),0)</f>
        <v/>
      </c>
      <c r="C76" s="15">
        <f>IFERROR(INDEX(Stock!$A$3:$S$91,MATCH('Upton Overview'!$A76,Stock!$A$3:$A$91,0),MATCH('Upton Overview'!C$67,Stock!$A$3:$S$3,0)),0)</f>
        <v/>
      </c>
      <c r="D76" s="15">
        <f>C76-B76</f>
        <v/>
      </c>
      <c r="E76" s="133" t="n"/>
      <c r="F76" s="15">
        <f>IFERROR(INDEX(Stock!$A$3:$S$91,MATCH('Upton Overview'!$A76,Stock!$A$3:$A$91,0),MATCH('Upton Overview'!F$67,Stock!$A$3:$S$3,0)),0)</f>
        <v/>
      </c>
      <c r="G76" s="15">
        <f>IFERROR(INDEX(Stock!$A$3:$S$91,MATCH('Upton Overview'!$A76,Stock!$A$3:$A$91,0),MATCH('Upton Overview'!G$67,Stock!$A$3:$S$3,0)),0)</f>
        <v/>
      </c>
      <c r="H76" s="10" t="n"/>
    </row>
    <row r="77">
      <c r="A77" s="15" t="inlineStr">
        <is>
          <t>Cows</t>
        </is>
      </c>
      <c r="B77" s="15">
        <f>IFERROR(INDEX(Stock!$A$3:$S$91,MATCH('Upton Overview'!$A77,Stock!$A$3:$A$91,0),MATCH('Upton Overview'!B$67,Stock!$A$3:$S$3,0)),0)</f>
        <v/>
      </c>
      <c r="C77" s="15">
        <f>IFERROR(INDEX(Stock!$A$3:$S$91,MATCH('Upton Overview'!$A77,Stock!$A$3:$A$91,0),MATCH('Upton Overview'!C$67,Stock!$A$3:$S$3,0)),0)</f>
        <v/>
      </c>
      <c r="D77" s="15">
        <f>C77-B77</f>
        <v/>
      </c>
      <c r="E77" s="133" t="n"/>
      <c r="F77" s="15">
        <f>IFERROR(INDEX(Stock!$A$3:$S$91,MATCH('Upton Overview'!$A77,Stock!$A$3:$A$91,0),MATCH('Upton Overview'!F$67,Stock!$A$3:$S$3,0)),0)</f>
        <v/>
      </c>
      <c r="G77" s="15">
        <f>IFERROR(INDEX(Stock!$A$3:$S$91,MATCH('Upton Overview'!$A77,Stock!$A$3:$A$91,0),MATCH('Upton Overview'!G$67,Stock!$A$3:$S$3,0)),0)</f>
        <v/>
      </c>
      <c r="H77" s="10" t="n"/>
    </row>
    <row r="78">
      <c r="A78" s="15" t="inlineStr">
        <is>
          <t>Steers</t>
        </is>
      </c>
      <c r="B78" s="15">
        <f>IFERROR(INDEX(Stock!$A$3:$S$91,MATCH('Upton Overview'!$A78,Stock!$A$3:$A$91,0),MATCH('Upton Overview'!B$67,Stock!$A$3:$S$3,0)),0)</f>
        <v/>
      </c>
      <c r="C78" s="15">
        <f>IFERROR(INDEX(Stock!$A$3:$S$91,MATCH('Upton Overview'!$A78,Stock!$A$3:$A$91,0),MATCH('Upton Overview'!C$67,Stock!$A$3:$S$3,0)),0)</f>
        <v/>
      </c>
      <c r="D78" s="15">
        <f>C78-B78</f>
        <v/>
      </c>
      <c r="E78" s="133" t="n"/>
      <c r="F78" s="15">
        <f>IFERROR(INDEX(Stock!$A$3:$S$91,MATCH('Upton Overview'!$A78,Stock!$A$3:$A$91,0),MATCH('Upton Overview'!F$67,Stock!$A$3:$S$3,0)),0)</f>
        <v/>
      </c>
      <c r="G78" s="15">
        <f>IFERROR(INDEX(Stock!$A$3:$S$91,MATCH('Upton Overview'!$A78,Stock!$A$3:$A$91,0),MATCH('Upton Overview'!G$67,Stock!$A$3:$S$3,0)),0)</f>
        <v/>
      </c>
      <c r="H78" s="10" t="n"/>
    </row>
    <row r="79">
      <c r="A79" s="15" t="inlineStr">
        <is>
          <t>Bullocks</t>
        </is>
      </c>
      <c r="B79" s="15">
        <f>IFERROR(INDEX(Stock!$A$3:$S$91,MATCH('Upton Overview'!$A79,Stock!$A$3:$A$91,0),MATCH('Upton Overview'!B$67,Stock!$A$3:$S$3,0)),0)</f>
        <v/>
      </c>
      <c r="C79" s="15">
        <f>IFERROR(INDEX(Stock!$A$3:$S$91,MATCH('Upton Overview'!$A79,Stock!$A$3:$A$91,0),MATCH('Upton Overview'!C$67,Stock!$A$3:$S$3,0)),0)</f>
        <v/>
      </c>
      <c r="D79" s="15">
        <f>C79-B79</f>
        <v/>
      </c>
      <c r="E79" s="133" t="n"/>
      <c r="F79" s="15">
        <f>IFERROR(INDEX(Stock!$A$3:$S$91,MATCH('Upton Overview'!$A79,Stock!$A$3:$A$91,0),MATCH('Upton Overview'!F$67,Stock!$A$3:$S$3,0)),0)</f>
        <v/>
      </c>
      <c r="G79" s="15">
        <f>IFERROR(INDEX(Stock!$A$3:$S$91,MATCH('Upton Overview'!$A79,Stock!$A$3:$A$91,0),MATCH('Upton Overview'!G$67,Stock!$A$3:$S$3,0)),0)</f>
        <v/>
      </c>
      <c r="H79" s="10" t="n"/>
    </row>
    <row r="80">
      <c r="A80" s="15" t="inlineStr">
        <is>
          <t>Yearlings</t>
        </is>
      </c>
      <c r="B80" s="15">
        <f>IFERROR(INDEX(Stock!$A$3:$S$91,MATCH('Upton Overview'!$A80,Stock!$A$3:$A$91,0),MATCH('Upton Overview'!B$67,Stock!$A$3:$S$3,0)),0)</f>
        <v/>
      </c>
      <c r="C80" s="15">
        <f>IFERROR(INDEX(Stock!$A$3:$S$91,MATCH('Upton Overview'!$A80,Stock!$A$3:$A$91,0),MATCH('Upton Overview'!C$67,Stock!$A$3:$S$3,0)),0)</f>
        <v/>
      </c>
      <c r="D80" s="15">
        <f>C80-B80</f>
        <v/>
      </c>
      <c r="E80" s="133" t="n"/>
      <c r="F80" s="15">
        <f>IFERROR(INDEX(Stock!$A$3:$S$91,MATCH('Upton Overview'!$A80,Stock!$A$3:$A$91,0),MATCH('Upton Overview'!F$67,Stock!$A$3:$S$3,0)),0)</f>
        <v/>
      </c>
      <c r="G80" s="15">
        <f>IFERROR(INDEX(Stock!$A$3:$S$91,MATCH('Upton Overview'!$A80,Stock!$A$3:$A$91,0),MATCH('Upton Overview'!G$67,Stock!$A$3:$S$3,0)),0)</f>
        <v/>
      </c>
      <c r="H80" s="10" t="n"/>
    </row>
    <row r="81">
      <c r="A81" s="15" t="inlineStr">
        <is>
          <t>Calves</t>
        </is>
      </c>
      <c r="B81" s="15">
        <f>IFERROR(INDEX(Stock!$A$3:$S$91,MATCH('Upton Overview'!$A81,Stock!$A$3:$A$91,0),MATCH('Upton Overview'!B$67,Stock!$A$3:$S$3,0)),0)</f>
        <v/>
      </c>
      <c r="C81" s="15">
        <f>IFERROR(INDEX(Stock!$A$3:$S$91,MATCH('Upton Overview'!$A81,Stock!$A$3:$A$91,0),MATCH('Upton Overview'!C$67,Stock!$A$3:$S$3,0)),0)</f>
        <v/>
      </c>
      <c r="D81" s="15">
        <f>C81-B81</f>
        <v/>
      </c>
      <c r="E81" s="133" t="n"/>
      <c r="F81" s="15">
        <f>IFERROR(INDEX(Stock!$A$3:$S$91,MATCH('Upton Overview'!$A81,Stock!$A$3:$A$91,0),MATCH('Upton Overview'!F$67,Stock!$A$3:$S$3,0)),0)</f>
        <v/>
      </c>
      <c r="G81" s="15">
        <f>IFERROR(INDEX(Stock!$A$3:$S$91,MATCH('Upton Overview'!$A81,Stock!$A$3:$A$91,0),MATCH('Upton Overview'!G$67,Stock!$A$3:$S$3,0)),0)</f>
        <v/>
      </c>
      <c r="H81" s="10" t="n"/>
    </row>
    <row r="82">
      <c r="A82" s="15" t="inlineStr">
        <is>
          <t>Wethers</t>
        </is>
      </c>
      <c r="B82" s="15">
        <f>IFERROR(INDEX(Stock!$A$3:$S$91,MATCH('Upton Overview'!$A82,Stock!$A$3:$A$91,0),MATCH('Upton Overview'!B$67,Stock!$A$3:$S$3,0)),0)</f>
        <v/>
      </c>
      <c r="C82" s="15">
        <f>IFERROR(INDEX(Stock!$A$3:$S$91,MATCH('Upton Overview'!$A82,Stock!$A$3:$A$91,0),MATCH('Upton Overview'!C$67,Stock!$A$3:$S$3,0)),0)</f>
        <v/>
      </c>
      <c r="D82" s="15">
        <f>C82-B82</f>
        <v/>
      </c>
      <c r="E82" s="133" t="n"/>
      <c r="F82" s="15">
        <f>IFERROR(INDEX(Stock!$A$3:$S$91,MATCH('Upton Overview'!$A82,Stock!$A$3:$A$91,0),MATCH('Upton Overview'!F$67,Stock!$A$3:$S$3,0)),0)</f>
        <v/>
      </c>
      <c r="G82" s="15">
        <f>IFERROR(INDEX(Stock!$A$3:$S$91,MATCH('Upton Overview'!$A82,Stock!$A$3:$A$91,0),MATCH('Upton Overview'!G$67,Stock!$A$3:$S$3,0)),0)</f>
        <v/>
      </c>
      <c r="H82" s="10" t="n"/>
    </row>
    <row r="83">
      <c r="A83" s="15" t="inlineStr">
        <is>
          <t>Rams</t>
        </is>
      </c>
      <c r="B83" s="15">
        <f>IFERROR(INDEX(Stock!$A$3:$S$91,MATCH('Upton Overview'!$A83,Stock!$A$3:$A$91,0),MATCH('Upton Overview'!B$67,Stock!$A$3:$S$3,0)),0)</f>
        <v/>
      </c>
      <c r="C83" s="15">
        <f>IFERROR(INDEX(Stock!$A$3:$S$91,MATCH('Upton Overview'!$A83,Stock!$A$3:$A$91,0),MATCH('Upton Overview'!C$67,Stock!$A$3:$S$3,0)),0)</f>
        <v/>
      </c>
      <c r="D83" s="15">
        <f>C83-B83</f>
        <v/>
      </c>
      <c r="E83" s="133" t="n"/>
      <c r="F83" s="15">
        <f>IFERROR(INDEX(Stock!$A$3:$S$91,MATCH('Upton Overview'!$A83,Stock!$A$3:$A$91,0),MATCH('Upton Overview'!F$67,Stock!$A$3:$S$3,0)),0)</f>
        <v/>
      </c>
      <c r="G83" s="15">
        <f>IFERROR(INDEX(Stock!$A$3:$S$91,MATCH('Upton Overview'!$A83,Stock!$A$3:$A$91,0),MATCH('Upton Overview'!G$67,Stock!$A$3:$S$3,0)),0)</f>
        <v/>
      </c>
      <c r="H83" s="10" t="n"/>
    </row>
    <row r="84">
      <c r="A84" s="15" t="inlineStr">
        <is>
          <t>Ewes</t>
        </is>
      </c>
      <c r="B84" s="15">
        <f>IFERROR(INDEX(Stock!$A$3:$S$91,MATCH('Upton Overview'!$A84,Stock!$A$3:$A$91,0),MATCH('Upton Overview'!B$67,Stock!$A$3:$S$3,0)),0)</f>
        <v/>
      </c>
      <c r="C84" s="15">
        <f>IFERROR(INDEX(Stock!$A$3:$S$91,MATCH('Upton Overview'!$A84,Stock!$A$3:$A$91,0),MATCH('Upton Overview'!C$67,Stock!$A$3:$S$3,0)),0)</f>
        <v/>
      </c>
      <c r="D84" s="15">
        <f>C84-B84</f>
        <v/>
      </c>
      <c r="E84" s="133" t="n"/>
      <c r="F84" s="15">
        <f>IFERROR(INDEX(Stock!$A$3:$S$91,MATCH('Upton Overview'!$A84,Stock!$A$3:$A$91,0),MATCH('Upton Overview'!F$67,Stock!$A$3:$S$3,0)),0)</f>
        <v/>
      </c>
      <c r="G84" s="15">
        <f>IFERROR(INDEX(Stock!$A$3:$S$91,MATCH('Upton Overview'!$A84,Stock!$A$3:$A$91,0),MATCH('Upton Overview'!G$67,Stock!$A$3:$S$3,0)),0)</f>
        <v/>
      </c>
      <c r="H84" s="10" t="n"/>
    </row>
    <row r="85">
      <c r="A85" s="15" t="inlineStr">
        <is>
          <t>Hoggs</t>
        </is>
      </c>
      <c r="B85" s="15">
        <f>IFERROR(INDEX(Stock!$A$3:$S$91,MATCH('Upton Overview'!$A85,Stock!$A$3:$A$91,0),MATCH('Upton Overview'!B$67,Stock!$A$3:$S$3,0)),0)</f>
        <v/>
      </c>
      <c r="C85" s="15">
        <f>IFERROR(INDEX(Stock!$A$3:$S$91,MATCH('Upton Overview'!$A85,Stock!$A$3:$A$91,0),MATCH('Upton Overview'!C$67,Stock!$A$3:$S$3,0)),0)</f>
        <v/>
      </c>
      <c r="D85" s="15">
        <f>C85-B85</f>
        <v/>
      </c>
      <c r="E85" s="133" t="n"/>
      <c r="F85" s="15">
        <f>IFERROR(INDEX(Stock!$A$3:$S$91,MATCH('Upton Overview'!$A85,Stock!$A$3:$A$91,0),MATCH('Upton Overview'!F$67,Stock!$A$3:$S$3,0)),0)</f>
        <v/>
      </c>
      <c r="G85" s="15">
        <f>IFERROR(INDEX(Stock!$A$3:$S$91,MATCH('Upton Overview'!$A85,Stock!$A$3:$A$91,0),MATCH('Upton Overview'!G$67,Stock!$A$3:$S$3,0)),0)</f>
        <v/>
      </c>
      <c r="H85" s="10" t="n"/>
    </row>
    <row r="86">
      <c r="A86" s="15" t="inlineStr">
        <is>
          <t>Lambs</t>
        </is>
      </c>
      <c r="B86" s="15">
        <f>IFERROR(INDEX(Stock!$A$3:$S$91,MATCH('Upton Overview'!$A86,Stock!$A$3:$A$91,0),MATCH('Upton Overview'!B$67,Stock!$A$3:$S$3,0)),0)</f>
        <v/>
      </c>
      <c r="C86" s="15">
        <f>IFERROR(INDEX(Stock!$A$3:$S$91,MATCH('Upton Overview'!$A86,Stock!$A$3:$A$91,0),MATCH('Upton Overview'!C$67,Stock!$A$3:$S$3,0)),0)</f>
        <v/>
      </c>
      <c r="D86" s="15">
        <f>C86-B86</f>
        <v/>
      </c>
      <c r="E86" s="133" t="n"/>
      <c r="F86" s="15">
        <f>IFERROR(INDEX(Stock!$A$3:$S$91,MATCH('Upton Overview'!$A86,Stock!$A$3:$A$91,0),MATCH('Upton Overview'!F$67,Stock!$A$3:$S$3,0)),0)</f>
        <v/>
      </c>
      <c r="G86" s="15">
        <f>IFERROR(INDEX(Stock!$A$3:$S$91,MATCH('Upton Overview'!$A86,Stock!$A$3:$A$91,0),MATCH('Upton Overview'!G$67,Stock!$A$3:$S$3,0)),0)</f>
        <v/>
      </c>
      <c r="H86" s="10" t="n"/>
    </row>
    <row r="87">
      <c r="A87" s="15" t="inlineStr">
        <is>
          <t>Boars</t>
        </is>
      </c>
      <c r="B87" s="15">
        <f>IFERROR(INDEX(Stock!$A$3:$S$91,MATCH('Upton Overview'!$A87,Stock!$A$3:$A$91,0),MATCH('Upton Overview'!B$67,Stock!$A$3:$S$3,0)),0)</f>
        <v/>
      </c>
      <c r="C87" s="15">
        <f>IFERROR(INDEX(Stock!$A$3:$S$91,MATCH('Upton Overview'!$A87,Stock!$A$3:$A$91,0),MATCH('Upton Overview'!C$67,Stock!$A$3:$S$3,0)),0)</f>
        <v/>
      </c>
      <c r="D87" s="15">
        <f>C87-B87</f>
        <v/>
      </c>
      <c r="E87" s="133" t="n"/>
      <c r="F87" s="15">
        <f>IFERROR(INDEX(Stock!$A$3:$S$91,MATCH('Upton Overview'!$A87,Stock!$A$3:$A$91,0),MATCH('Upton Overview'!F$67,Stock!$A$3:$S$3,0)),0)</f>
        <v/>
      </c>
      <c r="G87" s="15">
        <f>IFERROR(INDEX(Stock!$A$3:$S$91,MATCH('Upton Overview'!$A87,Stock!$A$3:$A$91,0),MATCH('Upton Overview'!G$67,Stock!$A$3:$S$3,0)),0)</f>
        <v/>
      </c>
      <c r="H87" s="10" t="n"/>
    </row>
    <row r="88">
      <c r="A88" s="15" t="inlineStr">
        <is>
          <t>Sows</t>
        </is>
      </c>
      <c r="B88" s="15">
        <f>IFERROR(INDEX(Stock!$A$3:$S$91,MATCH('Upton Overview'!$A88,Stock!$A$3:$A$91,0),MATCH('Upton Overview'!B$67,Stock!$A$3:$S$3,0)),0)</f>
        <v/>
      </c>
      <c r="C88" s="15">
        <f>IFERROR(INDEX(Stock!$A$3:$S$91,MATCH('Upton Overview'!$A88,Stock!$A$3:$A$91,0),MATCH('Upton Overview'!C$67,Stock!$A$3:$S$3,0)),0)</f>
        <v/>
      </c>
      <c r="D88" s="15">
        <f>C88-B88</f>
        <v/>
      </c>
      <c r="E88" s="133" t="n"/>
      <c r="F88" s="15">
        <f>IFERROR(INDEX(Stock!$A$3:$S$91,MATCH('Upton Overview'!$A88,Stock!$A$3:$A$91,0),MATCH('Upton Overview'!F$67,Stock!$A$3:$S$3,0)),0)</f>
        <v/>
      </c>
      <c r="G88" s="15">
        <f>IFERROR(INDEX(Stock!$A$3:$S$91,MATCH('Upton Overview'!$A88,Stock!$A$3:$A$91,0),MATCH('Upton Overview'!G$67,Stock!$A$3:$S$3,0)),0)</f>
        <v/>
      </c>
      <c r="H88" s="10" t="n"/>
    </row>
    <row r="89">
      <c r="A89" s="15" t="inlineStr">
        <is>
          <t>Pigs</t>
        </is>
      </c>
      <c r="B89" s="15">
        <f>IFERROR(INDEX(Stock!$A$3:$S$91,MATCH('Upton Overview'!$A89,Stock!$A$3:$A$91,0),MATCH('Upton Overview'!B$67,Stock!$A$3:$S$3,0)),0)</f>
        <v/>
      </c>
      <c r="C89" s="15">
        <f>IFERROR(INDEX(Stock!$A$3:$S$91,MATCH('Upton Overview'!$A89,Stock!$A$3:$A$91,0),MATCH('Upton Overview'!C$67,Stock!$A$3:$S$3,0)),0)</f>
        <v/>
      </c>
      <c r="D89" s="15">
        <f>C89-B89</f>
        <v/>
      </c>
      <c r="E89" s="133" t="n"/>
      <c r="F89" s="15">
        <f>IFERROR(INDEX(Stock!$A$3:$S$91,MATCH('Upton Overview'!$A89,Stock!$A$3:$A$91,0),MATCH('Upton Overview'!F$67,Stock!$A$3:$S$3,0)),0)</f>
        <v/>
      </c>
      <c r="G89" s="15">
        <f>IFERROR(INDEX(Stock!$A$3:$S$91,MATCH('Upton Overview'!$A89,Stock!$A$3:$A$91,0),MATCH('Upton Overview'!G$67,Stock!$A$3:$S$3,0)),0)</f>
        <v/>
      </c>
      <c r="H89" s="10" t="n"/>
    </row>
    <row r="90">
      <c r="A90" s="15" t="inlineStr">
        <is>
          <t>Hoggets</t>
        </is>
      </c>
      <c r="B90" s="15">
        <f>IFERROR(INDEX(Stock!$A$3:$S$91,MATCH('Upton Overview'!$A90,Stock!$A$3:$A$91,0),MATCH('Upton Overview'!B$67,Stock!$A$3:$S$3,0)),0)</f>
        <v/>
      </c>
      <c r="C90" s="15">
        <f>IFERROR(INDEX(Stock!$A$3:$S$91,MATCH('Upton Overview'!$A90,Stock!$A$3:$A$91,0),MATCH('Upton Overview'!C$67,Stock!$A$3:$S$3,0)),0)</f>
        <v/>
      </c>
      <c r="D90" s="15">
        <f>C90-B90</f>
        <v/>
      </c>
      <c r="E90" s="133" t="n"/>
      <c r="F90" s="15">
        <f>IFERROR(INDEX(Stock!$A$3:$S$91,MATCH('Upton Overview'!$A90,Stock!$A$3:$A$91,0),MATCH('Upton Overview'!F$67,Stock!$A$3:$S$3,0)),0)</f>
        <v/>
      </c>
      <c r="G90" s="15">
        <f>IFERROR(INDEX(Stock!$A$3:$S$91,MATCH('Upton Overview'!$A90,Stock!$A$3:$A$91,0),MATCH('Upton Overview'!G$67,Stock!$A$3:$S$3,0)),0)</f>
        <v/>
      </c>
      <c r="H90" s="10" t="n"/>
    </row>
    <row r="91">
      <c r="A91" s="15" t="inlineStr">
        <is>
          <t>Piglets</t>
        </is>
      </c>
      <c r="B91" s="15">
        <f>IFERROR(INDEX(Stock!$A$3:$S$91,MATCH('Upton Overview'!$A91,Stock!$A$3:$A$91,0),MATCH('Upton Overview'!B$67,Stock!$A$3:$S$3,0)),0)</f>
        <v/>
      </c>
      <c r="C91" s="15">
        <f>IFERROR(INDEX(Stock!$A$3:$S$91,MATCH('Upton Overview'!$A91,Stock!$A$3:$A$91,0),MATCH('Upton Overview'!C$67,Stock!$A$3:$S$3,0)),0)</f>
        <v/>
      </c>
      <c r="D91" s="15">
        <f>C91-B91</f>
        <v/>
      </c>
      <c r="E91" s="133" t="n"/>
      <c r="F91" s="15">
        <f>IFERROR(INDEX(Stock!$A$3:$S$91,MATCH('Upton Overview'!$A91,Stock!$A$3:$A$91,0),MATCH('Upton Overview'!F$67,Stock!$A$3:$S$3,0)),0)</f>
        <v/>
      </c>
      <c r="G91" s="15">
        <f>IFERROR(INDEX(Stock!$A$3:$S$91,MATCH('Upton Overview'!$A91,Stock!$A$3:$A$91,0),MATCH('Upton Overview'!G$67,Stock!$A$3:$S$3,0)),0)</f>
        <v/>
      </c>
      <c r="H91" s="10" t="n"/>
    </row>
    <row r="92">
      <c r="A92" s="15" t="inlineStr">
        <is>
          <t>Swans</t>
        </is>
      </c>
      <c r="B92" s="15">
        <f>IFERROR(INDEX(Stock!$A$3:$S$91,MATCH('Upton Overview'!$A92,Stock!$A$3:$A$91,0),MATCH('Upton Overview'!B$67,Stock!$A$3:$S$3,0)),0)</f>
        <v/>
      </c>
      <c r="C92" s="15">
        <f>IFERROR(INDEX(Stock!$A$3:$S$91,MATCH('Upton Overview'!$A92,Stock!$A$3:$A$91,0),MATCH('Upton Overview'!C$67,Stock!$A$3:$S$3,0)),0)</f>
        <v/>
      </c>
      <c r="D92" s="15">
        <f>C92-B92</f>
        <v/>
      </c>
      <c r="E92" s="133" t="n"/>
      <c r="F92" s="15">
        <f>IFERROR(INDEX(Stock!$A$3:$S$91,MATCH('Upton Overview'!$A92,Stock!$A$3:$A$91,0),MATCH('Upton Overview'!F$67,Stock!$A$3:$S$3,0)),0)</f>
        <v/>
      </c>
      <c r="G92" s="15">
        <f>IFERROR(INDEX(Stock!$A$3:$S$91,MATCH('Upton Overview'!$A92,Stock!$A$3:$A$91,0),MATCH('Upton Overview'!G$67,Stock!$A$3:$S$3,0)),0)</f>
        <v/>
      </c>
      <c r="H92" s="10" t="n"/>
    </row>
    <row r="93">
      <c r="A93" s="15" t="inlineStr">
        <is>
          <t>Peacocks</t>
        </is>
      </c>
      <c r="B93" s="15">
        <f>IFERROR(INDEX(Stock!$A$3:$S$91,MATCH('Upton Overview'!$A93,Stock!$A$3:$A$91,0),MATCH('Upton Overview'!B$67,Stock!$A$3:$S$3,0)),0)</f>
        <v/>
      </c>
      <c r="C93" s="15">
        <f>IFERROR(INDEX(Stock!$A$3:$S$91,MATCH('Upton Overview'!$A93,Stock!$A$3:$A$91,0),MATCH('Upton Overview'!C$67,Stock!$A$3:$S$3,0)),0)</f>
        <v/>
      </c>
      <c r="D93" s="15">
        <f>C93-B93</f>
        <v/>
      </c>
      <c r="E93" s="133" t="n"/>
      <c r="F93" s="15">
        <f>IFERROR(INDEX(Stock!$A$3:$S$91,MATCH('Upton Overview'!$A93,Stock!$A$3:$A$91,0),MATCH('Upton Overview'!F$67,Stock!$A$3:$S$3,0)),0)</f>
        <v/>
      </c>
      <c r="G93" s="15">
        <f>IFERROR(INDEX(Stock!$A$3:$S$91,MATCH('Upton Overview'!$A93,Stock!$A$3:$A$91,0),MATCH('Upton Overview'!G$67,Stock!$A$3:$S$3,0)),0)</f>
        <v/>
      </c>
      <c r="H93" s="10" t="n"/>
    </row>
    <row r="94">
      <c r="A94" s="17" t="inlineStr">
        <is>
          <t>Total</t>
        </is>
      </c>
      <c r="B94" s="134" t="n"/>
      <c r="C94" s="134" t="n"/>
      <c r="D94" s="134" t="n"/>
      <c r="E94" s="134" t="n"/>
      <c r="F94" s="134" t="n"/>
      <c r="G94" s="135">
        <f>SUM(G68:G93)</f>
        <v/>
      </c>
      <c r="H94" s="10" t="n"/>
    </row>
    <row r="95">
      <c r="A95" s="17" t="inlineStr">
        <is>
          <t>Value of sales</t>
        </is>
      </c>
      <c r="B95" s="134" t="n"/>
      <c r="C95" s="134" t="n"/>
      <c r="D95" s="134" t="n"/>
      <c r="E95" s="134" t="n"/>
      <c r="F95" s="134" t="n"/>
      <c r="G95" s="135">
        <f>SUM(F68:F93)</f>
        <v/>
      </c>
      <c r="H95" s="10" t="n"/>
    </row>
    <row r="96">
      <c r="A96" s="15" t="n"/>
      <c r="B96" s="15" t="n"/>
      <c r="C96" s="15" t="n"/>
      <c r="D96" s="15" t="n"/>
      <c r="E96" s="15" t="n"/>
      <c r="F96" s="15" t="n"/>
      <c r="G96" s="133" t="n"/>
      <c r="H96" s="10" t="n"/>
    </row>
    <row r="97">
      <c r="A97" s="16" t="inlineStr">
        <is>
          <t>Wool</t>
        </is>
      </c>
      <c r="B97" s="134" t="n"/>
      <c r="C97" s="134" t="n"/>
      <c r="D97" s="134" t="n"/>
      <c r="E97" s="134" t="n"/>
      <c r="F97" s="134" t="n"/>
      <c r="G97" s="135" t="n"/>
      <c r="H97" s="10" t="n"/>
    </row>
    <row r="98" ht="17.1" customHeight="1">
      <c r="A98" s="22" t="inlineStr">
        <is>
          <t>Fleeces</t>
        </is>
      </c>
      <c r="B98" s="15">
        <f>IFERROR(INDEX(Stock!$A$3:$S$91,MATCH('Upton Overview'!$A98,Stock!$A$3:$A$91,0),MATCH('Upton Overview'!B$67,Stock!$A$3:$S$3,0)),0)</f>
        <v/>
      </c>
      <c r="C98" s="15">
        <f>IFERROR(INDEX(Stock!$A$3:$S$91,MATCH('Upton Overview'!$A98,Stock!$A$3:$A$91,0),MATCH('Upton Overview'!C$67,Stock!$A$3:$S$3,0)),0)</f>
        <v/>
      </c>
      <c r="D98" s="15">
        <f>C98-B98</f>
        <v/>
      </c>
      <c r="F98" s="15">
        <f>IFERROR(INDEX(Stock!$A$3:$S$91,MATCH('Upton Overview'!$A98,Stock!$A$3:$A$91,0),MATCH('Upton Overview'!F$67,Stock!$A$3:$S$3,0)),0)</f>
        <v/>
      </c>
      <c r="G98" s="15">
        <f>IFERROR(INDEX(Stock!$A$3:$S$91,MATCH('Upton Overview'!$A98,Stock!$A$3:$A$91,0),MATCH('Upton Overview'!G$67,Stock!$A$3:$S$3,0)),0)</f>
        <v/>
      </c>
      <c r="H98" s="10" t="n"/>
    </row>
    <row r="99">
      <c r="A99" s="15" t="inlineStr">
        <is>
          <t>Coarse wool</t>
        </is>
      </c>
      <c r="B99" s="15">
        <f>IFERROR(INDEX(Stock!$A$3:$S$91,MATCH('Upton Overview'!$A99,Stock!$A$3:$A$91,0),MATCH('Upton Overview'!B$67,Stock!$A$3:$S$3,0)),0)</f>
        <v/>
      </c>
      <c r="C99" s="15">
        <f>IFERROR(INDEX(Stock!$A$3:$S$91,MATCH('Upton Overview'!$A99,Stock!$A$3:$A$91,0),MATCH('Upton Overview'!C$67,Stock!$A$3:$S$3,0)),0)</f>
        <v/>
      </c>
      <c r="D99" s="15">
        <f>C99-B99</f>
        <v/>
      </c>
      <c r="F99" s="15">
        <f>IFERROR(INDEX(Stock!$A$3:$S$91,MATCH('Upton Overview'!$A99,Stock!$A$3:$A$91,0),MATCH('Upton Overview'!F$67,Stock!$A$3:$S$3,0)),0)</f>
        <v/>
      </c>
      <c r="G99" s="15">
        <f>IFERROR(INDEX(Stock!$A$3:$S$91,MATCH('Upton Overview'!$A99,Stock!$A$3:$A$91,0),MATCH('Upton Overview'!G$67,Stock!$A$3:$S$3,0)),0)</f>
        <v/>
      </c>
      <c r="H99" s="10" t="n"/>
    </row>
    <row r="100">
      <c r="A100" s="15" t="inlineStr">
        <is>
          <t>Lamb's wool</t>
        </is>
      </c>
      <c r="B100" s="15">
        <f>IFERROR(INDEX(Stock!$A$3:$S$91,MATCH('Upton Overview'!$A100,Stock!$A$3:$A$91,0),MATCH('Upton Overview'!B$67,Stock!$A$3:$S$3,0)),0)</f>
        <v/>
      </c>
      <c r="C100" s="15">
        <f>IFERROR(INDEX(Stock!$A$3:$S$91,MATCH('Upton Overview'!$A100,Stock!$A$3:$A$91,0),MATCH('Upton Overview'!C$67,Stock!$A$3:$S$3,0)),0)</f>
        <v/>
      </c>
      <c r="D100" s="15">
        <f>C100-B100</f>
        <v/>
      </c>
      <c r="F100" s="15">
        <f>IFERROR(INDEX(Stock!$A$3:$S$91,MATCH('Upton Overview'!$A100,Stock!$A$3:$A$91,0),MATCH('Upton Overview'!F$67,Stock!$A$3:$S$3,0)),0)</f>
        <v/>
      </c>
      <c r="G100" s="15">
        <f>IFERROR(INDEX(Stock!$A$3:$S$91,MATCH('Upton Overview'!$A100,Stock!$A$3:$A$91,0),MATCH('Upton Overview'!G$67,Stock!$A$3:$S$3,0)),0)</f>
        <v/>
      </c>
      <c r="H100" s="10" t="n"/>
    </row>
    <row r="101">
      <c r="A101" s="15" t="inlineStr">
        <is>
          <t>Wool locks</t>
        </is>
      </c>
      <c r="B101" s="15">
        <f>IFERROR(INDEX(Stock!$A$3:$S$91,MATCH('Upton Overview'!$A101,Stock!$A$3:$A$91,0),MATCH('Upton Overview'!B$67,Stock!$A$3:$S$3,0)),0)</f>
        <v/>
      </c>
      <c r="C101" s="15">
        <f>IFERROR(INDEX(Stock!$A$3:$S$91,MATCH('Upton Overview'!$A101,Stock!$A$3:$A$91,0),MATCH('Upton Overview'!C$67,Stock!$A$3:$S$3,0)),0)</f>
        <v/>
      </c>
      <c r="D101" s="15">
        <f>C101-B101</f>
        <v/>
      </c>
      <c r="F101" s="15">
        <f>IFERROR(INDEX(Stock!$A$3:$S$91,MATCH('Upton Overview'!$A101,Stock!$A$3:$A$91,0),MATCH('Upton Overview'!F$67,Stock!$A$3:$S$3,0)),0)</f>
        <v/>
      </c>
      <c r="G101" s="15">
        <f>IFERROR(INDEX(Stock!$A$3:$S$91,MATCH('Upton Overview'!$A101,Stock!$A$3:$A$91,0),MATCH('Upton Overview'!G$67,Stock!$A$3:$S$3,0)),0)</f>
        <v/>
      </c>
      <c r="H101" s="10" t="n"/>
    </row>
    <row r="102">
      <c r="A102" s="15" t="inlineStr">
        <is>
          <t>Wool sold at shearing</t>
        </is>
      </c>
      <c r="B102" s="15">
        <f>IFERROR(INDEX(Stock!$A$3:$S$91,MATCH('Upton Overview'!$A102,Stock!$A$3:$A$91,0),MATCH('Upton Overview'!B$67,Stock!$A$3:$S$3,0)),0)</f>
        <v/>
      </c>
      <c r="C102" s="15">
        <f>IFERROR(INDEX(Stock!$A$3:$S$91,MATCH('Upton Overview'!$A102,Stock!$A$3:$A$91,0),MATCH('Upton Overview'!C$67,Stock!$A$3:$S$3,0)),0)</f>
        <v/>
      </c>
      <c r="D102" s="15">
        <f>C102-B102</f>
        <v/>
      </c>
      <c r="F102" s="15">
        <f>IFERROR(INDEX(Stock!$A$3:$S$91,MATCH('Upton Overview'!$A102,Stock!$A$3:$A$91,0),MATCH('Upton Overview'!F$67,Stock!$A$3:$S$3,0)),0)</f>
        <v/>
      </c>
      <c r="G102" s="15">
        <f>IFERROR(INDEX(Stock!$A$3:$S$91,MATCH('Upton Overview'!$A102,Stock!$A$3:$A$91,0),MATCH('Upton Overview'!G$67,Stock!$A$3:$S$3,0)),0)</f>
        <v/>
      </c>
      <c r="H102" s="10" t="n"/>
    </row>
    <row r="103">
      <c r="A103" s="17" t="inlineStr">
        <is>
          <t>Total value of production (sum of the above)</t>
        </is>
      </c>
      <c r="B103" s="134" t="n"/>
      <c r="C103" s="134" t="n"/>
      <c r="D103" s="134" t="n"/>
      <c r="E103" s="134" t="n"/>
      <c r="F103" s="134" t="n"/>
      <c r="G103" s="135">
        <f>SUM(G98:G102)</f>
        <v/>
      </c>
      <c r="H103" s="10" t="n"/>
    </row>
    <row r="104">
      <c r="A104" s="17" t="inlineStr">
        <is>
          <t>Value of sales</t>
        </is>
      </c>
      <c r="B104" s="134" t="n"/>
      <c r="C104" s="134" t="n"/>
      <c r="D104" s="134" t="n"/>
      <c r="E104" s="134" t="n"/>
      <c r="F104" s="134" t="n"/>
      <c r="G104" s="135">
        <f>SUM(F98:F102)</f>
        <v/>
      </c>
      <c r="H104" s="10" t="n"/>
    </row>
    <row r="105">
      <c r="A105" s="8" t="n"/>
      <c r="B105" s="15" t="n"/>
      <c r="C105" s="15" t="n"/>
      <c r="D105" s="15" t="n"/>
      <c r="E105" s="15" t="n"/>
      <c r="F105" s="15" t="n"/>
      <c r="G105" s="133" t="n"/>
      <c r="H105" s="10" t="n"/>
    </row>
    <row r="106">
      <c r="A106" s="16" t="inlineStr">
        <is>
          <t>Hides</t>
        </is>
      </c>
      <c r="B106" s="145" t="n"/>
      <c r="C106" s="134" t="n"/>
      <c r="D106" s="134" t="n"/>
      <c r="E106" s="134" t="n"/>
      <c r="F106" s="134" t="n"/>
      <c r="G106" s="146" t="inlineStr">
        <is>
          <t>£</t>
        </is>
      </c>
      <c r="H106" s="10" t="n"/>
    </row>
    <row r="107">
      <c r="A107" s="15" t="inlineStr">
        <is>
          <t>Ox hides</t>
        </is>
      </c>
      <c r="B107" s="15">
        <f>IFERROR(INDEX(Stock!$A$3:$S$91,MATCH('Upton Overview'!$A107,Stock!$A$3:$A$91,0),MATCH('Upton Overview'!B$67,Stock!$A$3:$S$3,0)),0)</f>
        <v/>
      </c>
      <c r="C107" s="15">
        <f>IFERROR(INDEX(Stock!$A$3:$S$91,MATCH('Upton Overview'!$A107,Stock!$A$3:$A$91,0),MATCH('Upton Overview'!C$67,Stock!$A$3:$S$3,0)),0)</f>
        <v/>
      </c>
      <c r="D107" s="15">
        <f>C107-B107</f>
        <v/>
      </c>
      <c r="E107" s="15" t="n"/>
      <c r="F107" s="15">
        <f>IFERROR(INDEX(Stock!$A$3:$S$91,MATCH('Upton Overview'!$A107,Stock!$A$3:$A$91,0),MATCH('Upton Overview'!F$67,Stock!$A$3:$S$3,0)),0)</f>
        <v/>
      </c>
      <c r="G107" s="15">
        <f>IFERROR(INDEX(Stock!$A$3:$S$91,MATCH('Upton Overview'!$A107,Stock!$A$3:$A$91,0),MATCH('Upton Overview'!G$67,Stock!$A$3:$S$3,0)),0)</f>
        <v/>
      </c>
      <c r="H107" s="10" t="n"/>
    </row>
    <row r="108">
      <c r="A108" s="15" t="inlineStr">
        <is>
          <t>Cow hides</t>
        </is>
      </c>
      <c r="B108" s="15">
        <f>IFERROR(INDEX(Stock!$A$3:$S$91,MATCH('Upton Overview'!$A108,Stock!$A$3:$A$91,0),MATCH('Upton Overview'!B$67,Stock!$A$3:$S$3,0)),0)</f>
        <v/>
      </c>
      <c r="C108" s="15">
        <f>IFERROR(INDEX(Stock!$A$3:$S$91,MATCH('Upton Overview'!$A108,Stock!$A$3:$A$91,0),MATCH('Upton Overview'!C$67,Stock!$A$3:$S$3,0)),0)</f>
        <v/>
      </c>
      <c r="D108" s="15">
        <f>C108-B108</f>
        <v/>
      </c>
      <c r="E108" s="15" t="n"/>
      <c r="F108" s="15">
        <f>IFERROR(INDEX(Stock!$A$3:$S$91,MATCH('Upton Overview'!$A108,Stock!$A$3:$A$91,0),MATCH('Upton Overview'!F$67,Stock!$A$3:$S$3,0)),0)</f>
        <v/>
      </c>
      <c r="G108" s="15">
        <f>IFERROR(INDEX(Stock!$A$3:$S$91,MATCH('Upton Overview'!$A108,Stock!$A$3:$A$91,0),MATCH('Upton Overview'!G$67,Stock!$A$3:$S$3,0)),0)</f>
        <v/>
      </c>
      <c r="H108" s="10" t="n"/>
    </row>
    <row r="109">
      <c r="A109" s="15" t="inlineStr">
        <is>
          <t>Mare hides</t>
        </is>
      </c>
      <c r="B109" s="15">
        <f>IFERROR(INDEX(Stock!$A$3:$S$91,MATCH('Upton Overview'!$A109,Stock!$A$3:$A$91,0),MATCH('Upton Overview'!B$67,Stock!$A$3:$S$3,0)),0)</f>
        <v/>
      </c>
      <c r="C109" s="15">
        <f>IFERROR(INDEX(Stock!$A$3:$S$91,MATCH('Upton Overview'!$A109,Stock!$A$3:$A$91,0),MATCH('Upton Overview'!C$67,Stock!$A$3:$S$3,0)),0)</f>
        <v/>
      </c>
      <c r="D109" s="15">
        <f>C109-B109</f>
        <v/>
      </c>
      <c r="E109" s="15" t="n"/>
      <c r="F109" s="15">
        <f>IFERROR(INDEX(Stock!$A$3:$S$91,MATCH('Upton Overview'!$A109,Stock!$A$3:$A$91,0),MATCH('Upton Overview'!F$67,Stock!$A$3:$S$3,0)),0)</f>
        <v/>
      </c>
      <c r="G109" s="15">
        <f>IFERROR(INDEX(Stock!$A$3:$S$91,MATCH('Upton Overview'!$A109,Stock!$A$3:$A$91,0),MATCH('Upton Overview'!G$67,Stock!$A$3:$S$3,0)),0)</f>
        <v/>
      </c>
      <c r="H109" s="10" t="n"/>
    </row>
    <row r="110">
      <c r="A110" s="15" t="inlineStr">
        <is>
          <t>Steer hides</t>
        </is>
      </c>
      <c r="B110" s="15">
        <f>IFERROR(INDEX(Stock!$A$3:$S$91,MATCH('Upton Overview'!$A110,Stock!$A$3:$A$91,0),MATCH('Upton Overview'!B$67,Stock!$A$3:$S$3,0)),0)</f>
        <v/>
      </c>
      <c r="C110" s="15">
        <f>IFERROR(INDEX(Stock!$A$3:$S$91,MATCH('Upton Overview'!$A110,Stock!$A$3:$A$91,0),MATCH('Upton Overview'!C$67,Stock!$A$3:$S$3,0)),0)</f>
        <v/>
      </c>
      <c r="D110" s="15">
        <f>C110-B110</f>
        <v/>
      </c>
      <c r="E110" s="15" t="n"/>
      <c r="F110" s="15">
        <f>IFERROR(INDEX(Stock!$A$3:$S$91,MATCH('Upton Overview'!$A110,Stock!$A$3:$A$91,0),MATCH('Upton Overview'!F$67,Stock!$A$3:$S$3,0)),0)</f>
        <v/>
      </c>
      <c r="G110" s="15">
        <f>IFERROR(INDEX(Stock!$A$3:$S$91,MATCH('Upton Overview'!$A110,Stock!$A$3:$A$91,0),MATCH('Upton Overview'!G$67,Stock!$A$3:$S$3,0)),0)</f>
        <v/>
      </c>
      <c r="H110" s="10" t="n"/>
    </row>
    <row r="111">
      <c r="A111" s="15" t="inlineStr">
        <is>
          <t>Yearling Calf hides</t>
        </is>
      </c>
      <c r="B111" s="15">
        <f>IFERROR(INDEX(Stock!$A$3:$S$91,MATCH('Upton Overview'!$A111,Stock!$A$3:$A$91,0),MATCH('Upton Overview'!B$67,Stock!$A$3:$S$3,0)),0)</f>
        <v/>
      </c>
      <c r="C111" s="15">
        <f>IFERROR(INDEX(Stock!$A$3:$S$91,MATCH('Upton Overview'!$A111,Stock!$A$3:$A$91,0),MATCH('Upton Overview'!C$67,Stock!$A$3:$S$3,0)),0)</f>
        <v/>
      </c>
      <c r="D111" s="15">
        <f>C111-B111</f>
        <v/>
      </c>
      <c r="E111" s="15" t="n"/>
      <c r="F111" s="15">
        <f>IFERROR(INDEX(Stock!$A$3:$S$91,MATCH('Upton Overview'!$A111,Stock!$A$3:$A$91,0),MATCH('Upton Overview'!F$67,Stock!$A$3:$S$3,0)),0)</f>
        <v/>
      </c>
      <c r="G111" s="15">
        <f>IFERROR(INDEX(Stock!$A$3:$S$91,MATCH('Upton Overview'!$A111,Stock!$A$3:$A$91,0),MATCH('Upton Overview'!G$67,Stock!$A$3:$S$3,0)),0)</f>
        <v/>
      </c>
      <c r="H111" s="10" t="n"/>
    </row>
    <row r="112">
      <c r="A112" s="15" t="inlineStr">
        <is>
          <t>Calf hides</t>
        </is>
      </c>
      <c r="B112" s="15">
        <f>IFERROR(INDEX(Stock!$A$3:$S$91,MATCH('Upton Overview'!$A112,Stock!$A$3:$A$91,0),MATCH('Upton Overview'!B$67,Stock!$A$3:$S$3,0)),0)</f>
        <v/>
      </c>
      <c r="C112" s="15">
        <f>IFERROR(INDEX(Stock!$A$3:$S$91,MATCH('Upton Overview'!$A112,Stock!$A$3:$A$91,0),MATCH('Upton Overview'!C$67,Stock!$A$3:$S$3,0)),0)</f>
        <v/>
      </c>
      <c r="D112" s="15">
        <f>C112-B112</f>
        <v/>
      </c>
      <c r="E112" s="15" t="n"/>
      <c r="F112" s="15">
        <f>IFERROR(INDEX(Stock!$A$3:$S$91,MATCH('Upton Overview'!$A112,Stock!$A$3:$A$91,0),MATCH('Upton Overview'!F$67,Stock!$A$3:$S$3,0)),0)</f>
        <v/>
      </c>
      <c r="G112" s="15">
        <f>IFERROR(INDEX(Stock!$A$3:$S$91,MATCH('Upton Overview'!$A112,Stock!$A$3:$A$91,0),MATCH('Upton Overview'!G$67,Stock!$A$3:$S$3,0)),0)</f>
        <v/>
      </c>
      <c r="H112" s="10" t="n"/>
    </row>
    <row r="113">
      <c r="A113" s="23" t="inlineStr">
        <is>
          <t>Pig hides</t>
        </is>
      </c>
      <c r="B113" s="15">
        <f>IFERROR(INDEX(Stock!$A$3:$S$91,MATCH('Upton Overview'!$A113,Stock!$A$3:$A$91,0),MATCH('Upton Overview'!B$67,Stock!$A$3:$S$3,0)),0)</f>
        <v/>
      </c>
      <c r="C113" s="15">
        <f>IFERROR(INDEX(Stock!$A$3:$S$91,MATCH('Upton Overview'!$A113,Stock!$A$3:$A$91,0),MATCH('Upton Overview'!C$67,Stock!$A$3:$S$3,0)),0)</f>
        <v/>
      </c>
      <c r="D113" s="15">
        <f>C113-B113</f>
        <v/>
      </c>
      <c r="E113" s="15" t="n"/>
      <c r="F113" s="15">
        <f>IFERROR(INDEX(Stock!$A$3:$S$91,MATCH('Upton Overview'!$A113,Stock!$A$3:$A$91,0),MATCH('Upton Overview'!F$67,Stock!$A$3:$S$3,0)),0)</f>
        <v/>
      </c>
      <c r="G113" s="15">
        <f>IFERROR(INDEX(Stock!$A$3:$S$91,MATCH('Upton Overview'!$A113,Stock!$A$3:$A$91,0),MATCH('Upton Overview'!G$67,Stock!$A$3:$S$3,0)),0)</f>
        <v/>
      </c>
      <c r="H113" s="10" t="n"/>
    </row>
    <row r="114">
      <c r="A114" s="24" t="inlineStr">
        <is>
          <t>Weather woolskins</t>
        </is>
      </c>
      <c r="B114" s="15">
        <f>IFERROR(INDEX(Stock!$A$3:$S$91,MATCH('Upton Overview'!$A114,Stock!$A$3:$A$91,0),MATCH('Upton Overview'!B$67,Stock!$A$3:$S$3,0)),0)</f>
        <v/>
      </c>
      <c r="C114" s="15">
        <f>IFERROR(INDEX(Stock!$A$3:$S$91,MATCH('Upton Overview'!$A114,Stock!$A$3:$A$91,0),MATCH('Upton Overview'!C$67,Stock!$A$3:$S$3,0)),0)</f>
        <v/>
      </c>
      <c r="D114" s="15">
        <f>C114-B114</f>
        <v/>
      </c>
      <c r="E114" s="15" t="n"/>
      <c r="F114" s="15">
        <f>IFERROR(INDEX(Stock!$A$3:$S$91,MATCH('Upton Overview'!$A114,Stock!$A$3:$A$91,0),MATCH('Upton Overview'!F$67,Stock!$A$3:$S$3,0)),0)</f>
        <v/>
      </c>
      <c r="G114" s="15">
        <f>IFERROR(INDEX(Stock!$A$3:$S$91,MATCH('Upton Overview'!$A114,Stock!$A$3:$A$91,0),MATCH('Upton Overview'!G$67,Stock!$A$3:$S$3,0)),0)</f>
        <v/>
      </c>
      <c r="H114" s="10" t="n"/>
    </row>
    <row r="115">
      <c r="A115" s="24" t="inlineStr">
        <is>
          <t>Ram woolskins</t>
        </is>
      </c>
      <c r="B115" s="15">
        <f>IFERROR(INDEX(Stock!$A$3:$S$91,MATCH('Upton Overview'!$A115,Stock!$A$3:$A$91,0),MATCH('Upton Overview'!B$67,Stock!$A$3:$S$3,0)),0)</f>
        <v/>
      </c>
      <c r="C115" s="15">
        <f>IFERROR(INDEX(Stock!$A$3:$S$91,MATCH('Upton Overview'!$A115,Stock!$A$3:$A$91,0),MATCH('Upton Overview'!C$67,Stock!$A$3:$S$3,0)),0)</f>
        <v/>
      </c>
      <c r="D115" s="15">
        <f>C115-B115</f>
        <v/>
      </c>
      <c r="E115" s="15" t="n"/>
      <c r="F115" s="15">
        <f>IFERROR(INDEX(Stock!$A$3:$S$91,MATCH('Upton Overview'!$A115,Stock!$A$3:$A$91,0),MATCH('Upton Overview'!F$67,Stock!$A$3:$S$3,0)),0)</f>
        <v/>
      </c>
      <c r="G115" s="15">
        <f>IFERROR(INDEX(Stock!$A$3:$S$91,MATCH('Upton Overview'!$A115,Stock!$A$3:$A$91,0),MATCH('Upton Overview'!G$67,Stock!$A$3:$S$3,0)),0)</f>
        <v/>
      </c>
      <c r="H115" s="10" t="n"/>
    </row>
    <row r="116">
      <c r="A116" s="24" t="inlineStr">
        <is>
          <t>Ewe woolskins</t>
        </is>
      </c>
      <c r="B116" s="15">
        <f>IFERROR(INDEX(Stock!$A$3:$S$91,MATCH('Upton Overview'!$A116,Stock!$A$3:$A$91,0),MATCH('Upton Overview'!B$67,Stock!$A$3:$S$3,0)),0)</f>
        <v/>
      </c>
      <c r="C116" s="15">
        <f>IFERROR(INDEX(Stock!$A$3:$S$91,MATCH('Upton Overview'!$A116,Stock!$A$3:$A$91,0),MATCH('Upton Overview'!C$67,Stock!$A$3:$S$3,0)),0)</f>
        <v/>
      </c>
      <c r="D116" s="15">
        <f>C116-B116</f>
        <v/>
      </c>
      <c r="E116" s="15" t="n"/>
      <c r="F116" s="15">
        <f>IFERROR(INDEX(Stock!$A$3:$S$91,MATCH('Upton Overview'!$A116,Stock!$A$3:$A$91,0),MATCH('Upton Overview'!F$67,Stock!$A$3:$S$3,0)),0)</f>
        <v/>
      </c>
      <c r="G116" s="15">
        <f>IFERROR(INDEX(Stock!$A$3:$S$91,MATCH('Upton Overview'!$A116,Stock!$A$3:$A$91,0),MATCH('Upton Overview'!G$67,Stock!$A$3:$S$3,0)),0)</f>
        <v/>
      </c>
      <c r="H116" s="10" t="n"/>
    </row>
    <row r="117">
      <c r="A117" s="24" t="inlineStr">
        <is>
          <t>Hogg woolskins</t>
        </is>
      </c>
      <c r="B117" s="15">
        <f>IFERROR(INDEX(Stock!$A$3:$S$91,MATCH('Upton Overview'!$A117,Stock!$A$3:$A$91,0),MATCH('Upton Overview'!B$67,Stock!$A$3:$S$3,0)),0)</f>
        <v/>
      </c>
      <c r="C117" s="15">
        <f>IFERROR(INDEX(Stock!$A$3:$S$91,MATCH('Upton Overview'!$A117,Stock!$A$3:$A$91,0),MATCH('Upton Overview'!C$67,Stock!$A$3:$S$3,0)),0)</f>
        <v/>
      </c>
      <c r="D117" s="15">
        <f>C117-B117</f>
        <v/>
      </c>
      <c r="E117" s="15" t="n"/>
      <c r="F117" s="15">
        <f>IFERROR(INDEX(Stock!$A$3:$S$91,MATCH('Upton Overview'!$A117,Stock!$A$3:$A$91,0),MATCH('Upton Overview'!F$67,Stock!$A$3:$S$3,0)),0)</f>
        <v/>
      </c>
      <c r="G117" s="15">
        <f>IFERROR(INDEX(Stock!$A$3:$S$91,MATCH('Upton Overview'!$A117,Stock!$A$3:$A$91,0),MATCH('Upton Overview'!G$67,Stock!$A$3:$S$3,0)),0)</f>
        <v/>
      </c>
      <c r="H117" s="10" t="n"/>
    </row>
    <row r="118">
      <c r="A118" s="25" t="inlineStr">
        <is>
          <t>Woolskins (total)</t>
        </is>
      </c>
      <c r="B118" s="15">
        <f>IFERROR(INDEX(Stock!$A$3:$S$91,MATCH('Upton Overview'!$A118,Stock!$A$3:$A$91,0),MATCH('Upton Overview'!B$67,Stock!$A$3:$S$3,0)),0)</f>
        <v/>
      </c>
      <c r="C118" s="15">
        <f>IFERROR(INDEX(Stock!$A$3:$S$91,MATCH('Upton Overview'!$A118,Stock!$A$3:$A$91,0),MATCH('Upton Overview'!C$67,Stock!$A$3:$S$3,0)),0)</f>
        <v/>
      </c>
      <c r="D118" s="15">
        <f>C118-B118</f>
        <v/>
      </c>
      <c r="E118" s="15" t="n"/>
      <c r="F118" s="15">
        <f>IFERROR(INDEX(Stock!$A$3:$S$91,MATCH('Upton Overview'!$A118,Stock!$A$3:$A$91,0),MATCH('Upton Overview'!F$67,Stock!$A$3:$S$3,0)),0)</f>
        <v/>
      </c>
      <c r="G118" s="15">
        <f>IFERROR(INDEX(Stock!$A$3:$S$91,MATCH('Upton Overview'!$A118,Stock!$A$3:$A$91,0),MATCH('Upton Overview'!G$67,Stock!$A$3:$S$3,0)),0)</f>
        <v/>
      </c>
      <c r="H118" s="10" t="n"/>
    </row>
    <row r="119">
      <c r="A119" s="24" t="inlineStr">
        <is>
          <t>Wether bareskins</t>
        </is>
      </c>
      <c r="B119" s="15">
        <f>IFERROR(INDEX(Stock!$A$3:$S$91,MATCH('Upton Overview'!$A119,Stock!$A$3:$A$91,0),MATCH('Upton Overview'!B$67,Stock!$A$3:$S$3,0)),0)</f>
        <v/>
      </c>
      <c r="C119" s="15">
        <f>IFERROR(INDEX(Stock!$A$3:$S$91,MATCH('Upton Overview'!$A119,Stock!$A$3:$A$91,0),MATCH('Upton Overview'!C$67,Stock!$A$3:$S$3,0)),0)</f>
        <v/>
      </c>
      <c r="D119" s="15">
        <f>C119-B119</f>
        <v/>
      </c>
      <c r="E119" s="15" t="n"/>
      <c r="F119" s="15">
        <f>IFERROR(INDEX(Stock!$A$3:$S$91,MATCH('Upton Overview'!$A119,Stock!$A$3:$A$91,0),MATCH('Upton Overview'!F$67,Stock!$A$3:$S$3,0)),0)</f>
        <v/>
      </c>
      <c r="G119" s="15">
        <f>IFERROR(INDEX(Stock!$A$3:$S$91,MATCH('Upton Overview'!$A119,Stock!$A$3:$A$91,0),MATCH('Upton Overview'!G$67,Stock!$A$3:$S$3,0)),0)</f>
        <v/>
      </c>
      <c r="H119" s="10" t="n"/>
    </row>
    <row r="120">
      <c r="A120" s="24" t="inlineStr">
        <is>
          <t>Ram bareskins</t>
        </is>
      </c>
      <c r="B120" s="15">
        <f>IFERROR(INDEX(Stock!$A$3:$S$91,MATCH('Upton Overview'!$A120,Stock!$A$3:$A$91,0),MATCH('Upton Overview'!B$67,Stock!$A$3:$S$3,0)),0)</f>
        <v/>
      </c>
      <c r="C120" s="15">
        <f>IFERROR(INDEX(Stock!$A$3:$S$91,MATCH('Upton Overview'!$A120,Stock!$A$3:$A$91,0),MATCH('Upton Overview'!C$67,Stock!$A$3:$S$3,0)),0)</f>
        <v/>
      </c>
      <c r="D120" s="15">
        <f>C120-B120</f>
        <v/>
      </c>
      <c r="E120" s="15" t="n"/>
      <c r="F120" s="15">
        <f>IFERROR(INDEX(Stock!$A$3:$S$91,MATCH('Upton Overview'!$A120,Stock!$A$3:$A$91,0),MATCH('Upton Overview'!F$67,Stock!$A$3:$S$3,0)),0)</f>
        <v/>
      </c>
      <c r="G120" s="15">
        <f>IFERROR(INDEX(Stock!$A$3:$S$91,MATCH('Upton Overview'!$A120,Stock!$A$3:$A$91,0),MATCH('Upton Overview'!G$67,Stock!$A$3:$S$3,0)),0)</f>
        <v/>
      </c>
      <c r="H120" s="10" t="n"/>
    </row>
    <row r="121">
      <c r="A121" s="24" t="inlineStr">
        <is>
          <t>Ewe bareskins</t>
        </is>
      </c>
      <c r="B121" s="15">
        <f>IFERROR(INDEX(Stock!$A$3:$S$91,MATCH('Upton Overview'!$A121,Stock!$A$3:$A$91,0),MATCH('Upton Overview'!B$67,Stock!$A$3:$S$3,0)),0)</f>
        <v/>
      </c>
      <c r="C121" s="15">
        <f>IFERROR(INDEX(Stock!$A$3:$S$91,MATCH('Upton Overview'!$A121,Stock!$A$3:$A$91,0),MATCH('Upton Overview'!C$67,Stock!$A$3:$S$3,0)),0)</f>
        <v/>
      </c>
      <c r="D121" s="15">
        <f>C121-B121</f>
        <v/>
      </c>
      <c r="E121" s="15" t="n"/>
      <c r="F121" s="15">
        <f>IFERROR(INDEX(Stock!$A$3:$S$91,MATCH('Upton Overview'!$A121,Stock!$A$3:$A$91,0),MATCH('Upton Overview'!F$67,Stock!$A$3:$S$3,0)),0)</f>
        <v/>
      </c>
      <c r="G121" s="15">
        <f>IFERROR(INDEX(Stock!$A$3:$S$91,MATCH('Upton Overview'!$A121,Stock!$A$3:$A$91,0),MATCH('Upton Overview'!G$67,Stock!$A$3:$S$3,0)),0)</f>
        <v/>
      </c>
      <c r="H121" s="10" t="n"/>
    </row>
    <row r="122">
      <c r="A122" s="24" t="inlineStr">
        <is>
          <t>Hogg bareskins</t>
        </is>
      </c>
      <c r="B122" s="15">
        <f>IFERROR(INDEX(Stock!$A$3:$S$91,MATCH('Upton Overview'!$A122,Stock!$A$3:$A$91,0),MATCH('Upton Overview'!B$67,Stock!$A$3:$S$3,0)),0)</f>
        <v/>
      </c>
      <c r="C122" s="15">
        <f>IFERROR(INDEX(Stock!$A$3:$S$91,MATCH('Upton Overview'!$A122,Stock!$A$3:$A$91,0),MATCH('Upton Overview'!C$67,Stock!$A$3:$S$3,0)),0)</f>
        <v/>
      </c>
      <c r="D122" s="15">
        <f>C122-B122</f>
        <v/>
      </c>
      <c r="E122" s="15" t="n"/>
      <c r="F122" s="15">
        <f>IFERROR(INDEX(Stock!$A$3:$S$91,MATCH('Upton Overview'!$A122,Stock!$A$3:$A$91,0),MATCH('Upton Overview'!F$67,Stock!$A$3:$S$3,0)),0)</f>
        <v/>
      </c>
      <c r="G122" s="15">
        <f>IFERROR(INDEX(Stock!$A$3:$S$91,MATCH('Upton Overview'!$A122,Stock!$A$3:$A$91,0),MATCH('Upton Overview'!G$67,Stock!$A$3:$S$3,0)),0)</f>
        <v/>
      </c>
      <c r="H122" s="10" t="n"/>
    </row>
    <row r="123">
      <c r="A123" s="25" t="inlineStr">
        <is>
          <t>Bareskins (total)</t>
        </is>
      </c>
      <c r="B123" s="15">
        <f>IFERROR(INDEX(Stock!$A$3:$S$91,MATCH('Upton Overview'!$A123,Stock!$A$3:$A$91,0),MATCH('Upton Overview'!B$67,Stock!$A$3:$S$3,0)),0)</f>
        <v/>
      </c>
      <c r="C123" s="15">
        <f>IFERROR(INDEX(Stock!$A$3:$S$91,MATCH('Upton Overview'!$A123,Stock!$A$3:$A$91,0),MATCH('Upton Overview'!C$67,Stock!$A$3:$S$3,0)),0)</f>
        <v/>
      </c>
      <c r="D123" s="15">
        <f>C123-B123</f>
        <v/>
      </c>
      <c r="E123" s="15" t="n"/>
      <c r="F123" s="15">
        <f>IFERROR(INDEX(Stock!$A$3:$S$91,MATCH('Upton Overview'!$A123,Stock!$A$3:$A$91,0),MATCH('Upton Overview'!F$67,Stock!$A$3:$S$3,0)),0)</f>
        <v/>
      </c>
      <c r="G123" s="15">
        <f>IFERROR(INDEX(Stock!$A$3:$S$91,MATCH('Upton Overview'!$A123,Stock!$A$3:$A$91,0),MATCH('Upton Overview'!G$67,Stock!$A$3:$S$3,0)),0)</f>
        <v/>
      </c>
      <c r="H123" s="10" t="n"/>
    </row>
    <row r="124">
      <c r="A124" s="15" t="inlineStr">
        <is>
          <t>Lambskins</t>
        </is>
      </c>
      <c r="B124" s="15">
        <f>IFERROR(INDEX(Stock!$A$3:$S$91,MATCH('Upton Overview'!$A124,Stock!$A$3:$A$91,0),MATCH('Upton Overview'!B$67,Stock!$A$3:$S$3,0)),0)</f>
        <v/>
      </c>
      <c r="C124" s="15">
        <f>IFERROR(INDEX(Stock!$A$3:$S$91,MATCH('Upton Overview'!$A124,Stock!$A$3:$A$91,0),MATCH('Upton Overview'!C$67,Stock!$A$3:$S$3,0)),0)</f>
        <v/>
      </c>
      <c r="D124" s="15">
        <f>C124-B124</f>
        <v/>
      </c>
      <c r="E124" s="15" t="n"/>
      <c r="F124" s="15">
        <f>IFERROR(INDEX(Stock!$A$3:$S$91,MATCH('Upton Overview'!$A124,Stock!$A$3:$A$91,0),MATCH('Upton Overview'!F$67,Stock!$A$3:$S$3,0)),0)</f>
        <v/>
      </c>
      <c r="G124" s="15">
        <f>IFERROR(INDEX(Stock!$A$3:$S$91,MATCH('Upton Overview'!$A124,Stock!$A$3:$A$91,0),MATCH('Upton Overview'!G$67,Stock!$A$3:$S$3,0)),0)</f>
        <v/>
      </c>
      <c r="H124" s="10" t="n"/>
    </row>
    <row r="125">
      <c r="A125" s="15" t="inlineStr">
        <is>
          <t>Rotted skins</t>
        </is>
      </c>
      <c r="B125" s="15">
        <f>IFERROR(INDEX(Stock!$A$3:$S$91,MATCH('Upton Overview'!$A125,Stock!$A$3:$A$91,0),MATCH('Upton Overview'!B$67,Stock!$A$3:$S$3,0)),0)</f>
        <v/>
      </c>
      <c r="C125" s="15">
        <f>IFERROR(INDEX(Stock!$A$3:$S$91,MATCH('Upton Overview'!$A125,Stock!$A$3:$A$91,0),MATCH('Upton Overview'!C$67,Stock!$A$3:$S$3,0)),0)</f>
        <v/>
      </c>
      <c r="D125" s="15">
        <f>C125-B125</f>
        <v/>
      </c>
      <c r="E125" s="15" t="n"/>
      <c r="F125" s="15">
        <f>IFERROR(INDEX(Stock!$A$3:$S$91,MATCH('Upton Overview'!$A125,Stock!$A$3:$A$91,0),MATCH('Upton Overview'!F$67,Stock!$A$3:$S$3,0)),0)</f>
        <v/>
      </c>
      <c r="G125" s="15">
        <f>IFERROR(INDEX(Stock!$A$3:$S$91,MATCH('Upton Overview'!$A125,Stock!$A$3:$A$91,0),MATCH('Upton Overview'!G$67,Stock!$A$3:$S$3,0)),0)</f>
        <v/>
      </c>
      <c r="H125" s="10" t="n"/>
    </row>
    <row r="126">
      <c r="A126" s="15" t="inlineStr">
        <is>
          <t>Shorn skins</t>
        </is>
      </c>
      <c r="B126" s="15">
        <f>IFERROR(INDEX(Stock!$A$3:$S$91,MATCH('Upton Overview'!$A126,Stock!$A$3:$A$91,0),MATCH('Upton Overview'!B$67,Stock!$A$3:$S$3,0)),0)</f>
        <v/>
      </c>
      <c r="C126" s="15">
        <f>IFERROR(INDEX(Stock!$A$3:$S$91,MATCH('Upton Overview'!$A126,Stock!$A$3:$A$91,0),MATCH('Upton Overview'!C$67,Stock!$A$3:$S$3,0)),0)</f>
        <v/>
      </c>
      <c r="D126" s="15">
        <f>C126-B126</f>
        <v/>
      </c>
      <c r="E126" s="15" t="n"/>
      <c r="F126" s="15">
        <f>IFERROR(INDEX(Stock!$A$3:$S$91,MATCH('Upton Overview'!$A126,Stock!$A$3:$A$91,0),MATCH('Upton Overview'!F$67,Stock!$A$3:$S$3,0)),0)</f>
        <v/>
      </c>
      <c r="G126" s="15">
        <f>IFERROR(INDEX(Stock!$A$3:$S$91,MATCH('Upton Overview'!$A126,Stock!$A$3:$A$91,0),MATCH('Upton Overview'!G$67,Stock!$A$3:$S$3,0)),0)</f>
        <v/>
      </c>
      <c r="H126" s="10" t="n"/>
    </row>
    <row r="127">
      <c r="A127" s="17" t="inlineStr">
        <is>
          <t>Total value of production (sum of the above)</t>
        </is>
      </c>
      <c r="B127" s="134" t="n"/>
      <c r="C127" s="134" t="n"/>
      <c r="D127" s="134" t="n"/>
      <c r="E127" s="134" t="n"/>
      <c r="F127" s="134" t="n"/>
      <c r="G127" s="135">
        <f>SUM(G107:G126)</f>
        <v/>
      </c>
      <c r="H127" s="10" t="n"/>
    </row>
    <row r="128">
      <c r="A128" s="17" t="inlineStr">
        <is>
          <t>Value of sales</t>
        </is>
      </c>
      <c r="B128" s="134" t="n"/>
      <c r="C128" s="134" t="n"/>
      <c r="D128" s="134" t="n"/>
      <c r="E128" s="134" t="n"/>
      <c r="F128" s="134" t="n"/>
      <c r="G128" s="135">
        <f>SUM(F107:F126)</f>
        <v/>
      </c>
      <c r="H128" s="10" t="n"/>
    </row>
    <row r="129">
      <c r="A129" s="15" t="n"/>
      <c r="B129" s="15" t="n"/>
      <c r="C129" s="15" t="n"/>
      <c r="D129" s="15" t="n"/>
      <c r="E129" s="15" t="n"/>
      <c r="F129" s="15" t="n"/>
      <c r="G129" s="133" t="n"/>
      <c r="H129" s="10" t="n"/>
    </row>
    <row r="130">
      <c r="A130" s="16" t="inlineStr">
        <is>
          <t>Poultry stock</t>
        </is>
      </c>
      <c r="B130" s="134" t="inlineStr">
        <is>
          <t>nothing</t>
        </is>
      </c>
      <c r="C130" s="134" t="n"/>
      <c r="D130" s="134" t="n"/>
      <c r="E130" s="134" t="n"/>
      <c r="F130" s="134" t="n"/>
      <c r="G130" s="135" t="n"/>
      <c r="H130" s="10" t="n"/>
    </row>
    <row r="131" ht="17.1" customHeight="1">
      <c r="A131" s="22" t="inlineStr">
        <is>
          <t>Hens</t>
        </is>
      </c>
      <c r="B131" s="15">
        <f>IFERROR(INDEX(Stock!$A$3:$S$91,MATCH('Upton Overview'!$A131,Stock!$A$3:$A$91,0),MATCH('Upton Overview'!B$67,Stock!$A$3:$S$3,0)),0)</f>
        <v/>
      </c>
      <c r="C131" s="15">
        <f>IFERROR(INDEX(Stock!$A$3:$S$91,MATCH('Upton Overview'!$A131,Stock!$A$3:$A$91,0),MATCH('Upton Overview'!C$67,Stock!$A$3:$S$3,0)),0)</f>
        <v/>
      </c>
      <c r="D131" s="15">
        <f>C131-B131</f>
        <v/>
      </c>
      <c r="E131" s="15" t="n"/>
      <c r="F131" s="15">
        <f>IFERROR(INDEX(Stock!$A$3:$S$91,MATCH('Upton Overview'!$A131,Stock!$A$3:$A$91,0),MATCH('Upton Overview'!F$67,Stock!$A$3:$S$3,0)),0)</f>
        <v/>
      </c>
      <c r="G131" s="15">
        <f>IFERROR(INDEX(Stock!$A$3:$S$91,MATCH('Upton Overview'!$A131,Stock!$A$3:$A$91,0),MATCH('Upton Overview'!G$67,Stock!$A$3:$S$3,0)),0)</f>
        <v/>
      </c>
      <c r="H131" s="10" t="n"/>
    </row>
    <row r="132">
      <c r="A132" s="15" t="inlineStr">
        <is>
          <t>Geese</t>
        </is>
      </c>
      <c r="B132" s="15">
        <f>IFERROR(INDEX(Stock!$A$3:$S$91,MATCH('Upton Overview'!$A132,Stock!$A$3:$A$91,0),MATCH('Upton Overview'!B$67,Stock!$A$3:$S$3,0)),0)</f>
        <v/>
      </c>
      <c r="C132" s="15">
        <f>IFERROR(INDEX(Stock!$A$3:$S$91,MATCH('Upton Overview'!$A132,Stock!$A$3:$A$91,0),MATCH('Upton Overview'!C$67,Stock!$A$3:$S$3,0)),0)</f>
        <v/>
      </c>
      <c r="D132" s="15">
        <f>C132-B132</f>
        <v/>
      </c>
      <c r="E132" s="15" t="n"/>
      <c r="F132" s="15">
        <f>IFERROR(INDEX(Stock!$A$3:$S$91,MATCH('Upton Overview'!$A132,Stock!$A$3:$A$91,0),MATCH('Upton Overview'!F$67,Stock!$A$3:$S$3,0)),0)</f>
        <v/>
      </c>
      <c r="G132" s="15">
        <f>IFERROR(INDEX(Stock!$A$3:$S$91,MATCH('Upton Overview'!$A132,Stock!$A$3:$A$91,0),MATCH('Upton Overview'!G$67,Stock!$A$3:$S$3,0)),0)</f>
        <v/>
      </c>
      <c r="H132" s="10" t="n"/>
    </row>
    <row r="133">
      <c r="A133" s="15" t="inlineStr">
        <is>
          <t>Capons (from chickens)</t>
        </is>
      </c>
      <c r="B133" s="15">
        <f>IFERROR(INDEX(Stock!$A$3:$S$91,MATCH('Upton Overview'!$A133,Stock!$A$3:$A$91,0),MATCH('Upton Overview'!B$67,Stock!$A$3:$S$3,0)),0)</f>
        <v/>
      </c>
      <c r="C133" s="15">
        <f>IFERROR(INDEX(Stock!$A$3:$S$91,MATCH('Upton Overview'!$A133,Stock!$A$3:$A$91,0),MATCH('Upton Overview'!C$67,Stock!$A$3:$S$3,0)),0)</f>
        <v/>
      </c>
      <c r="D133" s="15">
        <f>C133-B133</f>
        <v/>
      </c>
      <c r="E133" s="15" t="n"/>
      <c r="F133" s="15">
        <f>IFERROR(INDEX(Stock!$A$3:$S$91,MATCH('Upton Overview'!$A133,Stock!$A$3:$A$91,0),MATCH('Upton Overview'!F$67,Stock!$A$3:$S$3,0)),0)</f>
        <v/>
      </c>
      <c r="G133" s="15">
        <f>IFERROR(INDEX(Stock!$A$3:$S$91,MATCH('Upton Overview'!$A133,Stock!$A$3:$A$91,0),MATCH('Upton Overview'!G$67,Stock!$A$3:$S$3,0)),0)</f>
        <v/>
      </c>
      <c r="H133" s="10" t="n"/>
    </row>
    <row r="134">
      <c r="A134" s="15" t="inlineStr">
        <is>
          <t>Cocks &amp; hens</t>
        </is>
      </c>
      <c r="B134" s="15">
        <f>IFERROR(INDEX(Stock!$A$3:$S$91,MATCH('Upton Overview'!$A134,Stock!$A$3:$A$91,0),MATCH('Upton Overview'!B$67,Stock!$A$3:$S$3,0)),0)</f>
        <v/>
      </c>
      <c r="C134" s="15">
        <f>IFERROR(INDEX(Stock!$A$3:$S$91,MATCH('Upton Overview'!$A134,Stock!$A$3:$A$91,0),MATCH('Upton Overview'!C$67,Stock!$A$3:$S$3,0)),0)</f>
        <v/>
      </c>
      <c r="D134" s="15">
        <f>C134-B134</f>
        <v/>
      </c>
      <c r="E134" s="15" t="n"/>
      <c r="F134" s="15">
        <f>IFERROR(INDEX(Stock!$A$3:$S$91,MATCH('Upton Overview'!$A134,Stock!$A$3:$A$91,0),MATCH('Upton Overview'!F$67,Stock!$A$3:$S$3,0)),0)</f>
        <v/>
      </c>
      <c r="G134" s="15">
        <f>IFERROR(INDEX(Stock!$A$3:$S$91,MATCH('Upton Overview'!$A134,Stock!$A$3:$A$91,0),MATCH('Upton Overview'!G$67,Stock!$A$3:$S$3,0)),0)</f>
        <v/>
      </c>
      <c r="H134" s="10" t="n"/>
    </row>
    <row r="135">
      <c r="A135" s="17" t="inlineStr">
        <is>
          <t>Total value of production (sum of the above)</t>
        </is>
      </c>
      <c r="B135" s="134" t="n"/>
      <c r="C135" s="134" t="n"/>
      <c r="D135" s="134" t="n"/>
      <c r="E135" s="134" t="n"/>
      <c r="F135" s="134" t="n"/>
      <c r="G135" s="135">
        <f>SUM(G131:G134)</f>
        <v/>
      </c>
      <c r="H135" s="10" t="n"/>
    </row>
    <row r="136">
      <c r="A136" s="17" t="inlineStr">
        <is>
          <t>Value of sales</t>
        </is>
      </c>
      <c r="B136" s="134" t="n"/>
      <c r="C136" s="134" t="n"/>
      <c r="D136" s="134" t="n"/>
      <c r="E136" s="134" t="n"/>
      <c r="F136" s="134" t="n"/>
      <c r="G136" s="135">
        <f>Stock!R66</f>
        <v/>
      </c>
      <c r="H136" s="10" t="n"/>
    </row>
    <row r="137">
      <c r="A137" s="15" t="n"/>
      <c r="B137" s="15" t="n"/>
      <c r="C137" s="15" t="n"/>
      <c r="D137" s="15" t="n"/>
      <c r="E137" s="15" t="n"/>
      <c r="F137" s="15" t="n"/>
      <c r="G137" s="133" t="n"/>
      <c r="H137" s="10" t="n"/>
    </row>
    <row r="138">
      <c r="A138" s="16" t="inlineStr">
        <is>
          <t>Poultry production</t>
        </is>
      </c>
      <c r="B138" s="134" t="inlineStr">
        <is>
          <t>nothing</t>
        </is>
      </c>
      <c r="C138" s="134" t="n"/>
      <c r="D138" s="134" t="n"/>
      <c r="E138" s="134" t="n"/>
      <c r="F138" s="134" t="n"/>
      <c r="G138" s="135" t="n"/>
      <c r="H138" s="10" t="n"/>
    </row>
    <row r="139">
      <c r="A139" s="15" t="inlineStr">
        <is>
          <t>Eggs</t>
        </is>
      </c>
      <c r="B139" s="15">
        <f>IFERROR(INDEX(Stock!$A$3:$S$91,MATCH('Upton Overview'!$A139,Stock!$A$3:$A$91,0),MATCH('Upton Overview'!B$67,Stock!$A$3:$S$3,0)),0)</f>
        <v/>
      </c>
      <c r="C139" s="15">
        <f>IFERROR(INDEX(Stock!$A$3:$S$91,MATCH('Upton Overview'!$A139,Stock!$A$3:$A$91,0),MATCH('Upton Overview'!C$67,Stock!$A$3:$S$3,0)),0)</f>
        <v/>
      </c>
      <c r="D139" s="15">
        <f>C139-B139</f>
        <v/>
      </c>
      <c r="E139" s="15" t="n"/>
      <c r="F139" s="15">
        <f>IFERROR(INDEX(Stock!$A$3:$S$91,MATCH('Upton Overview'!$A139,Stock!$A$3:$A$91,0),MATCH('Upton Overview'!F$67,Stock!$A$3:$S$3,0)),0)</f>
        <v/>
      </c>
      <c r="G139" s="15">
        <f>IFERROR(INDEX(Stock!$A$3:$S$91,MATCH('Upton Overview'!$A139,Stock!$A$3:$A$91,0),MATCH('Upton Overview'!G$67,Stock!$A$3:$S$3,0)),0)</f>
        <v/>
      </c>
      <c r="H139" s="10" t="n"/>
    </row>
    <row r="140">
      <c r="A140" s="15" t="inlineStr">
        <is>
          <t>Cocks &amp; hens from churchscot of customary tenants</t>
        </is>
      </c>
      <c r="B140" s="15">
        <f>IFERROR(INDEX(Stock!$A$3:$S$91,MATCH('Upton Overview'!$A140,Stock!$A$3:$A$91,0),MATCH('Upton Overview'!B$67,Stock!$A$3:$S$3,0)),0)</f>
        <v/>
      </c>
      <c r="C140" s="15">
        <f>IFERROR(INDEX(Stock!$A$3:$S$91,MATCH('Upton Overview'!$A140,Stock!$A$3:$A$91,0),MATCH('Upton Overview'!C$67,Stock!$A$3:$S$3,0)),0)</f>
        <v/>
      </c>
      <c r="D140" s="15">
        <f>C140-B140</f>
        <v/>
      </c>
      <c r="E140" s="15" t="n"/>
      <c r="F140" s="15">
        <f>IFERROR(INDEX(Stock!$A$3:$S$91,MATCH('Upton Overview'!$A140,Stock!$A$3:$A$91,0),MATCH('Upton Overview'!F$67,Stock!$A$3:$S$3,0)),0)</f>
        <v/>
      </c>
      <c r="G140" s="15">
        <f>IFERROR(INDEX(Stock!$A$3:$S$91,MATCH('Upton Overview'!$A140,Stock!$A$3:$A$91,0),MATCH('Upton Overview'!G$67,Stock!$A$3:$S$3,0)),0)</f>
        <v/>
      </c>
      <c r="H140" s="10" t="n"/>
    </row>
    <row r="141">
      <c r="A141" s="15" t="inlineStr">
        <is>
          <t>Sum of above</t>
        </is>
      </c>
      <c r="B141" s="15">
        <f>SUM(B139:B140)</f>
        <v/>
      </c>
      <c r="C141" s="15">
        <f>SUM(C139:C140)</f>
        <v/>
      </c>
      <c r="D141" s="15">
        <f>C141-B141</f>
        <v/>
      </c>
      <c r="E141" s="15" t="n"/>
      <c r="F141" s="15">
        <f>IFERROR(INDEX(Stock!$A$3:$S$91,MATCH('Upton Overview'!$A141,Stock!$A$3:$A$91,0),MATCH('Upton Overview'!F$67,Stock!$A$3:$S$3,0)),0)</f>
        <v/>
      </c>
      <c r="G141" s="15">
        <f>IFERROR(INDEX(Stock!$A$3:$S$91,MATCH('Upton Overview'!$A141,Stock!$A$3:$A$91,0),MATCH('Upton Overview'!G$67,Stock!$A$3:$S$3,0)),0)</f>
        <v/>
      </c>
      <c r="H141" s="10" t="n"/>
    </row>
    <row r="142">
      <c r="A142" s="17" t="inlineStr">
        <is>
          <t>Total value of stock</t>
        </is>
      </c>
      <c r="B142" s="134" t="n"/>
      <c r="C142" s="134" t="n"/>
      <c r="D142" s="134" t="n"/>
      <c r="E142" s="134" t="n"/>
      <c r="F142" s="134" t="n"/>
      <c r="G142" s="135" t="n"/>
      <c r="H142" s="10" t="n"/>
    </row>
    <row r="143">
      <c r="A143" s="17" t="inlineStr">
        <is>
          <t>Value of sales</t>
        </is>
      </c>
      <c r="B143" s="134" t="n"/>
      <c r="C143" s="134" t="n"/>
      <c r="D143" s="134" t="n"/>
      <c r="E143" s="134" t="n"/>
      <c r="F143" s="134" t="n"/>
      <c r="G143" s="135" t="n"/>
      <c r="H143" s="10" t="n"/>
    </row>
    <row r="144">
      <c r="A144" s="15" t="n"/>
      <c r="B144" s="15" t="n"/>
      <c r="C144" s="15" t="n"/>
      <c r="D144" s="15" t="n"/>
      <c r="E144" s="15" t="n"/>
      <c r="F144" s="15" t="n"/>
      <c r="G144" s="133" t="n"/>
      <c r="H144" s="10" t="n"/>
    </row>
    <row r="145">
      <c r="A145" s="16" t="inlineStr">
        <is>
          <t>Dairy Production</t>
        </is>
      </c>
      <c r="B145" s="134" t="inlineStr">
        <is>
          <t>nothing</t>
        </is>
      </c>
      <c r="C145" s="134" t="n"/>
      <c r="D145" s="134" t="n"/>
      <c r="E145" s="134" t="n"/>
      <c r="F145" s="134" t="n"/>
      <c r="G145" s="135" t="n"/>
      <c r="H145" s="10" t="n"/>
    </row>
    <row r="146">
      <c r="A146" s="15" t="inlineStr">
        <is>
          <t>Butter</t>
        </is>
      </c>
      <c r="B146" s="15">
        <f>IFERROR(INDEX(Stock!$A$3:$S$91,MATCH('Upton Overview'!$A146,Stock!$A$3:$A$91,0),MATCH('Upton Overview'!B$67,Stock!$A$3:$S$3,0)),0)</f>
        <v/>
      </c>
      <c r="C146" s="15">
        <f>IFERROR(INDEX(Stock!$A$3:$S$91,MATCH('Upton Overview'!$A146,Stock!$A$3:$A$91,0),MATCH('Upton Overview'!C$67,Stock!$A$3:$S$3,0)),0)</f>
        <v/>
      </c>
      <c r="D146" s="15">
        <f>C146-B146</f>
        <v/>
      </c>
      <c r="E146" s="15" t="n"/>
      <c r="F146" s="15">
        <f>IFERROR(INDEX(Stock!$A$3:$S$91,MATCH('Upton Overview'!$A146,Stock!$A$3:$A$91,0),MATCH('Upton Overview'!F$67,Stock!$A$3:$S$3,0)),0)</f>
        <v/>
      </c>
      <c r="G146" s="15">
        <f>IFERROR(INDEX(Stock!$A$3:$S$91,MATCH('Upton Overview'!$A146,Stock!$A$3:$A$91,0),MATCH('Upton Overview'!G$67,Stock!$A$3:$S$3,0)),0)</f>
        <v/>
      </c>
      <c r="H146" s="10" t="n"/>
    </row>
    <row r="147">
      <c r="A147" s="15" t="inlineStr">
        <is>
          <t>Winter Cheese</t>
        </is>
      </c>
      <c r="B147" s="15">
        <f>IFERROR(INDEX(Stock!$A$3:$S$91,MATCH('Upton Overview'!$A147,Stock!$A$3:$A$91,0),MATCH('Upton Overview'!B$67,Stock!$A$3:$S$3,0)),0)</f>
        <v/>
      </c>
      <c r="C147" s="15">
        <f>IFERROR(INDEX(Stock!$A$3:$S$91,MATCH('Upton Overview'!$A147,Stock!$A$3:$A$91,0),MATCH('Upton Overview'!C$67,Stock!$A$3:$S$3,0)),0)</f>
        <v/>
      </c>
      <c r="D147" s="15">
        <f>C147-B147</f>
        <v/>
      </c>
      <c r="E147" s="15" t="n"/>
      <c r="F147" s="15">
        <f>IFERROR(INDEX(Stock!$A$3:$S$91,MATCH('Upton Overview'!$A147,Stock!$A$3:$A$91,0),MATCH('Upton Overview'!F$67,Stock!$A$3:$S$3,0)),0)</f>
        <v/>
      </c>
      <c r="G147" s="15">
        <f>IFERROR(INDEX(Stock!$A$3:$S$91,MATCH('Upton Overview'!$A147,Stock!$A$3:$A$91,0),MATCH('Upton Overview'!G$67,Stock!$A$3:$S$3,0)),0)</f>
        <v/>
      </c>
      <c r="H147" s="10" t="n"/>
    </row>
    <row r="148">
      <c r="A148" s="15" t="inlineStr">
        <is>
          <t>Summer Cheese</t>
        </is>
      </c>
      <c r="B148" s="15">
        <f>IFERROR(INDEX(Stock!$A$3:$S$91,MATCH('Upton Overview'!$A148,Stock!$A$3:$A$91,0),MATCH('Upton Overview'!B$67,Stock!$A$3:$S$3,0)),0)</f>
        <v/>
      </c>
      <c r="C148" s="15">
        <f>IFERROR(INDEX(Stock!$A$3:$S$91,MATCH('Upton Overview'!$A148,Stock!$A$3:$A$91,0),MATCH('Upton Overview'!C$67,Stock!$A$3:$S$3,0)),0)</f>
        <v/>
      </c>
      <c r="D148" s="15">
        <f>C148-B148</f>
        <v/>
      </c>
      <c r="E148" s="15" t="n"/>
      <c r="F148" s="15">
        <f>IFERROR(INDEX(Stock!$A$3:$S$91,MATCH('Upton Overview'!$A148,Stock!$A$3:$A$91,0),MATCH('Upton Overview'!F$67,Stock!$A$3:$S$3,0)),0)</f>
        <v/>
      </c>
      <c r="G148" s="15">
        <f>IFERROR(INDEX(Stock!$A$3:$S$91,MATCH('Upton Overview'!$A148,Stock!$A$3:$A$91,0),MATCH('Upton Overview'!G$67,Stock!$A$3:$S$3,0)),0)</f>
        <v/>
      </c>
      <c r="H148" s="10" t="n"/>
    </row>
    <row r="149">
      <c r="A149" s="17" t="inlineStr">
        <is>
          <t>Total value of production (sum of the above)</t>
        </is>
      </c>
      <c r="B149" s="134" t="n"/>
      <c r="C149" s="134" t="n"/>
      <c r="D149" s="134" t="n"/>
      <c r="E149" s="134" t="n"/>
      <c r="F149" s="134" t="n"/>
      <c r="G149" s="135">
        <f>SUM(G146:G148)</f>
        <v/>
      </c>
      <c r="H149" s="10" t="n"/>
    </row>
    <row r="150">
      <c r="A150" s="17" t="inlineStr">
        <is>
          <t>Value of sales</t>
        </is>
      </c>
      <c r="B150" s="134" t="n"/>
      <c r="C150" s="134" t="n"/>
      <c r="D150" s="134" t="n"/>
      <c r="E150" s="134" t="n"/>
      <c r="F150" s="134" t="n"/>
      <c r="G150" s="135">
        <f>SUM(F146:F148)</f>
        <v/>
      </c>
      <c r="H150" s="10" t="n"/>
    </row>
    <row r="151">
      <c r="A151" s="15" t="n"/>
      <c r="B151" s="15" t="n"/>
      <c r="C151" s="15" t="n"/>
      <c r="D151" s="15" t="n"/>
      <c r="E151" s="15" t="n"/>
      <c r="F151" s="15" t="n"/>
      <c r="G151" s="133" t="n"/>
      <c r="H151" s="10" t="n"/>
    </row>
    <row r="152" ht="17.1" customHeight="1">
      <c r="A152" s="15" t="n"/>
      <c r="B152" s="15" t="n"/>
      <c r="C152" s="15" t="n"/>
      <c r="D152" s="15" t="n"/>
      <c r="E152" s="15" t="n"/>
      <c r="F152" s="15" t="n"/>
      <c r="G152" s="133" t="n"/>
      <c r="H152" s="10" t="n"/>
    </row>
    <row r="153" ht="17.1" customHeight="1">
      <c r="A153" s="103" t="n"/>
      <c r="B153" s="104" t="inlineStr">
        <is>
          <t>Total in £</t>
        </is>
      </c>
      <c r="C153" s="105" t="n"/>
      <c r="D153" s="147" t="n"/>
      <c r="E153" s="148" t="n"/>
      <c r="F153" s="15" t="n"/>
      <c r="G153" s="133" t="n"/>
      <c r="H153" s="10" t="n"/>
    </row>
    <row r="154">
      <c r="A154" s="97" t="inlineStr">
        <is>
          <t>Total Production Value of all Output (Grange, Dairy, Livestock Sales, Wools, Skins - NO Mill)</t>
        </is>
      </c>
      <c r="B154" s="26">
        <f>G149+G142+G135+G127+G103+G95+G53</f>
        <v/>
      </c>
      <c r="C154" s="10" t="n"/>
      <c r="D154" s="9" t="n"/>
      <c r="E154" s="149" t="n"/>
      <c r="F154" s="15" t="n"/>
      <c r="G154" s="150" t="n"/>
      <c r="H154" s="10" t="n"/>
    </row>
    <row r="155">
      <c r="A155" s="98" t="inlineStr">
        <is>
          <t>Total Sales Value of all Output as defined above</t>
        </is>
      </c>
      <c r="B155" s="26">
        <f>G150+G136+G128+G104+G95+G54</f>
        <v/>
      </c>
      <c r="C155" s="10" t="n"/>
      <c r="D155" s="9" t="n"/>
      <c r="E155" s="149" t="n"/>
      <c r="F155" s="15" t="n"/>
      <c r="G155" s="150" t="n"/>
      <c r="H155" s="10" t="n"/>
    </row>
    <row r="156">
      <c r="A156" s="98" t="inlineStr">
        <is>
          <t>Total Sales of Corn + Issues of the Manor as recorded in account</t>
        </is>
      </c>
      <c r="B156" s="26">
        <f>G10+G11</f>
        <v/>
      </c>
      <c r="C156" s="10" t="n"/>
      <c r="D156" s="9" t="n"/>
      <c r="E156" s="149" t="n"/>
      <c r="F156" s="15" t="n"/>
      <c r="G156" s="133" t="n"/>
      <c r="H156" s="10" t="n"/>
    </row>
    <row r="157">
      <c r="A157" s="98" t="inlineStr">
        <is>
          <t>Production Value + Cash Receipts (excl. Arrears, Issues, Corn and Mill)</t>
        </is>
      </c>
      <c r="B157" s="26">
        <f>B154+G6-G7-G8+G13</f>
        <v/>
      </c>
      <c r="C157" s="10" t="n"/>
      <c r="D157" s="9" t="n"/>
      <c r="E157" s="149" t="n"/>
      <c r="F157" s="15" t="n"/>
      <c r="G157" s="151" t="n"/>
      <c r="H157" s="10" t="n"/>
    </row>
    <row r="158">
      <c r="A158" s="99" t="n"/>
      <c r="B158" s="9" t="n"/>
      <c r="C158" s="10" t="n"/>
      <c r="D158" s="9" t="n"/>
      <c r="E158" s="149" t="n"/>
      <c r="F158" s="15" t="n"/>
      <c r="G158" s="150" t="n"/>
      <c r="H158" s="10" t="n"/>
    </row>
    <row r="159">
      <c r="A159" s="100" t="inlineStr">
        <is>
          <t>% of capital expenses in terms of total production</t>
        </is>
      </c>
      <c r="B159" s="152">
        <f>G31/B154</f>
        <v/>
      </c>
      <c r="C159" s="40" t="n"/>
      <c r="D159" s="9" t="n"/>
      <c r="E159" s="149" t="n"/>
      <c r="F159" s="15" t="n"/>
      <c r="G159" s="133" t="n"/>
      <c r="H159" s="10" t="n"/>
    </row>
    <row r="160">
      <c r="A160" s="98" t="inlineStr">
        <is>
          <t>% of capital expenses in terms of total production + cash receipts</t>
        </is>
      </c>
      <c r="B160" s="152">
        <f>G31/B157</f>
        <v/>
      </c>
      <c r="C160" s="10" t="n"/>
      <c r="D160" s="9" t="n"/>
      <c r="E160" s="149" t="n"/>
      <c r="F160" s="15" t="n"/>
      <c r="G160" s="150" t="n"/>
      <c r="H160" s="10" t="n"/>
    </row>
    <row r="161">
      <c r="A161" s="99" t="n"/>
      <c r="B161" s="9" t="n"/>
      <c r="C161" s="10" t="n"/>
      <c r="D161" s="9" t="n"/>
      <c r="E161" s="149" t="n"/>
    </row>
    <row r="162" ht="17.1" customHeight="1">
      <c r="A162" s="101" t="inlineStr">
        <is>
          <t>% of capital expenses as calculated previously</t>
        </is>
      </c>
      <c r="B162" s="153" t="n">
        <v>0.1021</v>
      </c>
      <c r="C162" s="102" t="n"/>
      <c r="D162" s="154" t="n"/>
      <c r="E162" s="155" t="n"/>
    </row>
  </sheetData>
  <mergeCells count="1">
    <mergeCell ref="B44:C4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55"/>
  <sheetViews>
    <sheetView topLeftCell="A1" workbookViewId="0">
      <selection activeCell="A1" sqref="A1"/>
    </sheetView>
  </sheetViews>
  <sheetFormatPr baseColWidth="8" defaultRowHeight="15"/>
  <cols>
    <col width="38.375" customWidth="1" min="1" max="1"/>
  </cols>
  <sheetData>
    <row r="1">
      <c r="A1" t="inlineStr">
        <is>
          <t>UPTON RECEIPTS</t>
        </is>
      </c>
      <c r="F1" s="156" t="n"/>
      <c r="H1" s="10" t="n"/>
    </row>
    <row r="2">
      <c r="B2" s="89" t="inlineStr">
        <is>
          <t>£</t>
        </is>
      </c>
      <c r="C2" s="90" t="inlineStr">
        <is>
          <t xml:space="preserve">s </t>
        </is>
      </c>
      <c r="D2" s="90" t="inlineStr">
        <is>
          <t>d</t>
        </is>
      </c>
      <c r="E2" s="12" t="n"/>
      <c r="F2" s="5" t="inlineStr">
        <is>
          <t>Total in £</t>
        </is>
      </c>
      <c r="G2" s="157" t="inlineStr">
        <is>
          <t>Error</t>
        </is>
      </c>
      <c r="H2" s="12" t="inlineStr">
        <is>
          <t>Notes</t>
        </is>
      </c>
    </row>
    <row r="3">
      <c r="F3" s="156" t="n"/>
      <c r="H3" s="10" t="n"/>
    </row>
    <row r="4">
      <c r="A4" s="12" t="inlineStr">
        <is>
          <t>Arrears</t>
        </is>
      </c>
      <c r="F4" s="156" t="n"/>
      <c r="H4" s="10" t="n"/>
    </row>
    <row r="5">
      <c r="A5" t="inlineStr">
        <is>
          <t>arrears from previous year</t>
        </is>
      </c>
      <c r="B5" t="n">
        <v>5</v>
      </c>
      <c r="C5" t="n">
        <v>19</v>
      </c>
      <c r="D5" t="n">
        <v>2.75</v>
      </c>
      <c r="F5" s="158">
        <f>B5+C5/20+D5/240</f>
        <v/>
      </c>
      <c r="H5" s="10" t="n"/>
    </row>
    <row r="6">
      <c r="A6" t="inlineStr">
        <is>
          <t>of which delivered to treasurer of Wolvesey</t>
        </is>
      </c>
      <c r="B6" t="n">
        <v>1</v>
      </c>
      <c r="C6" t="n">
        <v>9</v>
      </c>
      <c r="F6" s="158">
        <f>B6+C6/20+D6/240</f>
        <v/>
      </c>
      <c r="H6" s="10" t="n"/>
    </row>
    <row r="7"/>
    <row r="8">
      <c r="A8" s="12" t="inlineStr">
        <is>
          <t>Rents of assize</t>
        </is>
      </c>
    </row>
    <row r="9">
      <c r="A9" t="inlineStr">
        <is>
          <t>Feast of St. Andrew</t>
        </is>
      </c>
      <c r="C9" t="n">
        <v>7</v>
      </c>
      <c r="D9" t="n">
        <v>4</v>
      </c>
      <c r="F9" s="158">
        <f>B9+C9/20+D9/240</f>
        <v/>
      </c>
    </row>
    <row r="10">
      <c r="A10" t="inlineStr">
        <is>
          <t>Palm Sunday</t>
        </is>
      </c>
      <c r="C10" t="n">
        <v>7</v>
      </c>
      <c r="D10" t="n">
        <v>4</v>
      </c>
      <c r="F10" s="158">
        <f>B10+C10/20+D10/240</f>
        <v/>
      </c>
    </row>
    <row r="11">
      <c r="A11" t="inlineStr">
        <is>
          <t>Lammas</t>
        </is>
      </c>
      <c r="C11" t="n">
        <v>7</v>
      </c>
      <c r="D11" t="n">
        <v>4</v>
      </c>
      <c r="F11" s="158">
        <f>B11+C11/20+D11/240</f>
        <v/>
      </c>
    </row>
    <row r="12">
      <c r="A12" t="inlineStr">
        <is>
          <t>Michaelmas</t>
        </is>
      </c>
      <c r="C12" t="n">
        <v>1</v>
      </c>
      <c r="D12" t="n">
        <v>2.75</v>
      </c>
      <c r="F12" s="158">
        <f>B12+C12/20+D12/240</f>
        <v/>
      </c>
    </row>
    <row r="13">
      <c r="A13" s="12" t="inlineStr">
        <is>
          <t>Total recorded in accounts</t>
        </is>
      </c>
      <c r="B13" t="n">
        <v>1</v>
      </c>
      <c r="C13" t="n">
        <v>3</v>
      </c>
      <c r="D13" t="n">
        <v>2.75</v>
      </c>
      <c r="F13" s="158">
        <f>B13+C13/20+D13/240</f>
        <v/>
      </c>
    </row>
    <row r="14">
      <c r="A14" s="12" t="inlineStr">
        <is>
          <t>Total</t>
        </is>
      </c>
      <c r="B14">
        <f>SUM(B9:B12)</f>
        <v/>
      </c>
      <c r="C14">
        <f>SUM(C9:C12)</f>
        <v/>
      </c>
      <c r="D14">
        <f>SUM(D9:D12)</f>
        <v/>
      </c>
      <c r="F14" s="158">
        <f>B14+C14/20+D14/240</f>
        <v/>
      </c>
      <c r="G14" s="156">
        <f>F14-F13</f>
        <v/>
      </c>
    </row>
    <row r="15"/>
    <row r="16">
      <c r="A16" s="12" t="inlineStr">
        <is>
          <t>Quittances</t>
        </is>
      </c>
    </row>
    <row r="17">
      <c r="A17" t="inlineStr">
        <is>
          <t>in quittance of 1 reeve for the year</t>
        </is>
      </c>
      <c r="C17" t="n">
        <v>2</v>
      </c>
      <c r="F17" s="158">
        <f>B17+C17/20+D17/240</f>
        <v/>
      </c>
    </row>
    <row r="18">
      <c r="A18" t="inlineStr">
        <is>
          <t>3 ploughmen for the year</t>
        </is>
      </c>
      <c r="C18" t="n">
        <v>6</v>
      </c>
      <c r="F18" s="158">
        <f>B18+C18/20+D18/240</f>
        <v/>
      </c>
    </row>
    <row r="19">
      <c r="A19" t="inlineStr">
        <is>
          <t>1 shepherd for the year</t>
        </is>
      </c>
      <c r="C19" t="n">
        <v>2</v>
      </c>
      <c r="F19" s="158">
        <f>B19+C19/20+D19/240</f>
        <v/>
      </c>
    </row>
    <row r="20">
      <c r="A20" t="inlineStr">
        <is>
          <t>2 workers for the year</t>
        </is>
      </c>
      <c r="C20" t="n">
        <v>4</v>
      </c>
      <c r="F20" s="158">
        <f>B20+C20/20+D20/240</f>
        <v/>
      </c>
    </row>
    <row r="21">
      <c r="A21" s="12" t="inlineStr">
        <is>
          <t>Total recorded in accounts</t>
        </is>
      </c>
      <c r="C21" t="n">
        <v>14</v>
      </c>
      <c r="F21" s="158">
        <f>B21+C21/20+D21/240</f>
        <v/>
      </c>
    </row>
    <row r="22">
      <c r="A22" s="12" t="inlineStr">
        <is>
          <t>Total</t>
        </is>
      </c>
      <c r="B22">
        <f>SUM(B17:B20)</f>
        <v/>
      </c>
      <c r="C22">
        <f>SUM(C17:C20)</f>
        <v/>
      </c>
      <c r="D22">
        <f>SUM(D17:D20)</f>
        <v/>
      </c>
      <c r="F22" s="158">
        <f>B22+C22/20+D22/240</f>
        <v/>
      </c>
      <c r="G22" s="156">
        <f>F22-F21</f>
        <v/>
      </c>
    </row>
    <row r="23"/>
    <row r="24">
      <c r="A24" s="12" t="inlineStr">
        <is>
          <t>Defaults of rent</t>
        </is>
      </c>
    </row>
    <row r="25">
      <c r="A25" t="inlineStr">
        <is>
          <t>1 acre of land which John held dawn into demense</t>
        </is>
      </c>
      <c r="D25" t="n">
        <v>2.25</v>
      </c>
      <c r="F25" s="158">
        <f>B25+C25/20+D25/240</f>
        <v/>
      </c>
    </row>
    <row r="26">
      <c r="A26" s="12" t="inlineStr">
        <is>
          <t>Total recorded in accounts</t>
        </is>
      </c>
      <c r="D26" t="n">
        <v>2.25</v>
      </c>
      <c r="F26" s="158">
        <f>B26+C26/20+D26/240</f>
        <v/>
      </c>
    </row>
    <row r="27">
      <c r="A27" s="12" t="inlineStr">
        <is>
          <t>Total</t>
        </is>
      </c>
      <c r="B27">
        <f>SUM(B25:B25)</f>
        <v/>
      </c>
      <c r="C27">
        <f>SUM(C25:C25)</f>
        <v/>
      </c>
      <c r="D27">
        <f>SUM(D25:D25)</f>
        <v/>
      </c>
      <c r="F27" s="158">
        <f>B27+C27/20+D27/240</f>
        <v/>
      </c>
      <c r="G27" s="156">
        <f>F27-F26</f>
        <v/>
      </c>
    </row>
    <row r="28"/>
    <row r="29">
      <c r="A29" s="12" t="inlineStr">
        <is>
          <t>Total of rents remaining</t>
        </is>
      </c>
      <c r="C29" t="n">
        <v>9</v>
      </c>
      <c r="D29" t="n">
        <v>0.5</v>
      </c>
      <c r="F29" s="158">
        <f>B29+C29/20+D29/240</f>
        <v/>
      </c>
    </row>
    <row r="30"/>
    <row r="31">
      <c r="A31" s="12" t="inlineStr">
        <is>
          <t>Issues of the manor</t>
        </is>
      </c>
    </row>
    <row r="32">
      <c r="A32" t="inlineStr">
        <is>
          <t>from 29 wethers sold</t>
        </is>
      </c>
      <c r="B32" t="n">
        <v>1</v>
      </c>
      <c r="C32" t="n">
        <v>14</v>
      </c>
      <c r="D32" t="n">
        <v>10.5</v>
      </c>
      <c r="F32" s="158">
        <f>B32+C32/20+D32/240</f>
        <v/>
      </c>
    </row>
    <row r="33">
      <c r="A33" t="inlineStr">
        <is>
          <t>from 3 feeble and sick oxen sold</t>
        </is>
      </c>
      <c r="C33" t="n">
        <v>14</v>
      </c>
      <c r="D33" t="n">
        <v>10</v>
      </c>
      <c r="F33" s="158">
        <f>B33+C33/20+D33/240</f>
        <v/>
      </c>
    </row>
    <row r="34">
      <c r="A34" t="inlineStr">
        <is>
          <t>from hides of 7 oxen in murrain</t>
        </is>
      </c>
      <c r="C34" t="n">
        <v>18</v>
      </c>
      <c r="D34" t="n">
        <v>2</v>
      </c>
      <c r="F34" s="158">
        <f>B34+C34/20+D34/240</f>
        <v/>
      </c>
    </row>
    <row r="35">
      <c r="A35" t="inlineStr">
        <is>
          <t>from skins of 13 wethers in murrain before shearing</t>
        </is>
      </c>
      <c r="C35" t="n">
        <v>3</v>
      </c>
      <c r="D35" t="n">
        <v>3</v>
      </c>
      <c r="F35" s="158">
        <f>B35+C35/20+D35/240</f>
        <v/>
      </c>
    </row>
    <row r="36">
      <c r="A36" t="inlineStr">
        <is>
          <t>from skins of 10 wethers after shearing</t>
        </is>
      </c>
      <c r="D36" t="n">
        <v>10</v>
      </c>
      <c r="F36" s="158">
        <f>B36+C36/20+D36/240</f>
        <v/>
      </c>
    </row>
    <row r="37">
      <c r="A37" t="inlineStr">
        <is>
          <t>from 44 hens sold</t>
        </is>
      </c>
      <c r="C37" t="n">
        <v>3</v>
      </c>
      <c r="D37" t="n">
        <v>8</v>
      </c>
      <c r="F37" s="158">
        <f>B37+C37/20+D37/240</f>
        <v/>
      </c>
    </row>
    <row r="38">
      <c r="A38" s="12" t="inlineStr">
        <is>
          <t>Total recorded in accounts</t>
        </is>
      </c>
      <c r="B38" t="n">
        <v>3</v>
      </c>
      <c r="C38" t="n">
        <v>15</v>
      </c>
      <c r="D38" t="n">
        <v>7.5</v>
      </c>
      <c r="F38" s="158">
        <f>B38+C38/20+D38/240</f>
        <v/>
      </c>
    </row>
    <row r="39">
      <c r="A39" s="12" t="inlineStr">
        <is>
          <t>Total</t>
        </is>
      </c>
      <c r="B39">
        <f>SUM(B32:B37)</f>
        <v/>
      </c>
      <c r="C39">
        <f>SUM(C32:C37)</f>
        <v/>
      </c>
      <c r="D39">
        <f>SUM(D32:D37)</f>
        <v/>
      </c>
      <c r="F39" s="158">
        <f>B39+C39/20+D39/240</f>
        <v/>
      </c>
      <c r="G39" s="156">
        <f>F39-F38</f>
        <v/>
      </c>
    </row>
    <row r="40"/>
    <row r="41">
      <c r="A41" s="12" t="inlineStr">
        <is>
          <t>Sale of corn</t>
        </is>
      </c>
    </row>
    <row r="42">
      <c r="A42" t="inlineStr">
        <is>
          <t>from 11qrs 1 bus of wheat sold</t>
        </is>
      </c>
      <c r="B42" t="n">
        <v>2</v>
      </c>
      <c r="C42" t="n">
        <v>14</v>
      </c>
      <c r="D42" t="n">
        <v>5.5</v>
      </c>
      <c r="F42" s="158">
        <f>B42+C42/20+D42/240</f>
        <v/>
      </c>
    </row>
    <row r="43">
      <c r="A43" t="inlineStr">
        <is>
          <t>from 6 qrs of curall sold</t>
        </is>
      </c>
      <c r="C43" t="n">
        <v>12</v>
      </c>
      <c r="F43" s="158">
        <f>B43+C43/20+D43/240</f>
        <v/>
      </c>
    </row>
    <row r="44">
      <c r="A44" t="inlineStr">
        <is>
          <t>from 10 qrs wrs 3 bus of barley sold</t>
        </is>
      </c>
      <c r="B44" t="n">
        <v>1</v>
      </c>
      <c r="C44" t="n">
        <v>11</v>
      </c>
      <c r="D44" t="n">
        <v>1.5</v>
      </c>
      <c r="F44" s="158">
        <f>B44+C44/20+D44/240</f>
        <v/>
      </c>
    </row>
    <row r="45">
      <c r="A45" t="inlineStr">
        <is>
          <t>from 14 qrs 2 bus of oats sold</t>
        </is>
      </c>
      <c r="B45" t="n">
        <v>1</v>
      </c>
      <c r="C45" t="n">
        <v>13</v>
      </c>
      <c r="D45" t="n">
        <v>3</v>
      </c>
      <c r="F45" s="158">
        <f>B45+C45/20+D45/240</f>
        <v/>
      </c>
    </row>
    <row r="46">
      <c r="A46" t="inlineStr">
        <is>
          <t>from 4 qrs and 7 bus of vetches sold</t>
        </is>
      </c>
      <c r="C46" t="n">
        <v>9</v>
      </c>
      <c r="D46" t="n">
        <v>6</v>
      </c>
      <c r="F46" s="158">
        <f>B46+C46/20+D46/240</f>
        <v/>
      </c>
    </row>
    <row r="47">
      <c r="A47" s="12" t="inlineStr">
        <is>
          <t>Total recorded in accounts</t>
        </is>
      </c>
      <c r="B47" t="n">
        <v>7</v>
      </c>
      <c r="D47" t="n">
        <v>4</v>
      </c>
      <c r="F47" s="158">
        <f>B47+C47/20+D47/240</f>
        <v/>
      </c>
    </row>
    <row r="48">
      <c r="A48" s="12" t="inlineStr">
        <is>
          <t>Total</t>
        </is>
      </c>
      <c r="B48">
        <f>SUM(B42:B46)</f>
        <v/>
      </c>
      <c r="C48">
        <f>SUM(C42:C46)</f>
        <v/>
      </c>
      <c r="D48">
        <f>SUM(D42:D46)</f>
        <v/>
      </c>
      <c r="F48" s="158">
        <f>B48+C48/20+D48/240</f>
        <v/>
      </c>
      <c r="G48" s="156">
        <f>F48-F47</f>
        <v/>
      </c>
    </row>
    <row r="49"/>
    <row r="50">
      <c r="A50" s="12" t="inlineStr">
        <is>
          <t>Pleas and perquisites</t>
        </is>
      </c>
    </row>
    <row r="51">
      <c r="A51" t="inlineStr">
        <is>
          <t>from the amercements of the court this year</t>
        </is>
      </c>
      <c r="C51" t="n">
        <v>16</v>
      </c>
      <c r="D51" t="n">
        <v>4</v>
      </c>
      <c r="F51" s="158">
        <f>B51+C51/20+D51/240</f>
        <v/>
      </c>
    </row>
    <row r="52"/>
    <row r="53">
      <c r="A53" s="8" t="inlineStr">
        <is>
          <t>Total of all receipts (sum of above excl. arrears)</t>
        </is>
      </c>
      <c r="B53">
        <f>SUM(B51,B48+B39+B27+B22+B14)</f>
        <v/>
      </c>
      <c r="C53">
        <f>SUM(C51,C48+C39+C27+C22+C14)</f>
        <v/>
      </c>
      <c r="D53">
        <f>SUM(D51,D48+D39+D27+D22+D14)</f>
        <v/>
      </c>
      <c r="F53" s="158">
        <f>B53+C53/20+D53/240</f>
        <v/>
      </c>
    </row>
    <row r="54">
      <c r="A54" s="8" t="inlineStr">
        <is>
          <t>Total of all receipts (sum of above incl. arrears)</t>
        </is>
      </c>
      <c r="B54">
        <f>B53+B5</f>
        <v/>
      </c>
      <c r="C54">
        <f>C53+C5</f>
        <v/>
      </c>
      <c r="D54">
        <f>D53+D5</f>
        <v/>
      </c>
      <c r="F54" s="158">
        <f>B54+C54/20+D54/240</f>
        <v/>
      </c>
    </row>
    <row r="55">
      <c r="A55" s="8" t="inlineStr">
        <is>
          <t>Total of all receipts in account</t>
        </is>
      </c>
      <c r="B55" t="n">
        <v>12</v>
      </c>
      <c r="C55" t="n">
        <v>1</v>
      </c>
      <c r="D55" t="n">
        <v>4</v>
      </c>
      <c r="F55" s="158">
        <f>B55+C55/20+D55/240</f>
        <v/>
      </c>
      <c r="G55" s="156">
        <f>F55-F53</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69"/>
  <sheetViews>
    <sheetView topLeftCell="A1" workbookViewId="0">
      <selection activeCell="A1" sqref="A1"/>
    </sheetView>
  </sheetViews>
  <sheetFormatPr baseColWidth="8" defaultRowHeight="15"/>
  <cols>
    <col width="39" customWidth="1" min="1" max="1"/>
  </cols>
  <sheetData>
    <row r="1">
      <c r="A1" s="15" t="inlineStr">
        <is>
          <t>UPTON EXPENSES</t>
        </is>
      </c>
      <c r="B1" s="15" t="n"/>
      <c r="C1" s="15" t="n"/>
      <c r="D1" s="15" t="n"/>
      <c r="E1" s="15" t="n"/>
      <c r="F1" s="159" t="n"/>
      <c r="G1" s="15" t="n"/>
      <c r="H1" s="10" t="n"/>
    </row>
    <row r="2">
      <c r="A2" s="15" t="n"/>
      <c r="B2" s="140" t="inlineStr">
        <is>
          <t>£</t>
        </is>
      </c>
      <c r="C2" s="141" t="inlineStr">
        <is>
          <t xml:space="preserve">s </t>
        </is>
      </c>
      <c r="D2" s="141" t="inlineStr">
        <is>
          <t>d</t>
        </is>
      </c>
      <c r="E2" s="8" t="n"/>
      <c r="F2" s="160" t="inlineStr">
        <is>
          <t>Total in £</t>
        </is>
      </c>
      <c r="G2" s="157" t="inlineStr">
        <is>
          <t>Error</t>
        </is>
      </c>
      <c r="H2" s="12" t="inlineStr">
        <is>
          <t>Notes</t>
        </is>
      </c>
    </row>
    <row r="3">
      <c r="A3" s="12" t="inlineStr">
        <is>
          <t>Cost of Ploughs</t>
        </is>
      </c>
    </row>
    <row r="4">
      <c r="A4" t="inlineStr">
        <is>
          <t>iron and steel bought for 2 ploughs</t>
        </is>
      </c>
      <c r="C4" t="n">
        <v>4</v>
      </c>
      <c r="D4" t="n">
        <v>9.5</v>
      </c>
      <c r="F4" s="156">
        <f>B4+C4/20+D4/240</f>
        <v/>
      </c>
    </row>
    <row r="5">
      <c r="A5" t="inlineStr">
        <is>
          <t>1 ploughshare</t>
        </is>
      </c>
      <c r="D5" t="n">
        <v>9</v>
      </c>
      <c r="F5" s="156">
        <f>B5+C5/20+D5/240</f>
        <v/>
      </c>
    </row>
    <row r="6">
      <c r="A6" t="inlineStr">
        <is>
          <t>2 plough feet bought</t>
        </is>
      </c>
      <c r="D6" t="n">
        <v>6</v>
      </c>
      <c r="F6" s="156">
        <f>B6+C6/20+D6/240</f>
        <v/>
      </c>
    </row>
    <row r="7">
      <c r="A7" t="inlineStr">
        <is>
          <t>1 pair of wheels bought</t>
        </is>
      </c>
      <c r="D7" t="n">
        <v>2</v>
      </c>
      <c r="F7" s="156">
        <f>B7+C7/20+D7/240</f>
        <v/>
      </c>
    </row>
    <row r="8">
      <c r="A8" t="inlineStr">
        <is>
          <t>2 yokes</t>
        </is>
      </c>
      <c r="D8" t="n">
        <v>2</v>
      </c>
      <c r="F8" s="156">
        <f>B8+C8/20+D8/240</f>
        <v/>
      </c>
    </row>
    <row r="9">
      <c r="A9" t="inlineStr">
        <is>
          <t>stipend of smith for ironwork of 2 ploughs</t>
        </is>
      </c>
      <c r="C9" t="n">
        <v>4</v>
      </c>
      <c r="F9" s="156">
        <f>B9+C9/20+D9/240</f>
        <v/>
      </c>
    </row>
    <row r="10">
      <c r="A10" t="inlineStr">
        <is>
          <t>stipend of 1 oxherd</t>
        </is>
      </c>
      <c r="C10" t="n">
        <v>5</v>
      </c>
      <c r="F10" s="156">
        <f>B10+C10/20+D10/240</f>
        <v/>
      </c>
    </row>
    <row r="11">
      <c r="A11" t="inlineStr">
        <is>
          <t>making 2 ploughs from lords timber</t>
        </is>
      </c>
      <c r="D11" t="n">
        <v>5</v>
      </c>
      <c r="F11" s="156">
        <f>B11+C11/20+D11/240</f>
        <v/>
      </c>
    </row>
    <row r="12">
      <c r="A12" t="inlineStr">
        <is>
          <t>in 7 oxen bought due to others dying</t>
        </is>
      </c>
      <c r="B12" t="n">
        <v>2</v>
      </c>
      <c r="C12" t="n">
        <v>12</v>
      </c>
      <c r="D12" t="n">
        <v>10.75</v>
      </c>
      <c r="F12" s="156">
        <f>B12+C12/20+D12/240</f>
        <v/>
      </c>
    </row>
    <row r="13">
      <c r="A13" s="12" t="inlineStr">
        <is>
          <t>Total recorded in accounts</t>
        </is>
      </c>
      <c r="B13" t="n">
        <v>3</v>
      </c>
      <c r="C13" t="n">
        <v>8</v>
      </c>
      <c r="D13" t="n">
        <v>8.25</v>
      </c>
      <c r="F13" s="158">
        <f>B13+C13/20+D13/240</f>
        <v/>
      </c>
    </row>
    <row r="14">
      <c r="A14" s="12" t="inlineStr">
        <is>
          <t>Total</t>
        </is>
      </c>
      <c r="B14">
        <f>SUM(B3:B12)</f>
        <v/>
      </c>
      <c r="C14">
        <f>SUM(C3:C12)</f>
        <v/>
      </c>
      <c r="D14">
        <f>SUM(D3:D12)</f>
        <v/>
      </c>
      <c r="F14" s="158">
        <f>B14+C14/20+D14/240</f>
        <v/>
      </c>
      <c r="G14" s="156">
        <f>F14-F13</f>
        <v/>
      </c>
    </row>
    <row r="15">
      <c r="A15" s="12" t="inlineStr">
        <is>
          <t>Total capital expenses</t>
        </is>
      </c>
      <c r="B15">
        <f>SUM(B4:B9,B11)</f>
        <v/>
      </c>
      <c r="C15">
        <f>SUM(C4:C9,C11)</f>
        <v/>
      </c>
      <c r="D15">
        <f>SUM(D4:D9,D11)</f>
        <v/>
      </c>
      <c r="F15" s="158">
        <f>B15+C15/20+D15/240</f>
        <v/>
      </c>
      <c r="G15" s="156" t="n"/>
    </row>
    <row r="16"/>
    <row r="17">
      <c r="A17" s="12" t="inlineStr">
        <is>
          <t>Cost of Carts</t>
        </is>
      </c>
    </row>
    <row r="18">
      <c r="A18" t="inlineStr">
        <is>
          <t>4 tacks bought</t>
        </is>
      </c>
      <c r="D18" t="n">
        <v>3</v>
      </c>
      <c r="F18" s="156">
        <f>B18+C18/20+D18/240</f>
        <v/>
      </c>
    </row>
    <row r="19">
      <c r="A19" t="inlineStr">
        <is>
          <t>in 1 saddle pad</t>
        </is>
      </c>
      <c r="D19" t="n">
        <v>9</v>
      </c>
      <c r="F19" s="156">
        <f>B19+C19/20+D19/240</f>
        <v/>
      </c>
    </row>
    <row r="20">
      <c r="A20" t="inlineStr">
        <is>
          <t>in grease</t>
        </is>
      </c>
      <c r="D20" t="n">
        <v>1</v>
      </c>
      <c r="F20" s="156">
        <f>B20+C20/20+D20/240</f>
        <v/>
      </c>
    </row>
    <row r="21">
      <c r="A21" t="inlineStr">
        <is>
          <t>in shoeing 2 plough-horses</t>
        </is>
      </c>
      <c r="C21" t="n">
        <v>1</v>
      </c>
      <c r="D21" t="n">
        <v>5</v>
      </c>
      <c r="F21" s="156">
        <f>B21+C21/20+D21/240</f>
        <v/>
      </c>
    </row>
    <row r="22">
      <c r="A22" t="inlineStr">
        <is>
          <t>in fitting cart with axels</t>
        </is>
      </c>
      <c r="D22" t="n">
        <v>1.5</v>
      </c>
      <c r="F22" s="156">
        <f>B22+C22/20+D22/240</f>
        <v/>
      </c>
    </row>
    <row r="23">
      <c r="A23" t="inlineStr">
        <is>
          <t>stipend of 1 carter</t>
        </is>
      </c>
      <c r="C23" t="n">
        <v>5</v>
      </c>
      <c r="F23" s="156">
        <f>B23+C23/20+D23/240</f>
        <v/>
      </c>
    </row>
    <row r="24">
      <c r="A24" s="12" t="inlineStr">
        <is>
          <t>Total recorded in accounts</t>
        </is>
      </c>
      <c r="C24" t="n">
        <v>7</v>
      </c>
      <c r="D24" t="n">
        <v>7.5</v>
      </c>
      <c r="F24" s="158">
        <f>B24+C24/20+D24/240</f>
        <v/>
      </c>
    </row>
    <row r="25">
      <c r="A25" s="12" t="inlineStr">
        <is>
          <t>Total</t>
        </is>
      </c>
      <c r="B25">
        <f>SUM(B18:B23)</f>
        <v/>
      </c>
      <c r="C25">
        <f>SUM(C18:C23)</f>
        <v/>
      </c>
      <c r="D25">
        <f>SUM(D18:D23)</f>
        <v/>
      </c>
      <c r="F25" s="158">
        <f>B25+C25/20+D25/240</f>
        <v/>
      </c>
      <c r="G25" s="156">
        <f>F25-F24</f>
        <v/>
      </c>
    </row>
    <row r="26">
      <c r="A26" s="12" t="inlineStr">
        <is>
          <t>Total capital expenses</t>
        </is>
      </c>
      <c r="B26">
        <f>SUM(B18:B22)</f>
        <v/>
      </c>
      <c r="C26">
        <f>SUM(C18:C22)</f>
        <v/>
      </c>
      <c r="D26">
        <f>SUM(D18:D22)</f>
        <v/>
      </c>
      <c r="F26" s="158">
        <f>B26+C26/20+D26/240</f>
        <v/>
      </c>
      <c r="G26" s="156" t="n"/>
    </row>
    <row r="27"/>
    <row r="28">
      <c r="A28" s="12" t="inlineStr">
        <is>
          <t>Sheepcote</t>
        </is>
      </c>
    </row>
    <row r="29">
      <c r="A29" t="inlineStr">
        <is>
          <t>washing and shearing sheep</t>
        </is>
      </c>
      <c r="D29" t="n">
        <v>6</v>
      </c>
      <c r="F29" s="156">
        <f>B29+C29/20+D29/240</f>
        <v/>
      </c>
    </row>
    <row r="30">
      <c r="A30" t="inlineStr">
        <is>
          <t>grease bought</t>
        </is>
      </c>
      <c r="C30" t="n">
        <v>4</v>
      </c>
      <c r="F30" s="156">
        <f>B30+C30/20+D30/240</f>
        <v/>
      </c>
    </row>
    <row r="31">
      <c r="A31" s="12" t="inlineStr">
        <is>
          <t>Total recorded in accounts</t>
        </is>
      </c>
      <c r="C31" t="n">
        <v>4</v>
      </c>
      <c r="D31" t="n">
        <v>6</v>
      </c>
      <c r="F31" s="158">
        <f>B31+C31/20+D31/240</f>
        <v/>
      </c>
    </row>
    <row r="32">
      <c r="A32" s="12" t="inlineStr">
        <is>
          <t>Total</t>
        </is>
      </c>
      <c r="B32">
        <f>SUM(B29:B30)</f>
        <v/>
      </c>
      <c r="C32">
        <f>SUM(C29:C30)</f>
        <v/>
      </c>
      <c r="D32">
        <f>SUM(D29:D30)</f>
        <v/>
      </c>
      <c r="F32" s="158">
        <f>B32+C32/20+D32/240</f>
        <v/>
      </c>
      <c r="G32" s="156">
        <f>F32-F31</f>
        <v/>
      </c>
    </row>
    <row r="33">
      <c r="A33" s="12" t="inlineStr">
        <is>
          <t>Total capital expenses</t>
        </is>
      </c>
      <c r="B33">
        <f>SUM(B30)</f>
        <v/>
      </c>
      <c r="C33">
        <f>SUM(C30)</f>
        <v/>
      </c>
      <c r="D33">
        <f>SUM(D30)</f>
        <v/>
      </c>
      <c r="F33" s="158">
        <f>B33+C33/20+D33/240</f>
        <v/>
      </c>
      <c r="G33" s="156" t="n"/>
    </row>
    <row r="34"/>
    <row r="35">
      <c r="A35" s="12" t="inlineStr">
        <is>
          <t>Cost of Buildings</t>
        </is>
      </c>
    </row>
    <row r="36">
      <c r="A36" t="inlineStr">
        <is>
          <t>roofing and mending hall and byre</t>
        </is>
      </c>
      <c r="D36" t="n">
        <v>7.5</v>
      </c>
      <c r="F36" s="156">
        <f>B36+C36/20+D36/240</f>
        <v/>
      </c>
    </row>
    <row r="37">
      <c r="A37" t="inlineStr">
        <is>
          <t>stipend of 1 man repairing wall around garden</t>
        </is>
      </c>
      <c r="C37" t="n">
        <v>2</v>
      </c>
      <c r="D37" t="n">
        <v>1</v>
      </c>
      <c r="F37" s="156">
        <f>B37+C37/20+D37/240</f>
        <v/>
      </c>
    </row>
    <row r="38">
      <c r="A38" t="inlineStr">
        <is>
          <t>mending garden gate</t>
        </is>
      </c>
      <c r="D38" t="n">
        <v>2</v>
      </c>
      <c r="F38" s="156">
        <f>B38+C38/20+D38/240</f>
        <v/>
      </c>
    </row>
    <row r="39">
      <c r="A39" t="inlineStr">
        <is>
          <t>nails for same</t>
        </is>
      </c>
      <c r="D39" t="n">
        <v>1.5</v>
      </c>
      <c r="F39" s="156">
        <f>B39+C39/20+D39/240</f>
        <v/>
      </c>
    </row>
    <row r="40">
      <c r="A40" t="inlineStr">
        <is>
          <t>1 lock bought</t>
        </is>
      </c>
      <c r="D40" t="n">
        <v>1.5</v>
      </c>
      <c r="F40" s="156">
        <f>B40+C40/20+D40/240</f>
        <v/>
      </c>
    </row>
    <row r="41">
      <c r="A41" t="inlineStr">
        <is>
          <t>stipend of 1 man re-roofing hay-barn and cart-house</t>
        </is>
      </c>
      <c r="C41" t="n">
        <v>1</v>
      </c>
      <c r="D41" t="n">
        <v>4</v>
      </c>
      <c r="F41" s="156">
        <f>B41+C41/20+D41/240</f>
        <v/>
      </c>
    </row>
    <row r="42">
      <c r="A42" t="inlineStr">
        <is>
          <t>2 casks bought for cider</t>
        </is>
      </c>
      <c r="C42" t="n">
        <v>6</v>
      </c>
      <c r="D42" t="n">
        <v>10</v>
      </c>
      <c r="F42" s="156">
        <f>B42+C42/20+D42/240</f>
        <v/>
      </c>
    </row>
    <row r="43">
      <c r="A43" s="12" t="inlineStr">
        <is>
          <t>Total recorded in accounts</t>
        </is>
      </c>
      <c r="C43" t="n">
        <v>11</v>
      </c>
      <c r="D43" t="n">
        <v>3</v>
      </c>
      <c r="F43" s="158">
        <f>B43+C43/20+D43/240</f>
        <v/>
      </c>
    </row>
    <row r="44">
      <c r="A44" s="12" t="inlineStr">
        <is>
          <t>Total</t>
        </is>
      </c>
      <c r="B44">
        <f>SUM(B36:B42)</f>
        <v/>
      </c>
      <c r="C44">
        <f>SUM(C36:C42)</f>
        <v/>
      </c>
      <c r="D44">
        <f>SUM(D36:D42)</f>
        <v/>
      </c>
      <c r="F44" s="158">
        <f>B44+C44/20+D44/240</f>
        <v/>
      </c>
      <c r="G44" s="156">
        <f>F44-F43</f>
        <v/>
      </c>
    </row>
    <row r="45">
      <c r="A45" s="12" t="inlineStr">
        <is>
          <t>Total capital expenses</t>
        </is>
      </c>
      <c r="B45">
        <f>B36+B37+B38+B39+B40+B41+B42</f>
        <v/>
      </c>
      <c r="C45">
        <f>C36+C37+C38+C39+C40+C41+C42</f>
        <v/>
      </c>
      <c r="D45">
        <f>D36+D37+D38+D39+D40+D41+D42</f>
        <v/>
      </c>
      <c r="F45" s="158">
        <f>B45+C45/20+D45/240</f>
        <v/>
      </c>
      <c r="G45" s="156" t="n"/>
    </row>
    <row r="46"/>
    <row r="47">
      <c r="A47" s="12" t="inlineStr">
        <is>
          <t>Threshing</t>
        </is>
      </c>
    </row>
    <row r="48">
      <c r="A48" t="inlineStr">
        <is>
          <t>threshing 7.5 qrs of wheat</t>
        </is>
      </c>
      <c r="C48" t="n">
        <v>1</v>
      </c>
      <c r="D48" t="n">
        <v>3</v>
      </c>
      <c r="F48" s="156">
        <f>B48+C48/20+D48/240</f>
        <v/>
      </c>
    </row>
    <row r="49">
      <c r="A49" t="inlineStr">
        <is>
          <t>winnowing the same</t>
        </is>
      </c>
      <c r="D49" t="n">
        <v>1.5</v>
      </c>
      <c r="F49" s="156">
        <f>B49+C49/20+D49/240</f>
        <v/>
      </c>
    </row>
    <row r="50">
      <c r="A50" t="inlineStr">
        <is>
          <t>in threshing 10.5 qrs of barley</t>
        </is>
      </c>
      <c r="C50" t="n">
        <v>1</v>
      </c>
      <c r="D50" t="n">
        <v>3.75</v>
      </c>
      <c r="F50" s="156">
        <f>B50+C50/20+D50/240</f>
        <v/>
      </c>
    </row>
    <row r="51">
      <c r="A51" t="inlineStr">
        <is>
          <t>in winnowing the same</t>
        </is>
      </c>
      <c r="D51" t="n">
        <v>2</v>
      </c>
      <c r="F51" s="156">
        <f>B51+C51/20+D51/240</f>
        <v/>
      </c>
    </row>
    <row r="52">
      <c r="A52" s="12" t="inlineStr">
        <is>
          <t>Total recorded in accounts</t>
        </is>
      </c>
      <c r="C52" t="n">
        <v>2</v>
      </c>
      <c r="D52" t="n">
        <v>10.25</v>
      </c>
      <c r="F52" s="158">
        <f>B52+C52/20+D52/240</f>
        <v/>
      </c>
    </row>
    <row r="53">
      <c r="A53" s="12" t="inlineStr">
        <is>
          <t>Total</t>
        </is>
      </c>
      <c r="B53">
        <f>SUM(B48:B51)</f>
        <v/>
      </c>
      <c r="C53">
        <f>SUM(C48:C51)</f>
        <v/>
      </c>
      <c r="D53">
        <f>SUM(D48:D51)</f>
        <v/>
      </c>
      <c r="F53" s="158">
        <f>B53+C53/20+D53/240</f>
        <v/>
      </c>
      <c r="G53" s="156">
        <f>F53-F52</f>
        <v/>
      </c>
    </row>
    <row r="54"/>
    <row r="55">
      <c r="A55" s="12" t="inlineStr">
        <is>
          <t>Expenses of the Harvest</t>
        </is>
      </c>
    </row>
    <row r="56">
      <c r="A56" t="inlineStr">
        <is>
          <t>weeding corn over and above labour service</t>
        </is>
      </c>
      <c r="C56" t="n">
        <v>1</v>
      </c>
      <c r="D56" t="n">
        <v>8</v>
      </c>
      <c r="F56" s="156">
        <f>B56+C56/20+D56/240</f>
        <v/>
      </c>
    </row>
    <row r="57">
      <c r="A57" t="inlineStr">
        <is>
          <t>mowing and tossing meadow</t>
        </is>
      </c>
      <c r="D57" t="n">
        <v>4</v>
      </c>
      <c r="F57" s="156">
        <f>B57+C57/20+D57/240</f>
        <v/>
      </c>
    </row>
    <row r="58">
      <c r="A58" t="inlineStr">
        <is>
          <t>cheese bought for the mowing and tossing</t>
        </is>
      </c>
      <c r="D58" t="n">
        <v>4</v>
      </c>
      <c r="F58" s="156">
        <f>B58+C58/20+D58/240</f>
        <v/>
      </c>
    </row>
    <row r="59">
      <c r="A59" t="inlineStr">
        <is>
          <t>provision of household at harvest-time</t>
        </is>
      </c>
      <c r="C59" t="n">
        <v>1</v>
      </c>
      <c r="D59" t="n">
        <v>2</v>
      </c>
      <c r="F59" s="156">
        <f>B59+C59/20+D59/240</f>
        <v/>
      </c>
    </row>
    <row r="60">
      <c r="A60" t="inlineStr">
        <is>
          <t>stipend of reep-reeve who is overseer of harvest</t>
        </is>
      </c>
      <c r="C60" t="n">
        <v>3</v>
      </c>
      <c r="F60" s="156">
        <f>B60+C60/20+D60/240</f>
        <v/>
      </c>
    </row>
    <row r="61">
      <c r="A61" t="inlineStr">
        <is>
          <t>stipend of 1 stacker at harvest time</t>
        </is>
      </c>
      <c r="C61" t="n">
        <v>1</v>
      </c>
      <c r="D61" t="n">
        <v>8</v>
      </c>
      <c r="F61" s="156">
        <f>B61+C61/20+D61/240</f>
        <v/>
      </c>
    </row>
    <row r="62">
      <c r="A62" s="12" t="inlineStr">
        <is>
          <t>Total recorded in accounts</t>
        </is>
      </c>
      <c r="C62" t="n">
        <v>8</v>
      </c>
      <c r="D62" t="n">
        <v>2</v>
      </c>
      <c r="F62" s="158">
        <f>B62+C62/20+D62/240</f>
        <v/>
      </c>
    </row>
    <row r="63">
      <c r="A63" s="12" t="inlineStr">
        <is>
          <t>Total</t>
        </is>
      </c>
      <c r="B63">
        <f>SUM(B56:B61)</f>
        <v/>
      </c>
      <c r="C63">
        <f>SUM(C56:C61)</f>
        <v/>
      </c>
      <c r="D63">
        <f>SUM(D56:D61)</f>
        <v/>
      </c>
      <c r="F63" s="158">
        <f>B63+C63/20+D63/240</f>
        <v/>
      </c>
      <c r="G63" s="156">
        <f>F63-F62</f>
        <v/>
      </c>
    </row>
    <row r="64"/>
    <row r="65">
      <c r="A65" s="12" t="inlineStr">
        <is>
          <t>Total of all Expenses</t>
        </is>
      </c>
      <c r="B65" s="12" t="n">
        <v>5</v>
      </c>
      <c r="C65" s="12" t="n">
        <v>3</v>
      </c>
      <c r="D65" s="12" t="n">
        <v>1</v>
      </c>
      <c r="E65" s="12" t="n"/>
      <c r="F65" s="158">
        <f>B65+C65/20+D65/240</f>
        <v/>
      </c>
    </row>
    <row r="66">
      <c r="A66" s="12" t="inlineStr">
        <is>
          <t>Total of all Expenses (calculated)</t>
        </is>
      </c>
      <c r="B66" s="12">
        <f>SUM(B63,B53,B44,B32,B25,B14,)</f>
        <v/>
      </c>
      <c r="C66" s="12">
        <f>SUM(C63,C53,C44,C32,C25,C14,)</f>
        <v/>
      </c>
      <c r="D66" s="12">
        <f>SUM(D63,D53,D44,D32,D25,D14,)</f>
        <v/>
      </c>
      <c r="E66" s="12" t="n"/>
      <c r="F66" s="158">
        <f>B66+C66/20+D66/240</f>
        <v/>
      </c>
      <c r="G66" s="156">
        <f>F66-F65</f>
        <v/>
      </c>
    </row>
    <row r="67">
      <c r="A67" s="12" t="inlineStr">
        <is>
          <t>And thus he owes</t>
        </is>
      </c>
      <c r="B67" s="12" t="n">
        <v>6</v>
      </c>
      <c r="C67" s="12" t="n">
        <v>18</v>
      </c>
      <c r="D67" s="12" t="n">
        <v>3</v>
      </c>
      <c r="E67" s="12" t="n"/>
      <c r="F67" s="158">
        <f>B67+C67/20+D67/240</f>
        <v/>
      </c>
    </row>
    <row r="68">
      <c r="A68" s="12" t="inlineStr">
        <is>
          <t>Delivered to Sir Geoffrey, treasurer of Wolvesey</t>
        </is>
      </c>
      <c r="B68" s="12" t="n"/>
      <c r="C68" s="12" t="n"/>
      <c r="D68" s="12" t="n"/>
      <c r="E68" s="12" t="n"/>
      <c r="F68" s="158">
        <f>B68+C68/20+D68/240</f>
        <v/>
      </c>
    </row>
    <row r="69">
      <c r="A69" s="12" t="inlineStr">
        <is>
          <t>Total capital expenses</t>
        </is>
      </c>
      <c r="B69" s="12">
        <f>SUM(B15,B26,B33,B45)</f>
        <v/>
      </c>
      <c r="C69" s="12">
        <f>SUM(C15,C26,C33,C45)</f>
        <v/>
      </c>
      <c r="D69" s="12">
        <f>SUM(D15,D26,D33,D45)</f>
        <v/>
      </c>
      <c r="E69" s="12" t="n"/>
      <c r="F69" s="158">
        <f>B69+C69/20+D69/240</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4"/>
  <sheetViews>
    <sheetView topLeftCell="A1" workbookViewId="0">
      <selection activeCell="A1" sqref="A1"/>
    </sheetView>
  </sheetViews>
  <sheetFormatPr baseColWidth="8" defaultRowHeight="15"/>
  <sheetData>
    <row r="1">
      <c r="A1" s="38" t="n"/>
      <c r="B1" s="40" t="inlineStr">
        <is>
          <t>The issue of the grange account gives the total "yield" at the top of each heading in curly brackets, measurements used: fold, qrs, bus</t>
        </is>
      </c>
      <c r="I1" s="161" t="n"/>
      <c r="J1" s="161" t="n"/>
      <c r="O1" s="162" t="n"/>
      <c r="P1" s="162" t="n"/>
      <c r="Q1" s="162" t="n"/>
    </row>
    <row r="2">
      <c r="A2" s="38" t="n"/>
      <c r="B2" s="163" t="inlineStr">
        <is>
          <t>In "Issues of the grange" (p.12-13)</t>
        </is>
      </c>
      <c r="C2" s="163" t="n"/>
      <c r="D2" s="163" t="n"/>
      <c r="E2" s="163" t="n"/>
      <c r="F2" s="163" t="n"/>
      <c r="G2" s="164" t="inlineStr">
        <is>
          <t>In "Sale of Corn" (p.7)</t>
        </is>
      </c>
      <c r="H2" s="164" t="n"/>
      <c r="I2" s="164" t="n"/>
      <c r="J2" s="164" t="n"/>
      <c r="K2" s="164" t="n"/>
      <c r="L2" s="164" t="n"/>
      <c r="M2" s="164" t="n"/>
      <c r="N2" s="164" t="n"/>
      <c r="O2" s="165" t="n"/>
      <c r="P2" s="166" t="inlineStr">
        <is>
          <t>Value of Total Production</t>
        </is>
      </c>
      <c r="Q2" s="166" t="n"/>
    </row>
    <row r="3">
      <c r="A3" s="38" t="inlineStr">
        <is>
          <t>Gross output</t>
        </is>
      </c>
      <c r="B3" s="162" t="inlineStr">
        <is>
          <t>Quantity</t>
        </is>
      </c>
      <c r="D3" s="162" t="inlineStr">
        <is>
          <t>Additional bought-in</t>
        </is>
      </c>
      <c r="F3" s="167" t="inlineStr">
        <is>
          <t>Quantity</t>
        </is>
      </c>
      <c r="G3" s="162" t="inlineStr">
        <is>
          <t>Quantity noted as sold</t>
        </is>
      </c>
      <c r="J3" s="162" t="inlineStr">
        <is>
          <t>Difference Produced vs. Sold</t>
        </is>
      </c>
      <c r="K3" s="161" t="inlineStr">
        <is>
          <t>Price 1</t>
        </is>
      </c>
      <c r="L3" s="161" t="inlineStr">
        <is>
          <t>Quantity 1</t>
        </is>
      </c>
      <c r="M3" s="161" t="inlineStr">
        <is>
          <t>Price 2</t>
        </is>
      </c>
      <c r="N3" s="161" t="inlineStr">
        <is>
          <t>Quantity 2</t>
        </is>
      </c>
      <c r="O3" s="167" t="inlineStr">
        <is>
          <t>Unit price</t>
        </is>
      </c>
      <c r="P3" s="162" t="inlineStr">
        <is>
          <t>Value</t>
        </is>
      </c>
    </row>
    <row r="4">
      <c r="B4" s="168" t="inlineStr">
        <is>
          <t>qrs</t>
        </is>
      </c>
      <c r="C4" s="168" t="inlineStr">
        <is>
          <t>bus</t>
        </is>
      </c>
      <c r="D4" s="168" t="inlineStr">
        <is>
          <t>qrs</t>
        </is>
      </c>
      <c r="E4" s="168" t="inlineStr">
        <is>
          <t>bus</t>
        </is>
      </c>
      <c r="F4" s="169" t="inlineStr">
        <is>
          <t>qrs</t>
        </is>
      </c>
      <c r="G4" s="168" t="inlineStr">
        <is>
          <t>qrs</t>
        </is>
      </c>
      <c r="H4" s="168" t="inlineStr">
        <is>
          <t>bus</t>
        </is>
      </c>
      <c r="I4" s="168" t="inlineStr">
        <is>
          <t>qrs</t>
        </is>
      </c>
      <c r="J4" s="168" t="n"/>
      <c r="K4" s="168" t="inlineStr">
        <is>
          <t>£</t>
        </is>
      </c>
      <c r="L4" s="168" t="inlineStr">
        <is>
          <t>qrs</t>
        </is>
      </c>
      <c r="M4" s="168" t="inlineStr">
        <is>
          <t>£</t>
        </is>
      </c>
      <c r="N4" s="168" t="inlineStr">
        <is>
          <t>qrs</t>
        </is>
      </c>
      <c r="O4" s="169" t="inlineStr">
        <is>
          <t>£ per qr</t>
        </is>
      </c>
      <c r="P4" s="170" t="inlineStr">
        <is>
          <t>£</t>
        </is>
      </c>
      <c r="Q4" s="171" t="n"/>
    </row>
    <row r="5">
      <c r="A5" t="inlineStr">
        <is>
          <t>Wheat</t>
        </is>
      </c>
      <c r="B5" t="n">
        <v>23</v>
      </c>
      <c r="C5" t="n">
        <v>1</v>
      </c>
      <c r="F5" s="172">
        <f>B5+D5+C5/8+E5/8</f>
        <v/>
      </c>
      <c r="G5" t="n">
        <v>11</v>
      </c>
      <c r="H5" t="n">
        <v>1</v>
      </c>
      <c r="I5">
        <f>G5+H5/8</f>
        <v/>
      </c>
      <c r="J5" s="26">
        <f>F5-I5</f>
        <v/>
      </c>
      <c r="K5">
        <f>2+14/20+5.5/240</f>
        <v/>
      </c>
      <c r="L5">
        <f>I5</f>
        <v/>
      </c>
      <c r="O5" s="173">
        <f>IFERROR((K5+M5)/(L5+N5),0)</f>
        <v/>
      </c>
      <c r="P5" s="26">
        <f>O5*F5</f>
        <v/>
      </c>
    </row>
    <row r="6">
      <c r="A6" t="inlineStr">
        <is>
          <t>Curall</t>
        </is>
      </c>
      <c r="B6" t="n">
        <v>6</v>
      </c>
      <c r="F6" s="174">
        <f>B6+D6+C6/8+E6/8</f>
        <v/>
      </c>
      <c r="G6" t="n">
        <v>6</v>
      </c>
      <c r="I6">
        <f>G6+H6/8</f>
        <v/>
      </c>
      <c r="J6" s="26">
        <f>F6-I6</f>
        <v/>
      </c>
      <c r="K6">
        <f>12/20</f>
        <v/>
      </c>
      <c r="L6">
        <f>I6</f>
        <v/>
      </c>
      <c r="O6" s="173">
        <f>IFERROR((K6+M6)/(L6+N6),0)</f>
        <v/>
      </c>
      <c r="P6" s="26">
        <f>O6*F6</f>
        <v/>
      </c>
    </row>
    <row r="7">
      <c r="A7" t="inlineStr">
        <is>
          <t>Barley</t>
        </is>
      </c>
      <c r="B7" t="n">
        <v>34.5</v>
      </c>
      <c r="F7" s="174">
        <f>B7+D7+C7/8+E7/8</f>
        <v/>
      </c>
      <c r="G7" t="n">
        <v>10</v>
      </c>
      <c r="H7" t="n">
        <v>3</v>
      </c>
      <c r="I7">
        <f>G7+H7/8</f>
        <v/>
      </c>
      <c r="J7" s="26">
        <f>F7-I7</f>
        <v/>
      </c>
      <c r="K7" s="156">
        <f>'Upton Receipts'!F44</f>
        <v/>
      </c>
      <c r="L7">
        <f>I7</f>
        <v/>
      </c>
      <c r="O7" s="173">
        <f>IFERROR((K7+M7)/(L7+N7),0)</f>
        <v/>
      </c>
      <c r="P7" s="26">
        <f>O7*F7</f>
        <v/>
      </c>
    </row>
    <row r="8">
      <c r="A8" t="inlineStr">
        <is>
          <t>Oats</t>
        </is>
      </c>
      <c r="B8" t="n">
        <v>32</v>
      </c>
      <c r="C8" t="n">
        <v>6</v>
      </c>
      <c r="F8" s="174">
        <f>B8+D8+C8/8+E8/8</f>
        <v/>
      </c>
      <c r="G8" t="n">
        <v>14</v>
      </c>
      <c r="H8" t="n">
        <v>2</v>
      </c>
      <c r="I8">
        <f>G8+H8/8</f>
        <v/>
      </c>
      <c r="J8" s="26">
        <f>F8-I8</f>
        <v/>
      </c>
      <c r="K8" s="156">
        <f>'Upton Receipts'!F45</f>
        <v/>
      </c>
      <c r="L8">
        <f>I8</f>
        <v/>
      </c>
      <c r="O8" s="173">
        <f>IFERROR((K8+M8)/(L8+N8),0)</f>
        <v/>
      </c>
      <c r="P8" s="26">
        <f>O8*F8</f>
        <v/>
      </c>
    </row>
    <row r="9">
      <c r="A9" t="inlineStr">
        <is>
          <t>Peas</t>
        </is>
      </c>
      <c r="F9" s="174">
        <f>B9+D9+C9/8+E9/8</f>
        <v/>
      </c>
      <c r="I9">
        <f>G9+H9/8</f>
        <v/>
      </c>
      <c r="J9" s="26">
        <f>F9-I9</f>
        <v/>
      </c>
      <c r="K9" s="156" t="n"/>
      <c r="L9">
        <f>I9</f>
        <v/>
      </c>
      <c r="O9" s="173">
        <f>IFERROR((K9+M9)/(L9+N9),0)</f>
        <v/>
      </c>
      <c r="P9" s="26">
        <f>O9*F9</f>
        <v/>
      </c>
    </row>
    <row r="10">
      <c r="A10" t="inlineStr">
        <is>
          <t>Vetches</t>
        </is>
      </c>
      <c r="B10" t="n">
        <v>7</v>
      </c>
      <c r="C10" t="n">
        <v>6</v>
      </c>
      <c r="F10" s="174">
        <f>B10+D10+C10/8+E10/8</f>
        <v/>
      </c>
      <c r="G10" t="n">
        <v>4</v>
      </c>
      <c r="H10" t="n">
        <v>7</v>
      </c>
      <c r="I10">
        <f>G10+H10/8</f>
        <v/>
      </c>
      <c r="J10" s="26">
        <f>F10-I10</f>
        <v/>
      </c>
      <c r="K10" s="156">
        <f>'Upton Receipts'!F46</f>
        <v/>
      </c>
      <c r="L10">
        <f>I10</f>
        <v/>
      </c>
      <c r="O10" s="173">
        <f>IFERROR((K10+M10)/(L10+N10),0)</f>
        <v/>
      </c>
      <c r="P10" s="26">
        <f>O10*F10</f>
        <v/>
      </c>
    </row>
    <row r="11"/>
    <row r="12">
      <c r="A12" s="175" t="inlineStr">
        <is>
          <t>Total Production</t>
        </is>
      </c>
      <c r="B12" s="54" t="n"/>
      <c r="C12" s="54" t="n"/>
      <c r="D12" s="54" t="n"/>
      <c r="E12" s="54" t="n"/>
      <c r="F12" s="55">
        <f>SUM(F5:F10)</f>
        <v/>
      </c>
      <c r="G12" s="54" t="n"/>
      <c r="H12" s="54" t="n"/>
      <c r="I12" s="54" t="n"/>
      <c r="J12" s="54" t="n"/>
      <c r="K12" s="54" t="n"/>
      <c r="L12" s="54" t="n"/>
      <c r="M12" s="54" t="n"/>
      <c r="N12" s="54" t="n"/>
      <c r="O12" s="54" t="n"/>
      <c r="P12" s="55">
        <f>SUM(P5:P10)</f>
        <v/>
      </c>
      <c r="Q12" s="67" t="inlineStr">
        <is>
          <t>Production value is significantly more, as much less was sold than what was produced</t>
        </is>
      </c>
    </row>
    <row r="13">
      <c r="A13" s="175" t="inlineStr">
        <is>
          <t>Sales of corn (as recorded in accounts)</t>
        </is>
      </c>
      <c r="B13" s="54" t="n"/>
      <c r="C13" s="54" t="n"/>
      <c r="D13" s="54" t="n"/>
      <c r="E13" s="54" t="n"/>
      <c r="F13" s="54">
        <f>SUM(I5:I10)</f>
        <v/>
      </c>
      <c r="G13" s="54" t="n"/>
      <c r="H13" s="54" t="n"/>
      <c r="I13" s="54" t="n"/>
      <c r="J13" s="54" t="n"/>
      <c r="K13" s="54" t="n"/>
      <c r="L13" s="54" t="n"/>
      <c r="M13" s="54" t="n"/>
      <c r="N13" s="54" t="n"/>
      <c r="O13" s="54" t="n"/>
      <c r="P13" s="55" t="n"/>
      <c r="Q13" s="54" t="n"/>
    </row>
    <row r="14"/>
    <row r="15"/>
    <row r="16" ht="102" customHeight="1">
      <c r="A16" s="38" t="inlineStr">
        <is>
          <t>Net output</t>
        </is>
      </c>
      <c r="B16" s="176" t="inlineStr">
        <is>
          <t>Gross output</t>
        </is>
      </c>
      <c r="C16" s="177" t="inlineStr">
        <is>
          <t>Seed</t>
        </is>
      </c>
      <c r="F16" t="inlineStr">
        <is>
          <t>tithe</t>
        </is>
      </c>
      <c r="G16" s="178" t="inlineStr">
        <is>
          <t>to manorial servants &amp; livestock</t>
        </is>
      </c>
      <c r="J16" s="176" t="inlineStr">
        <is>
          <t>Output net of tithe &amp; seed &amp; liveries to manorial servants</t>
        </is>
      </c>
      <c r="K16" t="inlineStr">
        <is>
          <t>in stock from last year</t>
        </is>
      </c>
      <c r="L16" s="179" t="inlineStr">
        <is>
          <t xml:space="preserve">Price </t>
        </is>
      </c>
      <c r="M16" s="176" t="inlineStr">
        <is>
          <t>Value of net output</t>
        </is>
      </c>
      <c r="N16" s="176" t="inlineStr">
        <is>
          <t>Value of sales (in "Sale of Corn")</t>
        </is>
      </c>
    </row>
    <row r="17">
      <c r="B17" s="161" t="inlineStr">
        <is>
          <t>qrs</t>
        </is>
      </c>
      <c r="C17" s="161" t="inlineStr">
        <is>
          <t>qrs</t>
        </is>
      </c>
      <c r="D17" t="inlineStr">
        <is>
          <t>bus</t>
        </is>
      </c>
      <c r="E17" t="inlineStr">
        <is>
          <t>qrs</t>
        </is>
      </c>
      <c r="F17" t="inlineStr">
        <is>
          <t>qrs</t>
        </is>
      </c>
      <c r="G17" t="inlineStr">
        <is>
          <t>qrs</t>
        </is>
      </c>
      <c r="H17" t="inlineStr">
        <is>
          <t>bus</t>
        </is>
      </c>
      <c r="I17" s="173" t="inlineStr">
        <is>
          <t>qrs</t>
        </is>
      </c>
      <c r="J17" s="161" t="inlineStr">
        <is>
          <t>qrs</t>
        </is>
      </c>
      <c r="K17" s="173" t="inlineStr">
        <is>
          <t>qrs</t>
        </is>
      </c>
      <c r="L17" s="180" t="inlineStr">
        <is>
          <t>£ per qr</t>
        </is>
      </c>
      <c r="M17" s="161" t="inlineStr">
        <is>
          <t>£</t>
        </is>
      </c>
      <c r="N17" s="161" t="inlineStr">
        <is>
          <t>£</t>
        </is>
      </c>
    </row>
    <row r="18">
      <c r="A18" t="inlineStr">
        <is>
          <t>Wheat</t>
        </is>
      </c>
      <c r="B18" s="26">
        <f>F5</f>
        <v/>
      </c>
      <c r="C18" t="n">
        <v>11</v>
      </c>
      <c r="E18">
        <f>C18+D18/8</f>
        <v/>
      </c>
      <c r="G18" t="n">
        <v>1</v>
      </c>
      <c r="H18" t="n">
        <v>3</v>
      </c>
      <c r="I18" s="173">
        <f>G18+H18/8</f>
        <v/>
      </c>
      <c r="J18" s="26">
        <f>B18-(E18+F18+I18)</f>
        <v/>
      </c>
      <c r="K18" s="173" t="n"/>
      <c r="L18" s="181">
        <f>O5</f>
        <v/>
      </c>
      <c r="M18" s="26">
        <f>L18*J18</f>
        <v/>
      </c>
      <c r="N18" s="26">
        <f>'Upton Receipts'!F42</f>
        <v/>
      </c>
    </row>
    <row r="19">
      <c r="A19" t="inlineStr">
        <is>
          <t>Curall</t>
        </is>
      </c>
      <c r="B19" s="26">
        <f>F6</f>
        <v/>
      </c>
      <c r="E19">
        <f>C19+D19/8</f>
        <v/>
      </c>
      <c r="I19" s="173">
        <f>G19+H19/8</f>
        <v/>
      </c>
      <c r="J19" s="26">
        <f>B19-(E19+F19+I19)</f>
        <v/>
      </c>
      <c r="K19" s="173" t="n"/>
      <c r="L19" s="181">
        <f>O6</f>
        <v/>
      </c>
      <c r="M19" s="26">
        <f>L19*J19</f>
        <v/>
      </c>
      <c r="N19" s="26">
        <f>'Upton Receipts'!F43</f>
        <v/>
      </c>
    </row>
    <row r="20">
      <c r="A20" t="inlineStr">
        <is>
          <t>Barley</t>
        </is>
      </c>
      <c r="B20" s="26">
        <f>F7</f>
        <v/>
      </c>
      <c r="C20" t="n">
        <v>11</v>
      </c>
      <c r="D20" t="n">
        <v>6</v>
      </c>
      <c r="E20">
        <f>C20+D20/8</f>
        <v/>
      </c>
      <c r="G20" t="n">
        <v>11.5</v>
      </c>
      <c r="H20" t="n">
        <v>6</v>
      </c>
      <c r="I20" s="173">
        <f>G20+H20/8</f>
        <v/>
      </c>
      <c r="J20" s="26">
        <f>B20-(E20+F20+I20)</f>
        <v/>
      </c>
      <c r="K20" s="173" t="n"/>
      <c r="L20" s="181">
        <f>O7</f>
        <v/>
      </c>
      <c r="M20" s="26">
        <f>L20*J20</f>
        <v/>
      </c>
      <c r="N20" s="26">
        <f>'Upton Receipts'!F44</f>
        <v/>
      </c>
    </row>
    <row r="21">
      <c r="A21" t="inlineStr">
        <is>
          <t>Oats</t>
        </is>
      </c>
      <c r="B21" s="26">
        <f>F8</f>
        <v/>
      </c>
      <c r="C21" t="n">
        <v>15</v>
      </c>
      <c r="E21">
        <f>C21+D21/8</f>
        <v/>
      </c>
      <c r="G21" t="n">
        <v>3.5</v>
      </c>
      <c r="I21" s="173">
        <f>G21+H21/8</f>
        <v/>
      </c>
      <c r="J21" s="26">
        <f>B21-(E21+F21+I21)</f>
        <v/>
      </c>
      <c r="K21" s="173" t="n"/>
      <c r="L21" s="181">
        <f>O8</f>
        <v/>
      </c>
      <c r="M21" s="26">
        <f>L21*J21</f>
        <v/>
      </c>
      <c r="N21" s="26">
        <f>'Upton Receipts'!F45</f>
        <v/>
      </c>
    </row>
    <row r="22">
      <c r="A22" t="inlineStr">
        <is>
          <t>Peas</t>
        </is>
      </c>
      <c r="B22" s="26">
        <f>F9</f>
        <v/>
      </c>
      <c r="E22">
        <f>C22+D22/8</f>
        <v/>
      </c>
      <c r="I22" s="173">
        <f>G22+H22/8</f>
        <v/>
      </c>
      <c r="J22" s="26">
        <f>B22-(E22+F22+I22)</f>
        <v/>
      </c>
      <c r="K22" s="173" t="n"/>
      <c r="L22" s="181">
        <f>O9</f>
        <v/>
      </c>
      <c r="M22" s="26">
        <f>L22*J22</f>
        <v/>
      </c>
    </row>
    <row r="23">
      <c r="A23" t="inlineStr">
        <is>
          <t>Vetches</t>
        </is>
      </c>
      <c r="B23" s="26">
        <f>F10</f>
        <v/>
      </c>
      <c r="C23" t="n">
        <v>1</v>
      </c>
      <c r="D23" t="n">
        <v>7</v>
      </c>
      <c r="E23">
        <f>C23+D23/8</f>
        <v/>
      </c>
      <c r="G23" t="n">
        <v>1</v>
      </c>
      <c r="I23" s="173">
        <f>G23+H23/8</f>
        <v/>
      </c>
      <c r="J23" s="26">
        <f>B23-(E23+F23+I23)</f>
        <v/>
      </c>
      <c r="K23" s="173" t="n"/>
      <c r="L23" s="181">
        <f>O10</f>
        <v/>
      </c>
      <c r="M23" s="26">
        <f>L23*J23</f>
        <v/>
      </c>
      <c r="N23" s="26">
        <f>'Upton Receipts'!F46</f>
        <v/>
      </c>
    </row>
    <row r="24">
      <c r="A24" s="175" t="inlineStr">
        <is>
          <t>Total</t>
        </is>
      </c>
      <c r="B24" s="55">
        <f>SUM(B18:B23)</f>
        <v/>
      </c>
      <c r="C24" s="54" t="n"/>
      <c r="D24" s="54" t="n"/>
      <c r="E24" s="54">
        <f>SUM(E18:E23)</f>
        <v/>
      </c>
      <c r="F24" s="54" t="n"/>
      <c r="G24" s="54" t="n"/>
      <c r="H24" s="54" t="n"/>
      <c r="I24" s="54" t="n"/>
      <c r="J24" s="55">
        <f>SUM(J18:J23)</f>
        <v/>
      </c>
      <c r="K24" s="54" t="n"/>
      <c r="L24" s="54" t="n"/>
      <c r="M24" s="55">
        <f>SUM(M18:M23)</f>
        <v/>
      </c>
      <c r="N24" s="55">
        <f>SUM(N18:N23)</f>
        <v/>
      </c>
    </row>
  </sheetData>
  <mergeCells count="5">
    <mergeCell ref="C16:E16"/>
    <mergeCell ref="G16:I16"/>
    <mergeCell ref="B3:C3"/>
    <mergeCell ref="G3:I3"/>
    <mergeCell ref="D3:E3"/>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S97"/>
  <sheetViews>
    <sheetView topLeftCell="A1" workbookViewId="0">
      <selection activeCell="A1" sqref="A1"/>
    </sheetView>
  </sheetViews>
  <sheetFormatPr baseColWidth="8" defaultRowHeight="15"/>
  <cols>
    <col width="18.875" customWidth="1" min="1" max="1"/>
    <col width="11.625" customWidth="1" min="13" max="13"/>
    <col width="10.875" customWidth="1" min="16" max="16"/>
  </cols>
  <sheetData>
    <row r="1">
      <c r="A1" s="8" t="inlineStr">
        <is>
          <t>EAST KNOYLE STOCK ACCOUNT</t>
        </is>
      </c>
      <c r="B1" s="15" t="n"/>
      <c r="C1" s="15" t="n"/>
      <c r="D1" s="15" t="n"/>
      <c r="E1" s="15" t="n"/>
      <c r="F1" s="15" t="n"/>
      <c r="G1" s="15" t="n"/>
      <c r="H1" s="15" t="n"/>
      <c r="I1" s="15" t="n"/>
      <c r="J1" s="15" t="n"/>
      <c r="K1" s="133" t="n"/>
      <c r="L1" s="133" t="n"/>
      <c r="M1" s="15" t="n"/>
      <c r="N1" s="15" t="n"/>
      <c r="O1" s="15" t="n"/>
      <c r="P1" s="133" t="n"/>
      <c r="Q1" s="133" t="n"/>
      <c r="R1" s="133" t="n"/>
      <c r="S1" s="15" t="n"/>
    </row>
    <row r="2">
      <c r="A2" s="22" t="n"/>
      <c r="B2" s="15" t="n"/>
      <c r="C2" s="15" t="n"/>
      <c r="D2" s="15" t="n"/>
      <c r="E2" s="15" t="n"/>
      <c r="F2" s="15" t="n"/>
      <c r="G2" s="15" t="n"/>
      <c r="H2" s="15" t="n"/>
      <c r="I2" s="15" t="n"/>
      <c r="J2" s="15" t="n"/>
      <c r="K2" s="133" t="n"/>
      <c r="L2" s="133" t="n"/>
      <c r="M2" s="15" t="n"/>
      <c r="N2" s="15" t="n"/>
      <c r="O2" s="15" t="n"/>
      <c r="P2" s="133" t="n"/>
      <c r="Q2" s="133" t="n"/>
      <c r="R2" s="133" t="n"/>
      <c r="S2" s="15" t="n"/>
    </row>
    <row r="3" ht="68.09999999999999" customHeight="1">
      <c r="A3" s="182" t="inlineStr">
        <is>
          <t>Livestock</t>
        </is>
      </c>
      <c r="B3" s="143" t="inlineStr">
        <is>
          <t>Inherited stock</t>
        </is>
      </c>
      <c r="C3" s="143" t="inlineStr">
        <is>
          <t>added</t>
        </is>
      </c>
      <c r="D3" s="8" t="inlineStr">
        <is>
          <t>strays</t>
        </is>
      </c>
      <c r="E3" s="8" t="inlineStr">
        <is>
          <t>herbage</t>
        </is>
      </c>
      <c r="F3" s="143" t="inlineStr">
        <is>
          <t>sold</t>
        </is>
      </c>
      <c r="G3" s="143" t="inlineStr">
        <is>
          <t>in murrain</t>
        </is>
      </c>
      <c r="H3" s="143" t="inlineStr">
        <is>
          <t>accounted for elsewhere</t>
        </is>
      </c>
      <c r="I3" s="143" t="inlineStr">
        <is>
          <t>End-period  stock</t>
        </is>
      </c>
      <c r="J3" s="143" t="inlineStr">
        <is>
          <t>cross-check</t>
        </is>
      </c>
      <c r="K3" s="183" t="inlineStr">
        <is>
          <t>price 1</t>
        </is>
      </c>
      <c r="L3" s="183" t="inlineStr">
        <is>
          <t>units 1</t>
        </is>
      </c>
      <c r="M3" s="143" t="inlineStr">
        <is>
          <t>price 2</t>
        </is>
      </c>
      <c r="N3" s="143" t="inlineStr">
        <is>
          <t>units 2</t>
        </is>
      </c>
      <c r="O3" s="143" t="inlineStr">
        <is>
          <t>Weight (weys)</t>
        </is>
      </c>
      <c r="P3" s="183" t="inlineStr">
        <is>
          <t>Unit price (£)</t>
        </is>
      </c>
      <c r="Q3" s="144" t="inlineStr">
        <is>
          <t>Value of production (£) at sales prices</t>
        </is>
      </c>
      <c r="R3" s="144" t="inlineStr">
        <is>
          <t>Sales in (£)</t>
        </is>
      </c>
      <c r="S3" s="143" t="inlineStr">
        <is>
          <t>Details</t>
        </is>
      </c>
    </row>
    <row r="4" ht="17.1" customHeight="1">
      <c r="A4" s="22" t="inlineStr">
        <is>
          <t>Cart-horses</t>
        </is>
      </c>
      <c r="B4" s="15" t="n"/>
      <c r="C4" s="15" t="n"/>
      <c r="D4" s="15" t="n"/>
      <c r="E4" s="15" t="n"/>
      <c r="F4" s="15" t="n"/>
      <c r="G4" s="15" t="n"/>
      <c r="H4" s="15" t="n"/>
      <c r="I4" s="15" t="n"/>
      <c r="J4" s="143">
        <f>B4+C4-D4-E4-F4-G4-H4</f>
        <v/>
      </c>
      <c r="P4" s="133">
        <f>IFERROR((K4+M4)/(L4+N4),"")</f>
        <v/>
      </c>
      <c r="Q4" s="133">
        <f>IFERROR(C4*P4,"")</f>
        <v/>
      </c>
      <c r="R4" s="133">
        <f>IFERROR(P4*F4,"")</f>
        <v/>
      </c>
      <c r="S4" s="15" t="n"/>
    </row>
    <row r="5" ht="17.1" customHeight="1">
      <c r="A5" s="22" t="inlineStr">
        <is>
          <t>Mares</t>
        </is>
      </c>
      <c r="B5" s="15" t="n">
        <v>16</v>
      </c>
      <c r="C5" s="15" t="n">
        <v>7</v>
      </c>
      <c r="D5" s="15" t="n"/>
      <c r="E5" s="15" t="n"/>
      <c r="F5" s="15" t="n">
        <v>3</v>
      </c>
      <c r="G5" s="15" t="n">
        <v>7</v>
      </c>
      <c r="H5" s="15" t="n"/>
      <c r="I5" s="15" t="n">
        <v>13</v>
      </c>
      <c r="J5" s="143">
        <f>B5+C5-D5-E5-F5-G5-H5</f>
        <v/>
      </c>
      <c r="K5" s="184">
        <f>'Upton Receipts'!F33</f>
        <v/>
      </c>
      <c r="L5" s="184" t="n">
        <v>3</v>
      </c>
      <c r="M5" s="143" t="n"/>
      <c r="N5" s="143" t="n"/>
      <c r="O5" s="143" t="n"/>
      <c r="P5" s="133">
        <f>IFERROR((K5+M5)/(L5+N5),"")</f>
        <v/>
      </c>
      <c r="Q5" s="133">
        <f>IFERROR(C5*P5,"")</f>
        <v/>
      </c>
      <c r="R5" s="133">
        <f>IFERROR(P5*F5,"")</f>
        <v/>
      </c>
      <c r="S5" s="15" t="n"/>
    </row>
    <row r="6">
      <c r="A6" s="15" t="inlineStr">
        <is>
          <t>Plough horses</t>
        </is>
      </c>
      <c r="B6" s="15" t="n">
        <v>2</v>
      </c>
      <c r="C6" s="15" t="n"/>
      <c r="D6" s="15" t="n"/>
      <c r="E6" s="15" t="n"/>
      <c r="F6" s="15" t="n"/>
      <c r="G6" s="15" t="n"/>
      <c r="H6" s="15" t="n"/>
      <c r="I6" s="15" t="n">
        <v>2</v>
      </c>
      <c r="J6" s="143">
        <f>B6+C6-D6-E6-F6-G6-H6</f>
        <v/>
      </c>
      <c r="K6" s="183" t="n"/>
      <c r="L6" s="183" t="n"/>
      <c r="M6" s="143" t="n"/>
      <c r="N6" s="143" t="n"/>
      <c r="O6" s="143" t="n"/>
      <c r="P6" s="133">
        <f>IFERROR((K6+M6)/(L6+N6),"")</f>
        <v/>
      </c>
      <c r="Q6" s="133">
        <f>IFERROR(C6*P6,"")</f>
        <v/>
      </c>
      <c r="R6" s="133">
        <f>IFERROR(P6*F6,"")</f>
        <v/>
      </c>
      <c r="S6" s="15" t="n"/>
    </row>
    <row r="7">
      <c r="A7" s="15" t="inlineStr">
        <is>
          <t>Colts (2 years)</t>
        </is>
      </c>
      <c r="B7" s="15" t="n"/>
      <c r="C7" s="15" t="n"/>
      <c r="D7" s="15" t="n"/>
      <c r="E7" s="15" t="n"/>
      <c r="F7" s="15" t="n"/>
      <c r="G7" s="15" t="n"/>
      <c r="H7" s="15" t="n"/>
      <c r="I7" s="15" t="n"/>
      <c r="J7" s="143">
        <f>B7+C7-D7-E7-F7-G7-H7</f>
        <v/>
      </c>
      <c r="K7" s="183" t="n"/>
      <c r="L7" s="183" t="n"/>
      <c r="M7" s="143" t="n"/>
      <c r="N7" s="143" t="n"/>
      <c r="O7" s="143" t="n"/>
      <c r="P7" s="133">
        <f>IFERROR((K7+M7)/(L7+N7),"")</f>
        <v/>
      </c>
      <c r="Q7" s="133">
        <f>IFERROR(C7*P7,"")</f>
        <v/>
      </c>
      <c r="R7" s="133">
        <f>IFERROR(P7*F7,"")</f>
        <v/>
      </c>
      <c r="S7" s="15" t="n"/>
    </row>
    <row r="8">
      <c r="A8" s="15" t="inlineStr">
        <is>
          <t>Colts (2 years)</t>
        </is>
      </c>
      <c r="B8" s="15" t="n"/>
      <c r="C8" s="15" t="n"/>
      <c r="D8" s="15" t="n"/>
      <c r="E8" s="15" t="n"/>
      <c r="F8" s="15" t="n"/>
      <c r="G8" s="15" t="n"/>
      <c r="H8" s="15" t="n"/>
      <c r="I8" s="15" t="n"/>
      <c r="J8" s="143">
        <f>B8+C8-D8-E8-F8-G8-H8</f>
        <v/>
      </c>
      <c r="K8" s="183" t="n"/>
      <c r="L8" s="183" t="n"/>
      <c r="M8" s="143" t="n"/>
      <c r="N8" s="143" t="n"/>
      <c r="O8" s="143" t="n"/>
      <c r="P8" s="133">
        <f>IFERROR((K8+M8)/(L8+N8),"")</f>
        <v/>
      </c>
      <c r="Q8" s="133">
        <f>IFERROR(C8*P8,"")</f>
        <v/>
      </c>
      <c r="R8" s="133">
        <f>IFERROR(P8*F8,"")</f>
        <v/>
      </c>
      <c r="S8" s="15" t="n"/>
    </row>
    <row r="9">
      <c r="A9" s="15" t="inlineStr">
        <is>
          <t>Colts (1 year)</t>
        </is>
      </c>
      <c r="B9" s="15" t="n"/>
      <c r="C9" s="15" t="n"/>
      <c r="D9" s="15" t="n"/>
      <c r="E9" s="15" t="n"/>
      <c r="F9" s="15" t="n"/>
      <c r="G9" s="15" t="n"/>
      <c r="H9" s="15" t="n"/>
      <c r="I9" s="15" t="n"/>
      <c r="J9" s="143">
        <f>B9+C9-D9-E9-F9-G9-H9</f>
        <v/>
      </c>
      <c r="K9" s="183" t="n"/>
      <c r="L9" s="183" t="n"/>
      <c r="M9" s="143" t="n"/>
      <c r="N9" s="143" t="n"/>
      <c r="O9" s="143" t="n"/>
      <c r="P9" s="133">
        <f>IFERROR((K9+M9)/(L9+N9),"")</f>
        <v/>
      </c>
      <c r="Q9" s="133">
        <f>IFERROR(C9*P9,"")</f>
        <v/>
      </c>
      <c r="R9" s="133">
        <f>IFERROR(P9*F9,"")</f>
        <v/>
      </c>
      <c r="S9" s="15" t="n"/>
    </row>
    <row r="10">
      <c r="A10" s="15" t="inlineStr">
        <is>
          <t>Foals</t>
        </is>
      </c>
      <c r="B10" s="15" t="n"/>
      <c r="C10" s="15" t="n"/>
      <c r="D10" s="15" t="n"/>
      <c r="E10" s="15" t="n"/>
      <c r="F10" s="15" t="n"/>
      <c r="G10" s="15" t="n"/>
      <c r="H10" s="15" t="n"/>
      <c r="I10" s="15" t="n"/>
      <c r="J10" s="143">
        <f>B10+C10-D10-E10-F10-G10-H10</f>
        <v/>
      </c>
      <c r="K10" s="183" t="n"/>
      <c r="L10" s="183" t="n"/>
      <c r="M10" s="143" t="n"/>
      <c r="N10" s="143" t="n"/>
      <c r="O10" s="143" t="n"/>
      <c r="P10" s="133">
        <f>IFERROR((K10+M10)/(L10+N10),"")</f>
        <v/>
      </c>
      <c r="Q10" s="133">
        <f>IFERROR(C10*P10,"")</f>
        <v/>
      </c>
      <c r="R10" s="133">
        <f>IFERROR(P10*F10,"")</f>
        <v/>
      </c>
      <c r="S10" s="15" t="n"/>
    </row>
    <row r="11">
      <c r="A11" s="15" t="inlineStr">
        <is>
          <t>Oxen</t>
        </is>
      </c>
      <c r="B11" s="15" t="n"/>
      <c r="C11" s="15" t="n"/>
      <c r="D11" s="15" t="n"/>
      <c r="E11" s="15" t="n"/>
      <c r="F11" s="15" t="n"/>
      <c r="G11" s="15" t="n"/>
      <c r="H11" s="15" t="n"/>
      <c r="I11" s="15" t="n"/>
      <c r="J11" s="143">
        <f>B11+C11-D11-E11-F11-G11-H11</f>
        <v/>
      </c>
      <c r="K11" s="184" t="n"/>
      <c r="L11" s="184" t="n"/>
      <c r="M11" s="185" t="n"/>
      <c r="N11" s="185" t="n"/>
      <c r="O11" s="185" t="n"/>
      <c r="P11" s="133">
        <f>IFERROR((K11+M11)/(L11+N11),"")</f>
        <v/>
      </c>
      <c r="Q11" s="133">
        <f>IFERROR(C11*P11,"")</f>
        <v/>
      </c>
      <c r="R11" s="133">
        <f>IFERROR(P11*F11,"")</f>
        <v/>
      </c>
      <c r="S11" s="15" t="n"/>
    </row>
    <row r="12">
      <c r="A12" s="15" t="inlineStr">
        <is>
          <t>Bulls</t>
        </is>
      </c>
      <c r="B12" s="15" t="n"/>
      <c r="C12" s="15" t="n"/>
      <c r="D12" s="15" t="n"/>
      <c r="E12" s="15" t="n"/>
      <c r="F12" s="15" t="n"/>
      <c r="G12" s="15" t="n"/>
      <c r="H12" s="15" t="n"/>
      <c r="I12" s="15" t="n"/>
      <c r="J12" s="143">
        <f>B12+C12-D12-E12-F12-G12-H12</f>
        <v/>
      </c>
      <c r="K12" s="184" t="n"/>
      <c r="L12" s="184" t="n"/>
      <c r="M12" s="185" t="n"/>
      <c r="N12" s="185" t="n"/>
      <c r="O12" s="185" t="n"/>
      <c r="P12" s="133">
        <f>IFERROR((K12+M12)/(L12+N12),"")</f>
        <v/>
      </c>
      <c r="Q12" s="133">
        <f>IFERROR(C12*P12,"")</f>
        <v/>
      </c>
      <c r="R12" s="133">
        <f>IFERROR(P12*F12,"")</f>
        <v/>
      </c>
      <c r="S12" s="15" t="n"/>
    </row>
    <row r="13">
      <c r="A13" s="15" t="inlineStr">
        <is>
          <t>Cows</t>
        </is>
      </c>
      <c r="B13" s="15" t="n"/>
      <c r="C13" s="15" t="n"/>
      <c r="D13" s="15" t="n"/>
      <c r="E13" s="15" t="n"/>
      <c r="F13" s="15" t="n"/>
      <c r="G13" s="15" t="n"/>
      <c r="H13" s="15" t="n"/>
      <c r="I13" s="15" t="n"/>
      <c r="J13" s="143">
        <f>B13+C13-D13-E13-F13-G13-H13</f>
        <v/>
      </c>
      <c r="K13" s="184" t="n"/>
      <c r="L13" s="184" t="n"/>
      <c r="M13" s="185" t="n"/>
      <c r="N13" s="185" t="n"/>
      <c r="O13" s="185" t="n"/>
      <c r="P13" s="133">
        <f>IFERROR((K13+M13)/(L13+N13),"")</f>
        <v/>
      </c>
      <c r="Q13" s="133">
        <f>IFERROR(C13*P13,"")</f>
        <v/>
      </c>
      <c r="R13" s="133">
        <f>IFERROR(P13*F13,"")</f>
        <v/>
      </c>
      <c r="S13" s="15" t="n"/>
    </row>
    <row r="14">
      <c r="A14" s="15" t="inlineStr">
        <is>
          <t>Steers</t>
        </is>
      </c>
      <c r="B14" s="15" t="n"/>
      <c r="C14" s="15" t="n"/>
      <c r="D14" s="15" t="n"/>
      <c r="E14" s="15" t="n"/>
      <c r="F14" s="15" t="n"/>
      <c r="G14" s="15" t="n"/>
      <c r="H14" s="15" t="n"/>
      <c r="I14" s="15" t="n"/>
      <c r="J14" s="143">
        <f>B14+C14-D14-E14-F14-G14-H14</f>
        <v/>
      </c>
      <c r="K14" s="184" t="n"/>
      <c r="L14" s="184" t="n"/>
      <c r="M14" s="185" t="n"/>
      <c r="N14" s="185" t="n"/>
      <c r="O14" s="185" t="n"/>
      <c r="P14" s="133">
        <f>IFERROR((K14+M14)/(L14+N14),"")</f>
        <v/>
      </c>
      <c r="Q14" s="133">
        <f>IFERROR(C14*P14,"")</f>
        <v/>
      </c>
      <c r="R14" s="133">
        <f>IFERROR(P14*F14,"")</f>
        <v/>
      </c>
      <c r="S14" s="15" t="n"/>
    </row>
    <row r="15">
      <c r="A15" s="15" t="inlineStr">
        <is>
          <t>Bullocks</t>
        </is>
      </c>
      <c r="B15" s="15" t="n"/>
      <c r="C15" s="15" t="n"/>
      <c r="D15" s="15" t="n"/>
      <c r="E15" s="15" t="n"/>
      <c r="F15" s="15" t="n"/>
      <c r="G15" s="15" t="n"/>
      <c r="H15" s="15" t="n"/>
      <c r="I15" s="15" t="n"/>
      <c r="J15" s="143">
        <f>B15+C15-D15-E15-F15-G15-H15</f>
        <v/>
      </c>
      <c r="K15" s="184" t="n"/>
      <c r="L15" s="184" t="n"/>
      <c r="M15" s="185" t="n"/>
      <c r="N15" s="185" t="n"/>
      <c r="O15" s="185" t="n"/>
      <c r="P15" s="133">
        <f>IFERROR((K15+M15)/(L15+N15),"")</f>
        <v/>
      </c>
      <c r="Q15" s="133">
        <f>IFERROR(C15*P15,"")</f>
        <v/>
      </c>
      <c r="R15" s="133">
        <f>IFERROR(P15*F15,"")</f>
        <v/>
      </c>
      <c r="S15" s="15" t="n"/>
    </row>
    <row r="16">
      <c r="A16" s="15" t="inlineStr">
        <is>
          <t>Yearlings</t>
        </is>
      </c>
      <c r="B16" s="15" t="n"/>
      <c r="C16" s="15" t="n"/>
      <c r="D16" s="15" t="n"/>
      <c r="E16" s="15" t="n"/>
      <c r="F16" s="15" t="n"/>
      <c r="G16" s="15" t="n"/>
      <c r="H16" s="15" t="n"/>
      <c r="I16" s="15" t="n"/>
      <c r="J16" s="143">
        <f>B16+C16-D16-E16-F16-G16-H16</f>
        <v/>
      </c>
      <c r="K16" s="184" t="n"/>
      <c r="L16" s="184" t="n"/>
      <c r="M16" s="185" t="n"/>
      <c r="N16" s="185" t="n"/>
      <c r="O16" s="185" t="n"/>
      <c r="P16" s="133">
        <f>IFERROR((K16+M16)/(L16+N16),"")</f>
        <v/>
      </c>
      <c r="Q16" s="133">
        <f>IFERROR(C16*P16,"")</f>
        <v/>
      </c>
      <c r="R16" s="133">
        <f>IFERROR(P16*F16,"")</f>
        <v/>
      </c>
      <c r="S16" s="15" t="n"/>
    </row>
    <row r="17">
      <c r="A17" s="15" t="inlineStr">
        <is>
          <t>Calves</t>
        </is>
      </c>
      <c r="B17" s="15" t="n"/>
      <c r="C17" s="15" t="n"/>
      <c r="D17" s="15" t="n"/>
      <c r="E17" s="15" t="n"/>
      <c r="F17" s="15" t="n"/>
      <c r="G17" s="15" t="n"/>
      <c r="H17" s="15" t="n"/>
      <c r="I17" s="15" t="n"/>
      <c r="J17" s="143">
        <f>B17+C17-D17-E17-F17-G17-H17</f>
        <v/>
      </c>
      <c r="K17" s="184" t="n"/>
      <c r="L17" s="184" t="n"/>
      <c r="M17" s="185" t="n"/>
      <c r="N17" s="185" t="n"/>
      <c r="O17" s="185" t="n"/>
      <c r="P17" s="133">
        <f>IFERROR((K17+M17)/(L17+N17),"")</f>
        <v/>
      </c>
      <c r="Q17" s="133">
        <f>IFERROR(C17*P17,"")</f>
        <v/>
      </c>
      <c r="R17" s="133">
        <f>IFERROR(P17*F17,"")</f>
        <v/>
      </c>
      <c r="S17" s="15" t="n"/>
    </row>
    <row r="18">
      <c r="A18" s="15" t="inlineStr">
        <is>
          <t>Wethers</t>
        </is>
      </c>
      <c r="B18" s="15" t="n">
        <v>313</v>
      </c>
      <c r="C18" s="15" t="n"/>
      <c r="D18" s="15" t="n"/>
      <c r="E18" s="15" t="n"/>
      <c r="F18" s="15" t="n">
        <v>29</v>
      </c>
      <c r="G18" s="15" t="n">
        <v>26</v>
      </c>
      <c r="H18" s="15" t="n"/>
      <c r="I18" s="15" t="n">
        <v>261</v>
      </c>
      <c r="J18" s="143">
        <f>B18+C18-D18-E18-F18-G18-H18</f>
        <v/>
      </c>
      <c r="K18" s="156">
        <f>'Upton Receipts'!F32</f>
        <v/>
      </c>
      <c r="L18" t="n">
        <v>29</v>
      </c>
      <c r="O18" s="185" t="n"/>
      <c r="P18" s="133">
        <f>IFERROR((K18+M18)/(L18+N18),"")</f>
        <v/>
      </c>
      <c r="Q18" s="133">
        <f>IFERROR(C18*P18,"")</f>
        <v/>
      </c>
      <c r="R18" s="133">
        <f>IFERROR(P18*F18,"")</f>
        <v/>
      </c>
      <c r="S18" s="15" t="n"/>
    </row>
    <row r="19">
      <c r="A19" s="15" t="inlineStr">
        <is>
          <t>Rams</t>
        </is>
      </c>
      <c r="B19" s="15" t="n"/>
      <c r="C19" s="15" t="n"/>
      <c r="D19" s="15" t="n"/>
      <c r="E19" s="15" t="n"/>
      <c r="F19" s="15" t="n"/>
      <c r="G19" s="15" t="n"/>
      <c r="H19" s="15" t="n"/>
      <c r="I19" s="15" t="n"/>
      <c r="J19" s="143">
        <f>B19+C19-D19-E19-F19-G19-H19</f>
        <v/>
      </c>
      <c r="K19" s="184" t="n"/>
      <c r="L19" s="184" t="n"/>
      <c r="M19" s="185" t="n"/>
      <c r="N19" s="185" t="n"/>
      <c r="O19" s="185" t="n"/>
      <c r="P19" s="133">
        <f>IFERROR((K19+M19)/(L19+N19),"")</f>
        <v/>
      </c>
      <c r="Q19" s="133">
        <f>IFERROR(C19*P19,"")</f>
        <v/>
      </c>
      <c r="R19" s="133">
        <f>IFERROR(P19*F19,"")</f>
        <v/>
      </c>
      <c r="S19" s="15" t="n"/>
    </row>
    <row r="20">
      <c r="A20" s="15" t="inlineStr">
        <is>
          <t>Ewes</t>
        </is>
      </c>
      <c r="B20" s="15" t="n"/>
      <c r="C20" s="15" t="n"/>
      <c r="D20" s="15" t="n"/>
      <c r="E20" s="15" t="n"/>
      <c r="F20" s="15" t="n"/>
      <c r="G20" s="15" t="n"/>
      <c r="H20" s="15" t="n"/>
      <c r="I20" s="15" t="n"/>
      <c r="J20" s="143">
        <f>B20+C20-D20-E20-F20-G20-H20</f>
        <v/>
      </c>
      <c r="K20" s="184" t="n"/>
      <c r="L20" s="184" t="n"/>
      <c r="M20" s="185" t="n"/>
      <c r="N20" s="185" t="n"/>
      <c r="O20" s="185" t="n"/>
      <c r="P20" s="133">
        <f>IFERROR((K20+M20)/(L20+N20),"")</f>
        <v/>
      </c>
      <c r="Q20" s="133">
        <f>IFERROR(C20*P20,"")</f>
        <v/>
      </c>
      <c r="R20" s="133">
        <f>IFERROR(P20*F20,"")</f>
        <v/>
      </c>
      <c r="S20" s="15" t="n"/>
    </row>
    <row r="21">
      <c r="A21" s="15" t="inlineStr">
        <is>
          <t>Hoggs</t>
        </is>
      </c>
      <c r="B21" s="15" t="n"/>
      <c r="C21" s="15" t="n"/>
      <c r="D21" s="15" t="n"/>
      <c r="E21" s="15" t="n"/>
      <c r="F21" s="15" t="n"/>
      <c r="G21" s="15" t="n"/>
      <c r="H21" s="15" t="n"/>
      <c r="I21" s="15" t="n"/>
      <c r="J21" s="143">
        <f>B21+C21-D21-E21-F21-G21-H21</f>
        <v/>
      </c>
      <c r="K21" s="184" t="n"/>
      <c r="L21" s="184" t="n"/>
      <c r="M21" s="185" t="n"/>
      <c r="N21" s="185" t="n"/>
      <c r="O21" s="185" t="n"/>
      <c r="P21" s="133">
        <f>IFERROR((K21+M21)/(L21+N21),"")</f>
        <v/>
      </c>
      <c r="Q21" s="133">
        <f>IFERROR(C21*P21,"")</f>
        <v/>
      </c>
      <c r="R21" s="133">
        <f>IFERROR(P21*F21,"")</f>
        <v/>
      </c>
      <c r="S21" s="15" t="n"/>
    </row>
    <row r="22">
      <c r="A22" s="15" t="inlineStr">
        <is>
          <t>Lambs</t>
        </is>
      </c>
      <c r="B22" s="15" t="n"/>
      <c r="C22" s="15" t="n"/>
      <c r="D22" s="15" t="n"/>
      <c r="E22" s="15" t="n"/>
      <c r="F22" s="15" t="n"/>
      <c r="G22" s="15" t="n"/>
      <c r="H22" s="15" t="n"/>
      <c r="I22" s="15" t="n"/>
      <c r="J22" s="143">
        <f>B22+C22-D22-E22-F22-G22-H22</f>
        <v/>
      </c>
      <c r="K22" s="184" t="n"/>
      <c r="L22" s="184" t="n"/>
      <c r="M22" s="185" t="n"/>
      <c r="N22" s="185" t="n"/>
      <c r="O22" s="185" t="n"/>
      <c r="P22" s="133">
        <f>IFERROR((K22+M22)/(L22+N22),"")</f>
        <v/>
      </c>
      <c r="Q22" s="133">
        <f>IFERROR(C22*P22,"")</f>
        <v/>
      </c>
      <c r="R22" s="133">
        <f>IFERROR(P22*F22,"")</f>
        <v/>
      </c>
      <c r="S22" s="15" t="n"/>
    </row>
    <row r="23">
      <c r="A23" s="15" t="inlineStr">
        <is>
          <t>Boars</t>
        </is>
      </c>
      <c r="B23" s="15" t="n"/>
      <c r="C23" s="15" t="n"/>
      <c r="D23" s="15" t="n"/>
      <c r="E23" s="15" t="n"/>
      <c r="F23" s="15" t="n"/>
      <c r="G23" s="15" t="n"/>
      <c r="H23" s="15" t="n"/>
      <c r="I23" s="15" t="n"/>
      <c r="J23" s="143">
        <f>B23+C23-D23-E23-F23-G23-H23</f>
        <v/>
      </c>
      <c r="K23" s="184" t="n"/>
      <c r="L23" s="184" t="n"/>
      <c r="M23" s="185" t="n"/>
      <c r="N23" s="185" t="n"/>
      <c r="O23" s="185" t="n"/>
      <c r="P23" s="133">
        <f>IFERROR((K23+M23)/(L23+N23),"")</f>
        <v/>
      </c>
      <c r="Q23" s="133">
        <f>IFERROR(C23*P23,"")</f>
        <v/>
      </c>
      <c r="R23" s="133">
        <f>IFERROR(P23*F23,"")</f>
        <v/>
      </c>
      <c r="S23" s="15" t="n"/>
    </row>
    <row r="24">
      <c r="A24" s="15" t="inlineStr">
        <is>
          <t>Sows</t>
        </is>
      </c>
      <c r="B24" s="15" t="n"/>
      <c r="C24" s="15" t="n"/>
      <c r="D24" s="15" t="n"/>
      <c r="E24" s="15" t="n"/>
      <c r="F24" s="15" t="n"/>
      <c r="G24" s="15" t="n"/>
      <c r="H24" s="15" t="n"/>
      <c r="I24" s="15" t="n"/>
      <c r="J24" s="143">
        <f>B24+C24-D24-E24-F24-G24-H24</f>
        <v/>
      </c>
      <c r="K24" s="184" t="n"/>
      <c r="L24" s="184" t="n"/>
      <c r="M24" s="185" t="n"/>
      <c r="N24" s="185" t="n"/>
      <c r="O24" s="185" t="n"/>
      <c r="P24" s="133">
        <f>IFERROR((K24+M24)/(L24+N24),"")</f>
        <v/>
      </c>
      <c r="Q24" s="133">
        <f>IFERROR(C24*P24,"")</f>
        <v/>
      </c>
      <c r="R24" s="133">
        <f>IFERROR(P24*F24,"")</f>
        <v/>
      </c>
      <c r="S24" s="15" t="n"/>
    </row>
    <row r="25">
      <c r="A25" s="15" t="inlineStr">
        <is>
          <t>Pigs</t>
        </is>
      </c>
      <c r="B25" s="15" t="n"/>
      <c r="C25" s="15" t="n"/>
      <c r="D25" s="15" t="n"/>
      <c r="E25" s="15" t="n"/>
      <c r="F25" s="15" t="n"/>
      <c r="G25" s="15" t="n"/>
      <c r="H25" s="15" t="n"/>
      <c r="I25" s="15" t="n"/>
      <c r="J25" s="143">
        <f>B25+C25-D25-E25-F25-G25-H25</f>
        <v/>
      </c>
      <c r="K25" s="184" t="n"/>
      <c r="L25" s="184" t="n"/>
      <c r="M25" s="185" t="n"/>
      <c r="N25" s="185" t="n"/>
      <c r="O25" s="185" t="n"/>
      <c r="P25" s="133">
        <f>IFERROR((K25+M25)/(L25+N25),"")</f>
        <v/>
      </c>
      <c r="Q25" s="133">
        <f>IFERROR(C25*P25,"")</f>
        <v/>
      </c>
      <c r="R25" s="133">
        <f>IFERROR(P25*F25,"")</f>
        <v/>
      </c>
      <c r="S25" s="15" t="n"/>
    </row>
    <row r="26">
      <c r="A26" s="15" t="inlineStr">
        <is>
          <t>Hoggets</t>
        </is>
      </c>
      <c r="B26" s="15" t="n"/>
      <c r="C26" s="15" t="n"/>
      <c r="D26" s="15" t="n"/>
      <c r="E26" s="15" t="n"/>
      <c r="F26" s="15" t="n"/>
      <c r="G26" s="15" t="n"/>
      <c r="H26" s="15" t="n"/>
      <c r="I26" s="15" t="n"/>
      <c r="J26" s="143">
        <f>B26+C26-D26-E26-F26-G26-H26</f>
        <v/>
      </c>
      <c r="K26" s="184" t="n"/>
      <c r="L26" s="184" t="n"/>
      <c r="M26" s="185" t="n"/>
      <c r="N26" s="185" t="n"/>
      <c r="O26" s="185" t="n"/>
      <c r="P26" s="133">
        <f>IFERROR((K26+M26)/(L26+N26),"")</f>
        <v/>
      </c>
      <c r="Q26" s="133">
        <f>IFERROR(C26*P26,"")</f>
        <v/>
      </c>
      <c r="R26" s="133">
        <f>IFERROR(P26*F26,"")</f>
        <v/>
      </c>
      <c r="S26" s="15" t="n"/>
    </row>
    <row r="27">
      <c r="A27" s="15" t="inlineStr">
        <is>
          <t>Piglets</t>
        </is>
      </c>
      <c r="B27" s="15" t="n"/>
      <c r="C27" s="15" t="n"/>
      <c r="D27" s="15" t="n"/>
      <c r="E27" s="15" t="n"/>
      <c r="F27" s="15" t="n"/>
      <c r="G27" s="15" t="n"/>
      <c r="H27" s="15" t="n"/>
      <c r="I27" s="15" t="n"/>
      <c r="J27" s="143">
        <f>B27+C27-D27-E27-F27-G27-H27</f>
        <v/>
      </c>
      <c r="K27" s="184" t="n"/>
      <c r="L27" s="184" t="n"/>
      <c r="M27" s="185" t="n"/>
      <c r="N27" s="185" t="n"/>
      <c r="O27" s="185" t="n"/>
      <c r="P27" s="133">
        <f>IFERROR((K27+M27)/(L27+N27),"")</f>
        <v/>
      </c>
      <c r="Q27" s="133">
        <f>IFERROR(C27*P27,"")</f>
        <v/>
      </c>
      <c r="R27" s="133">
        <f>IFERROR(P27*F27,"")</f>
        <v/>
      </c>
      <c r="S27" s="15" t="n"/>
    </row>
    <row r="28">
      <c r="A28" s="15" t="inlineStr">
        <is>
          <t>Swans</t>
        </is>
      </c>
      <c r="B28" s="15" t="n"/>
      <c r="C28" s="15" t="n"/>
      <c r="D28" s="15" t="n"/>
      <c r="E28" s="15" t="n"/>
      <c r="F28" s="15" t="n"/>
      <c r="G28" s="15" t="n"/>
      <c r="H28" s="15" t="n"/>
      <c r="I28" s="15" t="n"/>
      <c r="J28" s="143">
        <f>B28+C28-D28-E28-F28-G28-H28</f>
        <v/>
      </c>
      <c r="K28" s="184" t="n"/>
      <c r="L28" s="184" t="n"/>
      <c r="M28" s="185" t="n"/>
      <c r="N28" s="185" t="n"/>
      <c r="O28" s="185" t="n"/>
      <c r="P28" s="133">
        <f>IFERROR((K28+M28)/(L28+N28),"")</f>
        <v/>
      </c>
      <c r="Q28" s="133">
        <f>IFERROR(C28*P28,"")</f>
        <v/>
      </c>
      <c r="R28" s="133">
        <f>IFERROR(P28*F28,"")</f>
        <v/>
      </c>
      <c r="S28" s="15" t="n"/>
    </row>
    <row r="29">
      <c r="A29" s="15" t="inlineStr">
        <is>
          <t>Peacocks</t>
        </is>
      </c>
      <c r="B29" s="15" t="n"/>
      <c r="C29" s="15" t="n"/>
      <c r="D29" s="15" t="n"/>
      <c r="E29" s="15" t="n"/>
      <c r="F29" s="15" t="n"/>
      <c r="G29" s="15" t="n"/>
      <c r="H29" s="15" t="n"/>
      <c r="I29" s="15" t="n"/>
      <c r="J29" s="143">
        <f>B29+C29-D29-E29-F29-G29-H29</f>
        <v/>
      </c>
      <c r="K29" s="133" t="n"/>
      <c r="L29" s="133" t="n"/>
      <c r="M29" s="15" t="n"/>
      <c r="N29" s="15" t="n"/>
      <c r="O29" s="15" t="n"/>
      <c r="P29" s="133">
        <f>IFERROR((K29+M29)/(L29+N29),"")</f>
        <v/>
      </c>
      <c r="Q29" s="133">
        <f>IFERROR(C29*P29,"")</f>
        <v/>
      </c>
      <c r="R29" s="133">
        <f>IFERROR(P29*F29,"")</f>
        <v/>
      </c>
      <c r="S29" s="15" t="n"/>
    </row>
    <row r="30">
      <c r="A30" s="186" t="inlineStr">
        <is>
          <t>Total</t>
        </is>
      </c>
      <c r="B30" s="186" t="n"/>
      <c r="C30" s="186" t="n"/>
      <c r="D30" s="186" t="n"/>
      <c r="E30" s="186" t="n"/>
      <c r="F30" s="186" t="n"/>
      <c r="G30" s="186" t="n"/>
      <c r="H30" s="186" t="n"/>
      <c r="I30" s="186" t="n"/>
      <c r="J30" s="187" t="n"/>
      <c r="K30" s="188" t="n"/>
      <c r="L30" s="188" t="n"/>
      <c r="M30" s="186" t="n"/>
      <c r="N30" s="186" t="n"/>
      <c r="O30" s="186" t="n"/>
      <c r="P30" s="188" t="n"/>
      <c r="Q30" s="188" t="n"/>
      <c r="R30" s="188">
        <f>SUM(R4:R29)</f>
        <v/>
      </c>
      <c r="S30" s="186" t="n"/>
    </row>
    <row r="31">
      <c r="A31" s="15" t="n"/>
      <c r="B31" s="15" t="n"/>
      <c r="C31" s="15" t="n"/>
      <c r="D31" s="15" t="n"/>
      <c r="E31" s="15" t="n"/>
      <c r="F31" s="15" t="n"/>
      <c r="G31" s="15" t="n"/>
      <c r="H31" s="15" t="n"/>
      <c r="I31" s="15" t="n"/>
      <c r="J31" s="143" t="n"/>
      <c r="K31" s="133" t="n"/>
      <c r="L31" s="133" t="n"/>
      <c r="M31" s="15" t="n"/>
      <c r="N31" s="15" t="n"/>
      <c r="O31" s="15" t="n"/>
      <c r="P31" s="133">
        <f>IFERROR((K31+M31)/(L31+N31),"")</f>
        <v/>
      </c>
      <c r="Q31" s="133">
        <f>IFERROR(C31*P31,"")</f>
        <v/>
      </c>
      <c r="R31" s="133">
        <f>IFERROR(P31*F31,"")</f>
        <v/>
      </c>
      <c r="S31" s="15" t="n"/>
    </row>
    <row r="32">
      <c r="A32" s="15" t="n"/>
      <c r="B32" s="15" t="n"/>
      <c r="C32" s="15" t="n"/>
      <c r="D32" s="15" t="n"/>
      <c r="E32" s="15" t="n"/>
      <c r="F32" s="15" t="n"/>
      <c r="G32" s="15" t="n"/>
      <c r="H32" s="15" t="n"/>
      <c r="I32" s="15" t="n"/>
      <c r="J32" s="143" t="n"/>
      <c r="K32" s="133" t="n"/>
      <c r="L32" s="133" t="n"/>
      <c r="M32" s="15" t="n"/>
      <c r="N32" s="15" t="n"/>
      <c r="O32" s="15" t="n"/>
      <c r="P32" s="133">
        <f>IFERROR((K32+M32)/(L32+N32),"")</f>
        <v/>
      </c>
      <c r="Q32" s="133">
        <f>IFERROR(C32*P32,"")</f>
        <v/>
      </c>
      <c r="R32" s="133">
        <f>IFERROR(P32*F32,"")</f>
        <v/>
      </c>
      <c r="S32" s="15" t="n"/>
    </row>
    <row r="33" ht="17.1" customHeight="1">
      <c r="A33" s="182" t="inlineStr">
        <is>
          <t>Wool</t>
        </is>
      </c>
      <c r="B33" s="189" t="n"/>
      <c r="C33" s="189" t="n"/>
      <c r="D33" s="189" t="n"/>
      <c r="E33" s="15" t="n"/>
      <c r="F33" s="15" t="n"/>
      <c r="G33" s="15" t="n"/>
      <c r="H33" s="15" t="n"/>
      <c r="I33" s="15" t="n"/>
      <c r="J33" s="143" t="n"/>
      <c r="K33" s="133" t="n"/>
      <c r="L33" s="133" t="n"/>
      <c r="M33" s="15" t="n"/>
      <c r="N33" s="15" t="n"/>
      <c r="O33" s="15" t="n"/>
      <c r="P33" s="133">
        <f>IFERROR((K33+M33)/(L33+N33),"")</f>
        <v/>
      </c>
      <c r="Q33" s="133">
        <f>IFERROR(C33*P33,"")</f>
        <v/>
      </c>
      <c r="R33" s="133">
        <f>IFERROR(P33*F33,"")</f>
        <v/>
      </c>
      <c r="S33" s="15" t="n"/>
    </row>
    <row r="34" ht="17.1" customHeight="1">
      <c r="A34" s="22" t="inlineStr">
        <is>
          <t>Fleeces</t>
        </is>
      </c>
      <c r="B34" s="15" t="n"/>
      <c r="C34" s="15" t="n">
        <v>287</v>
      </c>
      <c r="D34" s="15" t="n"/>
      <c r="E34" s="15" t="n"/>
      <c r="F34" s="15" t="n"/>
      <c r="G34" s="15" t="n"/>
      <c r="H34" s="15" t="n">
        <v>287</v>
      </c>
      <c r="I34" s="15" t="n">
        <v>0</v>
      </c>
      <c r="J34" s="143">
        <f>B34+C34-D34-E34-F34-G34-H34</f>
        <v/>
      </c>
      <c r="K34" s="133" t="n"/>
      <c r="L34" s="133" t="n"/>
      <c r="M34" s="15" t="n"/>
      <c r="N34" s="15" t="n"/>
      <c r="O34" s="15" t="n"/>
      <c r="P34" s="133" t="n">
        <v>0.02</v>
      </c>
      <c r="Q34" s="133">
        <f>IFERROR(C34*P34,"")</f>
        <v/>
      </c>
      <c r="R34" s="133">
        <f>IFERROR(P34*F34,"")</f>
        <v/>
      </c>
      <c r="S34" s="15" t="inlineStr">
        <is>
          <t>286 Given to the Reeve of East Knoyle, one given to shepherd</t>
        </is>
      </c>
    </row>
    <row r="35">
      <c r="A35" s="15" t="inlineStr">
        <is>
          <t>Coarse wool</t>
        </is>
      </c>
      <c r="B35" s="15" t="n"/>
      <c r="I35" s="15" t="n"/>
      <c r="J35" s="143">
        <f>B35+C37-D37-E37-F37-G37-H37</f>
        <v/>
      </c>
      <c r="K35" s="133" t="n"/>
      <c r="L35" s="133" t="n"/>
      <c r="M35" s="15" t="n"/>
      <c r="N35" s="15" t="n"/>
      <c r="P35" s="133">
        <f>IFERROR((K35+M35)/(L35+N35),"")</f>
        <v/>
      </c>
      <c r="Q35" s="133">
        <f>IFERROR(C35*P35,"")</f>
        <v/>
      </c>
      <c r="R35" s="133">
        <f>IFERROR(P35*F35,"")</f>
        <v/>
      </c>
    </row>
    <row r="36">
      <c r="A36" s="15" t="inlineStr">
        <is>
          <t>Lamb's wool</t>
        </is>
      </c>
      <c r="B36" s="15" t="n"/>
      <c r="C36" s="15" t="n"/>
      <c r="D36" s="15" t="n"/>
      <c r="E36" s="15" t="n"/>
      <c r="F36" s="15" t="n"/>
      <c r="G36" s="15" t="n"/>
      <c r="H36" s="15" t="n"/>
      <c r="I36" s="15" t="n"/>
      <c r="J36" s="143">
        <f>B36+C36-D36-E36-F36-G36-H36</f>
        <v/>
      </c>
      <c r="K36" s="133" t="n"/>
      <c r="L36" s="133" t="n"/>
      <c r="M36" s="15" t="n"/>
      <c r="N36" s="15" t="n"/>
      <c r="O36" s="15" t="n"/>
      <c r="P36" s="133">
        <f>IFERROR((K36+M36)/(L36+N36),"")</f>
        <v/>
      </c>
      <c r="Q36" s="133">
        <f>IFERROR(C36*P36,"")</f>
        <v/>
      </c>
      <c r="R36" s="133">
        <f>IFERROR(P36*F36,"")</f>
        <v/>
      </c>
      <c r="S36" s="15" t="n"/>
    </row>
    <row r="37">
      <c r="A37" s="15" t="inlineStr">
        <is>
          <t>Wool locks</t>
        </is>
      </c>
      <c r="B37" s="15" t="n"/>
      <c r="C37" s="15">
        <f>O37</f>
        <v/>
      </c>
      <c r="D37" s="15" t="n"/>
      <c r="E37" s="15" t="n"/>
      <c r="F37" s="15" t="n"/>
      <c r="G37" s="15" t="n"/>
      <c r="H37" s="15">
        <f>O37</f>
        <v/>
      </c>
      <c r="I37" s="15" t="n">
        <v>0</v>
      </c>
      <c r="J37" s="143" t="n"/>
      <c r="K37" s="133" t="n"/>
      <c r="L37" s="15" t="n"/>
      <c r="M37" s="15" t="n"/>
      <c r="N37" s="15" t="n"/>
      <c r="O37" s="15">
        <f>2*Assumptions!E7</f>
        <v/>
      </c>
      <c r="P37" s="133">
        <f>IFERROR((K37+M37)/(L37+N37),"")</f>
        <v/>
      </c>
      <c r="Q37" s="133">
        <f>IFERROR(C37*P37,"")</f>
        <v/>
      </c>
      <c r="R37" s="133" t="n"/>
      <c r="S37" s="15" t="inlineStr">
        <is>
          <t>given to East Knoyle</t>
        </is>
      </c>
    </row>
    <row r="38">
      <c r="A38" s="15" t="inlineStr">
        <is>
          <t>Wool sold at shearing</t>
        </is>
      </c>
      <c r="B38" s="15" t="n"/>
      <c r="C38" s="15" t="n"/>
      <c r="D38" s="15" t="n"/>
      <c r="E38" s="15" t="n"/>
      <c r="F38" s="15" t="n"/>
      <c r="G38" s="15" t="n"/>
      <c r="H38" s="15" t="n"/>
      <c r="I38" s="15" t="n"/>
      <c r="J38" s="143">
        <f>B38+C38-D38-E38-F38-G38-H38</f>
        <v/>
      </c>
      <c r="K38" s="133" t="n"/>
      <c r="L38" s="133" t="n"/>
      <c r="M38" s="15" t="n"/>
      <c r="N38" s="15" t="n"/>
      <c r="O38" s="15" t="n"/>
      <c r="P38" s="133">
        <f>IFERROR((K38+M38)/(L38+N38),"")</f>
        <v/>
      </c>
      <c r="Q38" s="133">
        <f>IFERROR(C38*P38,"")</f>
        <v/>
      </c>
      <c r="R38" s="133">
        <f>IFERROR(P38*F38,"")</f>
        <v/>
      </c>
      <c r="S38" s="15" t="n"/>
    </row>
    <row r="39">
      <c r="A39" s="186" t="inlineStr">
        <is>
          <t>Total</t>
        </is>
      </c>
      <c r="B39" s="186" t="n"/>
      <c r="C39" s="186" t="n"/>
      <c r="D39" s="186" t="n"/>
      <c r="E39" s="186" t="n"/>
      <c r="F39" s="186" t="n"/>
      <c r="G39" s="186" t="n"/>
      <c r="H39" s="186" t="n"/>
      <c r="I39" s="186" t="n"/>
      <c r="J39" s="187">
        <f>B39+C39-D39-E39-F39-G39-H39</f>
        <v/>
      </c>
      <c r="K39" s="188" t="n"/>
      <c r="L39" s="188" t="n"/>
      <c r="M39" s="186" t="n"/>
      <c r="N39" s="186" t="n"/>
      <c r="O39" s="186" t="n"/>
      <c r="P39" s="188">
        <f>IFERROR((K39+M39)/(L39+N39),"")</f>
        <v/>
      </c>
      <c r="Q39" s="188">
        <f>SUM(Q34:Q38)</f>
        <v/>
      </c>
      <c r="R39" s="188">
        <f>IFERROR(P39*F39,"")</f>
        <v/>
      </c>
      <c r="S39" s="186" t="n"/>
    </row>
    <row r="40">
      <c r="A40" s="15" t="n"/>
      <c r="B40" s="15" t="n"/>
      <c r="C40" s="15" t="n"/>
      <c r="D40" s="15" t="n"/>
      <c r="E40" s="15" t="n"/>
      <c r="F40" s="15" t="n"/>
      <c r="G40" s="15" t="n"/>
      <c r="H40" s="15" t="n"/>
      <c r="I40" s="15" t="n"/>
      <c r="J40" s="143" t="n"/>
      <c r="K40" s="133" t="n"/>
      <c r="L40" s="133" t="n"/>
      <c r="M40" s="15" t="n"/>
      <c r="N40" s="15" t="n"/>
      <c r="O40" s="15" t="n"/>
      <c r="P40" s="133">
        <f>IFERROR((K40+M40)/(L40+N40),"")</f>
        <v/>
      </c>
      <c r="Q40" s="133">
        <f>IFERROR(C40*P40,"")</f>
        <v/>
      </c>
      <c r="R40" s="133">
        <f>IFERROR(P40*F40,"")</f>
        <v/>
      </c>
      <c r="S40" s="15" t="n"/>
    </row>
    <row r="41">
      <c r="A41" s="15" t="n"/>
      <c r="B41" s="15" t="n"/>
      <c r="C41" s="15" t="n"/>
      <c r="D41" s="15" t="n"/>
      <c r="E41" s="15" t="n"/>
      <c r="F41" s="15" t="n"/>
      <c r="G41" s="15" t="n"/>
      <c r="H41" s="15" t="n"/>
      <c r="I41" s="15" t="n"/>
      <c r="J41" s="143" t="n"/>
      <c r="K41" s="133" t="n"/>
      <c r="L41" s="133" t="n"/>
      <c r="M41" s="15" t="n"/>
      <c r="N41" s="15" t="n"/>
      <c r="O41" s="15" t="n"/>
      <c r="P41" s="133">
        <f>IFERROR((K41+M41)/(L41+N41),"")</f>
        <v/>
      </c>
      <c r="Q41" s="133">
        <f>IFERROR(C41*P41,"")</f>
        <v/>
      </c>
      <c r="R41" s="133">
        <f>IFERROR(P41*F41,"")</f>
        <v/>
      </c>
      <c r="S41" s="15" t="n"/>
    </row>
    <row r="42" ht="17.1" customHeight="1">
      <c r="A42" s="182" t="inlineStr">
        <is>
          <t>Hides</t>
        </is>
      </c>
      <c r="B42" s="189" t="n"/>
      <c r="C42" s="15" t="n"/>
      <c r="D42" s="15" t="n"/>
      <c r="E42" s="15" t="n"/>
      <c r="F42" s="15" t="n"/>
      <c r="G42" s="15" t="n"/>
      <c r="H42" s="15" t="n"/>
      <c r="I42" s="15" t="n"/>
      <c r="J42" s="143" t="n"/>
      <c r="K42" s="133" t="n"/>
      <c r="L42" s="133" t="n"/>
      <c r="M42" s="15" t="n"/>
      <c r="N42" s="15" t="n"/>
      <c r="O42" s="15" t="n"/>
      <c r="P42" s="133">
        <f>IFERROR((K42+M42)/(L42+N42),"")</f>
        <v/>
      </c>
      <c r="Q42" s="133">
        <f>IFERROR(C42*P42,"")</f>
        <v/>
      </c>
      <c r="R42" s="133">
        <f>IFERROR(P42*F42,"")</f>
        <v/>
      </c>
      <c r="S42" s="15" t="n"/>
    </row>
    <row r="43">
      <c r="A43" s="15" t="inlineStr">
        <is>
          <t>Ox hides</t>
        </is>
      </c>
      <c r="B43" s="15" t="n"/>
      <c r="C43" s="15" t="n"/>
      <c r="D43" s="15" t="n"/>
      <c r="E43" s="15" t="n"/>
      <c r="F43" s="15" t="n"/>
      <c r="G43" s="15" t="n"/>
      <c r="H43" s="15" t="n"/>
      <c r="I43" s="15" t="n"/>
      <c r="J43" s="143">
        <f>B43+C43-D43-E43-F43-G43-H43</f>
        <v/>
      </c>
      <c r="K43" s="133" t="n"/>
      <c r="L43" s="133" t="n"/>
      <c r="M43" s="15" t="n"/>
      <c r="N43" s="133" t="n"/>
      <c r="O43" s="133" t="n"/>
      <c r="P43" s="133">
        <f>IFERROR((K43+M43)/(L43+N43),"")</f>
        <v/>
      </c>
      <c r="Q43" s="133">
        <f>IFERROR(C43*P43,"")</f>
        <v/>
      </c>
      <c r="R43" s="133">
        <f>IFERROR(P43*F43,"")</f>
        <v/>
      </c>
      <c r="S43" s="15" t="n"/>
    </row>
    <row r="44">
      <c r="A44" s="15" t="inlineStr">
        <is>
          <t>Cow hides</t>
        </is>
      </c>
      <c r="B44" s="15" t="n"/>
      <c r="C44" s="15" t="n"/>
      <c r="E44" s="15" t="n"/>
      <c r="F44" s="15" t="n"/>
      <c r="G44" s="15" t="n"/>
      <c r="H44" s="15" t="n"/>
      <c r="I44" s="15" t="n"/>
      <c r="J44" s="143">
        <f>B44+C44-D44-E44-F44-G44-H44</f>
        <v/>
      </c>
      <c r="K44" s="133" t="n"/>
      <c r="L44" s="133" t="n"/>
      <c r="M44" s="15" t="n"/>
      <c r="N44" s="133" t="n"/>
      <c r="O44" s="133" t="n"/>
      <c r="P44" s="133">
        <f>IFERROR((K44+M44)/(L44+N44),"")</f>
        <v/>
      </c>
      <c r="Q44" s="133">
        <f>IFERROR(C44*P44,"")</f>
        <v/>
      </c>
      <c r="R44" s="133">
        <f>IFERROR(P44*F44,"")</f>
        <v/>
      </c>
      <c r="S44" s="15" t="n"/>
    </row>
    <row r="45">
      <c r="A45" s="15" t="inlineStr">
        <is>
          <t>Mare hides</t>
        </is>
      </c>
      <c r="B45" s="15" t="n"/>
      <c r="C45" s="15" t="n"/>
      <c r="D45" s="15" t="n"/>
      <c r="E45" s="15" t="n"/>
      <c r="F45" s="15" t="n"/>
      <c r="G45" s="15" t="n"/>
      <c r="H45" s="15" t="n"/>
      <c r="I45" s="15" t="n"/>
      <c r="J45" s="143">
        <f>B45+C45-D45-E45-F45-G45-H45</f>
        <v/>
      </c>
      <c r="K45" s="133" t="n"/>
      <c r="L45" s="133" t="n"/>
      <c r="M45" s="15" t="n"/>
      <c r="N45" s="15" t="n"/>
      <c r="O45" s="15" t="n"/>
      <c r="P45" s="133">
        <f>IFERROR((K45+M45)/(L45+N45),"")</f>
        <v/>
      </c>
      <c r="Q45" s="133">
        <f>IFERROR(C45*P45,"")</f>
        <v/>
      </c>
      <c r="R45" s="133">
        <f>IFERROR(P45*F45,"")</f>
        <v/>
      </c>
      <c r="S45" s="15" t="n"/>
    </row>
    <row r="46">
      <c r="A46" s="15" t="inlineStr">
        <is>
          <t>Steer hides</t>
        </is>
      </c>
      <c r="B46" s="15" t="n"/>
      <c r="C46" s="15" t="n"/>
      <c r="E46" s="15" t="n"/>
      <c r="F46" s="15" t="n"/>
      <c r="G46" s="15" t="n"/>
      <c r="H46" s="15" t="n"/>
      <c r="I46" s="15" t="n"/>
      <c r="J46" s="143">
        <f>B46+C46-D46-E46-F46-G46-H46</f>
        <v/>
      </c>
      <c r="K46" s="133" t="n"/>
      <c r="L46" s="133" t="n"/>
      <c r="M46" s="190" t="n"/>
      <c r="N46" s="15" t="n"/>
      <c r="O46" s="15" t="n"/>
      <c r="P46" s="133">
        <f>IFERROR((K46+M46)/(L46+N46),"")</f>
        <v/>
      </c>
      <c r="Q46" s="133">
        <f>IFERROR(C46*P46,"")</f>
        <v/>
      </c>
      <c r="R46" s="133">
        <f>IFERROR(P46*F46,"")</f>
        <v/>
      </c>
      <c r="S46" s="15" t="n"/>
    </row>
    <row r="47">
      <c r="A47" s="15" t="inlineStr">
        <is>
          <t>Yearling Calf hides</t>
        </is>
      </c>
      <c r="B47" s="15" t="n"/>
      <c r="C47" s="15" t="n"/>
      <c r="D47" s="15" t="n"/>
      <c r="E47" s="15" t="n"/>
      <c r="F47" s="15" t="n"/>
      <c r="G47" s="15" t="n"/>
      <c r="H47" s="15" t="n"/>
      <c r="I47" s="15" t="n"/>
      <c r="J47" s="143">
        <f>B47+C47-D47-E47-F47-G47-H47</f>
        <v/>
      </c>
      <c r="K47" s="133" t="n"/>
      <c r="L47" s="133" t="n"/>
      <c r="M47" s="15" t="n"/>
      <c r="N47" s="15" t="n"/>
      <c r="O47" s="15" t="n"/>
      <c r="P47" s="133">
        <f>IFERROR((K47+M47)/(L47+N47),"")</f>
        <v/>
      </c>
      <c r="Q47" s="133">
        <f>IFERROR(C47*P47,"")</f>
        <v/>
      </c>
      <c r="R47" s="133">
        <f>IFERROR(P47*F47,"")</f>
        <v/>
      </c>
      <c r="S47" s="15" t="n"/>
    </row>
    <row r="48">
      <c r="A48" s="15" t="inlineStr">
        <is>
          <t>Calf hides</t>
        </is>
      </c>
      <c r="B48" s="15" t="n"/>
      <c r="C48" s="15" t="n"/>
      <c r="D48" s="15" t="n"/>
      <c r="E48" s="15" t="n"/>
      <c r="F48" s="15" t="n"/>
      <c r="G48" s="15" t="n"/>
      <c r="H48" s="15" t="n"/>
      <c r="I48" s="15" t="n"/>
      <c r="J48" s="143">
        <f>B48+C48-D48-E48-F48-G48-H48</f>
        <v/>
      </c>
      <c r="K48" s="133" t="n"/>
      <c r="L48" s="133" t="n"/>
      <c r="M48" s="15" t="n"/>
      <c r="N48" s="15" t="n"/>
      <c r="O48" s="15" t="n"/>
      <c r="P48" s="133">
        <f>IFERROR((K48+M48)/(L48+N48),"")</f>
        <v/>
      </c>
      <c r="Q48" s="133">
        <f>IFERROR(C48*P48,"")</f>
        <v/>
      </c>
      <c r="R48" s="133">
        <f>IFERROR(P48*F48,"")</f>
        <v/>
      </c>
      <c r="S48" s="15" t="n"/>
    </row>
    <row r="49">
      <c r="A49" s="23" t="inlineStr">
        <is>
          <t>Pig hides</t>
        </is>
      </c>
      <c r="B49" s="15" t="n"/>
      <c r="C49" s="15" t="n"/>
      <c r="D49" s="15" t="n"/>
      <c r="E49" s="15" t="n"/>
      <c r="F49" s="15" t="n"/>
      <c r="G49" s="15" t="n"/>
      <c r="H49" s="15" t="n"/>
      <c r="I49" s="15" t="n"/>
      <c r="J49" s="143">
        <f>B49+C49-D49-E49-F49-G49-H49</f>
        <v/>
      </c>
      <c r="K49" s="133" t="n"/>
      <c r="L49" s="133" t="n"/>
      <c r="M49" s="15" t="n"/>
      <c r="N49" s="15" t="n"/>
      <c r="O49" s="15" t="n"/>
      <c r="P49" s="133">
        <f>IFERROR((K49+M49)/(L49+N49),"")</f>
        <v/>
      </c>
      <c r="Q49" s="133">
        <f>IFERROR(C49*P49,"")</f>
        <v/>
      </c>
      <c r="R49" s="133">
        <f>IFERROR(P49*F49,"")</f>
        <v/>
      </c>
      <c r="S49" s="15" t="n"/>
    </row>
    <row r="50">
      <c r="A50" s="24" t="inlineStr">
        <is>
          <t>Weather woolskins</t>
        </is>
      </c>
      <c r="B50" s="15" t="n"/>
      <c r="C50" s="15" t="n"/>
      <c r="D50" s="15" t="n"/>
      <c r="E50" s="15" t="n"/>
      <c r="F50" s="15" t="n"/>
      <c r="G50" s="15" t="n"/>
      <c r="H50" s="15" t="n"/>
      <c r="I50" s="15" t="n"/>
      <c r="J50" s="143">
        <f>B50+C50-D50-E50-F50-G50-H50</f>
        <v/>
      </c>
      <c r="K50" s="133" t="n"/>
      <c r="L50" s="133" t="n"/>
      <c r="M50" s="15" t="n"/>
      <c r="N50" s="15" t="n"/>
      <c r="O50" s="15" t="n"/>
      <c r="P50" s="133">
        <f>IFERROR((K50+M50)/(L50+N50),"")</f>
        <v/>
      </c>
      <c r="Q50" s="133">
        <f>IFERROR(C50*P50,"")</f>
        <v/>
      </c>
      <c r="R50" s="133">
        <f>IFERROR(P50*F50,"")</f>
        <v/>
      </c>
      <c r="S50" s="15" t="n"/>
    </row>
    <row r="51">
      <c r="A51" s="24" t="inlineStr">
        <is>
          <t>Ram woolskins</t>
        </is>
      </c>
      <c r="B51" s="15" t="n"/>
      <c r="C51" s="15" t="n"/>
      <c r="D51" s="15" t="n"/>
      <c r="E51" s="15" t="n"/>
      <c r="F51" s="15" t="n"/>
      <c r="G51" s="15" t="n"/>
      <c r="H51" s="15" t="n"/>
      <c r="I51" s="15" t="n"/>
      <c r="J51" s="143">
        <f>B51+C51-D51-E51-F51-G51-H51</f>
        <v/>
      </c>
      <c r="K51" s="133" t="n"/>
      <c r="L51" s="133" t="n"/>
      <c r="M51" s="15" t="n"/>
      <c r="N51" s="15" t="n"/>
      <c r="O51" s="15" t="n"/>
      <c r="P51" s="133">
        <f>IFERROR((K51+M51)/(L51+N51),"")</f>
        <v/>
      </c>
      <c r="Q51" s="133">
        <f>IFERROR(C51*P51,"")</f>
        <v/>
      </c>
      <c r="R51" s="133">
        <f>IFERROR(P51*F51,"")</f>
        <v/>
      </c>
      <c r="S51" s="15" t="n"/>
    </row>
    <row r="52">
      <c r="A52" s="24" t="inlineStr">
        <is>
          <t>Ewe woolskins</t>
        </is>
      </c>
      <c r="B52" s="15" t="n"/>
      <c r="C52" s="15" t="n"/>
      <c r="D52" s="15" t="n"/>
      <c r="E52" s="15" t="n"/>
      <c r="F52" s="15" t="n"/>
      <c r="G52" s="15" t="n"/>
      <c r="H52" s="15" t="n"/>
      <c r="I52" s="15" t="n"/>
      <c r="J52" s="143">
        <f>B52+C52-D52-E52-F52-G52-H52</f>
        <v/>
      </c>
      <c r="K52" s="133" t="n"/>
      <c r="L52" s="133" t="n"/>
      <c r="M52" s="15" t="n"/>
      <c r="N52" s="15" t="n"/>
      <c r="O52" s="15" t="n"/>
      <c r="P52" s="133">
        <f>IFERROR((K52+M52)/(L52+N52),"")</f>
        <v/>
      </c>
      <c r="Q52" s="133">
        <f>IFERROR(C52*P52,"")</f>
        <v/>
      </c>
      <c r="R52" s="133">
        <f>IFERROR(P52*F52,"")</f>
        <v/>
      </c>
      <c r="S52" s="15" t="n"/>
    </row>
    <row r="53">
      <c r="A53" s="24" t="inlineStr">
        <is>
          <t>Hogg woolskins</t>
        </is>
      </c>
      <c r="B53" s="15" t="n"/>
      <c r="C53" s="15" t="n"/>
      <c r="D53" s="15" t="n"/>
      <c r="E53" s="15" t="n"/>
      <c r="F53" s="15" t="n"/>
      <c r="G53" s="15" t="n"/>
      <c r="H53" s="15" t="n"/>
      <c r="I53" s="15" t="n"/>
      <c r="J53" s="143">
        <f>B53+C53-D53-E53-F53-G53-H53</f>
        <v/>
      </c>
      <c r="K53" s="133" t="n"/>
      <c r="L53" s="133" t="n"/>
      <c r="M53" s="15" t="n"/>
      <c r="N53" s="15" t="n"/>
      <c r="O53" s="15" t="n"/>
      <c r="P53" s="133">
        <f>IFERROR((K53+M53)/(L53+N53),"")</f>
        <v/>
      </c>
      <c r="Q53" s="133">
        <f>IFERROR(C53*P53,"")</f>
        <v/>
      </c>
      <c r="R53" s="133">
        <f>IFERROR(P53*F53,"")</f>
        <v/>
      </c>
      <c r="S53" s="15" t="n"/>
    </row>
    <row r="54">
      <c r="A54" s="25" t="inlineStr">
        <is>
          <t>Woolskins (total)</t>
        </is>
      </c>
      <c r="B54" s="15" t="n"/>
      <c r="C54" s="15" t="n">
        <v>23</v>
      </c>
      <c r="D54" s="15" t="n"/>
      <c r="E54" s="15" t="n"/>
      <c r="F54" s="15" t="n">
        <v>23</v>
      </c>
      <c r="G54" s="15" t="n"/>
      <c r="H54" s="15" t="n"/>
      <c r="I54" s="15" t="n">
        <v>0</v>
      </c>
      <c r="J54" s="143">
        <f>B54+C54-D54-E54-F54-G54-H54</f>
        <v/>
      </c>
      <c r="K54" s="184">
        <f>'Upton Receipts'!F35</f>
        <v/>
      </c>
      <c r="L54" s="184" t="n">
        <v>13</v>
      </c>
      <c r="M54" s="191">
        <f>'Upton Receipts'!F36</f>
        <v/>
      </c>
      <c r="N54" s="185" t="n">
        <v>10</v>
      </c>
      <c r="O54" s="15" t="n"/>
      <c r="P54" s="133">
        <f>IFERROR((K54+M54)/(L54+N54),"")</f>
        <v/>
      </c>
      <c r="Q54" s="133">
        <f>IFERROR(C54*P54,"")</f>
        <v/>
      </c>
      <c r="R54" s="133">
        <f>IFERROR(P54*F54,"")</f>
        <v/>
      </c>
      <c r="S54" s="15" t="n"/>
    </row>
    <row r="55">
      <c r="A55" s="24" t="inlineStr">
        <is>
          <t>Wether bareskins</t>
        </is>
      </c>
      <c r="B55" s="15" t="n"/>
      <c r="C55" s="15" t="n"/>
      <c r="D55" s="15" t="n"/>
      <c r="E55" s="15" t="n"/>
      <c r="F55" s="15" t="n"/>
      <c r="G55" s="15" t="n"/>
      <c r="H55" s="15" t="n"/>
      <c r="I55" s="15" t="n"/>
      <c r="J55" s="143">
        <f>B55+C55-D55-E55-F55-G55-H55</f>
        <v/>
      </c>
      <c r="K55" s="133" t="n"/>
      <c r="L55" s="133" t="n"/>
      <c r="M55" s="15" t="n"/>
      <c r="N55" s="15" t="n"/>
      <c r="O55" s="15" t="n"/>
      <c r="P55" s="133">
        <f>IFERROR((K55+M55)/(L55+N55),"")</f>
        <v/>
      </c>
      <c r="Q55" s="133">
        <f>IFERROR(C55*P55,"")</f>
        <v/>
      </c>
      <c r="R55" s="133">
        <f>IFERROR(P55*F55,"")</f>
        <v/>
      </c>
      <c r="S55" s="15" t="n"/>
    </row>
    <row r="56">
      <c r="A56" s="24" t="inlineStr">
        <is>
          <t>Ram bareskins</t>
        </is>
      </c>
      <c r="B56" s="15" t="n"/>
      <c r="C56" s="15" t="n"/>
      <c r="D56" s="15" t="n"/>
      <c r="E56" s="15" t="n"/>
      <c r="F56" s="15" t="n"/>
      <c r="G56" s="15" t="n"/>
      <c r="H56" s="15" t="n"/>
      <c r="I56" s="15" t="n"/>
      <c r="J56" s="143">
        <f>B56+C56-D56-E56-F56-G56-H56</f>
        <v/>
      </c>
      <c r="K56" s="133" t="n"/>
      <c r="L56" s="133" t="n"/>
      <c r="M56" s="15" t="n"/>
      <c r="N56" s="15" t="n"/>
      <c r="O56" s="15" t="n"/>
      <c r="P56" s="133">
        <f>IFERROR((K56+M56)/(L56+N56),"")</f>
        <v/>
      </c>
      <c r="Q56" s="133">
        <f>IFERROR(C56*P56,"")</f>
        <v/>
      </c>
      <c r="R56" s="133">
        <f>IFERROR(P56*F56,"")</f>
        <v/>
      </c>
      <c r="S56" s="15" t="n"/>
    </row>
    <row r="57">
      <c r="A57" s="24" t="inlineStr">
        <is>
          <t>Ewe bareskins</t>
        </is>
      </c>
      <c r="B57" s="15" t="n"/>
      <c r="C57" s="15" t="n"/>
      <c r="D57" s="15" t="n"/>
      <c r="E57" s="15" t="n"/>
      <c r="F57" s="15" t="n"/>
      <c r="G57" s="15" t="n"/>
      <c r="H57" s="15" t="n"/>
      <c r="I57" s="15" t="n"/>
      <c r="J57" s="143">
        <f>B57+C57-D57-E57-F57-G57-H57</f>
        <v/>
      </c>
      <c r="K57" s="133" t="n"/>
      <c r="L57" s="133" t="n"/>
      <c r="M57" s="15" t="n"/>
      <c r="N57" s="15" t="n"/>
      <c r="O57" s="15" t="n"/>
      <c r="P57" s="133">
        <f>IFERROR((K57+M57)/(L57+N57),"")</f>
        <v/>
      </c>
      <c r="Q57" s="133">
        <f>IFERROR(C57*P57,"")</f>
        <v/>
      </c>
      <c r="R57" s="133">
        <f>IFERROR(P57*F57,"")</f>
        <v/>
      </c>
      <c r="S57" s="15" t="n"/>
    </row>
    <row r="58">
      <c r="A58" s="24" t="inlineStr">
        <is>
          <t>Hogg bareskins</t>
        </is>
      </c>
      <c r="B58" s="15" t="n"/>
      <c r="C58" s="15" t="n"/>
      <c r="D58" s="15" t="n"/>
      <c r="E58" s="15" t="n"/>
      <c r="F58" s="15" t="n"/>
      <c r="G58" s="15" t="n"/>
      <c r="H58" s="15" t="n"/>
      <c r="I58" s="15" t="n"/>
      <c r="J58" s="143">
        <f>B58+C58-D58-E58-F58-G58-H58</f>
        <v/>
      </c>
      <c r="K58" s="133" t="n"/>
      <c r="L58" s="133" t="n"/>
      <c r="M58" s="15" t="n"/>
      <c r="N58" s="15" t="n"/>
      <c r="O58" s="15" t="n"/>
      <c r="P58" s="133">
        <f>IFERROR((K58+M58)/(L58+N58),"")</f>
        <v/>
      </c>
      <c r="Q58" s="133">
        <f>IFERROR(C58*P58,"")</f>
        <v/>
      </c>
      <c r="R58" s="133">
        <f>IFERROR(P58*F58,"")</f>
        <v/>
      </c>
      <c r="S58" s="15" t="n"/>
    </row>
    <row r="59">
      <c r="A59" s="25" t="inlineStr">
        <is>
          <t>Bareskins (total)</t>
        </is>
      </c>
      <c r="B59" s="15" t="n"/>
      <c r="C59" s="15" t="n"/>
      <c r="D59" s="15" t="n"/>
      <c r="E59" s="15" t="n"/>
      <c r="F59" s="15" t="n"/>
      <c r="G59" s="15" t="n"/>
      <c r="H59" s="15" t="n"/>
      <c r="I59" s="15" t="n"/>
      <c r="J59" s="143">
        <f>B59+C59-D59-E59-F59-G59-H59</f>
        <v/>
      </c>
      <c r="K59" s="133" t="n"/>
      <c r="L59" s="133" t="n"/>
      <c r="M59" s="15" t="n"/>
      <c r="N59" s="15" t="n"/>
      <c r="O59" s="15" t="n"/>
      <c r="P59" s="133">
        <f>IFERROR((K59+M59)/(L59+N59),"")</f>
        <v/>
      </c>
      <c r="Q59" s="133">
        <f>IFERROR(C59*P59,"")</f>
        <v/>
      </c>
      <c r="R59" s="133">
        <f>IFERROR(P59*F59,"")</f>
        <v/>
      </c>
      <c r="S59" s="15" t="n"/>
    </row>
    <row r="60">
      <c r="A60" s="15" t="inlineStr">
        <is>
          <t>Lambskins</t>
        </is>
      </c>
      <c r="B60" s="15" t="n"/>
      <c r="C60" s="15" t="n"/>
      <c r="D60" s="15" t="n"/>
      <c r="E60" s="15" t="n"/>
      <c r="F60" s="15" t="n"/>
      <c r="G60" s="15" t="n"/>
      <c r="H60" s="15" t="n"/>
      <c r="I60" s="15" t="n"/>
      <c r="J60" s="143">
        <f>B60+C60-D60-E60-F60-G60-H60</f>
        <v/>
      </c>
      <c r="K60" s="133" t="n"/>
      <c r="L60" s="133" t="n"/>
      <c r="M60" s="190" t="n"/>
      <c r="N60" s="15" t="n"/>
      <c r="O60" s="15" t="n"/>
      <c r="P60" s="133">
        <f>IFERROR((K60+M60)/(L60+N60),"")</f>
        <v/>
      </c>
      <c r="Q60" s="133">
        <f>IFERROR(C60*P60,"")</f>
        <v/>
      </c>
      <c r="R60" s="133">
        <f>IFERROR(P60*F60,"")</f>
        <v/>
      </c>
      <c r="S60" s="15" t="n"/>
    </row>
    <row r="61">
      <c r="A61" s="15" t="inlineStr">
        <is>
          <t>Rotted skins</t>
        </is>
      </c>
      <c r="B61" s="15" t="n"/>
      <c r="C61" s="15" t="n"/>
      <c r="D61" s="15" t="n"/>
      <c r="E61" s="15" t="n"/>
      <c r="F61" s="15" t="n"/>
      <c r="G61" s="15" t="n"/>
      <c r="H61" s="15" t="n"/>
      <c r="I61" s="15" t="n"/>
      <c r="J61" s="143">
        <f>B61+C61-D61-E61-F61-G61-H61</f>
        <v/>
      </c>
      <c r="K61" s="133" t="n"/>
      <c r="L61" s="133" t="n"/>
      <c r="M61" s="15" t="n"/>
      <c r="N61" s="15" t="n"/>
      <c r="O61" s="15" t="n"/>
      <c r="P61" s="133">
        <f>IFERROR((K61+M61)/(L61+N61),"")</f>
        <v/>
      </c>
      <c r="Q61" s="133">
        <f>IFERROR(C61*P61,"")</f>
        <v/>
      </c>
      <c r="R61" s="133">
        <f>IFERROR(P61*F61,"")</f>
        <v/>
      </c>
      <c r="S61" s="15" t="n"/>
    </row>
    <row r="62">
      <c r="A62" s="15" t="inlineStr">
        <is>
          <t>Shorn skins</t>
        </is>
      </c>
      <c r="B62" s="15" t="n"/>
      <c r="C62" s="15" t="n"/>
      <c r="D62" s="15" t="n"/>
      <c r="E62" s="15" t="n"/>
      <c r="F62" s="15" t="n"/>
      <c r="G62" s="15" t="n"/>
      <c r="H62" s="15" t="n"/>
      <c r="I62" s="15" t="n"/>
      <c r="J62" s="143">
        <f>B62+C62-D62-E62-F62-G62-H62</f>
        <v/>
      </c>
      <c r="K62" s="133" t="n"/>
      <c r="L62" s="133" t="n"/>
      <c r="M62" s="15" t="n"/>
      <c r="N62" s="15" t="n"/>
      <c r="O62" s="15" t="n"/>
      <c r="P62" s="133">
        <f>IFERROR((K62+M62)/(L62+N62),"")</f>
        <v/>
      </c>
      <c r="Q62" s="133">
        <f>IFERROR(C62*P62,"")</f>
        <v/>
      </c>
      <c r="R62" s="133">
        <f>IFERROR(P62*F62,"")</f>
        <v/>
      </c>
      <c r="S62" s="15" t="n"/>
    </row>
    <row r="63">
      <c r="A63" s="186" t="inlineStr">
        <is>
          <t>Total</t>
        </is>
      </c>
      <c r="B63" s="186" t="n"/>
      <c r="C63" s="186" t="n"/>
      <c r="D63" s="186" t="n"/>
      <c r="E63" s="186" t="n"/>
      <c r="F63" s="186" t="n"/>
      <c r="G63" s="186" t="n"/>
      <c r="H63" s="186" t="n"/>
      <c r="I63" s="186" t="n"/>
      <c r="J63" s="187">
        <f>B63+C63-D63-E63-F63-G63-H63</f>
        <v/>
      </c>
      <c r="K63" s="188" t="n"/>
      <c r="L63" s="188" t="n"/>
      <c r="M63" s="186" t="n"/>
      <c r="N63" s="186" t="n"/>
      <c r="O63" s="186" t="n"/>
      <c r="P63" s="188">
        <f>IFERROR((K63+M63)/(L63+N63),"")</f>
        <v/>
      </c>
      <c r="Q63" s="188">
        <f>IFERROR(C63*P63,"")</f>
        <v/>
      </c>
      <c r="R63" s="188">
        <f>SUM(R43:R62)</f>
        <v/>
      </c>
      <c r="S63" s="186" t="n"/>
    </row>
    <row r="64">
      <c r="A64" s="15" t="n"/>
      <c r="B64" s="15" t="n"/>
      <c r="C64" s="15" t="n"/>
      <c r="D64" s="15" t="n"/>
      <c r="E64" s="15" t="n"/>
      <c r="F64" s="15" t="n"/>
      <c r="G64" s="15" t="n"/>
      <c r="H64" s="15" t="n"/>
      <c r="I64" s="15" t="n"/>
      <c r="J64" s="143" t="n"/>
      <c r="K64" s="133" t="n"/>
      <c r="L64" s="133" t="n"/>
      <c r="M64" s="15" t="n"/>
      <c r="N64" s="15" t="n"/>
      <c r="O64" s="15" t="n"/>
      <c r="P64" s="133">
        <f>IFERROR((K64+M64)/(L64+N64),"")</f>
        <v/>
      </c>
      <c r="Q64" s="133">
        <f>IFERROR(C64*P64,"")</f>
        <v/>
      </c>
      <c r="R64" s="133">
        <f>IFERROR(P64*F64,"")</f>
        <v/>
      </c>
      <c r="S64" s="15" t="n"/>
    </row>
    <row r="65" ht="17.1" customHeight="1">
      <c r="A65" s="182" t="inlineStr">
        <is>
          <t>Poultry stock</t>
        </is>
      </c>
      <c r="B65" s="189" t="n"/>
      <c r="C65" s="15" t="n"/>
      <c r="D65" s="15" t="n"/>
      <c r="E65" s="15" t="n"/>
      <c r="F65" s="15" t="n"/>
      <c r="G65" s="15" t="n"/>
      <c r="H65" s="15" t="n"/>
      <c r="I65" s="15" t="n"/>
      <c r="J65" s="143" t="n"/>
      <c r="K65" s="133" t="n"/>
      <c r="L65" s="133" t="n"/>
      <c r="M65" s="15" t="n"/>
      <c r="N65" s="15" t="n"/>
      <c r="O65" s="15" t="n"/>
      <c r="P65" s="133">
        <f>IFERROR((K65+M65)/(L65+N65),"")</f>
        <v/>
      </c>
      <c r="Q65" s="133">
        <f>IFERROR(C65*P65,"")</f>
        <v/>
      </c>
      <c r="R65" s="133">
        <f>IFERROR(P65*F65,"")</f>
        <v/>
      </c>
      <c r="S65" s="15" t="n"/>
    </row>
    <row r="66" ht="17.1" customHeight="1">
      <c r="A66" s="22" t="inlineStr">
        <is>
          <t>Hens</t>
        </is>
      </c>
      <c r="B66" s="15" t="n"/>
      <c r="C66" s="15" t="n">
        <v>44</v>
      </c>
      <c r="D66" s="15" t="n"/>
      <c r="E66" s="15" t="n"/>
      <c r="F66" s="15" t="n">
        <v>44</v>
      </c>
      <c r="G66" s="15" t="n"/>
      <c r="H66" s="15" t="n"/>
      <c r="I66" s="15" t="n">
        <v>0</v>
      </c>
      <c r="J66" s="143">
        <f>B66+C66-D66-E66-F66-G66-H66</f>
        <v/>
      </c>
      <c r="K66" s="133">
        <f>'Upton Receipts'!F37</f>
        <v/>
      </c>
      <c r="L66" s="133" t="n">
        <v>44</v>
      </c>
      <c r="M66" s="15" t="n"/>
      <c r="N66" s="15" t="n"/>
      <c r="O66" s="15" t="n"/>
      <c r="P66" s="133">
        <f>IFERROR((K66+M66)/(L66+N66),"")</f>
        <v/>
      </c>
      <c r="Q66" s="133">
        <f>IFERROR(C66*P66,"")</f>
        <v/>
      </c>
      <c r="R66" s="133">
        <f>IFERROR(P66*F66,"")</f>
        <v/>
      </c>
      <c r="S66" s="15" t="n"/>
    </row>
    <row r="67">
      <c r="A67" s="15" t="inlineStr">
        <is>
          <t>Geese</t>
        </is>
      </c>
      <c r="B67" s="15" t="n"/>
      <c r="C67" s="15" t="n"/>
      <c r="D67" s="15" t="n"/>
      <c r="E67" s="15" t="n"/>
      <c r="F67" s="15" t="n"/>
      <c r="G67" s="15" t="n"/>
      <c r="H67" s="15" t="n"/>
      <c r="I67" s="15" t="n"/>
      <c r="J67" s="143">
        <f>B67+C67-D67-E67-F67-G67-H67</f>
        <v/>
      </c>
      <c r="K67" s="133" t="n"/>
      <c r="L67" s="133" t="n"/>
      <c r="M67" s="15" t="n"/>
      <c r="N67" s="15" t="n"/>
      <c r="O67" s="15" t="n"/>
      <c r="P67" s="133">
        <f>IFERROR((K67+M67)/(L67+N67),"")</f>
        <v/>
      </c>
      <c r="Q67" s="133">
        <f>IFERROR(C67*P67,"")</f>
        <v/>
      </c>
      <c r="R67" s="133">
        <f>IFERROR(P67*F67,"")</f>
        <v/>
      </c>
      <c r="S67" s="15" t="n"/>
    </row>
    <row r="68">
      <c r="A68" s="15" t="inlineStr">
        <is>
          <t>Capons (from chickens)</t>
        </is>
      </c>
      <c r="B68" s="15" t="n"/>
      <c r="C68" s="15" t="n"/>
      <c r="D68" s="15" t="n"/>
      <c r="E68" s="15" t="n"/>
      <c r="F68" s="15" t="n"/>
      <c r="G68" s="15" t="n"/>
      <c r="H68" s="15" t="n"/>
      <c r="I68" s="15" t="n"/>
      <c r="J68" s="143">
        <f>B68+C68-D68-E68-F68-G68-H68</f>
        <v/>
      </c>
      <c r="K68" s="133" t="n"/>
      <c r="L68" s="133" t="n"/>
      <c r="M68" s="15" t="n"/>
      <c r="N68" s="15" t="n"/>
      <c r="O68" s="15" t="n"/>
      <c r="P68" s="133">
        <f>IFERROR((K68+M68)/(L68+N68),"")</f>
        <v/>
      </c>
      <c r="Q68" s="133">
        <f>IFERROR(C68*P68,"")</f>
        <v/>
      </c>
      <c r="R68" s="133">
        <f>IFERROR(P68*F68,"")</f>
        <v/>
      </c>
      <c r="S68" s="15" t="n"/>
    </row>
    <row r="69">
      <c r="A69" s="15" t="inlineStr">
        <is>
          <t>Cocks &amp; hens</t>
        </is>
      </c>
      <c r="B69" s="15" t="n"/>
      <c r="C69" s="15" t="n"/>
      <c r="D69" s="15" t="n"/>
      <c r="E69" s="15" t="n"/>
      <c r="F69" s="15" t="n"/>
      <c r="G69" s="15" t="n"/>
      <c r="H69" s="15" t="n"/>
      <c r="I69" s="15" t="n"/>
      <c r="J69" s="143">
        <f>B69+C69-D69-E69-F69-G69-H69</f>
        <v/>
      </c>
      <c r="K69" s="133" t="n"/>
      <c r="L69" s="133" t="n"/>
      <c r="M69" s="15" t="n"/>
      <c r="N69" s="15" t="n"/>
      <c r="O69" s="15" t="n"/>
      <c r="P69" s="133">
        <f>IFERROR((K69+M69)/(L69+N69),"")</f>
        <v/>
      </c>
      <c r="Q69" s="133">
        <f>IFERROR(C69*P69,"")</f>
        <v/>
      </c>
      <c r="R69" s="133">
        <f>IFERROR(P69*F69,"")</f>
        <v/>
      </c>
      <c r="S69" s="15" t="n"/>
    </row>
    <row r="70">
      <c r="A70" s="186" t="inlineStr">
        <is>
          <t>Total</t>
        </is>
      </c>
      <c r="B70" s="186" t="n"/>
      <c r="C70" s="186" t="n"/>
      <c r="D70" s="186" t="n"/>
      <c r="E70" s="186" t="n"/>
      <c r="F70" s="186" t="n"/>
      <c r="G70" s="186" t="n"/>
      <c r="H70" s="186" t="n"/>
      <c r="I70" s="186" t="n"/>
      <c r="J70" s="187">
        <f>B70+C70-D70-E70-F70-G70-H70</f>
        <v/>
      </c>
      <c r="K70" s="188" t="n"/>
      <c r="L70" s="188" t="n"/>
      <c r="M70" s="186" t="n"/>
      <c r="N70" s="186" t="n"/>
      <c r="O70" s="186" t="n"/>
      <c r="P70" s="188">
        <f>IFERROR((K70+M70)/(L70+N70),"")</f>
        <v/>
      </c>
      <c r="Q70" s="188">
        <f>IFERROR(C70*P70,"")</f>
        <v/>
      </c>
      <c r="R70" s="188">
        <f>SUM(R66:R69)</f>
        <v/>
      </c>
      <c r="S70" s="186" t="n"/>
    </row>
    <row r="71">
      <c r="A71" s="15" t="n"/>
      <c r="B71" s="15" t="n"/>
      <c r="C71" s="15" t="n"/>
      <c r="D71" s="15" t="n"/>
      <c r="E71" s="15" t="n"/>
      <c r="F71" s="15" t="n"/>
      <c r="G71" s="15" t="n"/>
      <c r="H71" s="15" t="n"/>
      <c r="I71" s="15" t="n"/>
      <c r="J71" s="143" t="n"/>
      <c r="K71" s="133" t="n"/>
      <c r="L71" s="133" t="n"/>
      <c r="M71" s="15" t="n"/>
      <c r="N71" s="15" t="n"/>
      <c r="O71" s="15" t="n"/>
      <c r="P71" s="133">
        <f>IFERROR((K71+M71)/(L71+N71),"")</f>
        <v/>
      </c>
      <c r="Q71" s="133">
        <f>IFERROR(C71*P71,"")</f>
        <v/>
      </c>
      <c r="R71" s="133">
        <f>IFERROR(P71*F71,"")</f>
        <v/>
      </c>
      <c r="S71" s="15" t="n"/>
    </row>
    <row r="72">
      <c r="A72" s="8" t="inlineStr">
        <is>
          <t>Poultry production</t>
        </is>
      </c>
      <c r="B72" s="189" t="n"/>
      <c r="C72" s="15" t="n"/>
      <c r="D72" s="15" t="n"/>
      <c r="E72" s="15" t="n"/>
      <c r="F72" s="15" t="n"/>
      <c r="G72" s="15" t="n"/>
      <c r="H72" s="15" t="n"/>
      <c r="I72" s="15" t="n"/>
      <c r="J72" s="143" t="n"/>
      <c r="K72" s="133" t="n"/>
      <c r="L72" s="133" t="n"/>
      <c r="M72" s="15" t="n"/>
      <c r="N72" s="15" t="n"/>
      <c r="O72" s="15" t="n"/>
      <c r="P72" s="133">
        <f>IFERROR((K72+M72)/(L72+N72),"")</f>
        <v/>
      </c>
      <c r="Q72" s="133">
        <f>IFERROR(C72*P72,"")</f>
        <v/>
      </c>
      <c r="R72" s="133">
        <f>IFERROR(P72*F72,"")</f>
        <v/>
      </c>
      <c r="S72" s="15" t="n"/>
    </row>
    <row r="73">
      <c r="A73" s="15" t="inlineStr">
        <is>
          <t>Eggs</t>
        </is>
      </c>
      <c r="B73" s="15" t="n"/>
      <c r="C73" s="15" t="n"/>
      <c r="D73" s="15" t="n"/>
      <c r="E73" s="15" t="n"/>
      <c r="F73" s="15" t="n"/>
      <c r="G73" s="15" t="n"/>
      <c r="H73" s="15" t="n"/>
      <c r="I73" s="15" t="n"/>
      <c r="J73" s="143">
        <f>B73+C73-D73-E73-F73-G73-H73</f>
        <v/>
      </c>
      <c r="K73" s="133" t="n"/>
      <c r="L73" s="133" t="n"/>
      <c r="M73" s="15" t="n"/>
      <c r="N73" s="15" t="n"/>
      <c r="O73" s="15" t="n"/>
      <c r="P73" s="133">
        <f>IFERROR((K73+M73)/(L73+N73),"")</f>
        <v/>
      </c>
      <c r="Q73" s="133">
        <f>IFERROR(C73*P73,"")</f>
        <v/>
      </c>
      <c r="R73" s="133">
        <f>IFERROR(P73*F73,"")</f>
        <v/>
      </c>
      <c r="S73" s="15" t="n"/>
    </row>
    <row r="74">
      <c r="A74" s="15" t="inlineStr">
        <is>
          <t>Cocks &amp; hens from churchscot of customary tenants</t>
        </is>
      </c>
      <c r="B74" s="15" t="n"/>
      <c r="C74" s="15" t="n"/>
      <c r="D74" s="15" t="n"/>
      <c r="E74" s="15" t="n"/>
      <c r="F74" s="15" t="n"/>
      <c r="G74" s="15" t="n"/>
      <c r="H74" s="15" t="n"/>
      <c r="I74" s="15" t="n"/>
      <c r="J74" s="143">
        <f>B74+C74-D74-E74-F74-G74-H74</f>
        <v/>
      </c>
      <c r="K74" s="133" t="n"/>
      <c r="L74" s="133" t="n"/>
      <c r="M74" s="15" t="n"/>
      <c r="N74" s="15" t="n"/>
      <c r="O74" s="15" t="n"/>
      <c r="P74" s="133">
        <f>IFERROR((K74+M74)/(L74+N74),"")</f>
        <v/>
      </c>
      <c r="Q74" s="133">
        <f>IFERROR(C74*P74,"")</f>
        <v/>
      </c>
      <c r="R74" s="133">
        <f>IFERROR(P74*F74,"")</f>
        <v/>
      </c>
      <c r="S74" s="15" t="n"/>
    </row>
    <row r="75">
      <c r="A75" s="15" t="n"/>
      <c r="B75" s="15" t="n"/>
      <c r="C75" s="15" t="n"/>
      <c r="D75" s="15" t="n"/>
      <c r="E75" s="15" t="n"/>
      <c r="F75" s="15" t="n"/>
      <c r="G75" s="15" t="n"/>
      <c r="H75" s="15" t="n"/>
      <c r="I75" s="15" t="n"/>
      <c r="J75" s="143">
        <f>B75+C75-D75-E75-F75-G75-H75</f>
        <v/>
      </c>
      <c r="K75" s="133" t="n"/>
      <c r="L75" s="133" t="n"/>
      <c r="M75" s="15" t="n"/>
      <c r="N75" s="15" t="n"/>
      <c r="O75" s="15" t="n"/>
      <c r="P75" s="133">
        <f>IFERROR((K75+M75)/(L75+N75),"")</f>
        <v/>
      </c>
      <c r="Q75" s="133">
        <f>IFERROR(C75*P75,"")</f>
        <v/>
      </c>
      <c r="R75" s="133">
        <f>IFERROR(P75*F75,"")</f>
        <v/>
      </c>
      <c r="S75" s="15" t="n"/>
    </row>
    <row r="76">
      <c r="A76" s="15" t="n"/>
      <c r="B76" s="15" t="n"/>
      <c r="C76" s="15" t="n"/>
      <c r="D76" s="15" t="n"/>
      <c r="E76" s="15" t="n"/>
      <c r="F76" s="15" t="n"/>
      <c r="G76" s="15" t="n"/>
      <c r="H76" s="15" t="n"/>
      <c r="I76" s="15" t="n"/>
      <c r="J76" s="143">
        <f>B76+C76-D76-E76-F76-G76-H76</f>
        <v/>
      </c>
      <c r="K76" s="133" t="n"/>
      <c r="L76" s="133" t="n"/>
      <c r="M76" s="15" t="n"/>
      <c r="N76" s="15" t="n"/>
      <c r="O76" s="15" t="n"/>
      <c r="P76" s="133">
        <f>IFERROR((K76+M76)/(L76+N76),"")</f>
        <v/>
      </c>
      <c r="Q76" s="133">
        <f>IFERROR(C76*P76,"")</f>
        <v/>
      </c>
      <c r="R76" s="133">
        <f>IFERROR(P76*F76,"")</f>
        <v/>
      </c>
      <c r="S76" s="15" t="n"/>
    </row>
    <row r="77">
      <c r="A77" s="8" t="inlineStr">
        <is>
          <t>Meat</t>
        </is>
      </c>
      <c r="B77" s="15" t="n"/>
      <c r="C77" s="15" t="n"/>
      <c r="D77" s="15" t="n"/>
      <c r="E77" s="15" t="n"/>
      <c r="F77" s="15" t="n"/>
      <c r="G77" s="15" t="n"/>
      <c r="H77" s="15" t="n"/>
      <c r="I77" s="15" t="n"/>
      <c r="J77" s="143" t="n"/>
      <c r="K77" s="133" t="n"/>
      <c r="L77" s="133" t="n"/>
      <c r="M77" s="15" t="n"/>
      <c r="N77" s="15" t="n"/>
      <c r="O77" s="15" t="n"/>
      <c r="P77" s="133">
        <f>IFERROR((K77+M77)/(L77+N77),"")</f>
        <v/>
      </c>
      <c r="Q77" s="133">
        <f>IFERROR(C77*P77,"")</f>
        <v/>
      </c>
      <c r="R77" s="133">
        <f>IFERROR(P77*F77,"")</f>
        <v/>
      </c>
      <c r="S77" s="15" t="n"/>
    </row>
    <row r="78">
      <c r="A78" s="15" t="inlineStr">
        <is>
          <t>Beef</t>
        </is>
      </c>
      <c r="B78" s="15" t="n"/>
      <c r="C78" s="15" t="n"/>
      <c r="D78" s="15" t="n"/>
      <c r="E78" s="15" t="n"/>
      <c r="F78" s="15" t="n"/>
      <c r="G78" s="15" t="n"/>
      <c r="H78" s="15" t="n"/>
      <c r="I78" s="15" t="n"/>
      <c r="J78" s="143">
        <f>B78+C78-D78-E78-F78-G78-H78</f>
        <v/>
      </c>
      <c r="K78" s="133" t="n"/>
      <c r="L78" s="133" t="n"/>
      <c r="M78" s="15" t="n"/>
      <c r="N78" s="15" t="n"/>
      <c r="O78" s="15" t="n"/>
      <c r="P78" s="133">
        <f>IFERROR((K78+M78)/(L78+N78),"")</f>
        <v/>
      </c>
      <c r="Q78" s="133">
        <f>IFERROR(C78*P78,"")</f>
        <v/>
      </c>
      <c r="R78" s="133">
        <f>IFERROR(P78*F78,"")</f>
        <v/>
      </c>
      <c r="S78" s="15" t="n"/>
    </row>
    <row r="79">
      <c r="A79" s="15" t="inlineStr">
        <is>
          <t>Mutton</t>
        </is>
      </c>
      <c r="B79" s="15" t="n"/>
      <c r="C79" s="15" t="n"/>
      <c r="D79" s="15" t="n"/>
      <c r="E79" s="15" t="n"/>
      <c r="F79" s="15" t="n"/>
      <c r="G79" s="15" t="n"/>
      <c r="H79" s="15" t="n"/>
      <c r="I79" s="15" t="n"/>
      <c r="J79" s="143">
        <f>B79+C79-D79-E79-F79-G79-H79</f>
        <v/>
      </c>
      <c r="K79" s="133" t="n"/>
      <c r="L79" s="133" t="n"/>
      <c r="M79" s="15" t="n"/>
      <c r="N79" s="15" t="n"/>
      <c r="O79" s="15" t="n"/>
      <c r="P79" s="133">
        <f>IFERROR((K79+M79)/(L79+N79),"")</f>
        <v/>
      </c>
      <c r="Q79" s="133">
        <f>IFERROR(C79*P79,"")</f>
        <v/>
      </c>
      <c r="R79" s="133">
        <f>IFERROR(P79*F79,"")</f>
        <v/>
      </c>
      <c r="S79" s="15" t="n"/>
    </row>
    <row r="80">
      <c r="A80" s="15" t="inlineStr">
        <is>
          <t>Pork</t>
        </is>
      </c>
      <c r="B80" s="15" t="n"/>
      <c r="C80" s="15" t="n"/>
      <c r="D80" s="15" t="n"/>
      <c r="E80" s="15" t="n"/>
      <c r="F80" s="15" t="n"/>
      <c r="G80" s="15" t="n"/>
      <c r="H80" s="15" t="n"/>
      <c r="I80" s="15" t="n"/>
      <c r="J80" s="143">
        <f>B80+C80-D80-E80-F80-G80-H80</f>
        <v/>
      </c>
      <c r="K80" s="133" t="n"/>
      <c r="L80" s="133" t="n"/>
      <c r="M80" s="15" t="n"/>
      <c r="N80" s="15" t="n"/>
      <c r="O80" s="15" t="n"/>
      <c r="P80" s="133">
        <f>IFERROR((K80+M80)/(L80+N80),"")</f>
        <v/>
      </c>
      <c r="Q80" s="133">
        <f>IFERROR(C80*P80,"")</f>
        <v/>
      </c>
      <c r="R80" s="133">
        <f>IFERROR(P80*F80,"")</f>
        <v/>
      </c>
      <c r="S80" s="15" t="n"/>
    </row>
    <row r="81">
      <c r="A81" s="15" t="n"/>
      <c r="B81" s="15" t="n"/>
      <c r="C81" s="15" t="n"/>
      <c r="D81" s="15" t="n"/>
      <c r="E81" s="15" t="n"/>
      <c r="F81" s="15" t="n"/>
      <c r="G81" s="15" t="n"/>
      <c r="H81" s="15" t="n"/>
      <c r="I81" s="15" t="n"/>
      <c r="J81" s="143">
        <f>B81+C81-D81-E81-F81-G81-H81</f>
        <v/>
      </c>
      <c r="K81" s="133" t="n"/>
      <c r="L81" s="133" t="n"/>
      <c r="M81" s="15" t="n"/>
      <c r="N81" s="15" t="n"/>
      <c r="O81" s="15" t="n"/>
      <c r="P81" s="133">
        <f>IFERROR((K81+M81)/(L81+N81),"")</f>
        <v/>
      </c>
      <c r="Q81" s="133">
        <f>IFERROR(C81*P81,"")</f>
        <v/>
      </c>
      <c r="R81" s="133">
        <f>IFERROR(P81*F81,"")</f>
        <v/>
      </c>
      <c r="S81" s="15" t="n"/>
    </row>
    <row r="82">
      <c r="A82" s="15" t="n"/>
      <c r="B82" s="15" t="n"/>
      <c r="C82" s="15" t="n"/>
      <c r="D82" s="15" t="n"/>
      <c r="E82" s="15" t="n"/>
      <c r="F82" s="15" t="n"/>
      <c r="G82" s="15" t="n"/>
      <c r="H82" s="15" t="n"/>
      <c r="I82" s="15" t="n"/>
      <c r="J82" s="143">
        <f>B82+C82-D82-E82-F82-G82-H82</f>
        <v/>
      </c>
      <c r="K82" s="133" t="n"/>
      <c r="L82" s="133" t="n"/>
      <c r="M82" s="15" t="n"/>
      <c r="N82" s="15" t="n"/>
      <c r="O82" s="15" t="n"/>
      <c r="P82" s="133">
        <f>IFERROR((K82+M82)/(L82+N82),"")</f>
        <v/>
      </c>
      <c r="Q82" s="133">
        <f>IFERROR(C82*P82,"")</f>
        <v/>
      </c>
      <c r="R82" s="133">
        <f>IFERROR(P82*F82,"")</f>
        <v/>
      </c>
      <c r="S82" s="15" t="n"/>
    </row>
    <row r="83">
      <c r="A83" s="8" t="inlineStr">
        <is>
          <t>Cheese</t>
        </is>
      </c>
      <c r="B83" s="189" t="n"/>
      <c r="C83" s="15" t="n"/>
      <c r="D83" s="15" t="n"/>
      <c r="E83" s="15" t="n"/>
      <c r="F83" s="15" t="n"/>
      <c r="G83" s="15" t="n"/>
      <c r="H83" s="15" t="n"/>
      <c r="I83" s="15" t="n"/>
      <c r="J83" s="143">
        <f>B83+C83-D83-E83-F83-G83-H83</f>
        <v/>
      </c>
      <c r="K83" s="133" t="n"/>
      <c r="L83" s="133" t="n"/>
      <c r="M83" s="15" t="n"/>
      <c r="N83" s="15" t="n"/>
      <c r="O83" s="15" t="n"/>
      <c r="P83" s="133">
        <f>IFERROR((K83+M83)/(L83+N83),"")</f>
        <v/>
      </c>
      <c r="Q83" s="133">
        <f>IFERROR(C83*P83,"")</f>
        <v/>
      </c>
      <c r="R83" s="133">
        <f>IFERROR(P83*F83,"")</f>
        <v/>
      </c>
      <c r="S83" s="15" t="n"/>
    </row>
    <row r="84">
      <c r="A84" s="15" t="inlineStr">
        <is>
          <t>Winter cheese</t>
        </is>
      </c>
      <c r="B84" s="15" t="n"/>
      <c r="C84" s="15" t="n"/>
      <c r="D84" s="15" t="n"/>
      <c r="E84" s="15" t="n"/>
      <c r="F84" s="15" t="n"/>
      <c r="G84" s="15" t="n"/>
      <c r="H84" s="15" t="n"/>
      <c r="I84" s="15" t="n"/>
      <c r="J84" s="143">
        <f>B84+C84-D84-E84-F84-G84-H84</f>
        <v/>
      </c>
      <c r="K84" s="133" t="n"/>
      <c r="L84" s="133" t="n"/>
      <c r="M84" s="15" t="n"/>
      <c r="N84" s="15" t="n"/>
      <c r="O84" s="15" t="n"/>
      <c r="P84" s="133">
        <f>IFERROR((K84+M84)/(L84+N84),"")</f>
        <v/>
      </c>
      <c r="Q84" s="133">
        <f>IFERROR(C84*P84,"")</f>
        <v/>
      </c>
      <c r="R84" s="133">
        <f>IFERROR(P84*F84,"")</f>
        <v/>
      </c>
      <c r="S84" s="15" t="n"/>
    </row>
    <row r="85">
      <c r="A85" s="15" t="inlineStr">
        <is>
          <t>Summer cheese</t>
        </is>
      </c>
      <c r="B85" s="15" t="n"/>
      <c r="C85" s="15" t="n"/>
      <c r="D85" s="15" t="n"/>
      <c r="E85" s="15" t="n"/>
      <c r="F85" s="15" t="n"/>
      <c r="G85" s="15" t="n"/>
      <c r="H85" s="15" t="n"/>
      <c r="I85" s="15" t="n"/>
      <c r="J85" s="143">
        <f>B85+C85-D85-E85-F85-G85-H85</f>
        <v/>
      </c>
      <c r="K85" s="133" t="n"/>
      <c r="L85" s="133" t="n"/>
      <c r="M85" s="15" t="n"/>
      <c r="N85" s="15" t="n"/>
      <c r="O85" s="15" t="n"/>
      <c r="P85" s="133">
        <f>IFERROR((K85+M85)/(L85+N85),"")</f>
        <v/>
      </c>
      <c r="Q85" s="133">
        <f>IFERROR(C85*P85,"")</f>
        <v/>
      </c>
      <c r="R85" s="133">
        <f>IFERROR(P85*F85,"")</f>
        <v/>
      </c>
      <c r="S85" s="15" t="n"/>
    </row>
    <row r="86">
      <c r="A86" s="15" t="n"/>
      <c r="B86" s="15" t="n"/>
      <c r="C86" s="15" t="n"/>
      <c r="D86" s="15" t="n"/>
      <c r="E86" s="15" t="n"/>
      <c r="F86" s="15" t="n"/>
      <c r="G86" s="15" t="n"/>
      <c r="H86" s="15" t="n"/>
      <c r="I86" s="15" t="n"/>
      <c r="J86" s="143">
        <f>B86+C86-D86-E86-F86-G86-H86</f>
        <v/>
      </c>
      <c r="K86" s="133" t="n"/>
      <c r="L86" s="133" t="n"/>
      <c r="M86" s="15" t="n"/>
      <c r="N86" s="15" t="n"/>
      <c r="O86" s="15" t="n"/>
      <c r="P86" s="133">
        <f>IFERROR((K86+M86)/(L86+N86),"")</f>
        <v/>
      </c>
      <c r="Q86" s="133">
        <f>IFERROR(C86*P86,"")</f>
        <v/>
      </c>
      <c r="R86" s="133">
        <f>IFERROR(P86*F86,"")</f>
        <v/>
      </c>
      <c r="S86" s="15" t="n"/>
    </row>
    <row r="87">
      <c r="A87" s="15" t="n"/>
      <c r="B87" s="15" t="n"/>
      <c r="C87" s="15" t="n"/>
      <c r="D87" s="15" t="n"/>
      <c r="E87" s="15" t="n"/>
      <c r="F87" s="15" t="n"/>
      <c r="G87" s="15" t="n"/>
      <c r="H87" s="15" t="n"/>
      <c r="I87" s="15" t="n"/>
      <c r="J87" s="143">
        <f>B87+C87-D87-E87-F87-G87-H87</f>
        <v/>
      </c>
      <c r="K87" s="133" t="n"/>
      <c r="L87" s="133" t="n"/>
      <c r="M87" s="15" t="n"/>
      <c r="N87" s="15" t="n"/>
      <c r="O87" s="15" t="n"/>
      <c r="P87" s="133">
        <f>IFERROR((K87+M87)/(L87+N87),"")</f>
        <v/>
      </c>
      <c r="Q87" s="133">
        <f>IFERROR(C87*P87,"")</f>
        <v/>
      </c>
      <c r="R87" s="133">
        <f>IFERROR(P87*F87,"")</f>
        <v/>
      </c>
      <c r="S87" s="15" t="n"/>
    </row>
    <row r="88">
      <c r="A88" s="8" t="inlineStr">
        <is>
          <t>Butter</t>
        </is>
      </c>
      <c r="B88" s="189" t="n"/>
      <c r="C88" s="15" t="n"/>
      <c r="D88" s="15" t="n"/>
      <c r="E88" s="15" t="n"/>
      <c r="F88" s="15" t="n"/>
      <c r="G88" s="15" t="n"/>
      <c r="H88" s="15" t="n"/>
      <c r="I88" s="15" t="n"/>
      <c r="J88" s="143">
        <f>B88+C88-D88-E88-F88-G88-H88</f>
        <v/>
      </c>
      <c r="K88" s="133" t="n"/>
      <c r="L88" s="15" t="n"/>
      <c r="M88" s="15" t="n"/>
      <c r="O88" s="15" t="n"/>
      <c r="P88" s="133">
        <f>IFERROR((K88+M88)/(L88+N88),"")</f>
        <v/>
      </c>
      <c r="Q88" s="133">
        <f>IFERROR(C88*P88,"")</f>
        <v/>
      </c>
      <c r="R88" s="133">
        <f>IFERROR(P88*F88,"")</f>
        <v/>
      </c>
      <c r="S88" s="15" t="n"/>
    </row>
    <row r="89">
      <c r="A89" s="15" t="n"/>
      <c r="B89" s="15" t="n"/>
      <c r="C89" s="15" t="n"/>
      <c r="D89" s="15" t="n"/>
      <c r="E89" s="15" t="n"/>
      <c r="F89" s="15" t="n"/>
      <c r="G89" s="15" t="n"/>
      <c r="H89" s="15" t="n"/>
      <c r="I89" s="15" t="n"/>
      <c r="J89" s="143" t="n"/>
      <c r="K89" s="133" t="n"/>
      <c r="L89" s="133" t="n"/>
      <c r="M89" s="15" t="n"/>
      <c r="N89" s="15" t="n"/>
      <c r="O89" s="15" t="n"/>
      <c r="P89" s="133">
        <f>IFERROR((K89+M89)/(L89+N89),"")</f>
        <v/>
      </c>
      <c r="Q89" s="133">
        <f>IFERROR(C89*P89,"")</f>
        <v/>
      </c>
      <c r="R89" s="133">
        <f>IFERROR(P89*F89,"")</f>
        <v/>
      </c>
      <c r="S89" s="15" t="n"/>
    </row>
    <row r="90">
      <c r="A90" s="15" t="n"/>
      <c r="B90" s="15" t="n"/>
      <c r="C90" s="15" t="n"/>
      <c r="D90" s="15" t="n"/>
      <c r="E90" s="15" t="n"/>
      <c r="F90" s="15" t="n"/>
      <c r="G90" s="15" t="n"/>
      <c r="H90" s="15" t="n"/>
      <c r="I90" s="15" t="n"/>
      <c r="J90" s="143" t="n"/>
      <c r="K90" s="133" t="n"/>
      <c r="L90" s="133" t="n"/>
      <c r="M90" s="15" t="n"/>
      <c r="N90" s="15" t="n"/>
      <c r="O90" s="15" t="n"/>
      <c r="P90" s="133">
        <f>IFERROR((K90+M90)/(L90+N90),"")</f>
        <v/>
      </c>
      <c r="Q90" s="133">
        <f>IFERROR(C90*P90,"")</f>
        <v/>
      </c>
      <c r="R90" s="133">
        <f>IFERROR(P90*F90,"")</f>
        <v/>
      </c>
      <c r="S90" s="15" t="n"/>
    </row>
    <row r="91">
      <c r="A91" s="8" t="inlineStr">
        <is>
          <t>Cider</t>
        </is>
      </c>
      <c r="B91" s="15" t="n"/>
      <c r="C91" s="15" t="n">
        <v>2</v>
      </c>
      <c r="D91" s="15" t="n"/>
      <c r="E91" s="15" t="n"/>
      <c r="F91" s="15" t="n"/>
      <c r="G91" s="15" t="n"/>
      <c r="H91" s="15" t="n"/>
      <c r="I91" s="15" t="n">
        <v>2</v>
      </c>
      <c r="J91" s="143">
        <f>B91+C91-D91-E91-F91-G91-H91</f>
        <v/>
      </c>
      <c r="K91" s="133" t="n"/>
      <c r="L91" s="133" t="n"/>
      <c r="M91" s="15" t="n"/>
      <c r="N91" s="15" t="n"/>
      <c r="O91" s="15" t="n"/>
      <c r="P91" s="133">
        <f>IFERROR((K91+M91)/(L91+N91),"")</f>
        <v/>
      </c>
      <c r="Q91" s="133">
        <f>IFERROR(C91*P91,"")</f>
        <v/>
      </c>
      <c r="R91" s="133">
        <f>IFERROR(P91*F91,"")</f>
        <v/>
      </c>
      <c r="S91" s="15" t="n"/>
    </row>
    <row r="92">
      <c r="A92" s="186" t="inlineStr">
        <is>
          <t>Total</t>
        </is>
      </c>
      <c r="B92" s="186" t="n"/>
      <c r="C92" s="186" t="n"/>
      <c r="D92" s="186" t="n"/>
      <c r="E92" s="186" t="n"/>
      <c r="F92" s="186" t="n"/>
      <c r="G92" s="186" t="n"/>
      <c r="H92" s="186" t="n"/>
      <c r="I92" s="186" t="n"/>
      <c r="J92" s="187">
        <f>B92+C92-D92-E92-F92-G92-H92</f>
        <v/>
      </c>
      <c r="K92" s="188" t="n"/>
      <c r="L92" s="188" t="n"/>
      <c r="M92" s="186" t="n"/>
      <c r="N92" s="186" t="n"/>
      <c r="O92" s="186" t="n"/>
      <c r="P92" s="188">
        <f>IFERROR((K92+M92)/(L92+N92),"")</f>
        <v/>
      </c>
      <c r="Q92" s="188">
        <f>IFERROR(C92*P92,"")</f>
        <v/>
      </c>
      <c r="R92" s="188">
        <f>IFERROR(P92*F92,"")</f>
        <v/>
      </c>
      <c r="S92" s="186" t="n"/>
    </row>
    <row r="93">
      <c r="A93" s="15" t="n"/>
      <c r="B93" s="15" t="n"/>
      <c r="C93" s="15" t="n"/>
      <c r="D93" s="15" t="n"/>
      <c r="E93" s="15" t="n"/>
      <c r="F93" s="15" t="n"/>
      <c r="G93" s="15" t="n"/>
      <c r="H93" s="15" t="n"/>
      <c r="I93" s="15" t="n"/>
      <c r="J93" s="143" t="n"/>
      <c r="K93" s="133" t="n"/>
      <c r="L93" s="133" t="n"/>
      <c r="M93" s="15" t="n"/>
      <c r="N93" s="15" t="n"/>
      <c r="O93" s="15" t="n"/>
      <c r="P93" s="133">
        <f>IFERROR((K93+M93)/(L93+N93),"")</f>
        <v/>
      </c>
      <c r="Q93" s="133">
        <f>IFERROR(C93*P93,"")</f>
        <v/>
      </c>
      <c r="R93" s="133">
        <f>IFERROR(P93*F93,"")</f>
        <v/>
      </c>
      <c r="S93" s="15" t="n"/>
    </row>
    <row r="94">
      <c r="A94" s="15" t="n"/>
      <c r="B94" s="15" t="n"/>
      <c r="C94" s="15" t="n"/>
      <c r="D94" s="15" t="n"/>
      <c r="E94" s="15" t="n"/>
      <c r="F94" s="15" t="n"/>
      <c r="G94" s="15" t="n"/>
      <c r="H94" s="15" t="n"/>
      <c r="I94" s="15" t="n"/>
      <c r="J94" s="143" t="n"/>
      <c r="K94" s="133" t="n"/>
      <c r="L94" s="133" t="n"/>
      <c r="M94" s="15" t="n"/>
      <c r="N94" s="15" t="n"/>
      <c r="O94" s="15" t="n"/>
      <c r="P94" s="133">
        <f>IFERROR((K94+M94)/(L94+N94),"")</f>
        <v/>
      </c>
      <c r="Q94" s="133">
        <f>IFERROR(C94*P94,"")</f>
        <v/>
      </c>
      <c r="R94" s="133">
        <f>IFERROR(P94*F94,"")</f>
        <v/>
      </c>
      <c r="S94" s="15" t="n"/>
    </row>
    <row r="95">
      <c r="B95" s="189" t="n"/>
      <c r="C95" s="15" t="n"/>
      <c r="D95" s="15" t="n"/>
      <c r="E95" s="15" t="n"/>
      <c r="F95" s="15" t="n"/>
      <c r="G95" s="15" t="n"/>
      <c r="H95" s="15" t="n"/>
      <c r="I95" s="15" t="n"/>
      <c r="J95" s="143" t="n"/>
      <c r="K95" s="133" t="n"/>
      <c r="L95" s="133" t="n"/>
      <c r="M95" s="15" t="n"/>
      <c r="N95" s="15" t="n"/>
      <c r="O95" s="15" t="n"/>
      <c r="P95" s="133">
        <f>IFERROR((K95+M95)/(L95+N95),"")</f>
        <v/>
      </c>
      <c r="Q95" s="133">
        <f>IFERROR(C95*P95,"")</f>
        <v/>
      </c>
      <c r="R95" s="133">
        <f>IFERROR(P95*F95,"")</f>
        <v/>
      </c>
      <c r="S95" s="15" t="n"/>
    </row>
    <row r="96">
      <c r="P96" s="133">
        <f>IFERROR((K96+M96)/(L96+N96),"")</f>
        <v/>
      </c>
      <c r="Q96" s="133">
        <f>IFERROR(C96*P96,"")</f>
        <v/>
      </c>
      <c r="R96" s="133">
        <f>IFERROR(P96*F96,"")</f>
        <v/>
      </c>
    </row>
    <row r="97">
      <c r="A97" s="1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7"/>
  <sheetViews>
    <sheetView topLeftCell="A1" workbookViewId="0">
      <selection activeCell="A1" sqref="A1"/>
    </sheetView>
  </sheetViews>
  <sheetFormatPr baseColWidth="8" defaultRowHeight="15"/>
  <sheetData>
    <row r="1">
      <c r="A1" t="inlineStr">
        <is>
          <t>ASSUMPTIONS</t>
        </is>
      </c>
    </row>
    <row r="2"/>
    <row r="3">
      <c r="B3" s="12" t="inlineStr">
        <is>
          <t>Weights</t>
        </is>
      </c>
      <c r="C3" s="12" t="inlineStr">
        <is>
          <t>Value (in lbs)</t>
        </is>
      </c>
      <c r="D3" s="12" t="inlineStr">
        <is>
          <t>Value (in cloves)</t>
        </is>
      </c>
      <c r="E3" s="12" t="inlineStr">
        <is>
          <t>Value (in weys)</t>
        </is>
      </c>
      <c r="F3" s="12" t="inlineStr">
        <is>
          <t>Value (in stone)</t>
        </is>
      </c>
    </row>
    <row r="4">
      <c r="B4" s="12" t="inlineStr">
        <is>
          <t>Lbs</t>
        </is>
      </c>
      <c r="C4" t="n">
        <v>1</v>
      </c>
      <c r="D4">
        <f>C4/C5</f>
        <v/>
      </c>
      <c r="E4">
        <f>C4/C6</f>
        <v/>
      </c>
      <c r="F4">
        <f>C4/C7</f>
        <v/>
      </c>
    </row>
    <row r="5">
      <c r="B5" s="12" t="inlineStr">
        <is>
          <t>Cloves</t>
        </is>
      </c>
      <c r="C5" t="n">
        <v>7</v>
      </c>
      <c r="D5" t="n">
        <v>1</v>
      </c>
      <c r="E5">
        <f>C5/C6</f>
        <v/>
      </c>
      <c r="F5">
        <f>C7/C5</f>
        <v/>
      </c>
    </row>
    <row r="6">
      <c r="B6" s="12" t="inlineStr">
        <is>
          <t>Wey</t>
        </is>
      </c>
      <c r="C6" t="n">
        <v>175</v>
      </c>
      <c r="D6">
        <f>C6/C5</f>
        <v/>
      </c>
      <c r="E6">
        <f>C6/C6</f>
        <v/>
      </c>
      <c r="F6">
        <f>C7/C6</f>
        <v/>
      </c>
    </row>
    <row r="7">
      <c r="B7" s="12" t="inlineStr">
        <is>
          <t>Stone</t>
        </is>
      </c>
      <c r="C7">
        <f>175/14</f>
        <v/>
      </c>
      <c r="D7">
        <f>C5/C7</f>
        <v/>
      </c>
      <c r="E7">
        <f>C7/C6</f>
        <v/>
      </c>
      <c r="F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2025-12-18T10:17:21Z</dcterms:modified>
  <cp:lastModifiedBy>Kowalski, Kuba</cp:lastModifiedBy>
</cp:coreProperties>
</file>
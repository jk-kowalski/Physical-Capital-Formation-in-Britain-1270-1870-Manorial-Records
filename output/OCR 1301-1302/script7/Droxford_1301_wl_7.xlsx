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Droxford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28" fillId="0" borderId="0" pivotButton="0" quotePrefix="0" xfId="0"/>
    <xf numFmtId="2" fontId="9" fillId="0" borderId="0" pivotButton="0" quotePrefix="0" xfId="0"/>
    <xf numFmtId="0" fontId="28" fillId="5" borderId="0" pivotButton="0" quotePrefix="0" xfId="0"/>
    <xf numFmtId="2" fontId="0"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29"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30" fillId="0" borderId="3" applyAlignment="1" pivotButton="0" quotePrefix="0" xfId="0">
      <alignment wrapText="1"/>
    </xf>
    <xf numFmtId="2" fontId="20" fillId="0" borderId="0" applyAlignment="1" pivotButton="0" quotePrefix="0" xfId="0">
      <alignment horizontal="right" wrapText="1"/>
    </xf>
    <xf numFmtId="2" fontId="9" fillId="0" borderId="0" applyAlignment="1" pivotButton="0" quotePrefix="0" xfId="0">
      <alignment horizontal="righ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6"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DROXFORD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25.94</v>
      </c>
      <c r="D4" s="13" t="n"/>
      <c r="E4" s="13" t="n"/>
    </row>
    <row r="5">
      <c r="A5" s="15" t="inlineStr">
        <is>
          <t>Rents of assize total</t>
        </is>
      </c>
      <c r="B5" s="76" t="n">
        <v>24.77</v>
      </c>
    </row>
    <row r="6">
      <c r="A6" s="15" t="inlineStr">
        <is>
          <t>Quittances total</t>
        </is>
      </c>
      <c r="B6" s="76" t="n">
        <v>0.425625</v>
      </c>
    </row>
    <row r="7">
      <c r="A7" s="15" t="inlineStr">
        <is>
          <t>Defaults of rent total</t>
        </is>
      </c>
      <c r="B7" s="76" t="n">
        <v>0.5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0.92</v>
      </c>
    </row>
    <row r="12">
      <c r="A12" s="76" t="inlineStr">
        <is>
          <t>Total of rents remaining clear total</t>
        </is>
      </c>
      <c r="B12" s="76" t="n"/>
    </row>
    <row r="13">
      <c r="A13" s="76" t="inlineStr">
        <is>
          <t>Farms total</t>
        </is>
      </c>
      <c r="B13" s="76" t="n"/>
    </row>
    <row r="14">
      <c r="A14" s="15" t="inlineStr">
        <is>
          <t>Annual recognizances total</t>
        </is>
      </c>
      <c r="B14" s="76" t="n">
        <v>0.1</v>
      </c>
    </row>
    <row r="15">
      <c r="A15" s="15" t="inlineStr">
        <is>
          <t>Issues of the Manor total</t>
        </is>
      </c>
      <c r="B15" s="76" t="n">
        <v>22.05708333333333</v>
      </c>
    </row>
    <row r="16">
      <c r="A16" s="76" t="inlineStr">
        <is>
          <t>Issues of the tenements in the lord's hands total</t>
        </is>
      </c>
      <c r="B16" s="76" t="n"/>
    </row>
    <row r="17">
      <c r="A17" s="76" t="inlineStr">
        <is>
          <t>Sale of labour services total</t>
        </is>
      </c>
      <c r="B17" s="76" t="n"/>
    </row>
    <row r="18">
      <c r="A18" s="15" t="inlineStr">
        <is>
          <t>Sale of corn total</t>
        </is>
      </c>
      <c r="B18" s="76" t="n">
        <v>27.96</v>
      </c>
    </row>
    <row r="19">
      <c r="A19" s="15" t="inlineStr">
        <is>
          <t>Entry and marriage fines total</t>
        </is>
      </c>
      <c r="B19" s="76" t="n">
        <v>2.18</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80.08749999999999</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3.69</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c r="B35" t="n">
        <v>1.014166666666667</v>
      </c>
    </row>
    <row r="36">
      <c r="A36" s="15" t="inlineStr">
        <is>
          <t>Cost of buildings total</t>
        </is>
      </c>
      <c r="B36" s="84" t="n">
        <v>2.2</v>
      </c>
    </row>
    <row r="37">
      <c r="A37" s="15" t="inlineStr">
        <is>
          <t>Threshing total</t>
        </is>
      </c>
      <c r="B37" t="n">
        <v>1.670416666666667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0.51</v>
      </c>
    </row>
    <row r="43">
      <c r="A43" s="85" t="inlineStr">
        <is>
          <t>Annual fees</t>
        </is>
      </c>
      <c r="B43" s="86" t="n"/>
      <c r="C43" s="87" t="n"/>
      <c r="D43" s="88" t="n"/>
    </row>
    <row r="44">
      <c r="A44" s="82" t="inlineStr">
        <is>
          <t>Total of all expenses per account</t>
        </is>
      </c>
      <c r="B44" s="84" t="n">
        <v>10.99</v>
      </c>
    </row>
    <row r="45">
      <c r="A45" s="82" t="inlineStr">
        <is>
          <t>Total of all expenses (calculated here)</t>
        </is>
      </c>
      <c r="B45" s="84" t="n">
        <v>13.05125</v>
      </c>
    </row>
    <row r="46">
      <c r="A46" s="82" t="inlineStr">
        <is>
          <t>Total fixed investment</t>
        </is>
      </c>
      <c r="B46" s="84" t="n">
        <v>4.353333333333332</v>
      </c>
    </row>
    <row r="47">
      <c r="A47" s="82" t="inlineStr">
        <is>
          <t>Total Demesne fixed investment</t>
        </is>
      </c>
      <c r="B47" s="84" t="n">
        <v>4.353333333333332</v>
      </c>
    </row>
    <row r="48">
      <c r="A48" s="12" t="n"/>
    </row>
    <row r="49">
      <c r="A49" s="18" t="inlineStr">
        <is>
          <t>Owed by the reeve</t>
        </is>
      </c>
      <c r="B49" s="84">
        <f>B23-B45</f>
        <v/>
      </c>
    </row>
    <row r="50">
      <c r="A50" s="18" t="inlineStr">
        <is>
          <t>From accounts</t>
        </is>
      </c>
      <c r="B50" s="84" t="n">
        <v>10.99</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58.125</v>
      </c>
      <c r="E62" t="n">
        <v>11.82299440298508</v>
      </c>
      <c r="F62" s="13" t="n"/>
    </row>
    <row r="63">
      <c r="A63" s="76" t="inlineStr">
        <is>
          <t>Rye</t>
        </is>
      </c>
      <c r="B63" t="n">
        <v>2.0625</v>
      </c>
      <c r="F63" s="13" t="n"/>
    </row>
    <row r="64">
      <c r="A64" s="76" t="inlineStr">
        <is>
          <t>Dredge</t>
        </is>
      </c>
      <c r="F64" s="13" t="n"/>
    </row>
    <row r="65">
      <c r="A65" s="76" t="inlineStr">
        <is>
          <t>Curall</t>
        </is>
      </c>
      <c r="B65" t="n">
        <v>6.375</v>
      </c>
      <c r="E65" t="n">
        <v>1.0625</v>
      </c>
      <c r="F65" s="13" t="n"/>
    </row>
    <row r="66">
      <c r="A66" s="76" t="inlineStr">
        <is>
          <t>Barley</t>
        </is>
      </c>
      <c r="B66" t="n">
        <v>93.125</v>
      </c>
      <c r="E66" t="n">
        <v>7.461813186813187</v>
      </c>
      <c r="F66" s="13" t="n"/>
    </row>
    <row r="67">
      <c r="A67" s="76" t="inlineStr">
        <is>
          <t>Oats</t>
        </is>
      </c>
      <c r="B67" t="n">
        <v>108.25</v>
      </c>
      <c r="E67" t="n">
        <v>4.158333333333334</v>
      </c>
      <c r="F67" s="13" t="n"/>
    </row>
    <row r="68">
      <c r="A68" s="76" t="inlineStr">
        <is>
          <t>Beans</t>
        </is>
      </c>
      <c r="F68" s="13" t="n"/>
    </row>
    <row r="69">
      <c r="A69" s="76" t="inlineStr">
        <is>
          <t>Peas</t>
        </is>
      </c>
      <c r="B69" t="n">
        <v>11.875</v>
      </c>
      <c r="E69" t="n">
        <v>1.0375</v>
      </c>
      <c r="F69" s="13" t="n"/>
    </row>
    <row r="70">
      <c r="A70" s="76" t="inlineStr">
        <is>
          <t>Vetches</t>
        </is>
      </c>
      <c r="E70" t="n">
        <v>0.9583333333333334</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t="n">
        <v>1</v>
      </c>
      <c r="G87" s="84" t="n">
        <v>0</v>
      </c>
    </row>
    <row r="88">
      <c r="A88" s="22" t="inlineStr">
        <is>
          <t>Mares</t>
        </is>
      </c>
      <c r="B88" s="76" t="n"/>
      <c r="C88" s="76" t="n"/>
      <c r="D88" s="76">
        <f>C88-B88</f>
        <v/>
      </c>
      <c r="F88" s="84">
        <f>'Stock'!K6*'Stock'!O6</f>
        <v/>
      </c>
      <c r="G88" s="84">
        <f>D88*'Stock'!O6</f>
        <v/>
      </c>
    </row>
    <row r="89">
      <c r="A89" s="15" t="inlineStr">
        <is>
          <t>Plough horses</t>
        </is>
      </c>
      <c r="B89" s="76" t="n">
        <v>4</v>
      </c>
      <c r="C89" s="76" t="n">
        <v>4</v>
      </c>
      <c r="D89" s="76" t="n">
        <v>0</v>
      </c>
      <c r="F89" s="84" t="n">
        <v>0.9</v>
      </c>
      <c r="G89" s="84" t="n">
        <v>0</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17</v>
      </c>
      <c r="C94" s="76" t="n">
        <v>24</v>
      </c>
      <c r="D94" s="76" t="n">
        <v>7</v>
      </c>
      <c r="F94" s="84" t="n">
        <v>10.8</v>
      </c>
      <c r="G94" s="84" t="n">
        <v>3.15</v>
      </c>
    </row>
    <row r="95">
      <c r="A95" s="15" t="inlineStr">
        <is>
          <t>Bulls</t>
        </is>
      </c>
      <c r="B95" s="76" t="n">
        <v>1</v>
      </c>
      <c r="C95" s="76" t="n">
        <v>1</v>
      </c>
      <c r="D95" s="76" t="n">
        <v>0</v>
      </c>
      <c r="F95" s="84">
        <f>'Stock'!K13*'Stock'!O13</f>
        <v/>
      </c>
      <c r="G95" s="84">
        <f>D95*'Stock'!O13</f>
        <v/>
      </c>
    </row>
    <row r="96">
      <c r="A96" s="15" t="inlineStr">
        <is>
          <t>Cows</t>
        </is>
      </c>
      <c r="B96" s="76" t="n">
        <v>21</v>
      </c>
      <c r="C96" s="76" t="n">
        <v>19</v>
      </c>
      <c r="D96" s="76" t="n">
        <v>-2</v>
      </c>
      <c r="F96" s="84" t="n">
        <v>7.695</v>
      </c>
      <c r="G96" s="84" t="n">
        <v>-0.8100000000000001</v>
      </c>
    </row>
    <row r="97">
      <c r="A97" s="15" t="inlineStr">
        <is>
          <t>Steers</t>
        </is>
      </c>
      <c r="B97" s="76" t="n">
        <v>6</v>
      </c>
      <c r="C97" s="76" t="n">
        <v>0</v>
      </c>
      <c r="D97" s="76" t="n">
        <v>-6</v>
      </c>
      <c r="F97" s="84">
        <f>'Stock'!K15*'Stock'!O15</f>
        <v/>
      </c>
      <c r="G97" s="84">
        <f>D97*'Stock'!O15</f>
        <v/>
      </c>
    </row>
    <row r="98">
      <c r="A98" s="15" t="inlineStr">
        <is>
          <t>Bullocks</t>
        </is>
      </c>
      <c r="B98" s="76" t="n">
        <v>6</v>
      </c>
      <c r="C98" s="76" t="n">
        <v>5</v>
      </c>
      <c r="D98" s="76" t="n">
        <v>-1</v>
      </c>
      <c r="F98" s="84">
        <f>'Stock'!K16*'Stock'!O16</f>
        <v/>
      </c>
      <c r="G98" s="84">
        <f>D98*'Stock'!O16</f>
        <v/>
      </c>
    </row>
    <row r="99">
      <c r="A99" s="15" t="inlineStr">
        <is>
          <t>Yearlings</t>
        </is>
      </c>
      <c r="B99" s="76" t="n">
        <v>5</v>
      </c>
      <c r="C99" s="76" t="n">
        <v>5</v>
      </c>
      <c r="D99" s="76" t="n">
        <v>0</v>
      </c>
      <c r="F99" s="84">
        <f>'Stock'!K17*'Stock'!O17</f>
        <v/>
      </c>
      <c r="G99" s="84">
        <f>D99*'Stock'!O17</f>
        <v/>
      </c>
    </row>
    <row r="100">
      <c r="A100" s="15" t="inlineStr">
        <is>
          <t>Calves</t>
        </is>
      </c>
      <c r="B100" s="76" t="n">
        <v>13</v>
      </c>
      <c r="C100" s="76" t="n">
        <v>6</v>
      </c>
      <c r="D100" s="76" t="n">
        <v>-7</v>
      </c>
      <c r="F100" s="84" t="n">
        <v>0.3</v>
      </c>
      <c r="G100" s="84" t="n">
        <v>-0.35</v>
      </c>
    </row>
    <row r="101">
      <c r="A101" s="15" t="inlineStr">
        <is>
          <t>Wethers</t>
        </is>
      </c>
      <c r="B101" s="76" t="n">
        <v>280</v>
      </c>
      <c r="C101" s="76" t="n">
        <v>243</v>
      </c>
      <c r="D101" s="76" t="n">
        <v>-37</v>
      </c>
      <c r="F101" s="84" t="n">
        <v>12.15</v>
      </c>
      <c r="G101" s="84" t="n">
        <v>-1.85</v>
      </c>
    </row>
    <row r="102">
      <c r="A102" s="15" t="inlineStr">
        <is>
          <t>Rams</t>
        </is>
      </c>
      <c r="B102" s="76" t="n">
        <v>10</v>
      </c>
      <c r="C102" s="76" t="n">
        <v>10</v>
      </c>
      <c r="D102" s="76" t="n">
        <v>0</v>
      </c>
      <c r="F102" s="84">
        <f>'Stock'!K20*'Stock'!O20</f>
        <v/>
      </c>
      <c r="G102" s="84">
        <f>D102*'Stock'!O20</f>
        <v/>
      </c>
    </row>
    <row r="103">
      <c r="A103" s="15" t="inlineStr">
        <is>
          <t>Ewes</t>
        </is>
      </c>
      <c r="B103" s="76" t="n">
        <v>380</v>
      </c>
      <c r="C103" s="76" t="n">
        <v>353</v>
      </c>
      <c r="D103" s="76" t="n">
        <v>-27</v>
      </c>
      <c r="F103" s="84" t="n">
        <v>17.65</v>
      </c>
      <c r="G103" s="84" t="n">
        <v>-1.35</v>
      </c>
    </row>
    <row r="104">
      <c r="A104" s="15" t="inlineStr">
        <is>
          <t>Hoggs</t>
        </is>
      </c>
      <c r="B104" s="76" t="n">
        <v>75</v>
      </c>
      <c r="C104" s="76" t="n">
        <v>0</v>
      </c>
      <c r="D104" s="76" t="n">
        <v>-75</v>
      </c>
      <c r="F104" s="84">
        <f>'Stock'!K22*'Stock'!O22</f>
        <v/>
      </c>
      <c r="G104" s="84">
        <f>D104*'Stock'!O22</f>
        <v/>
      </c>
    </row>
    <row r="105">
      <c r="A105" s="15" t="inlineStr">
        <is>
          <t>Lambs</t>
        </is>
      </c>
      <c r="B105" s="76" t="n">
        <v>299</v>
      </c>
      <c r="C105" s="76" t="n">
        <v>160</v>
      </c>
      <c r="D105" s="76" t="n">
        <v>-139</v>
      </c>
      <c r="F105" s="84" t="n">
        <v>0</v>
      </c>
      <c r="G105" s="84" t="n">
        <v>-0</v>
      </c>
    </row>
    <row r="106">
      <c r="A106" s="15" t="inlineStr">
        <is>
          <t>Boars</t>
        </is>
      </c>
      <c r="B106" s="76" t="n"/>
      <c r="C106" s="76" t="n"/>
      <c r="D106" s="76">
        <f>C106-B106</f>
        <v/>
      </c>
      <c r="F106" s="84">
        <f>'Stock'!K24*'Stock'!O24</f>
        <v/>
      </c>
      <c r="G106" s="84">
        <f>D106*'Stock'!O24</f>
        <v/>
      </c>
    </row>
    <row r="107">
      <c r="A107" s="15" t="inlineStr">
        <is>
          <t>Sows</t>
        </is>
      </c>
      <c r="B107" s="76" t="n">
        <v>3</v>
      </c>
      <c r="C107" s="76" t="n">
        <v>2</v>
      </c>
      <c r="D107" s="76" t="n">
        <v>-1</v>
      </c>
      <c r="F107" s="84">
        <f>'Stock'!K25*'Stock'!O25</f>
        <v/>
      </c>
      <c r="G107" s="84">
        <f>D107*'Stock'!O25</f>
        <v/>
      </c>
    </row>
    <row r="108">
      <c r="A108" s="15" t="inlineStr">
        <is>
          <t>Pigs</t>
        </is>
      </c>
      <c r="B108" s="76" t="n">
        <v>33</v>
      </c>
      <c r="C108" s="76" t="n">
        <v>20</v>
      </c>
      <c r="D108" s="76" t="n">
        <v>-13</v>
      </c>
      <c r="F108" s="84" t="n">
        <v>2.536</v>
      </c>
      <c r="G108" s="84" t="n">
        <v>-1.6484</v>
      </c>
    </row>
    <row r="109">
      <c r="A109" s="15" t="inlineStr">
        <is>
          <t>Hoggets</t>
        </is>
      </c>
      <c r="B109" s="76" t="n">
        <v>20</v>
      </c>
      <c r="C109" s="76" t="n">
        <v>0</v>
      </c>
      <c r="D109" s="76" t="n">
        <v>-20</v>
      </c>
      <c r="F109" s="84">
        <f>'Stock'!K27*'Stock'!O27</f>
        <v/>
      </c>
      <c r="G109" s="84">
        <f>D109*'Stock'!O27</f>
        <v/>
      </c>
    </row>
    <row r="110">
      <c r="A110" s="15" t="inlineStr">
        <is>
          <t>Piglets</t>
        </is>
      </c>
      <c r="B110" s="76" t="n">
        <v>25</v>
      </c>
      <c r="C110" s="76" t="n">
        <v>20</v>
      </c>
      <c r="D110" s="76" t="n">
        <v>-5</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D119" t="n">
        <v>624</v>
      </c>
      <c r="F119" t="n">
        <v>0</v>
      </c>
    </row>
    <row r="120">
      <c r="A120" s="15" t="inlineStr">
        <is>
          <t>Lamb's wool</t>
        </is>
      </c>
      <c r="C120" t="n">
        <v>0</v>
      </c>
      <c r="D120" t="n">
        <v>172</v>
      </c>
      <c r="F120" t="n">
        <v>0</v>
      </c>
    </row>
    <row r="121">
      <c r="A121" s="15" t="inlineStr">
        <is>
          <t>Wool locks</t>
        </is>
      </c>
      <c r="C121" t="n">
        <v>0</v>
      </c>
      <c r="D121" t="n">
        <v>7</v>
      </c>
      <c r="F121" t="n">
        <v>0</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C151*'Stock'!O68</f>
        <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f>C153*'Stock'!O70</f>
        <v/>
      </c>
    </row>
    <row r="154">
      <c r="A154" s="15" t="inlineStr">
        <is>
          <t>Cocks &amp; hens</t>
        </is>
      </c>
      <c r="B154" s="76" t="n">
        <v>0</v>
      </c>
      <c r="C154" s="76" t="n">
        <v>0</v>
      </c>
      <c r="D154" s="76" t="n">
        <v>0</v>
      </c>
      <c r="F154" s="76">
        <f>C154*'Stock'!O71</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2"/>
  <sheetViews>
    <sheetView topLeftCell="A1" workbookViewId="0">
      <selection activeCell="A1" sqref="A1"/>
    </sheetView>
  </sheetViews>
  <sheetFormatPr baseColWidth="8" defaultRowHeight="15"/>
  <cols>
    <col width="80" customWidth="1" min="1" max="1"/>
    <col width="29.140625" customWidth="1" min="2" max="2"/>
    <col width="8.85546875" customWidth="1" min="3" max="3"/>
    <col width="30.85546875" customWidth="1" min="5" max="5"/>
    <col width="29.28515625" customWidth="1" min="6" max="6"/>
  </cols>
  <sheetData>
    <row r="1">
      <c r="A1" s="8" t="inlineStr">
        <is>
          <t>DROXFORD</t>
        </is>
      </c>
    </row>
    <row r="2">
      <c r="A2" s="8" t="inlineStr">
        <is>
          <t>CASH ACCOUNT</t>
        </is>
      </c>
      <c r="B2" s="77" t="inlineStr">
        <is>
          <t>Total in £</t>
        </is>
      </c>
      <c r="C2" s="78" t="inlineStr">
        <is>
          <t>Error</t>
        </is>
      </c>
      <c r="D2" s="12" t="inlineStr">
        <is>
          <t>Note</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72">
        <f>Receipts!F126</f>
        <v/>
      </c>
    </row>
    <row r="24">
      <c r="A24" s="82" t="inlineStr">
        <is>
          <t>Total of all receipts (calculated here) incl arrears</t>
        </is>
      </c>
      <c r="B24" s="72">
        <f>Receipts!F127</f>
        <v/>
      </c>
    </row>
    <row r="25">
      <c r="A25" s="83" t="inlineStr">
        <is>
          <t>Total recorded in the accounts excl. arrears</t>
        </is>
      </c>
      <c r="B25" s="72">
        <f>Receipts!F125</f>
        <v/>
      </c>
      <c r="C25" s="127">
        <f>B25-B23</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72">
        <f>Expenses!F104</f>
        <v/>
      </c>
    </row>
    <row r="45">
      <c r="A45" s="82" t="inlineStr">
        <is>
          <t>Total of all expenses (calculated here)</t>
        </is>
      </c>
      <c r="B45" s="72">
        <f>Expenses!F105</f>
        <v/>
      </c>
    </row>
    <row r="46">
      <c r="A46" s="82" t="inlineStr">
        <is>
          <t>Total fixed investment</t>
        </is>
      </c>
      <c r="B46" s="72">
        <f>Expenses!F106</f>
        <v/>
      </c>
    </row>
    <row r="47">
      <c r="A47" s="82" t="inlineStr">
        <is>
          <t>Total Demesne fixed investment</t>
        </is>
      </c>
      <c r="B47" s="72">
        <f>Expenses!F107</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8" t="inlineStr">
        <is>
          <t>Value of total gross production in £</t>
        </is>
      </c>
      <c r="F61" s="128" t="inlineStr">
        <is>
          <t>Value of total net production in £</t>
        </is>
      </c>
    </row>
    <row r="62" ht="15" customHeight="1">
      <c r="A62" t="inlineStr">
        <is>
          <t>wheat</t>
        </is>
      </c>
      <c r="B62">
        <f>'Issues of the Grange'!B2</f>
        <v/>
      </c>
      <c r="E62" s="72">
        <f>'Issues of the Grange'!I2</f>
        <v/>
      </c>
      <c r="F62" s="72">
        <f>'Issues of the Grange'!O17</f>
        <v/>
      </c>
    </row>
    <row r="63" ht="15" customHeight="1">
      <c r="A63" t="inlineStr">
        <is>
          <t>curall</t>
        </is>
      </c>
      <c r="B63">
        <f>'Issues of the Grange'!B3</f>
        <v/>
      </c>
      <c r="E63" s="72">
        <f>'Issues of the Grange'!I3</f>
        <v/>
      </c>
      <c r="F63" s="72">
        <f>'Issues of the Grange'!O18</f>
        <v/>
      </c>
    </row>
    <row r="64" ht="15" customHeight="1">
      <c r="A64" t="inlineStr">
        <is>
          <t>rye</t>
        </is>
      </c>
      <c r="B64">
        <f>'Issues of the Grange'!B4</f>
        <v/>
      </c>
      <c r="E64" s="72">
        <f>'Issues of the Grange'!I4</f>
        <v/>
      </c>
      <c r="F64" s="72">
        <f>'Issues of the Grange'!O19</f>
        <v/>
      </c>
    </row>
    <row r="65" ht="15" customHeight="1">
      <c r="A65" t="inlineStr">
        <is>
          <t>maslin</t>
        </is>
      </c>
      <c r="B65">
        <f>'Issues of the Grange'!B5</f>
        <v/>
      </c>
      <c r="E65" s="72">
        <f>'Issues of the Grange'!I5</f>
        <v/>
      </c>
      <c r="F65" s="72">
        <f>'Issues of the Grange'!O20</f>
        <v/>
      </c>
    </row>
    <row r="66" ht="15" customHeight="1">
      <c r="A66" t="inlineStr">
        <is>
          <t>bere</t>
        </is>
      </c>
      <c r="B66">
        <f>'Issues of the Grange'!B6</f>
        <v/>
      </c>
      <c r="E66" s="72">
        <f>'Issues of the Grange'!I6</f>
        <v/>
      </c>
      <c r="F66" s="72">
        <f>'Issues of the Grange'!O21</f>
        <v/>
      </c>
    </row>
    <row r="67" ht="15" customHeight="1">
      <c r="A67" t="inlineStr">
        <is>
          <t>barley</t>
        </is>
      </c>
      <c r="B67">
        <f>'Issues of the Grange'!B7</f>
        <v/>
      </c>
      <c r="E67" s="72">
        <f>'Issues of the Grange'!I7</f>
        <v/>
      </c>
      <c r="F67" s="72">
        <f>'Issues of the Grange'!O22</f>
        <v/>
      </c>
    </row>
    <row r="68" ht="15" customHeight="1">
      <c r="A68" t="inlineStr">
        <is>
          <t>oats</t>
        </is>
      </c>
      <c r="B68">
        <f>'Issues of the Grange'!B8</f>
        <v/>
      </c>
      <c r="E68" s="72">
        <f>'Issues of the Grange'!I8</f>
        <v/>
      </c>
      <c r="F68" s="72">
        <f>'Issues of the Grange'!O23</f>
        <v/>
      </c>
    </row>
    <row r="69" ht="15" customHeight="1">
      <c r="A69" t="inlineStr">
        <is>
          <t>peas</t>
        </is>
      </c>
      <c r="B69">
        <f>'Issues of the Grange'!B9</f>
        <v/>
      </c>
      <c r="E69" s="72">
        <f>'Issues of the Grange'!I9</f>
        <v/>
      </c>
      <c r="F69" s="72">
        <f>'Issues of the Grange'!O24</f>
        <v/>
      </c>
    </row>
    <row r="70" ht="15" customHeight="1">
      <c r="A70" t="inlineStr">
        <is>
          <t>vetches</t>
        </is>
      </c>
      <c r="B70">
        <f>'Issues of the Grange'!B10</f>
        <v/>
      </c>
      <c r="E70" s="72">
        <f>'Issues of the Grange'!I10</f>
        <v/>
      </c>
      <c r="F70" s="72">
        <f>'Issues of the Grange'!O25</f>
        <v/>
      </c>
    </row>
    <row r="71">
      <c r="A71" s="17" t="inlineStr">
        <is>
          <t>Total value of gross production (sum of the above)</t>
        </is>
      </c>
      <c r="B71" s="70" t="n"/>
      <c r="C71" s="129" t="n"/>
      <c r="D71" s="70" t="n"/>
      <c r="E71" s="130">
        <f>SUM(E62:E70)</f>
        <v/>
      </c>
      <c r="F71" s="70" t="n"/>
    </row>
    <row r="72">
      <c r="A72" s="17" t="inlineStr">
        <is>
          <t>Total value of net production</t>
        </is>
      </c>
      <c r="B72" s="70" t="n"/>
      <c r="C72" s="129" t="n"/>
      <c r="D72" s="70" t="n"/>
      <c r="E72" s="130">
        <f>SUM(F62:F70)</f>
        <v/>
      </c>
      <c r="F72" s="70" t="n"/>
    </row>
    <row r="73">
      <c r="A73" s="17" t="inlineStr">
        <is>
          <t>Value of sales</t>
        </is>
      </c>
      <c r="B73" s="70" t="n"/>
      <c r="C73" s="129" t="n"/>
      <c r="D73" s="70" t="n"/>
      <c r="E73" s="130">
        <f>Receipts!F109</f>
        <v/>
      </c>
      <c r="F73" s="70" t="n"/>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c r="B85" s="70" t="n"/>
      <c r="C85" s="129" t="n"/>
      <c r="D85" s="70" t="n"/>
      <c r="E85" s="70" t="n"/>
      <c r="F85" s="70" t="n"/>
    </row>
    <row r="86">
      <c r="A86" s="21" t="inlineStr">
        <is>
          <t>Livestock</t>
        </is>
      </c>
      <c r="B86" s="131" t="inlineStr">
        <is>
          <t>Sales value in £</t>
        </is>
      </c>
      <c r="C86" s="129" t="n"/>
      <c r="D86" s="70" t="n"/>
      <c r="E86" s="70" t="n"/>
      <c r="F86" s="70" t="n"/>
    </row>
    <row r="87" ht="17.1" customHeight="1">
      <c r="A87" s="22" t="inlineStr">
        <is>
          <t>Cart-horses</t>
        </is>
      </c>
      <c r="B87" s="72">
        <f>Stock!R5</f>
        <v/>
      </c>
    </row>
    <row r="88" ht="17.1" customHeight="1">
      <c r="A88" s="22" t="inlineStr">
        <is>
          <t>Mares</t>
        </is>
      </c>
      <c r="B88" s="72">
        <f>Stock!R6</f>
        <v/>
      </c>
    </row>
    <row r="89">
      <c r="A89" s="15" t="inlineStr">
        <is>
          <t>Plough horses</t>
        </is>
      </c>
      <c r="B89" s="72">
        <f>Stock!R7</f>
        <v/>
      </c>
    </row>
    <row r="90">
      <c r="A90" s="15" t="inlineStr">
        <is>
          <t>Colts (2 years)</t>
        </is>
      </c>
      <c r="B90" s="72">
        <f>Stock!R8</f>
        <v/>
      </c>
    </row>
    <row r="91">
      <c r="A91" s="15" t="inlineStr">
        <is>
          <t>Colts (2 years)</t>
        </is>
      </c>
      <c r="B91" s="72">
        <f>Stock!R9</f>
        <v/>
      </c>
    </row>
    <row r="92">
      <c r="A92" s="15" t="inlineStr">
        <is>
          <t>Colts (1 year)</t>
        </is>
      </c>
      <c r="B92" s="72">
        <f>Stock!R10</f>
        <v/>
      </c>
    </row>
    <row r="93">
      <c r="A93" s="15" t="inlineStr">
        <is>
          <t>Foals</t>
        </is>
      </c>
      <c r="B93" s="72">
        <f>Stock!R11</f>
        <v/>
      </c>
    </row>
    <row r="94">
      <c r="A94" s="15" t="inlineStr">
        <is>
          <t>Oxen</t>
        </is>
      </c>
      <c r="B94" s="72">
        <f>Stock!R12</f>
        <v/>
      </c>
    </row>
    <row r="95">
      <c r="A95" s="15" t="inlineStr">
        <is>
          <t>Bulls</t>
        </is>
      </c>
      <c r="B95" s="72">
        <f>Stock!R13</f>
        <v/>
      </c>
    </row>
    <row r="96">
      <c r="A96" s="15" t="inlineStr">
        <is>
          <t>Cows</t>
        </is>
      </c>
      <c r="B96" s="72">
        <f>Stock!R14</f>
        <v/>
      </c>
    </row>
    <row r="97">
      <c r="A97" s="15" t="inlineStr">
        <is>
          <t>Steers</t>
        </is>
      </c>
      <c r="B97" s="72">
        <f>Stock!R15</f>
        <v/>
      </c>
    </row>
    <row r="98">
      <c r="A98" s="15" t="inlineStr">
        <is>
          <t>Bullocks</t>
        </is>
      </c>
      <c r="B98" s="72">
        <f>Stock!R16</f>
        <v/>
      </c>
    </row>
    <row r="99">
      <c r="A99" s="15" t="inlineStr">
        <is>
          <t>Yearlings</t>
        </is>
      </c>
      <c r="B99" s="72">
        <f>Stock!R17</f>
        <v/>
      </c>
    </row>
    <row r="100">
      <c r="A100" s="15" t="inlineStr">
        <is>
          <t>Calves</t>
        </is>
      </c>
      <c r="B100" s="72">
        <f>Stock!R18</f>
        <v/>
      </c>
    </row>
    <row r="101">
      <c r="A101" s="15" t="inlineStr">
        <is>
          <t>Wethers</t>
        </is>
      </c>
      <c r="B101" s="72">
        <f>Stock!R19</f>
        <v/>
      </c>
    </row>
    <row r="102">
      <c r="A102" s="15" t="inlineStr">
        <is>
          <t>Rams</t>
        </is>
      </c>
      <c r="B102" s="72">
        <f>Stock!R20</f>
        <v/>
      </c>
    </row>
    <row r="103">
      <c r="A103" s="15" t="inlineStr">
        <is>
          <t>Ewes</t>
        </is>
      </c>
      <c r="B103" s="72">
        <f>Stock!R21</f>
        <v/>
      </c>
    </row>
    <row r="104">
      <c r="A104" s="15" t="inlineStr">
        <is>
          <t>Hoggs</t>
        </is>
      </c>
      <c r="B104" s="72">
        <f>Stock!R22</f>
        <v/>
      </c>
    </row>
    <row r="105">
      <c r="A105" s="15" t="inlineStr">
        <is>
          <t>Lambs</t>
        </is>
      </c>
      <c r="B105" s="72">
        <f>Stock!R23</f>
        <v/>
      </c>
    </row>
    <row r="106">
      <c r="A106" s="15" t="inlineStr">
        <is>
          <t>Boars</t>
        </is>
      </c>
      <c r="B106" s="72">
        <f>Stock!R24</f>
        <v/>
      </c>
    </row>
    <row r="107">
      <c r="A107" s="15" t="inlineStr">
        <is>
          <t>Sows</t>
        </is>
      </c>
      <c r="B107" s="72">
        <f>Stock!R25</f>
        <v/>
      </c>
    </row>
    <row r="108">
      <c r="A108" s="15" t="inlineStr">
        <is>
          <t>Pigs</t>
        </is>
      </c>
      <c r="B108" s="72">
        <f>Stock!R26</f>
        <v/>
      </c>
    </row>
    <row r="109">
      <c r="A109" s="15" t="inlineStr">
        <is>
          <t>Hoggets</t>
        </is>
      </c>
      <c r="B109" s="72">
        <f>Stock!R27</f>
        <v/>
      </c>
    </row>
    <row r="110">
      <c r="A110" s="15" t="inlineStr">
        <is>
          <t>Piglets</t>
        </is>
      </c>
      <c r="B110" s="72">
        <f>Stock!R28</f>
        <v/>
      </c>
    </row>
    <row r="111">
      <c r="A111" s="15" t="inlineStr">
        <is>
          <t>Swans</t>
        </is>
      </c>
      <c r="B111" s="72">
        <f>Stock!R29</f>
        <v/>
      </c>
    </row>
    <row r="112">
      <c r="A112" s="15" t="inlineStr">
        <is>
          <t>Peacocks</t>
        </is>
      </c>
      <c r="B112" s="72">
        <f>Stock!R30</f>
        <v/>
      </c>
    </row>
    <row r="113">
      <c r="A113" s="17" t="inlineStr">
        <is>
          <t>Total value of stock (sum of the above)</t>
        </is>
      </c>
      <c r="B113" s="70" t="n"/>
    </row>
    <row r="114">
      <c r="A114" s="17" t="inlineStr">
        <is>
          <t>Total value of production</t>
        </is>
      </c>
      <c r="B114" s="70" t="n"/>
    </row>
    <row r="115">
      <c r="A115" s="17" t="inlineStr">
        <is>
          <t>Value of sales</t>
        </is>
      </c>
      <c r="B115" s="130">
        <f>Stock!R31</f>
        <v/>
      </c>
    </row>
    <row r="116">
      <c r="A116" s="15" t="n"/>
    </row>
    <row r="117">
      <c r="A117" s="16" t="inlineStr">
        <is>
          <t>Wool</t>
        </is>
      </c>
      <c r="B117" s="131" t="inlineStr">
        <is>
          <t>Value of production at sales prices £</t>
        </is>
      </c>
    </row>
    <row r="118" ht="15" customHeight="1">
      <c r="A118" t="inlineStr">
        <is>
          <t>Coarse wool</t>
        </is>
      </c>
      <c r="B118">
        <f>Stock!T35</f>
        <v/>
      </c>
    </row>
    <row r="119" ht="15" customHeight="1">
      <c r="A119" t="inlineStr">
        <is>
          <t>Lamb's wool</t>
        </is>
      </c>
      <c r="B119">
        <f>Stock!T36</f>
        <v/>
      </c>
    </row>
    <row r="120" ht="15" customHeight="1">
      <c r="A120" t="inlineStr">
        <is>
          <t>Wool locks</t>
        </is>
      </c>
      <c r="B120">
        <f>Stock!T37</f>
        <v/>
      </c>
    </row>
    <row r="121" ht="15" customHeight="1">
      <c r="A121" t="inlineStr">
        <is>
          <t>Wool sold at shearing</t>
        </is>
      </c>
      <c r="B121">
        <f>Stock!T38</f>
        <v/>
      </c>
    </row>
    <row r="122">
      <c r="A122" s="119" t="inlineStr">
        <is>
          <t>Total value of production (sum of the above)</t>
        </is>
      </c>
      <c r="B122" s="130">
        <f>Stock!T39</f>
        <v/>
      </c>
    </row>
    <row r="123">
      <c r="A123" s="119" t="inlineStr">
        <is>
          <t>Value of sales</t>
        </is>
      </c>
      <c r="B123" s="130">
        <f>Stock!R39</f>
        <v/>
      </c>
    </row>
    <row r="124">
      <c r="A124" s="8" t="n"/>
    </row>
    <row r="125">
      <c r="A125" s="16" t="inlineStr">
        <is>
          <t>Hides</t>
        </is>
      </c>
      <c r="B125" s="131" t="inlineStr">
        <is>
          <t>Value of production at sales prices £</t>
        </is>
      </c>
    </row>
    <row r="126">
      <c r="A126" s="15" t="inlineStr">
        <is>
          <t>Ox hides</t>
        </is>
      </c>
      <c r="B126">
        <f>Stock!T43</f>
        <v/>
      </c>
    </row>
    <row r="127">
      <c r="A127" s="15" t="inlineStr">
        <is>
          <t>Cow hides</t>
        </is>
      </c>
      <c r="B127">
        <f>Stock!T44</f>
        <v/>
      </c>
    </row>
    <row r="128">
      <c r="A128" s="15" t="inlineStr">
        <is>
          <t>Mare hides</t>
        </is>
      </c>
      <c r="B128">
        <f>Stock!T45</f>
        <v/>
      </c>
    </row>
    <row r="129">
      <c r="A129" s="15" t="inlineStr">
        <is>
          <t>Steer hides</t>
        </is>
      </c>
      <c r="B129">
        <f>Stock!T46</f>
        <v/>
      </c>
    </row>
    <row r="130">
      <c r="A130" s="15" t="inlineStr">
        <is>
          <t>Yearling Calf hides</t>
        </is>
      </c>
      <c r="B130">
        <f>Stock!T47</f>
        <v/>
      </c>
    </row>
    <row r="131">
      <c r="A131" s="15" t="inlineStr">
        <is>
          <t>Calf hides</t>
        </is>
      </c>
      <c r="B131">
        <f>Stock!T48</f>
        <v/>
      </c>
    </row>
    <row r="132">
      <c r="A132" s="23" t="inlineStr">
        <is>
          <t>Pig hides</t>
        </is>
      </c>
      <c r="B132">
        <f>Stock!T49</f>
        <v/>
      </c>
    </row>
    <row r="133">
      <c r="A133" s="24" t="inlineStr">
        <is>
          <t>Wether woolskins</t>
        </is>
      </c>
      <c r="B133">
        <f>Stock!T50</f>
        <v/>
      </c>
    </row>
    <row r="134">
      <c r="A134" s="24" t="inlineStr">
        <is>
          <t>Ram woolskins</t>
        </is>
      </c>
      <c r="B134">
        <f>Stock!T51</f>
        <v/>
      </c>
    </row>
    <row r="135">
      <c r="A135" s="24" t="inlineStr">
        <is>
          <t>Ewe woolskins</t>
        </is>
      </c>
      <c r="B135">
        <f>Stock!T52</f>
        <v/>
      </c>
    </row>
    <row r="136">
      <c r="A136" s="24" t="inlineStr">
        <is>
          <t>Hogg woolskins</t>
        </is>
      </c>
      <c r="B136">
        <f>Stock!T53</f>
        <v/>
      </c>
    </row>
    <row r="137">
      <c r="A137" s="25" t="inlineStr">
        <is>
          <t>Woolskins (total)</t>
        </is>
      </c>
      <c r="B137">
        <f>Stock!T54</f>
        <v/>
      </c>
    </row>
    <row r="138">
      <c r="A138" s="24" t="inlineStr">
        <is>
          <t>Wether bareskins</t>
        </is>
      </c>
      <c r="B138">
        <f>Stock!T55</f>
        <v/>
      </c>
    </row>
    <row r="139">
      <c r="A139" s="24" t="inlineStr">
        <is>
          <t>Ram bareskins</t>
        </is>
      </c>
      <c r="B139">
        <f>Stock!T56</f>
        <v/>
      </c>
    </row>
    <row r="140">
      <c r="A140" s="24" t="inlineStr">
        <is>
          <t>Ewe bareskins</t>
        </is>
      </c>
      <c r="B140">
        <f>Stock!T57</f>
        <v/>
      </c>
    </row>
    <row r="141">
      <c r="A141" s="24" t="inlineStr">
        <is>
          <t>Hogg bareskins</t>
        </is>
      </c>
      <c r="B141">
        <f>Stock!T58</f>
        <v/>
      </c>
    </row>
    <row r="142">
      <c r="A142" s="25" t="inlineStr">
        <is>
          <t>Bareskins (total)</t>
        </is>
      </c>
      <c r="B142">
        <f>Stock!T59</f>
        <v/>
      </c>
    </row>
    <row r="143">
      <c r="A143" s="15" t="inlineStr">
        <is>
          <t>Lambskins</t>
        </is>
      </c>
      <c r="B143">
        <f>Stock!T60</f>
        <v/>
      </c>
    </row>
    <row r="144">
      <c r="A144" s="15" t="inlineStr">
        <is>
          <t>Rotted skins</t>
        </is>
      </c>
      <c r="B144">
        <f>Stock!T61</f>
        <v/>
      </c>
    </row>
    <row r="145">
      <c r="A145" s="15" t="inlineStr">
        <is>
          <t>Shorn skins</t>
        </is>
      </c>
      <c r="B145">
        <f>Stock!T62</f>
        <v/>
      </c>
    </row>
    <row r="146">
      <c r="A146" s="17" t="inlineStr">
        <is>
          <t>Total value of production (sum of the above)</t>
        </is>
      </c>
      <c r="B146" s="130">
        <f>Stock!T64</f>
        <v/>
      </c>
    </row>
    <row r="147">
      <c r="A147" s="17" t="inlineStr">
        <is>
          <t>Value of sales</t>
        </is>
      </c>
      <c r="B147" s="130">
        <f>Stock!R64</f>
        <v/>
      </c>
    </row>
    <row r="148">
      <c r="A148" s="15" t="n"/>
    </row>
    <row r="149">
      <c r="A149" s="16" t="inlineStr">
        <is>
          <t>Poultry stock</t>
        </is>
      </c>
      <c r="B149" s="131" t="inlineStr">
        <is>
          <t>Value of production at sales prices £</t>
        </is>
      </c>
    </row>
    <row r="150" ht="17.1" customHeight="1">
      <c r="A150" s="22" t="inlineStr">
        <is>
          <t>Hens</t>
        </is>
      </c>
      <c r="B150">
        <f>Stock!T68</f>
        <v/>
      </c>
    </row>
    <row r="151">
      <c r="A151" s="15" t="inlineStr">
        <is>
          <t>Geese</t>
        </is>
      </c>
      <c r="B151">
        <f>Stock!T69</f>
        <v/>
      </c>
    </row>
    <row r="152">
      <c r="A152" s="15" t="inlineStr">
        <is>
          <t>Capons (from chickens)</t>
        </is>
      </c>
      <c r="B152">
        <f>Stock!T70</f>
        <v/>
      </c>
    </row>
    <row r="153">
      <c r="A153" s="15" t="inlineStr">
        <is>
          <t>Cocks &amp; hens</t>
        </is>
      </c>
      <c r="B153">
        <f>Stock!T71</f>
        <v/>
      </c>
    </row>
    <row r="154">
      <c r="A154" s="119" t="inlineStr">
        <is>
          <t>Total value of production (sum of the above)</t>
        </is>
      </c>
      <c r="B154" s="70">
        <f>Stock!T72</f>
        <v/>
      </c>
    </row>
    <row r="155">
      <c r="A155" s="119" t="inlineStr">
        <is>
          <t>Value of sales</t>
        </is>
      </c>
      <c r="B155" s="130">
        <f>Stock!R72</f>
        <v/>
      </c>
    </row>
    <row r="156">
      <c r="A156" s="15" t="n"/>
    </row>
    <row r="157">
      <c r="A157" s="16" t="inlineStr">
        <is>
          <t>Poultry production</t>
        </is>
      </c>
      <c r="B157" s="131" t="inlineStr">
        <is>
          <t>Value of production at sales prices £</t>
        </is>
      </c>
    </row>
    <row r="158">
      <c r="A158" s="15" t="inlineStr">
        <is>
          <t>Eggs</t>
        </is>
      </c>
      <c r="B158" s="72">
        <f>Stock!T76</f>
        <v/>
      </c>
    </row>
    <row r="159">
      <c r="A159" s="15" t="inlineStr">
        <is>
          <t>Cocks &amp; hens from churchscot of customary tenants</t>
        </is>
      </c>
      <c r="B159" s="72">
        <f>Stock!T77</f>
        <v/>
      </c>
    </row>
    <row r="160">
      <c r="A160" s="15" t="inlineStr">
        <is>
          <t>Sum of above</t>
        </is>
      </c>
      <c r="B160" s="72">
        <f>Stock!T78</f>
        <v/>
      </c>
    </row>
    <row r="161">
      <c r="A161" s="17" t="inlineStr">
        <is>
          <t>Total value of stock</t>
        </is>
      </c>
      <c r="B161" s="130">
        <f>Stock!T79</f>
        <v/>
      </c>
    </row>
    <row r="162">
      <c r="A162" s="17" t="inlineStr">
        <is>
          <t>Value of sales</t>
        </is>
      </c>
      <c r="B162" s="130">
        <f>Stock!R79</f>
        <v/>
      </c>
    </row>
    <row r="163">
      <c r="A163" s="15" t="n"/>
    </row>
    <row r="164">
      <c r="A164" s="16" t="inlineStr">
        <is>
          <t>Dairy Production</t>
        </is>
      </c>
      <c r="B164" s="131" t="inlineStr">
        <is>
          <t>Value of production at sales prices £</t>
        </is>
      </c>
    </row>
    <row r="165">
      <c r="A165" s="15" t="inlineStr">
        <is>
          <t>Butter</t>
        </is>
      </c>
      <c r="B165" s="72">
        <f>Stock!T94</f>
        <v/>
      </c>
    </row>
    <row r="166">
      <c r="A166" s="15" t="inlineStr">
        <is>
          <t>Winter Cheese</t>
        </is>
      </c>
      <c r="B166" s="72">
        <f>Stock!T89</f>
        <v/>
      </c>
    </row>
    <row r="167">
      <c r="A167" s="15" t="inlineStr">
        <is>
          <t>Summer Cheese</t>
        </is>
      </c>
      <c r="B167" s="72">
        <f>Stock!T90</f>
        <v/>
      </c>
    </row>
    <row r="168">
      <c r="A168" s="17" t="inlineStr">
        <is>
          <t>Total value of production (sum of the above)</t>
        </is>
      </c>
      <c r="B168" s="130">
        <f>SUM(B165:B167)</f>
        <v/>
      </c>
    </row>
    <row r="169">
      <c r="A169" s="17" t="inlineStr">
        <is>
          <t>Value of sales</t>
        </is>
      </c>
      <c r="B169" s="130">
        <f>Stock!R91+Stock!R95</f>
        <v/>
      </c>
    </row>
    <row r="170">
      <c r="A170" s="15" t="n"/>
    </row>
    <row r="171">
      <c r="A171" s="15" t="n"/>
    </row>
    <row r="172" ht="17.1" customHeight="1">
      <c r="A172" s="9" t="n"/>
    </row>
    <row r="173" ht="17.1" customHeight="1">
      <c r="A173" s="103" t="n"/>
      <c r="B173" s="132" t="n"/>
    </row>
    <row r="174">
      <c r="A174" s="97" t="inlineStr">
        <is>
          <t>Total Production Value of all Output (Grange, Dairy, Livestock Sales, Wools, Skins - NO Mill)</t>
        </is>
      </c>
      <c r="B174" s="133">
        <f>B168+B161+B154+B146+B122+B115+E72</f>
        <v/>
      </c>
    </row>
    <row r="175">
      <c r="A175" s="98" t="inlineStr">
        <is>
          <t>Total Sales Value of all Output as defined above</t>
        </is>
      </c>
      <c r="B175" s="133">
        <f>B169+B162+B155+B147+B123+B115+E73</f>
        <v/>
      </c>
    </row>
    <row r="176">
      <c r="A176" s="98" t="inlineStr">
        <is>
          <t>Total Sales of Corn + Issues of the Manor as recorded in account</t>
        </is>
      </c>
      <c r="B176" s="133">
        <f>Receipts!F109+Receipts!F98</f>
        <v/>
      </c>
    </row>
    <row r="177">
      <c r="A177" s="98" t="inlineStr">
        <is>
          <t>Production Value + Cash Receipts (excl. Arrears, Issues, Corn and Mill)</t>
        </is>
      </c>
      <c r="B177" s="133">
        <f>B174+Receipts!F34+Receipts!F38+Receipts!F45+Receipts!F49+Receipts!F53+Receipts!F118+Receipts!F123</f>
        <v/>
      </c>
    </row>
    <row r="178">
      <c r="A178" s="99" t="n"/>
      <c r="B178" s="134" t="n"/>
    </row>
    <row r="179">
      <c r="A179" s="100" t="inlineStr">
        <is>
          <t>% of capital expenses in terms of total production</t>
        </is>
      </c>
      <c r="B179" s="135">
        <f>B47/B174</f>
        <v/>
      </c>
    </row>
    <row r="180">
      <c r="A180" s="98" t="inlineStr">
        <is>
          <t>% of capital expenses in terms of total production + cash receipts</t>
        </is>
      </c>
      <c r="B180" s="135">
        <f>B47/B177</f>
        <v/>
      </c>
    </row>
    <row r="181">
      <c r="A181" s="99" t="n"/>
      <c r="B181" s="134" t="n"/>
    </row>
    <row r="182" ht="17.1" customHeight="1">
      <c r="A182" s="101" t="inlineStr">
        <is>
          <t>% of capital expenses as calculated previously</t>
        </is>
      </c>
      <c r="B182" s="136"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7"/>
  <sheetViews>
    <sheetView topLeftCell="A1" workbookViewId="0">
      <selection activeCell="A1" sqref="A1"/>
    </sheetView>
  </sheetViews>
  <sheetFormatPr baseColWidth="8" defaultRowHeight="15"/>
  <cols>
    <col width="32.85546875" customWidth="1" min="1" max="1"/>
    <col width="12.85546875" customWidth="1" min="2" max="2"/>
    <col width="8.85546875" customWidth="1" min="6" max="6"/>
    <col width="8.85546875" customWidth="1" min="7" max="7"/>
  </cols>
  <sheetData>
    <row r="1" ht="15.95" customHeight="1">
      <c r="A1" s="2" t="inlineStr">
        <is>
          <t>DROXFORD RECEIPTS</t>
        </is>
      </c>
    </row>
    <row r="2" ht="15.95"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row>
    <row r="3">
      <c r="A3" t="inlineStr">
        <is>
          <t>Arrears</t>
        </is>
      </c>
      <c r="B3" t="n">
        <v>25</v>
      </c>
      <c r="C3" t="n">
        <v>18</v>
      </c>
      <c r="D3" t="n">
        <v>9.75</v>
      </c>
      <c r="F3" s="72" t="n">
        <v>25.94</v>
      </c>
      <c r="H3" t="inlineStr">
        <is>
          <t>Robert de Froyle, bailiff, and William ate Hatth', reeve, render account for £25 18 shilling 9.75pence of arrears from the previous year.</t>
        </is>
      </c>
    </row>
    <row r="4">
      <c r="A4" t="inlineStr">
        <is>
          <t>Arrears</t>
        </is>
      </c>
      <c r="B4" t="n">
        <v>0</v>
      </c>
      <c r="C4" t="n">
        <v>0</v>
      </c>
      <c r="D4" t="n">
        <v>0</v>
      </c>
      <c r="F4" s="72" t="n">
        <v>0</v>
      </c>
      <c r="H4" t="inlineStr">
        <is>
          <t>All delivered to Sir Geoffrey, treasurer of Wolvesey, by 1 tally.</t>
        </is>
      </c>
    </row>
    <row r="5">
      <c r="A5" t="inlineStr">
        <is>
          <t>Arrears</t>
        </is>
      </c>
      <c r="B5" t="n">
        <v>0</v>
      </c>
      <c r="C5" t="n">
        <v>0</v>
      </c>
      <c r="D5" t="n">
        <v>0</v>
      </c>
      <c r="F5" s="72" t="n">
        <v>0</v>
      </c>
      <c r="H5" t="inlineStr">
        <is>
          <t>They are quit.</t>
        </is>
      </c>
    </row>
    <row r="6">
      <c r="A6" t="inlineStr">
        <is>
          <t>Arrears</t>
        </is>
      </c>
      <c r="F6" s="72" t="n">
        <v>25.94</v>
      </c>
      <c r="G6" s="137" t="n">
        <v>25.94</v>
      </c>
      <c r="H6" t="inlineStr">
        <is>
          <t>Total</t>
        </is>
      </c>
    </row>
    <row r="7"/>
    <row r="8">
      <c r="A8" t="inlineStr">
        <is>
          <t>Rents of assize</t>
        </is>
      </c>
      <c r="B8" t="n">
        <v>2</v>
      </c>
      <c r="C8" t="n">
        <v>18</v>
      </c>
      <c r="D8" t="n">
        <v>5</v>
      </c>
      <c r="F8" s="72" t="n">
        <v>2.92</v>
      </c>
      <c r="H8" t="inlineStr">
        <is>
          <t>The same render account for £2 18 shilling 5pence from ox-gavel (oxeye) at the feast of St Thomas the Apostle (21 December).</t>
        </is>
      </c>
    </row>
    <row r="9">
      <c r="A9" t="inlineStr">
        <is>
          <t>Rents of assize</t>
        </is>
      </c>
      <c r="B9" t="n">
        <v>0</v>
      </c>
      <c r="C9" t="n">
        <v>17</v>
      </c>
      <c r="D9" t="n">
        <v>10.5</v>
      </c>
      <c r="F9" s="72" t="n">
        <v>0.89</v>
      </c>
      <c r="H9" t="inlineStr">
        <is>
          <t>17 shilling 10.5pence from wood-gavel (wodegavel) at Lammas (1 August).</t>
        </is>
      </c>
    </row>
    <row r="10">
      <c r="A10" t="inlineStr">
        <is>
          <t>Rents of assize</t>
        </is>
      </c>
      <c r="B10" t="n">
        <v>20</v>
      </c>
      <c r="C10" t="n">
        <v>19</v>
      </c>
      <c r="D10" t="n">
        <v>3.5</v>
      </c>
      <c r="F10" s="72" t="n">
        <v>20.96</v>
      </c>
      <c r="H10" t="inlineStr">
        <is>
          <t>£20 19 shilling 3.5pence for rents of assize at Michaelmas (29 September).</t>
        </is>
      </c>
    </row>
    <row r="11">
      <c r="A11" t="inlineStr">
        <is>
          <t>Rents of assize</t>
        </is>
      </c>
      <c r="B11" t="n">
        <v>24</v>
      </c>
      <c r="C11" t="n">
        <v>15</v>
      </c>
      <c r="D11" t="n">
        <v>7.5</v>
      </c>
      <c r="F11" s="72" t="n">
        <v>24.78</v>
      </c>
      <c r="H11" t="inlineStr">
        <is>
          <t>Total, £24 15 shilling 7.5pence</t>
        </is>
      </c>
    </row>
    <row r="12">
      <c r="A12" t="inlineStr">
        <is>
          <t>Rents of assize</t>
        </is>
      </c>
      <c r="F12" s="72" t="n">
        <v>24.77</v>
      </c>
      <c r="G12" s="137" t="n">
        <v>-0.01000000000000156</v>
      </c>
      <c r="H12" t="inlineStr">
        <is>
          <t>Total</t>
        </is>
      </c>
    </row>
    <row r="13"/>
    <row r="14">
      <c r="A14" t="inlineStr">
        <is>
          <t>Quittances</t>
        </is>
      </c>
      <c r="B14" t="n">
        <v>0</v>
      </c>
      <c r="C14" t="n">
        <v>7</v>
      </c>
      <c r="D14" t="n">
        <v>6</v>
      </c>
      <c r="F14" s="72" t="n">
        <v>0.38</v>
      </c>
      <c r="H14" t="inlineStr">
        <is>
          <t>In quittance of 3 ploughmen, 2 shepherds and 1 smith for the year 7 shilling 6pence, or 1 shilling 3pence each.</t>
        </is>
      </c>
    </row>
    <row r="15">
      <c r="A15" t="inlineStr">
        <is>
          <t>Quittances</t>
        </is>
      </c>
      <c r="B15" t="n">
        <v>0</v>
      </c>
      <c r="C15" t="n">
        <v>0</v>
      </c>
      <c r="D15" t="n">
        <v>6</v>
      </c>
      <c r="F15" s="72" t="n">
        <v>0.03</v>
      </c>
      <c r="H15" t="inlineStr">
        <is>
          <t>the same for ox-gavel 6pence.</t>
        </is>
      </c>
    </row>
    <row r="16">
      <c r="A16" t="inlineStr">
        <is>
          <t>Quittances</t>
        </is>
      </c>
      <c r="B16" t="n">
        <v>0</v>
      </c>
      <c r="C16" t="n">
        <v>0</v>
      </c>
      <c r="D16" t="n">
        <v>3.75</v>
      </c>
      <c r="F16" s="72">
        <f>B16+C16/20+D16/240</f>
        <v/>
      </c>
      <c r="H16" t="inlineStr">
        <is>
          <t xml:space="preserve">1 keeper of lambs from the Nativity of St John the Baptist to Michaelmas, for 1 term, 3.75pence </t>
        </is>
      </c>
    </row>
    <row r="17">
      <c r="B17" t="n">
        <v>0</v>
      </c>
      <c r="C17" t="n">
        <v>8</v>
      </c>
      <c r="D17" t="n">
        <v>3.75</v>
      </c>
      <c r="F17" s="72" t="n">
        <v>0.42</v>
      </c>
      <c r="H17" t="inlineStr">
        <is>
          <t>Total, 8 shilling 3.75pence</t>
        </is>
      </c>
    </row>
    <row r="18">
      <c r="A18" t="inlineStr">
        <is>
          <t>Quittances</t>
        </is>
      </c>
      <c r="F18" s="72">
        <f>SUM(F14:F16)</f>
        <v/>
      </c>
      <c r="G18" s="137">
        <f>F18-F17</f>
        <v/>
      </c>
      <c r="H18" t="inlineStr">
        <is>
          <t>Total</t>
        </is>
      </c>
    </row>
    <row r="19"/>
    <row r="20">
      <c r="A20" t="inlineStr">
        <is>
          <t>Defaults of rent</t>
        </is>
      </c>
      <c r="B20" t="n">
        <v>0</v>
      </c>
      <c r="C20" t="n">
        <v>0</v>
      </c>
      <c r="D20" t="n">
        <v>7</v>
      </c>
      <c r="F20" s="72" t="n">
        <v>0.03</v>
      </c>
      <c r="H20" t="inlineStr">
        <is>
          <t>In default of the land of William de Swanemere for ox-gavel because he is made free 7pence.</t>
        </is>
      </c>
    </row>
    <row r="21">
      <c r="A21" t="inlineStr">
        <is>
          <t>Defaults of rent</t>
        </is>
      </c>
      <c r="B21" t="n">
        <v>0</v>
      </c>
      <c r="C21" t="n">
        <v>1</v>
      </c>
      <c r="D21" t="n">
        <v>0</v>
      </c>
      <c r="F21" s="72" t="n">
        <v>0.05</v>
      </c>
      <c r="H21" t="inlineStr">
        <is>
          <t>the land of Horn for the same 1 shilling.</t>
        </is>
      </c>
    </row>
    <row r="22">
      <c r="A22" t="inlineStr">
        <is>
          <t>Defaults of rent</t>
        </is>
      </c>
      <c r="B22" t="n">
        <v>0</v>
      </c>
      <c r="C22" t="n">
        <v>2</v>
      </c>
      <c r="D22" t="n">
        <v>4</v>
      </c>
      <c r="F22" s="72" t="n">
        <v>0.12</v>
      </c>
      <c r="H22" t="inlineStr">
        <is>
          <t>the land of Thomas de la Steple for the same 2 shilling 4pence.</t>
        </is>
      </c>
    </row>
    <row r="23">
      <c r="A23" t="inlineStr">
        <is>
          <t>Defaults of rent</t>
        </is>
      </c>
      <c r="B23" t="n">
        <v>0</v>
      </c>
      <c r="C23" t="n">
        <v>5</v>
      </c>
      <c r="D23" t="n">
        <v>0</v>
      </c>
      <c r="F23" s="72" t="n">
        <v>0.25</v>
      </c>
      <c r="H23" t="inlineStr">
        <is>
          <t>the land of Boarhunt which is called Wolfrenelond' 5 shilling.</t>
        </is>
      </c>
    </row>
    <row r="24">
      <c r="A24" t="inlineStr">
        <is>
          <t>Defaults of rent</t>
        </is>
      </c>
      <c r="B24" t="n">
        <v>0</v>
      </c>
      <c r="C24" t="n">
        <v>0</v>
      </c>
      <c r="D24" t="n">
        <v>2.5</v>
      </c>
      <c r="F24" s="72" t="n">
        <v>0.01</v>
      </c>
      <c r="H24" t="inlineStr">
        <is>
          <t>the chief tenement formerly of John de Molendino for ox-gavel 2.5pence, because it should in fact be put in the increment of rent by charter of the lord.</t>
        </is>
      </c>
    </row>
    <row r="25">
      <c r="A25" t="inlineStr">
        <is>
          <t>Defaults of rent</t>
        </is>
      </c>
      <c r="B25" t="n">
        <v>0</v>
      </c>
      <c r="C25" t="n">
        <v>0</v>
      </c>
      <c r="D25" t="n">
        <v>3.5</v>
      </c>
      <c r="F25" s="72" t="n">
        <v>0.01</v>
      </c>
      <c r="H25" t="inlineStr">
        <is>
          <t>the other tenement which the same John held, which he took on according to custom from St Swithun's whilst the manor was in their hands, for ox-gavel, 3.5pence, for the reason as before.</t>
        </is>
      </c>
    </row>
    <row r="26">
      <c r="A26" t="inlineStr">
        <is>
          <t>Defaults of rent</t>
        </is>
      </c>
      <c r="B26" t="n">
        <v>0</v>
      </c>
      <c r="C26" t="n">
        <v>0</v>
      </c>
      <c r="D26" t="n">
        <v>7</v>
      </c>
      <c r="F26" s="72" t="n">
        <v>0.03</v>
      </c>
      <c r="H26" t="inlineStr">
        <is>
          <t>a certain tenement which the same John held which was formerly a relief 7pence, for the reason as before.</t>
        </is>
      </c>
    </row>
    <row r="27">
      <c r="A27" t="inlineStr">
        <is>
          <t>Defaults of rent</t>
        </is>
      </c>
      <c r="B27" t="n">
        <v>0</v>
      </c>
      <c r="C27" t="n">
        <v>10</v>
      </c>
      <c r="D27" t="n">
        <v>0</v>
      </c>
      <c r="F27" s="72" t="n">
        <v>0.5</v>
      </c>
      <c r="H27" t="inlineStr">
        <is>
          <t>Total, 10 shilling</t>
        </is>
      </c>
    </row>
    <row r="28">
      <c r="A28" t="inlineStr">
        <is>
          <t>Defaults of rent</t>
        </is>
      </c>
      <c r="F28" s="72" t="n">
        <v>0.5</v>
      </c>
      <c r="G28" s="137" t="n">
        <v>0</v>
      </c>
      <c r="H28" t="inlineStr">
        <is>
          <t>Total</t>
        </is>
      </c>
    </row>
    <row r="29"/>
    <row r="30">
      <c r="A30" t="inlineStr">
        <is>
          <t>Total of quittances and defaults of rent</t>
        </is>
      </c>
      <c r="B30" t="n">
        <v>0</v>
      </c>
      <c r="C30" t="n">
        <v>18</v>
      </c>
      <c r="D30" t="n">
        <v>3.75</v>
      </c>
      <c r="F30" s="72" t="n">
        <v>0.92</v>
      </c>
      <c r="H30" t="inlineStr">
        <is>
          <t>Total of quittances and defaults of rent, 18 shilling 3.75pence</t>
        </is>
      </c>
    </row>
    <row r="31">
      <c r="A31" t="inlineStr">
        <is>
          <t>Total of quittances and defaults of rent</t>
        </is>
      </c>
      <c r="F31" s="72" t="n">
        <v>0.92</v>
      </c>
      <c r="G31" s="137">
        <f>F31-F30</f>
        <v/>
      </c>
      <c r="H31" t="inlineStr">
        <is>
          <t>Total</t>
        </is>
      </c>
    </row>
    <row r="32"/>
    <row r="33">
      <c r="A33" t="inlineStr">
        <is>
          <t>Total of rents remaining</t>
        </is>
      </c>
      <c r="B33" t="n">
        <v>23</v>
      </c>
      <c r="C33" t="n">
        <v>17</v>
      </c>
      <c r="D33" t="n">
        <v>3.75</v>
      </c>
      <c r="F33" s="72" t="n">
        <v>23.87</v>
      </c>
      <c r="H33" t="inlineStr">
        <is>
          <t>Total of rents remaining, £23 17 shilling 3.75pence</t>
        </is>
      </c>
    </row>
    <row r="34">
      <c r="A34" t="inlineStr">
        <is>
          <t>Total of rents remaining</t>
        </is>
      </c>
      <c r="F34" s="72" t="n">
        <v>23.87</v>
      </c>
      <c r="G34" s="137">
        <f>F34-F33</f>
        <v/>
      </c>
      <c r="H34" t="inlineStr">
        <is>
          <t>Total</t>
        </is>
      </c>
    </row>
    <row r="35"/>
    <row r="36">
      <c r="A36" t="inlineStr">
        <is>
          <t>Farm of the mill</t>
        </is>
      </c>
      <c r="B36" t="n">
        <v>3</v>
      </c>
      <c r="C36" t="n">
        <v>0</v>
      </c>
      <c r="D36" t="n">
        <v>0</v>
      </c>
      <c r="F36" s="72" t="n">
        <v>3</v>
      </c>
      <c r="H36" t="inlineStr">
        <is>
          <t>The same render account for £3 for the rent of the mill let at fee-farm.</t>
        </is>
      </c>
    </row>
    <row r="37">
      <c r="A37" t="inlineStr">
        <is>
          <t>Farm of the mill</t>
        </is>
      </c>
      <c r="B37" t="n">
        <v>3</v>
      </c>
      <c r="C37" t="n">
        <v>0</v>
      </c>
      <c r="D37" t="n">
        <v>0</v>
      </c>
      <c r="F37" s="72" t="n">
        <v>3</v>
      </c>
      <c r="H37" t="inlineStr">
        <is>
          <t>Total, £3.</t>
        </is>
      </c>
    </row>
    <row r="38">
      <c r="A38" t="inlineStr">
        <is>
          <t>Farm of the mill</t>
        </is>
      </c>
      <c r="F38" s="72" t="n">
        <v>3</v>
      </c>
      <c r="G38" s="137" t="n">
        <v>0</v>
      </c>
      <c r="H38" t="inlineStr">
        <is>
          <t>Total</t>
        </is>
      </c>
    </row>
    <row r="39"/>
    <row r="40">
      <c r="A40" t="inlineStr">
        <is>
          <t>Annual recognizance</t>
        </is>
      </c>
      <c r="B40" t="n">
        <v>0</v>
      </c>
      <c r="C40" t="n">
        <v>0</v>
      </c>
      <c r="D40" t="n">
        <v>3</v>
      </c>
      <c r="F40" s="72" t="n">
        <v>0.01</v>
      </c>
      <c r="H40" t="inlineStr">
        <is>
          <t>The same render account for 3pence from Walter Molendinarius for annual recognizance.</t>
        </is>
      </c>
    </row>
    <row r="41">
      <c r="A41" t="inlineStr">
        <is>
          <t>Annual recognizance</t>
        </is>
      </c>
      <c r="B41" t="n">
        <v>0</v>
      </c>
      <c r="C41" t="n">
        <v>0</v>
      </c>
      <c r="D41" t="n">
        <v>6</v>
      </c>
      <c r="F41" s="72" t="n">
        <v>0.03</v>
      </c>
      <c r="H41" t="inlineStr">
        <is>
          <t>6pence from William le Careter for the same.</t>
        </is>
      </c>
    </row>
    <row r="42">
      <c r="A42" t="inlineStr">
        <is>
          <t>Annual recognizance</t>
        </is>
      </c>
      <c r="B42" t="n">
        <v>0</v>
      </c>
      <c r="C42" t="n">
        <v>0</v>
      </c>
      <c r="D42" t="n">
        <v>6</v>
      </c>
      <c r="F42" s="72" t="n">
        <v>0.03</v>
      </c>
      <c r="H42" t="inlineStr">
        <is>
          <t>6pence from William.</t>
        </is>
      </c>
    </row>
    <row r="43">
      <c r="A43" t="inlineStr">
        <is>
          <t>Annual recognizance</t>
        </is>
      </c>
      <c r="B43" t="n">
        <v>0</v>
      </c>
      <c r="C43" t="n">
        <v>0</v>
      </c>
      <c r="D43" t="n">
        <v>6</v>
      </c>
      <c r="F43" s="72" t="n">
        <v>0.03</v>
      </c>
      <c r="H43" t="inlineStr">
        <is>
          <t>6pence from William le YI so that he may serve outside the manor, and yet pay suit to his tithing at the steward's tourns as a villein as before.</t>
        </is>
      </c>
    </row>
    <row r="44">
      <c r="A44" t="inlineStr">
        <is>
          <t>Annual recognizance</t>
        </is>
      </c>
      <c r="B44" t="n">
        <v>0</v>
      </c>
      <c r="C44" t="n">
        <v>1</v>
      </c>
      <c r="D44" t="n">
        <v>3</v>
      </c>
      <c r="F44" s="72" t="n">
        <v>0.06</v>
      </c>
      <c r="H44" t="inlineStr">
        <is>
          <t>Total, 1 shilling 3pence</t>
        </is>
      </c>
    </row>
    <row r="45">
      <c r="A45" t="inlineStr">
        <is>
          <t>Annual recognizance</t>
        </is>
      </c>
      <c r="F45" s="72" t="n">
        <v>0.1</v>
      </c>
      <c r="G45" s="137" t="n">
        <v>0.04000000000000001</v>
      </c>
      <c r="H45" t="inlineStr">
        <is>
          <t>Total</t>
        </is>
      </c>
    </row>
    <row r="46"/>
    <row r="47">
      <c r="A47" t="inlineStr">
        <is>
          <t>Cumin</t>
        </is>
      </c>
      <c r="B47" t="n">
        <v>0</v>
      </c>
      <c r="C47" t="n">
        <v>0</v>
      </c>
      <c r="D47" t="n">
        <v>0</v>
      </c>
      <c r="F47" s="72" t="n">
        <v>0</v>
      </c>
      <c r="H47" t="inlineStr">
        <is>
          <t>The same render account for 1 lb of cumin from the rent of John, son of Henry le Careter.</t>
        </is>
      </c>
    </row>
    <row r="48">
      <c r="A48" t="inlineStr">
        <is>
          <t>Cumin</t>
        </is>
      </c>
      <c r="B48" t="n">
        <v>0</v>
      </c>
      <c r="C48" t="n">
        <v>0</v>
      </c>
      <c r="D48" t="n">
        <v>0</v>
      </c>
      <c r="F48" s="72" t="n">
        <v>0</v>
      </c>
      <c r="H48" t="inlineStr">
        <is>
          <t>delivered to Wolvesey.</t>
        </is>
      </c>
    </row>
    <row r="49">
      <c r="A49" t="inlineStr">
        <is>
          <t>Cumin</t>
        </is>
      </c>
      <c r="F49" s="72" t="n">
        <v>0</v>
      </c>
      <c r="G49" s="137" t="n">
        <v>0</v>
      </c>
      <c r="H49" t="inlineStr">
        <is>
          <t>Total</t>
        </is>
      </c>
    </row>
    <row r="50"/>
    <row r="51">
      <c r="A51" t="inlineStr">
        <is>
          <t>Bows and arrows</t>
        </is>
      </c>
      <c r="B51" t="n">
        <v>0</v>
      </c>
      <c r="C51" t="n">
        <v>1</v>
      </c>
      <c r="D51" t="n">
        <v>0</v>
      </c>
      <c r="F51" s="72" t="n">
        <v>0.05</v>
      </c>
      <c r="H51" t="inlineStr">
        <is>
          <t>The same render account for 1 shilling from John de Worsted' for 1 bow and 12 arrows for 2 virgates of land which belonged to John Coleman de Shidefeld' and 1 ferling of land which belonged to Richard Crall' in the same vill, which he has by gift of lord John, bishop of Winchester, rendering at Easter according to the contents of his charter which he has from the said bishop and the whole convent of St Swithun's.</t>
        </is>
      </c>
    </row>
    <row r="52">
      <c r="A52" t="inlineStr">
        <is>
          <t>Bows and arrows</t>
        </is>
      </c>
      <c r="B52" t="n">
        <v>0</v>
      </c>
      <c r="C52" t="n">
        <v>1</v>
      </c>
      <c r="D52" t="n">
        <v>0</v>
      </c>
      <c r="F52" s="72" t="n">
        <v>0.05</v>
      </c>
      <c r="H52" t="inlineStr">
        <is>
          <t>Total, 1 shilling</t>
        </is>
      </c>
    </row>
    <row r="53">
      <c r="A53" t="inlineStr">
        <is>
          <t>Bows and arrows</t>
        </is>
      </c>
      <c r="F53" s="72" t="n">
        <v>0.05</v>
      </c>
      <c r="G53" s="137" t="n">
        <v>0</v>
      </c>
      <c r="H53" t="inlineStr">
        <is>
          <t>Total</t>
        </is>
      </c>
    </row>
    <row r="54"/>
    <row r="55">
      <c r="A55" t="inlineStr">
        <is>
          <t>Issues of the manor</t>
        </is>
      </c>
      <c r="B55" t="n">
        <v>1</v>
      </c>
      <c r="C55" t="n">
        <v>11</v>
      </c>
      <c r="D55" t="n">
        <v>2.5</v>
      </c>
      <c r="F55" s="72" t="n">
        <v>1.56</v>
      </c>
      <c r="H55" t="inlineStr">
        <is>
          <t>The same render account for £1 11 shilling 2.5 pence from pannage of pigs at Martinmas, at 2pence a pig over a year old, 1.5pence a pig of 3 terms, 1pence a pig of .5 year, and .5pence a piglet, and moreover, 1 pig and 1 piglet from pannage this year because each of those who have 10 pigs in the manor will give 1 pig.</t>
        </is>
      </c>
    </row>
    <row r="56">
      <c r="A56" t="inlineStr">
        <is>
          <t>Issues of the manor</t>
        </is>
      </c>
      <c r="B56" t="n">
        <v>0</v>
      </c>
      <c r="C56" t="n">
        <v>0</v>
      </c>
      <c r="D56" t="n">
        <v>0</v>
      </c>
      <c r="F56" s="72" t="n">
        <v>0</v>
      </c>
      <c r="H56" t="inlineStr">
        <is>
          <t>nothing from winter pasturage this year because it was not able to be sold.</t>
        </is>
      </c>
    </row>
    <row r="57">
      <c r="A57" t="inlineStr">
        <is>
          <t>Issues of the manor</t>
        </is>
      </c>
      <c r="B57" t="n">
        <v>0</v>
      </c>
      <c r="C57" t="n">
        <v>0</v>
      </c>
      <c r="D57" t="n">
        <v>10</v>
      </c>
      <c r="F57" s="72" t="n">
        <v>0.04</v>
      </c>
      <c r="H57" t="inlineStr">
        <is>
          <t>10pence from summer pasturage sold there this year.</t>
        </is>
      </c>
    </row>
    <row r="58">
      <c r="A58" t="inlineStr">
        <is>
          <t>Issues of the manor</t>
        </is>
      </c>
      <c r="B58" t="n">
        <v>0</v>
      </c>
      <c r="C58" t="n">
        <v>0</v>
      </c>
      <c r="D58" t="n">
        <v>0</v>
      </c>
      <c r="F58" s="72" t="n">
        <v>0</v>
      </c>
      <c r="H58" t="inlineStr">
        <is>
          <t>nothing from the pasturage of various places nor from the pasturage in Forcrofte this year for the lord's stock.</t>
        </is>
      </c>
    </row>
    <row r="59">
      <c r="A59" t="inlineStr">
        <is>
          <t>Issues of the manor</t>
        </is>
      </c>
      <c r="B59" t="n">
        <v>0</v>
      </c>
      <c r="C59" t="n">
        <v>3</v>
      </c>
      <c r="D59" t="n">
        <v>9</v>
      </c>
      <c r="F59" s="72" t="n">
        <v>0.19</v>
      </c>
      <c r="H59" t="inlineStr">
        <is>
          <t>3 shilling 9pence from 18 geese sold.</t>
        </is>
      </c>
    </row>
    <row r="60">
      <c r="A60" t="inlineStr">
        <is>
          <t>Issues of the manor</t>
        </is>
      </c>
      <c r="B60" t="n">
        <v>0</v>
      </c>
      <c r="C60" t="n">
        <v>3</v>
      </c>
      <c r="D60" t="n">
        <v>10</v>
      </c>
      <c r="F60" s="72" t="n">
        <v>0.19</v>
      </c>
      <c r="H60" t="inlineStr">
        <is>
          <t>3 shilling 10pence from 46 hens sold.</t>
        </is>
      </c>
    </row>
    <row r="61">
      <c r="A61" t="inlineStr">
        <is>
          <t>Issues of the manor</t>
        </is>
      </c>
      <c r="B61" t="n">
        <v>0</v>
      </c>
      <c r="C61" t="n">
        <v>3</v>
      </c>
      <c r="D61" t="n">
        <v>0.75</v>
      </c>
      <c r="F61" s="72" t="n">
        <v>0.15</v>
      </c>
      <c r="H61" t="inlineStr">
        <is>
          <t>3 shilling 0.75pence from 1,050 eggs sold.</t>
        </is>
      </c>
    </row>
    <row r="62">
      <c r="A62" t="inlineStr">
        <is>
          <t>Issues of the manor</t>
        </is>
      </c>
      <c r="B62" t="n">
        <v>0</v>
      </c>
      <c r="C62" t="n">
        <v>3</v>
      </c>
      <c r="D62" t="n">
        <v>0</v>
      </c>
      <c r="F62" s="72" t="n">
        <v>0.15</v>
      </c>
      <c r="H62" t="inlineStr">
        <is>
          <t>3 shilling from 6 bushels of nuts sold from the wood according to custom.</t>
        </is>
      </c>
    </row>
    <row r="63">
      <c r="A63" t="inlineStr">
        <is>
          <t>Issues of the manor</t>
        </is>
      </c>
      <c r="B63" t="n">
        <v>0</v>
      </c>
      <c r="C63" t="n">
        <v>1</v>
      </c>
      <c r="D63" t="n">
        <v>6</v>
      </c>
      <c r="F63" s="72" t="n">
        <v>0.08</v>
      </c>
      <c r="H63" t="inlineStr">
        <is>
          <t>1 shilling 6pence from loppings in Suthwild' sold this year from timber felled for ploughs.</t>
        </is>
      </c>
    </row>
    <row r="64">
      <c r="A64" t="inlineStr">
        <is>
          <t>Issues of the manor</t>
        </is>
      </c>
      <c r="B64" t="n">
        <v>0</v>
      </c>
      <c r="C64" t="n">
        <v>0</v>
      </c>
      <c r="D64" t="n">
        <v>0</v>
      </c>
      <c r="F64" s="72" t="n">
        <v>0</v>
      </c>
      <c r="H64" t="inlineStr">
        <is>
          <t>nothing from dead trees and dead wood in Haslholte nor from underwood in la Fronches' this year.</t>
        </is>
      </c>
    </row>
    <row r="65">
      <c r="A65" t="inlineStr">
        <is>
          <t>Issues of the manor</t>
        </is>
      </c>
      <c r="B65" t="n">
        <v>0</v>
      </c>
      <c r="C65" t="n">
        <v>8</v>
      </c>
      <c r="D65" t="n">
        <v>0</v>
      </c>
      <c r="F65" s="72" t="n">
        <v>0.4</v>
      </c>
      <c r="H65" t="inlineStr">
        <is>
          <t>8 shilling from the whole hundred for release from carrying the hay of Nutschellyng'.</t>
        </is>
      </c>
    </row>
    <row r="66">
      <c r="A66" t="inlineStr">
        <is>
          <t>Issues of the manor</t>
        </is>
      </c>
      <c r="B66" t="n">
        <v>0</v>
      </c>
      <c r="C66" t="n">
        <v>19</v>
      </c>
      <c r="D66" t="n">
        <v>0</v>
      </c>
      <c r="F66" s="72" t="n">
        <v>0.95</v>
      </c>
      <c r="H66" t="inlineStr">
        <is>
          <t>19 shilling from 9.5 virgates of land for release from carrying-service.</t>
        </is>
      </c>
    </row>
    <row r="67">
      <c r="A67" t="inlineStr">
        <is>
          <t>Issues of the manor</t>
        </is>
      </c>
      <c r="B67" t="n">
        <v>0</v>
      </c>
      <c r="C67" t="n">
        <v>0</v>
      </c>
      <c r="D67" t="n">
        <v>6</v>
      </c>
      <c r="F67" s="72" t="n">
        <v>0.03</v>
      </c>
      <c r="H67" t="inlineStr">
        <is>
          <t>6pence from John Maynard for 1 piglet.</t>
        </is>
      </c>
    </row>
    <row r="68">
      <c r="A68" t="inlineStr">
        <is>
          <t>Issues of the manor</t>
        </is>
      </c>
      <c r="B68" t="n">
        <v>0</v>
      </c>
      <c r="C68" t="n">
        <v>4</v>
      </c>
      <c r="D68" t="n">
        <v>9.25</v>
      </c>
      <c r="F68" s="72" t="n">
        <v>0.24</v>
      </c>
      <c r="H68" t="inlineStr">
        <is>
          <t>4 shilling 9.25pence from Fyslod'.</t>
        </is>
      </c>
    </row>
    <row r="69">
      <c r="A69" t="inlineStr">
        <is>
          <t>Issues of the manor</t>
        </is>
      </c>
      <c r="B69" t="n">
        <v>0</v>
      </c>
      <c r="C69" t="n">
        <v>12</v>
      </c>
      <c r="D69" t="n">
        <v>4.5</v>
      </c>
      <c r="F69" s="72" t="n">
        <v>0.62</v>
      </c>
      <c r="H69" t="inlineStr">
        <is>
          <t>12 shilling 4.5pence from 2 quarters .5 bushels of rye from churchscot sold.</t>
        </is>
      </c>
    </row>
    <row r="70">
      <c r="A70" t="inlineStr">
        <is>
          <t>Issues of the manor</t>
        </is>
      </c>
      <c r="B70" t="n">
        <v>0</v>
      </c>
      <c r="C70" t="n">
        <v>5</v>
      </c>
      <c r="D70" t="n">
        <v>1.5</v>
      </c>
      <c r="F70" s="72" t="n">
        <v>0.26</v>
      </c>
      <c r="H70" t="inlineStr">
        <is>
          <t>5 shilling 1.5pence for release from carrying wood felled in preparation for Christmas this year.</t>
        </is>
      </c>
    </row>
    <row r="71">
      <c r="A71" t="inlineStr">
        <is>
          <t>Issues of the manor</t>
        </is>
      </c>
      <c r="B71" t="n">
        <v>0</v>
      </c>
      <c r="C71" t="n">
        <v>14</v>
      </c>
      <c r="D71" t="n">
        <v>3</v>
      </c>
      <c r="F71" s="72" t="n">
        <v>0.71</v>
      </c>
      <c r="H71" t="inlineStr">
        <is>
          <t>14 shilling 3pence from transport-service sold this year.</t>
        </is>
      </c>
    </row>
    <row r="72">
      <c r="A72" t="inlineStr">
        <is>
          <t>Issues of the manor</t>
        </is>
      </c>
      <c r="B72" t="n">
        <v>0</v>
      </c>
      <c r="C72" t="n">
        <v>3</v>
      </c>
      <c r="D72" t="n">
        <v>11</v>
      </c>
      <c r="F72" s="72" t="n">
        <v>0.2</v>
      </c>
      <c r="H72" t="inlineStr">
        <is>
          <t>3 shilling 11 pence from dairy produce sold at the audit.</t>
        </is>
      </c>
    </row>
    <row r="73">
      <c r="A73" t="inlineStr">
        <is>
          <t>Issues of the manor</t>
        </is>
      </c>
      <c r="B73" t="n">
        <v>5</v>
      </c>
      <c r="C73" t="n">
        <v>15</v>
      </c>
      <c r="D73" t="n">
        <v>1.5</v>
      </c>
      <c r="F73" s="72" t="n">
        <v>5.76</v>
      </c>
      <c r="H73" t="inlineStr">
        <is>
          <t xml:space="preserve">Total, £5 15 shilling 1.5pence </t>
        </is>
      </c>
    </row>
    <row r="74"/>
    <row r="75">
      <c r="A75" t="inlineStr">
        <is>
          <t>Issues of the manor</t>
        </is>
      </c>
      <c r="B75" t="n">
        <v>0</v>
      </c>
      <c r="C75" t="n">
        <v>10</v>
      </c>
      <c r="D75" t="n">
        <v>0</v>
      </c>
      <c r="F75" s="72">
        <f>B75+C75/20+D75/240</f>
        <v/>
      </c>
      <c r="H75" t="inlineStr">
        <is>
          <t>And for 10 shilling from 1 old cart-horse sold.</t>
        </is>
      </c>
    </row>
    <row r="76">
      <c r="A76" t="inlineStr">
        <is>
          <t>Issues of the manor</t>
        </is>
      </c>
      <c r="B76" t="n">
        <v>0</v>
      </c>
      <c r="C76" t="n">
        <v>9</v>
      </c>
      <c r="D76" t="n">
        <v>0</v>
      </c>
      <c r="F76" s="72" t="n">
        <v>0.45</v>
      </c>
      <c r="H76" t="inlineStr">
        <is>
          <t>9 shilling from 2 old plough-horses sold, at 3 shilling for 1, and 6 shilling for 1.</t>
        </is>
      </c>
    </row>
    <row r="77">
      <c r="A77" t="inlineStr">
        <is>
          <t>Issues of the manor</t>
        </is>
      </c>
      <c r="B77" t="n">
        <v>0</v>
      </c>
      <c r="C77" t="n">
        <v>9</v>
      </c>
      <c r="D77" t="n">
        <v>0</v>
      </c>
      <c r="F77" s="72" t="n">
        <v>0.45</v>
      </c>
      <c r="H77" t="inlineStr">
        <is>
          <t>9 shilling from 1 old ox sold.</t>
        </is>
      </c>
    </row>
    <row r="78">
      <c r="A78" t="inlineStr">
        <is>
          <t>Issues of the manor</t>
        </is>
      </c>
      <c r="B78" t="n">
        <v>1</v>
      </c>
      <c r="C78" t="n">
        <v>12</v>
      </c>
      <c r="D78" t="n">
        <v>6</v>
      </c>
      <c r="F78" s="72" t="n">
        <v>1.62</v>
      </c>
      <c r="H78" t="inlineStr">
        <is>
          <t>£1 12 shilling 6pence from 4 old cows sold, at 7s .3pence each for 2, and 9 shilling each for 2.</t>
        </is>
      </c>
    </row>
    <row r="79">
      <c r="A79" t="inlineStr">
        <is>
          <t>Issues of the manor</t>
        </is>
      </c>
      <c r="B79" t="n">
        <v>0</v>
      </c>
      <c r="C79" t="n">
        <v>6</v>
      </c>
      <c r="D79" t="n">
        <v>0</v>
      </c>
      <c r="F79" s="72" t="n">
        <v>0.3</v>
      </c>
      <c r="H79" t="inlineStr">
        <is>
          <t>6 shilling from 6 late-born calves sold, at 1 shilling each.</t>
        </is>
      </c>
    </row>
    <row r="80">
      <c r="A80" t="inlineStr">
        <is>
          <t>Issues of the manor</t>
        </is>
      </c>
      <c r="B80" t="n">
        <v>1</v>
      </c>
      <c r="C80" t="n">
        <v>14</v>
      </c>
      <c r="D80" t="n">
        <v>0</v>
      </c>
      <c r="F80" s="72" t="n">
        <v>1.7</v>
      </c>
      <c r="H80" t="inlineStr">
        <is>
          <t>£1 14 shilling from 34 wethers sold at Martinmas, at 1 shilling each.</t>
        </is>
      </c>
    </row>
    <row r="81">
      <c r="A81" t="inlineStr">
        <is>
          <t>Issues of the manor</t>
        </is>
      </c>
      <c r="B81" t="n">
        <v>2</v>
      </c>
      <c r="C81" t="n">
        <v>0</v>
      </c>
      <c r="D81" t="n">
        <v>0</v>
      </c>
      <c r="F81" s="72" t="n">
        <v>2</v>
      </c>
      <c r="H81" t="inlineStr">
        <is>
          <t>£2 from 40 ewes sold.</t>
        </is>
      </c>
    </row>
    <row r="82">
      <c r="A82" t="inlineStr">
        <is>
          <t>Issues of the manor</t>
        </is>
      </c>
      <c r="B82" t="n">
        <v>3</v>
      </c>
      <c r="C82" t="n">
        <v>3</v>
      </c>
      <c r="D82" t="n">
        <v>4</v>
      </c>
      <c r="F82" s="72" t="n">
        <v>3.17</v>
      </c>
      <c r="H82" t="inlineStr">
        <is>
          <t>£3 3 shilling 4pence from 25 pigs sold at Martinmas, at 2 shilling 4pence each for 10, and 2 shilling 8pence each for 15.</t>
        </is>
      </c>
    </row>
    <row r="83">
      <c r="A83" t="inlineStr">
        <is>
          <t>Issues of the manor</t>
        </is>
      </c>
      <c r="B83" t="n">
        <v>0</v>
      </c>
      <c r="C83" t="n">
        <v>10</v>
      </c>
      <c r="D83" t="n">
        <v>2.5</v>
      </c>
      <c r="F83" s="72" t="n">
        <v>0.51</v>
      </c>
      <c r="H83" t="inlineStr">
        <is>
          <t>10 shilling from 48 feeble lambs sold, at 2.5pence each.</t>
        </is>
      </c>
    </row>
    <row r="84">
      <c r="A84" t="inlineStr">
        <is>
          <t>Issues of the manor</t>
        </is>
      </c>
      <c r="B84" t="n">
        <v>0</v>
      </c>
      <c r="C84" t="n">
        <v>0</v>
      </c>
      <c r="D84" t="n">
        <v>0</v>
      </c>
      <c r="F84" s="72" t="n">
        <v>0</v>
      </c>
      <c r="H84" t="inlineStr">
        <is>
          <t>nothing from coarse wool and lamb's-wool here because it is sent to Wolvesey.</t>
        </is>
      </c>
    </row>
    <row r="85">
      <c r="A85" t="inlineStr">
        <is>
          <t>Issues of the manor</t>
        </is>
      </c>
      <c r="B85" t="n">
        <v>0</v>
      </c>
      <c r="C85" t="n">
        <v>6</v>
      </c>
      <c r="D85" t="n">
        <v>1.5</v>
      </c>
      <c r="F85" s="72" t="n">
        <v>0.31</v>
      </c>
      <c r="H85" t="inlineStr">
        <is>
          <t>6 shilling 1.5pence from 7 cloves of wool locks sold, at 101 pence a clove.</t>
        </is>
      </c>
    </row>
    <row r="86">
      <c r="A86" t="inlineStr">
        <is>
          <t>Issues of the manor</t>
        </is>
      </c>
      <c r="B86" t="n">
        <v>0</v>
      </c>
      <c r="C86" t="n">
        <v>10</v>
      </c>
      <c r="D86" t="n">
        <v>5</v>
      </c>
      <c r="F86" s="72" t="n">
        <v>0.52</v>
      </c>
      <c r="H86" t="inlineStr">
        <is>
          <t>10 shilling 5pence from the skins sold of 18 wethers, 17 ewes and 19 hoggs in murrain before shearing, at 3pence a skin of wethers, 2.5pence a skin of ewes, and 1.5pence a skin of hoggs.</t>
        </is>
      </c>
    </row>
    <row r="87">
      <c r="A87" t="inlineStr">
        <is>
          <t>Issues of the manor</t>
        </is>
      </c>
      <c r="B87" t="n">
        <v>0</v>
      </c>
      <c r="C87" t="n">
        <v>1</v>
      </c>
      <c r="D87" t="n">
        <v>9</v>
      </c>
      <c r="F87" s="72" t="n">
        <v>0.09</v>
      </c>
      <c r="H87" t="inlineStr">
        <is>
          <t>1 shilling 9pence from the skins sold wholesale of 13 wethers and 5 ewes in murrain after shearing.</t>
        </is>
      </c>
    </row>
    <row r="88">
      <c r="A88" t="inlineStr">
        <is>
          <t>Issues of the manor</t>
        </is>
      </c>
      <c r="B88" t="n">
        <v>0</v>
      </c>
      <c r="C88" t="n">
        <v>2</v>
      </c>
      <c r="D88" t="n">
        <v>2</v>
      </c>
      <c r="F88" s="72" t="n">
        <v>0.11</v>
      </c>
      <c r="H88" t="inlineStr">
        <is>
          <t>2 shilling 2pence from the skins sold of 26 lambs in murrain before weaning, at 1pence a skin.</t>
        </is>
      </c>
    </row>
    <row r="89">
      <c r="A89" t="inlineStr">
        <is>
          <t>Issues of the manor</t>
        </is>
      </c>
      <c r="B89" t="n">
        <v>0</v>
      </c>
      <c r="C89" t="n">
        <v>1</v>
      </c>
      <c r="D89" t="n">
        <v>3.75</v>
      </c>
      <c r="F89" s="72" t="n">
        <v>0.07000000000000001</v>
      </c>
      <c r="H89" t="inlineStr">
        <is>
          <t>1 shilling 3.75pence from the skins sold of 21 rotted sheep in murrain after weaning, at 0.75pence a skin.</t>
        </is>
      </c>
    </row>
    <row r="90">
      <c r="A90" t="inlineStr">
        <is>
          <t>Issues of the manor</t>
        </is>
      </c>
      <c r="B90" t="n">
        <v>0</v>
      </c>
      <c r="C90" t="n">
        <v>0</v>
      </c>
      <c r="D90" t="n">
        <v>4</v>
      </c>
      <c r="F90" s="72" t="n">
        <v>0.02</v>
      </c>
      <c r="H90" t="inlineStr">
        <is>
          <t>4pence from the skins sold of 12 lambs in murrain after shearing.</t>
        </is>
      </c>
    </row>
    <row r="91">
      <c r="A91" t="inlineStr">
        <is>
          <t>Issues of the manor</t>
        </is>
      </c>
      <c r="B91" t="n">
        <v>0</v>
      </c>
      <c r="C91" t="n">
        <v>2</v>
      </c>
      <c r="D91" t="n">
        <v>0</v>
      </c>
      <c r="F91" s="72" t="n">
        <v>0.1</v>
      </c>
      <c r="H91" t="inlineStr">
        <is>
          <t>2 shilling from the hide sold of 1 ox dead from murrain.</t>
        </is>
      </c>
    </row>
    <row r="92">
      <c r="A92" t="inlineStr">
        <is>
          <t>Issues of the manor</t>
        </is>
      </c>
      <c r="B92" t="n">
        <v>0</v>
      </c>
      <c r="C92" t="n">
        <v>0</v>
      </c>
      <c r="D92" t="n">
        <v>8</v>
      </c>
      <c r="F92" s="72" t="n">
        <v>0.03</v>
      </c>
      <c r="H92" t="inlineStr">
        <is>
          <t>8pence from the hide sold of 1 bullock dead from murrain.</t>
        </is>
      </c>
    </row>
    <row r="93">
      <c r="A93" t="inlineStr">
        <is>
          <t>Issues of the manor</t>
        </is>
      </c>
      <c r="B93" t="n">
        <v>1</v>
      </c>
      <c r="C93" t="n">
        <v>4</v>
      </c>
      <c r="D93" t="n">
        <v>0</v>
      </c>
      <c r="F93" s="72" t="n">
        <v>1.2</v>
      </c>
      <c r="H93" t="inlineStr">
        <is>
          <t>£1 4 shilling from 2 casks of cider sold apart from the vessels.</t>
        </is>
      </c>
    </row>
    <row r="94">
      <c r="A94" t="inlineStr">
        <is>
          <t>Issues of the manor</t>
        </is>
      </c>
      <c r="B94" t="n">
        <v>0</v>
      </c>
      <c r="C94" t="n">
        <v>3</v>
      </c>
      <c r="D94" t="n">
        <v>0</v>
      </c>
      <c r="F94" s="72" t="n">
        <v>0.15</v>
      </c>
      <c r="H94" t="inlineStr">
        <is>
          <t>3 shilling from 9.5 cloves of rowen cheese sold.</t>
        </is>
      </c>
    </row>
    <row r="95">
      <c r="A95" t="inlineStr">
        <is>
          <t>Issues of the manor</t>
        </is>
      </c>
      <c r="B95" t="n">
        <v>2</v>
      </c>
      <c r="C95" t="n">
        <v>15</v>
      </c>
      <c r="D95" t="n">
        <v>3</v>
      </c>
      <c r="F95" s="72" t="n">
        <v>2.76</v>
      </c>
      <c r="H95" t="inlineStr">
        <is>
          <t>£2 15 shilling 3pence from 6.5 weys of summer cheese sold, at 8 shilling 6pence a wey.</t>
        </is>
      </c>
    </row>
    <row r="96">
      <c r="A96" t="inlineStr">
        <is>
          <t>Issues of the manor</t>
        </is>
      </c>
      <c r="B96" t="n">
        <v>0</v>
      </c>
      <c r="C96" t="n">
        <v>4</v>
      </c>
      <c r="D96" t="n">
        <v>6.5</v>
      </c>
      <c r="F96">
        <f>B96+C96/20+D96/240</f>
        <v/>
      </c>
      <c r="H96" t="inlineStr">
        <is>
          <t>4 shilling 6.5pence from 0.5 wey 1 clove of butter sold</t>
        </is>
      </c>
    </row>
    <row r="97">
      <c r="A97" t="inlineStr">
        <is>
          <t>Issues of the manor</t>
        </is>
      </c>
      <c r="B97" t="n">
        <v>16</v>
      </c>
      <c r="C97" t="n">
        <v>5</v>
      </c>
      <c r="D97" t="n">
        <v>4.75</v>
      </c>
      <c r="F97" s="72" t="n">
        <v>16.27</v>
      </c>
      <c r="H97" t="inlineStr">
        <is>
          <t>Total, £16 5 shilling 4.75pence</t>
        </is>
      </c>
    </row>
    <row r="98">
      <c r="A98" t="inlineStr">
        <is>
          <t>Issues of the manor</t>
        </is>
      </c>
      <c r="F98" s="72">
        <f>SUM(F55:F72)+SUM(F75:F96)</f>
        <v/>
      </c>
      <c r="G98" s="137">
        <f>F98-(F97+F73)</f>
        <v/>
      </c>
      <c r="H98" t="inlineStr">
        <is>
          <t>Total</t>
        </is>
      </c>
    </row>
    <row r="99"/>
    <row r="100">
      <c r="A100" t="inlineStr">
        <is>
          <t>Sale of corn</t>
        </is>
      </c>
      <c r="B100" t="n">
        <v>12</v>
      </c>
      <c r="C100" t="n">
        <v>1</v>
      </c>
      <c r="D100" t="n">
        <v>3.5</v>
      </c>
      <c r="F100" s="72" t="n">
        <v>12.06</v>
      </c>
      <c r="H100" t="inlineStr">
        <is>
          <t>The same render account for £12 1 shilling 3.5pence from 42 quarters 2.5 bushels of wheat sold, at 4 shilling 8d a qr for 5.5 quarters, 5 shilling a qr for 17.5 quarters 3 bushels, and 6 shilling 8pence a qr for 18.5 quarters.</t>
        </is>
      </c>
    </row>
    <row r="101">
      <c r="A101" t="inlineStr">
        <is>
          <t>Sale of corn</t>
        </is>
      </c>
      <c r="B101" t="n">
        <v>1</v>
      </c>
      <c r="C101" t="n">
        <v>1</v>
      </c>
      <c r="D101" t="n">
        <v>3</v>
      </c>
      <c r="F101" s="72" t="n">
        <v>1.06</v>
      </c>
      <c r="H101" t="inlineStr">
        <is>
          <t>£1 1 shilling 3pence from 6 quarters 3 bushels of curall sold, at 3 shilling 4pence a qr.</t>
        </is>
      </c>
    </row>
    <row r="102">
      <c r="A102" t="inlineStr">
        <is>
          <t>Sale of corn</t>
        </is>
      </c>
      <c r="B102" t="n">
        <v>0</v>
      </c>
      <c r="C102" t="n">
        <v>1</v>
      </c>
      <c r="D102" t="n">
        <v>4</v>
      </c>
      <c r="F102" s="72" t="n">
        <v>0.07000000000000001</v>
      </c>
      <c r="H102" t="inlineStr">
        <is>
          <t>1 shilling 4pence from 4 bushels of maslin sold.</t>
        </is>
      </c>
    </row>
    <row r="103">
      <c r="A103" t="inlineStr">
        <is>
          <t>Sale of corn</t>
        </is>
      </c>
      <c r="B103" t="n">
        <v>1</v>
      </c>
      <c r="C103" t="n">
        <v>16</v>
      </c>
      <c r="D103" t="n">
        <v>8</v>
      </c>
      <c r="F103" s="72" t="n">
        <v>1.83</v>
      </c>
      <c r="H103" t="inlineStr">
        <is>
          <t>£1 16 shilling 8pence from 11 quarters of bere sold, at 3 shilling 4pence a qr.</t>
        </is>
      </c>
    </row>
    <row r="104">
      <c r="A104" t="inlineStr">
        <is>
          <t>Sale of corn</t>
        </is>
      </c>
      <c r="B104" t="n">
        <v>6</v>
      </c>
      <c r="C104" t="n">
        <v>9</v>
      </c>
      <c r="D104" t="n">
        <v>9</v>
      </c>
      <c r="F104" s="72" t="n">
        <v>6.49</v>
      </c>
      <c r="H104" t="inlineStr">
        <is>
          <t>£6 9 shilling 9pence from 34 quarters 1 bushels of barley sold, at 3 shilling 4pence a qr for 10 quarters 1 bushels, and 4 shilling a qr for 24 quarters.</t>
        </is>
      </c>
    </row>
    <row r="105">
      <c r="A105" t="inlineStr">
        <is>
          <t>Sale of corn</t>
        </is>
      </c>
      <c r="B105" t="n">
        <v>4</v>
      </c>
      <c r="C105" t="n">
        <v>3</v>
      </c>
      <c r="D105" t="n">
        <v>2</v>
      </c>
      <c r="F105" s="72" t="n">
        <v>4.16</v>
      </c>
      <c r="H105" t="inlineStr">
        <is>
          <t>£4 3 shilling 2pence from 34.5 quarters 2 bushels of oats sold, at 2 shilling a qr for 14 quarters 2 bushels, and 2 shilling 8pence a qr for 20.5.</t>
        </is>
      </c>
    </row>
    <row r="106">
      <c r="A106" t="inlineStr">
        <is>
          <t>Sale of corn</t>
        </is>
      </c>
      <c r="B106" t="n">
        <v>1</v>
      </c>
      <c r="C106" t="n">
        <v>0</v>
      </c>
      <c r="D106" t="n">
        <v>9</v>
      </c>
      <c r="F106" s="72" t="n">
        <v>1.04</v>
      </c>
      <c r="H106" t="inlineStr">
        <is>
          <t>£1 9pence from 9.5quarters 1 bus of peas sold, at 2 shilling a qr for 7 quarters 3 bushels, and 2 shilling 8pence a qr for 2 quarters 2 bushels.</t>
        </is>
      </c>
    </row>
    <row r="107">
      <c r="A107" t="inlineStr">
        <is>
          <t>Sale of corn</t>
        </is>
      </c>
      <c r="B107" t="n">
        <v>1</v>
      </c>
      <c r="C107" t="n">
        <v>5</v>
      </c>
      <c r="D107" t="n">
        <v>0</v>
      </c>
      <c r="F107" s="72" t="n">
        <v>1.25</v>
      </c>
      <c r="H107" t="inlineStr">
        <is>
          <t xml:space="preserve">£1 5 shilling 6.5 from 14 quarters 3 bushels of vetches sold, at 1 shilling 4pence a qr for 8 quarters for 6 quarters 3 bushels </t>
        </is>
      </c>
    </row>
    <row r="108">
      <c r="A108" t="inlineStr">
        <is>
          <t>Sale of corn</t>
        </is>
      </c>
      <c r="B108" t="n">
        <v>27</v>
      </c>
      <c r="C108" t="n">
        <v>19</v>
      </c>
      <c r="D108" t="n">
        <v>9</v>
      </c>
      <c r="F108" s="72">
        <f>B108+C108/20+D108/240</f>
        <v/>
      </c>
      <c r="H108" t="inlineStr">
        <is>
          <t>Total, £27 19 shilling 9pence</t>
        </is>
      </c>
    </row>
    <row r="109">
      <c r="A109" t="inlineStr">
        <is>
          <t>Sale of corn</t>
        </is>
      </c>
      <c r="F109" s="72" t="n">
        <v>27.96</v>
      </c>
      <c r="G109" s="137">
        <f>F109-F108</f>
        <v/>
      </c>
      <c r="H109" t="inlineStr">
        <is>
          <t>Total</t>
        </is>
      </c>
    </row>
    <row r="110"/>
    <row r="111">
      <c r="A111" t="inlineStr">
        <is>
          <t>Entry and marriage fines</t>
        </is>
      </c>
      <c r="B111" t="n">
        <v>0</v>
      </c>
      <c r="C111" t="n">
        <v>10</v>
      </c>
      <c r="D111" t="n">
        <v>0</v>
      </c>
      <c r="F111" s="72" t="n">
        <v>0.5</v>
      </c>
      <c r="H111" t="inlineStr">
        <is>
          <t>The same render account for 10 shilling from Alice, relict of Cuppyng Breton, to retain 1 messuage and' virgate of land which belonged to her husband.</t>
        </is>
      </c>
    </row>
    <row r="112">
      <c r="A112" t="inlineStr">
        <is>
          <t>Entry and marriage fines</t>
        </is>
      </c>
      <c r="B112" t="n">
        <v>1</v>
      </c>
      <c r="C112" t="n">
        <v>0</v>
      </c>
      <c r="D112" t="n">
        <v>0</v>
      </c>
      <c r="F112" s="72" t="n">
        <v>1</v>
      </c>
      <c r="H112" t="inlineStr">
        <is>
          <t>£1 from John Seyle to have 1 messuage and 0.5 virgate of land which belonged to Isabel his mother whose heir he is.</t>
        </is>
      </c>
    </row>
    <row r="113">
      <c r="A113" t="inlineStr">
        <is>
          <t>Entry and marriage fines</t>
        </is>
      </c>
      <c r="B113" t="n">
        <v>0</v>
      </c>
      <c r="C113" t="n">
        <v>2</v>
      </c>
      <c r="D113" t="n">
        <v>0</v>
      </c>
      <c r="F113" s="72" t="n">
        <v>0.1</v>
      </c>
      <c r="H113" t="inlineStr">
        <is>
          <t>2 shilling from William le Y1 to have 1 messuage and 1 ferling which belonged to Alice his mother whose heir he is.</t>
        </is>
      </c>
    </row>
    <row r="114">
      <c r="A114" t="inlineStr">
        <is>
          <t>Entry and marriage fines</t>
        </is>
      </c>
      <c r="B114" t="n">
        <v>0</v>
      </c>
      <c r="C114" t="n">
        <v>4</v>
      </c>
      <c r="D114" t="n">
        <v>0</v>
      </c>
      <c r="F114" s="72" t="n">
        <v>0.2</v>
      </c>
      <c r="H114" t="inlineStr">
        <is>
          <t>4 shilling from Joan la Hore to have 1 messuage and .5 virgate of land which belonged to John, son of her uncle, whose heir she is.</t>
        </is>
      </c>
    </row>
    <row r="115">
      <c r="A115" t="inlineStr">
        <is>
          <t>Entry and marriage fines</t>
        </is>
      </c>
      <c r="B115" t="n">
        <v>0</v>
      </c>
      <c r="C115" t="n">
        <v>6</v>
      </c>
      <c r="D115" t="n">
        <v>8</v>
      </c>
      <c r="F115" s="72" t="n">
        <v>0.33</v>
      </c>
      <c r="H115" t="inlineStr">
        <is>
          <t>6 shilling 8pence from John Chapelay of Hawkley to have Joan la Hore with .5 virgate of her land.</t>
        </is>
      </c>
    </row>
    <row r="116">
      <c r="A116" t="inlineStr">
        <is>
          <t>Entry and marriage fines</t>
        </is>
      </c>
      <c r="B116" t="n">
        <v>0</v>
      </c>
      <c r="C116" t="n">
        <v>1</v>
      </c>
      <c r="D116" t="n">
        <v>1</v>
      </c>
      <c r="F116" s="72" t="n">
        <v>0.05</v>
      </c>
      <c r="H116" t="inlineStr">
        <is>
          <t>1 shilling from Guy Gamnoky to have 2 day-works of land by surrender of Richard de Seleford', and the said Guy will relieve the said Richard of 1pence annual rent for the year.</t>
        </is>
      </c>
    </row>
    <row r="117">
      <c r="A117" t="inlineStr">
        <is>
          <t>Entry and marriage fines</t>
        </is>
      </c>
      <c r="B117" t="n">
        <v>2</v>
      </c>
      <c r="C117" t="n">
        <v>3</v>
      </c>
      <c r="D117" t="n">
        <v>8</v>
      </c>
      <c r="F117" s="72" t="n">
        <v>2.18</v>
      </c>
      <c r="H117" t="inlineStr">
        <is>
          <t>Total, £2 3 shilling 8pence</t>
        </is>
      </c>
    </row>
    <row r="118">
      <c r="A118" t="inlineStr">
        <is>
          <t>Entry and marriage fines</t>
        </is>
      </c>
      <c r="F118" s="72" t="n">
        <v>2.18</v>
      </c>
      <c r="G118" s="137" t="n">
        <v>0</v>
      </c>
      <c r="H118" t="inlineStr">
        <is>
          <t>Total</t>
        </is>
      </c>
    </row>
    <row r="119"/>
    <row r="120">
      <c r="A120" t="inlineStr">
        <is>
          <t>Perquisites</t>
        </is>
      </c>
      <c r="B120" t="n">
        <v>0</v>
      </c>
      <c r="C120" t="n">
        <v>2</v>
      </c>
      <c r="D120" t="n">
        <v>0</v>
      </c>
      <c r="F120" s="72" t="n">
        <v>0.1</v>
      </c>
      <c r="H120" t="inlineStr">
        <is>
          <t>The same render account for 2 shilling from Peter de Brok, overseer of the harvest, for keeping the lord's fields and pastures badly.</t>
        </is>
      </c>
    </row>
    <row r="121">
      <c r="A121" t="inlineStr">
        <is>
          <t>Perquisites</t>
        </is>
      </c>
      <c r="B121" t="n">
        <v>0</v>
      </c>
      <c r="C121" t="n">
        <v>16</v>
      </c>
      <c r="D121" t="n">
        <v>3</v>
      </c>
      <c r="F121" s="72" t="n">
        <v>0.8100000000000001</v>
      </c>
      <c r="H121" t="inlineStr">
        <is>
          <t>16 shilling 3pence from various men for various transgressions.</t>
        </is>
      </c>
    </row>
    <row r="122">
      <c r="A122" t="inlineStr">
        <is>
          <t>Perquisites</t>
        </is>
      </c>
      <c r="B122" t="n">
        <v>0</v>
      </c>
      <c r="C122" t="n">
        <v>18</v>
      </c>
      <c r="D122" t="n">
        <v>3</v>
      </c>
      <c r="F122" s="72" t="n">
        <v>0.91</v>
      </c>
      <c r="H122" t="inlineStr">
        <is>
          <t>Total, 18 shilling 3pence</t>
        </is>
      </c>
    </row>
    <row r="123">
      <c r="A123" t="inlineStr">
        <is>
          <t>Perquisites</t>
        </is>
      </c>
      <c r="F123" s="72" t="n">
        <v>0.91</v>
      </c>
      <c r="G123" s="137" t="n">
        <v>0</v>
      </c>
      <c r="H123" t="inlineStr">
        <is>
          <t>Total</t>
        </is>
      </c>
    </row>
    <row r="124"/>
    <row r="125">
      <c r="A125" s="38" t="inlineStr">
        <is>
          <t>Total of all receipts recorded in accounts</t>
        </is>
      </c>
      <c r="B125" t="n">
        <v>80</v>
      </c>
      <c r="C125" t="n">
        <v>1</v>
      </c>
      <c r="D125" t="n">
        <v>9</v>
      </c>
      <c r="F125" s="72">
        <f>B125+C125/20+D125/240</f>
        <v/>
      </c>
      <c r="H125" t="inlineStr">
        <is>
          <t>Total of all receipts, £80 1 shilling 9pence</t>
        </is>
      </c>
    </row>
    <row r="126" ht="15.95" customHeight="1">
      <c r="A126" s="9" t="inlineStr">
        <is>
          <t>Total cross-check without arrears</t>
        </is>
      </c>
      <c r="F126" s="72">
        <f>F123+F118+F109+F98+F53+F49+F45+F38+F34</f>
        <v/>
      </c>
      <c r="G126" s="137">
        <f>F126-F125</f>
        <v/>
      </c>
    </row>
    <row r="127" ht="15.95" customHeight="1">
      <c r="A127" s="9" t="inlineStr">
        <is>
          <t>Total cross-check with arrears</t>
        </is>
      </c>
      <c r="F127" s="72">
        <f>F126+F6</f>
        <v/>
      </c>
      <c r="G127" s="137">
        <f>F127-F126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7"/>
  <sheetViews>
    <sheetView topLeftCell="A1" workbookViewId="0">
      <selection activeCell="A1" sqref="A1"/>
    </sheetView>
  </sheetViews>
  <sheetFormatPr baseColWidth="8" defaultRowHeight="15"/>
  <cols>
    <col width="33.140625" customWidth="1" min="1" max="1"/>
    <col width="8.85546875" customWidth="1" min="6" max="6"/>
    <col width="8.85546875" customWidth="1" min="7" max="7"/>
    <col width="28.28515625" customWidth="1" min="8" max="8"/>
    <col width="17.28515625" customWidth="1" min="10" max="10"/>
    <col width="21" customWidth="1" min="11" max="11"/>
  </cols>
  <sheetData>
    <row r="1" ht="15.95" customHeight="1">
      <c r="A1" s="2" t="inlineStr">
        <is>
          <t>DROXFORD EXPENSES</t>
        </is>
      </c>
    </row>
    <row r="2" ht="33.95"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Cost of ploughs</t>
        </is>
      </c>
      <c r="B3" t="n">
        <v>0</v>
      </c>
      <c r="C3" t="n">
        <v>6</v>
      </c>
      <c r="D3" t="n">
        <v>10.5</v>
      </c>
      <c r="F3" s="72" t="n">
        <v>0.34</v>
      </c>
      <c r="H3" t="inlineStr">
        <is>
          <t>In iron and steel bought for 2 ploughs for the year and three ploughs for 1 term 6 shilling 10.5pence.</t>
        </is>
      </c>
      <c r="J3" s="72">
        <f>F3</f>
        <v/>
      </c>
      <c r="K3" s="72">
        <f>J3</f>
        <v/>
      </c>
    </row>
    <row r="4">
      <c r="A4" t="inlineStr">
        <is>
          <t>Cost of ploughs</t>
        </is>
      </c>
      <c r="B4" t="n">
        <v>0</v>
      </c>
      <c r="C4" t="n">
        <v>0</v>
      </c>
      <c r="D4" t="n">
        <v>9</v>
      </c>
      <c r="F4" s="72" t="n">
        <v>0.04</v>
      </c>
      <c r="H4" t="inlineStr">
        <is>
          <t>1 ploughshare bought 9pence.</t>
        </is>
      </c>
      <c r="J4" s="72">
        <f>F4</f>
        <v/>
      </c>
      <c r="K4" s="72">
        <f>J4</f>
        <v/>
      </c>
    </row>
    <row r="5">
      <c r="A5" t="inlineStr">
        <is>
          <t>Cost of ploughs</t>
        </is>
      </c>
      <c r="B5" t="n">
        <v>0</v>
      </c>
      <c r="C5" t="n">
        <v>0</v>
      </c>
      <c r="D5" t="n">
        <v>5</v>
      </c>
      <c r="F5" s="72" t="n">
        <v>0.02</v>
      </c>
      <c r="H5" t="inlineStr">
        <is>
          <t>1 plough made anew and others mended 5pence.</t>
        </is>
      </c>
      <c r="J5" s="72">
        <f>F5</f>
        <v/>
      </c>
      <c r="K5" s="72">
        <f>J5</f>
        <v/>
      </c>
    </row>
    <row r="6">
      <c r="A6" t="inlineStr">
        <is>
          <t>Cost of ploughs</t>
        </is>
      </c>
      <c r="B6" t="n">
        <v>0</v>
      </c>
      <c r="C6" t="n">
        <v>0</v>
      </c>
      <c r="D6" t="n">
        <v>3</v>
      </c>
      <c r="F6" s="72" t="n">
        <v>0.01</v>
      </c>
      <c r="H6" t="inlineStr">
        <is>
          <t>trimming timber 3pence.</t>
        </is>
      </c>
      <c r="J6" s="72">
        <f>F6</f>
        <v/>
      </c>
      <c r="K6" s="72">
        <f>J6</f>
        <v/>
      </c>
    </row>
    <row r="7">
      <c r="A7" t="inlineStr">
        <is>
          <t>Cost of ploughs</t>
        </is>
      </c>
      <c r="B7" t="n">
        <v>0</v>
      </c>
      <c r="C7" t="n">
        <v>1</v>
      </c>
      <c r="D7" t="n">
        <v>3</v>
      </c>
      <c r="F7" s="72" t="n">
        <v>0.06</v>
      </c>
      <c r="H7" t="inlineStr">
        <is>
          <t>3 plough feet bought 1 shilling 3pence.</t>
        </is>
      </c>
      <c r="J7" s="72">
        <f>F7</f>
        <v/>
      </c>
      <c r="K7" s="72">
        <f>J7</f>
        <v/>
      </c>
    </row>
    <row r="8">
      <c r="A8" t="inlineStr">
        <is>
          <t>Cost of ploughs</t>
        </is>
      </c>
      <c r="B8" t="n">
        <v>0</v>
      </c>
      <c r="C8" t="n">
        <v>0</v>
      </c>
      <c r="D8" t="n">
        <v>1.5</v>
      </c>
      <c r="F8" s="72" t="n">
        <v>0.01</v>
      </c>
      <c r="H8" t="inlineStr">
        <is>
          <t>fitting the said plough with iron tyres 1.5pence.</t>
        </is>
      </c>
      <c r="J8" s="72">
        <f>F8</f>
        <v/>
      </c>
      <c r="K8" s="72">
        <f>J8</f>
        <v/>
      </c>
    </row>
    <row r="9">
      <c r="A9" t="inlineStr">
        <is>
          <t>Cost of ploughs</t>
        </is>
      </c>
      <c r="B9" t="n">
        <v>0</v>
      </c>
      <c r="C9" t="n">
        <v>1</v>
      </c>
      <c r="D9" t="n">
        <v>0</v>
      </c>
      <c r="F9" s="72" t="n">
        <v>0.05</v>
      </c>
      <c r="H9" t="inlineStr">
        <is>
          <t>3 pairs of wheels bought for the same 1 shilling.</t>
        </is>
      </c>
      <c r="J9" s="72">
        <f>F9</f>
        <v/>
      </c>
      <c r="K9" s="72">
        <f>J9</f>
        <v/>
      </c>
    </row>
    <row r="10">
      <c r="A10" t="inlineStr">
        <is>
          <t>Cost of ploughs</t>
        </is>
      </c>
      <c r="B10" t="n">
        <v>0</v>
      </c>
      <c r="C10" t="n">
        <v>0</v>
      </c>
      <c r="D10" t="n">
        <v>0.75</v>
      </c>
      <c r="F10" s="72" t="n">
        <v>0</v>
      </c>
      <c r="H10" t="inlineStr">
        <is>
          <t>3 halters made from the horses' own hair (de proprio pilo) 0.75pence.</t>
        </is>
      </c>
      <c r="J10" s="72">
        <f>F10</f>
        <v/>
      </c>
      <c r="K10" s="72">
        <f>J10</f>
        <v/>
      </c>
    </row>
    <row r="11">
      <c r="A11" t="inlineStr">
        <is>
          <t>Cost of ploughs</t>
        </is>
      </c>
      <c r="B11" t="n">
        <v>0</v>
      </c>
      <c r="C11" t="n">
        <v>2</v>
      </c>
      <c r="D11" t="n">
        <v>6</v>
      </c>
      <c r="F11" s="72" t="n">
        <v>0.12</v>
      </c>
      <c r="H11" t="inlineStr">
        <is>
          <t>shoeing 2 plough-horses 2 shilling 6pence, because the smith shoes 2 according to custom.</t>
        </is>
      </c>
      <c r="J11" s="72">
        <f>F11</f>
        <v/>
      </c>
      <c r="K11" s="72">
        <f>J11</f>
        <v/>
      </c>
    </row>
    <row r="12">
      <c r="A12" t="inlineStr">
        <is>
          <t>Cost of ploughs</t>
        </is>
      </c>
      <c r="B12" t="n">
        <v>0</v>
      </c>
      <c r="C12" t="n">
        <v>1</v>
      </c>
      <c r="D12" t="n">
        <v>4</v>
      </c>
      <c r="F12" s="72" t="n">
        <v>0.07000000000000001</v>
      </c>
      <c r="H12" t="inlineStr">
        <is>
          <t>spreading dung 1 shilling 4pence.</t>
        </is>
      </c>
      <c r="J12" s="72">
        <f>F12</f>
        <v/>
      </c>
      <c r="K12" s="72">
        <f>J12</f>
        <v/>
      </c>
    </row>
    <row r="13">
      <c r="A13" t="inlineStr">
        <is>
          <t>Cost of ploughs</t>
        </is>
      </c>
      <c r="B13" t="n">
        <v>0</v>
      </c>
      <c r="C13" t="n">
        <v>0</v>
      </c>
      <c r="D13" t="n">
        <v>4</v>
      </c>
      <c r="F13" s="72" t="n">
        <v>0.02</v>
      </c>
      <c r="H13" t="inlineStr">
        <is>
          <t>2 harrows made anew with others mended 4pence.</t>
        </is>
      </c>
      <c r="J13" s="72">
        <f>F13</f>
        <v/>
      </c>
      <c r="K13" s="72">
        <f>J13</f>
        <v/>
      </c>
    </row>
    <row r="14">
      <c r="A14" t="inlineStr">
        <is>
          <t>Cost of ploughs</t>
        </is>
      </c>
      <c r="B14" t="n">
        <v>0</v>
      </c>
      <c r="C14" t="n">
        <v>3</v>
      </c>
      <c r="D14" t="n">
        <v>0</v>
      </c>
      <c r="F14" s="72" t="n">
        <v>0.15</v>
      </c>
      <c r="H14" t="inlineStr">
        <is>
          <t>stipend of 1 drover for the year 3 shilling.</t>
        </is>
      </c>
    </row>
    <row r="15">
      <c r="A15" t="inlineStr">
        <is>
          <t>Cost of ploughs</t>
        </is>
      </c>
      <c r="B15" t="n">
        <v>0</v>
      </c>
      <c r="C15" t="n">
        <v>0</v>
      </c>
      <c r="D15" t="n">
        <v>9</v>
      </c>
      <c r="F15" s="72" t="n">
        <v>0.04</v>
      </c>
      <c r="H15" t="inlineStr">
        <is>
          <t>stipend of 1 drover for 1 term 9pence.</t>
        </is>
      </c>
    </row>
    <row r="16">
      <c r="A16" t="inlineStr">
        <is>
          <t>Cost of ploughs</t>
        </is>
      </c>
      <c r="B16" t="n">
        <v>0</v>
      </c>
      <c r="C16" t="n">
        <v>6</v>
      </c>
      <c r="D16" t="n">
        <v>0</v>
      </c>
      <c r="F16" s="72" t="n">
        <v>0.3</v>
      </c>
      <c r="H16" t="inlineStr">
        <is>
          <t>stipend of 2 ploughmen who are sometimes carters for the year 6 shilling.</t>
        </is>
      </c>
    </row>
    <row r="17">
      <c r="A17" t="inlineStr">
        <is>
          <t>Cost of ploughs</t>
        </is>
      </c>
      <c r="B17" t="n">
        <v>2</v>
      </c>
      <c r="C17" t="n">
        <v>1</v>
      </c>
      <c r="D17" t="n">
        <v>3</v>
      </c>
      <c r="F17" s="72" t="n">
        <v>2.06</v>
      </c>
      <c r="H17" t="inlineStr">
        <is>
          <t>4 oxen £2 1 shilling 3pence, at 10 shilling each for 3, and 11 shilling 3pence for 1..</t>
        </is>
      </c>
    </row>
    <row r="18">
      <c r="A18" t="inlineStr">
        <is>
          <t>Cost of ploughs</t>
        </is>
      </c>
      <c r="B18" t="n">
        <v>0</v>
      </c>
      <c r="C18" t="n">
        <v>8</v>
      </c>
      <c r="D18" t="n">
        <v>0</v>
      </c>
      <c r="F18" s="72">
        <f>B18+C18/20+D18/240</f>
        <v/>
      </c>
      <c r="H18" t="inlineStr">
        <is>
          <t xml:space="preserve">forage bought 8 shilling </t>
        </is>
      </c>
    </row>
    <row r="19">
      <c r="A19" t="inlineStr">
        <is>
          <t>Cost of ploughs</t>
        </is>
      </c>
      <c r="B19" t="n">
        <v>3</v>
      </c>
      <c r="C19" t="n">
        <v>13</v>
      </c>
      <c r="D19" t="n">
        <v>10.75</v>
      </c>
      <c r="F19" s="72" t="n">
        <v>3.69</v>
      </c>
      <c r="H19" t="inlineStr">
        <is>
          <t>Total, £3 13 shilling 10.75pence</t>
        </is>
      </c>
    </row>
    <row r="20">
      <c r="A20" t="inlineStr">
        <is>
          <t>Cost of ploughs</t>
        </is>
      </c>
      <c r="F20" s="72">
        <f>SUM(F3:F18)</f>
        <v/>
      </c>
      <c r="G20" s="137">
        <f>F20-F19</f>
        <v/>
      </c>
      <c r="H20" t="inlineStr">
        <is>
          <t>Total</t>
        </is>
      </c>
    </row>
    <row r="21"/>
    <row r="22">
      <c r="A22" t="inlineStr">
        <is>
          <t>Cost of carts</t>
        </is>
      </c>
      <c r="B22" t="n">
        <v>0</v>
      </c>
      <c r="C22" t="n">
        <v>1</v>
      </c>
      <c r="D22" t="n">
        <v>10</v>
      </c>
      <c r="F22" s="72" t="n">
        <v>0.09</v>
      </c>
      <c r="H22" t="inlineStr">
        <is>
          <t>In 1 pair of wheels bought for clearing dung 1 shilling 10pence.</t>
        </is>
      </c>
      <c r="J22" s="72">
        <f>F22</f>
        <v/>
      </c>
      <c r="K22" s="72">
        <f>J22</f>
        <v/>
      </c>
    </row>
    <row r="23">
      <c r="A23" t="inlineStr">
        <is>
          <t>Cost of carts</t>
        </is>
      </c>
      <c r="B23" t="n">
        <v>0</v>
      </c>
      <c r="C23" t="n">
        <v>1</v>
      </c>
      <c r="D23" t="n">
        <v>2.5</v>
      </c>
      <c r="F23" s="72" t="n">
        <v>0.06</v>
      </c>
      <c r="H23" t="inlineStr">
        <is>
          <t>large nails bought for mending the cart 1 shilling 2.5pence.</t>
        </is>
      </c>
      <c r="J23" s="72">
        <f>F23</f>
        <v/>
      </c>
      <c r="K23" s="72">
        <f>J23</f>
        <v/>
      </c>
    </row>
    <row r="24">
      <c r="A24" t="inlineStr">
        <is>
          <t>Cost of carts</t>
        </is>
      </c>
      <c r="B24" t="n">
        <v>0</v>
      </c>
      <c r="C24" t="n">
        <v>0</v>
      </c>
      <c r="D24" t="n">
        <v>7</v>
      </c>
      <c r="F24" s="72" t="n">
        <v>0.03</v>
      </c>
      <c r="H24" t="inlineStr">
        <is>
          <t>fitting the cart with axles with axles bought for the same 7pence.</t>
        </is>
      </c>
      <c r="J24" s="72">
        <f>F24</f>
        <v/>
      </c>
      <c r="K24" s="72">
        <f>J24</f>
        <v/>
      </c>
    </row>
    <row r="25">
      <c r="A25" t="inlineStr">
        <is>
          <t>Cost of carts</t>
        </is>
      </c>
      <c r="B25" t="n">
        <v>0</v>
      </c>
      <c r="C25" t="n">
        <v>1</v>
      </c>
      <c r="D25" t="n">
        <v>2</v>
      </c>
      <c r="F25" s="72" t="n">
        <v>0.06</v>
      </c>
      <c r="H25" t="inlineStr">
        <is>
          <t>2 collars bought 1 shilling 2pence.</t>
        </is>
      </c>
      <c r="J25" s="72">
        <f>F25</f>
        <v/>
      </c>
      <c r="K25" s="72">
        <f>J25</f>
        <v/>
      </c>
    </row>
    <row r="26">
      <c r="A26" t="inlineStr">
        <is>
          <t>Cost of carts</t>
        </is>
      </c>
      <c r="B26" t="n">
        <v>0</v>
      </c>
      <c r="C26" t="n">
        <v>0</v>
      </c>
      <c r="D26" t="n">
        <v>6</v>
      </c>
      <c r="F26" s="72" t="n">
        <v>0.03</v>
      </c>
      <c r="H26" t="inlineStr">
        <is>
          <t>1 pair of saddle-pads 6pence.</t>
        </is>
      </c>
      <c r="J26" s="72">
        <f>F26</f>
        <v/>
      </c>
      <c r="K26" s="72">
        <f>J26</f>
        <v/>
      </c>
    </row>
    <row r="27">
      <c r="A27" t="inlineStr">
        <is>
          <t>Cost of carts</t>
        </is>
      </c>
      <c r="B27" t="n">
        <v>0</v>
      </c>
      <c r="C27" t="n">
        <v>0</v>
      </c>
      <c r="D27" t="n">
        <v>9.5</v>
      </c>
      <c r="F27" s="72" t="n">
        <v>0.04</v>
      </c>
      <c r="H27" t="inlineStr">
        <is>
          <t>clouts, nails and grease bought 9.5pence.</t>
        </is>
      </c>
      <c r="J27" s="72">
        <f>F27</f>
        <v/>
      </c>
      <c r="K27" s="72">
        <f>J27</f>
        <v/>
      </c>
    </row>
    <row r="28">
      <c r="A28" t="inlineStr">
        <is>
          <t>Cost of carts</t>
        </is>
      </c>
      <c r="B28" t="n">
        <v>0</v>
      </c>
      <c r="C28" t="n">
        <v>0</v>
      </c>
      <c r="D28" t="n">
        <v>4.5</v>
      </c>
      <c r="F28" s="72" t="n">
        <v>0.02</v>
      </c>
      <c r="H28" t="inlineStr">
        <is>
          <t>1 pair of traces bought 4.5pencetethering.</t>
        </is>
      </c>
      <c r="J28" s="72">
        <f>F28</f>
        <v/>
      </c>
      <c r="K28" s="72">
        <f>J28</f>
        <v/>
      </c>
    </row>
    <row r="29">
      <c r="A29" t="inlineStr">
        <is>
          <t>Cost of carts</t>
        </is>
      </c>
      <c r="B29" t="n">
        <v>0</v>
      </c>
      <c r="C29" t="n">
        <v>0</v>
      </c>
      <c r="D29" t="n">
        <v>3</v>
      </c>
      <c r="F29" s="72" t="n">
        <v>0.01</v>
      </c>
      <c r="H29" t="inlineStr">
        <is>
          <t>1 rope bought for horses in the pasture 3pence.</t>
        </is>
      </c>
      <c r="J29" s="72">
        <f>F29</f>
        <v/>
      </c>
      <c r="K29" s="72">
        <f>J29</f>
        <v/>
      </c>
    </row>
    <row r="30">
      <c r="A30" t="inlineStr">
        <is>
          <t>Cost of carts</t>
        </is>
      </c>
      <c r="B30" t="n">
        <v>0</v>
      </c>
      <c r="C30" t="n">
        <v>0</v>
      </c>
      <c r="D30" t="n">
        <v>3</v>
      </c>
      <c r="F30" s="72" t="n">
        <v>0.01</v>
      </c>
      <c r="H30" t="inlineStr">
        <is>
          <t>2 halters bought 3pence.</t>
        </is>
      </c>
      <c r="J30" s="72">
        <f>F30</f>
        <v/>
      </c>
      <c r="K30" s="72">
        <f>J30</f>
        <v/>
      </c>
    </row>
    <row r="31">
      <c r="A31" t="inlineStr">
        <is>
          <t>Cost of carts</t>
        </is>
      </c>
      <c r="B31" t="n">
        <v>0</v>
      </c>
      <c r="C31" t="n">
        <v>3</v>
      </c>
      <c r="D31" t="n">
        <v>6</v>
      </c>
      <c r="F31" s="72" t="n">
        <v>0.17</v>
      </c>
      <c r="H31" t="inlineStr">
        <is>
          <t>shoeing 2 cart-horses for the year 3 shilling 6pence.</t>
        </is>
      </c>
      <c r="J31" s="72">
        <f>F31</f>
        <v/>
      </c>
      <c r="K31" s="72">
        <f>J31</f>
        <v/>
      </c>
    </row>
    <row r="32">
      <c r="A32" t="inlineStr">
        <is>
          <t>Cost of carts</t>
        </is>
      </c>
      <c r="B32" t="n">
        <v>0</v>
      </c>
      <c r="C32" t="n">
        <v>19</v>
      </c>
      <c r="D32" t="n">
        <v>1</v>
      </c>
      <c r="F32" s="72" t="n">
        <v>0.95</v>
      </c>
      <c r="H32" t="inlineStr">
        <is>
          <t>1 cart-horse bought 19 shilling 1 pence.</t>
        </is>
      </c>
      <c r="K32" s="72" t="n"/>
    </row>
    <row r="33">
      <c r="A33" t="inlineStr">
        <is>
          <t>Cost of carts</t>
        </is>
      </c>
      <c r="B33" t="n">
        <v>0</v>
      </c>
      <c r="C33" t="n">
        <v>0</v>
      </c>
      <c r="D33" t="n">
        <v>6</v>
      </c>
      <c r="F33" s="72">
        <f>B33+C33/20+D33/240</f>
        <v/>
      </c>
      <c r="H33" t="inlineStr">
        <is>
          <t xml:space="preserve">3 pieces of iron for 3 shovels 6pence </t>
        </is>
      </c>
      <c r="J33" s="72">
        <f>F33</f>
        <v/>
      </c>
      <c r="K33" s="72">
        <f>J33</f>
        <v/>
      </c>
    </row>
    <row r="34">
      <c r="A34" t="inlineStr">
        <is>
          <t>Cost of carts</t>
        </is>
      </c>
      <c r="B34" t="n">
        <v>1</v>
      </c>
      <c r="C34" t="n">
        <v>10</v>
      </c>
      <c r="D34" t="n">
        <v>0.5</v>
      </c>
      <c r="F34" s="72" t="n">
        <v>1.5</v>
      </c>
      <c r="H34" t="inlineStr">
        <is>
          <t>Total, £1 10 shilling 0.5pence</t>
        </is>
      </c>
    </row>
    <row r="35">
      <c r="A35" t="inlineStr">
        <is>
          <t>Cost of carts</t>
        </is>
      </c>
      <c r="F35" s="72">
        <f>SUM(F22:F33)</f>
        <v/>
      </c>
      <c r="G35" s="137">
        <f>F35-F34</f>
        <v/>
      </c>
      <c r="H35" t="inlineStr">
        <is>
          <t>Total</t>
        </is>
      </c>
    </row>
    <row r="36"/>
    <row r="37">
      <c r="A37" t="inlineStr">
        <is>
          <t>Dairy</t>
        </is>
      </c>
      <c r="B37" t="n">
        <v>0</v>
      </c>
      <c r="C37" t="n">
        <v>1</v>
      </c>
      <c r="D37" t="n">
        <v>9</v>
      </c>
      <c r="F37" s="72" t="n">
        <v>0.09</v>
      </c>
      <c r="H37" t="inlineStr">
        <is>
          <t>In 7 bushels of salt bought for the dairy, 1 shilling 9pence this year, with the expenses of the harvest.</t>
        </is>
      </c>
      <c r="J37" s="72">
        <f>F37</f>
        <v/>
      </c>
      <c r="K37" s="72">
        <f>J37</f>
        <v/>
      </c>
    </row>
    <row r="38">
      <c r="A38" t="inlineStr">
        <is>
          <t>Dairy</t>
        </is>
      </c>
      <c r="B38" t="n">
        <v>0</v>
      </c>
      <c r="C38" t="n">
        <v>0</v>
      </c>
      <c r="D38" t="n">
        <v>4</v>
      </c>
      <c r="F38" s="72" t="n">
        <v>0.02</v>
      </c>
      <c r="H38" t="inlineStr">
        <is>
          <t>earthenware pots and pans bought for the same 4pence.</t>
        </is>
      </c>
      <c r="J38" s="72">
        <f>F38</f>
        <v/>
      </c>
      <c r="K38" s="72">
        <f>J38</f>
        <v/>
      </c>
    </row>
    <row r="39">
      <c r="A39" t="inlineStr">
        <is>
          <t>Dairy</t>
        </is>
      </c>
      <c r="B39" t="n">
        <v>0</v>
      </c>
      <c r="C39" t="n">
        <v>0</v>
      </c>
      <c r="D39" t="n">
        <v>9</v>
      </c>
      <c r="F39" s="72" t="n">
        <v>0.04</v>
      </c>
      <c r="H39" t="inlineStr">
        <is>
          <t>woollen and linen cloth 9pence.</t>
        </is>
      </c>
      <c r="J39" s="72">
        <f>F39</f>
        <v/>
      </c>
      <c r="K39" s="72">
        <f>J39</f>
        <v/>
      </c>
    </row>
    <row r="40">
      <c r="A40" t="inlineStr">
        <is>
          <t>Dairy</t>
        </is>
      </c>
      <c r="B40" t="n">
        <v>0</v>
      </c>
      <c r="C40" t="n">
        <v>0</v>
      </c>
      <c r="D40" t="n">
        <v>5</v>
      </c>
      <c r="F40" s="72" t="n">
        <v>0.02</v>
      </c>
      <c r="H40" t="inlineStr">
        <is>
          <t>a press bought 5pence.</t>
        </is>
      </c>
      <c r="J40" s="72">
        <f>F40</f>
        <v/>
      </c>
      <c r="K40" s="72">
        <f>J40</f>
        <v/>
      </c>
    </row>
    <row r="41">
      <c r="A41" t="inlineStr">
        <is>
          <t>Dairy</t>
        </is>
      </c>
      <c r="B41" t="n">
        <v>0</v>
      </c>
      <c r="C41" t="n">
        <v>0</v>
      </c>
      <c r="D41" t="n">
        <v>4</v>
      </c>
      <c r="F41" s="72" t="n">
        <v>0.02</v>
      </c>
      <c r="H41" t="inlineStr">
        <is>
          <t>1 stall made anew for bullocks 4pence.</t>
        </is>
      </c>
      <c r="J41" s="72">
        <f>F41</f>
        <v/>
      </c>
      <c r="K41" s="72">
        <f>J41</f>
        <v/>
      </c>
    </row>
    <row r="42">
      <c r="A42" t="inlineStr">
        <is>
          <t>Dairy</t>
        </is>
      </c>
      <c r="B42" t="n">
        <v>0</v>
      </c>
      <c r="C42" t="n">
        <v>4</v>
      </c>
      <c r="D42" t="n">
        <v>4.5</v>
      </c>
      <c r="F42" s="72" t="n">
        <v>0.22</v>
      </c>
      <c r="H42" t="inlineStr">
        <is>
          <t>15 ells of canvas bought for putting wool in 4 shilling 4.5pence, at 3.5pence an ell.</t>
        </is>
      </c>
      <c r="J42" s="72">
        <f>F42</f>
        <v/>
      </c>
      <c r="K42" s="72">
        <f>J42</f>
        <v/>
      </c>
    </row>
    <row r="43">
      <c r="A43" t="inlineStr">
        <is>
          <t>Dairy</t>
        </is>
      </c>
      <c r="B43" t="n">
        <v>0</v>
      </c>
      <c r="C43" t="n">
        <v>0</v>
      </c>
      <c r="D43" t="n">
        <v>1</v>
      </c>
      <c r="F43" s="72" t="n">
        <v>0</v>
      </c>
      <c r="H43" t="inlineStr">
        <is>
          <t>castrating piglets 1pence.</t>
        </is>
      </c>
      <c r="J43" s="72">
        <f>F43</f>
        <v/>
      </c>
      <c r="K43" s="72">
        <f>J43</f>
        <v/>
      </c>
    </row>
    <row r="44">
      <c r="A44" t="inlineStr">
        <is>
          <t>Dairy</t>
        </is>
      </c>
      <c r="B44" t="n">
        <v>0</v>
      </c>
      <c r="C44" t="n">
        <v>0</v>
      </c>
      <c r="D44" t="n">
        <v>8</v>
      </c>
      <c r="F44" s="72" t="n">
        <v>0.03</v>
      </c>
      <c r="H44" t="inlineStr">
        <is>
          <t>1 tripod bought 8pence.</t>
        </is>
      </c>
      <c r="J44" s="72">
        <f>F44</f>
        <v/>
      </c>
      <c r="K44" s="72">
        <f>J44</f>
        <v/>
      </c>
    </row>
    <row r="45">
      <c r="A45" t="inlineStr">
        <is>
          <t>Dairy</t>
        </is>
      </c>
      <c r="B45" t="n">
        <v>0</v>
      </c>
      <c r="C45" t="n">
        <v>0</v>
      </c>
      <c r="D45" t="n">
        <v>5</v>
      </c>
      <c r="F45" s="72" t="n">
        <v>0.02</v>
      </c>
      <c r="H45" t="inlineStr">
        <is>
          <t>1 tine bought for carrying cider 5pence.</t>
        </is>
      </c>
      <c r="J45" s="72">
        <f>F45</f>
        <v/>
      </c>
      <c r="K45" s="72">
        <f>J45</f>
        <v/>
      </c>
    </row>
    <row r="46">
      <c r="A46" t="inlineStr">
        <is>
          <t>Dairy</t>
        </is>
      </c>
      <c r="B46" t="n">
        <v>0</v>
      </c>
      <c r="C46" t="n">
        <v>7</v>
      </c>
      <c r="D46" t="n">
        <v>2</v>
      </c>
      <c r="F46" s="72" t="n">
        <v>0.36</v>
      </c>
      <c r="H46" t="inlineStr">
        <is>
          <t>3 empty casks bought for putting cider in 7 shilling 2pence.</t>
        </is>
      </c>
      <c r="J46" s="72">
        <f>F46</f>
        <v/>
      </c>
      <c r="K46" s="72">
        <f>J46</f>
        <v/>
      </c>
    </row>
    <row r="47">
      <c r="A47" t="inlineStr">
        <is>
          <t>Dairy</t>
        </is>
      </c>
      <c r="B47" t="n">
        <v>0</v>
      </c>
      <c r="C47" t="n">
        <v>2</v>
      </c>
      <c r="D47" t="n">
        <v>2</v>
      </c>
      <c r="F47" s="72" t="n">
        <v>0.11</v>
      </c>
      <c r="H47" t="inlineStr">
        <is>
          <t>hooping and mending 6 casks 2 shilling 2pence.</t>
        </is>
      </c>
      <c r="J47" s="72">
        <f>F47</f>
        <v/>
      </c>
      <c r="K47" s="72">
        <f>J47</f>
        <v/>
      </c>
    </row>
    <row r="48">
      <c r="A48" t="inlineStr">
        <is>
          <t>Dairy</t>
        </is>
      </c>
      <c r="B48" t="n">
        <v>0</v>
      </c>
      <c r="C48" t="n">
        <v>2</v>
      </c>
      <c r="D48" t="n">
        <v>0</v>
      </c>
      <c r="F48" s="72" t="n">
        <v>0.1</v>
      </c>
      <c r="H48" t="inlineStr">
        <is>
          <t>stipend of 1 dairymaid for the year 2 shilling.</t>
        </is>
      </c>
    </row>
    <row r="49">
      <c r="A49" t="inlineStr">
        <is>
          <t>Dairy</t>
        </is>
      </c>
      <c r="B49" t="n">
        <v>0</v>
      </c>
      <c r="C49" t="n">
        <v>1</v>
      </c>
      <c r="D49" t="n">
        <v>6</v>
      </c>
      <c r="F49" s="72">
        <f>B49+C49/20+D49/240</f>
        <v/>
      </c>
      <c r="H49" t="inlineStr">
        <is>
          <t xml:space="preserve">stipend of 1 cowherd for 3 terms 1 shilling 6pence </t>
        </is>
      </c>
    </row>
    <row r="50">
      <c r="A50" t="inlineStr">
        <is>
          <t>Dairy</t>
        </is>
      </c>
      <c r="B50" t="n">
        <v>1</v>
      </c>
      <c r="C50" t="n">
        <v>1</v>
      </c>
      <c r="D50" t="n">
        <v>11.5</v>
      </c>
      <c r="F50" s="72" t="n">
        <v>1.1</v>
      </c>
      <c r="H50" t="inlineStr">
        <is>
          <t>Total, £1 1 shilling 11.5pence</t>
        </is>
      </c>
    </row>
    <row r="51">
      <c r="A51" t="inlineStr">
        <is>
          <t>Dairy</t>
        </is>
      </c>
      <c r="F51" s="72">
        <f>SUM(F37:F49)</f>
        <v/>
      </c>
      <c r="G51" s="137">
        <f>F51-F50</f>
        <v/>
      </c>
      <c r="H51" t="inlineStr">
        <is>
          <t>Total</t>
        </is>
      </c>
    </row>
    <row r="52"/>
    <row r="53">
      <c r="A53" t="inlineStr">
        <is>
          <t>Sheepcote</t>
        </is>
      </c>
      <c r="B53" t="n">
        <v>0</v>
      </c>
      <c r="C53" t="n">
        <v>0</v>
      </c>
      <c r="D53" t="n">
        <v>8</v>
      </c>
      <c r="F53" s="72" t="n">
        <v>0.03</v>
      </c>
      <c r="H53" t="inlineStr">
        <is>
          <t>In 16 hurdles made for the fold 8pence.</t>
        </is>
      </c>
      <c r="J53" s="72">
        <f>F53</f>
        <v/>
      </c>
      <c r="K53" s="72">
        <f>J53</f>
        <v/>
      </c>
    </row>
    <row r="54">
      <c r="A54" t="inlineStr">
        <is>
          <t>Sheepcote</t>
        </is>
      </c>
      <c r="B54" t="n">
        <v>0</v>
      </c>
      <c r="C54" t="n">
        <v>0</v>
      </c>
      <c r="D54" t="n">
        <v>2</v>
      </c>
      <c r="F54" s="72" t="n">
        <v>0.01</v>
      </c>
      <c r="H54" t="inlineStr">
        <is>
          <t>6 hurdles made for the pen (lokett') with withies collected for the same 2pence.</t>
        </is>
      </c>
      <c r="J54" s="72">
        <f>F54</f>
        <v/>
      </c>
      <c r="K54" s="72">
        <f>J54</f>
        <v/>
      </c>
    </row>
    <row r="55">
      <c r="A55" t="inlineStr">
        <is>
          <t>Sheepcote</t>
        </is>
      </c>
      <c r="B55" t="n">
        <v>0</v>
      </c>
      <c r="C55" t="n">
        <v>1</v>
      </c>
      <c r="D55" t="n">
        <v>4</v>
      </c>
      <c r="F55" s="72" t="n">
        <v>0.07000000000000001</v>
      </c>
      <c r="H55" t="inlineStr">
        <is>
          <t>re-roofing the ewe-house in places 1 shilling 4pence.</t>
        </is>
      </c>
      <c r="J55" s="72">
        <f>F55</f>
        <v/>
      </c>
      <c r="K55" s="72">
        <f>J55</f>
        <v/>
      </c>
    </row>
    <row r="56">
      <c r="A56" t="inlineStr">
        <is>
          <t>Sheepcote</t>
        </is>
      </c>
      <c r="B56" t="n">
        <v>0</v>
      </c>
      <c r="C56" t="n">
        <v>0</v>
      </c>
      <c r="D56" t="n">
        <v>8</v>
      </c>
      <c r="F56" s="72" t="n">
        <v>0.03</v>
      </c>
      <c r="H56" t="inlineStr">
        <is>
          <t>re-roofing the wether-house in places 8pence.</t>
        </is>
      </c>
      <c r="J56" s="72">
        <f>F56</f>
        <v/>
      </c>
      <c r="K56" s="72">
        <f>J56</f>
        <v/>
      </c>
    </row>
    <row r="57">
      <c r="A57" t="inlineStr">
        <is>
          <t>Sheepcote</t>
        </is>
      </c>
      <c r="B57" t="n">
        <v>0</v>
      </c>
      <c r="C57" t="n">
        <v>1</v>
      </c>
      <c r="D57" t="n">
        <v>4.5</v>
      </c>
      <c r="F57" s="72" t="n">
        <v>0.07000000000000001</v>
      </c>
      <c r="H57" t="inlineStr">
        <is>
          <t>wattling the fold with withies and stubble collected for the same 1 shilling 4.5pence.</t>
        </is>
      </c>
      <c r="J57" s="72">
        <f>F57</f>
        <v/>
      </c>
      <c r="K57" s="72">
        <f>J57</f>
        <v/>
      </c>
    </row>
    <row r="58">
      <c r="A58" t="inlineStr">
        <is>
          <t>Sheepcote</t>
        </is>
      </c>
      <c r="B58" t="n">
        <v>0</v>
      </c>
      <c r="C58" t="n">
        <v>16</v>
      </c>
      <c r="D58" t="n">
        <v>1</v>
      </c>
      <c r="F58" s="72">
        <f>B58+C58/20+D58/240</f>
        <v/>
      </c>
      <c r="H58" t="inlineStr">
        <is>
          <t xml:space="preserve">fat, vinegar and copperas with the stipend of the man greasing the sheep (ung')16 shilling 1pence </t>
        </is>
      </c>
      <c r="J58" s="72">
        <f>F58</f>
        <v/>
      </c>
      <c r="K58" s="72">
        <f>J58</f>
        <v/>
      </c>
    </row>
    <row r="59">
      <c r="A59" t="inlineStr">
        <is>
          <t>Sheepcote</t>
        </is>
      </c>
      <c r="B59" t="n">
        <v>1</v>
      </c>
      <c r="C59" t="n">
        <v>0</v>
      </c>
      <c r="D59" t="n">
        <v>3.5</v>
      </c>
      <c r="F59" s="72" t="n">
        <v>1.01</v>
      </c>
      <c r="H59" t="inlineStr">
        <is>
          <t>Total, £1 3.5pence</t>
        </is>
      </c>
    </row>
    <row r="60">
      <c r="A60" t="inlineStr">
        <is>
          <t>Sheepcote</t>
        </is>
      </c>
      <c r="F60" s="72">
        <f>SUM(F53:F58)</f>
        <v/>
      </c>
      <c r="G60" s="137">
        <f>F60-F59</f>
        <v/>
      </c>
      <c r="H60" t="inlineStr">
        <is>
          <t>Total</t>
        </is>
      </c>
    </row>
    <row r="61"/>
    <row r="62">
      <c r="A62" t="inlineStr">
        <is>
          <t>Cost of buildings</t>
        </is>
      </c>
      <c r="B62" t="n">
        <v>0</v>
      </c>
      <c r="C62" t="n">
        <v>10</v>
      </c>
      <c r="D62" t="n">
        <v>0</v>
      </c>
      <c r="F62" s="72" t="n">
        <v>0.5</v>
      </c>
      <c r="H62" t="inlineStr">
        <is>
          <t>In building the cow-shed anew with a carpenter for the same by piece-work 10 shilling.</t>
        </is>
      </c>
      <c r="J62" s="72">
        <f>F62</f>
        <v/>
      </c>
      <c r="K62" s="72">
        <f>J62</f>
        <v/>
      </c>
    </row>
    <row r="63">
      <c r="A63" t="inlineStr">
        <is>
          <t>Cost of buildings</t>
        </is>
      </c>
      <c r="B63" t="n">
        <v>0</v>
      </c>
      <c r="C63" t="n">
        <v>1</v>
      </c>
      <c r="D63" t="n">
        <v>0</v>
      </c>
      <c r="F63" s="72" t="n">
        <v>0.05</v>
      </c>
      <c r="H63" t="inlineStr">
        <is>
          <t>making 1,500 laths for the same 1 shilling.</t>
        </is>
      </c>
      <c r="J63" s="72">
        <f>F63</f>
        <v/>
      </c>
      <c r="K63" s="72">
        <f>J63</f>
        <v/>
      </c>
    </row>
    <row r="64">
      <c r="A64" t="inlineStr">
        <is>
          <t>Cost of buildings</t>
        </is>
      </c>
      <c r="B64" t="n">
        <v>0</v>
      </c>
      <c r="C64" t="n">
        <v>2</v>
      </c>
      <c r="D64" t="n">
        <v>4</v>
      </c>
      <c r="F64" s="72" t="n">
        <v>0.12</v>
      </c>
      <c r="H64" t="inlineStr">
        <is>
          <t>3,000 nails bought 2 shilling 4pence.</t>
        </is>
      </c>
      <c r="J64" s="72">
        <f>F64</f>
        <v/>
      </c>
      <c r="K64" s="72">
        <f>J64</f>
        <v/>
      </c>
    </row>
    <row r="65">
      <c r="A65" t="inlineStr">
        <is>
          <t>Cost of buildings</t>
        </is>
      </c>
      <c r="B65" t="n">
        <v>0</v>
      </c>
      <c r="C65" t="n">
        <v>2</v>
      </c>
      <c r="D65" t="n">
        <v>8</v>
      </c>
      <c r="F65" s="72" t="n">
        <v>0.13</v>
      </c>
      <c r="H65" t="inlineStr">
        <is>
          <t>re-roofing the said building by piece-work 2 shilling 8pence.</t>
        </is>
      </c>
      <c r="J65" s="72">
        <f>F65</f>
        <v/>
      </c>
      <c r="K65" s="72">
        <f>J65</f>
        <v/>
      </c>
    </row>
    <row r="66">
      <c r="A66" t="inlineStr">
        <is>
          <t>Cost of buildings</t>
        </is>
      </c>
      <c r="B66" t="n">
        <v>0</v>
      </c>
      <c r="C66" t="n">
        <v>1</v>
      </c>
      <c r="D66" t="n">
        <v>8.5</v>
      </c>
      <c r="F66" s="72" t="n">
        <v>0.09</v>
      </c>
      <c r="H66" t="inlineStr">
        <is>
          <t>re-roofing in places the bailiff's room, small barn, dairy building' and cart-house 1 shilling 8.5pence.</t>
        </is>
      </c>
      <c r="J66" s="72">
        <f>F66</f>
        <v/>
      </c>
      <c r="K66" s="72">
        <f>J66</f>
        <v/>
      </c>
    </row>
    <row r="67">
      <c r="A67" t="inlineStr">
        <is>
          <t>Cost of buildings</t>
        </is>
      </c>
      <c r="B67" t="n">
        <v>0</v>
      </c>
      <c r="C67" t="n">
        <v>0</v>
      </c>
      <c r="D67" t="n">
        <v>10</v>
      </c>
      <c r="F67" s="72" t="n">
        <v>0.04</v>
      </c>
      <c r="H67" t="inlineStr">
        <is>
          <t>stubble collected for the same 10pence.</t>
        </is>
      </c>
      <c r="J67" s="72">
        <f>F67</f>
        <v/>
      </c>
      <c r="K67" s="72">
        <f>J67</f>
        <v/>
      </c>
    </row>
    <row r="68">
      <c r="A68" t="inlineStr">
        <is>
          <t>Cost of buildings</t>
        </is>
      </c>
      <c r="B68" t="n">
        <v>0</v>
      </c>
      <c r="C68" t="n">
        <v>0</v>
      </c>
      <c r="D68" t="n">
        <v>9</v>
      </c>
      <c r="F68" s="72" t="n">
        <v>0.04</v>
      </c>
      <c r="H68" t="inlineStr">
        <is>
          <t>hedging to enclose around the garden 9pence.</t>
        </is>
      </c>
      <c r="J68" s="72">
        <f>F68</f>
        <v/>
      </c>
      <c r="K68" s="72">
        <f>J68</f>
        <v/>
      </c>
    </row>
    <row r="69">
      <c r="A69" t="inlineStr">
        <is>
          <t>Cost of buildings</t>
        </is>
      </c>
      <c r="B69" t="n">
        <v>0</v>
      </c>
      <c r="C69" t="n">
        <v>0</v>
      </c>
      <c r="D69" t="n">
        <v>8</v>
      </c>
      <c r="F69" s="72" t="n">
        <v>0.03</v>
      </c>
      <c r="H69" t="inlineStr">
        <is>
          <t>pulling down the fencing for the same 8pence.</t>
        </is>
      </c>
      <c r="J69" s="72">
        <f>F69</f>
        <v/>
      </c>
      <c r="K69" s="72">
        <f>J69</f>
        <v/>
      </c>
    </row>
    <row r="70">
      <c r="A70" t="inlineStr">
        <is>
          <t>Cost of buildings</t>
        </is>
      </c>
      <c r="B70" t="n">
        <v>0</v>
      </c>
      <c r="C70" t="n">
        <v>1</v>
      </c>
      <c r="D70" t="n">
        <v>0</v>
      </c>
      <c r="F70" s="72" t="n">
        <v>0.05</v>
      </c>
      <c r="H70" t="inlineStr">
        <is>
          <t>mending the walls of the great barn and putting in sills 1 shilling.</t>
        </is>
      </c>
      <c r="J70" s="72">
        <f>F70</f>
        <v/>
      </c>
      <c r="K70" s="72">
        <f>J70</f>
        <v/>
      </c>
    </row>
    <row r="71">
      <c r="A71" t="inlineStr">
        <is>
          <t>Cost of buildings</t>
        </is>
      </c>
      <c r="B71" t="n">
        <v>0</v>
      </c>
      <c r="C71" t="n">
        <v>0</v>
      </c>
      <c r="D71" t="n">
        <v>3</v>
      </c>
      <c r="F71" s="72" t="n">
        <v>0.01</v>
      </c>
      <c r="H71" t="inlineStr">
        <is>
          <t>mending the pig¬sty at Haselholte 3pence.</t>
        </is>
      </c>
      <c r="J71" s="72">
        <f>F71</f>
        <v/>
      </c>
      <c r="K71" s="72">
        <f>J71</f>
        <v/>
      </c>
    </row>
    <row r="72">
      <c r="A72" t="inlineStr">
        <is>
          <t>Cost of buildings</t>
        </is>
      </c>
      <c r="B72" t="n">
        <v>0</v>
      </c>
      <c r="C72" t="n">
        <v>0</v>
      </c>
      <c r="D72" t="n">
        <v>3</v>
      </c>
      <c r="F72" s="72" t="n">
        <v>0.01</v>
      </c>
      <c r="H72" t="inlineStr">
        <is>
          <t>1 lock bought for the door of the great barn 3pence.</t>
        </is>
      </c>
      <c r="J72" s="72">
        <f>F72</f>
        <v/>
      </c>
      <c r="K72" s="72">
        <f>J72</f>
        <v/>
      </c>
    </row>
    <row r="73">
      <c r="A73" t="inlineStr">
        <is>
          <t>Cost of buildings</t>
        </is>
      </c>
      <c r="B73" t="n">
        <v>0</v>
      </c>
      <c r="C73" t="n">
        <v>1</v>
      </c>
      <c r="D73" t="n">
        <v>1</v>
      </c>
      <c r="F73" s="72">
        <f>B73+C73/20+D73/240</f>
        <v/>
      </c>
      <c r="H73" t="inlineStr">
        <is>
          <t xml:space="preserve">building a stack of forage in the curia 1 shilling 1pence </t>
        </is>
      </c>
      <c r="J73" s="72">
        <f>F73</f>
        <v/>
      </c>
      <c r="K73" s="72">
        <f>J73</f>
        <v/>
      </c>
    </row>
    <row r="74">
      <c r="A74" t="inlineStr">
        <is>
          <t>Cost of buildings</t>
        </is>
      </c>
      <c r="B74" t="n">
        <v>1</v>
      </c>
      <c r="C74" t="n">
        <v>2</v>
      </c>
      <c r="D74" t="n">
        <v>6.5</v>
      </c>
      <c r="F74" s="72" t="n">
        <v>1.13</v>
      </c>
      <c r="H74" t="inlineStr">
        <is>
          <t>Total, £1 2 shilling 6.5pence</t>
        </is>
      </c>
    </row>
    <row r="75">
      <c r="A75" t="inlineStr">
        <is>
          <t>Cost of buildings</t>
        </is>
      </c>
      <c r="F75" s="72" t="n">
        <v>2.2</v>
      </c>
      <c r="G75" s="137" t="n">
        <v>1.07</v>
      </c>
      <c r="H75" t="inlineStr">
        <is>
          <t>Total</t>
        </is>
      </c>
    </row>
    <row r="76"/>
    <row r="77">
      <c r="A77" t="inlineStr">
        <is>
          <t>Threshing</t>
        </is>
      </c>
      <c r="B77" t="n">
        <v>0</v>
      </c>
      <c r="C77" t="n">
        <v>11</v>
      </c>
      <c r="D77" t="n">
        <v>2.75</v>
      </c>
      <c r="F77" s="72" t="n">
        <v>0.5600000000000001</v>
      </c>
      <c r="H77" t="inlineStr">
        <is>
          <t>In threshing and winnowing 49 quarters 1 bushels of wheat, curall and maslin by piece-work 11 shilling 2.75pence, at 2.75pence a heaped quarter.</t>
        </is>
      </c>
    </row>
    <row r="78">
      <c r="A78" t="inlineStr">
        <is>
          <t>Threshing</t>
        </is>
      </c>
      <c r="B78" t="n">
        <v>0</v>
      </c>
      <c r="C78" t="n">
        <v>11</v>
      </c>
      <c r="D78" t="n">
        <v>4.5</v>
      </c>
      <c r="F78" s="72" t="n">
        <v>0.57</v>
      </c>
      <c r="H78" t="inlineStr">
        <is>
          <t>threshing and winnowing 78 quarters of bere and barley by piece-work 11 shilling 4.5pence, at 1.75pence a heaped quarter.</t>
        </is>
      </c>
    </row>
    <row r="79">
      <c r="A79" t="inlineStr">
        <is>
          <t>Threshing</t>
        </is>
      </c>
      <c r="B79" t="n">
        <v>0</v>
      </c>
      <c r="C79" t="n">
        <v>5</v>
      </c>
      <c r="D79" t="n">
        <v>5.5</v>
      </c>
      <c r="F79" s="72" t="n">
        <v>0.27</v>
      </c>
      <c r="H79" t="inlineStr">
        <is>
          <t>threshing and winnowing 75 quarters of oats 5 shilling 5.5pence, at 0.75pence a heaped quarter, and 0.25pence per 2 quarters winnowepence.</t>
        </is>
      </c>
    </row>
    <row r="80">
      <c r="A80" t="inlineStr">
        <is>
          <t>Threshing</t>
        </is>
      </c>
      <c r="B80" t="n">
        <v>0</v>
      </c>
      <c r="C80" t="n">
        <v>4</v>
      </c>
      <c r="D80" t="n">
        <v>9</v>
      </c>
      <c r="F80" s="72" t="n">
        <v>0.24</v>
      </c>
      <c r="H80" t="inlineStr">
        <is>
          <t>threshing and winnowing 25 quarters 3 bushels of peas and vetches by piece-work 4 shilling 9pence, at 2.25pence a heaped quarter.</t>
        </is>
      </c>
    </row>
    <row r="81">
      <c r="A81" t="inlineStr">
        <is>
          <t>Threshing</t>
        </is>
      </c>
      <c r="B81" t="n">
        <v>0</v>
      </c>
      <c r="C81" t="n">
        <v>0</v>
      </c>
      <c r="D81" t="n">
        <v>5.5</v>
      </c>
      <c r="F81" s="72" t="n">
        <v>0.02</v>
      </c>
      <c r="H81" t="inlineStr">
        <is>
          <t>1 sack bought 5.5pence.</t>
        </is>
      </c>
    </row>
    <row r="82">
      <c r="A82" t="inlineStr">
        <is>
          <t>Threshing</t>
        </is>
      </c>
      <c r="B82" t="n">
        <v>0</v>
      </c>
      <c r="C82" t="n">
        <v>0</v>
      </c>
      <c r="D82" t="n">
        <v>2.5</v>
      </c>
      <c r="F82" s="72">
        <f>B82+C82/20+D82/240</f>
        <v/>
      </c>
      <c r="G82" s="72" t="n"/>
      <c r="H82" t="inlineStr">
        <is>
          <t>1 basket bought for corn 2.5pence</t>
        </is>
      </c>
    </row>
    <row r="83">
      <c r="A83" t="inlineStr">
        <is>
          <t>Threshing</t>
        </is>
      </c>
      <c r="B83" t="n">
        <v>1</v>
      </c>
      <c r="C83" t="n">
        <v>13</v>
      </c>
      <c r="D83" t="n">
        <v>5.75</v>
      </c>
      <c r="F83" s="72" t="n">
        <v>1.67</v>
      </c>
      <c r="H83" t="inlineStr">
        <is>
          <t xml:space="preserve"> Total, £1 13 shilling 5.75pence</t>
        </is>
      </c>
    </row>
    <row r="84">
      <c r="A84" t="inlineStr">
        <is>
          <t>Threshing</t>
        </is>
      </c>
      <c r="F84" s="72">
        <f>SUM(F77:F82)</f>
        <v/>
      </c>
      <c r="G84" s="137">
        <f>F84-F83</f>
        <v/>
      </c>
      <c r="H84" t="inlineStr">
        <is>
          <t>Total</t>
        </is>
      </c>
    </row>
    <row r="85"/>
    <row r="86">
      <c r="A86" t="inlineStr">
        <is>
          <t>Harvest-time</t>
        </is>
      </c>
      <c r="B86" t="n">
        <v>0</v>
      </c>
      <c r="C86" t="n">
        <v>3</v>
      </c>
      <c r="D86" t="n">
        <v>9</v>
      </c>
      <c r="F86" s="72" t="n">
        <v>0.19</v>
      </c>
      <c r="H86" t="inlineStr">
        <is>
          <t>In weeding all the corn over and above that weeded by labour service 3 shilling 9pence.</t>
        </is>
      </c>
    </row>
    <row r="87">
      <c r="A87" t="inlineStr">
        <is>
          <t>Harvest-time</t>
        </is>
      </c>
      <c r="B87" t="n">
        <v>0</v>
      </c>
      <c r="C87" t="n">
        <v>18</v>
      </c>
      <c r="D87" t="n">
        <v>2.5</v>
      </c>
      <c r="F87" s="72" t="n">
        <v>0.91</v>
      </c>
      <c r="H87" t="inlineStr">
        <is>
          <t>herrings bought for 6 boon-works of 590 men having two meals a day and 4 herrings each, and for 7 boon-works of 660 men having 1 meal a day and 2 herrings each, 18 shilling 2.5pence.</t>
        </is>
      </c>
    </row>
    <row r="88">
      <c r="A88" t="inlineStr">
        <is>
          <t>Harvest-time</t>
        </is>
      </c>
      <c r="B88" t="n">
        <v>0</v>
      </c>
      <c r="C88" t="n">
        <v>5</v>
      </c>
      <c r="D88" t="n">
        <v>4</v>
      </c>
      <c r="F88" s="72">
        <f>B88+C88/20+D88/240</f>
        <v/>
      </c>
      <c r="H88" t="inlineStr">
        <is>
          <t xml:space="preserve">expenses of the reeve, hayward and other officials of the curia from Lammas (1 August) until the Decollation of St John the Baptist (29 August), for 4 weeks, 5 shilling 4pence </t>
        </is>
      </c>
    </row>
    <row r="89">
      <c r="A89" t="inlineStr">
        <is>
          <t>Harvest-time</t>
        </is>
      </c>
      <c r="B89" t="n">
        <v>1</v>
      </c>
      <c r="C89" t="n">
        <v>7</v>
      </c>
      <c r="D89" t="n">
        <v>3.5</v>
      </c>
      <c r="F89" s="72" t="n">
        <v>1.35</v>
      </c>
      <c r="H89" t="inlineStr">
        <is>
          <t>Total, £1 7 shilling 3.5 pence</t>
        </is>
      </c>
    </row>
    <row r="90">
      <c r="A90" t="inlineStr">
        <is>
          <t>Harvest-time</t>
        </is>
      </c>
      <c r="F90" s="72">
        <f>SUM(F86:F88)</f>
        <v/>
      </c>
      <c r="G90" s="137">
        <f>F90-F89</f>
        <v/>
      </c>
      <c r="H90" t="inlineStr">
        <is>
          <t>Total</t>
        </is>
      </c>
    </row>
    <row r="91"/>
    <row r="92"/>
    <row r="93">
      <c r="A93" t="inlineStr">
        <is>
          <t>Expenses of the steward</t>
        </is>
      </c>
      <c r="B93" t="n">
        <v>0</v>
      </c>
      <c r="C93" t="n">
        <v>2</v>
      </c>
      <c r="D93" t="n">
        <v>0</v>
      </c>
      <c r="F93" s="72" t="n">
        <v>0.1</v>
      </c>
      <c r="H93" t="inlineStr">
        <is>
          <t>In expenses of the steward for 2 tourns by 1 tally 2 shilling.</t>
        </is>
      </c>
    </row>
    <row r="94">
      <c r="A94" t="inlineStr">
        <is>
          <t>Expenses of the steward</t>
        </is>
      </c>
      <c r="B94" t="n">
        <v>0</v>
      </c>
      <c r="C94" t="n">
        <v>3</v>
      </c>
      <c r="D94" t="n">
        <v>0</v>
      </c>
      <c r="F94" s="72" t="n">
        <v>0.15</v>
      </c>
      <c r="H94" t="inlineStr">
        <is>
          <t>expenses of Roger, bailiff from Michaelmas until Christmas, for his visits 3 shilling.</t>
        </is>
      </c>
    </row>
    <row r="95">
      <c r="A95" t="inlineStr">
        <is>
          <t>Expenses of the steward</t>
        </is>
      </c>
      <c r="B95" t="n">
        <v>0</v>
      </c>
      <c r="C95" t="n">
        <v>5</v>
      </c>
      <c r="D95" t="n">
        <v>3</v>
      </c>
      <c r="F95" s="72" t="n">
        <v>0.26</v>
      </c>
      <c r="H95" t="inlineStr">
        <is>
          <t xml:space="preserve">expenses of Robert, bailiff from Christmas until Michaelmas, for his visits 5 shilling 3pence </t>
        </is>
      </c>
    </row>
    <row r="96">
      <c r="A96" t="inlineStr">
        <is>
          <t>Expenses of the steward</t>
        </is>
      </c>
      <c r="B96" t="n">
        <v>0</v>
      </c>
      <c r="C96" t="n">
        <v>10</v>
      </c>
      <c r="D96" t="n">
        <v>3</v>
      </c>
      <c r="F96" s="72">
        <f>B96+C96/20+D96/240</f>
        <v/>
      </c>
      <c r="H96" t="inlineStr">
        <is>
          <t>Total, 10 shilling 3pence</t>
        </is>
      </c>
    </row>
    <row r="97">
      <c r="A97" t="inlineStr">
        <is>
          <t>Expenses of the steward</t>
        </is>
      </c>
      <c r="F97" s="72" t="n">
        <v>0.51</v>
      </c>
      <c r="G97" s="137">
        <f>F97-F96</f>
        <v/>
      </c>
      <c r="H97" t="inlineStr">
        <is>
          <t>Total</t>
        </is>
      </c>
    </row>
    <row r="98"/>
    <row r="99">
      <c r="A99" t="inlineStr">
        <is>
          <t>Total of all expenses</t>
        </is>
      </c>
      <c r="B99" t="n">
        <v>10</v>
      </c>
      <c r="C99" t="n">
        <v>19</v>
      </c>
      <c r="D99" t="n">
        <v>9</v>
      </c>
      <c r="F99" s="72" t="n">
        <v>10.99</v>
      </c>
      <c r="H99" t="inlineStr">
        <is>
          <t>Total of all expenses, £10 19 shilling 9pence</t>
        </is>
      </c>
    </row>
    <row r="100">
      <c r="A100" t="inlineStr">
        <is>
          <t>Total of all expenses</t>
        </is>
      </c>
      <c r="F100" s="72" t="n">
        <v>10.99</v>
      </c>
      <c r="G100" s="137">
        <f>F100-F99</f>
        <v/>
      </c>
      <c r="H100" t="inlineStr">
        <is>
          <t>Total</t>
        </is>
      </c>
    </row>
    <row r="101"/>
    <row r="102">
      <c r="A102" t="inlineStr">
        <is>
          <t>And he owes</t>
        </is>
      </c>
      <c r="B102" t="n">
        <v>68</v>
      </c>
      <c r="C102" t="n">
        <v>2</v>
      </c>
      <c r="D102" t="n">
        <v>0</v>
      </c>
      <c r="F102" s="72" t="n">
        <v>68.09999999999999</v>
      </c>
      <c r="H102" t="inlineStr">
        <is>
          <t>And he owes, £68 2 shilling</t>
        </is>
      </c>
    </row>
    <row r="103"/>
    <row r="104" ht="15.95" customHeight="1">
      <c r="A104" s="12" t="inlineStr">
        <is>
          <t>Total of all expenses per account</t>
        </is>
      </c>
      <c r="F104" s="72">
        <f>F100</f>
        <v/>
      </c>
    </row>
    <row r="105" ht="15.95" customHeight="1">
      <c r="A105" s="12" t="inlineStr">
        <is>
          <t>Total of all expenses (calculated here)</t>
        </is>
      </c>
      <c r="F105" s="72">
        <f>F97+F90+F84+F75+F60+F51+F35+F20</f>
        <v/>
      </c>
      <c r="G105" s="137">
        <f>F105-F104</f>
        <v/>
      </c>
    </row>
    <row r="106" ht="15.95" customHeight="1">
      <c r="A106" s="12" t="inlineStr">
        <is>
          <t>Total fixed investment</t>
        </is>
      </c>
      <c r="F106" s="72">
        <f>SUM(J3:J83)</f>
        <v/>
      </c>
    </row>
    <row r="107" ht="15.95" customHeight="1">
      <c r="A107" s="12" t="inlineStr">
        <is>
          <t>Total Demesne fixed investment</t>
        </is>
      </c>
      <c r="F107" s="72">
        <f>SUM(K3:K84)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7"/>
  <sheetViews>
    <sheetView topLeftCell="A1" workbookViewId="0">
      <selection activeCell="A1" sqref="A1"/>
    </sheetView>
  </sheetViews>
  <sheetFormatPr baseColWidth="8" defaultRowHeight="15"/>
  <cols>
    <col width="30" customWidth="1" min="1" max="1"/>
    <col width="12.140625" customWidth="1" min="2" max="2"/>
    <col width="19.140625" customWidth="1" min="3" max="3"/>
    <col width="20" customWidth="1" min="4" max="4"/>
    <col width="21.42578125" customWidth="1" min="5" max="5"/>
    <col width="15.85546875" customWidth="1" min="6" max="6"/>
    <col width="18.28515625" customWidth="1" min="7" max="7"/>
    <col width="17" customWidth="1" min="10" max="10"/>
    <col width="19.7109375" customWidth="1" min="11" max="11"/>
    <col width="18.42578125" customWidth="1" min="12" max="12"/>
    <col width="12" customWidth="1" min="13" max="13"/>
    <col width="8.140625" customWidth="1" min="14" max="14"/>
    <col width="16" customWidth="1" min="15" max="15"/>
    <col width="22.28515625" customWidth="1" min="16" max="16"/>
  </cols>
  <sheetData>
    <row r="1" ht="48" customHeight="1">
      <c r="A1" s="37" t="inlineStr">
        <is>
          <t>Gross Output</t>
        </is>
      </c>
      <c r="B1" s="37" t="inlineStr">
        <is>
          <t>Total Quantity</t>
        </is>
      </c>
      <c r="C1" s="37" t="inlineStr">
        <is>
          <t>Account Total Quarters</t>
        </is>
      </c>
      <c r="D1" s="37" t="inlineStr">
        <is>
          <t>Bought in Total Quarters</t>
        </is>
      </c>
      <c r="E1" s="37" t="inlineStr">
        <is>
          <t>Received from churchscot</t>
        </is>
      </c>
      <c r="F1" s="37" t="inlineStr">
        <is>
          <t>Sold Total Quarters</t>
        </is>
      </c>
      <c r="G1" s="138" t="inlineStr">
        <is>
          <t>Difference Produced+Bought-Sold</t>
        </is>
      </c>
      <c r="H1" s="138" t="inlineStr">
        <is>
          <t>Weighted Average Price per Quarter</t>
        </is>
      </c>
      <c r="I1" s="139" t="inlineStr">
        <is>
          <t>Value of Total Production weighted</t>
        </is>
      </c>
    </row>
    <row r="2">
      <c r="A2" t="inlineStr">
        <is>
          <t>wheat</t>
        </is>
      </c>
      <c r="B2" t="n">
        <v>58.125</v>
      </c>
      <c r="C2" t="n">
        <v>58.125</v>
      </c>
      <c r="D2" t="n">
        <v>0</v>
      </c>
      <c r="F2" s="72" t="n">
        <v>42.3125</v>
      </c>
      <c r="G2" s="72">
        <f>B2-F2</f>
        <v/>
      </c>
      <c r="H2" s="72" t="n">
        <v>0.2802487562189055</v>
      </c>
      <c r="I2" s="72">
        <f>H2*B2</f>
        <v/>
      </c>
    </row>
    <row r="3">
      <c r="A3" t="inlineStr">
        <is>
          <t>curall</t>
        </is>
      </c>
      <c r="B3" t="n">
        <v>6.375</v>
      </c>
      <c r="C3" t="n">
        <v>6.375</v>
      </c>
      <c r="D3" t="n">
        <v>0</v>
      </c>
      <c r="F3" s="72" t="n">
        <v>6.375</v>
      </c>
      <c r="G3" s="72">
        <f>B3-F3</f>
        <v/>
      </c>
      <c r="H3" s="72" t="n">
        <v>0.1666666666666667</v>
      </c>
      <c r="I3" s="72">
        <f>H3*B3</f>
        <v/>
      </c>
    </row>
    <row r="4">
      <c r="A4" t="inlineStr">
        <is>
          <t>rye</t>
        </is>
      </c>
      <c r="B4" t="n">
        <v>2.0625</v>
      </c>
      <c r="D4" t="n">
        <v>0</v>
      </c>
      <c r="E4" t="n">
        <v>2.0625</v>
      </c>
      <c r="F4" s="72" t="n"/>
      <c r="G4" s="72">
        <f>B4-F4</f>
        <v/>
      </c>
      <c r="H4" s="72" t="n"/>
      <c r="I4" s="72">
        <f>H4*B4</f>
        <v/>
      </c>
    </row>
    <row r="5">
      <c r="A5" t="inlineStr">
        <is>
          <t>maslin</t>
        </is>
      </c>
      <c r="B5" t="n">
        <v>7.625</v>
      </c>
      <c r="C5" t="n">
        <v>7.625</v>
      </c>
      <c r="D5" t="n">
        <v>0</v>
      </c>
      <c r="F5" s="72" t="n">
        <v>0.5</v>
      </c>
      <c r="G5" s="72">
        <f>B5-F5</f>
        <v/>
      </c>
      <c r="H5" s="72" t="n">
        <v>0.1333333333333333</v>
      </c>
      <c r="I5" s="72">
        <f>H5*B5</f>
        <v/>
      </c>
    </row>
    <row r="6">
      <c r="A6" t="inlineStr">
        <is>
          <t>bere</t>
        </is>
      </c>
      <c r="B6" t="n">
        <v>25.25</v>
      </c>
      <c r="C6" t="n">
        <v>25.25</v>
      </c>
      <c r="D6" t="n">
        <v>0</v>
      </c>
      <c r="F6" s="72" t="n">
        <v>11</v>
      </c>
      <c r="G6" s="72">
        <f>B6-F6</f>
        <v/>
      </c>
      <c r="H6" s="72" t="n">
        <v>0.1666666666666667</v>
      </c>
      <c r="I6" s="72">
        <f>H6*B6</f>
        <v/>
      </c>
    </row>
    <row r="7">
      <c r="A7" t="inlineStr">
        <is>
          <t>barley</t>
        </is>
      </c>
      <c r="B7" t="n">
        <v>93.125</v>
      </c>
      <c r="C7" t="n">
        <v>93.125</v>
      </c>
      <c r="D7" t="n">
        <v>0</v>
      </c>
      <c r="F7" s="72" t="n">
        <v>34.125</v>
      </c>
      <c r="G7" s="72">
        <f>B7-F7</f>
        <v/>
      </c>
      <c r="H7" s="72" t="n">
        <v>0.1901098901098901</v>
      </c>
      <c r="I7" s="72">
        <f>H7*B7</f>
        <v/>
      </c>
    </row>
    <row r="8">
      <c r="A8" t="inlineStr">
        <is>
          <t>oats</t>
        </is>
      </c>
      <c r="B8" t="n">
        <v>108.25</v>
      </c>
      <c r="C8" t="n">
        <v>108.25</v>
      </c>
      <c r="D8" t="n">
        <v>0</v>
      </c>
      <c r="F8" s="72" t="n">
        <v>34.75</v>
      </c>
      <c r="G8" s="72">
        <f>B8-F8</f>
        <v/>
      </c>
      <c r="H8" s="72" t="n">
        <v>0.1196642685851319</v>
      </c>
      <c r="I8" s="72">
        <f>H8*B8</f>
        <v/>
      </c>
    </row>
    <row r="9">
      <c r="A9" t="inlineStr">
        <is>
          <t>peas</t>
        </is>
      </c>
      <c r="B9" t="n">
        <v>11.875</v>
      </c>
      <c r="C9" t="n">
        <v>11.875</v>
      </c>
      <c r="D9" t="n">
        <v>0</v>
      </c>
      <c r="F9" s="72" t="n">
        <v>9.625</v>
      </c>
      <c r="G9" s="72">
        <f>B9-F9</f>
        <v/>
      </c>
      <c r="H9" s="72" t="n">
        <v>0.1077922077922078</v>
      </c>
      <c r="I9" s="72">
        <f>H9*B9</f>
        <v/>
      </c>
    </row>
    <row r="10">
      <c r="A10" t="inlineStr">
        <is>
          <t>vetches</t>
        </is>
      </c>
      <c r="B10" t="n">
        <v>19.875</v>
      </c>
      <c r="C10" t="n">
        <v>19.875</v>
      </c>
      <c r="D10" t="n">
        <v>0</v>
      </c>
      <c r="F10" s="72" t="n">
        <v>14.375</v>
      </c>
      <c r="G10" s="72">
        <f>B10-F10</f>
        <v/>
      </c>
      <c r="H10" s="72" t="n">
        <v>0.06666666666666667</v>
      </c>
      <c r="I10" s="72">
        <f>H10*B10</f>
        <v/>
      </c>
    </row>
    <row r="11"/>
    <row r="12">
      <c r="A12" s="140" t="inlineStr">
        <is>
          <t>Total Production</t>
        </is>
      </c>
    </row>
    <row r="13">
      <c r="A13" s="140" t="inlineStr">
        <is>
          <t>Sales of corn (as recorded in accounts)</t>
        </is>
      </c>
    </row>
    <row r="14">
      <c r="A14" s="140" t="n"/>
    </row>
    <row r="15"/>
    <row r="16" ht="32.1" customHeight="1">
      <c r="A16" s="38" t="inlineStr">
        <is>
          <t>Net output</t>
        </is>
      </c>
      <c r="B16" s="141" t="inlineStr">
        <is>
          <t>Gross output</t>
        </is>
      </c>
      <c r="C16" s="142" t="inlineStr">
        <is>
          <t>Seed quarters</t>
        </is>
      </c>
      <c r="D16" s="142" t="inlineStr">
        <is>
          <t>Seed bushels</t>
        </is>
      </c>
      <c r="E16" s="142" t="inlineStr">
        <is>
          <t>Seed total quarters</t>
        </is>
      </c>
      <c r="F16" s="38" t="inlineStr">
        <is>
          <t>tithe quarters</t>
        </is>
      </c>
      <c r="G16" s="142" t="inlineStr">
        <is>
          <t>tithe bushels</t>
        </is>
      </c>
      <c r="H16" s="142" t="inlineStr">
        <is>
          <t>tithe total</t>
        </is>
      </c>
      <c r="I16" s="142" t="inlineStr">
        <is>
          <t>manorial servants quarters</t>
        </is>
      </c>
      <c r="J16" s="142" t="inlineStr">
        <is>
          <t>manorial servants bushels</t>
        </is>
      </c>
      <c r="K16" s="143" t="inlineStr">
        <is>
          <t>manorial servants total quarters</t>
        </is>
      </c>
      <c r="L16" s="142" t="inlineStr">
        <is>
          <t>output net of tithe, seed, liveries</t>
        </is>
      </c>
      <c r="M16" s="142" t="inlineStr">
        <is>
          <t>in stock from last year</t>
        </is>
      </c>
      <c r="N16" s="144" t="inlineStr">
        <is>
          <t>Price in £</t>
        </is>
      </c>
      <c r="O16" s="144" t="inlineStr">
        <is>
          <t>Value of net output in £</t>
        </is>
      </c>
      <c r="P16" s="141" t="inlineStr">
        <is>
          <t>Value of sales (in "Sale of Corn") in £</t>
        </is>
      </c>
    </row>
    <row r="17">
      <c r="A17" t="inlineStr">
        <is>
          <t>wheat</t>
        </is>
      </c>
      <c r="B17">
        <f>B2</f>
        <v/>
      </c>
      <c r="C17" t="n">
        <v>14.5</v>
      </c>
      <c r="E17">
        <f>C17+D17/8</f>
        <v/>
      </c>
      <c r="J17">
        <f>1+6+2+1.5+0.5+0.5</f>
        <v/>
      </c>
      <c r="K17">
        <f>I17+J17/8</f>
        <v/>
      </c>
      <c r="L17">
        <f>B17-E17-K17</f>
        <v/>
      </c>
      <c r="N17" s="72">
        <f>H2</f>
        <v/>
      </c>
      <c r="O17" s="72">
        <f>N17*L17</f>
        <v/>
      </c>
    </row>
    <row r="18">
      <c r="A18" t="inlineStr">
        <is>
          <t>curall</t>
        </is>
      </c>
      <c r="B18">
        <f>B3</f>
        <v/>
      </c>
      <c r="E18">
        <f>C18+D18/8</f>
        <v/>
      </c>
      <c r="K18">
        <f>I18+J18/8</f>
        <v/>
      </c>
      <c r="L18">
        <f>B18-E18-K18</f>
        <v/>
      </c>
      <c r="N18" s="72">
        <f>H3</f>
        <v/>
      </c>
      <c r="O18" s="72">
        <f>N18*L18</f>
        <v/>
      </c>
    </row>
    <row r="19">
      <c r="A19" t="inlineStr">
        <is>
          <t>rye</t>
        </is>
      </c>
      <c r="B19">
        <f>B4</f>
        <v/>
      </c>
      <c r="E19">
        <f>C19+D19/8</f>
        <v/>
      </c>
      <c r="K19">
        <f>I19+J19/8</f>
        <v/>
      </c>
      <c r="L19">
        <f>B19-E19-K19</f>
        <v/>
      </c>
      <c r="N19" s="72">
        <f>H4</f>
        <v/>
      </c>
      <c r="O19" s="72">
        <f>N19*L19</f>
        <v/>
      </c>
    </row>
    <row r="20">
      <c r="A20" t="inlineStr">
        <is>
          <t>maslin</t>
        </is>
      </c>
      <c r="B20">
        <f>B5</f>
        <v/>
      </c>
      <c r="E20">
        <f>C20+D20/8</f>
        <v/>
      </c>
      <c r="I20" t="n">
        <v>7</v>
      </c>
      <c r="J20" t="n">
        <v>1</v>
      </c>
      <c r="K20">
        <f>I20+J20/8</f>
        <v/>
      </c>
      <c r="L20">
        <f>B20-E20-K20</f>
        <v/>
      </c>
      <c r="N20" s="72">
        <f>H5</f>
        <v/>
      </c>
      <c r="O20" s="72">
        <f>N20*L20</f>
        <v/>
      </c>
    </row>
    <row r="21">
      <c r="A21" t="inlineStr">
        <is>
          <t>bere</t>
        </is>
      </c>
      <c r="B21">
        <f>B6</f>
        <v/>
      </c>
      <c r="C21" t="n">
        <v>5</v>
      </c>
      <c r="D21" t="n">
        <v>2</v>
      </c>
      <c r="E21">
        <f>C21+D21/8</f>
        <v/>
      </c>
      <c r="I21" t="n">
        <v>9</v>
      </c>
      <c r="K21">
        <f>I21+J21/8</f>
        <v/>
      </c>
      <c r="L21">
        <f>B21-E21-K21</f>
        <v/>
      </c>
      <c r="N21" s="72">
        <f>H6</f>
        <v/>
      </c>
      <c r="O21" s="72">
        <f>N21*L21</f>
        <v/>
      </c>
    </row>
    <row r="22">
      <c r="A22" t="inlineStr">
        <is>
          <t>barley</t>
        </is>
      </c>
      <c r="B22">
        <f>B7</f>
        <v/>
      </c>
      <c r="C22" t="n">
        <v>16</v>
      </c>
      <c r="D22" t="n">
        <v>1</v>
      </c>
      <c r="E22">
        <f>C22+D22/8</f>
        <v/>
      </c>
      <c r="I22">
        <f>6+17+4+2+7.5</f>
        <v/>
      </c>
      <c r="J22">
        <f>3+3+2+2</f>
        <v/>
      </c>
      <c r="K22">
        <f>I22+J22/8</f>
        <v/>
      </c>
      <c r="L22">
        <f>B22-E22-K22</f>
        <v/>
      </c>
      <c r="N22" s="72">
        <f>H7</f>
        <v/>
      </c>
      <c r="O22" s="72">
        <f>N22*L22</f>
        <v/>
      </c>
    </row>
    <row r="23">
      <c r="A23" t="inlineStr">
        <is>
          <t>oats</t>
        </is>
      </c>
      <c r="B23">
        <f>B8</f>
        <v/>
      </c>
      <c r="C23" t="n">
        <v>42</v>
      </c>
      <c r="D23" t="n">
        <v>1</v>
      </c>
      <c r="E23">
        <f>C23+D23/8</f>
        <v/>
      </c>
      <c r="I23">
        <f>15.5+14.5</f>
        <v/>
      </c>
      <c r="J23">
        <f>1+3+2+5</f>
        <v/>
      </c>
      <c r="K23">
        <f>I23+J23/8</f>
        <v/>
      </c>
      <c r="L23">
        <f>B23-E23-K23</f>
        <v/>
      </c>
      <c r="N23" s="72">
        <f>H8</f>
        <v/>
      </c>
      <c r="O23" s="72">
        <f>N23*L23</f>
        <v/>
      </c>
    </row>
    <row r="24">
      <c r="A24" t="inlineStr">
        <is>
          <t>peas</t>
        </is>
      </c>
      <c r="B24">
        <f>B9</f>
        <v/>
      </c>
      <c r="C24" t="n">
        <v>2</v>
      </c>
      <c r="D24" t="n">
        <v>2</v>
      </c>
      <c r="E24">
        <f>C24+D24/8</f>
        <v/>
      </c>
      <c r="K24">
        <f>I24+J24/8</f>
        <v/>
      </c>
      <c r="L24">
        <f>B24-E24-K24</f>
        <v/>
      </c>
      <c r="N24" s="72">
        <f>H9</f>
        <v/>
      </c>
      <c r="O24" s="72">
        <f>N24*L24</f>
        <v/>
      </c>
    </row>
    <row r="25">
      <c r="A25" t="inlineStr">
        <is>
          <t>vetches</t>
        </is>
      </c>
      <c r="B25">
        <f>B10</f>
        <v/>
      </c>
      <c r="C25" t="n">
        <v>2</v>
      </c>
      <c r="D25" t="n">
        <v>1</v>
      </c>
      <c r="E25">
        <f>C25+D25/8</f>
        <v/>
      </c>
      <c r="I25" t="n">
        <v>3</v>
      </c>
      <c r="J25" t="n">
        <v>3</v>
      </c>
      <c r="K25">
        <f>I25+J25/8</f>
        <v/>
      </c>
      <c r="L25">
        <f>B25-E25-K25</f>
        <v/>
      </c>
      <c r="N25" s="72">
        <f>H10</f>
        <v/>
      </c>
      <c r="O25" s="72">
        <f>N25*L25</f>
        <v/>
      </c>
    </row>
    <row r="26"/>
    <row r="27">
      <c r="A27"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0"/>
  <sheetViews>
    <sheetView topLeftCell="A1" workbookViewId="0">
      <selection activeCell="A1" sqref="A1"/>
    </sheetView>
  </sheetViews>
  <sheetFormatPr baseColWidth="8" defaultRowHeight="15"/>
  <cols>
    <col width="44.28515625" customWidth="1" min="1" max="1"/>
    <col width="17.28515625" customWidth="1" min="10" max="10"/>
    <col width="13.28515625" customWidth="1" min="14" max="14"/>
    <col width="8.85546875" customWidth="1" min="15" max="15"/>
    <col width="20.7109375" customWidth="1" min="16" max="16"/>
    <col width="18.42578125" customWidth="1" min="17" max="17"/>
    <col width="8.85546875" customWidth="1" min="18" max="18"/>
    <col width="15.140625" customWidth="1" min="19" max="19"/>
    <col width="16.42578125" customWidth="1" min="20" max="20"/>
  </cols>
  <sheetData>
    <row r="1" ht="15.95" customHeight="1">
      <c r="A1" s="12" t="inlineStr">
        <is>
          <t>DROXFORD STOCK ACCOUNT</t>
        </is>
      </c>
    </row>
    <row r="2" ht="15.95" customHeight="1">
      <c r="A2" s="12" t="n"/>
    </row>
    <row r="3">
      <c r="A3" s="44" t="n"/>
      <c r="B3" s="44" t="n"/>
      <c r="C3" s="125" t="inlineStr">
        <is>
          <t>added</t>
        </is>
      </c>
      <c r="G3" s="126" t="inlineStr">
        <is>
          <t>subtracted</t>
        </is>
      </c>
      <c r="K3" s="44" t="n"/>
      <c r="L3" s="44" t="n"/>
      <c r="M3" s="44" t="n"/>
      <c r="N3" s="44" t="n"/>
      <c r="O3" s="73" t="n"/>
      <c r="P3" s="73" t="n"/>
      <c r="Q3" s="44" t="n"/>
      <c r="R3" s="73"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45" t="inlineStr">
        <is>
          <t>Unit price (£)</t>
        </is>
      </c>
      <c r="P4" s="74" t="inlineStr">
        <is>
          <t>Value of stock  (£) at given value</t>
        </is>
      </c>
      <c r="Q4" s="66" t="inlineStr">
        <is>
          <t>Value of stock  (£) at sales prices</t>
        </is>
      </c>
      <c r="R4" s="74" t="inlineStr">
        <is>
          <t>Sales in (£)</t>
        </is>
      </c>
      <c r="S4" s="66" t="inlineStr">
        <is>
          <t>Value of stock building (£)</t>
        </is>
      </c>
      <c r="T4" s="118" t="inlineStr">
        <is>
          <t>Value of production (£) at sales prices</t>
        </is>
      </c>
      <c r="U4" s="29" t="inlineStr">
        <is>
          <t>Details</t>
        </is>
      </c>
    </row>
    <row r="5" ht="15.95" customHeight="1">
      <c r="A5" s="44" t="inlineStr">
        <is>
          <t>Cart-horses</t>
        </is>
      </c>
      <c r="B5" t="n">
        <v>2</v>
      </c>
      <c r="C5">
        <f>1+1</f>
        <v/>
      </c>
      <c r="H5" t="n">
        <v>1</v>
      </c>
      <c r="J5" t="n">
        <v>1</v>
      </c>
      <c r="K5" t="n">
        <v>2</v>
      </c>
      <c r="O5" s="72">
        <f>R5/H5</f>
        <v/>
      </c>
      <c r="R5" s="72">
        <f>Receipts!F75</f>
        <v/>
      </c>
    </row>
    <row r="6" ht="15.95" customHeight="1">
      <c r="A6" s="44" t="inlineStr">
        <is>
          <t>Mares</t>
        </is>
      </c>
    </row>
    <row r="7">
      <c r="A7" t="inlineStr">
        <is>
          <t>Plough horses</t>
        </is>
      </c>
      <c r="B7" t="n">
        <v>4</v>
      </c>
      <c r="C7">
        <f>1+1</f>
        <v/>
      </c>
      <c r="H7" t="n">
        <v>2</v>
      </c>
      <c r="K7" t="n">
        <v>4</v>
      </c>
      <c r="O7" s="72">
        <f>R7/H7</f>
        <v/>
      </c>
      <c r="R7" s="72">
        <f>Receipts!F76</f>
        <v/>
      </c>
    </row>
    <row r="8">
      <c r="A8" t="inlineStr">
        <is>
          <t>Colts (unspecified years)</t>
        </is>
      </c>
    </row>
    <row r="9">
      <c r="A9" t="inlineStr">
        <is>
          <t>Colts (2 years)</t>
        </is>
      </c>
    </row>
    <row r="10">
      <c r="A10" t="inlineStr">
        <is>
          <t>Colts (1 year)</t>
        </is>
      </c>
    </row>
    <row r="11">
      <c r="A11" t="inlineStr">
        <is>
          <t>Foals</t>
        </is>
      </c>
    </row>
    <row r="12">
      <c r="A12" t="inlineStr">
        <is>
          <t>Oxen</t>
        </is>
      </c>
      <c r="B12" t="n">
        <v>17</v>
      </c>
      <c r="C12">
        <f>4+4+1</f>
        <v/>
      </c>
      <c r="H12" t="n">
        <v>1</v>
      </c>
      <c r="I12" t="n">
        <v>1</v>
      </c>
      <c r="K12" t="n">
        <v>24</v>
      </c>
      <c r="O12" s="72">
        <f>R12/H12</f>
        <v/>
      </c>
      <c r="R12" s="72">
        <f>Receipts!F77</f>
        <v/>
      </c>
    </row>
    <row r="13">
      <c r="A13" t="inlineStr">
        <is>
          <t>Bulls</t>
        </is>
      </c>
      <c r="B13" t="n">
        <v>1</v>
      </c>
      <c r="K13" t="n">
        <v>1</v>
      </c>
    </row>
    <row r="14">
      <c r="A14" t="inlineStr">
        <is>
          <t>Cows</t>
        </is>
      </c>
      <c r="B14" t="n">
        <v>21</v>
      </c>
      <c r="C14" t="n">
        <v>2</v>
      </c>
      <c r="H14" t="n">
        <v>4</v>
      </c>
      <c r="K14" t="n">
        <v>19</v>
      </c>
      <c r="O14" s="72">
        <f>R14/H14</f>
        <v/>
      </c>
      <c r="R14" s="72">
        <f>Receipts!F78</f>
        <v/>
      </c>
    </row>
    <row r="15">
      <c r="A15" t="inlineStr">
        <is>
          <t>Steers</t>
        </is>
      </c>
      <c r="B15" t="n">
        <v>6</v>
      </c>
      <c r="J15" t="n">
        <v>6</v>
      </c>
      <c r="K15" t="n">
        <v>0</v>
      </c>
    </row>
    <row r="16">
      <c r="A16" t="inlineStr">
        <is>
          <t>Bullocks</t>
        </is>
      </c>
      <c r="B16" t="n">
        <v>6</v>
      </c>
      <c r="I16" t="n">
        <v>1</v>
      </c>
      <c r="K16" t="n">
        <v>5</v>
      </c>
    </row>
    <row r="17">
      <c r="A17" t="inlineStr">
        <is>
          <t>Yearlings</t>
        </is>
      </c>
      <c r="B17" t="n">
        <v>5</v>
      </c>
      <c r="K17" t="n">
        <v>5</v>
      </c>
    </row>
    <row r="18">
      <c r="A18" t="inlineStr">
        <is>
          <t>Calves</t>
        </is>
      </c>
      <c r="B18" t="n">
        <v>13</v>
      </c>
      <c r="H18" t="n">
        <v>6</v>
      </c>
      <c r="J18" t="n">
        <v>1</v>
      </c>
      <c r="K18" t="n">
        <v>6</v>
      </c>
      <c r="O18" s="72">
        <f>R18/H18</f>
        <v/>
      </c>
      <c r="R18" s="72">
        <f>Receipts!F79</f>
        <v/>
      </c>
    </row>
    <row r="19">
      <c r="A19" t="inlineStr">
        <is>
          <t>Wethers</t>
        </is>
      </c>
      <c r="B19" t="n">
        <v>280</v>
      </c>
      <c r="C19" t="n">
        <v>22</v>
      </c>
      <c r="H19" t="n">
        <v>34</v>
      </c>
      <c r="I19">
        <f>18+13</f>
        <v/>
      </c>
      <c r="K19" t="n">
        <v>243</v>
      </c>
      <c r="O19" s="72">
        <f>R19/H19</f>
        <v/>
      </c>
      <c r="R19" s="72">
        <f>Receipts!F80</f>
        <v/>
      </c>
    </row>
    <row r="20">
      <c r="A20" t="inlineStr">
        <is>
          <t>Rams</t>
        </is>
      </c>
      <c r="B20" t="n">
        <v>10</v>
      </c>
      <c r="K20" t="n">
        <v>10</v>
      </c>
    </row>
    <row r="21">
      <c r="A21" t="inlineStr">
        <is>
          <t>Ewes</t>
        </is>
      </c>
      <c r="B21" t="n">
        <v>380</v>
      </c>
      <c r="C21" t="n">
        <v>34</v>
      </c>
      <c r="H21" t="n">
        <v>40</v>
      </c>
      <c r="I21">
        <f>13+4+5</f>
        <v/>
      </c>
      <c r="J21">
        <f>7</f>
        <v/>
      </c>
      <c r="K21" t="n">
        <v>353</v>
      </c>
      <c r="O21" s="72">
        <f>R21/H21</f>
        <v/>
      </c>
      <c r="R21" s="72">
        <f>Receipts!F81</f>
        <v/>
      </c>
    </row>
    <row r="22">
      <c r="A22" t="inlineStr">
        <is>
          <t>Hoggs</t>
        </is>
      </c>
      <c r="B22" t="n">
        <v>75</v>
      </c>
      <c r="I22">
        <f>19</f>
        <v/>
      </c>
      <c r="J22">
        <f>22+34</f>
        <v/>
      </c>
      <c r="K22" t="n">
        <v>0</v>
      </c>
    </row>
    <row r="23">
      <c r="A23" t="inlineStr">
        <is>
          <t>Lambs</t>
        </is>
      </c>
      <c r="B23" t="n">
        <v>299</v>
      </c>
      <c r="H23" t="n">
        <v>48</v>
      </c>
      <c r="I23">
        <f>29+21+12</f>
        <v/>
      </c>
      <c r="J23">
        <f>27+2</f>
        <v/>
      </c>
      <c r="K23" t="n">
        <v>160</v>
      </c>
      <c r="O23" s="72">
        <f>R23/H23</f>
        <v/>
      </c>
    </row>
    <row r="24">
      <c r="A24" t="inlineStr">
        <is>
          <t>Boars</t>
        </is>
      </c>
    </row>
    <row r="25">
      <c r="A25" t="inlineStr">
        <is>
          <t>Sows</t>
        </is>
      </c>
      <c r="B25" t="n">
        <v>3</v>
      </c>
      <c r="I25" t="n">
        <v>1</v>
      </c>
      <c r="K25" t="n">
        <v>2</v>
      </c>
    </row>
    <row r="26">
      <c r="A26" t="inlineStr">
        <is>
          <t>Pigs</t>
        </is>
      </c>
      <c r="B26" t="n">
        <v>33</v>
      </c>
      <c r="C26">
        <f>20+1</f>
        <v/>
      </c>
      <c r="H26" t="n">
        <v>25</v>
      </c>
      <c r="I26" t="n">
        <v>9</v>
      </c>
      <c r="K26" t="n">
        <v>20</v>
      </c>
      <c r="O26" s="72">
        <f>R26/H26</f>
        <v/>
      </c>
      <c r="R26" s="72">
        <f>Receipts!F82</f>
        <v/>
      </c>
    </row>
    <row r="27">
      <c r="A27" t="inlineStr">
        <is>
          <t>Hoggets</t>
        </is>
      </c>
      <c r="B27" t="n">
        <v>20</v>
      </c>
      <c r="J27" t="n">
        <v>20</v>
      </c>
      <c r="K27" t="n">
        <v>0</v>
      </c>
    </row>
    <row r="28">
      <c r="A28" t="inlineStr">
        <is>
          <t>Piglets</t>
        </is>
      </c>
      <c r="B28" t="n">
        <v>25</v>
      </c>
      <c r="C28" t="n">
        <v>1</v>
      </c>
      <c r="I28" t="n">
        <v>4</v>
      </c>
      <c r="J28" t="n">
        <v>2</v>
      </c>
      <c r="K28" t="n">
        <v>20</v>
      </c>
    </row>
    <row r="29">
      <c r="A29" t="inlineStr">
        <is>
          <t>Swans</t>
        </is>
      </c>
    </row>
    <row r="30">
      <c r="A30" t="inlineStr">
        <is>
          <t>Peacocks</t>
        </is>
      </c>
    </row>
    <row r="31" ht="15.95" customHeight="1">
      <c r="A31" s="67" t="inlineStr">
        <is>
          <t>Total Value</t>
        </is>
      </c>
      <c r="O31" s="146" t="n"/>
      <c r="R31" s="146">
        <f>SUM(R5:R29)</f>
        <v/>
      </c>
    </row>
    <row r="32"/>
    <row r="33"/>
    <row r="34" ht="17.1" customHeight="1">
      <c r="A34" s="66" t="inlineStr">
        <is>
          <t>Wool</t>
        </is>
      </c>
    </row>
    <row r="35">
      <c r="A35" t="inlineStr">
        <is>
          <t>Coarse wool</t>
        </is>
      </c>
      <c r="C35" t="n">
        <v>624</v>
      </c>
      <c r="J35">
        <f>2+622</f>
        <v/>
      </c>
      <c r="K35" t="n">
        <v>0</v>
      </c>
      <c r="O35" s="72" t="n">
        <v>0.02</v>
      </c>
      <c r="T35">
        <f>O35*J35</f>
        <v/>
      </c>
    </row>
    <row r="36">
      <c r="A36" t="inlineStr">
        <is>
          <t>Lamb's wool</t>
        </is>
      </c>
      <c r="C36" t="n">
        <v>172</v>
      </c>
      <c r="J36" t="n">
        <v>172</v>
      </c>
      <c r="K36" t="n">
        <v>0</v>
      </c>
      <c r="O36" s="72" t="n">
        <v>0.01</v>
      </c>
      <c r="T36">
        <f>O36*J36</f>
        <v/>
      </c>
    </row>
    <row r="37">
      <c r="A37" t="inlineStr">
        <is>
          <t>Wool locks</t>
        </is>
      </c>
      <c r="C37" t="n">
        <v>7</v>
      </c>
      <c r="H37" t="n">
        <v>7</v>
      </c>
      <c r="K37" t="n">
        <v>0</v>
      </c>
      <c r="O37" s="72" t="n">
        <v>0.04375</v>
      </c>
      <c r="T37" s="72">
        <f>O37*H37</f>
        <v/>
      </c>
      <c r="U37" t="inlineStr">
        <is>
          <t>measured in cloves</t>
        </is>
      </c>
    </row>
    <row r="38">
      <c r="A38" t="inlineStr">
        <is>
          <t>Wool sold at shearing</t>
        </is>
      </c>
    </row>
    <row r="39" ht="15.95" customHeight="1">
      <c r="A39" s="67" t="inlineStr">
        <is>
          <t>Total wool</t>
        </is>
      </c>
      <c r="O39" s="146" t="n"/>
      <c r="R39" s="146" t="n"/>
      <c r="T39" s="146">
        <f>SUM(T35:T38)</f>
        <v/>
      </c>
    </row>
    <row r="40"/>
    <row r="41"/>
    <row r="42" ht="17.1" customHeight="1">
      <c r="A42" s="66" t="inlineStr">
        <is>
          <t>Hides</t>
        </is>
      </c>
    </row>
    <row r="43">
      <c r="A43" t="inlineStr">
        <is>
          <t>Ox hides</t>
        </is>
      </c>
      <c r="C43" t="n">
        <v>1</v>
      </c>
      <c r="H43" t="n">
        <v>1</v>
      </c>
      <c r="K43" t="n">
        <v>0</v>
      </c>
      <c r="O43" s="72">
        <f>R43/H43</f>
        <v/>
      </c>
      <c r="R43" s="72">
        <f>Receipts!F91</f>
        <v/>
      </c>
      <c r="T43">
        <f>O43*C43</f>
        <v/>
      </c>
    </row>
    <row r="44">
      <c r="A44" t="inlineStr">
        <is>
          <t>bullock</t>
        </is>
      </c>
      <c r="C44" t="n">
        <v>1</v>
      </c>
      <c r="H44" t="n">
        <v>1</v>
      </c>
      <c r="K44" t="n">
        <v>0</v>
      </c>
      <c r="O44" s="72">
        <f>R44/H44</f>
        <v/>
      </c>
      <c r="R44" s="72">
        <f>Receipts!F92</f>
        <v/>
      </c>
      <c r="T44">
        <f>O44*C44</f>
        <v/>
      </c>
    </row>
    <row r="45">
      <c r="A45" t="inlineStr">
        <is>
          <t>Mare</t>
        </is>
      </c>
      <c r="T45">
        <f>O45*C45</f>
        <v/>
      </c>
    </row>
    <row r="46">
      <c r="A46" t="inlineStr">
        <is>
          <t>Steer</t>
        </is>
      </c>
      <c r="T46">
        <f>O46*C46</f>
        <v/>
      </c>
    </row>
    <row r="47">
      <c r="A47" t="inlineStr">
        <is>
          <t>calves</t>
        </is>
      </c>
      <c r="T47">
        <f>O47*C47</f>
        <v/>
      </c>
    </row>
    <row r="48">
      <c r="A48" s="68" t="inlineStr">
        <is>
          <t>pigs</t>
        </is>
      </c>
      <c r="T48">
        <f>O48*C48</f>
        <v/>
      </c>
    </row>
    <row r="49">
      <c r="A49" t="inlineStr">
        <is>
          <t>Woolskins</t>
        </is>
      </c>
      <c r="T49">
        <f>O49*C49</f>
        <v/>
      </c>
    </row>
    <row r="50">
      <c r="A50" s="28" t="inlineStr">
        <is>
          <t>wethers</t>
        </is>
      </c>
      <c r="C50" t="n">
        <v>18</v>
      </c>
      <c r="T50">
        <f>O50*C50</f>
        <v/>
      </c>
    </row>
    <row r="51">
      <c r="A51" s="28" t="inlineStr">
        <is>
          <t>rams</t>
        </is>
      </c>
      <c r="T51">
        <f>O51*C51</f>
        <v/>
      </c>
    </row>
    <row r="52">
      <c r="A52" s="28" t="inlineStr">
        <is>
          <t>ewes</t>
        </is>
      </c>
      <c r="C52" t="n">
        <v>17</v>
      </c>
      <c r="T52">
        <f>O52*C52</f>
        <v/>
      </c>
    </row>
    <row r="53">
      <c r="A53" s="28" t="inlineStr">
        <is>
          <t>hoggs</t>
        </is>
      </c>
      <c r="C53" t="n">
        <v>19</v>
      </c>
      <c r="T53">
        <f>O53*C53</f>
        <v/>
      </c>
    </row>
    <row r="54">
      <c r="A54" s="69" t="inlineStr">
        <is>
          <t>Woolskins</t>
        </is>
      </c>
      <c r="C54">
        <f>SUM(C50:C53)</f>
        <v/>
      </c>
      <c r="H54" t="n">
        <v>54</v>
      </c>
      <c r="K54" t="n">
        <v>0</v>
      </c>
      <c r="O54" s="72">
        <f>R54/H54</f>
        <v/>
      </c>
      <c r="R54" s="72">
        <f>Receipts!F86</f>
        <v/>
      </c>
      <c r="T54">
        <f>O54*C54</f>
        <v/>
      </c>
    </row>
    <row r="55">
      <c r="A55" s="43" t="inlineStr">
        <is>
          <t>Bareskins</t>
        </is>
      </c>
      <c r="T55">
        <f>O55*C55</f>
        <v/>
      </c>
    </row>
    <row r="56">
      <c r="A56" s="28" t="inlineStr">
        <is>
          <t>wethers</t>
        </is>
      </c>
      <c r="C56" t="n">
        <v>13</v>
      </c>
      <c r="H56" t="n">
        <v>13</v>
      </c>
      <c r="O56" s="72">
        <f>R56/H56</f>
        <v/>
      </c>
      <c r="R56" s="72">
        <f>Receipts!F87</f>
        <v/>
      </c>
      <c r="T56">
        <f>O56*C56</f>
        <v/>
      </c>
    </row>
    <row r="57">
      <c r="A57" s="28" t="inlineStr">
        <is>
          <t>rams</t>
        </is>
      </c>
      <c r="T57">
        <f>O57*C57</f>
        <v/>
      </c>
    </row>
    <row r="58">
      <c r="A58" s="28" t="inlineStr">
        <is>
          <t>ewes</t>
        </is>
      </c>
      <c r="C58" t="n">
        <v>5</v>
      </c>
      <c r="H58" t="n">
        <v>5</v>
      </c>
      <c r="O58" s="72">
        <f>R58/H58</f>
        <v/>
      </c>
      <c r="R58" s="72">
        <f>R56</f>
        <v/>
      </c>
      <c r="T58">
        <f>O58*C58</f>
        <v/>
      </c>
    </row>
    <row r="59">
      <c r="A59" s="28" t="inlineStr">
        <is>
          <t>hoggs</t>
        </is>
      </c>
      <c r="T59">
        <f>O59*C59</f>
        <v/>
      </c>
    </row>
    <row r="60">
      <c r="A60" s="69" t="inlineStr">
        <is>
          <t>Bareskins (total)</t>
        </is>
      </c>
      <c r="C60">
        <f>SUM(C56:C59)</f>
        <v/>
      </c>
      <c r="H60" t="n">
        <v>18</v>
      </c>
      <c r="K60" t="n">
        <v>0</v>
      </c>
      <c r="O60" s="72">
        <f>R60/H60</f>
        <v/>
      </c>
      <c r="T60">
        <f>O60*C60</f>
        <v/>
      </c>
    </row>
    <row r="61">
      <c r="A61" t="inlineStr">
        <is>
          <t>Lambskins</t>
        </is>
      </c>
      <c r="C61">
        <f>29+21+12</f>
        <v/>
      </c>
      <c r="H61" t="n">
        <v>59</v>
      </c>
      <c r="J61" t="n">
        <v>3</v>
      </c>
      <c r="K61" t="n">
        <v>0</v>
      </c>
      <c r="O61" s="72">
        <f>R61/H61</f>
        <v/>
      </c>
      <c r="R61" s="72">
        <f>SUM(Receipts!F88:F90)</f>
        <v/>
      </c>
      <c r="T61" s="72">
        <f>O61*C61</f>
        <v/>
      </c>
    </row>
    <row r="62">
      <c r="A62" t="inlineStr">
        <is>
          <t>Rotted skins</t>
        </is>
      </c>
    </row>
    <row r="63">
      <c r="A63" t="inlineStr">
        <is>
          <t>Shorn skins</t>
        </is>
      </c>
    </row>
    <row r="64">
      <c r="A64" s="39" t="inlineStr">
        <is>
          <t xml:space="preserve">Total </t>
        </is>
      </c>
      <c r="O64" s="146" t="n"/>
      <c r="R64" s="146">
        <f>SUM(R43:R63)</f>
        <v/>
      </c>
      <c r="T64" s="146">
        <f>SUM(T43:T62)</f>
        <v/>
      </c>
    </row>
    <row r="65"/>
    <row r="66"/>
    <row r="67" ht="17.1" customHeight="1">
      <c r="A67" s="66" t="inlineStr">
        <is>
          <t>Poultry stock</t>
        </is>
      </c>
    </row>
    <row r="68" ht="15.95" customHeight="1">
      <c r="A68" s="44" t="inlineStr">
        <is>
          <t>Hens</t>
        </is>
      </c>
    </row>
    <row r="69">
      <c r="A69" t="inlineStr">
        <is>
          <t>Geese</t>
        </is>
      </c>
      <c r="C69" t="n">
        <v>18</v>
      </c>
      <c r="H69" t="n">
        <v>18</v>
      </c>
      <c r="K69" t="n">
        <v>0</v>
      </c>
      <c r="O69" s="72">
        <f>R69/H69</f>
        <v/>
      </c>
      <c r="R69" s="72">
        <f>Receipts!F59</f>
        <v/>
      </c>
      <c r="T69">
        <f>O69*C69</f>
        <v/>
      </c>
    </row>
    <row r="70">
      <c r="A70" t="inlineStr">
        <is>
          <t>Capons (from chickens)</t>
        </is>
      </c>
    </row>
    <row r="71">
      <c r="A71" t="inlineStr">
        <is>
          <t>Cocks &amp; hens</t>
        </is>
      </c>
    </row>
    <row r="72">
      <c r="A72" s="39" t="inlineStr">
        <is>
          <t>Total poultry stock</t>
        </is>
      </c>
      <c r="O72" s="146" t="n"/>
      <c r="R72" s="146">
        <f>SUM(R69:R71)</f>
        <v/>
      </c>
      <c r="T72" s="39">
        <f>SUM(T69:T71)</f>
        <v/>
      </c>
    </row>
    <row r="73">
      <c r="A73" s="71" t="inlineStr">
        <is>
          <t>Total poultry excluding churchscot</t>
        </is>
      </c>
    </row>
    <row r="74"/>
    <row r="75" ht="15.95" customHeight="1">
      <c r="A75" s="12" t="inlineStr">
        <is>
          <t>Poultry production</t>
        </is>
      </c>
    </row>
    <row r="76">
      <c r="A76" t="inlineStr">
        <is>
          <t>Eggs</t>
        </is>
      </c>
      <c r="C76" t="n">
        <v>1050</v>
      </c>
      <c r="H76" t="n">
        <v>1050</v>
      </c>
      <c r="O76" s="72">
        <f>R76/H76</f>
        <v/>
      </c>
      <c r="R76" s="72">
        <f>Receipts!F61</f>
        <v/>
      </c>
      <c r="T76" s="72">
        <f>O76*C76</f>
        <v/>
      </c>
    </row>
    <row r="77">
      <c r="A77" t="inlineStr">
        <is>
          <t>Cocks &amp; hens from churchscot of customary tenants</t>
        </is>
      </c>
      <c r="C77" t="n">
        <v>24</v>
      </c>
      <c r="F77" t="n">
        <v>22</v>
      </c>
      <c r="H77" t="n">
        <v>46</v>
      </c>
      <c r="K77" t="n">
        <v>0</v>
      </c>
      <c r="O77" s="72">
        <f>R77/H77</f>
        <v/>
      </c>
      <c r="R77" s="72">
        <f>Receipts!F60</f>
        <v/>
      </c>
      <c r="T77" s="72">
        <f>O77*(C77+F77)</f>
        <v/>
      </c>
    </row>
    <row r="78">
      <c r="A78" t="inlineStr">
        <is>
          <t>Sum of above</t>
        </is>
      </c>
      <c r="T78" s="72" t="n"/>
    </row>
    <row r="79">
      <c r="A79" s="39" t="inlineStr">
        <is>
          <t>Total</t>
        </is>
      </c>
      <c r="O79" s="146" t="n"/>
      <c r="R79" s="146">
        <f>SUM(R76:R78)</f>
        <v/>
      </c>
      <c r="T79" s="146">
        <f>SUM(T76:T77)</f>
        <v/>
      </c>
    </row>
    <row r="80"/>
    <row r="81"/>
    <row r="82" ht="15.95" customHeight="1">
      <c r="A82" s="12" t="inlineStr">
        <is>
          <t>Meat</t>
        </is>
      </c>
    </row>
    <row r="83">
      <c r="A83" t="inlineStr">
        <is>
          <t>Beef</t>
        </is>
      </c>
    </row>
    <row r="84">
      <c r="A84" t="inlineStr">
        <is>
          <t>Mutton</t>
        </is>
      </c>
    </row>
    <row r="85">
      <c r="A85" t="inlineStr">
        <is>
          <t>Pork</t>
        </is>
      </c>
    </row>
    <row r="86" ht="15.95" customHeight="1">
      <c r="A86" s="57" t="inlineStr">
        <is>
          <t xml:space="preserve">Total </t>
        </is>
      </c>
    </row>
    <row r="87"/>
    <row r="88" ht="15.95" customHeight="1">
      <c r="A88" s="12" t="inlineStr">
        <is>
          <t>Cheese</t>
        </is>
      </c>
    </row>
    <row r="89">
      <c r="A89" t="inlineStr">
        <is>
          <t>Winter cheese</t>
        </is>
      </c>
      <c r="C89" t="n">
        <v>39</v>
      </c>
      <c r="H89" t="n">
        <v>39</v>
      </c>
      <c r="O89" s="72">
        <f>R89/H89</f>
        <v/>
      </c>
      <c r="R89" s="72">
        <f>Receipts!F94</f>
        <v/>
      </c>
      <c r="T89" s="72">
        <f>O89*C89</f>
        <v/>
      </c>
    </row>
    <row r="90">
      <c r="A90" t="inlineStr">
        <is>
          <t>Summer cheese</t>
        </is>
      </c>
      <c r="C90" t="n">
        <v>160</v>
      </c>
      <c r="H90" t="n">
        <v>139</v>
      </c>
      <c r="J90">
        <f>16+1+2+2</f>
        <v/>
      </c>
      <c r="O90" s="72">
        <f>R90/H90</f>
        <v/>
      </c>
      <c r="R90" s="72">
        <f>Receipts!F95</f>
        <v/>
      </c>
      <c r="T90" s="72">
        <f>O90*C90</f>
        <v/>
      </c>
    </row>
    <row r="91" ht="15.95" customHeight="1">
      <c r="A91" s="67" t="inlineStr">
        <is>
          <t>Total</t>
        </is>
      </c>
      <c r="O91" s="146" t="n"/>
      <c r="R91" s="146">
        <f>SUM(R89:R90)</f>
        <v/>
      </c>
      <c r="T91" s="146">
        <f>SUM(T89:T90)</f>
        <v/>
      </c>
    </row>
    <row r="92"/>
    <row r="93" ht="15.95" customHeight="1">
      <c r="A93" s="12" t="inlineStr">
        <is>
          <t>Butter</t>
        </is>
      </c>
    </row>
    <row r="94">
      <c r="A94" t="inlineStr">
        <is>
          <t>Butter</t>
        </is>
      </c>
      <c r="C94" t="inlineStr">
        <is>
          <t>0.5 wey 1 clove</t>
        </is>
      </c>
      <c r="H94" t="inlineStr">
        <is>
          <t>0.5 wey 1 clove</t>
        </is>
      </c>
      <c r="R94" s="72">
        <f>Receipts!F96</f>
        <v/>
      </c>
      <c r="T94" s="72">
        <f>R94</f>
        <v/>
      </c>
    </row>
    <row r="95" ht="15.95" customHeight="1">
      <c r="A95" s="67" t="inlineStr">
        <is>
          <t>Total</t>
        </is>
      </c>
      <c r="O95" s="146" t="n"/>
      <c r="R95" s="146">
        <f>SUM(R94)</f>
        <v/>
      </c>
      <c r="T95" s="146">
        <f>T94</f>
        <v/>
      </c>
    </row>
    <row r="96" ht="15.95" customHeight="1">
      <c r="A96" s="13" t="n"/>
    </row>
    <row r="97" ht="15.95" customHeight="1">
      <c r="A97" s="57" t="inlineStr">
        <is>
          <t>Total Dairy Sales</t>
        </is>
      </c>
    </row>
    <row r="98"/>
    <row r="99"/>
    <row r="100" ht="15.95" customHeight="1">
      <c r="A100" s="12" t="inlineStr">
        <is>
          <t>Cider</t>
        </is>
      </c>
    </row>
    <row r="101">
      <c r="A101" t="inlineStr">
        <is>
          <t>Cider</t>
        </is>
      </c>
      <c r="B101" t="n">
        <v>2</v>
      </c>
      <c r="C101" t="n">
        <v>7</v>
      </c>
      <c r="H101" t="n">
        <v>2</v>
      </c>
      <c r="K101" t="n">
        <v>7</v>
      </c>
      <c r="R101" s="72">
        <f>Receipts!F93</f>
        <v/>
      </c>
      <c r="T101" s="72">
        <f>R101</f>
        <v/>
      </c>
    </row>
    <row r="102">
      <c r="A102" s="39" t="inlineStr">
        <is>
          <t>Total</t>
        </is>
      </c>
      <c r="O102" s="146" t="n"/>
      <c r="R102" s="146">
        <f>SUM(R101)</f>
        <v/>
      </c>
      <c r="T102" s="146">
        <f>T101</f>
        <v/>
      </c>
    </row>
    <row r="103"/>
    <row r="104" ht="15.95" customHeight="1">
      <c r="A104" s="13" t="inlineStr">
        <is>
          <t>Additional Information (not necessarily useful)</t>
        </is>
      </c>
    </row>
    <row r="105" ht="15.95" customHeight="1">
      <c r="A105" s="12" t="inlineStr">
        <is>
          <t>Utensils</t>
        </is>
      </c>
    </row>
    <row r="106">
      <c r="A106" t="inlineStr">
        <is>
          <t>ploughs</t>
        </is>
      </c>
    </row>
    <row r="107">
      <c r="A107" t="inlineStr">
        <is>
          <t>carts</t>
        </is>
      </c>
    </row>
    <row r="108">
      <c r="A108" t="inlineStr">
        <is>
          <t>cart-ropes</t>
        </is>
      </c>
    </row>
    <row r="109">
      <c r="A109" t="inlineStr">
        <is>
          <t>corn baskets</t>
        </is>
      </c>
    </row>
    <row r="110">
      <c r="A110" t="inlineStr">
        <is>
          <t>seed-sacks</t>
        </is>
      </c>
    </row>
    <row r="111">
      <c r="A111" t="inlineStr">
        <is>
          <t>seed basket</t>
        </is>
      </c>
    </row>
    <row r="112">
      <c r="A112" t="inlineStr">
        <is>
          <t>locks for the doors</t>
        </is>
      </c>
    </row>
    <row r="113">
      <c r="A113" t="inlineStr">
        <is>
          <t>lead vessel</t>
        </is>
      </c>
    </row>
    <row r="114">
      <c r="A114" t="inlineStr">
        <is>
          <t>brass pots</t>
        </is>
      </c>
    </row>
    <row r="115">
      <c r="A115" t="inlineStr">
        <is>
          <t>pans</t>
        </is>
      </c>
    </row>
    <row r="116">
      <c r="A116" t="inlineStr">
        <is>
          <t>tripods</t>
        </is>
      </c>
    </row>
    <row r="117">
      <c r="A117" t="inlineStr">
        <is>
          <t>mortar</t>
        </is>
      </c>
    </row>
    <row r="118">
      <c r="A118" t="inlineStr">
        <is>
          <t>axe</t>
        </is>
      </c>
    </row>
    <row r="119">
      <c r="A119" t="inlineStr">
        <is>
          <t>casks</t>
        </is>
      </c>
    </row>
    <row r="120">
      <c r="A120" t="inlineStr">
        <is>
          <t>tubs</t>
        </is>
      </c>
    </row>
    <row r="121">
      <c r="A121" t="inlineStr">
        <is>
          <t>troughs</t>
        </is>
      </c>
    </row>
    <row r="122">
      <c r="A122" t="inlineStr">
        <is>
          <t>bucket</t>
        </is>
      </c>
    </row>
    <row r="123">
      <c r="A123" t="inlineStr">
        <is>
          <t>cheese basket</t>
        </is>
      </c>
    </row>
    <row r="124">
      <c r="A124" t="inlineStr">
        <is>
          <t>tables</t>
        </is>
      </c>
    </row>
    <row r="125">
      <c r="A125" t="inlineStr">
        <is>
          <t>table with trestles</t>
        </is>
      </c>
    </row>
    <row r="126">
      <c r="A126" t="inlineStr">
        <is>
          <t>benches</t>
        </is>
      </c>
    </row>
    <row r="127">
      <c r="A127" t="inlineStr">
        <is>
          <t>ewer with a basin</t>
        </is>
      </c>
    </row>
    <row r="128">
      <c r="A128" t="inlineStr">
        <is>
          <t>ladders</t>
        </is>
      </c>
    </row>
    <row r="129">
      <c r="A129" t="inlineStr">
        <is>
          <t>cloth</t>
        </is>
      </c>
    </row>
    <row r="130">
      <c r="A130"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J252"/>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Arrears</t>
        </is>
      </c>
      <c r="B2" t="inlineStr">
        <is>
          <t>Robert de Froyle, bailiff, and William ate Hatth', reeve, render account for £25 18 shilling 9.75pence of arrears from the previous year.</t>
        </is>
      </c>
      <c r="C2" t="n">
        <v>25.94</v>
      </c>
      <c r="D2" t="n">
        <v>25</v>
      </c>
      <c r="E2" t="n">
        <v>18</v>
      </c>
      <c r="F2" t="n">
        <v>9.75</v>
      </c>
      <c r="H2" t="n">
        <v>0</v>
      </c>
      <c r="I2" t="n">
        <v>0</v>
      </c>
      <c r="J2" t="n">
        <v>0</v>
      </c>
      <c r="K2" t="n">
        <v>0</v>
      </c>
      <c r="L2" t="n">
        <v>0</v>
      </c>
      <c r="M2" t="n">
        <v>0</v>
      </c>
      <c r="N2" t="n">
        <v>0</v>
      </c>
    </row>
    <row r="3">
      <c r="A3" t="inlineStr">
        <is>
          <t>Arrears</t>
        </is>
      </c>
      <c r="B3" t="inlineStr">
        <is>
          <t>All delivered to Sir Geoffrey, treasurer of Wolvesey, by 1 tally.</t>
        </is>
      </c>
      <c r="C3" t="n">
        <v>0</v>
      </c>
      <c r="D3" t="n">
        <v>0</v>
      </c>
      <c r="E3" t="n">
        <v>0</v>
      </c>
      <c r="F3" t="n">
        <v>0</v>
      </c>
      <c r="H3" t="n">
        <v>0</v>
      </c>
      <c r="I3" t="n">
        <v>0</v>
      </c>
      <c r="J3" t="n">
        <v>0</v>
      </c>
      <c r="K3" t="n">
        <v>0</v>
      </c>
      <c r="L3" t="n">
        <v>0</v>
      </c>
      <c r="M3" t="n">
        <v>0</v>
      </c>
      <c r="N3" t="n">
        <v>0</v>
      </c>
    </row>
    <row r="4">
      <c r="A4" t="inlineStr">
        <is>
          <t>Arrears</t>
        </is>
      </c>
      <c r="B4" t="inlineStr">
        <is>
          <t>They are quit.</t>
        </is>
      </c>
      <c r="C4" t="n">
        <v>0</v>
      </c>
      <c r="D4" t="n">
        <v>0</v>
      </c>
      <c r="E4" t="n">
        <v>0</v>
      </c>
      <c r="F4" t="n">
        <v>0</v>
      </c>
      <c r="H4" t="n">
        <v>0</v>
      </c>
      <c r="I4" t="n">
        <v>0</v>
      </c>
      <c r="J4" t="n">
        <v>0</v>
      </c>
      <c r="K4" t="n">
        <v>0</v>
      </c>
      <c r="L4" t="n">
        <v>0</v>
      </c>
      <c r="M4" t="n">
        <v>0</v>
      </c>
      <c r="N4" t="n">
        <v>0</v>
      </c>
    </row>
    <row r="5">
      <c r="A5" t="inlineStr">
        <is>
          <t>Rents of assize</t>
        </is>
      </c>
      <c r="B5" t="inlineStr">
        <is>
          <t>The same render account for £2 18 shilling 5pence from ox-gavel (oxeye) at the feast of St Thomas the Apostle (21 December).</t>
        </is>
      </c>
      <c r="C5" t="n">
        <v>2.92</v>
      </c>
      <c r="D5" t="n">
        <v>2</v>
      </c>
      <c r="E5" t="n">
        <v>18</v>
      </c>
      <c r="F5" t="n">
        <v>5</v>
      </c>
      <c r="H5" t="n">
        <v>0</v>
      </c>
      <c r="I5" t="n">
        <v>0</v>
      </c>
      <c r="J5" t="n">
        <v>0</v>
      </c>
      <c r="K5" t="n">
        <v>0</v>
      </c>
      <c r="L5" t="n">
        <v>0</v>
      </c>
      <c r="M5" t="n">
        <v>0</v>
      </c>
      <c r="N5" t="n">
        <v>0</v>
      </c>
    </row>
    <row r="6">
      <c r="A6" t="inlineStr">
        <is>
          <t>Rents of assize</t>
        </is>
      </c>
      <c r="B6" t="inlineStr">
        <is>
          <t>17 shilling 10.5pence from wood-gavel (wodegavel) at Lammas (1 August).</t>
        </is>
      </c>
      <c r="C6" t="n">
        <v>0.89</v>
      </c>
      <c r="D6" t="n">
        <v>0</v>
      </c>
      <c r="E6" t="n">
        <v>17</v>
      </c>
      <c r="F6" t="n">
        <v>10.5</v>
      </c>
      <c r="H6" t="n">
        <v>0</v>
      </c>
      <c r="I6" t="n">
        <v>0</v>
      </c>
      <c r="J6" t="n">
        <v>0</v>
      </c>
      <c r="K6" t="n">
        <v>0</v>
      </c>
      <c r="L6" t="n">
        <v>0</v>
      </c>
      <c r="M6" t="n">
        <v>0</v>
      </c>
      <c r="N6" t="n">
        <v>0</v>
      </c>
    </row>
    <row r="7">
      <c r="A7" t="inlineStr">
        <is>
          <t>Rents of assize</t>
        </is>
      </c>
      <c r="B7" t="inlineStr">
        <is>
          <t>£20 19 shilling 3.5pence for rents of assize at Michaelmas (29 September).</t>
        </is>
      </c>
      <c r="C7" t="n">
        <v>20.96</v>
      </c>
      <c r="D7" t="n">
        <v>20</v>
      </c>
      <c r="E7" t="n">
        <v>19</v>
      </c>
      <c r="F7" t="n">
        <v>3.5</v>
      </c>
      <c r="H7" t="n">
        <v>0</v>
      </c>
      <c r="I7" t="n">
        <v>0</v>
      </c>
      <c r="J7" t="n">
        <v>0</v>
      </c>
      <c r="K7" t="n">
        <v>0</v>
      </c>
      <c r="L7" t="n">
        <v>0</v>
      </c>
      <c r="M7" t="n">
        <v>0</v>
      </c>
      <c r="N7" t="n">
        <v>0</v>
      </c>
    </row>
    <row r="8">
      <c r="A8" t="inlineStr">
        <is>
          <t>Rents of assize</t>
        </is>
      </c>
      <c r="B8" t="inlineStr">
        <is>
          <t>Total, £24 15 shilling 7.5pence</t>
        </is>
      </c>
      <c r="C8" t="n">
        <v>24.78</v>
      </c>
      <c r="D8" t="n">
        <v>24</v>
      </c>
      <c r="E8" t="n">
        <v>15</v>
      </c>
      <c r="F8" t="n">
        <v>7.5</v>
      </c>
      <c r="H8" t="n">
        <v>0</v>
      </c>
      <c r="I8" t="n">
        <v>0</v>
      </c>
      <c r="J8" t="n">
        <v>0</v>
      </c>
      <c r="K8" t="n">
        <v>0</v>
      </c>
      <c r="L8" t="n">
        <v>0</v>
      </c>
      <c r="M8" t="n">
        <v>0</v>
      </c>
      <c r="N8" t="n">
        <v>0</v>
      </c>
    </row>
    <row r="9">
      <c r="A9" t="inlineStr">
        <is>
          <t>Quittances</t>
        </is>
      </c>
      <c r="B9" t="inlineStr">
        <is>
          <t>In quittance of 3 ploughmen, 2 shepherds and 1 smith for the year 7 shilling 6pence, or 1 shilling 3pence each.</t>
        </is>
      </c>
      <c r="C9" t="n">
        <v>0.38</v>
      </c>
      <c r="D9" t="n">
        <v>0</v>
      </c>
      <c r="E9" t="n">
        <v>7</v>
      </c>
      <c r="F9" t="n">
        <v>6</v>
      </c>
      <c r="H9" t="n">
        <v>0</v>
      </c>
      <c r="I9" t="n">
        <v>0</v>
      </c>
      <c r="J9" t="n">
        <v>0</v>
      </c>
      <c r="K9" t="n">
        <v>0</v>
      </c>
      <c r="L9" t="n">
        <v>0</v>
      </c>
      <c r="M9" t="n">
        <v>0</v>
      </c>
      <c r="N9" t="n">
        <v>0</v>
      </c>
    </row>
    <row r="10">
      <c r="A10" t="inlineStr">
        <is>
          <t>Quittances</t>
        </is>
      </c>
      <c r="B10" t="inlineStr">
        <is>
          <t>the same for ox-gavel 6pence.</t>
        </is>
      </c>
      <c r="C10" t="n">
        <v>0.03</v>
      </c>
      <c r="D10" t="n">
        <v>0</v>
      </c>
      <c r="E10" t="n">
        <v>0</v>
      </c>
      <c r="F10" t="n">
        <v>6</v>
      </c>
      <c r="H10" t="n">
        <v>0</v>
      </c>
      <c r="I10" t="n">
        <v>0</v>
      </c>
      <c r="J10" t="n">
        <v>0</v>
      </c>
      <c r="K10" t="n">
        <v>0</v>
      </c>
      <c r="L10" t="n">
        <v>0</v>
      </c>
      <c r="M10" t="n">
        <v>0</v>
      </c>
      <c r="N10" t="n">
        <v>0</v>
      </c>
    </row>
    <row r="11">
      <c r="A11" t="inlineStr">
        <is>
          <t>Quittances</t>
        </is>
      </c>
      <c r="B11" t="inlineStr">
        <is>
          <t>1 keeper of lambs from the Nativity of St John the Baptist to Michaelmas, for 1 term, 3.75pence Total, 8 shilling 3.75pence</t>
        </is>
      </c>
      <c r="C11" t="n">
        <v>0.42</v>
      </c>
      <c r="D11" t="n">
        <v>0</v>
      </c>
      <c r="E11" t="n">
        <v>8</v>
      </c>
      <c r="F11" t="n">
        <v>3.75</v>
      </c>
      <c r="H11" t="n">
        <v>0</v>
      </c>
      <c r="I11" t="n">
        <v>0</v>
      </c>
      <c r="J11" t="n">
        <v>0</v>
      </c>
      <c r="K11" t="n">
        <v>0</v>
      </c>
      <c r="L11" t="n">
        <v>0</v>
      </c>
      <c r="M11" t="n">
        <v>0</v>
      </c>
      <c r="N11" t="n">
        <v>0</v>
      </c>
    </row>
    <row r="12">
      <c r="A12" t="inlineStr">
        <is>
          <t>Defaults of rent</t>
        </is>
      </c>
      <c r="B12" t="inlineStr">
        <is>
          <t>In default of the land of William de Swanemere for ox-gavel because he is made free 7pence.</t>
        </is>
      </c>
      <c r="C12" t="n">
        <v>0.03</v>
      </c>
      <c r="D12" t="n">
        <v>0</v>
      </c>
      <c r="E12" t="n">
        <v>0</v>
      </c>
      <c r="F12" t="n">
        <v>7</v>
      </c>
      <c r="H12" t="n">
        <v>0</v>
      </c>
      <c r="I12" t="n">
        <v>0</v>
      </c>
      <c r="J12" t="n">
        <v>0</v>
      </c>
      <c r="K12" t="n">
        <v>0</v>
      </c>
      <c r="L12" t="n">
        <v>0</v>
      </c>
      <c r="M12" t="n">
        <v>0</v>
      </c>
      <c r="N12" t="n">
        <v>0</v>
      </c>
    </row>
    <row r="13">
      <c r="A13" t="inlineStr">
        <is>
          <t>Defaults of rent</t>
        </is>
      </c>
      <c r="B13" t="inlineStr">
        <is>
          <t>the land of Horn for the same 1 shilling.</t>
        </is>
      </c>
      <c r="C13" t="n">
        <v>0.05</v>
      </c>
      <c r="D13" t="n">
        <v>0</v>
      </c>
      <c r="E13" t="n">
        <v>1</v>
      </c>
      <c r="F13" t="n">
        <v>0</v>
      </c>
      <c r="H13" t="n">
        <v>0</v>
      </c>
      <c r="I13" t="n">
        <v>0</v>
      </c>
      <c r="J13" t="n">
        <v>0</v>
      </c>
      <c r="K13" t="n">
        <v>0</v>
      </c>
      <c r="L13" t="n">
        <v>0</v>
      </c>
      <c r="M13" t="n">
        <v>0</v>
      </c>
      <c r="N13" t="n">
        <v>0</v>
      </c>
    </row>
    <row r="14">
      <c r="A14" t="inlineStr">
        <is>
          <t>Defaults of rent</t>
        </is>
      </c>
      <c r="B14" t="inlineStr">
        <is>
          <t>the land of Thomas de la Steple for the same 2 shilling 4pence.</t>
        </is>
      </c>
      <c r="C14" t="n">
        <v>0.12</v>
      </c>
      <c r="D14" t="n">
        <v>0</v>
      </c>
      <c r="E14" t="n">
        <v>2</v>
      </c>
      <c r="F14" t="n">
        <v>4</v>
      </c>
      <c r="H14" t="n">
        <v>0</v>
      </c>
      <c r="I14" t="n">
        <v>0</v>
      </c>
      <c r="J14" t="n">
        <v>0</v>
      </c>
      <c r="K14" t="n">
        <v>0</v>
      </c>
      <c r="L14" t="n">
        <v>0</v>
      </c>
      <c r="M14" t="n">
        <v>0</v>
      </c>
      <c r="N14" t="n">
        <v>0</v>
      </c>
    </row>
    <row r="15">
      <c r="A15" t="inlineStr">
        <is>
          <t>Defaults of rent</t>
        </is>
      </c>
      <c r="B15" t="inlineStr">
        <is>
          <t>the land of Boarhunt which is called Wolfrenelond' 5 shilling.</t>
        </is>
      </c>
      <c r="C15" t="n">
        <v>0.25</v>
      </c>
      <c r="D15" t="n">
        <v>0</v>
      </c>
      <c r="E15" t="n">
        <v>5</v>
      </c>
      <c r="F15" t="n">
        <v>0</v>
      </c>
      <c r="H15" t="n">
        <v>0</v>
      </c>
      <c r="I15" t="n">
        <v>0</v>
      </c>
      <c r="J15" t="n">
        <v>0</v>
      </c>
      <c r="K15" t="n">
        <v>0</v>
      </c>
      <c r="L15" t="n">
        <v>0</v>
      </c>
      <c r="M15" t="n">
        <v>0</v>
      </c>
      <c r="N15" t="n">
        <v>0</v>
      </c>
    </row>
    <row r="16">
      <c r="A16" t="inlineStr">
        <is>
          <t>Defaults of rent</t>
        </is>
      </c>
      <c r="B16" t="inlineStr">
        <is>
          <t>the chief tenement formerly of John de Molendino for ox-gavel 2.5pence, because it should in fact be put in the increment of rent by charter of the lord.</t>
        </is>
      </c>
      <c r="C16" t="n">
        <v>0.01</v>
      </c>
      <c r="D16" t="n">
        <v>0</v>
      </c>
      <c r="E16" t="n">
        <v>0</v>
      </c>
      <c r="F16" t="n">
        <v>2.5</v>
      </c>
      <c r="H16" t="n">
        <v>0</v>
      </c>
      <c r="I16" t="n">
        <v>0</v>
      </c>
      <c r="J16" t="n">
        <v>0</v>
      </c>
      <c r="K16" t="n">
        <v>0</v>
      </c>
      <c r="L16" t="n">
        <v>0</v>
      </c>
      <c r="M16" t="n">
        <v>0</v>
      </c>
      <c r="N16" t="n">
        <v>0</v>
      </c>
    </row>
    <row r="17">
      <c r="A17" t="inlineStr">
        <is>
          <t>Defaults of rent</t>
        </is>
      </c>
      <c r="B17" t="inlineStr">
        <is>
          <t>the other tenement which the same John held, which he took on according to custom from St Swithun's whilst the manor was in their hands, for ox-gavel, 3.5pence, for the reason as before.</t>
        </is>
      </c>
      <c r="C17" t="n">
        <v>0.01</v>
      </c>
      <c r="D17" t="n">
        <v>0</v>
      </c>
      <c r="E17" t="n">
        <v>0</v>
      </c>
      <c r="F17" t="n">
        <v>3.5</v>
      </c>
      <c r="H17" t="n">
        <v>0</v>
      </c>
      <c r="I17" t="n">
        <v>0</v>
      </c>
      <c r="J17" t="n">
        <v>0</v>
      </c>
      <c r="K17" t="n">
        <v>0</v>
      </c>
      <c r="L17" t="n">
        <v>0</v>
      </c>
      <c r="M17" t="n">
        <v>0</v>
      </c>
      <c r="N17" t="n">
        <v>0</v>
      </c>
    </row>
    <row r="18">
      <c r="A18" t="inlineStr">
        <is>
          <t>Defaults of rent</t>
        </is>
      </c>
      <c r="B18" t="inlineStr">
        <is>
          <t>a certain tenement which the same John held which was formerly a relief 7pence, for the reason as before.</t>
        </is>
      </c>
      <c r="C18" t="n">
        <v>0.03</v>
      </c>
      <c r="D18" t="n">
        <v>0</v>
      </c>
      <c r="E18" t="n">
        <v>0</v>
      </c>
      <c r="F18" t="n">
        <v>7</v>
      </c>
      <c r="H18" t="n">
        <v>0</v>
      </c>
      <c r="I18" t="n">
        <v>0</v>
      </c>
      <c r="J18" t="n">
        <v>0</v>
      </c>
      <c r="K18" t="n">
        <v>0</v>
      </c>
      <c r="L18" t="n">
        <v>0</v>
      </c>
      <c r="M18" t="n">
        <v>0</v>
      </c>
      <c r="N18" t="n">
        <v>0</v>
      </c>
    </row>
    <row r="19">
      <c r="A19" t="inlineStr">
        <is>
          <t>Defaults of rent</t>
        </is>
      </c>
      <c r="B19" t="inlineStr">
        <is>
          <t>Total, 10 shilling</t>
        </is>
      </c>
      <c r="C19" t="n">
        <v>0.5</v>
      </c>
      <c r="D19" t="n">
        <v>0</v>
      </c>
      <c r="E19" t="n">
        <v>10</v>
      </c>
      <c r="F19" t="n">
        <v>0</v>
      </c>
      <c r="H19" t="n">
        <v>0</v>
      </c>
      <c r="I19" t="n">
        <v>0</v>
      </c>
      <c r="J19" t="n">
        <v>0</v>
      </c>
      <c r="K19" t="n">
        <v>0</v>
      </c>
      <c r="L19" t="n">
        <v>0</v>
      </c>
      <c r="M19" t="n">
        <v>0</v>
      </c>
      <c r="N19" t="n">
        <v>0</v>
      </c>
    </row>
    <row r="20">
      <c r="A20" t="inlineStr">
        <is>
          <t>Total of quittances and defaults of rent</t>
        </is>
      </c>
      <c r="B20" t="inlineStr">
        <is>
          <t>Total of quittances and defaults of rent, 18 shilling 3.75pence</t>
        </is>
      </c>
      <c r="C20" t="n">
        <v>0.92</v>
      </c>
      <c r="D20" t="n">
        <v>0</v>
      </c>
      <c r="E20" t="n">
        <v>18</v>
      </c>
      <c r="F20" t="n">
        <v>3.75</v>
      </c>
      <c r="H20" t="n">
        <v>0</v>
      </c>
      <c r="I20" t="n">
        <v>0</v>
      </c>
      <c r="J20" t="n">
        <v>0</v>
      </c>
      <c r="K20" t="n">
        <v>0</v>
      </c>
      <c r="L20" t="n">
        <v>0</v>
      </c>
      <c r="M20" t="n">
        <v>0</v>
      </c>
      <c r="N20" t="n">
        <v>0</v>
      </c>
    </row>
    <row r="21">
      <c r="A21" t="inlineStr">
        <is>
          <t>Total of rents remaining</t>
        </is>
      </c>
      <c r="B21" t="inlineStr">
        <is>
          <t>Total of rents remaining, £23 17 shilling 3.75pence</t>
        </is>
      </c>
      <c r="C21" t="n">
        <v>23.87</v>
      </c>
      <c r="D21" t="n">
        <v>23</v>
      </c>
      <c r="E21" t="n">
        <v>17</v>
      </c>
      <c r="F21" t="n">
        <v>3.75</v>
      </c>
      <c r="H21" t="n">
        <v>0</v>
      </c>
      <c r="I21" t="n">
        <v>0</v>
      </c>
      <c r="J21" t="n">
        <v>0</v>
      </c>
      <c r="K21" t="n">
        <v>0</v>
      </c>
      <c r="L21" t="n">
        <v>0</v>
      </c>
      <c r="M21" t="n">
        <v>0</v>
      </c>
      <c r="N21" t="n">
        <v>0</v>
      </c>
    </row>
    <row r="22">
      <c r="A22" t="inlineStr">
        <is>
          <t>Farm of the mill</t>
        </is>
      </c>
      <c r="B22" t="inlineStr">
        <is>
          <t>The same render account for £3 for the rent of the mill let at fee-farm.</t>
        </is>
      </c>
      <c r="C22" t="n">
        <v>3</v>
      </c>
      <c r="D22" t="n">
        <v>3</v>
      </c>
      <c r="E22" t="n">
        <v>0</v>
      </c>
      <c r="F22" t="n">
        <v>0</v>
      </c>
      <c r="H22" t="n">
        <v>0</v>
      </c>
      <c r="I22" t="n">
        <v>0</v>
      </c>
      <c r="J22" t="n">
        <v>0</v>
      </c>
      <c r="K22" t="n">
        <v>0</v>
      </c>
      <c r="L22" t="n">
        <v>0</v>
      </c>
      <c r="M22" t="n">
        <v>0</v>
      </c>
      <c r="N22" t="n">
        <v>0</v>
      </c>
    </row>
    <row r="23">
      <c r="A23" t="inlineStr">
        <is>
          <t>Farm of the mill</t>
        </is>
      </c>
      <c r="B23" t="inlineStr">
        <is>
          <t>Total, £3.</t>
        </is>
      </c>
      <c r="C23" t="n">
        <v>3</v>
      </c>
      <c r="D23" t="n">
        <v>3</v>
      </c>
      <c r="E23" t="n">
        <v>0</v>
      </c>
      <c r="F23" t="n">
        <v>0</v>
      </c>
      <c r="H23" t="n">
        <v>0</v>
      </c>
      <c r="I23" t="n">
        <v>0</v>
      </c>
      <c r="J23" t="n">
        <v>0</v>
      </c>
      <c r="K23" t="n">
        <v>0</v>
      </c>
      <c r="L23" t="n">
        <v>0</v>
      </c>
      <c r="M23" t="n">
        <v>0</v>
      </c>
      <c r="N23" t="n">
        <v>0</v>
      </c>
    </row>
    <row r="24">
      <c r="A24" t="inlineStr">
        <is>
          <t>Annual recognizance</t>
        </is>
      </c>
      <c r="B24" t="inlineStr">
        <is>
          <t>The same render account for 3pence from Walter Molendinarius for annual recognizance.</t>
        </is>
      </c>
      <c r="C24" t="n">
        <v>0.01</v>
      </c>
      <c r="D24" t="n">
        <v>0</v>
      </c>
      <c r="E24" t="n">
        <v>0</v>
      </c>
      <c r="F24" t="n">
        <v>3</v>
      </c>
      <c r="H24" t="n">
        <v>0</v>
      </c>
      <c r="I24" t="n">
        <v>0</v>
      </c>
      <c r="J24" t="n">
        <v>0</v>
      </c>
      <c r="K24" t="n">
        <v>0</v>
      </c>
      <c r="L24" t="n">
        <v>0</v>
      </c>
      <c r="M24" t="n">
        <v>0</v>
      </c>
      <c r="N24" t="n">
        <v>0</v>
      </c>
    </row>
    <row r="25">
      <c r="A25" t="inlineStr">
        <is>
          <t>Annual recognizance</t>
        </is>
      </c>
      <c r="B25" t="inlineStr">
        <is>
          <t>6pence from William le Careter for the same.</t>
        </is>
      </c>
      <c r="C25" t="n">
        <v>0.03</v>
      </c>
      <c r="D25" t="n">
        <v>0</v>
      </c>
      <c r="E25" t="n">
        <v>0</v>
      </c>
      <c r="F25" t="n">
        <v>6</v>
      </c>
      <c r="H25" t="n">
        <v>0</v>
      </c>
      <c r="I25" t="n">
        <v>0</v>
      </c>
      <c r="J25" t="n">
        <v>0</v>
      </c>
      <c r="K25" t="n">
        <v>0</v>
      </c>
      <c r="L25" t="n">
        <v>0</v>
      </c>
      <c r="M25" t="n">
        <v>0</v>
      </c>
      <c r="N25" t="n">
        <v>0</v>
      </c>
    </row>
    <row r="26">
      <c r="A26" t="inlineStr">
        <is>
          <t>Annual recognizance</t>
        </is>
      </c>
      <c r="B26" t="inlineStr">
        <is>
          <t>6pence from William.</t>
        </is>
      </c>
      <c r="C26" t="n">
        <v>0.03</v>
      </c>
      <c r="D26" t="n">
        <v>0</v>
      </c>
      <c r="E26" t="n">
        <v>0</v>
      </c>
      <c r="F26" t="n">
        <v>6</v>
      </c>
      <c r="H26" t="n">
        <v>0</v>
      </c>
      <c r="I26" t="n">
        <v>0</v>
      </c>
      <c r="J26" t="n">
        <v>0</v>
      </c>
      <c r="K26" t="n">
        <v>0</v>
      </c>
      <c r="L26" t="n">
        <v>0</v>
      </c>
      <c r="M26" t="n">
        <v>0</v>
      </c>
      <c r="N26" t="n">
        <v>0</v>
      </c>
    </row>
    <row r="27">
      <c r="A27" t="inlineStr">
        <is>
          <t>Annual recognizance</t>
        </is>
      </c>
      <c r="B27" t="inlineStr">
        <is>
          <t>6pence from William le YI so that he may serve outside the manor, and yet pay suit to his tithing at the steward's tourns as a villein as before.</t>
        </is>
      </c>
      <c r="C27" t="n">
        <v>0.03</v>
      </c>
      <c r="D27" t="n">
        <v>0</v>
      </c>
      <c r="E27" t="n">
        <v>0</v>
      </c>
      <c r="F27" t="n">
        <v>6</v>
      </c>
      <c r="H27" t="n">
        <v>0</v>
      </c>
      <c r="I27" t="n">
        <v>0</v>
      </c>
      <c r="J27" t="n">
        <v>0</v>
      </c>
      <c r="K27" t="n">
        <v>0</v>
      </c>
      <c r="L27" t="n">
        <v>0</v>
      </c>
      <c r="M27" t="n">
        <v>0</v>
      </c>
      <c r="N27" t="n">
        <v>0</v>
      </c>
    </row>
    <row r="28">
      <c r="A28" t="inlineStr">
        <is>
          <t>Annual recognizance</t>
        </is>
      </c>
      <c r="B28" t="inlineStr">
        <is>
          <t>Total, 1 shilling 3pence</t>
        </is>
      </c>
      <c r="C28" t="n">
        <v>0.06</v>
      </c>
      <c r="D28" t="n">
        <v>0</v>
      </c>
      <c r="E28" t="n">
        <v>1</v>
      </c>
      <c r="F28" t="n">
        <v>3</v>
      </c>
      <c r="H28" t="n">
        <v>0</v>
      </c>
      <c r="I28" t="n">
        <v>0</v>
      </c>
      <c r="J28" t="n">
        <v>0</v>
      </c>
      <c r="K28" t="n">
        <v>0</v>
      </c>
      <c r="L28" t="n">
        <v>0</v>
      </c>
      <c r="M28" t="n">
        <v>0</v>
      </c>
      <c r="N28" t="n">
        <v>0</v>
      </c>
    </row>
    <row r="29">
      <c r="A29" t="inlineStr">
        <is>
          <t>Cumin</t>
        </is>
      </c>
      <c r="B29" t="inlineStr">
        <is>
          <t>The same render account for 1 lb of cumin from the rent of John, son of Henry le Careter.</t>
        </is>
      </c>
      <c r="C29" t="n">
        <v>0</v>
      </c>
      <c r="D29" t="n">
        <v>0</v>
      </c>
      <c r="E29" t="n">
        <v>0</v>
      </c>
      <c r="F29" t="n">
        <v>0</v>
      </c>
      <c r="H29" t="n">
        <v>0</v>
      </c>
      <c r="I29" t="n">
        <v>0</v>
      </c>
      <c r="J29" t="n">
        <v>0</v>
      </c>
      <c r="K29" t="n">
        <v>0</v>
      </c>
      <c r="L29" t="n">
        <v>0</v>
      </c>
      <c r="M29" t="n">
        <v>0</v>
      </c>
      <c r="N29" t="n">
        <v>0</v>
      </c>
    </row>
    <row r="30">
      <c r="A30" t="inlineStr">
        <is>
          <t>Cumin</t>
        </is>
      </c>
      <c r="B30" t="inlineStr">
        <is>
          <t>delivered to Wolvesey.</t>
        </is>
      </c>
      <c r="C30" t="n">
        <v>0</v>
      </c>
      <c r="D30" t="n">
        <v>0</v>
      </c>
      <c r="E30" t="n">
        <v>0</v>
      </c>
      <c r="F30" t="n">
        <v>0</v>
      </c>
      <c r="H30" t="n">
        <v>0</v>
      </c>
      <c r="I30" t="n">
        <v>0</v>
      </c>
      <c r="J30" t="n">
        <v>0</v>
      </c>
      <c r="K30" t="n">
        <v>0</v>
      </c>
      <c r="L30" t="n">
        <v>0</v>
      </c>
      <c r="M30" t="n">
        <v>0</v>
      </c>
      <c r="N30" t="n">
        <v>0</v>
      </c>
    </row>
    <row r="31">
      <c r="A31" t="inlineStr">
        <is>
          <t>Bows and arrows</t>
        </is>
      </c>
      <c r="B31" t="inlineStr">
        <is>
          <t>The same render account for 1 shilling from John de Worsted' for 1 bow and 12 arrows for 2 virgates of land which belonged to John Coleman de Shidefeld' and 1 ferling of land which belonged to Richard Crall' in the same vill, which he has by gift of lord John, bishop of Winchester, rendering at Easter according to the contents of his charter which he has from the said bishop and the whole convent of St Swithun's.</t>
        </is>
      </c>
      <c r="C31" t="n">
        <v>0.05</v>
      </c>
      <c r="D31" t="n">
        <v>0</v>
      </c>
      <c r="E31" t="n">
        <v>1</v>
      </c>
      <c r="F31" t="n">
        <v>0</v>
      </c>
      <c r="H31" t="n">
        <v>0</v>
      </c>
      <c r="I31" t="n">
        <v>0</v>
      </c>
      <c r="J31" t="n">
        <v>0</v>
      </c>
      <c r="K31" t="n">
        <v>0</v>
      </c>
      <c r="L31" t="n">
        <v>0</v>
      </c>
      <c r="M31" t="n">
        <v>0</v>
      </c>
      <c r="N31" t="n">
        <v>0</v>
      </c>
    </row>
    <row r="32">
      <c r="A32" t="inlineStr">
        <is>
          <t>Bows and arrows</t>
        </is>
      </c>
      <c r="B32" t="inlineStr">
        <is>
          <t>Total, 1 shilling</t>
        </is>
      </c>
      <c r="C32" t="n">
        <v>0.05</v>
      </c>
      <c r="D32" t="n">
        <v>0</v>
      </c>
      <c r="E32" t="n">
        <v>1</v>
      </c>
      <c r="F32" t="n">
        <v>0</v>
      </c>
      <c r="H32" t="n">
        <v>0</v>
      </c>
      <c r="I32" t="n">
        <v>0</v>
      </c>
      <c r="J32" t="n">
        <v>0</v>
      </c>
      <c r="K32" t="n">
        <v>0</v>
      </c>
      <c r="L32" t="n">
        <v>0</v>
      </c>
      <c r="M32" t="n">
        <v>0</v>
      </c>
      <c r="N32" t="n">
        <v>0</v>
      </c>
    </row>
    <row r="33">
      <c r="A33" t="inlineStr">
        <is>
          <t>Issues of the manor</t>
        </is>
      </c>
      <c r="B33" t="inlineStr">
        <is>
          <t>The same render account for £1 11 shilling 2.5 pence from pannage of pigs at Martinmas, at 2pence a pig over a year old, 1.5pence a pig of 3 terms, 1pence a pig of .5 year, and .5pence a piglet, and moreover, 1 pig and 1 piglet from pannage this year because each of those who have 10 pigs in the manor will give 1 pig.</t>
        </is>
      </c>
      <c r="C33" t="n">
        <v>1.56</v>
      </c>
      <c r="D33" t="n">
        <v>1</v>
      </c>
      <c r="E33" t="n">
        <v>11</v>
      </c>
      <c r="F33" t="n">
        <v>2.5</v>
      </c>
      <c r="H33" t="n">
        <v>0</v>
      </c>
      <c r="I33" t="n">
        <v>0</v>
      </c>
      <c r="J33" t="n">
        <v>0</v>
      </c>
      <c r="K33" t="n">
        <v>0</v>
      </c>
      <c r="L33" t="n">
        <v>0</v>
      </c>
      <c r="M33" t="n">
        <v>0</v>
      </c>
      <c r="N33" t="n">
        <v>0</v>
      </c>
    </row>
    <row r="34">
      <c r="A34" t="inlineStr">
        <is>
          <t>Issues of the manor</t>
        </is>
      </c>
      <c r="B34" t="inlineStr">
        <is>
          <t>nothing from winter pasturage this year because it was not able to be sold.</t>
        </is>
      </c>
      <c r="C34" t="n">
        <v>0</v>
      </c>
      <c r="D34" t="n">
        <v>0</v>
      </c>
      <c r="E34" t="n">
        <v>0</v>
      </c>
      <c r="F34" t="n">
        <v>0</v>
      </c>
      <c r="H34" t="n">
        <v>0</v>
      </c>
      <c r="I34" t="n">
        <v>0</v>
      </c>
      <c r="J34" t="n">
        <v>0</v>
      </c>
      <c r="K34" t="n">
        <v>0</v>
      </c>
      <c r="L34" t="n">
        <v>0</v>
      </c>
      <c r="M34" t="n">
        <v>0</v>
      </c>
      <c r="N34" t="n">
        <v>0</v>
      </c>
    </row>
    <row r="35">
      <c r="A35" t="inlineStr">
        <is>
          <t>Issues of the manor</t>
        </is>
      </c>
      <c r="B35" t="inlineStr">
        <is>
          <t>10pence from summer pasturage sold there this year.</t>
        </is>
      </c>
      <c r="C35" t="n">
        <v>0.04</v>
      </c>
      <c r="D35" t="n">
        <v>0</v>
      </c>
      <c r="E35" t="n">
        <v>0</v>
      </c>
      <c r="F35" t="n">
        <v>10</v>
      </c>
      <c r="H35" t="n">
        <v>0</v>
      </c>
      <c r="I35" t="n">
        <v>0</v>
      </c>
      <c r="J35" t="n">
        <v>0</v>
      </c>
      <c r="K35" t="n">
        <v>0</v>
      </c>
      <c r="L35" t="n">
        <v>0</v>
      </c>
      <c r="M35" t="n">
        <v>0</v>
      </c>
      <c r="N35" t="n">
        <v>0</v>
      </c>
    </row>
    <row r="36">
      <c r="A36" t="inlineStr">
        <is>
          <t>Issues of the manor</t>
        </is>
      </c>
      <c r="B36" t="inlineStr">
        <is>
          <t>nothing from the pasturage of various places nor from the pasturage in Forcrofte this year for the lord's stock.</t>
        </is>
      </c>
      <c r="C36" t="n">
        <v>0</v>
      </c>
      <c r="D36" t="n">
        <v>0</v>
      </c>
      <c r="E36" t="n">
        <v>0</v>
      </c>
      <c r="F36" t="n">
        <v>0</v>
      </c>
      <c r="H36" t="n">
        <v>0</v>
      </c>
      <c r="I36" t="n">
        <v>0</v>
      </c>
      <c r="J36" t="n">
        <v>0</v>
      </c>
      <c r="K36" t="n">
        <v>0</v>
      </c>
      <c r="L36" t="n">
        <v>0</v>
      </c>
      <c r="M36" t="n">
        <v>0</v>
      </c>
      <c r="N36" t="n">
        <v>0</v>
      </c>
    </row>
    <row r="37">
      <c r="A37" t="inlineStr">
        <is>
          <t>Issues of the manor</t>
        </is>
      </c>
      <c r="B37" t="inlineStr">
        <is>
          <t>3 shilling 9pence from 18 geese sold.</t>
        </is>
      </c>
      <c r="C37" t="n">
        <v>0.19</v>
      </c>
      <c r="D37" t="n">
        <v>0</v>
      </c>
      <c r="E37" t="n">
        <v>3</v>
      </c>
      <c r="F37" t="n">
        <v>9</v>
      </c>
      <c r="H37" t="n">
        <v>0</v>
      </c>
      <c r="I37" t="n">
        <v>0</v>
      </c>
      <c r="J37" t="n">
        <v>0</v>
      </c>
      <c r="K37" t="n">
        <v>0</v>
      </c>
      <c r="L37" t="n">
        <v>0</v>
      </c>
      <c r="M37" t="n">
        <v>0</v>
      </c>
      <c r="N37" t="n">
        <v>0</v>
      </c>
    </row>
    <row r="38">
      <c r="A38" t="inlineStr">
        <is>
          <t>Issues of the manor</t>
        </is>
      </c>
      <c r="B38" t="inlineStr">
        <is>
          <t>3 shilling 10pence from 46 hens sold.</t>
        </is>
      </c>
      <c r="C38" t="n">
        <v>0.19</v>
      </c>
      <c r="D38" t="n">
        <v>0</v>
      </c>
      <c r="E38" t="n">
        <v>3</v>
      </c>
      <c r="F38" t="n">
        <v>10</v>
      </c>
      <c r="H38" t="n">
        <v>0</v>
      </c>
      <c r="I38" t="n">
        <v>0</v>
      </c>
      <c r="J38" t="n">
        <v>0</v>
      </c>
      <c r="K38" t="n">
        <v>0</v>
      </c>
      <c r="L38" t="n">
        <v>0</v>
      </c>
      <c r="M38" t="n">
        <v>0</v>
      </c>
      <c r="N38" t="n">
        <v>0</v>
      </c>
    </row>
    <row r="39">
      <c r="A39" t="inlineStr">
        <is>
          <t>Issues of the manor</t>
        </is>
      </c>
      <c r="B39" t="inlineStr">
        <is>
          <t>3 shilling 0.75pence from 1,050 eggs sold.</t>
        </is>
      </c>
      <c r="C39" t="n">
        <v>0.15</v>
      </c>
      <c r="D39" t="n">
        <v>0</v>
      </c>
      <c r="E39" t="n">
        <v>3</v>
      </c>
      <c r="F39" t="n">
        <v>0.75</v>
      </c>
      <c r="H39" t="n">
        <v>0</v>
      </c>
      <c r="I39" t="n">
        <v>0</v>
      </c>
      <c r="J39" t="n">
        <v>0</v>
      </c>
      <c r="K39" t="n">
        <v>0</v>
      </c>
      <c r="L39" t="n">
        <v>0</v>
      </c>
      <c r="M39" t="n">
        <v>0</v>
      </c>
      <c r="N39" t="n">
        <v>0</v>
      </c>
    </row>
    <row r="40">
      <c r="A40" t="inlineStr">
        <is>
          <t>Issues of the manor</t>
        </is>
      </c>
      <c r="B40" t="inlineStr">
        <is>
          <t>3 shilling from 6 bushels of nuts sold from the wood according to custom.</t>
        </is>
      </c>
      <c r="C40" t="n">
        <v>0.15</v>
      </c>
      <c r="D40" t="n">
        <v>0</v>
      </c>
      <c r="E40" t="n">
        <v>3</v>
      </c>
      <c r="F40" t="n">
        <v>0</v>
      </c>
      <c r="H40" t="n">
        <v>0</v>
      </c>
      <c r="I40" t="n">
        <v>6</v>
      </c>
      <c r="J40" t="n">
        <v>0.75</v>
      </c>
      <c r="K40" t="n">
        <v>0.75</v>
      </c>
      <c r="L40" t="n">
        <v>0</v>
      </c>
      <c r="M40" t="n">
        <v>0</v>
      </c>
      <c r="N40" t="n">
        <v>6</v>
      </c>
    </row>
    <row r="41">
      <c r="A41" t="inlineStr">
        <is>
          <t>Issues of the manor</t>
        </is>
      </c>
      <c r="B41" t="inlineStr">
        <is>
          <t>1 shilling 6pence from loppings in Suthwild' sold this year from timber felled for ploughs.</t>
        </is>
      </c>
      <c r="C41" t="n">
        <v>0.08</v>
      </c>
      <c r="D41" t="n">
        <v>0</v>
      </c>
      <c r="E41" t="n">
        <v>1</v>
      </c>
      <c r="F41" t="n">
        <v>6</v>
      </c>
      <c r="H41" t="n">
        <v>0</v>
      </c>
      <c r="I41" t="n">
        <v>0</v>
      </c>
      <c r="J41" t="n">
        <v>0</v>
      </c>
      <c r="K41" t="n">
        <v>0</v>
      </c>
      <c r="L41" t="n">
        <v>0</v>
      </c>
      <c r="M41" t="n">
        <v>0</v>
      </c>
      <c r="N41" t="n">
        <v>0</v>
      </c>
    </row>
    <row r="42">
      <c r="A42" t="inlineStr">
        <is>
          <t>Issues of the manor</t>
        </is>
      </c>
      <c r="B42" t="inlineStr">
        <is>
          <t>nothing from dead trees and dead wood in Haslholte nor from underwood in la Fronches' this year.</t>
        </is>
      </c>
      <c r="C42" t="n">
        <v>0</v>
      </c>
      <c r="D42" t="n">
        <v>0</v>
      </c>
      <c r="E42" t="n">
        <v>0</v>
      </c>
      <c r="F42" t="n">
        <v>0</v>
      </c>
      <c r="H42" t="n">
        <v>0</v>
      </c>
      <c r="I42" t="n">
        <v>0</v>
      </c>
      <c r="J42" t="n">
        <v>0</v>
      </c>
      <c r="K42" t="n">
        <v>0</v>
      </c>
      <c r="L42" t="n">
        <v>0</v>
      </c>
      <c r="M42" t="n">
        <v>0</v>
      </c>
      <c r="N42" t="n">
        <v>0</v>
      </c>
    </row>
    <row r="43">
      <c r="A43" t="inlineStr">
        <is>
          <t>Issues of the manor</t>
        </is>
      </c>
      <c r="B43" t="inlineStr">
        <is>
          <t>8 shilling from the whole hundred for release from carrying the hay of Nutschellyng'.</t>
        </is>
      </c>
      <c r="C43" t="n">
        <v>0.4</v>
      </c>
      <c r="D43" t="n">
        <v>0</v>
      </c>
      <c r="E43" t="n">
        <v>8</v>
      </c>
      <c r="F43" t="n">
        <v>0</v>
      </c>
      <c r="H43" t="n">
        <v>0</v>
      </c>
      <c r="I43" t="n">
        <v>0</v>
      </c>
      <c r="J43" t="n">
        <v>0</v>
      </c>
      <c r="K43" t="n">
        <v>0</v>
      </c>
      <c r="L43" t="n">
        <v>0</v>
      </c>
      <c r="M43" t="n">
        <v>0</v>
      </c>
      <c r="N43" t="n">
        <v>0</v>
      </c>
    </row>
    <row r="44">
      <c r="A44" t="inlineStr">
        <is>
          <t>Issues of the manor</t>
        </is>
      </c>
      <c r="B44" t="inlineStr">
        <is>
          <t>19 shilling from 9.5 virgates of land for release from carrying-service.</t>
        </is>
      </c>
      <c r="C44" t="n">
        <v>0.95</v>
      </c>
      <c r="D44" t="n">
        <v>0</v>
      </c>
      <c r="E44" t="n">
        <v>19</v>
      </c>
      <c r="F44" t="n">
        <v>0</v>
      </c>
      <c r="H44" t="n">
        <v>0</v>
      </c>
      <c r="I44" t="n">
        <v>0</v>
      </c>
      <c r="J44" t="n">
        <v>0</v>
      </c>
      <c r="K44" t="n">
        <v>0</v>
      </c>
      <c r="L44" t="n">
        <v>0</v>
      </c>
      <c r="M44" t="n">
        <v>0</v>
      </c>
      <c r="N44" t="n">
        <v>0</v>
      </c>
    </row>
    <row r="45">
      <c r="A45" t="inlineStr">
        <is>
          <t>Issues of the manor</t>
        </is>
      </c>
      <c r="B45" t="inlineStr">
        <is>
          <t>6pence from John Maynard for 1 piglet.</t>
        </is>
      </c>
      <c r="C45" t="n">
        <v>0.03</v>
      </c>
      <c r="D45" t="n">
        <v>0</v>
      </c>
      <c r="E45" t="n">
        <v>0</v>
      </c>
      <c r="F45" t="n">
        <v>6</v>
      </c>
      <c r="H45" t="n">
        <v>0</v>
      </c>
      <c r="I45" t="n">
        <v>0</v>
      </c>
      <c r="J45" t="n">
        <v>0</v>
      </c>
      <c r="K45" t="n">
        <v>0</v>
      </c>
      <c r="L45" t="n">
        <v>0</v>
      </c>
      <c r="M45" t="n">
        <v>0</v>
      </c>
      <c r="N45" t="n">
        <v>0</v>
      </c>
    </row>
    <row r="46">
      <c r="A46" t="inlineStr">
        <is>
          <t>Issues of the manor</t>
        </is>
      </c>
      <c r="B46" t="inlineStr">
        <is>
          <t>4 shilling 9.25pence from Fyslod'.</t>
        </is>
      </c>
      <c r="C46" t="n">
        <v>0.24</v>
      </c>
      <c r="D46" t="n">
        <v>0</v>
      </c>
      <c r="E46" t="n">
        <v>4</v>
      </c>
      <c r="F46" t="n">
        <v>9.25</v>
      </c>
      <c r="H46" t="n">
        <v>0</v>
      </c>
      <c r="I46" t="n">
        <v>0</v>
      </c>
      <c r="J46" t="n">
        <v>0</v>
      </c>
      <c r="K46" t="n">
        <v>0</v>
      </c>
      <c r="L46" t="n">
        <v>0</v>
      </c>
      <c r="M46" t="n">
        <v>0</v>
      </c>
      <c r="N46" t="n">
        <v>0</v>
      </c>
    </row>
    <row r="47">
      <c r="A47" t="inlineStr">
        <is>
          <t>Issues of the manor</t>
        </is>
      </c>
      <c r="B47" t="inlineStr">
        <is>
          <t>12 shilling 4.5pence from 2 quarters .5 bushels of rye from churchscot sold.</t>
        </is>
      </c>
      <c r="C47" t="n">
        <v>0.62</v>
      </c>
      <c r="D47" t="n">
        <v>0</v>
      </c>
      <c r="E47" t="n">
        <v>12</v>
      </c>
      <c r="F47" t="n">
        <v>4.5</v>
      </c>
      <c r="G47" t="inlineStr">
        <is>
          <t>rye</t>
        </is>
      </c>
      <c r="H47" t="n">
        <v>2</v>
      </c>
      <c r="I47" t="n">
        <v>5</v>
      </c>
      <c r="J47" t="n">
        <v>2.625</v>
      </c>
      <c r="K47" t="n">
        <v>2</v>
      </c>
      <c r="L47" t="n">
        <v>0.625</v>
      </c>
      <c r="M47" t="n">
        <v>2</v>
      </c>
      <c r="N47" t="n">
        <v>0</v>
      </c>
      <c r="O47" t="n">
        <v>0</v>
      </c>
      <c r="P47" t="n">
        <v>5</v>
      </c>
    </row>
    <row r="48">
      <c r="A48" t="inlineStr">
        <is>
          <t>Issues of the manor</t>
        </is>
      </c>
      <c r="B48" t="inlineStr">
        <is>
          <t>5 shilling 1.5pence for release from carrying wood felled in preparation for Christmas this year.</t>
        </is>
      </c>
      <c r="C48" t="n">
        <v>0.26</v>
      </c>
      <c r="D48" t="n">
        <v>0</v>
      </c>
      <c r="E48" t="n">
        <v>5</v>
      </c>
      <c r="F48" t="n">
        <v>1.5</v>
      </c>
      <c r="H48" t="n">
        <v>0</v>
      </c>
      <c r="I48" t="n">
        <v>0</v>
      </c>
      <c r="J48" t="n">
        <v>0</v>
      </c>
      <c r="K48" t="n">
        <v>0</v>
      </c>
      <c r="L48" t="n">
        <v>0</v>
      </c>
      <c r="M48" t="n">
        <v>0</v>
      </c>
      <c r="N48" t="n">
        <v>0</v>
      </c>
    </row>
    <row r="49">
      <c r="A49" t="inlineStr">
        <is>
          <t>Issues of the manor</t>
        </is>
      </c>
      <c r="B49" t="inlineStr">
        <is>
          <t>14 shilling 3pence from transport-service sold this year.</t>
        </is>
      </c>
      <c r="C49" t="n">
        <v>0.71</v>
      </c>
      <c r="D49" t="n">
        <v>0</v>
      </c>
      <c r="E49" t="n">
        <v>14</v>
      </c>
      <c r="F49" t="n">
        <v>3</v>
      </c>
      <c r="H49" t="n">
        <v>0</v>
      </c>
      <c r="I49" t="n">
        <v>0</v>
      </c>
      <c r="J49" t="n">
        <v>0</v>
      </c>
      <c r="K49" t="n">
        <v>0</v>
      </c>
      <c r="L49" t="n">
        <v>0</v>
      </c>
      <c r="M49" t="n">
        <v>0</v>
      </c>
      <c r="N49" t="n">
        <v>0</v>
      </c>
    </row>
    <row r="50">
      <c r="A50" t="inlineStr">
        <is>
          <t>Issues of the manor</t>
        </is>
      </c>
      <c r="B50" t="inlineStr">
        <is>
          <t>3 shilling 11 pence from dairy produce sold at the audit.</t>
        </is>
      </c>
      <c r="C50" t="n">
        <v>0.2</v>
      </c>
      <c r="D50" t="n">
        <v>0</v>
      </c>
      <c r="E50" t="n">
        <v>3</v>
      </c>
      <c r="F50" t="n">
        <v>11</v>
      </c>
      <c r="H50" t="n">
        <v>0</v>
      </c>
      <c r="I50" t="n">
        <v>0</v>
      </c>
      <c r="J50" t="n">
        <v>0</v>
      </c>
      <c r="K50" t="n">
        <v>0</v>
      </c>
      <c r="L50" t="n">
        <v>0</v>
      </c>
      <c r="M50" t="n">
        <v>0</v>
      </c>
      <c r="N50" t="n">
        <v>0</v>
      </c>
    </row>
    <row r="51">
      <c r="A51" t="inlineStr">
        <is>
          <t>Issues of the manor</t>
        </is>
      </c>
      <c r="B51" t="inlineStr">
        <is>
          <t>Total, £5 15 shilling 1.5pence And for 10 shilling from 1 old cart-horse sold.</t>
        </is>
      </c>
      <c r="C51" t="n">
        <v>5.76</v>
      </c>
      <c r="D51" t="n">
        <v>5</v>
      </c>
      <c r="E51" t="n">
        <v>15</v>
      </c>
      <c r="F51" t="n">
        <v>1.5</v>
      </c>
      <c r="H51" t="n">
        <v>0</v>
      </c>
      <c r="I51" t="n">
        <v>0</v>
      </c>
      <c r="J51" t="n">
        <v>0</v>
      </c>
      <c r="K51" t="n">
        <v>0</v>
      </c>
      <c r="L51" t="n">
        <v>0</v>
      </c>
      <c r="M51" t="n">
        <v>0</v>
      </c>
      <c r="N51" t="n">
        <v>0</v>
      </c>
    </row>
    <row r="52">
      <c r="A52" t="inlineStr">
        <is>
          <t>Issues of the manor</t>
        </is>
      </c>
      <c r="B52" t="inlineStr">
        <is>
          <t>9 shilling from 2 old plough-horses sold, at 3 shilling for 1, and 6 shilling for 1.</t>
        </is>
      </c>
      <c r="C52" t="n">
        <v>0.45</v>
      </c>
      <c r="D52" t="n">
        <v>0</v>
      </c>
      <c r="E52" t="n">
        <v>9</v>
      </c>
      <c r="F52" t="n">
        <v>0</v>
      </c>
      <c r="H52" t="n">
        <v>0</v>
      </c>
      <c r="I52" t="n">
        <v>0</v>
      </c>
      <c r="J52" t="n">
        <v>0</v>
      </c>
      <c r="K52" t="n">
        <v>0</v>
      </c>
      <c r="L52" t="n">
        <v>0</v>
      </c>
      <c r="M52" t="n">
        <v>0</v>
      </c>
      <c r="N52" t="n">
        <v>0</v>
      </c>
    </row>
    <row r="53">
      <c r="A53" t="inlineStr">
        <is>
          <t>Issues of the manor</t>
        </is>
      </c>
      <c r="B53" t="inlineStr">
        <is>
          <t>9 shilling from 1 old ox sold.</t>
        </is>
      </c>
      <c r="C53" t="n">
        <v>0.45</v>
      </c>
      <c r="D53" t="n">
        <v>0</v>
      </c>
      <c r="E53" t="n">
        <v>9</v>
      </c>
      <c r="F53" t="n">
        <v>0</v>
      </c>
      <c r="H53" t="n">
        <v>0</v>
      </c>
      <c r="I53" t="n">
        <v>0</v>
      </c>
      <c r="J53" t="n">
        <v>0</v>
      </c>
      <c r="K53" t="n">
        <v>0</v>
      </c>
      <c r="L53" t="n">
        <v>0</v>
      </c>
      <c r="M53" t="n">
        <v>0</v>
      </c>
      <c r="N53" t="n">
        <v>0</v>
      </c>
    </row>
    <row r="54">
      <c r="A54" t="inlineStr">
        <is>
          <t>Issues of the manor</t>
        </is>
      </c>
      <c r="B54" t="inlineStr">
        <is>
          <t>£1 12 shilling 6pence from 4 old cows sold, at 7s .3pence each for 2, and 9 shilling each for 2.</t>
        </is>
      </c>
      <c r="C54" t="n">
        <v>1.62</v>
      </c>
      <c r="D54" t="n">
        <v>1</v>
      </c>
      <c r="E54" t="n">
        <v>12</v>
      </c>
      <c r="F54" t="n">
        <v>6</v>
      </c>
      <c r="H54" t="n">
        <v>0</v>
      </c>
      <c r="I54" t="n">
        <v>0</v>
      </c>
      <c r="J54" t="n">
        <v>0</v>
      </c>
      <c r="K54" t="n">
        <v>0</v>
      </c>
      <c r="L54" t="n">
        <v>0</v>
      </c>
      <c r="M54" t="n">
        <v>0</v>
      </c>
      <c r="N54" t="n">
        <v>0</v>
      </c>
    </row>
    <row r="55">
      <c r="A55" t="inlineStr">
        <is>
          <t>Issues of the manor</t>
        </is>
      </c>
      <c r="B55" t="inlineStr">
        <is>
          <t>6 shilling from 6 late-born calves sold, at 1 shilling each.</t>
        </is>
      </c>
      <c r="C55" t="n">
        <v>0.3</v>
      </c>
      <c r="D55" t="n">
        <v>0</v>
      </c>
      <c r="E55" t="n">
        <v>6</v>
      </c>
      <c r="F55" t="n">
        <v>0</v>
      </c>
      <c r="H55" t="n">
        <v>0</v>
      </c>
      <c r="I55" t="n">
        <v>0</v>
      </c>
      <c r="J55" t="n">
        <v>0</v>
      </c>
      <c r="K55" t="n">
        <v>0</v>
      </c>
      <c r="L55" t="n">
        <v>0</v>
      </c>
      <c r="M55" t="n">
        <v>0</v>
      </c>
      <c r="N55" t="n">
        <v>0</v>
      </c>
    </row>
    <row r="56">
      <c r="A56" t="inlineStr">
        <is>
          <t>Issues of the manor</t>
        </is>
      </c>
      <c r="B56" t="inlineStr">
        <is>
          <t>£1 14 shilling from 34 wethers sold at Martinmas, at 1 shilling each.</t>
        </is>
      </c>
      <c r="C56" t="n">
        <v>1.7</v>
      </c>
      <c r="D56" t="n">
        <v>1</v>
      </c>
      <c r="E56" t="n">
        <v>14</v>
      </c>
      <c r="F56" t="n">
        <v>0</v>
      </c>
      <c r="H56" t="n">
        <v>0</v>
      </c>
      <c r="I56" t="n">
        <v>0</v>
      </c>
      <c r="J56" t="n">
        <v>0</v>
      </c>
      <c r="K56" t="n">
        <v>0</v>
      </c>
      <c r="L56" t="n">
        <v>0</v>
      </c>
      <c r="M56" t="n">
        <v>0</v>
      </c>
      <c r="N56" t="n">
        <v>0</v>
      </c>
    </row>
    <row r="57">
      <c r="A57" t="inlineStr">
        <is>
          <t>Issues of the manor</t>
        </is>
      </c>
      <c r="B57" t="inlineStr">
        <is>
          <t>£2 from 40 ewes sold.</t>
        </is>
      </c>
      <c r="C57" t="n">
        <v>2</v>
      </c>
      <c r="D57" t="n">
        <v>2</v>
      </c>
      <c r="E57" t="n">
        <v>0</v>
      </c>
      <c r="F57" t="n">
        <v>0</v>
      </c>
      <c r="H57" t="n">
        <v>0</v>
      </c>
      <c r="I57" t="n">
        <v>0</v>
      </c>
      <c r="J57" t="n">
        <v>0</v>
      </c>
      <c r="K57" t="n">
        <v>0</v>
      </c>
      <c r="L57" t="n">
        <v>0</v>
      </c>
      <c r="M57" t="n">
        <v>0</v>
      </c>
      <c r="N57" t="n">
        <v>0</v>
      </c>
    </row>
    <row r="58">
      <c r="A58" t="inlineStr">
        <is>
          <t>Issues of the manor</t>
        </is>
      </c>
      <c r="B58" t="inlineStr">
        <is>
          <t>£3 3 shilling 4pence from 25 pigs sold at Martinmas, at 2 shilling 4pence each for 10, and 2 shilling 8pence each for 15.</t>
        </is>
      </c>
      <c r="C58" t="n">
        <v>3.17</v>
      </c>
      <c r="D58" t="n">
        <v>3</v>
      </c>
      <c r="E58" t="n">
        <v>3</v>
      </c>
      <c r="F58" t="n">
        <v>4</v>
      </c>
      <c r="H58" t="n">
        <v>0</v>
      </c>
      <c r="I58" t="n">
        <v>0</v>
      </c>
      <c r="J58" t="n">
        <v>0</v>
      </c>
      <c r="K58" t="n">
        <v>0</v>
      </c>
      <c r="L58" t="n">
        <v>0</v>
      </c>
      <c r="M58" t="n">
        <v>0</v>
      </c>
      <c r="N58" t="n">
        <v>0</v>
      </c>
    </row>
    <row r="59">
      <c r="A59" t="inlineStr">
        <is>
          <t>Issues of the manor</t>
        </is>
      </c>
      <c r="B59" t="inlineStr">
        <is>
          <t>10 shilling from 48 feeble lambs sold, at 2.5pence each.</t>
        </is>
      </c>
      <c r="C59" t="n">
        <v>0.51</v>
      </c>
      <c r="D59" t="n">
        <v>0</v>
      </c>
      <c r="E59" t="n">
        <v>10</v>
      </c>
      <c r="F59" t="n">
        <v>2.5</v>
      </c>
      <c r="H59" t="n">
        <v>0</v>
      </c>
      <c r="I59" t="n">
        <v>0</v>
      </c>
      <c r="J59" t="n">
        <v>0</v>
      </c>
      <c r="K59" t="n">
        <v>0</v>
      </c>
      <c r="L59" t="n">
        <v>0</v>
      </c>
      <c r="M59" t="n">
        <v>0</v>
      </c>
      <c r="N59" t="n">
        <v>0</v>
      </c>
    </row>
    <row r="60">
      <c r="A60" t="inlineStr">
        <is>
          <t>Issues of the manor</t>
        </is>
      </c>
      <c r="B60" t="inlineStr">
        <is>
          <t>nothing from coarse wool and lamb's-wool here because it is sent to Wolvesey.</t>
        </is>
      </c>
      <c r="C60" t="n">
        <v>0</v>
      </c>
      <c r="D60" t="n">
        <v>0</v>
      </c>
      <c r="E60" t="n">
        <v>0</v>
      </c>
      <c r="F60" t="n">
        <v>0</v>
      </c>
      <c r="H60" t="n">
        <v>0</v>
      </c>
      <c r="I60" t="n">
        <v>0</v>
      </c>
      <c r="J60" t="n">
        <v>0</v>
      </c>
      <c r="K60" t="n">
        <v>0</v>
      </c>
      <c r="L60" t="n">
        <v>0</v>
      </c>
      <c r="M60" t="n">
        <v>0</v>
      </c>
      <c r="N60" t="n">
        <v>0</v>
      </c>
    </row>
    <row r="61">
      <c r="A61" t="inlineStr">
        <is>
          <t>Issues of the manor</t>
        </is>
      </c>
      <c r="B61" t="inlineStr">
        <is>
          <t>6 shilling 1.5pence from 7 cloves of wool locks sold, at 101 pence a clove.</t>
        </is>
      </c>
      <c r="C61" t="n">
        <v>0.31</v>
      </c>
      <c r="D61" t="n">
        <v>0</v>
      </c>
      <c r="E61" t="n">
        <v>6</v>
      </c>
      <c r="F61" t="n">
        <v>1.5</v>
      </c>
      <c r="H61" t="n">
        <v>0</v>
      </c>
      <c r="I61" t="n">
        <v>0</v>
      </c>
      <c r="J61" t="n">
        <v>0</v>
      </c>
      <c r="K61" t="n">
        <v>0</v>
      </c>
      <c r="L61" t="n">
        <v>0</v>
      </c>
      <c r="M61" t="n">
        <v>0</v>
      </c>
      <c r="N61" t="n">
        <v>0</v>
      </c>
    </row>
    <row r="62">
      <c r="A62" t="inlineStr">
        <is>
          <t>Issues of the manor</t>
        </is>
      </c>
      <c r="B62" t="inlineStr">
        <is>
          <t>10 shilling 5pence from the skins sold of 18 wethers, 17 ewes and 19 hoggs in murrain before shearing, at 3pence a skin of wethers, 2.5pence a skin of ewes, and 1.5pence a skin of hoggs.</t>
        </is>
      </c>
      <c r="C62" t="n">
        <v>0.52</v>
      </c>
      <c r="D62" t="n">
        <v>0</v>
      </c>
      <c r="E62" t="n">
        <v>10</v>
      </c>
      <c r="F62" t="n">
        <v>5</v>
      </c>
      <c r="H62" t="n">
        <v>0</v>
      </c>
      <c r="I62" t="n">
        <v>0</v>
      </c>
      <c r="J62" t="n">
        <v>0</v>
      </c>
      <c r="K62" t="n">
        <v>0</v>
      </c>
      <c r="L62" t="n">
        <v>0</v>
      </c>
      <c r="M62" t="n">
        <v>0</v>
      </c>
      <c r="N62" t="n">
        <v>0</v>
      </c>
    </row>
    <row r="63">
      <c r="A63" t="inlineStr">
        <is>
          <t>Issues of the manor</t>
        </is>
      </c>
      <c r="B63" t="inlineStr">
        <is>
          <t>1 shilling 9pence from the skins sold wholesale of 13 wethers and 5 ewes in murrain after shearing.</t>
        </is>
      </c>
      <c r="C63" t="n">
        <v>0.09</v>
      </c>
      <c r="D63" t="n">
        <v>0</v>
      </c>
      <c r="E63" t="n">
        <v>1</v>
      </c>
      <c r="F63" t="n">
        <v>9</v>
      </c>
      <c r="H63" t="n">
        <v>0</v>
      </c>
      <c r="I63" t="n">
        <v>0</v>
      </c>
      <c r="J63" t="n">
        <v>0</v>
      </c>
      <c r="K63" t="n">
        <v>0</v>
      </c>
      <c r="L63" t="n">
        <v>0</v>
      </c>
      <c r="M63" t="n">
        <v>0</v>
      </c>
      <c r="N63" t="n">
        <v>0</v>
      </c>
    </row>
    <row r="64">
      <c r="A64" t="inlineStr">
        <is>
          <t>Issues of the manor</t>
        </is>
      </c>
      <c r="B64" t="inlineStr">
        <is>
          <t>2 shilling 2pence from the skins sold of 26 lambs in murrain before weaning, at 1pence a skin.</t>
        </is>
      </c>
      <c r="C64" t="n">
        <v>0.11</v>
      </c>
      <c r="D64" t="n">
        <v>0</v>
      </c>
      <c r="E64" t="n">
        <v>2</v>
      </c>
      <c r="F64" t="n">
        <v>2</v>
      </c>
      <c r="H64" t="n">
        <v>0</v>
      </c>
      <c r="I64" t="n">
        <v>0</v>
      </c>
      <c r="J64" t="n">
        <v>0</v>
      </c>
      <c r="K64" t="n">
        <v>0</v>
      </c>
      <c r="L64" t="n">
        <v>0</v>
      </c>
      <c r="M64" t="n">
        <v>0</v>
      </c>
      <c r="N64" t="n">
        <v>0</v>
      </c>
    </row>
    <row r="65">
      <c r="A65" t="inlineStr">
        <is>
          <t>Issues of the manor</t>
        </is>
      </c>
      <c r="B65" t="inlineStr">
        <is>
          <t>1 shilling 3.75pence from the skins sold of 21 rotted sheep in murrain after weaning, at 0.75pence a skin.</t>
        </is>
      </c>
      <c r="C65" t="n">
        <v>0.07000000000000001</v>
      </c>
      <c r="D65" t="n">
        <v>0</v>
      </c>
      <c r="E65" t="n">
        <v>1</v>
      </c>
      <c r="F65" t="n">
        <v>3.75</v>
      </c>
      <c r="H65" t="n">
        <v>0</v>
      </c>
      <c r="I65" t="n">
        <v>0</v>
      </c>
      <c r="J65" t="n">
        <v>0</v>
      </c>
      <c r="K65" t="n">
        <v>0</v>
      </c>
      <c r="L65" t="n">
        <v>0</v>
      </c>
      <c r="M65" t="n">
        <v>0</v>
      </c>
      <c r="N65" t="n">
        <v>0</v>
      </c>
    </row>
    <row r="66">
      <c r="A66" t="inlineStr">
        <is>
          <t>Issues of the manor</t>
        </is>
      </c>
      <c r="B66" t="inlineStr">
        <is>
          <t>4pence from the skins sold of 12 lambs in murrain after shearing.</t>
        </is>
      </c>
      <c r="C66" t="n">
        <v>0.02</v>
      </c>
      <c r="D66" t="n">
        <v>0</v>
      </c>
      <c r="E66" t="n">
        <v>0</v>
      </c>
      <c r="F66" t="n">
        <v>4</v>
      </c>
      <c r="H66" t="n">
        <v>0</v>
      </c>
      <c r="I66" t="n">
        <v>0</v>
      </c>
      <c r="J66" t="n">
        <v>0</v>
      </c>
      <c r="K66" t="n">
        <v>0</v>
      </c>
      <c r="L66" t="n">
        <v>0</v>
      </c>
      <c r="M66" t="n">
        <v>0</v>
      </c>
      <c r="N66" t="n">
        <v>0</v>
      </c>
    </row>
    <row r="67">
      <c r="A67" t="inlineStr">
        <is>
          <t>Issues of the manor</t>
        </is>
      </c>
      <c r="B67" t="inlineStr">
        <is>
          <t>2 shilling from the hide sold of 1 ox dead from murrain.</t>
        </is>
      </c>
      <c r="C67" t="n">
        <v>0.1</v>
      </c>
      <c r="D67" t="n">
        <v>0</v>
      </c>
      <c r="E67" t="n">
        <v>2</v>
      </c>
      <c r="F67" t="n">
        <v>0</v>
      </c>
      <c r="H67" t="n">
        <v>0</v>
      </c>
      <c r="I67" t="n">
        <v>0</v>
      </c>
      <c r="J67" t="n">
        <v>0</v>
      </c>
      <c r="K67" t="n">
        <v>0</v>
      </c>
      <c r="L67" t="n">
        <v>0</v>
      </c>
      <c r="M67" t="n">
        <v>0</v>
      </c>
      <c r="N67" t="n">
        <v>0</v>
      </c>
    </row>
    <row r="68">
      <c r="A68" t="inlineStr">
        <is>
          <t>Issues of the manor</t>
        </is>
      </c>
      <c r="B68" t="inlineStr">
        <is>
          <t>8pence from the hide sold of 1 bullock dead from murrain.</t>
        </is>
      </c>
      <c r="C68" t="n">
        <v>0.03</v>
      </c>
      <c r="D68" t="n">
        <v>0</v>
      </c>
      <c r="E68" t="n">
        <v>0</v>
      </c>
      <c r="F68" t="n">
        <v>8</v>
      </c>
      <c r="H68" t="n">
        <v>0</v>
      </c>
      <c r="I68" t="n">
        <v>0</v>
      </c>
      <c r="J68" t="n">
        <v>0</v>
      </c>
      <c r="K68" t="n">
        <v>0</v>
      </c>
      <c r="L68" t="n">
        <v>0</v>
      </c>
      <c r="M68" t="n">
        <v>0</v>
      </c>
      <c r="N68" t="n">
        <v>0</v>
      </c>
    </row>
    <row r="69">
      <c r="A69" t="inlineStr">
        <is>
          <t>Issues of the manor</t>
        </is>
      </c>
      <c r="B69" t="inlineStr">
        <is>
          <t>£1 4 shilling from 2 casks of cider sold apart from the vessels.</t>
        </is>
      </c>
      <c r="C69" t="n">
        <v>1.2</v>
      </c>
      <c r="D69" t="n">
        <v>1</v>
      </c>
      <c r="E69" t="n">
        <v>4</v>
      </c>
      <c r="F69" t="n">
        <v>0</v>
      </c>
      <c r="H69" t="n">
        <v>0</v>
      </c>
      <c r="I69" t="n">
        <v>0</v>
      </c>
      <c r="J69" t="n">
        <v>0</v>
      </c>
      <c r="K69" t="n">
        <v>0</v>
      </c>
      <c r="L69" t="n">
        <v>0</v>
      </c>
      <c r="M69" t="n">
        <v>0</v>
      </c>
      <c r="N69" t="n">
        <v>0</v>
      </c>
    </row>
    <row r="70">
      <c r="A70" t="inlineStr">
        <is>
          <t>Issues of the manor</t>
        </is>
      </c>
      <c r="B70" t="inlineStr">
        <is>
          <t>3 shilling from 9.5 cloves of rowen cheese sold.</t>
        </is>
      </c>
      <c r="C70" t="n">
        <v>0.15</v>
      </c>
      <c r="D70" t="n">
        <v>0</v>
      </c>
      <c r="E70" t="n">
        <v>3</v>
      </c>
      <c r="F70" t="n">
        <v>0</v>
      </c>
      <c r="H70" t="n">
        <v>0</v>
      </c>
      <c r="I70" t="n">
        <v>0</v>
      </c>
      <c r="J70" t="n">
        <v>0</v>
      </c>
      <c r="K70" t="n">
        <v>0</v>
      </c>
      <c r="L70" t="n">
        <v>0</v>
      </c>
      <c r="M70" t="n">
        <v>0</v>
      </c>
      <c r="N70" t="n">
        <v>0</v>
      </c>
    </row>
    <row r="71">
      <c r="A71" t="inlineStr">
        <is>
          <t>Issues of the manor</t>
        </is>
      </c>
      <c r="B71" t="inlineStr">
        <is>
          <t>£2 15 shilling 3pence from 6.5 weys of summer cheese sold, at 8 shilling 6pence a wey.</t>
        </is>
      </c>
      <c r="C71" t="n">
        <v>2.76</v>
      </c>
      <c r="D71" t="n">
        <v>2</v>
      </c>
      <c r="E71" t="n">
        <v>15</v>
      </c>
      <c r="F71" t="n">
        <v>3</v>
      </c>
      <c r="H71" t="n">
        <v>0</v>
      </c>
      <c r="I71" t="n">
        <v>0</v>
      </c>
      <c r="J71" t="n">
        <v>0</v>
      </c>
      <c r="K71" t="n">
        <v>0</v>
      </c>
      <c r="L71" t="n">
        <v>0</v>
      </c>
      <c r="M71" t="n">
        <v>0</v>
      </c>
      <c r="N71" t="n">
        <v>0</v>
      </c>
    </row>
    <row r="72">
      <c r="A72" t="inlineStr">
        <is>
          <t>Issues of the manor</t>
        </is>
      </c>
      <c r="B72" t="inlineStr">
        <is>
          <t>4 shilling 6.5pence from 0.5 wey 1 clove of butter solpence Total, £16 5 shilling 4.75pence</t>
        </is>
      </c>
      <c r="C72" t="n">
        <v>16.27</v>
      </c>
      <c r="D72" t="n">
        <v>16</v>
      </c>
      <c r="E72" t="n">
        <v>5</v>
      </c>
      <c r="F72" t="n">
        <v>4.75</v>
      </c>
      <c r="H72" t="n">
        <v>0</v>
      </c>
      <c r="I72" t="n">
        <v>0</v>
      </c>
      <c r="J72" t="n">
        <v>0</v>
      </c>
      <c r="K72" t="n">
        <v>0</v>
      </c>
      <c r="L72" t="n">
        <v>0</v>
      </c>
      <c r="M72" t="n">
        <v>0</v>
      </c>
      <c r="N72" t="n">
        <v>0</v>
      </c>
    </row>
    <row r="73">
      <c r="A73" t="inlineStr">
        <is>
          <t>Sale of corn</t>
        </is>
      </c>
      <c r="B73" t="inlineStr">
        <is>
          <t>The same render account for £12 1 shilling 3.5pence from 42 quarters 2.5 bushels of wheat sold, at 4 shilling 8d a quarters for 5.5 quarters, 5 shilling a quarters for 17.5 quarters 3 bushels, and 6 shilling 8pence a quarters for 18.5 quarters.</t>
        </is>
      </c>
      <c r="C73" t="n">
        <v>12.06</v>
      </c>
      <c r="D73" t="n">
        <v>12</v>
      </c>
      <c r="E73" t="n">
        <v>1</v>
      </c>
      <c r="F73" t="n">
        <v>3.5</v>
      </c>
      <c r="G73" t="inlineStr">
        <is>
          <t>wheat</t>
        </is>
      </c>
      <c r="H73" t="n">
        <v>41.5</v>
      </c>
      <c r="I73" t="n">
        <v>3</v>
      </c>
      <c r="J73" t="n">
        <v>41.875</v>
      </c>
      <c r="K73" t="n">
        <v>42.3125</v>
      </c>
      <c r="L73" t="n">
        <v>-0.4375</v>
      </c>
      <c r="M73" t="n">
        <v>42</v>
      </c>
      <c r="N73" t="n">
        <v>2.5</v>
      </c>
      <c r="O73" t="n">
        <v>5.5</v>
      </c>
      <c r="P73" t="n">
        <v>0</v>
      </c>
      <c r="Q73" t="n">
        <v>17.5</v>
      </c>
      <c r="R73" t="n">
        <v>3</v>
      </c>
      <c r="S73" t="n">
        <v>18.5</v>
      </c>
      <c r="T73" t="n">
        <v>0</v>
      </c>
      <c r="U73" t="n">
        <v>5</v>
      </c>
      <c r="V73" t="n">
        <v>0</v>
      </c>
      <c r="W73" t="n">
        <v>6</v>
      </c>
      <c r="X73" t="n">
        <v>8</v>
      </c>
    </row>
    <row r="74">
      <c r="A74" t="inlineStr">
        <is>
          <t>Sale of corn</t>
        </is>
      </c>
      <c r="B74" t="inlineStr">
        <is>
          <t>£1 1 shilling 3pence from 6 quarters 3 bushels of curall sold, at 3 shilling 4pence a quarters.</t>
        </is>
      </c>
      <c r="C74" t="n">
        <v>1.06</v>
      </c>
      <c r="D74" t="n">
        <v>1</v>
      </c>
      <c r="E74" t="n">
        <v>1</v>
      </c>
      <c r="F74" t="n">
        <v>3</v>
      </c>
      <c r="G74" t="inlineStr">
        <is>
          <t>curall</t>
        </is>
      </c>
      <c r="H74" t="n">
        <v>6</v>
      </c>
      <c r="I74" t="n">
        <v>3</v>
      </c>
      <c r="J74" t="n">
        <v>6.375</v>
      </c>
      <c r="K74" t="n">
        <v>6.375</v>
      </c>
      <c r="L74" t="n">
        <v>0</v>
      </c>
      <c r="M74" t="n">
        <v>6</v>
      </c>
      <c r="N74" t="n">
        <v>3</v>
      </c>
      <c r="U74" t="n">
        <v>3</v>
      </c>
      <c r="V74" t="n">
        <v>4</v>
      </c>
    </row>
    <row r="75">
      <c r="A75" t="inlineStr">
        <is>
          <t>Sale of corn</t>
        </is>
      </c>
      <c r="B75" t="inlineStr">
        <is>
          <t>1 shilling 4pence from 4 bushels of maslin sold.</t>
        </is>
      </c>
      <c r="C75" t="n">
        <v>0.07000000000000001</v>
      </c>
      <c r="D75" t="n">
        <v>0</v>
      </c>
      <c r="E75" t="n">
        <v>1</v>
      </c>
      <c r="F75" t="n">
        <v>4</v>
      </c>
      <c r="G75" t="inlineStr">
        <is>
          <t>maslin</t>
        </is>
      </c>
      <c r="H75" t="n">
        <v>0</v>
      </c>
      <c r="I75" t="n">
        <v>4</v>
      </c>
      <c r="J75" t="n">
        <v>0.5</v>
      </c>
      <c r="K75" t="n">
        <v>0.5</v>
      </c>
      <c r="L75" t="n">
        <v>0</v>
      </c>
      <c r="M75" t="n">
        <v>0</v>
      </c>
      <c r="N75" t="n">
        <v>4</v>
      </c>
    </row>
    <row r="76">
      <c r="A76" t="inlineStr">
        <is>
          <t>Sale of corn</t>
        </is>
      </c>
      <c r="B76" t="inlineStr">
        <is>
          <t>£1 16 shilling 8pence from 11 quarters of bere sold, at 3 shilling 4pence a quarters.</t>
        </is>
      </c>
      <c r="C76" t="n">
        <v>1.83</v>
      </c>
      <c r="D76" t="n">
        <v>1</v>
      </c>
      <c r="E76" t="n">
        <v>16</v>
      </c>
      <c r="F76" t="n">
        <v>8</v>
      </c>
      <c r="H76" t="n">
        <v>11</v>
      </c>
      <c r="I76" t="n">
        <v>0</v>
      </c>
      <c r="J76" t="n">
        <v>11</v>
      </c>
      <c r="K76" t="n">
        <v>11</v>
      </c>
      <c r="L76" t="n">
        <v>0</v>
      </c>
      <c r="M76" t="n">
        <v>11</v>
      </c>
      <c r="N76" t="n">
        <v>0</v>
      </c>
      <c r="U76" t="n">
        <v>3</v>
      </c>
      <c r="V76" t="n">
        <v>4</v>
      </c>
    </row>
    <row r="77">
      <c r="A77" t="inlineStr">
        <is>
          <t>Sale of corn</t>
        </is>
      </c>
      <c r="B77" t="inlineStr">
        <is>
          <t>£6 9 shilling 9pence from 34 quarters 1 bushels of barley sold, at 3 shilling 4pence a quarters for 10 quarters 1 bushels, and 4 shilling a quarters for 24 quarters.</t>
        </is>
      </c>
      <c r="C77" t="n">
        <v>6.49</v>
      </c>
      <c r="D77" t="n">
        <v>6</v>
      </c>
      <c r="E77" t="n">
        <v>9</v>
      </c>
      <c r="F77" t="n">
        <v>9</v>
      </c>
      <c r="G77" t="inlineStr">
        <is>
          <t>barley</t>
        </is>
      </c>
      <c r="H77" t="n">
        <v>34</v>
      </c>
      <c r="I77" t="n">
        <v>1</v>
      </c>
      <c r="J77" t="n">
        <v>34.125</v>
      </c>
      <c r="K77" t="n">
        <v>34.125</v>
      </c>
      <c r="L77" t="n">
        <v>0</v>
      </c>
      <c r="M77" t="n">
        <v>34</v>
      </c>
      <c r="N77" t="n">
        <v>1</v>
      </c>
      <c r="O77" t="n">
        <v>10</v>
      </c>
      <c r="P77" t="n">
        <v>1</v>
      </c>
      <c r="Q77" t="n">
        <v>24</v>
      </c>
      <c r="R77" t="n">
        <v>0</v>
      </c>
      <c r="U77" t="n">
        <v>3</v>
      </c>
      <c r="V77" t="n">
        <v>4</v>
      </c>
      <c r="W77" t="n">
        <v>4</v>
      </c>
      <c r="X77" t="n">
        <v>0</v>
      </c>
    </row>
    <row r="78">
      <c r="A78" t="inlineStr">
        <is>
          <t>Sale of corn</t>
        </is>
      </c>
      <c r="B78" t="inlineStr">
        <is>
          <t>£4 3 shilling 2pence from 34.5 quarters 2 bushels of oats sold, at 2 shilling a quarters for 14 quarters 2 bushels, and 2 shilling 8pence a quarters for 20.5.</t>
        </is>
      </c>
      <c r="C78" t="n">
        <v>4.16</v>
      </c>
      <c r="D78" t="n">
        <v>4</v>
      </c>
      <c r="E78" t="n">
        <v>3</v>
      </c>
      <c r="F78" t="n">
        <v>2</v>
      </c>
      <c r="G78" t="inlineStr">
        <is>
          <t>oats</t>
        </is>
      </c>
      <c r="H78" t="n">
        <v>14</v>
      </c>
      <c r="I78" t="n">
        <v>2</v>
      </c>
      <c r="J78" t="n">
        <v>14.25</v>
      </c>
      <c r="K78" t="n">
        <v>34.75</v>
      </c>
      <c r="L78" t="n">
        <v>-20.5</v>
      </c>
      <c r="M78" t="n">
        <v>34.5</v>
      </c>
      <c r="N78" t="n">
        <v>2</v>
      </c>
      <c r="O78" t="n">
        <v>14</v>
      </c>
      <c r="P78" t="n">
        <v>2</v>
      </c>
      <c r="U78" t="n">
        <v>2</v>
      </c>
      <c r="V78" t="n">
        <v>0</v>
      </c>
      <c r="W78" t="n">
        <v>2</v>
      </c>
      <c r="X78" t="n">
        <v>8</v>
      </c>
    </row>
    <row r="79">
      <c r="A79" t="inlineStr">
        <is>
          <t>Sale of corn</t>
        </is>
      </c>
      <c r="B79" t="inlineStr">
        <is>
          <t>£1 9pence from 9.5quarters 1 bushels of peas sold, at 2 shilling a quarters for 7 quarters 3 bushels, and 2 shilling 8pence a quarters for 2 quarters 2 bushels.</t>
        </is>
      </c>
      <c r="C79" t="n">
        <v>1.04</v>
      </c>
      <c r="D79" t="n">
        <v>1</v>
      </c>
      <c r="E79" t="n">
        <v>0</v>
      </c>
      <c r="F79" t="n">
        <v>9</v>
      </c>
      <c r="G79" t="inlineStr">
        <is>
          <t>peas</t>
        </is>
      </c>
      <c r="H79" t="n">
        <v>9</v>
      </c>
      <c r="I79" t="n">
        <v>5</v>
      </c>
      <c r="J79" t="n">
        <v>9.625</v>
      </c>
      <c r="K79" t="n">
        <v>9.625</v>
      </c>
      <c r="L79" t="n">
        <v>0</v>
      </c>
      <c r="M79" t="n">
        <v>9.5</v>
      </c>
      <c r="N79" t="n">
        <v>1</v>
      </c>
      <c r="O79" t="n">
        <v>7</v>
      </c>
      <c r="P79" t="n">
        <v>3</v>
      </c>
      <c r="Q79" t="n">
        <v>2</v>
      </c>
      <c r="R79" t="n">
        <v>2</v>
      </c>
      <c r="U79" t="n">
        <v>2</v>
      </c>
      <c r="V79" t="n">
        <v>0</v>
      </c>
      <c r="W79" t="n">
        <v>2</v>
      </c>
      <c r="X79" t="n">
        <v>8</v>
      </c>
    </row>
    <row r="80">
      <c r="A80" t="inlineStr">
        <is>
          <t>Sale of corn</t>
        </is>
      </c>
      <c r="B80" t="inlineStr">
        <is>
          <t>£1 5 shilling 6.5 from 14 quarters 3 bushels of vetches sold, at 1 shilling 4pence a quarters for 8 quarters for 6 quarters 3 bushels Total, £27 19 shilling 9pence</t>
        </is>
      </c>
      <c r="C80" t="n">
        <v>1.25</v>
      </c>
      <c r="D80" t="n">
        <v>1</v>
      </c>
      <c r="E80" t="n">
        <v>5</v>
      </c>
      <c r="F80" t="n">
        <v>0</v>
      </c>
      <c r="G80" t="inlineStr">
        <is>
          <t>vetches</t>
        </is>
      </c>
      <c r="H80" t="n">
        <v>14</v>
      </c>
      <c r="I80" t="n">
        <v>3</v>
      </c>
      <c r="J80" t="n">
        <v>14.375</v>
      </c>
      <c r="K80" t="n">
        <v>14.375</v>
      </c>
      <c r="L80" t="n">
        <v>0</v>
      </c>
      <c r="M80" t="n">
        <v>14</v>
      </c>
      <c r="N80" t="n">
        <v>3</v>
      </c>
      <c r="O80" t="n">
        <v>8</v>
      </c>
      <c r="P80" t="n">
        <v>0</v>
      </c>
      <c r="Q80" t="n">
        <v>6</v>
      </c>
      <c r="R80" t="n">
        <v>3</v>
      </c>
      <c r="U80" t="n">
        <v>1</v>
      </c>
      <c r="V80" t="n">
        <v>4</v>
      </c>
    </row>
    <row r="81">
      <c r="A81" t="inlineStr">
        <is>
          <t>Entry and marriage fines</t>
        </is>
      </c>
      <c r="B81" t="inlineStr">
        <is>
          <t>The same render account for 10 shilling from Alice, relict of Cuppyng Breton, to retain 1 messuage and' virgate of land which belonged to her husband.</t>
        </is>
      </c>
      <c r="C81" t="n">
        <v>0.5</v>
      </c>
      <c r="D81" t="n">
        <v>0</v>
      </c>
      <c r="E81" t="n">
        <v>10</v>
      </c>
      <c r="F81" t="n">
        <v>0</v>
      </c>
      <c r="H81" t="n">
        <v>0</v>
      </c>
      <c r="I81" t="n">
        <v>0</v>
      </c>
      <c r="J81" t="n">
        <v>0</v>
      </c>
      <c r="K81" t="n">
        <v>0</v>
      </c>
      <c r="L81" t="n">
        <v>0</v>
      </c>
      <c r="M81" t="n">
        <v>0</v>
      </c>
      <c r="N81" t="n">
        <v>0</v>
      </c>
    </row>
    <row r="82">
      <c r="A82" t="inlineStr">
        <is>
          <t>Entry and marriage fines</t>
        </is>
      </c>
      <c r="B82" t="inlineStr">
        <is>
          <t>£1 from John Seyle to have 1 messuage and 0.5 virgate of land which belonged to Isabel his mother whose heir he is.</t>
        </is>
      </c>
      <c r="C82" t="n">
        <v>1</v>
      </c>
      <c r="D82" t="n">
        <v>1</v>
      </c>
      <c r="E82" t="n">
        <v>0</v>
      </c>
      <c r="F82" t="n">
        <v>0</v>
      </c>
      <c r="H82" t="n">
        <v>0</v>
      </c>
      <c r="I82" t="n">
        <v>0</v>
      </c>
      <c r="J82" t="n">
        <v>0</v>
      </c>
      <c r="K82" t="n">
        <v>0</v>
      </c>
      <c r="L82" t="n">
        <v>0</v>
      </c>
      <c r="M82" t="n">
        <v>0</v>
      </c>
      <c r="N82" t="n">
        <v>0</v>
      </c>
    </row>
    <row r="83">
      <c r="A83" t="inlineStr">
        <is>
          <t>Entry and marriage fines</t>
        </is>
      </c>
      <c r="B83" t="inlineStr">
        <is>
          <t>2 shilling from William le Y1 to have 1 messuage and 1 ferling which belonged to Alice his mother whose heir he is.</t>
        </is>
      </c>
      <c r="C83" t="n">
        <v>0.1</v>
      </c>
      <c r="D83" t="n">
        <v>0</v>
      </c>
      <c r="E83" t="n">
        <v>2</v>
      </c>
      <c r="F83" t="n">
        <v>0</v>
      </c>
      <c r="H83" t="n">
        <v>0</v>
      </c>
      <c r="I83" t="n">
        <v>0</v>
      </c>
      <c r="J83" t="n">
        <v>0</v>
      </c>
      <c r="K83" t="n">
        <v>0</v>
      </c>
      <c r="L83" t="n">
        <v>0</v>
      </c>
      <c r="M83" t="n">
        <v>0</v>
      </c>
      <c r="N83" t="n">
        <v>0</v>
      </c>
    </row>
    <row r="84">
      <c r="A84" t="inlineStr">
        <is>
          <t>Entry and marriage fines</t>
        </is>
      </c>
      <c r="B84" t="inlineStr">
        <is>
          <t>4 shilling from Joan la Hore to have 1 messuage and .5 virgate of land which belonged to John, son of her uncle, whose heir she is.</t>
        </is>
      </c>
      <c r="C84" t="n">
        <v>0.2</v>
      </c>
      <c r="D84" t="n">
        <v>0</v>
      </c>
      <c r="E84" t="n">
        <v>4</v>
      </c>
      <c r="F84" t="n">
        <v>0</v>
      </c>
      <c r="H84" t="n">
        <v>0</v>
      </c>
      <c r="I84" t="n">
        <v>0</v>
      </c>
      <c r="J84" t="n">
        <v>0</v>
      </c>
      <c r="K84" t="n">
        <v>0</v>
      </c>
      <c r="L84" t="n">
        <v>0</v>
      </c>
      <c r="M84" t="n">
        <v>0</v>
      </c>
      <c r="N84" t="n">
        <v>0</v>
      </c>
    </row>
    <row r="85">
      <c r="A85" t="inlineStr">
        <is>
          <t>Entry and marriage fines</t>
        </is>
      </c>
      <c r="B85" t="inlineStr">
        <is>
          <t>6 shilling 8pence from John Chapelay of Hawkley to have Joan la Hore with .5 virgate of her land.</t>
        </is>
      </c>
      <c r="C85" t="n">
        <v>0.33</v>
      </c>
      <c r="D85" t="n">
        <v>0</v>
      </c>
      <c r="E85" t="n">
        <v>6</v>
      </c>
      <c r="F85" t="n">
        <v>8</v>
      </c>
      <c r="H85" t="n">
        <v>0</v>
      </c>
      <c r="I85" t="n">
        <v>0</v>
      </c>
      <c r="J85" t="n">
        <v>0</v>
      </c>
      <c r="K85" t="n">
        <v>0</v>
      </c>
      <c r="L85" t="n">
        <v>0</v>
      </c>
      <c r="M85" t="n">
        <v>0</v>
      </c>
      <c r="N85" t="n">
        <v>0</v>
      </c>
    </row>
    <row r="86">
      <c r="A86" t="inlineStr">
        <is>
          <t>Entry and marriage fines</t>
        </is>
      </c>
      <c r="B86" t="inlineStr">
        <is>
          <t>1 shilling from Guy Gamnoky to have 2 day-works of land by surrender of Richard de Seleford', and the said Guy will relieve the said Richard of 1pence annual rent for the year.</t>
        </is>
      </c>
      <c r="C86" t="n">
        <v>0.05</v>
      </c>
      <c r="D86" t="n">
        <v>0</v>
      </c>
      <c r="E86" t="n">
        <v>1</v>
      </c>
      <c r="F86" t="n">
        <v>1</v>
      </c>
      <c r="H86" t="n">
        <v>0</v>
      </c>
      <c r="I86" t="n">
        <v>0</v>
      </c>
      <c r="J86" t="n">
        <v>0</v>
      </c>
      <c r="K86" t="n">
        <v>0</v>
      </c>
      <c r="L86" t="n">
        <v>0</v>
      </c>
      <c r="M86" t="n">
        <v>0</v>
      </c>
      <c r="N86" t="n">
        <v>0</v>
      </c>
    </row>
    <row r="87">
      <c r="A87" t="inlineStr">
        <is>
          <t>Entry and marriage fines</t>
        </is>
      </c>
      <c r="B87" t="inlineStr">
        <is>
          <t>Total, £2 3 shilling 8pence</t>
        </is>
      </c>
      <c r="C87" t="n">
        <v>2.18</v>
      </c>
      <c r="D87" t="n">
        <v>2</v>
      </c>
      <c r="E87" t="n">
        <v>3</v>
      </c>
      <c r="F87" t="n">
        <v>8</v>
      </c>
      <c r="H87" t="n">
        <v>0</v>
      </c>
      <c r="I87" t="n">
        <v>0</v>
      </c>
      <c r="J87" t="n">
        <v>0</v>
      </c>
      <c r="K87" t="n">
        <v>0</v>
      </c>
      <c r="L87" t="n">
        <v>0</v>
      </c>
      <c r="M87" t="n">
        <v>0</v>
      </c>
      <c r="N87" t="n">
        <v>0</v>
      </c>
    </row>
    <row r="88">
      <c r="A88" t="inlineStr">
        <is>
          <t>Perquisites</t>
        </is>
      </c>
      <c r="B88" t="inlineStr">
        <is>
          <t>The same render account for 2 shilling from Peter de Brok, overseer of the harvest, for keeping the lord's fields and pastures badly.</t>
        </is>
      </c>
      <c r="C88" t="n">
        <v>0.1</v>
      </c>
      <c r="D88" t="n">
        <v>0</v>
      </c>
      <c r="E88" t="n">
        <v>2</v>
      </c>
      <c r="F88" t="n">
        <v>0</v>
      </c>
      <c r="H88" t="n">
        <v>0</v>
      </c>
      <c r="I88" t="n">
        <v>0</v>
      </c>
      <c r="J88" t="n">
        <v>0</v>
      </c>
      <c r="K88" t="n">
        <v>0</v>
      </c>
      <c r="L88" t="n">
        <v>0</v>
      </c>
      <c r="M88" t="n">
        <v>0</v>
      </c>
      <c r="N88" t="n">
        <v>0</v>
      </c>
    </row>
    <row r="89">
      <c r="A89" t="inlineStr">
        <is>
          <t>Perquisites</t>
        </is>
      </c>
      <c r="B89" t="inlineStr">
        <is>
          <t>16 shilling 3pence from various men for various transgressions.</t>
        </is>
      </c>
      <c r="C89" t="n">
        <v>0.8100000000000001</v>
      </c>
      <c r="D89" t="n">
        <v>0</v>
      </c>
      <c r="E89" t="n">
        <v>16</v>
      </c>
      <c r="F89" t="n">
        <v>3</v>
      </c>
      <c r="H89" t="n">
        <v>0</v>
      </c>
      <c r="I89" t="n">
        <v>0</v>
      </c>
      <c r="J89" t="n">
        <v>0</v>
      </c>
      <c r="K89" t="n">
        <v>0</v>
      </c>
      <c r="L89" t="n">
        <v>0</v>
      </c>
      <c r="M89" t="n">
        <v>0</v>
      </c>
      <c r="N89" t="n">
        <v>0</v>
      </c>
    </row>
    <row r="90">
      <c r="A90" t="inlineStr">
        <is>
          <t>Perquisites</t>
        </is>
      </c>
      <c r="B90" t="inlineStr">
        <is>
          <t>Total, 18 shilling 3pence</t>
        </is>
      </c>
      <c r="C90" t="n">
        <v>0.91</v>
      </c>
      <c r="D90" t="n">
        <v>0</v>
      </c>
      <c r="E90" t="n">
        <v>18</v>
      </c>
      <c r="F90" t="n">
        <v>3</v>
      </c>
      <c r="H90" t="n">
        <v>0</v>
      </c>
      <c r="I90" t="n">
        <v>0</v>
      </c>
      <c r="J90" t="n">
        <v>0</v>
      </c>
      <c r="K90" t="n">
        <v>0</v>
      </c>
      <c r="L90" t="n">
        <v>0</v>
      </c>
      <c r="M90" t="n">
        <v>0</v>
      </c>
      <c r="N90" t="n">
        <v>0</v>
      </c>
    </row>
    <row r="91">
      <c r="A91" t="inlineStr">
        <is>
          <t>Total of both</t>
        </is>
      </c>
      <c r="B91" t="inlineStr">
        <is>
          <t>Total of both, £3 1 shilling 11pence</t>
        </is>
      </c>
      <c r="C91" t="n">
        <v>3.1</v>
      </c>
      <c r="D91" t="n">
        <v>3</v>
      </c>
      <c r="E91" t="n">
        <v>1</v>
      </c>
      <c r="F91" t="n">
        <v>11</v>
      </c>
      <c r="H91" t="n">
        <v>0</v>
      </c>
      <c r="I91" t="n">
        <v>0</v>
      </c>
      <c r="J91" t="n">
        <v>0</v>
      </c>
      <c r="K91" t="n">
        <v>0</v>
      </c>
      <c r="L91" t="n">
        <v>0</v>
      </c>
      <c r="M91" t="n">
        <v>0</v>
      </c>
      <c r="N91" t="n">
        <v>0</v>
      </c>
    </row>
    <row r="92">
      <c r="A92" t="inlineStr">
        <is>
          <t>Total of all receipts</t>
        </is>
      </c>
      <c r="B92" t="inlineStr">
        <is>
          <t>Total of all receipts, £80 1 s. 9pence</t>
        </is>
      </c>
      <c r="C92" t="n">
        <v>80</v>
      </c>
      <c r="D92" t="n">
        <v>80</v>
      </c>
      <c r="E92" t="n">
        <v>0</v>
      </c>
      <c r="F92" t="n">
        <v>0</v>
      </c>
      <c r="H92" t="n">
        <v>0</v>
      </c>
      <c r="I92" t="n">
        <v>0</v>
      </c>
      <c r="J92" t="n">
        <v>0</v>
      </c>
      <c r="K92" t="n">
        <v>0</v>
      </c>
      <c r="L92" t="n">
        <v>0</v>
      </c>
      <c r="M92" t="n">
        <v>0</v>
      </c>
      <c r="N92" t="n">
        <v>0</v>
      </c>
    </row>
    <row r="93">
      <c r="A93" t="inlineStr">
        <is>
          <t>Cost of ploughs</t>
        </is>
      </c>
      <c r="B93" t="inlineStr">
        <is>
          <t>In iron and steel bought for 2 ploughs for the year and three ploughs for 1 term 6 shilling 10.5pence.</t>
        </is>
      </c>
      <c r="C93" t="n">
        <v>0.34</v>
      </c>
      <c r="D93" t="n">
        <v>0</v>
      </c>
      <c r="E93" t="n">
        <v>6</v>
      </c>
      <c r="F93" t="n">
        <v>10.5</v>
      </c>
      <c r="H93" t="n">
        <v>0</v>
      </c>
      <c r="I93" t="n">
        <v>0</v>
      </c>
      <c r="J93" t="n">
        <v>0</v>
      </c>
      <c r="K93" t="n">
        <v>0</v>
      </c>
      <c r="L93" t="n">
        <v>0</v>
      </c>
      <c r="M93" t="n">
        <v>0</v>
      </c>
      <c r="N93" t="n">
        <v>0</v>
      </c>
    </row>
    <row r="94">
      <c r="A94" t="inlineStr">
        <is>
          <t>Cost of ploughs</t>
        </is>
      </c>
      <c r="B94" t="inlineStr">
        <is>
          <t>1 ploughshare bought 9pence.</t>
        </is>
      </c>
      <c r="C94" t="n">
        <v>0.04</v>
      </c>
      <c r="D94" t="n">
        <v>0</v>
      </c>
      <c r="E94" t="n">
        <v>0</v>
      </c>
      <c r="F94" t="n">
        <v>9</v>
      </c>
      <c r="H94" t="n">
        <v>0</v>
      </c>
      <c r="I94" t="n">
        <v>0</v>
      </c>
      <c r="J94" t="n">
        <v>0</v>
      </c>
      <c r="K94" t="n">
        <v>0</v>
      </c>
      <c r="L94" t="n">
        <v>0</v>
      </c>
      <c r="M94" t="n">
        <v>0</v>
      </c>
      <c r="N94" t="n">
        <v>0</v>
      </c>
    </row>
    <row r="95">
      <c r="A95" t="inlineStr">
        <is>
          <t>Cost of ploughs</t>
        </is>
      </c>
      <c r="B95" t="inlineStr">
        <is>
          <t>1 plough made anew and others mended 5pence.</t>
        </is>
      </c>
      <c r="C95" t="n">
        <v>0.02</v>
      </c>
      <c r="D95" t="n">
        <v>0</v>
      </c>
      <c r="E95" t="n">
        <v>0</v>
      </c>
      <c r="F95" t="n">
        <v>5</v>
      </c>
      <c r="H95" t="n">
        <v>0</v>
      </c>
      <c r="I95" t="n">
        <v>0</v>
      </c>
      <c r="J95" t="n">
        <v>0</v>
      </c>
      <c r="K95" t="n">
        <v>0</v>
      </c>
      <c r="L95" t="n">
        <v>0</v>
      </c>
      <c r="M95" t="n">
        <v>0</v>
      </c>
      <c r="N95" t="n">
        <v>0</v>
      </c>
    </row>
    <row r="96">
      <c r="A96" t="inlineStr">
        <is>
          <t>Cost of ploughs</t>
        </is>
      </c>
      <c r="B96" t="inlineStr">
        <is>
          <t>trimming timber 3pence.</t>
        </is>
      </c>
      <c r="C96" t="n">
        <v>0.01</v>
      </c>
      <c r="D96" t="n">
        <v>0</v>
      </c>
      <c r="E96" t="n">
        <v>0</v>
      </c>
      <c r="F96" t="n">
        <v>3</v>
      </c>
      <c r="H96" t="n">
        <v>0</v>
      </c>
      <c r="I96" t="n">
        <v>0</v>
      </c>
      <c r="J96" t="n">
        <v>0</v>
      </c>
      <c r="K96" t="n">
        <v>0</v>
      </c>
      <c r="L96" t="n">
        <v>0</v>
      </c>
      <c r="M96" t="n">
        <v>0</v>
      </c>
      <c r="N96" t="n">
        <v>0</v>
      </c>
    </row>
    <row r="97">
      <c r="A97" t="inlineStr">
        <is>
          <t>Cost of ploughs</t>
        </is>
      </c>
      <c r="B97" t="inlineStr">
        <is>
          <t>3 plough feet bought 1 shilling 3pence.</t>
        </is>
      </c>
      <c r="C97" t="n">
        <v>0.06</v>
      </c>
      <c r="D97" t="n">
        <v>0</v>
      </c>
      <c r="E97" t="n">
        <v>1</v>
      </c>
      <c r="F97" t="n">
        <v>3</v>
      </c>
      <c r="H97" t="n">
        <v>0</v>
      </c>
      <c r="I97" t="n">
        <v>0</v>
      </c>
      <c r="J97" t="n">
        <v>0</v>
      </c>
      <c r="K97" t="n">
        <v>0</v>
      </c>
      <c r="L97" t="n">
        <v>0</v>
      </c>
      <c r="M97" t="n">
        <v>0</v>
      </c>
      <c r="N97" t="n">
        <v>0</v>
      </c>
    </row>
    <row r="98">
      <c r="A98" t="inlineStr">
        <is>
          <t>Cost of ploughs</t>
        </is>
      </c>
      <c r="B98" t="inlineStr">
        <is>
          <t>fitting the said plough with iron tyres 1.5pence.</t>
        </is>
      </c>
      <c r="C98" t="n">
        <v>0.01</v>
      </c>
      <c r="D98" t="n">
        <v>0</v>
      </c>
      <c r="E98" t="n">
        <v>0</v>
      </c>
      <c r="F98" t="n">
        <v>1.5</v>
      </c>
      <c r="H98" t="n">
        <v>0</v>
      </c>
      <c r="I98" t="n">
        <v>0</v>
      </c>
      <c r="J98" t="n">
        <v>0</v>
      </c>
      <c r="K98" t="n">
        <v>0</v>
      </c>
      <c r="L98" t="n">
        <v>0</v>
      </c>
      <c r="M98" t="n">
        <v>0</v>
      </c>
      <c r="N98" t="n">
        <v>0</v>
      </c>
    </row>
    <row r="99">
      <c r="A99" t="inlineStr">
        <is>
          <t>Cost of ploughs</t>
        </is>
      </c>
      <c r="B99" t="inlineStr">
        <is>
          <t>3 pairs of wheels bought for the same 1 shilling.</t>
        </is>
      </c>
      <c r="C99" t="n">
        <v>0.05</v>
      </c>
      <c r="D99" t="n">
        <v>0</v>
      </c>
      <c r="E99" t="n">
        <v>1</v>
      </c>
      <c r="F99" t="n">
        <v>0</v>
      </c>
      <c r="H99" t="n">
        <v>0</v>
      </c>
      <c r="I99" t="n">
        <v>0</v>
      </c>
      <c r="J99" t="n">
        <v>0</v>
      </c>
      <c r="K99" t="n">
        <v>0</v>
      </c>
      <c r="L99" t="n">
        <v>0</v>
      </c>
      <c r="M99" t="n">
        <v>0</v>
      </c>
      <c r="N99" t="n">
        <v>0</v>
      </c>
    </row>
    <row r="100">
      <c r="A100" t="inlineStr">
        <is>
          <t>Cost of ploughs</t>
        </is>
      </c>
      <c r="B100" t="inlineStr">
        <is>
          <t>3 halters made from the horses' own hair (de proprio pilo) 0.75pence.</t>
        </is>
      </c>
      <c r="C100" t="n">
        <v>0</v>
      </c>
      <c r="D100" t="n">
        <v>0</v>
      </c>
      <c r="E100" t="n">
        <v>0</v>
      </c>
      <c r="F100" t="n">
        <v>0.75</v>
      </c>
      <c r="H100" t="n">
        <v>0</v>
      </c>
      <c r="I100" t="n">
        <v>0</v>
      </c>
      <c r="J100" t="n">
        <v>0</v>
      </c>
      <c r="K100" t="n">
        <v>0</v>
      </c>
      <c r="L100" t="n">
        <v>0</v>
      </c>
      <c r="M100" t="n">
        <v>0</v>
      </c>
      <c r="N100" t="n">
        <v>0</v>
      </c>
    </row>
    <row r="101">
      <c r="A101" t="inlineStr">
        <is>
          <t>Cost of ploughs</t>
        </is>
      </c>
      <c r="B101" t="inlineStr">
        <is>
          <t>shoeing 2 plough-horses 2 shilling 6pence, because the smith shoes 2 according to custom.</t>
        </is>
      </c>
      <c r="C101" t="n">
        <v>0.12</v>
      </c>
      <c r="D101" t="n">
        <v>0</v>
      </c>
      <c r="E101" t="n">
        <v>2</v>
      </c>
      <c r="F101" t="n">
        <v>6</v>
      </c>
      <c r="H101" t="n">
        <v>0</v>
      </c>
      <c r="I101" t="n">
        <v>0</v>
      </c>
      <c r="J101" t="n">
        <v>0</v>
      </c>
      <c r="K101" t="n">
        <v>0</v>
      </c>
      <c r="L101" t="n">
        <v>0</v>
      </c>
      <c r="M101" t="n">
        <v>0</v>
      </c>
      <c r="N101" t="n">
        <v>0</v>
      </c>
    </row>
    <row r="102">
      <c r="A102" t="inlineStr">
        <is>
          <t>Cost of ploughs</t>
        </is>
      </c>
      <c r="B102" t="inlineStr">
        <is>
          <t>.</t>
        </is>
      </c>
      <c r="C102" t="n">
        <v>0</v>
      </c>
      <c r="D102" t="n">
        <v>0</v>
      </c>
      <c r="E102" t="n">
        <v>0</v>
      </c>
      <c r="F102" t="n">
        <v>0</v>
      </c>
      <c r="H102" t="n">
        <v>0</v>
      </c>
      <c r="I102" t="n">
        <v>0</v>
      </c>
      <c r="J102" t="n">
        <v>0</v>
      </c>
      <c r="K102" t="n">
        <v>0</v>
      </c>
      <c r="L102" t="n">
        <v>0</v>
      </c>
      <c r="M102" t="n">
        <v>0</v>
      </c>
      <c r="N102" t="n">
        <v>0</v>
      </c>
    </row>
    <row r="103">
      <c r="A103" t="inlineStr">
        <is>
          <t>Cost of ploughs</t>
        </is>
      </c>
      <c r="B103" t="inlineStr">
        <is>
          <t>spreading dung 1 shilling 4pence.</t>
        </is>
      </c>
      <c r="C103" t="n">
        <v>0.07000000000000001</v>
      </c>
      <c r="D103" t="n">
        <v>0</v>
      </c>
      <c r="E103" t="n">
        <v>1</v>
      </c>
      <c r="F103" t="n">
        <v>4</v>
      </c>
      <c r="H103" t="n">
        <v>0</v>
      </c>
      <c r="I103" t="n">
        <v>0</v>
      </c>
      <c r="J103" t="n">
        <v>0</v>
      </c>
      <c r="K103" t="n">
        <v>0</v>
      </c>
      <c r="L103" t="n">
        <v>0</v>
      </c>
      <c r="M103" t="n">
        <v>0</v>
      </c>
      <c r="N103" t="n">
        <v>0</v>
      </c>
    </row>
    <row r="104">
      <c r="A104" t="inlineStr">
        <is>
          <t>Cost of ploughs</t>
        </is>
      </c>
      <c r="B104" t="inlineStr">
        <is>
          <t>2 harrows made anew with others mended 4pence.</t>
        </is>
      </c>
      <c r="C104" t="n">
        <v>0.02</v>
      </c>
      <c r="D104" t="n">
        <v>0</v>
      </c>
      <c r="E104" t="n">
        <v>0</v>
      </c>
      <c r="F104" t="n">
        <v>4</v>
      </c>
      <c r="H104" t="n">
        <v>0</v>
      </c>
      <c r="I104" t="n">
        <v>0</v>
      </c>
      <c r="J104" t="n">
        <v>0</v>
      </c>
      <c r="K104" t="n">
        <v>0</v>
      </c>
      <c r="L104" t="n">
        <v>0</v>
      </c>
      <c r="M104" t="n">
        <v>0</v>
      </c>
      <c r="N104" t="n">
        <v>0</v>
      </c>
    </row>
    <row r="105">
      <c r="A105" t="inlineStr">
        <is>
          <t>Cost of ploughs</t>
        </is>
      </c>
      <c r="B105" t="inlineStr">
        <is>
          <t>stipend of 1 drover for the year 3 shilling.</t>
        </is>
      </c>
      <c r="C105" t="n">
        <v>0.15</v>
      </c>
      <c r="D105" t="n">
        <v>0</v>
      </c>
      <c r="E105" t="n">
        <v>3</v>
      </c>
      <c r="F105" t="n">
        <v>0</v>
      </c>
      <c r="H105" t="n">
        <v>0</v>
      </c>
      <c r="I105" t="n">
        <v>0</v>
      </c>
      <c r="J105" t="n">
        <v>0</v>
      </c>
      <c r="K105" t="n">
        <v>0</v>
      </c>
      <c r="L105" t="n">
        <v>0</v>
      </c>
      <c r="M105" t="n">
        <v>0</v>
      </c>
      <c r="N105" t="n">
        <v>0</v>
      </c>
    </row>
    <row r="106">
      <c r="A106" t="inlineStr">
        <is>
          <t>Cost of ploughs</t>
        </is>
      </c>
      <c r="B106" t="inlineStr">
        <is>
          <t>stipend of 1 drover for 1 term 9pence.</t>
        </is>
      </c>
      <c r="C106" t="n">
        <v>0.04</v>
      </c>
      <c r="D106" t="n">
        <v>0</v>
      </c>
      <c r="E106" t="n">
        <v>0</v>
      </c>
      <c r="F106" t="n">
        <v>9</v>
      </c>
      <c r="H106" t="n">
        <v>0</v>
      </c>
      <c r="I106" t="n">
        <v>0</v>
      </c>
      <c r="J106" t="n">
        <v>0</v>
      </c>
      <c r="K106" t="n">
        <v>0</v>
      </c>
      <c r="L106" t="n">
        <v>0</v>
      </c>
      <c r="M106" t="n">
        <v>0</v>
      </c>
      <c r="N106" t="n">
        <v>0</v>
      </c>
    </row>
    <row r="107">
      <c r="A107" t="inlineStr">
        <is>
          <t>Cost of ploughs</t>
        </is>
      </c>
      <c r="B107" t="inlineStr">
        <is>
          <t>stipend of 2 ploughmen who are sometimes carters for the year 6 shilling.</t>
        </is>
      </c>
      <c r="C107" t="n">
        <v>0.3</v>
      </c>
      <c r="D107" t="n">
        <v>0</v>
      </c>
      <c r="E107" t="n">
        <v>6</v>
      </c>
      <c r="F107" t="n">
        <v>0</v>
      </c>
      <c r="H107" t="n">
        <v>0</v>
      </c>
      <c r="I107" t="n">
        <v>0</v>
      </c>
      <c r="J107" t="n">
        <v>0</v>
      </c>
      <c r="K107" t="n">
        <v>0</v>
      </c>
      <c r="L107" t="n">
        <v>0</v>
      </c>
      <c r="M107" t="n">
        <v>0</v>
      </c>
      <c r="N107" t="n">
        <v>0</v>
      </c>
    </row>
    <row r="108">
      <c r="A108" t="inlineStr">
        <is>
          <t>Cost of ploughs</t>
        </is>
      </c>
      <c r="B108" t="inlineStr">
        <is>
          <t>4 oxen £2 1 shilling 3pence, at 10 shilling each for 3, and 11 shilling 3pence for 1..</t>
        </is>
      </c>
      <c r="C108" t="n">
        <v>2.06</v>
      </c>
      <c r="D108" t="n">
        <v>2</v>
      </c>
      <c r="E108" t="n">
        <v>1</v>
      </c>
      <c r="F108" t="n">
        <v>3</v>
      </c>
      <c r="H108" t="n">
        <v>0</v>
      </c>
      <c r="I108" t="n">
        <v>0</v>
      </c>
      <c r="J108" t="n">
        <v>0</v>
      </c>
      <c r="K108" t="n">
        <v>0</v>
      </c>
      <c r="L108" t="n">
        <v>0</v>
      </c>
      <c r="M108" t="n">
        <v>0</v>
      </c>
      <c r="N108" t="n">
        <v>0</v>
      </c>
    </row>
    <row r="109">
      <c r="A109" t="inlineStr">
        <is>
          <t>Cost of ploughs</t>
        </is>
      </c>
      <c r="B109" t="inlineStr">
        <is>
          <t>forage bought 8 shilling Total, £3 13 shilling 10.75pence</t>
        </is>
      </c>
      <c r="C109" t="n">
        <v>3.69</v>
      </c>
      <c r="D109" t="n">
        <v>3</v>
      </c>
      <c r="E109" t="n">
        <v>13</v>
      </c>
      <c r="F109" t="n">
        <v>10.75</v>
      </c>
      <c r="H109" t="n">
        <v>0</v>
      </c>
      <c r="I109" t="n">
        <v>0</v>
      </c>
      <c r="J109" t="n">
        <v>0</v>
      </c>
      <c r="K109" t="n">
        <v>0</v>
      </c>
      <c r="L109" t="n">
        <v>0</v>
      </c>
      <c r="M109" t="n">
        <v>0</v>
      </c>
      <c r="N109" t="n">
        <v>0</v>
      </c>
    </row>
    <row r="110">
      <c r="A110" t="inlineStr">
        <is>
          <t>Cost of carts</t>
        </is>
      </c>
      <c r="B110" t="inlineStr">
        <is>
          <t>In I pair of wheels bought for clearing dung 1 shilling 10pence.</t>
        </is>
      </c>
      <c r="C110" t="n">
        <v>0.09</v>
      </c>
      <c r="D110" t="n">
        <v>0</v>
      </c>
      <c r="E110" t="n">
        <v>1</v>
      </c>
      <c r="F110" t="n">
        <v>10</v>
      </c>
      <c r="H110" t="n">
        <v>0</v>
      </c>
      <c r="I110" t="n">
        <v>0</v>
      </c>
      <c r="J110" t="n">
        <v>0</v>
      </c>
      <c r="K110" t="n">
        <v>0</v>
      </c>
      <c r="L110" t="n">
        <v>0</v>
      </c>
      <c r="M110" t="n">
        <v>0</v>
      </c>
      <c r="N110" t="n">
        <v>0</v>
      </c>
    </row>
    <row r="111">
      <c r="A111" t="inlineStr">
        <is>
          <t>Cost of carts</t>
        </is>
      </c>
      <c r="B111" t="inlineStr">
        <is>
          <t>large nails bought for mending the cart 1 shilling 2.5pence.</t>
        </is>
      </c>
      <c r="C111" t="n">
        <v>0.06</v>
      </c>
      <c r="D111" t="n">
        <v>0</v>
      </c>
      <c r="E111" t="n">
        <v>1</v>
      </c>
      <c r="F111" t="n">
        <v>2.5</v>
      </c>
      <c r="H111" t="n">
        <v>0</v>
      </c>
      <c r="I111" t="n">
        <v>0</v>
      </c>
      <c r="J111" t="n">
        <v>0</v>
      </c>
      <c r="K111" t="n">
        <v>0</v>
      </c>
      <c r="L111" t="n">
        <v>0</v>
      </c>
      <c r="M111" t="n">
        <v>0</v>
      </c>
      <c r="N111" t="n">
        <v>0</v>
      </c>
    </row>
    <row r="112">
      <c r="A112" t="inlineStr">
        <is>
          <t>Cost of carts</t>
        </is>
      </c>
      <c r="B112" t="inlineStr">
        <is>
          <t>fitting the cart with axles with axles bought for the same 7pence.</t>
        </is>
      </c>
      <c r="C112" t="n">
        <v>0.03</v>
      </c>
      <c r="D112" t="n">
        <v>0</v>
      </c>
      <c r="E112" t="n">
        <v>0</v>
      </c>
      <c r="F112" t="n">
        <v>7</v>
      </c>
      <c r="H112" t="n">
        <v>0</v>
      </c>
      <c r="I112" t="n">
        <v>0</v>
      </c>
      <c r="J112" t="n">
        <v>0</v>
      </c>
      <c r="K112" t="n">
        <v>0</v>
      </c>
      <c r="L112" t="n">
        <v>0</v>
      </c>
      <c r="M112" t="n">
        <v>0</v>
      </c>
      <c r="N112" t="n">
        <v>0</v>
      </c>
    </row>
    <row r="113">
      <c r="A113" t="inlineStr">
        <is>
          <t>Cost of carts</t>
        </is>
      </c>
      <c r="B113" t="inlineStr">
        <is>
          <t>2 collars bought 1 shilling 2pence.</t>
        </is>
      </c>
      <c r="C113" t="n">
        <v>0.06</v>
      </c>
      <c r="D113" t="n">
        <v>0</v>
      </c>
      <c r="E113" t="n">
        <v>1</v>
      </c>
      <c r="F113" t="n">
        <v>2</v>
      </c>
      <c r="H113" t="n">
        <v>0</v>
      </c>
      <c r="I113" t="n">
        <v>0</v>
      </c>
      <c r="J113" t="n">
        <v>0</v>
      </c>
      <c r="K113" t="n">
        <v>0</v>
      </c>
      <c r="L113" t="n">
        <v>0</v>
      </c>
      <c r="M113" t="n">
        <v>0</v>
      </c>
      <c r="N113" t="n">
        <v>0</v>
      </c>
    </row>
    <row r="114">
      <c r="A114" t="inlineStr">
        <is>
          <t>Cost of carts</t>
        </is>
      </c>
      <c r="B114" t="inlineStr">
        <is>
          <t>1 pair of saddle-pads 6pence.</t>
        </is>
      </c>
      <c r="C114" t="n">
        <v>0.03</v>
      </c>
      <c r="D114" t="n">
        <v>0</v>
      </c>
      <c r="E114" t="n">
        <v>0</v>
      </c>
      <c r="F114" t="n">
        <v>6</v>
      </c>
      <c r="H114" t="n">
        <v>0</v>
      </c>
      <c r="I114" t="n">
        <v>0</v>
      </c>
      <c r="J114" t="n">
        <v>0</v>
      </c>
      <c r="K114" t="n">
        <v>0</v>
      </c>
      <c r="L114" t="n">
        <v>0</v>
      </c>
      <c r="M114" t="n">
        <v>0</v>
      </c>
      <c r="N114" t="n">
        <v>0</v>
      </c>
    </row>
    <row r="115">
      <c r="A115" t="inlineStr">
        <is>
          <t>Cost of carts</t>
        </is>
      </c>
      <c r="B115" t="inlineStr">
        <is>
          <t>clouts, nails and grease bought 9.5pence.</t>
        </is>
      </c>
      <c r="C115" t="n">
        <v>0.04</v>
      </c>
      <c r="D115" t="n">
        <v>0</v>
      </c>
      <c r="E115" t="n">
        <v>0</v>
      </c>
      <c r="F115" t="n">
        <v>9.5</v>
      </c>
      <c r="H115" t="n">
        <v>0</v>
      </c>
      <c r="I115" t="n">
        <v>0</v>
      </c>
      <c r="J115" t="n">
        <v>0</v>
      </c>
      <c r="K115" t="n">
        <v>0</v>
      </c>
      <c r="L115" t="n">
        <v>0</v>
      </c>
      <c r="M115" t="n">
        <v>0</v>
      </c>
      <c r="N115" t="n">
        <v>0</v>
      </c>
    </row>
    <row r="116">
      <c r="A116" t="inlineStr">
        <is>
          <t>Cost of carts</t>
        </is>
      </c>
      <c r="B116" t="inlineStr">
        <is>
          <t>1 pair of traces bought 4.5pencetethering.</t>
        </is>
      </c>
      <c r="C116" t="n">
        <v>0.02</v>
      </c>
      <c r="D116" t="n">
        <v>0</v>
      </c>
      <c r="E116" t="n">
        <v>0</v>
      </c>
      <c r="F116" t="n">
        <v>4.5</v>
      </c>
      <c r="H116" t="n">
        <v>0</v>
      </c>
      <c r="I116" t="n">
        <v>0</v>
      </c>
      <c r="J116" t="n">
        <v>0</v>
      </c>
      <c r="K116" t="n">
        <v>0</v>
      </c>
      <c r="L116" t="n">
        <v>0</v>
      </c>
      <c r="M116" t="n">
        <v>0</v>
      </c>
      <c r="N116" t="n">
        <v>0</v>
      </c>
    </row>
    <row r="117">
      <c r="A117" t="inlineStr">
        <is>
          <t>Cost of carts</t>
        </is>
      </c>
      <c r="B117" t="inlineStr">
        <is>
          <t>1 rope bought for horses in the pasture 3pence.</t>
        </is>
      </c>
      <c r="C117" t="n">
        <v>0.01</v>
      </c>
      <c r="D117" t="n">
        <v>0</v>
      </c>
      <c r="E117" t="n">
        <v>0</v>
      </c>
      <c r="F117" t="n">
        <v>3</v>
      </c>
      <c r="H117" t="n">
        <v>0</v>
      </c>
      <c r="I117" t="n">
        <v>0</v>
      </c>
      <c r="J117" t="n">
        <v>0</v>
      </c>
      <c r="K117" t="n">
        <v>0</v>
      </c>
      <c r="L117" t="n">
        <v>0</v>
      </c>
      <c r="M117" t="n">
        <v>0</v>
      </c>
      <c r="N117" t="n">
        <v>0</v>
      </c>
    </row>
    <row r="118">
      <c r="A118" t="inlineStr">
        <is>
          <t>Cost of carts</t>
        </is>
      </c>
      <c r="B118" t="inlineStr">
        <is>
          <t>2 halters bought 3pence.</t>
        </is>
      </c>
      <c r="C118" t="n">
        <v>0.01</v>
      </c>
      <c r="D118" t="n">
        <v>0</v>
      </c>
      <c r="E118" t="n">
        <v>0</v>
      </c>
      <c r="F118" t="n">
        <v>3</v>
      </c>
      <c r="H118" t="n">
        <v>0</v>
      </c>
      <c r="I118" t="n">
        <v>0</v>
      </c>
      <c r="J118" t="n">
        <v>0</v>
      </c>
      <c r="K118" t="n">
        <v>0</v>
      </c>
      <c r="L118" t="n">
        <v>0</v>
      </c>
      <c r="M118" t="n">
        <v>0</v>
      </c>
      <c r="N118" t="n">
        <v>0</v>
      </c>
    </row>
    <row r="119">
      <c r="A119" t="inlineStr">
        <is>
          <t>Cost of carts</t>
        </is>
      </c>
      <c r="B119" t="inlineStr">
        <is>
          <t>shoeing 2 cart-horses for the year 3 shilling 6pence.</t>
        </is>
      </c>
      <c r="C119" t="n">
        <v>0.17</v>
      </c>
      <c r="D119" t="n">
        <v>0</v>
      </c>
      <c r="E119" t="n">
        <v>3</v>
      </c>
      <c r="F119" t="n">
        <v>6</v>
      </c>
      <c r="H119" t="n">
        <v>0</v>
      </c>
      <c r="I119" t="n">
        <v>0</v>
      </c>
      <c r="J119" t="n">
        <v>0</v>
      </c>
      <c r="K119" t="n">
        <v>0</v>
      </c>
      <c r="L119" t="n">
        <v>0</v>
      </c>
      <c r="M119" t="n">
        <v>0</v>
      </c>
      <c r="N119" t="n">
        <v>0</v>
      </c>
    </row>
    <row r="120">
      <c r="A120" t="inlineStr">
        <is>
          <t>Cost of carts</t>
        </is>
      </c>
      <c r="B120" t="inlineStr">
        <is>
          <t>1 cart-horse bought 19 shilling 1 pence.</t>
        </is>
      </c>
      <c r="C120" t="n">
        <v>0.95</v>
      </c>
      <c r="D120" t="n">
        <v>0</v>
      </c>
      <c r="E120" t="n">
        <v>19</v>
      </c>
      <c r="F120" t="n">
        <v>1</v>
      </c>
      <c r="H120" t="n">
        <v>0</v>
      </c>
      <c r="I120" t="n">
        <v>0</v>
      </c>
      <c r="J120" t="n">
        <v>0</v>
      </c>
      <c r="K120" t="n">
        <v>0</v>
      </c>
      <c r="L120" t="n">
        <v>0</v>
      </c>
      <c r="M120" t="n">
        <v>0</v>
      </c>
      <c r="N120" t="n">
        <v>0</v>
      </c>
    </row>
    <row r="121">
      <c r="A121" t="inlineStr">
        <is>
          <t>Cost of carts</t>
        </is>
      </c>
      <c r="B121" t="inlineStr">
        <is>
          <t>3 pieces of iron for 3 shovels 6pence Total, £1 10 shilling 0.5pence</t>
        </is>
      </c>
      <c r="C121" t="n">
        <v>1.5</v>
      </c>
      <c r="D121" t="n">
        <v>1</v>
      </c>
      <c r="E121" t="n">
        <v>10</v>
      </c>
      <c r="F121" t="n">
        <v>0.5</v>
      </c>
      <c r="H121" t="n">
        <v>0</v>
      </c>
      <c r="I121" t="n">
        <v>0</v>
      </c>
      <c r="J121" t="n">
        <v>0</v>
      </c>
      <c r="K121" t="n">
        <v>0</v>
      </c>
      <c r="L121" t="n">
        <v>0</v>
      </c>
      <c r="M121" t="n">
        <v>0</v>
      </c>
      <c r="N121" t="n">
        <v>0</v>
      </c>
    </row>
    <row r="122">
      <c r="A122" t="inlineStr">
        <is>
          <t>Dairy</t>
        </is>
      </c>
      <c r="B122" t="inlineStr">
        <is>
          <t>In 7 bushels of salt bought for the dairy, 1 shilling 9pence this year, with the expenses of.</t>
        </is>
      </c>
      <c r="C122" t="n">
        <v>0.09</v>
      </c>
      <c r="D122" t="n">
        <v>0</v>
      </c>
      <c r="E122" t="n">
        <v>1</v>
      </c>
      <c r="F122" t="n">
        <v>9</v>
      </c>
      <c r="H122" t="n">
        <v>0</v>
      </c>
      <c r="I122" t="n">
        <v>7</v>
      </c>
      <c r="J122" t="n">
        <v>0.875</v>
      </c>
      <c r="K122" t="n">
        <v>0.875</v>
      </c>
      <c r="L122" t="n">
        <v>0</v>
      </c>
      <c r="M122" t="n">
        <v>0</v>
      </c>
      <c r="N122" t="n">
        <v>7</v>
      </c>
    </row>
    <row r="123">
      <c r="A123" t="inlineStr">
        <is>
          <t>Dairy</t>
        </is>
      </c>
      <c r="B123" t="inlineStr">
        <is>
          <t>The harvest.</t>
        </is>
      </c>
      <c r="C123" t="n">
        <v>0</v>
      </c>
      <c r="D123" t="n">
        <v>0</v>
      </c>
      <c r="E123" t="n">
        <v>0</v>
      </c>
      <c r="F123" t="n">
        <v>0</v>
      </c>
      <c r="H123" t="n">
        <v>0</v>
      </c>
      <c r="I123" t="n">
        <v>0</v>
      </c>
      <c r="J123" t="n">
        <v>0</v>
      </c>
      <c r="K123" t="n">
        <v>0</v>
      </c>
      <c r="L123" t="n">
        <v>0</v>
      </c>
      <c r="M123" t="n">
        <v>0</v>
      </c>
      <c r="N123" t="n">
        <v>0</v>
      </c>
    </row>
    <row r="124">
      <c r="A124" t="inlineStr">
        <is>
          <t>Dairy</t>
        </is>
      </c>
      <c r="B124" t="inlineStr">
        <is>
          <t>.</t>
        </is>
      </c>
      <c r="C124" t="n">
        <v>0</v>
      </c>
      <c r="D124" t="n">
        <v>0</v>
      </c>
      <c r="E124" t="n">
        <v>0</v>
      </c>
      <c r="F124" t="n">
        <v>0</v>
      </c>
      <c r="H124" t="n">
        <v>0</v>
      </c>
      <c r="I124" t="n">
        <v>0</v>
      </c>
      <c r="J124" t="n">
        <v>0</v>
      </c>
      <c r="K124" t="n">
        <v>0</v>
      </c>
      <c r="L124" t="n">
        <v>0</v>
      </c>
      <c r="M124" t="n">
        <v>0</v>
      </c>
      <c r="N124" t="n">
        <v>0</v>
      </c>
    </row>
    <row r="125">
      <c r="A125" t="inlineStr">
        <is>
          <t>Dairy</t>
        </is>
      </c>
      <c r="B125" t="inlineStr">
        <is>
          <t>earthenware pots and pans bought for the same 4pence.</t>
        </is>
      </c>
      <c r="C125" t="n">
        <v>0.02</v>
      </c>
      <c r="D125" t="n">
        <v>0</v>
      </c>
      <c r="E125" t="n">
        <v>0</v>
      </c>
      <c r="F125" t="n">
        <v>4</v>
      </c>
      <c r="H125" t="n">
        <v>0</v>
      </c>
      <c r="I125" t="n">
        <v>0</v>
      </c>
      <c r="J125" t="n">
        <v>0</v>
      </c>
      <c r="K125" t="n">
        <v>0</v>
      </c>
      <c r="L125" t="n">
        <v>0</v>
      </c>
      <c r="M125" t="n">
        <v>0</v>
      </c>
      <c r="N125" t="n">
        <v>0</v>
      </c>
    </row>
    <row r="126">
      <c r="A126" t="inlineStr">
        <is>
          <t>Dairy</t>
        </is>
      </c>
      <c r="B126" t="inlineStr">
        <is>
          <t>woollen and linen cloth 9pence.</t>
        </is>
      </c>
      <c r="C126" t="n">
        <v>0.04</v>
      </c>
      <c r="D126" t="n">
        <v>0</v>
      </c>
      <c r="E126" t="n">
        <v>0</v>
      </c>
      <c r="F126" t="n">
        <v>9</v>
      </c>
      <c r="H126" t="n">
        <v>0</v>
      </c>
      <c r="I126" t="n">
        <v>0</v>
      </c>
      <c r="J126" t="n">
        <v>0</v>
      </c>
      <c r="K126" t="n">
        <v>0</v>
      </c>
      <c r="L126" t="n">
        <v>0</v>
      </c>
      <c r="M126" t="n">
        <v>0</v>
      </c>
      <c r="N126" t="n">
        <v>0</v>
      </c>
    </row>
    <row r="127">
      <c r="A127" t="inlineStr">
        <is>
          <t>Dairy</t>
        </is>
      </c>
      <c r="B127" t="inlineStr">
        <is>
          <t>a press bought 5pence.</t>
        </is>
      </c>
      <c r="C127" t="n">
        <v>0.02</v>
      </c>
      <c r="D127" t="n">
        <v>0</v>
      </c>
      <c r="E127" t="n">
        <v>0</v>
      </c>
      <c r="F127" t="n">
        <v>5</v>
      </c>
      <c r="H127" t="n">
        <v>0</v>
      </c>
      <c r="I127" t="n">
        <v>0</v>
      </c>
      <c r="J127" t="n">
        <v>0</v>
      </c>
      <c r="K127" t="n">
        <v>0</v>
      </c>
      <c r="L127" t="n">
        <v>0</v>
      </c>
      <c r="M127" t="n">
        <v>0</v>
      </c>
      <c r="N127" t="n">
        <v>0</v>
      </c>
    </row>
    <row r="128">
      <c r="A128" t="inlineStr">
        <is>
          <t>Dairy</t>
        </is>
      </c>
      <c r="B128" t="inlineStr">
        <is>
          <t>1 stall made anew for bullocks 4pence.</t>
        </is>
      </c>
      <c r="C128" t="n">
        <v>0.02</v>
      </c>
      <c r="D128" t="n">
        <v>0</v>
      </c>
      <c r="E128" t="n">
        <v>0</v>
      </c>
      <c r="F128" t="n">
        <v>4</v>
      </c>
      <c r="H128" t="n">
        <v>0</v>
      </c>
      <c r="I128" t="n">
        <v>0</v>
      </c>
      <c r="J128" t="n">
        <v>0</v>
      </c>
      <c r="K128" t="n">
        <v>0</v>
      </c>
      <c r="L128" t="n">
        <v>0</v>
      </c>
      <c r="M128" t="n">
        <v>0</v>
      </c>
      <c r="N128" t="n">
        <v>0</v>
      </c>
    </row>
    <row r="129">
      <c r="A129" t="inlineStr">
        <is>
          <t>Dairy</t>
        </is>
      </c>
      <c r="B129" t="inlineStr">
        <is>
          <t>15 ells of canvas bought for putting wool in 4 shilling 4.5pence, at 3.5pence an ell.</t>
        </is>
      </c>
      <c r="C129" t="n">
        <v>0.22</v>
      </c>
      <c r="D129" t="n">
        <v>0</v>
      </c>
      <c r="E129" t="n">
        <v>4</v>
      </c>
      <c r="F129" t="n">
        <v>4.5</v>
      </c>
      <c r="H129" t="n">
        <v>0</v>
      </c>
      <c r="I129" t="n">
        <v>0</v>
      </c>
      <c r="J129" t="n">
        <v>0</v>
      </c>
      <c r="K129" t="n">
        <v>0</v>
      </c>
      <c r="L129" t="n">
        <v>0</v>
      </c>
      <c r="M129" t="n">
        <v>0</v>
      </c>
      <c r="N129" t="n">
        <v>0</v>
      </c>
    </row>
    <row r="130">
      <c r="A130" t="inlineStr">
        <is>
          <t>Dairy</t>
        </is>
      </c>
      <c r="B130" t="inlineStr">
        <is>
          <t>.</t>
        </is>
      </c>
      <c r="C130" t="n">
        <v>0</v>
      </c>
      <c r="D130" t="n">
        <v>0</v>
      </c>
      <c r="E130" t="n">
        <v>0</v>
      </c>
      <c r="F130" t="n">
        <v>0</v>
      </c>
      <c r="H130" t="n">
        <v>0</v>
      </c>
      <c r="I130" t="n">
        <v>0</v>
      </c>
      <c r="J130" t="n">
        <v>0</v>
      </c>
      <c r="K130" t="n">
        <v>0</v>
      </c>
      <c r="L130" t="n">
        <v>0</v>
      </c>
      <c r="M130" t="n">
        <v>0</v>
      </c>
      <c r="N130" t="n">
        <v>0</v>
      </c>
    </row>
    <row r="131">
      <c r="A131" t="inlineStr">
        <is>
          <t>Dairy</t>
        </is>
      </c>
      <c r="B131" t="inlineStr">
        <is>
          <t>castrating piglets 1pence.</t>
        </is>
      </c>
      <c r="C131" t="n">
        <v>0</v>
      </c>
      <c r="D131" t="n">
        <v>0</v>
      </c>
      <c r="E131" t="n">
        <v>0</v>
      </c>
      <c r="F131" t="n">
        <v>1</v>
      </c>
      <c r="H131" t="n">
        <v>0</v>
      </c>
      <c r="I131" t="n">
        <v>0</v>
      </c>
      <c r="J131" t="n">
        <v>0</v>
      </c>
      <c r="K131" t="n">
        <v>0</v>
      </c>
      <c r="L131" t="n">
        <v>0</v>
      </c>
      <c r="M131" t="n">
        <v>0</v>
      </c>
      <c r="N131" t="n">
        <v>0</v>
      </c>
    </row>
    <row r="132">
      <c r="A132" t="inlineStr">
        <is>
          <t>Dairy</t>
        </is>
      </c>
      <c r="B132" t="inlineStr">
        <is>
          <t>1 tripod bought 8pence.</t>
        </is>
      </c>
      <c r="C132" t="n">
        <v>0.03</v>
      </c>
      <c r="D132" t="n">
        <v>0</v>
      </c>
      <c r="E132" t="n">
        <v>0</v>
      </c>
      <c r="F132" t="n">
        <v>8</v>
      </c>
      <c r="H132" t="n">
        <v>0</v>
      </c>
      <c r="I132" t="n">
        <v>0</v>
      </c>
      <c r="J132" t="n">
        <v>0</v>
      </c>
      <c r="K132" t="n">
        <v>0</v>
      </c>
      <c r="L132" t="n">
        <v>0</v>
      </c>
      <c r="M132" t="n">
        <v>0</v>
      </c>
      <c r="N132" t="n">
        <v>0</v>
      </c>
    </row>
    <row r="133">
      <c r="A133" t="inlineStr">
        <is>
          <t>Dairy</t>
        </is>
      </c>
      <c r="B133" t="inlineStr">
        <is>
          <t>1 tine bought for carrying cider 5pence.</t>
        </is>
      </c>
      <c r="C133" t="n">
        <v>0.02</v>
      </c>
      <c r="D133" t="n">
        <v>0</v>
      </c>
      <c r="E133" t="n">
        <v>0</v>
      </c>
      <c r="F133" t="n">
        <v>5</v>
      </c>
      <c r="H133" t="n">
        <v>0</v>
      </c>
      <c r="I133" t="n">
        <v>0</v>
      </c>
      <c r="J133" t="n">
        <v>0</v>
      </c>
      <c r="K133" t="n">
        <v>0</v>
      </c>
      <c r="L133" t="n">
        <v>0</v>
      </c>
      <c r="M133" t="n">
        <v>0</v>
      </c>
      <c r="N133" t="n">
        <v>0</v>
      </c>
    </row>
    <row r="134">
      <c r="A134" t="inlineStr">
        <is>
          <t>Dairy</t>
        </is>
      </c>
      <c r="B134" t="inlineStr">
        <is>
          <t>3 empty casks bought for putting cider in 7 shilling 2pence.</t>
        </is>
      </c>
      <c r="C134" t="n">
        <v>0.36</v>
      </c>
      <c r="D134" t="n">
        <v>0</v>
      </c>
      <c r="E134" t="n">
        <v>7</v>
      </c>
      <c r="F134" t="n">
        <v>2</v>
      </c>
      <c r="H134" t="n">
        <v>0</v>
      </c>
      <c r="I134" t="n">
        <v>0</v>
      </c>
      <c r="J134" t="n">
        <v>0</v>
      </c>
      <c r="K134" t="n">
        <v>0</v>
      </c>
      <c r="L134" t="n">
        <v>0</v>
      </c>
      <c r="M134" t="n">
        <v>0</v>
      </c>
      <c r="N134" t="n">
        <v>0</v>
      </c>
    </row>
    <row r="135">
      <c r="A135" t="inlineStr">
        <is>
          <t>Dairy</t>
        </is>
      </c>
      <c r="B135" t="inlineStr">
        <is>
          <t>hooping and mending 6 casks 2 shilling 2pence.</t>
        </is>
      </c>
      <c r="C135" t="n">
        <v>0.11</v>
      </c>
      <c r="D135" t="n">
        <v>0</v>
      </c>
      <c r="E135" t="n">
        <v>2</v>
      </c>
      <c r="F135" t="n">
        <v>2</v>
      </c>
      <c r="H135" t="n">
        <v>0</v>
      </c>
      <c r="I135" t="n">
        <v>0</v>
      </c>
      <c r="J135" t="n">
        <v>0</v>
      </c>
      <c r="K135" t="n">
        <v>0</v>
      </c>
      <c r="L135" t="n">
        <v>0</v>
      </c>
      <c r="M135" t="n">
        <v>0</v>
      </c>
      <c r="N135" t="n">
        <v>0</v>
      </c>
    </row>
    <row r="136">
      <c r="A136" t="inlineStr">
        <is>
          <t>Dairy</t>
        </is>
      </c>
      <c r="B136" t="inlineStr">
        <is>
          <t>stipend of 1 dairymaid for the year 2 shilling.</t>
        </is>
      </c>
      <c r="C136" t="n">
        <v>0.1</v>
      </c>
      <c r="D136" t="n">
        <v>0</v>
      </c>
      <c r="E136" t="n">
        <v>2</v>
      </c>
      <c r="F136" t="n">
        <v>0</v>
      </c>
      <c r="H136" t="n">
        <v>0</v>
      </c>
      <c r="I136" t="n">
        <v>0</v>
      </c>
      <c r="J136" t="n">
        <v>0</v>
      </c>
      <c r="K136" t="n">
        <v>0</v>
      </c>
      <c r="L136" t="n">
        <v>0</v>
      </c>
      <c r="M136" t="n">
        <v>0</v>
      </c>
      <c r="N136" t="n">
        <v>0</v>
      </c>
    </row>
    <row r="137">
      <c r="A137" t="inlineStr">
        <is>
          <t>Dairy</t>
        </is>
      </c>
      <c r="B137" t="inlineStr">
        <is>
          <t>stipend of 1 cowherd for 3 terms 1 shilling 6pence Total, £1 1 shilling 11.5pence</t>
        </is>
      </c>
      <c r="C137" t="n">
        <v>1.1</v>
      </c>
      <c r="D137" t="n">
        <v>1</v>
      </c>
      <c r="E137" t="n">
        <v>1</v>
      </c>
      <c r="F137" t="n">
        <v>11.5</v>
      </c>
      <c r="H137" t="n">
        <v>0</v>
      </c>
      <c r="I137" t="n">
        <v>0</v>
      </c>
      <c r="J137" t="n">
        <v>0</v>
      </c>
      <c r="K137" t="n">
        <v>0</v>
      </c>
      <c r="L137" t="n">
        <v>0</v>
      </c>
      <c r="M137" t="n">
        <v>0</v>
      </c>
      <c r="N137" t="n">
        <v>0</v>
      </c>
    </row>
    <row r="138">
      <c r="A138" t="inlineStr">
        <is>
          <t>Sheepcote</t>
        </is>
      </c>
      <c r="B138" t="inlineStr">
        <is>
          <t>In 16 hurdles made for the fold 8pence.</t>
        </is>
      </c>
      <c r="C138" t="n">
        <v>0.03</v>
      </c>
      <c r="D138" t="n">
        <v>0</v>
      </c>
      <c r="E138" t="n">
        <v>0</v>
      </c>
      <c r="F138" t="n">
        <v>8</v>
      </c>
      <c r="H138" t="n">
        <v>0</v>
      </c>
      <c r="I138" t="n">
        <v>0</v>
      </c>
      <c r="J138" t="n">
        <v>0</v>
      </c>
      <c r="K138" t="n">
        <v>0</v>
      </c>
      <c r="L138" t="n">
        <v>0</v>
      </c>
      <c r="M138" t="n">
        <v>0</v>
      </c>
      <c r="N138" t="n">
        <v>0</v>
      </c>
    </row>
    <row r="139">
      <c r="A139" t="inlineStr">
        <is>
          <t>Sheepcote</t>
        </is>
      </c>
      <c r="B139" t="inlineStr">
        <is>
          <t>6 hurdles made for the pen (lokett') with withies collected for the same 2pence.</t>
        </is>
      </c>
      <c r="C139" t="n">
        <v>0.01</v>
      </c>
      <c r="D139" t="n">
        <v>0</v>
      </c>
      <c r="E139" t="n">
        <v>0</v>
      </c>
      <c r="F139" t="n">
        <v>2</v>
      </c>
      <c r="H139" t="n">
        <v>0</v>
      </c>
      <c r="I139" t="n">
        <v>0</v>
      </c>
      <c r="J139" t="n">
        <v>0</v>
      </c>
      <c r="K139" t="n">
        <v>0</v>
      </c>
      <c r="L139" t="n">
        <v>0</v>
      </c>
      <c r="M139" t="n">
        <v>0</v>
      </c>
      <c r="N139" t="n">
        <v>0</v>
      </c>
    </row>
    <row r="140">
      <c r="A140" t="inlineStr">
        <is>
          <t>Sheepcote</t>
        </is>
      </c>
      <c r="B140" t="inlineStr">
        <is>
          <t>re-roofing the ewe-house in places 1 shilling 4pence.</t>
        </is>
      </c>
      <c r="C140" t="n">
        <v>0.07000000000000001</v>
      </c>
      <c r="D140" t="n">
        <v>0</v>
      </c>
      <c r="E140" t="n">
        <v>1</v>
      </c>
      <c r="F140" t="n">
        <v>4</v>
      </c>
      <c r="H140" t="n">
        <v>0</v>
      </c>
      <c r="I140" t="n">
        <v>0</v>
      </c>
      <c r="J140" t="n">
        <v>0</v>
      </c>
      <c r="K140" t="n">
        <v>0</v>
      </c>
      <c r="L140" t="n">
        <v>0</v>
      </c>
      <c r="M140" t="n">
        <v>0</v>
      </c>
      <c r="N140" t="n">
        <v>0</v>
      </c>
    </row>
    <row r="141">
      <c r="A141" t="inlineStr">
        <is>
          <t>Sheepcote</t>
        </is>
      </c>
      <c r="B141" t="inlineStr">
        <is>
          <t>re-roofing the wether-house in places 8pence.</t>
        </is>
      </c>
      <c r="C141" t="n">
        <v>0.03</v>
      </c>
      <c r="D141" t="n">
        <v>0</v>
      </c>
      <c r="E141" t="n">
        <v>0</v>
      </c>
      <c r="F141" t="n">
        <v>8</v>
      </c>
      <c r="H141" t="n">
        <v>0</v>
      </c>
      <c r="I141" t="n">
        <v>0</v>
      </c>
      <c r="J141" t="n">
        <v>0</v>
      </c>
      <c r="K141" t="n">
        <v>0</v>
      </c>
      <c r="L141" t="n">
        <v>0</v>
      </c>
      <c r="M141" t="n">
        <v>0</v>
      </c>
      <c r="N141" t="n">
        <v>0</v>
      </c>
    </row>
    <row r="142">
      <c r="A142" t="inlineStr">
        <is>
          <t>Sheepcote</t>
        </is>
      </c>
      <c r="B142" t="inlineStr">
        <is>
          <t>wattling the fold with withies and stubble collected for the same 1 shilling 4.5pence.</t>
        </is>
      </c>
      <c r="C142" t="n">
        <v>0.07000000000000001</v>
      </c>
      <c r="D142" t="n">
        <v>0</v>
      </c>
      <c r="E142" t="n">
        <v>1</v>
      </c>
      <c r="F142" t="n">
        <v>4.5</v>
      </c>
      <c r="H142" t="n">
        <v>0</v>
      </c>
      <c r="I142" t="n">
        <v>0</v>
      </c>
      <c r="J142" t="n">
        <v>0</v>
      </c>
      <c r="K142" t="n">
        <v>0</v>
      </c>
      <c r="L142" t="n">
        <v>0</v>
      </c>
      <c r="M142" t="n">
        <v>0</v>
      </c>
      <c r="N142" t="n">
        <v>0</v>
      </c>
    </row>
    <row r="143">
      <c r="A143" t="inlineStr">
        <is>
          <t>Sheepcote</t>
        </is>
      </c>
      <c r="B143" t="inlineStr">
        <is>
          <t>fat, vinegar and copperas with the stipend of the man greasing the sheep (ung')16 shilling 1pence Total, £1 3.5pence</t>
        </is>
      </c>
      <c r="C143" t="n">
        <v>1.01</v>
      </c>
      <c r="D143" t="n">
        <v>1</v>
      </c>
      <c r="E143" t="n">
        <v>0</v>
      </c>
      <c r="F143" t="n">
        <v>3.5</v>
      </c>
      <c r="H143" t="n">
        <v>0</v>
      </c>
      <c r="I143" t="n">
        <v>0</v>
      </c>
      <c r="J143" t="n">
        <v>0</v>
      </c>
      <c r="K143" t="n">
        <v>0</v>
      </c>
      <c r="L143" t="n">
        <v>0</v>
      </c>
      <c r="M143" t="n">
        <v>0</v>
      </c>
      <c r="N143" t="n">
        <v>0</v>
      </c>
    </row>
    <row r="144">
      <c r="A144" t="inlineStr">
        <is>
          <t>Cost of buildings</t>
        </is>
      </c>
      <c r="B144" t="inlineStr">
        <is>
          <t>In building the cow-shed anew with a carpenter for the same by piece-work 10 shilling.</t>
        </is>
      </c>
      <c r="C144" t="n">
        <v>0.5</v>
      </c>
      <c r="D144" t="n">
        <v>0</v>
      </c>
      <c r="E144" t="n">
        <v>10</v>
      </c>
      <c r="F144" t="n">
        <v>0</v>
      </c>
      <c r="H144" t="n">
        <v>0</v>
      </c>
      <c r="I144" t="n">
        <v>0</v>
      </c>
      <c r="J144" t="n">
        <v>0</v>
      </c>
      <c r="K144" t="n">
        <v>0</v>
      </c>
      <c r="L144" t="n">
        <v>0</v>
      </c>
      <c r="M144" t="n">
        <v>0</v>
      </c>
      <c r="N144" t="n">
        <v>0</v>
      </c>
    </row>
    <row r="145">
      <c r="A145" t="inlineStr">
        <is>
          <t>Cost of buildings</t>
        </is>
      </c>
      <c r="B145" t="inlineStr">
        <is>
          <t>making 1,500 laths for the same 1 shilling.</t>
        </is>
      </c>
      <c r="C145" t="n">
        <v>0.05</v>
      </c>
      <c r="D145" t="n">
        <v>0</v>
      </c>
      <c r="E145" t="n">
        <v>1</v>
      </c>
      <c r="F145" t="n">
        <v>0</v>
      </c>
      <c r="H145" t="n">
        <v>0</v>
      </c>
      <c r="I145" t="n">
        <v>0</v>
      </c>
      <c r="J145" t="n">
        <v>0</v>
      </c>
      <c r="K145" t="n">
        <v>0</v>
      </c>
      <c r="L145" t="n">
        <v>0</v>
      </c>
      <c r="M145" t="n">
        <v>0</v>
      </c>
      <c r="N145" t="n">
        <v>0</v>
      </c>
    </row>
    <row r="146">
      <c r="A146" t="inlineStr">
        <is>
          <t>Cost of buildings</t>
        </is>
      </c>
      <c r="B146" t="inlineStr">
        <is>
          <t>3,000 nails bought 2 shilling 4pence.</t>
        </is>
      </c>
      <c r="C146" t="n">
        <v>0.12</v>
      </c>
      <c r="D146" t="n">
        <v>0</v>
      </c>
      <c r="E146" t="n">
        <v>2</v>
      </c>
      <c r="F146" t="n">
        <v>4</v>
      </c>
      <c r="H146" t="n">
        <v>0</v>
      </c>
      <c r="I146" t="n">
        <v>0</v>
      </c>
      <c r="J146" t="n">
        <v>0</v>
      </c>
      <c r="K146" t="n">
        <v>0</v>
      </c>
      <c r="L146" t="n">
        <v>0</v>
      </c>
      <c r="M146" t="n">
        <v>0</v>
      </c>
      <c r="N146" t="n">
        <v>0</v>
      </c>
    </row>
    <row r="147">
      <c r="A147" t="inlineStr">
        <is>
          <t>Cost of buildings</t>
        </is>
      </c>
      <c r="B147" t="inlineStr">
        <is>
          <t>re-roofing the said building by piece-work 2 shilling 8pence.</t>
        </is>
      </c>
      <c r="C147" t="n">
        <v>0.13</v>
      </c>
      <c r="D147" t="n">
        <v>0</v>
      </c>
      <c r="E147" t="n">
        <v>2</v>
      </c>
      <c r="F147" t="n">
        <v>8</v>
      </c>
      <c r="H147" t="n">
        <v>0</v>
      </c>
      <c r="I147" t="n">
        <v>0</v>
      </c>
      <c r="J147" t="n">
        <v>0</v>
      </c>
      <c r="K147" t="n">
        <v>0</v>
      </c>
      <c r="L147" t="n">
        <v>0</v>
      </c>
      <c r="M147" t="n">
        <v>0</v>
      </c>
      <c r="N147" t="n">
        <v>0</v>
      </c>
    </row>
    <row r="148">
      <c r="A148" t="inlineStr">
        <is>
          <t>Cost of buildings</t>
        </is>
      </c>
      <c r="B148" t="inlineStr">
        <is>
          <t>re-roofing in places the bailiff's room, small barn, dairy building' and cart-house 1 shilling 8.5pence.</t>
        </is>
      </c>
      <c r="C148" t="n">
        <v>0.09</v>
      </c>
      <c r="D148" t="n">
        <v>0</v>
      </c>
      <c r="E148" t="n">
        <v>1</v>
      </c>
      <c r="F148" t="n">
        <v>8.5</v>
      </c>
      <c r="H148" t="n">
        <v>0</v>
      </c>
      <c r="I148" t="n">
        <v>0</v>
      </c>
      <c r="J148" t="n">
        <v>0</v>
      </c>
      <c r="K148" t="n">
        <v>0</v>
      </c>
      <c r="L148" t="n">
        <v>0</v>
      </c>
      <c r="M148" t="n">
        <v>0</v>
      </c>
      <c r="N148" t="n">
        <v>0</v>
      </c>
    </row>
    <row r="149">
      <c r="A149" t="inlineStr">
        <is>
          <t>Cost of buildings</t>
        </is>
      </c>
      <c r="B149" t="inlineStr">
        <is>
          <t>stubble collected for the same 10pence.</t>
        </is>
      </c>
      <c r="C149" t="n">
        <v>0.04</v>
      </c>
      <c r="D149" t="n">
        <v>0</v>
      </c>
      <c r="E149" t="n">
        <v>0</v>
      </c>
      <c r="F149" t="n">
        <v>10</v>
      </c>
      <c r="H149" t="n">
        <v>0</v>
      </c>
      <c r="I149" t="n">
        <v>0</v>
      </c>
      <c r="J149" t="n">
        <v>0</v>
      </c>
      <c r="K149" t="n">
        <v>0</v>
      </c>
      <c r="L149" t="n">
        <v>0</v>
      </c>
      <c r="M149" t="n">
        <v>0</v>
      </c>
      <c r="N149" t="n">
        <v>0</v>
      </c>
    </row>
    <row r="150">
      <c r="A150" t="inlineStr">
        <is>
          <t>Cost of buildings</t>
        </is>
      </c>
      <c r="B150" t="inlineStr">
        <is>
          <t>hedging to enclose around the garden 9pence.</t>
        </is>
      </c>
      <c r="C150" t="n">
        <v>0.04</v>
      </c>
      <c r="D150" t="n">
        <v>0</v>
      </c>
      <c r="E150" t="n">
        <v>0</v>
      </c>
      <c r="F150" t="n">
        <v>9</v>
      </c>
      <c r="H150" t="n">
        <v>0</v>
      </c>
      <c r="I150" t="n">
        <v>0</v>
      </c>
      <c r="J150" t="n">
        <v>0</v>
      </c>
      <c r="K150" t="n">
        <v>0</v>
      </c>
      <c r="L150" t="n">
        <v>0</v>
      </c>
      <c r="M150" t="n">
        <v>0</v>
      </c>
      <c r="N150" t="n">
        <v>0</v>
      </c>
    </row>
    <row r="151">
      <c r="A151" t="inlineStr">
        <is>
          <t>Cost of buildings</t>
        </is>
      </c>
      <c r="B151" t="inlineStr">
        <is>
          <t>pulling down the fencing for the same 8pence.</t>
        </is>
      </c>
      <c r="C151" t="n">
        <v>0.03</v>
      </c>
      <c r="D151" t="n">
        <v>0</v>
      </c>
      <c r="E151" t="n">
        <v>0</v>
      </c>
      <c r="F151" t="n">
        <v>8</v>
      </c>
      <c r="H151" t="n">
        <v>0</v>
      </c>
      <c r="I151" t="n">
        <v>0</v>
      </c>
      <c r="J151" t="n">
        <v>0</v>
      </c>
      <c r="K151" t="n">
        <v>0</v>
      </c>
      <c r="L151" t="n">
        <v>0</v>
      </c>
      <c r="M151" t="n">
        <v>0</v>
      </c>
      <c r="N151" t="n">
        <v>0</v>
      </c>
    </row>
    <row r="152">
      <c r="A152" t="inlineStr">
        <is>
          <t>Cost of buildings</t>
        </is>
      </c>
      <c r="B152" t="inlineStr">
        <is>
          <t>mending the walls of the great barn and putting in sills 1 shilling.</t>
        </is>
      </c>
      <c r="C152" t="n">
        <v>0.05</v>
      </c>
      <c r="D152" t="n">
        <v>0</v>
      </c>
      <c r="E152" t="n">
        <v>1</v>
      </c>
      <c r="F152" t="n">
        <v>0</v>
      </c>
      <c r="H152" t="n">
        <v>0</v>
      </c>
      <c r="I152" t="n">
        <v>0</v>
      </c>
      <c r="J152" t="n">
        <v>0</v>
      </c>
      <c r="K152" t="n">
        <v>0</v>
      </c>
      <c r="L152" t="n">
        <v>0</v>
      </c>
      <c r="M152" t="n">
        <v>0</v>
      </c>
      <c r="N152" t="n">
        <v>0</v>
      </c>
    </row>
    <row r="153">
      <c r="A153" t="inlineStr">
        <is>
          <t>Cost of buildings</t>
        </is>
      </c>
      <c r="B153" t="inlineStr">
        <is>
          <t>mending the pig¬sty at Haselholte 3pence.</t>
        </is>
      </c>
      <c r="C153" t="n">
        <v>0.01</v>
      </c>
      <c r="D153" t="n">
        <v>0</v>
      </c>
      <c r="E153" t="n">
        <v>0</v>
      </c>
      <c r="F153" t="n">
        <v>3</v>
      </c>
      <c r="H153" t="n">
        <v>0</v>
      </c>
      <c r="I153" t="n">
        <v>0</v>
      </c>
      <c r="J153" t="n">
        <v>0</v>
      </c>
      <c r="K153" t="n">
        <v>0</v>
      </c>
      <c r="L153" t="n">
        <v>0</v>
      </c>
      <c r="M153" t="n">
        <v>0</v>
      </c>
      <c r="N153" t="n">
        <v>0</v>
      </c>
    </row>
    <row r="154">
      <c r="A154" t="inlineStr">
        <is>
          <t>Cost of buildings</t>
        </is>
      </c>
      <c r="B154" t="inlineStr">
        <is>
          <t>1 lock bought for the door of the great barn 3pence.</t>
        </is>
      </c>
      <c r="C154" t="n">
        <v>0.01</v>
      </c>
      <c r="D154" t="n">
        <v>0</v>
      </c>
      <c r="E154" t="n">
        <v>0</v>
      </c>
      <c r="F154" t="n">
        <v>3</v>
      </c>
      <c r="H154" t="n">
        <v>0</v>
      </c>
      <c r="I154" t="n">
        <v>0</v>
      </c>
      <c r="J154" t="n">
        <v>0</v>
      </c>
      <c r="K154" t="n">
        <v>0</v>
      </c>
      <c r="L154" t="n">
        <v>0</v>
      </c>
      <c r="M154" t="n">
        <v>0</v>
      </c>
      <c r="N154" t="n">
        <v>0</v>
      </c>
    </row>
    <row r="155">
      <c r="A155" t="inlineStr">
        <is>
          <t>Cost of buildings</t>
        </is>
      </c>
      <c r="B155" t="inlineStr">
        <is>
          <t>building a stack of forage in the curia 1 shilling 1pence Total, £1 2 shilling 6.5pence</t>
        </is>
      </c>
      <c r="C155" t="n">
        <v>1.13</v>
      </c>
      <c r="D155" t="n">
        <v>1</v>
      </c>
      <c r="E155" t="n">
        <v>2</v>
      </c>
      <c r="F155" t="n">
        <v>6.5</v>
      </c>
      <c r="H155" t="n">
        <v>0</v>
      </c>
      <c r="I155" t="n">
        <v>0</v>
      </c>
      <c r="J155" t="n">
        <v>0</v>
      </c>
      <c r="K155" t="n">
        <v>0</v>
      </c>
      <c r="L155" t="n">
        <v>0</v>
      </c>
      <c r="M155" t="n">
        <v>0</v>
      </c>
      <c r="N155" t="n">
        <v>0</v>
      </c>
    </row>
    <row r="156">
      <c r="A156" t="inlineStr">
        <is>
          <t>Threshing</t>
        </is>
      </c>
      <c r="B156" t="inlineStr">
        <is>
          <t>In threshing and winnowing 49 quarters 1 bushels of wheat, curall and maslin by piece-work 11 shilling 2.75pence, at 2.75pence a heaped quarter.</t>
        </is>
      </c>
      <c r="C156" t="n">
        <v>0.5600000000000001</v>
      </c>
      <c r="D156" t="n">
        <v>0</v>
      </c>
      <c r="E156" t="n">
        <v>11</v>
      </c>
      <c r="F156" t="n">
        <v>2.75</v>
      </c>
      <c r="G156" t="inlineStr">
        <is>
          <t>curall, maslin, wheat</t>
        </is>
      </c>
      <c r="H156" t="n">
        <v>49</v>
      </c>
      <c r="I156" t="n">
        <v>1</v>
      </c>
      <c r="J156" t="n">
        <v>49.125</v>
      </c>
      <c r="K156" t="n">
        <v>49.125</v>
      </c>
      <c r="L156" t="n">
        <v>0</v>
      </c>
      <c r="M156" t="n">
        <v>49</v>
      </c>
      <c r="N156" t="n">
        <v>1</v>
      </c>
    </row>
    <row r="157">
      <c r="A157" t="inlineStr">
        <is>
          <t>Threshing</t>
        </is>
      </c>
      <c r="B157" t="inlineStr">
        <is>
          <t>.</t>
        </is>
      </c>
      <c r="C157" t="n">
        <v>0</v>
      </c>
      <c r="D157" t="n">
        <v>0</v>
      </c>
      <c r="E157" t="n">
        <v>0</v>
      </c>
      <c r="F157" t="n">
        <v>0</v>
      </c>
      <c r="H157" t="n">
        <v>0</v>
      </c>
      <c r="I157" t="n">
        <v>0</v>
      </c>
      <c r="J157" t="n">
        <v>0</v>
      </c>
      <c r="K157" t="n">
        <v>0</v>
      </c>
      <c r="L157" t="n">
        <v>0</v>
      </c>
      <c r="M157" t="n">
        <v>0</v>
      </c>
      <c r="N157" t="n">
        <v>0</v>
      </c>
    </row>
    <row r="158">
      <c r="A158" t="inlineStr">
        <is>
          <t>Threshing</t>
        </is>
      </c>
      <c r="B158" t="inlineStr">
        <is>
          <t>threshing and winnowing 78 quarters of bere and barley by piece-work 11 shilling 4.5pence, at 1.75pence a heaped quarter.</t>
        </is>
      </c>
      <c r="C158" t="n">
        <v>0.57</v>
      </c>
      <c r="D158" t="n">
        <v>0</v>
      </c>
      <c r="E158" t="n">
        <v>11</v>
      </c>
      <c r="F158" t="n">
        <v>4.5</v>
      </c>
      <c r="G158" t="inlineStr">
        <is>
          <t>barley</t>
        </is>
      </c>
      <c r="H158" t="n">
        <v>78</v>
      </c>
      <c r="I158" t="n">
        <v>0</v>
      </c>
      <c r="J158" t="n">
        <v>78</v>
      </c>
      <c r="K158" t="n">
        <v>78</v>
      </c>
      <c r="L158" t="n">
        <v>0</v>
      </c>
      <c r="M158" t="n">
        <v>78</v>
      </c>
      <c r="N158" t="n">
        <v>0</v>
      </c>
    </row>
    <row r="159">
      <c r="A159" t="inlineStr">
        <is>
          <t>Threshing</t>
        </is>
      </c>
      <c r="B159" t="inlineStr">
        <is>
          <t>.</t>
        </is>
      </c>
      <c r="C159" t="n">
        <v>0</v>
      </c>
      <c r="D159" t="n">
        <v>0</v>
      </c>
      <c r="E159" t="n">
        <v>0</v>
      </c>
      <c r="F159" t="n">
        <v>0</v>
      </c>
      <c r="H159" t="n">
        <v>0</v>
      </c>
      <c r="I159" t="n">
        <v>0</v>
      </c>
      <c r="J159" t="n">
        <v>0</v>
      </c>
      <c r="K159" t="n">
        <v>0</v>
      </c>
      <c r="L159" t="n">
        <v>0</v>
      </c>
      <c r="M159" t="n">
        <v>0</v>
      </c>
      <c r="N159" t="n">
        <v>0</v>
      </c>
    </row>
    <row r="160">
      <c r="A160" t="inlineStr">
        <is>
          <t>Threshing</t>
        </is>
      </c>
      <c r="B160" t="inlineStr">
        <is>
          <t>threshing and winnowing 75 quarters of oats 5 shilling 5.5pence, at 0.75pence a heaped quarter, and 0.25pence per 2 quarters winnowepence.</t>
        </is>
      </c>
      <c r="C160" t="n">
        <v>0.27</v>
      </c>
      <c r="D160" t="n">
        <v>0</v>
      </c>
      <c r="E160" t="n">
        <v>5</v>
      </c>
      <c r="F160" t="n">
        <v>5.5</v>
      </c>
      <c r="G160" t="inlineStr">
        <is>
          <t>oats</t>
        </is>
      </c>
      <c r="H160" t="n">
        <v>2</v>
      </c>
      <c r="I160" t="n">
        <v>0</v>
      </c>
      <c r="J160" t="n">
        <v>2</v>
      </c>
      <c r="K160" t="n">
        <v>75</v>
      </c>
      <c r="L160" t="n">
        <v>-73</v>
      </c>
      <c r="M160" t="n">
        <v>75</v>
      </c>
      <c r="N160" t="n">
        <v>0</v>
      </c>
      <c r="O160" t="n">
        <v>2</v>
      </c>
      <c r="P160" t="n">
        <v>0</v>
      </c>
    </row>
    <row r="161">
      <c r="A161" t="inlineStr">
        <is>
          <t>Threshing</t>
        </is>
      </c>
      <c r="B161" t="inlineStr">
        <is>
          <t>threshing and winnowing 25 quarters 3 bushels of peas and vetches by piece-work 4 shilling 9pence, at 2.25pence a heaped quarter.</t>
        </is>
      </c>
      <c r="C161" t="n">
        <v>0.24</v>
      </c>
      <c r="D161" t="n">
        <v>0</v>
      </c>
      <c r="E161" t="n">
        <v>4</v>
      </c>
      <c r="F161" t="n">
        <v>9</v>
      </c>
      <c r="G161" t="inlineStr">
        <is>
          <t>vetches, peas</t>
        </is>
      </c>
      <c r="H161" t="n">
        <v>25</v>
      </c>
      <c r="I161" t="n">
        <v>3</v>
      </c>
      <c r="J161" t="n">
        <v>25.375</v>
      </c>
      <c r="K161" t="n">
        <v>25.375</v>
      </c>
      <c r="L161" t="n">
        <v>0</v>
      </c>
      <c r="M161" t="n">
        <v>25</v>
      </c>
      <c r="N161" t="n">
        <v>3</v>
      </c>
    </row>
    <row r="162">
      <c r="A162" t="inlineStr">
        <is>
          <t>Threshing</t>
        </is>
      </c>
      <c r="B162" t="inlineStr">
        <is>
          <t>.</t>
        </is>
      </c>
      <c r="C162" t="n">
        <v>0</v>
      </c>
      <c r="D162" t="n">
        <v>0</v>
      </c>
      <c r="E162" t="n">
        <v>0</v>
      </c>
      <c r="F162" t="n">
        <v>0</v>
      </c>
      <c r="H162" t="n">
        <v>0</v>
      </c>
      <c r="I162" t="n">
        <v>0</v>
      </c>
      <c r="J162" t="n">
        <v>0</v>
      </c>
      <c r="K162" t="n">
        <v>0</v>
      </c>
      <c r="L162" t="n">
        <v>0</v>
      </c>
      <c r="M162" t="n">
        <v>0</v>
      </c>
      <c r="N162" t="n">
        <v>0</v>
      </c>
    </row>
    <row r="163">
      <c r="A163" t="inlineStr">
        <is>
          <t>Threshing</t>
        </is>
      </c>
      <c r="B163" t="inlineStr">
        <is>
          <t>1 sack bought 5.5pence.</t>
        </is>
      </c>
      <c r="C163" t="n">
        <v>0.02</v>
      </c>
      <c r="D163" t="n">
        <v>0</v>
      </c>
      <c r="E163" t="n">
        <v>0</v>
      </c>
      <c r="F163" t="n">
        <v>5.5</v>
      </c>
      <c r="H163" t="n">
        <v>0</v>
      </c>
      <c r="I163" t="n">
        <v>0</v>
      </c>
      <c r="J163" t="n">
        <v>0</v>
      </c>
      <c r="K163" t="n">
        <v>0</v>
      </c>
      <c r="L163" t="n">
        <v>0</v>
      </c>
      <c r="M163" t="n">
        <v>0</v>
      </c>
      <c r="N163" t="n">
        <v>0</v>
      </c>
    </row>
    <row r="164">
      <c r="A164" t="inlineStr">
        <is>
          <t>Threshing</t>
        </is>
      </c>
      <c r="B164" t="inlineStr">
        <is>
          <t>1 basket bought for corn 2.5pence Total, £1 13 shilling 5.75pence</t>
        </is>
      </c>
      <c r="C164" t="n">
        <v>1.67</v>
      </c>
      <c r="D164" t="n">
        <v>1</v>
      </c>
      <c r="E164" t="n">
        <v>13</v>
      </c>
      <c r="F164" t="n">
        <v>5.75</v>
      </c>
      <c r="H164" t="n">
        <v>0</v>
      </c>
      <c r="I164" t="n">
        <v>0</v>
      </c>
      <c r="J164" t="n">
        <v>0</v>
      </c>
      <c r="K164" t="n">
        <v>0</v>
      </c>
      <c r="L164" t="n">
        <v>0</v>
      </c>
      <c r="M164" t="n">
        <v>0</v>
      </c>
      <c r="N164" t="n">
        <v>0</v>
      </c>
    </row>
    <row r="165">
      <c r="A165" t="inlineStr">
        <is>
          <t>Harvest-time</t>
        </is>
      </c>
      <c r="B165" t="inlineStr">
        <is>
          <t>In weeding all the corn over and above that weeded by labour service 3 shilling 9pence.</t>
        </is>
      </c>
      <c r="C165" t="n">
        <v>0.19</v>
      </c>
      <c r="D165" t="n">
        <v>0</v>
      </c>
      <c r="E165" t="n">
        <v>3</v>
      </c>
      <c r="F165" t="n">
        <v>9</v>
      </c>
      <c r="H165" t="n">
        <v>0</v>
      </c>
      <c r="I165" t="n">
        <v>0</v>
      </c>
      <c r="J165" t="n">
        <v>0</v>
      </c>
      <c r="K165" t="n">
        <v>0</v>
      </c>
      <c r="L165" t="n">
        <v>0</v>
      </c>
      <c r="M165" t="n">
        <v>0</v>
      </c>
      <c r="N165" t="n">
        <v>0</v>
      </c>
    </row>
    <row r="166">
      <c r="A166" t="inlineStr">
        <is>
          <t>Harvest-time</t>
        </is>
      </c>
      <c r="B166" t="inlineStr">
        <is>
          <t>herrings bought for 6 boon-works of 590 men having two meals a day and 4 herrings each, and for 7 boon-works of 660 men having 1 meal a day and 2 herrings each, 18 shilling 2.5pence.</t>
        </is>
      </c>
      <c r="C166" t="n">
        <v>0.91</v>
      </c>
      <c r="D166" t="n">
        <v>0</v>
      </c>
      <c r="E166" t="n">
        <v>18</v>
      </c>
      <c r="F166" t="n">
        <v>2.5</v>
      </c>
      <c r="H166" t="n">
        <v>0</v>
      </c>
      <c r="I166" t="n">
        <v>0</v>
      </c>
      <c r="J166" t="n">
        <v>0</v>
      </c>
      <c r="K166" t="n">
        <v>0</v>
      </c>
      <c r="L166" t="n">
        <v>0</v>
      </c>
      <c r="M166" t="n">
        <v>0</v>
      </c>
      <c r="N166" t="n">
        <v>0</v>
      </c>
    </row>
    <row r="167">
      <c r="A167" t="inlineStr">
        <is>
          <t>Harvest-time</t>
        </is>
      </c>
      <c r="B167" t="inlineStr">
        <is>
          <t>expenses of the reeve, hayward and other officials of the curia from Lammas (1 August) until the Decollation of St John the Baptist (29 August), for 4 weeks, 5 shilling 4pence Total, £1 7 shilling 3.54.</t>
        </is>
      </c>
      <c r="C167" t="n">
        <v>1.35</v>
      </c>
      <c r="D167" t="n">
        <v>1</v>
      </c>
      <c r="E167" t="n">
        <v>7</v>
      </c>
      <c r="F167" t="n">
        <v>0</v>
      </c>
      <c r="H167" t="n">
        <v>0</v>
      </c>
      <c r="I167" t="n">
        <v>0</v>
      </c>
      <c r="J167" t="n">
        <v>0</v>
      </c>
      <c r="K167" t="n">
        <v>0</v>
      </c>
      <c r="L167" t="n">
        <v>0</v>
      </c>
      <c r="M167" t="n">
        <v>0</v>
      </c>
      <c r="N167" t="n">
        <v>0</v>
      </c>
    </row>
    <row r="168">
      <c r="A168" t="inlineStr">
        <is>
          <t>Expenses of the steward</t>
        </is>
      </c>
      <c r="B168" t="inlineStr">
        <is>
          <t>In expenses of the steward for 2 tourns by 1 tally 2 shilling.</t>
        </is>
      </c>
      <c r="C168" t="n">
        <v>0.1</v>
      </c>
      <c r="D168" t="n">
        <v>0</v>
      </c>
      <c r="E168" t="n">
        <v>2</v>
      </c>
      <c r="F168" t="n">
        <v>0</v>
      </c>
      <c r="H168" t="n">
        <v>0</v>
      </c>
      <c r="I168" t="n">
        <v>0</v>
      </c>
      <c r="J168" t="n">
        <v>0</v>
      </c>
      <c r="K168" t="n">
        <v>0</v>
      </c>
      <c r="L168" t="n">
        <v>0</v>
      </c>
      <c r="M168" t="n">
        <v>0</v>
      </c>
      <c r="N168" t="n">
        <v>0</v>
      </c>
    </row>
    <row r="169">
      <c r="A169" t="inlineStr">
        <is>
          <t>Expenses of the steward</t>
        </is>
      </c>
      <c r="B169" t="inlineStr">
        <is>
          <t>expenses of Roger, bailiff from Michaelmas until Christmas, for his visits 3 shilling.</t>
        </is>
      </c>
      <c r="C169" t="n">
        <v>0.15</v>
      </c>
      <c r="D169" t="n">
        <v>0</v>
      </c>
      <c r="E169" t="n">
        <v>3</v>
      </c>
      <c r="F169" t="n">
        <v>0</v>
      </c>
      <c r="H169" t="n">
        <v>0</v>
      </c>
      <c r="I169" t="n">
        <v>0</v>
      </c>
      <c r="J169" t="n">
        <v>0</v>
      </c>
      <c r="K169" t="n">
        <v>0</v>
      </c>
      <c r="L169" t="n">
        <v>0</v>
      </c>
      <c r="M169" t="n">
        <v>0</v>
      </c>
      <c r="N169" t="n">
        <v>0</v>
      </c>
    </row>
    <row r="170">
      <c r="A170" t="inlineStr">
        <is>
          <t>Expenses of the steward</t>
        </is>
      </c>
      <c r="B170" t="inlineStr">
        <is>
          <t>expenses of Robert, bailiff from Christmas until Michaelmas, for his visits 5 shilling 3pence Total, 10 shilling 3pence</t>
        </is>
      </c>
      <c r="C170" t="n">
        <v>0.26</v>
      </c>
      <c r="D170" t="n">
        <v>0</v>
      </c>
      <c r="E170" t="n">
        <v>5</v>
      </c>
      <c r="F170" t="n">
        <v>3</v>
      </c>
      <c r="H170" t="n">
        <v>0</v>
      </c>
      <c r="I170" t="n">
        <v>0</v>
      </c>
      <c r="J170" t="n">
        <v>0</v>
      </c>
      <c r="K170" t="n">
        <v>0</v>
      </c>
      <c r="L170" t="n">
        <v>0</v>
      </c>
      <c r="M170" t="n">
        <v>0</v>
      </c>
      <c r="N170" t="n">
        <v>0</v>
      </c>
    </row>
    <row r="171">
      <c r="A171" t="inlineStr">
        <is>
          <t>Total of all expenses</t>
        </is>
      </c>
      <c r="B171" t="inlineStr">
        <is>
          <t>Total of all expenses, £10 19 shilling 9pence</t>
        </is>
      </c>
      <c r="C171" t="n">
        <v>10.99</v>
      </c>
      <c r="D171" t="n">
        <v>10</v>
      </c>
      <c r="E171" t="n">
        <v>19</v>
      </c>
      <c r="F171" t="n">
        <v>9</v>
      </c>
      <c r="H171" t="n">
        <v>0</v>
      </c>
      <c r="I171" t="n">
        <v>0</v>
      </c>
      <c r="J171" t="n">
        <v>0</v>
      </c>
      <c r="K171" t="n">
        <v>0</v>
      </c>
      <c r="L171" t="n">
        <v>0</v>
      </c>
      <c r="M171" t="n">
        <v>0</v>
      </c>
      <c r="N171" t="n">
        <v>0</v>
      </c>
    </row>
    <row r="172">
      <c r="A172" t="inlineStr">
        <is>
          <t>And he owes</t>
        </is>
      </c>
      <c r="B172" t="inlineStr">
        <is>
          <t>And he owes, £68 2 shilling</t>
        </is>
      </c>
      <c r="C172" t="n">
        <v>68.09999999999999</v>
      </c>
      <c r="D172" t="n">
        <v>68</v>
      </c>
      <c r="E172" t="n">
        <v>2</v>
      </c>
      <c r="F172" t="n">
        <v>0</v>
      </c>
      <c r="H172" t="n">
        <v>0</v>
      </c>
      <c r="I172" t="n">
        <v>0</v>
      </c>
      <c r="J172" t="n">
        <v>0</v>
      </c>
      <c r="K172" t="n">
        <v>0</v>
      </c>
      <c r="L172" t="n">
        <v>0</v>
      </c>
      <c r="M172" t="n">
        <v>0</v>
      </c>
      <c r="N172" t="n">
        <v>0</v>
      </c>
    </row>
    <row r="173">
      <c r="A173" t="inlineStr">
        <is>
          <t>And he owes clear</t>
        </is>
      </c>
      <c r="B173" t="inlineStr">
        <is>
          <t>And he owes clear, £20 12 shilling</t>
        </is>
      </c>
      <c r="C173" t="n">
        <v>20.6</v>
      </c>
      <c r="D173" t="n">
        <v>20</v>
      </c>
      <c r="E173" t="n">
        <v>12</v>
      </c>
      <c r="F173" t="n">
        <v>0</v>
      </c>
      <c r="H173" t="n">
        <v>0</v>
      </c>
      <c r="I173" t="n">
        <v>0</v>
      </c>
      <c r="J173" t="n">
        <v>0</v>
      </c>
      <c r="K173" t="n">
        <v>0</v>
      </c>
      <c r="L173" t="n">
        <v>0</v>
      </c>
      <c r="M173" t="n">
        <v>0</v>
      </c>
      <c r="N173" t="n">
        <v>0</v>
      </c>
    </row>
    <row r="174">
      <c r="A174" t="inlineStr">
        <is>
          <t>Wheat</t>
        </is>
      </c>
      <c r="B174" t="inlineStr">
        <is>
          <t>{yield: 1 quarters 5 bushels}</t>
        </is>
      </c>
      <c r="C174" t="n">
        <v>0</v>
      </c>
      <c r="D174" t="n">
        <v>0</v>
      </c>
      <c r="E174" t="n">
        <v>0</v>
      </c>
      <c r="F174" t="n">
        <v>0</v>
      </c>
      <c r="H174" t="n">
        <v>1</v>
      </c>
      <c r="I174" t="n">
        <v>5</v>
      </c>
      <c r="J174" t="n">
        <v>1.625</v>
      </c>
      <c r="K174" t="n">
        <v>1.625</v>
      </c>
      <c r="L174" t="n">
        <v>0</v>
      </c>
      <c r="M174" t="n">
        <v>1</v>
      </c>
      <c r="N174" t="n">
        <v>5</v>
      </c>
    </row>
    <row r="175">
      <c r="A175" t="inlineStr">
        <is>
          <t>Wheat</t>
        </is>
      </c>
      <c r="B175" t="inlineStr">
        <is>
          <t>The same render account for 47.5 quarters from the whole issue of wheat by struck measure.</t>
        </is>
      </c>
      <c r="C175" t="n">
        <v>0</v>
      </c>
      <c r="D175" t="n">
        <v>0</v>
      </c>
      <c r="E175" t="n">
        <v>0</v>
      </c>
      <c r="F175" t="n">
        <v>0</v>
      </c>
      <c r="G175" t="inlineStr">
        <is>
          <t>wheat</t>
        </is>
      </c>
      <c r="H175" t="n">
        <v>47.5</v>
      </c>
      <c r="I175" t="n">
        <v>0</v>
      </c>
      <c r="J175" t="n">
        <v>47.5</v>
      </c>
      <c r="K175" t="n">
        <v>47.5</v>
      </c>
      <c r="L175" t="n">
        <v>0</v>
      </c>
      <c r="M175" t="n">
        <v>47.5</v>
      </c>
      <c r="N175" t="n">
        <v>0</v>
      </c>
    </row>
    <row r="176">
      <c r="A176" t="inlineStr">
        <is>
          <t>Wheat</t>
        </is>
      </c>
      <c r="B176" t="inlineStr">
        <is>
          <t>10.5 quarters 2.5 bushels from churchscot.</t>
        </is>
      </c>
      <c r="C176" t="n">
        <v>0</v>
      </c>
      <c r="D176" t="n">
        <v>0</v>
      </c>
      <c r="E176" t="n">
        <v>0</v>
      </c>
      <c r="F176" t="n">
        <v>0</v>
      </c>
      <c r="H176" t="n">
        <v>10.5</v>
      </c>
      <c r="I176" t="n">
        <v>2.5</v>
      </c>
      <c r="J176" t="n">
        <v>10.8125</v>
      </c>
      <c r="K176" t="n">
        <v>10.8125</v>
      </c>
      <c r="L176" t="n">
        <v>0</v>
      </c>
      <c r="M176" t="n">
        <v>10.5</v>
      </c>
      <c r="N176" t="n">
        <v>2.5</v>
      </c>
    </row>
    <row r="177">
      <c r="A177" t="inlineStr">
        <is>
          <t>Wheat</t>
        </is>
      </c>
      <c r="B177" t="inlineStr">
        <is>
          <t>Total, 58 quarters 2.5 bushels</t>
        </is>
      </c>
      <c r="C177" t="n">
        <v>0</v>
      </c>
      <c r="D177" t="n">
        <v>0</v>
      </c>
      <c r="E177" t="n">
        <v>0</v>
      </c>
      <c r="F177" t="n">
        <v>0</v>
      </c>
      <c r="H177" t="n">
        <v>58</v>
      </c>
      <c r="I177" t="n">
        <v>2.5</v>
      </c>
      <c r="J177" t="n">
        <v>58.3125</v>
      </c>
      <c r="K177" t="n">
        <v>58.3125</v>
      </c>
      <c r="L177" t="n">
        <v>0</v>
      </c>
      <c r="M177" t="n">
        <v>58</v>
      </c>
      <c r="N177" t="n">
        <v>2.5</v>
      </c>
    </row>
    <row r="178">
      <c r="A178" t="inlineStr">
        <is>
          <t>Wheat</t>
        </is>
      </c>
      <c r="B178" t="inlineStr">
        <is>
          <t>Sown over 154.5 acres which lie in le Sorelond', Tonforlong', le Suthemestecrofte, and Fomden', 14.5 quarters.</t>
        </is>
      </c>
      <c r="C178" t="n">
        <v>0</v>
      </c>
      <c r="D178" t="n">
        <v>0</v>
      </c>
      <c r="E178" t="n">
        <v>0</v>
      </c>
      <c r="F178" t="n">
        <v>0</v>
      </c>
      <c r="H178" t="n">
        <v>14.5</v>
      </c>
      <c r="I178" t="n">
        <v>0</v>
      </c>
      <c r="J178" t="n">
        <v>14.5</v>
      </c>
      <c r="K178" t="n">
        <v>14.5</v>
      </c>
      <c r="L178" t="n">
        <v>0</v>
      </c>
      <c r="M178" t="n">
        <v>14.5</v>
      </c>
      <c r="N178" t="n">
        <v>0</v>
      </c>
    </row>
    <row r="179">
      <c r="A179" t="inlineStr">
        <is>
          <t>Wheat</t>
        </is>
      </c>
      <c r="B179" t="inlineStr">
        <is>
          <t>that is, 1.5 bushels over 2 acres.</t>
        </is>
      </c>
      <c r="C179" t="n">
        <v>0</v>
      </c>
      <c r="D179" t="n">
        <v>0</v>
      </c>
      <c r="E179" t="n">
        <v>0</v>
      </c>
      <c r="F179" t="n">
        <v>0</v>
      </c>
      <c r="H179" t="n">
        <v>0</v>
      </c>
      <c r="I179" t="n">
        <v>1.5</v>
      </c>
      <c r="J179" t="n">
        <v>0.1875</v>
      </c>
      <c r="K179" t="n">
        <v>0.1875</v>
      </c>
      <c r="L179" t="n">
        <v>0</v>
      </c>
      <c r="M179" t="n">
        <v>0</v>
      </c>
      <c r="N179" t="n">
        <v>1.5</v>
      </c>
    </row>
    <row r="180">
      <c r="A180" t="inlineStr">
        <is>
          <t>Wheat</t>
        </is>
      </c>
      <c r="B180" t="inlineStr">
        <is>
          <t>.</t>
        </is>
      </c>
      <c r="C180" t="n">
        <v>0</v>
      </c>
      <c r="D180" t="n">
        <v>0</v>
      </c>
      <c r="E180" t="n">
        <v>0</v>
      </c>
      <c r="F180" t="n">
        <v>0</v>
      </c>
      <c r="H180" t="n">
        <v>0</v>
      </c>
      <c r="I180" t="n">
        <v>0</v>
      </c>
      <c r="J180" t="n">
        <v>0</v>
      </c>
      <c r="K180" t="n">
        <v>0</v>
      </c>
      <c r="L180" t="n">
        <v>0</v>
      </c>
      <c r="M180" t="n">
        <v>0</v>
      </c>
      <c r="N180" t="n">
        <v>0</v>
      </c>
    </row>
    <row r="181">
      <c r="A181" t="inlineStr">
        <is>
          <t>Wheat</t>
        </is>
      </c>
      <c r="B181" t="inlineStr">
        <is>
          <t>customary payment to 1 sower, 1 bushels.</t>
        </is>
      </c>
      <c r="C181" t="n">
        <v>0</v>
      </c>
      <c r="D181" t="n">
        <v>0</v>
      </c>
      <c r="E181" t="n">
        <v>0</v>
      </c>
      <c r="F181" t="n">
        <v>0</v>
      </c>
      <c r="H181" t="n">
        <v>0</v>
      </c>
      <c r="I181" t="n">
        <v>1</v>
      </c>
      <c r="J181" t="n">
        <v>0.125</v>
      </c>
      <c r="K181" t="n">
        <v>0.125</v>
      </c>
      <c r="L181" t="n">
        <v>0</v>
      </c>
      <c r="M181" t="n">
        <v>0</v>
      </c>
      <c r="N181" t="n">
        <v>1</v>
      </c>
    </row>
    <row r="182">
      <c r="A182" t="inlineStr">
        <is>
          <t>Wheat</t>
        </is>
      </c>
      <c r="B182" t="inlineStr">
        <is>
          <t>provision of 1 reeve, 1 hayward keeping the woods and pasture, and 1 beadle, from Lammas until the Decollation of St John the Baptist, for 4 weeks, 6 bushels Nothing for the provison of the steward this year.</t>
        </is>
      </c>
      <c r="C182" t="n">
        <v>0</v>
      </c>
      <c r="D182" t="n">
        <v>0</v>
      </c>
      <c r="E182" t="n">
        <v>0</v>
      </c>
      <c r="F182" t="n">
        <v>0</v>
      </c>
      <c r="H182" t="n">
        <v>0</v>
      </c>
      <c r="I182" t="n">
        <v>6</v>
      </c>
      <c r="J182" t="n">
        <v>0.75</v>
      </c>
      <c r="K182" t="n">
        <v>0.75</v>
      </c>
      <c r="L182" t="n">
        <v>0</v>
      </c>
      <c r="M182" t="n">
        <v>0</v>
      </c>
      <c r="N182" t="n">
        <v>6</v>
      </c>
    </row>
    <row r="183">
      <c r="A183" t="inlineStr">
        <is>
          <t>Wheat</t>
        </is>
      </c>
      <c r="B183" t="inlineStr">
        <is>
          <t>.</t>
        </is>
      </c>
      <c r="C183" t="n">
        <v>0</v>
      </c>
      <c r="D183" t="n">
        <v>0</v>
      </c>
      <c r="E183" t="n">
        <v>0</v>
      </c>
      <c r="F183" t="n">
        <v>0</v>
      </c>
      <c r="H183" t="n">
        <v>0</v>
      </c>
      <c r="I183" t="n">
        <v>0</v>
      </c>
      <c r="J183" t="n">
        <v>0</v>
      </c>
      <c r="K183" t="n">
        <v>0</v>
      </c>
      <c r="L183" t="n">
        <v>0</v>
      </c>
      <c r="M183" t="n">
        <v>0</v>
      </c>
      <c r="N183" t="n">
        <v>0</v>
      </c>
    </row>
    <row r="184">
      <c r="A184" t="inlineStr">
        <is>
          <t>Wheat</t>
        </is>
      </c>
      <c r="B184" t="inlineStr">
        <is>
          <t>default of the land of Horn for churchscot, 2 bushels.</t>
        </is>
      </c>
      <c r="C184" t="n">
        <v>0</v>
      </c>
      <c r="D184" t="n">
        <v>0</v>
      </c>
      <c r="E184" t="n">
        <v>0</v>
      </c>
      <c r="F184" t="n">
        <v>0</v>
      </c>
      <c r="H184" t="n">
        <v>0</v>
      </c>
      <c r="I184" t="n">
        <v>2</v>
      </c>
      <c r="J184" t="n">
        <v>0.25</v>
      </c>
      <c r="K184" t="n">
        <v>0.25</v>
      </c>
      <c r="L184" t="n">
        <v>0</v>
      </c>
      <c r="M184" t="n">
        <v>0</v>
      </c>
      <c r="N184" t="n">
        <v>2</v>
      </c>
    </row>
    <row r="185">
      <c r="A185" t="inlineStr">
        <is>
          <t>Wheat</t>
        </is>
      </c>
      <c r="B185" t="inlineStr">
        <is>
          <t>the land of Tyle, 1.5 bushels.</t>
        </is>
      </c>
      <c r="C185" t="n">
        <v>0</v>
      </c>
      <c r="D185" t="n">
        <v>0</v>
      </c>
      <c r="E185" t="n">
        <v>0</v>
      </c>
      <c r="F185" t="n">
        <v>0</v>
      </c>
      <c r="H185" t="n">
        <v>0</v>
      </c>
      <c r="I185" t="n">
        <v>1.5</v>
      </c>
      <c r="J185" t="n">
        <v>0.1875</v>
      </c>
      <c r="K185" t="n">
        <v>0.1875</v>
      </c>
      <c r="L185" t="n">
        <v>0</v>
      </c>
      <c r="M185" t="n">
        <v>0</v>
      </c>
      <c r="N185" t="n">
        <v>1.5</v>
      </c>
    </row>
    <row r="186">
      <c r="A186" t="inlineStr">
        <is>
          <t>Wheat</t>
        </is>
      </c>
      <c r="B186" t="inlineStr">
        <is>
          <t>the reeve (le Reve), 0.5 bushels 1 peck.</t>
        </is>
      </c>
      <c r="C186" t="n">
        <v>0</v>
      </c>
      <c r="D186" t="n">
        <v>0</v>
      </c>
      <c r="E186" t="n">
        <v>0</v>
      </c>
      <c r="F186" t="n">
        <v>0</v>
      </c>
      <c r="H186" t="n">
        <v>0</v>
      </c>
      <c r="I186" t="n">
        <v>0.5</v>
      </c>
      <c r="J186" t="n">
        <v>0.0625</v>
      </c>
      <c r="K186" t="n">
        <v>0.0625</v>
      </c>
      <c r="L186" t="n">
        <v>0</v>
      </c>
      <c r="M186" t="n">
        <v>0</v>
      </c>
      <c r="N186" t="n">
        <v>0.5</v>
      </c>
    </row>
    <row r="187">
      <c r="A187" t="inlineStr">
        <is>
          <t>Wheat</t>
        </is>
      </c>
      <c r="B187" t="inlineStr">
        <is>
          <t>the land of the millward (le Meleward') 0.5 bushels 1 peck.</t>
        </is>
      </c>
      <c r="C187" t="n">
        <v>0</v>
      </c>
      <c r="D187" t="n">
        <v>0</v>
      </c>
      <c r="E187" t="n">
        <v>0</v>
      </c>
      <c r="F187" t="n">
        <v>0</v>
      </c>
      <c r="H187" t="n">
        <v>0</v>
      </c>
      <c r="I187" t="n">
        <v>0.5</v>
      </c>
      <c r="J187" t="n">
        <v>0.0625</v>
      </c>
      <c r="K187" t="n">
        <v>0.0625</v>
      </c>
      <c r="L187" t="n">
        <v>0</v>
      </c>
      <c r="M187" t="n">
        <v>0</v>
      </c>
      <c r="N187" t="n">
        <v>0.5</v>
      </c>
    </row>
    <row r="188">
      <c r="A188" t="inlineStr">
        <is>
          <t>Wheat</t>
        </is>
      </c>
      <c r="B188" t="inlineStr">
        <is>
          <t>Sold, 42 quarters 2.5 bushels It balances.</t>
        </is>
      </c>
      <c r="C188" t="n">
        <v>0</v>
      </c>
      <c r="D188" t="n">
        <v>0</v>
      </c>
      <c r="E188" t="n">
        <v>0</v>
      </c>
      <c r="F188" t="n">
        <v>0</v>
      </c>
      <c r="H188" t="n">
        <v>42</v>
      </c>
      <c r="I188" t="n">
        <v>2.5</v>
      </c>
      <c r="J188" t="n">
        <v>42.3125</v>
      </c>
      <c r="K188" t="n">
        <v>42.3125</v>
      </c>
      <c r="L188" t="n">
        <v>0</v>
      </c>
      <c r="M188" t="n">
        <v>42</v>
      </c>
      <c r="N188" t="n">
        <v>2.5</v>
      </c>
    </row>
    <row r="189">
      <c r="A189" t="inlineStr">
        <is>
          <t>Curall</t>
        </is>
      </c>
      <c r="B189" t="inlineStr">
        <is>
          <t>The same render account for 6 quarters 3 bushels from the whole issue of curall by struck measure.</t>
        </is>
      </c>
      <c r="C189" t="n">
        <v>0</v>
      </c>
      <c r="D189" t="n">
        <v>0</v>
      </c>
      <c r="E189" t="n">
        <v>0</v>
      </c>
      <c r="F189" t="n">
        <v>0</v>
      </c>
      <c r="G189" t="inlineStr">
        <is>
          <t>curall</t>
        </is>
      </c>
      <c r="H189" t="n">
        <v>6</v>
      </c>
      <c r="I189" t="n">
        <v>3</v>
      </c>
      <c r="J189" t="n">
        <v>6.375</v>
      </c>
      <c r="K189" t="n">
        <v>6.375</v>
      </c>
      <c r="L189" t="n">
        <v>0</v>
      </c>
      <c r="M189" t="n">
        <v>6</v>
      </c>
      <c r="N189" t="n">
        <v>3</v>
      </c>
    </row>
    <row r="190">
      <c r="A190" t="inlineStr">
        <is>
          <t>Curall</t>
        </is>
      </c>
      <c r="B190" t="inlineStr">
        <is>
          <t>Sold, 6 quarters 3 bushels</t>
        </is>
      </c>
      <c r="C190" t="n">
        <v>0</v>
      </c>
      <c r="D190" t="n">
        <v>0</v>
      </c>
      <c r="E190" t="n">
        <v>0</v>
      </c>
      <c r="F190" t="n">
        <v>0</v>
      </c>
      <c r="H190" t="n">
        <v>6</v>
      </c>
      <c r="I190" t="n">
        <v>3</v>
      </c>
      <c r="J190" t="n">
        <v>6.375</v>
      </c>
      <c r="K190" t="n">
        <v>6.375</v>
      </c>
      <c r="L190" t="n">
        <v>0</v>
      </c>
      <c r="M190" t="n">
        <v>6</v>
      </c>
      <c r="N190" t="n">
        <v>3</v>
      </c>
    </row>
    <row r="191">
      <c r="A191" t="inlineStr">
        <is>
          <t>Rye</t>
        </is>
      </c>
      <c r="B191" t="inlineStr">
        <is>
          <t>The same render account for 2 quarters 0.5 bushels of rye from churchscot.</t>
        </is>
      </c>
      <c r="C191" t="n">
        <v>0</v>
      </c>
      <c r="D191" t="n">
        <v>0</v>
      </c>
      <c r="E191" t="n">
        <v>0</v>
      </c>
      <c r="F191" t="n">
        <v>0</v>
      </c>
      <c r="G191" t="inlineStr">
        <is>
          <t>rye</t>
        </is>
      </c>
      <c r="H191" t="n">
        <v>2</v>
      </c>
      <c r="I191" t="n">
        <v>0.5</v>
      </c>
      <c r="J191" t="n">
        <v>2.0625</v>
      </c>
      <c r="K191" t="n">
        <v>2.0625</v>
      </c>
      <c r="L191" t="n">
        <v>0</v>
      </c>
      <c r="M191" t="n">
        <v>2</v>
      </c>
      <c r="N191" t="n">
        <v>0.5</v>
      </c>
    </row>
    <row r="192">
      <c r="A192" t="inlineStr">
        <is>
          <t>Rye</t>
        </is>
      </c>
      <c r="B192" t="inlineStr">
        <is>
          <t>Sold, 2 quarters 0.5 bushels</t>
        </is>
      </c>
      <c r="C192" t="n">
        <v>0</v>
      </c>
      <c r="D192" t="n">
        <v>0</v>
      </c>
      <c r="E192" t="n">
        <v>0</v>
      </c>
      <c r="F192" t="n">
        <v>0</v>
      </c>
      <c r="H192" t="n">
        <v>2</v>
      </c>
      <c r="I192" t="n">
        <v>0.5</v>
      </c>
      <c r="J192" t="n">
        <v>2.0625</v>
      </c>
      <c r="K192" t="n">
        <v>2.0625</v>
      </c>
      <c r="L192" t="n">
        <v>0</v>
      </c>
      <c r="M192" t="n">
        <v>2</v>
      </c>
      <c r="N192" t="n">
        <v>0.5</v>
      </c>
    </row>
    <row r="193">
      <c r="A193" t="inlineStr">
        <is>
          <t>Maslin</t>
        </is>
      </c>
      <c r="B193" t="inlineStr">
        <is>
          <t>{yield: two-fold plus . . . 1 bushels}</t>
        </is>
      </c>
      <c r="C193" t="n">
        <v>0</v>
      </c>
      <c r="D193" t="n">
        <v>0</v>
      </c>
      <c r="E193" t="n">
        <v>0</v>
      </c>
      <c r="F193" t="n">
        <v>0</v>
      </c>
      <c r="H193" t="n">
        <v>0</v>
      </c>
      <c r="I193" t="n">
        <v>1</v>
      </c>
      <c r="J193" t="n">
        <v>0.125</v>
      </c>
      <c r="K193" t="n">
        <v>0.125</v>
      </c>
      <c r="L193" t="n">
        <v>0</v>
      </c>
      <c r="M193" t="n">
        <v>0</v>
      </c>
      <c r="N193" t="n">
        <v>1</v>
      </c>
    </row>
    <row r="194">
      <c r="A194" t="inlineStr">
        <is>
          <t>Maslin</t>
        </is>
      </c>
      <c r="B194" t="inlineStr">
        <is>
          <t>The same render account for 7.5 quarters 1 bushels from the whole issue of maslin by struck measure.</t>
        </is>
      </c>
      <c r="C194" t="n">
        <v>0</v>
      </c>
      <c r="D194" t="n">
        <v>0</v>
      </c>
      <c r="E194" t="n">
        <v>0</v>
      </c>
      <c r="F194" t="n">
        <v>0</v>
      </c>
      <c r="G194" t="inlineStr">
        <is>
          <t>maslin</t>
        </is>
      </c>
      <c r="H194" t="n">
        <v>7.5</v>
      </c>
      <c r="I194" t="n">
        <v>1</v>
      </c>
      <c r="J194" t="n">
        <v>7.625</v>
      </c>
      <c r="K194" t="n">
        <v>7.625</v>
      </c>
      <c r="L194" t="n">
        <v>0</v>
      </c>
      <c r="M194" t="n">
        <v>7.5</v>
      </c>
      <c r="N194" t="n">
        <v>1</v>
      </c>
    </row>
    <row r="195">
      <c r="A195" t="inlineStr">
        <is>
          <t>Maslin</t>
        </is>
      </c>
      <c r="B195" t="inlineStr">
        <is>
          <t>Mixed with barley, 7 quarters 1 bushels Sold, 4 bushels</t>
        </is>
      </c>
      <c r="C195" t="n">
        <v>0</v>
      </c>
      <c r="D195" t="n">
        <v>0</v>
      </c>
      <c r="E195" t="n">
        <v>0</v>
      </c>
      <c r="F195" t="n">
        <v>0</v>
      </c>
      <c r="G195" t="inlineStr">
        <is>
          <t>barley</t>
        </is>
      </c>
      <c r="H195" t="n">
        <v>7</v>
      </c>
      <c r="I195" t="n">
        <v>4</v>
      </c>
      <c r="J195" t="n">
        <v>7.5</v>
      </c>
      <c r="K195" t="n">
        <v>7.125</v>
      </c>
      <c r="L195" t="n">
        <v>0.375</v>
      </c>
      <c r="M195" t="n">
        <v>7</v>
      </c>
      <c r="N195" t="n">
        <v>1</v>
      </c>
      <c r="O195" t="n">
        <v>0</v>
      </c>
      <c r="P195" t="n">
        <v>4</v>
      </c>
    </row>
    <row r="196">
      <c r="A196" t="inlineStr">
        <is>
          <t>Bere</t>
        </is>
      </c>
      <c r="B196" t="inlineStr">
        <is>
          <t>{yield: . . . plus 6 bushels}</t>
        </is>
      </c>
      <c r="C196" t="n">
        <v>0</v>
      </c>
      <c r="D196" t="n">
        <v>0</v>
      </c>
      <c r="E196" t="n">
        <v>0</v>
      </c>
      <c r="F196" t="n">
        <v>0</v>
      </c>
      <c r="H196" t="n">
        <v>0</v>
      </c>
      <c r="I196" t="n">
        <v>6</v>
      </c>
      <c r="J196" t="n">
        <v>0.75</v>
      </c>
      <c r="K196" t="n">
        <v>0.75</v>
      </c>
      <c r="L196" t="n">
        <v>0</v>
      </c>
      <c r="M196" t="n">
        <v>0</v>
      </c>
      <c r="N196" t="n">
        <v>6</v>
      </c>
    </row>
    <row r="197">
      <c r="A197" t="inlineStr">
        <is>
          <t>Bere</t>
        </is>
      </c>
      <c r="B197" t="inlineStr">
        <is>
          <t>The same render account for 25 quarters 2 bushels from the whole issue of bere by struck measure.</t>
        </is>
      </c>
      <c r="C197" t="n">
        <v>0</v>
      </c>
      <c r="D197" t="n">
        <v>0</v>
      </c>
      <c r="E197" t="n">
        <v>0</v>
      </c>
      <c r="F197" t="n">
        <v>0</v>
      </c>
      <c r="H197" t="n">
        <v>25</v>
      </c>
      <c r="I197" t="n">
        <v>2</v>
      </c>
      <c r="J197" t="n">
        <v>25.25</v>
      </c>
      <c r="K197" t="n">
        <v>25.25</v>
      </c>
      <c r="L197" t="n">
        <v>0</v>
      </c>
      <c r="M197" t="n">
        <v>25</v>
      </c>
      <c r="N197" t="n">
        <v>2</v>
      </c>
    </row>
    <row r="198">
      <c r="A198" t="inlineStr">
        <is>
          <t>Bere</t>
        </is>
      </c>
      <c r="B198" t="inlineStr">
        <is>
          <t>Sown over 21 acres as they lie in le Grove, 5 quarters 2 bushels Mixed with barley for the liveries of the manorial servants, 9 quarters.</t>
        </is>
      </c>
      <c r="C198" t="n">
        <v>0</v>
      </c>
      <c r="D198" t="n">
        <v>0</v>
      </c>
      <c r="E198" t="n">
        <v>0</v>
      </c>
      <c r="F198" t="n">
        <v>0</v>
      </c>
      <c r="G198" t="inlineStr">
        <is>
          <t>barley</t>
        </is>
      </c>
      <c r="H198" t="n">
        <v>9</v>
      </c>
      <c r="I198" t="n">
        <v>2</v>
      </c>
      <c r="J198" t="n">
        <v>9.25</v>
      </c>
      <c r="K198" t="n">
        <v>5.25</v>
      </c>
      <c r="L198" t="n">
        <v>4</v>
      </c>
      <c r="M198" t="n">
        <v>5</v>
      </c>
      <c r="N198" t="n">
        <v>2</v>
      </c>
      <c r="O198" t="n">
        <v>9</v>
      </c>
      <c r="P198" t="n">
        <v>0</v>
      </c>
    </row>
    <row r="199">
      <c r="A199" t="inlineStr">
        <is>
          <t>Bere</t>
        </is>
      </c>
      <c r="B199" t="inlineStr">
        <is>
          <t>Sold, 11 quarters.</t>
        </is>
      </c>
      <c r="C199" t="n">
        <v>0</v>
      </c>
      <c r="D199" t="n">
        <v>0</v>
      </c>
      <c r="E199" t="n">
        <v>0</v>
      </c>
      <c r="F199" t="n">
        <v>0</v>
      </c>
      <c r="H199" t="n">
        <v>11</v>
      </c>
      <c r="I199" t="n">
        <v>0</v>
      </c>
      <c r="J199" t="n">
        <v>11</v>
      </c>
      <c r="K199" t="n">
        <v>11</v>
      </c>
      <c r="L199" t="n">
        <v>0</v>
      </c>
      <c r="M199" t="n">
        <v>11</v>
      </c>
      <c r="N199" t="n">
        <v>0</v>
      </c>
    </row>
    <row r="200">
      <c r="A200" t="inlineStr">
        <is>
          <t>Barley</t>
        </is>
      </c>
      <c r="B200" t="inlineStr">
        <is>
          <t>(yield: 5-fold	. 1 quarters 1 bushels)</t>
        </is>
      </c>
      <c r="C200" t="n">
        <v>0</v>
      </c>
      <c r="D200" t="n">
        <v>0</v>
      </c>
      <c r="E200" t="n">
        <v>0</v>
      </c>
      <c r="F200" t="n">
        <v>0</v>
      </c>
      <c r="H200" t="n">
        <v>1</v>
      </c>
      <c r="I200" t="n">
        <v>1</v>
      </c>
      <c r="J200" t="n">
        <v>1.125</v>
      </c>
      <c r="K200" t="n">
        <v>1.125</v>
      </c>
      <c r="L200" t="n">
        <v>0</v>
      </c>
      <c r="M200" t="n">
        <v>1</v>
      </c>
      <c r="N200" t="n">
        <v>1</v>
      </c>
    </row>
    <row r="201">
      <c r="A201" t="inlineStr">
        <is>
          <t>Barley</t>
        </is>
      </c>
      <c r="B201" t="inlineStr">
        <is>
          <t>The same render account for 73.5 quarters 1 bushels from the whole issue of barley by struck measure.</t>
        </is>
      </c>
      <c r="C201" t="n">
        <v>0</v>
      </c>
      <c r="D201" t="n">
        <v>0</v>
      </c>
      <c r="E201" t="n">
        <v>0</v>
      </c>
      <c r="F201" t="n">
        <v>0</v>
      </c>
      <c r="G201" t="inlineStr">
        <is>
          <t>barley</t>
        </is>
      </c>
      <c r="H201" t="n">
        <v>73.5</v>
      </c>
      <c r="I201" t="n">
        <v>1</v>
      </c>
      <c r="J201" t="n">
        <v>73.625</v>
      </c>
      <c r="K201" t="n">
        <v>73.625</v>
      </c>
      <c r="L201" t="n">
        <v>0</v>
      </c>
      <c r="M201" t="n">
        <v>73.5</v>
      </c>
      <c r="N201" t="n">
        <v>1</v>
      </c>
    </row>
    <row r="202">
      <c r="A202" t="inlineStr">
        <is>
          <t>Barley</t>
        </is>
      </c>
      <c r="B202" t="inlineStr">
        <is>
          <t>7 quarters 1 bushels received above from maslin.</t>
        </is>
      </c>
      <c r="C202" t="n">
        <v>0</v>
      </c>
      <c r="D202" t="n">
        <v>0</v>
      </c>
      <c r="E202" t="n">
        <v>0</v>
      </c>
      <c r="F202" t="n">
        <v>0</v>
      </c>
      <c r="G202" t="inlineStr">
        <is>
          <t>maslin</t>
        </is>
      </c>
      <c r="H202" t="n">
        <v>7</v>
      </c>
      <c r="I202" t="n">
        <v>1</v>
      </c>
      <c r="J202" t="n">
        <v>7.125</v>
      </c>
      <c r="K202" t="n">
        <v>7.125</v>
      </c>
      <c r="L202" t="n">
        <v>0</v>
      </c>
      <c r="M202" t="n">
        <v>7</v>
      </c>
      <c r="N202" t="n">
        <v>1</v>
      </c>
    </row>
    <row r="203">
      <c r="A203" t="inlineStr">
        <is>
          <t>Barley</t>
        </is>
      </c>
      <c r="B203" t="inlineStr">
        <is>
          <t>9 quarters received above from bere.</t>
        </is>
      </c>
      <c r="C203" t="n">
        <v>0</v>
      </c>
      <c r="D203" t="n">
        <v>0</v>
      </c>
      <c r="E203" t="n">
        <v>0</v>
      </c>
      <c r="F203" t="n">
        <v>0</v>
      </c>
      <c r="H203" t="n">
        <v>9</v>
      </c>
      <c r="I203" t="n">
        <v>0</v>
      </c>
      <c r="J203" t="n">
        <v>9</v>
      </c>
      <c r="K203" t="n">
        <v>9</v>
      </c>
      <c r="L203" t="n">
        <v>0</v>
      </c>
      <c r="M203" t="n">
        <v>9</v>
      </c>
      <c r="N203" t="n">
        <v>0</v>
      </c>
    </row>
    <row r="204">
      <c r="A204" t="inlineStr">
        <is>
          <t>Barley</t>
        </is>
      </c>
      <c r="B204" t="inlineStr">
        <is>
          <t>3 quarters 3 bushels, received from vetches for the liveries of the manorial servants.</t>
        </is>
      </c>
      <c r="C204" t="n">
        <v>0</v>
      </c>
      <c r="D204" t="n">
        <v>0</v>
      </c>
      <c r="E204" t="n">
        <v>0</v>
      </c>
      <c r="F204" t="n">
        <v>0</v>
      </c>
      <c r="G204" t="inlineStr">
        <is>
          <t>vetches</t>
        </is>
      </c>
      <c r="H204" t="n">
        <v>3</v>
      </c>
      <c r="I204" t="n">
        <v>3</v>
      </c>
      <c r="J204" t="n">
        <v>3.375</v>
      </c>
      <c r="K204" t="n">
        <v>3.375</v>
      </c>
      <c r="L204" t="n">
        <v>0</v>
      </c>
      <c r="M204" t="n">
        <v>3</v>
      </c>
      <c r="N204" t="n">
        <v>3</v>
      </c>
    </row>
    <row r="205">
      <c r="A205" t="inlineStr">
        <is>
          <t>Barley</t>
        </is>
      </c>
      <c r="B205" t="inlineStr">
        <is>
          <t>Total, 93 quarters 1 bushels</t>
        </is>
      </c>
      <c r="C205" t="n">
        <v>0</v>
      </c>
      <c r="D205" t="n">
        <v>0</v>
      </c>
      <c r="E205" t="n">
        <v>0</v>
      </c>
      <c r="F205" t="n">
        <v>0</v>
      </c>
      <c r="H205" t="n">
        <v>93</v>
      </c>
      <c r="I205" t="n">
        <v>1</v>
      </c>
      <c r="J205" t="n">
        <v>93.125</v>
      </c>
      <c r="K205" t="n">
        <v>93.125</v>
      </c>
      <c r="L205" t="n">
        <v>0</v>
      </c>
      <c r="M205" t="n">
        <v>93</v>
      </c>
      <c r="N205" t="n">
        <v>1</v>
      </c>
    </row>
    <row r="206">
      <c r="A206" t="inlineStr">
        <is>
          <t>Barley</t>
        </is>
      </c>
      <c r="B206" t="inlineStr">
        <is>
          <t>Sown over 86 acres as they lie in le Harnesgate, le Grove, and Tonforlong' behind the garden, 16 quarters 1 bushels.</t>
        </is>
      </c>
      <c r="C206" t="n">
        <v>0</v>
      </c>
      <c r="D206" t="n">
        <v>0</v>
      </c>
      <c r="E206" t="n">
        <v>0</v>
      </c>
      <c r="F206" t="n">
        <v>0</v>
      </c>
      <c r="H206" t="n">
        <v>16</v>
      </c>
      <c r="I206" t="n">
        <v>1</v>
      </c>
      <c r="J206" t="n">
        <v>16.125</v>
      </c>
      <c r="K206" t="n">
        <v>16.125</v>
      </c>
      <c r="L206" t="n">
        <v>0</v>
      </c>
      <c r="M206" t="n">
        <v>16</v>
      </c>
      <c r="N206" t="n">
        <v>1</v>
      </c>
    </row>
    <row r="207">
      <c r="A207" t="inlineStr">
        <is>
          <t>Barley</t>
        </is>
      </c>
      <c r="B207" t="inlineStr">
        <is>
          <t>that is, 1.5 bushels an acre.</t>
        </is>
      </c>
      <c r="C207" t="n">
        <v>0</v>
      </c>
      <c r="D207" t="n">
        <v>0</v>
      </c>
      <c r="E207" t="n">
        <v>0</v>
      </c>
      <c r="F207" t="n">
        <v>0</v>
      </c>
      <c r="H207" t="n">
        <v>0</v>
      </c>
      <c r="I207" t="n">
        <v>1.5</v>
      </c>
      <c r="J207" t="n">
        <v>0.1875</v>
      </c>
      <c r="K207" t="n">
        <v>0.1875</v>
      </c>
      <c r="L207" t="n">
        <v>0</v>
      </c>
      <c r="M207" t="n">
        <v>0</v>
      </c>
      <c r="N207" t="n">
        <v>1.5</v>
      </c>
    </row>
    <row r="208">
      <c r="A208" t="inlineStr">
        <is>
          <t>Barley</t>
        </is>
      </c>
      <c r="B208" t="inlineStr">
        <is>
          <t>.</t>
        </is>
      </c>
      <c r="C208" t="n">
        <v>0</v>
      </c>
      <c r="D208" t="n">
        <v>0</v>
      </c>
      <c r="E208" t="n">
        <v>0</v>
      </c>
      <c r="F208" t="n">
        <v>0</v>
      </c>
      <c r="H208" t="n">
        <v>0</v>
      </c>
      <c r="I208" t="n">
        <v>0</v>
      </c>
      <c r="J208" t="n">
        <v>0</v>
      </c>
      <c r="K208" t="n">
        <v>0</v>
      </c>
      <c r="L208" t="n">
        <v>0</v>
      </c>
      <c r="M208" t="n">
        <v>0</v>
      </c>
      <c r="N208" t="n">
        <v>0</v>
      </c>
    </row>
    <row r="209">
      <c r="A209" t="inlineStr">
        <is>
          <t>Barley</t>
        </is>
      </c>
      <c r="B209" t="inlineStr">
        <is>
          <t>customary payment to 1 sower, 1 bushels.</t>
        </is>
      </c>
      <c r="C209" t="n">
        <v>0</v>
      </c>
      <c r="D209" t="n">
        <v>0</v>
      </c>
      <c r="E209" t="n">
        <v>0</v>
      </c>
      <c r="F209" t="n">
        <v>0</v>
      </c>
      <c r="H209" t="n">
        <v>0</v>
      </c>
      <c r="I209" t="n">
        <v>1</v>
      </c>
      <c r="J209" t="n">
        <v>0.125</v>
      </c>
      <c r="K209" t="n">
        <v>0.125</v>
      </c>
      <c r="L209" t="n">
        <v>0</v>
      </c>
      <c r="M209" t="n">
        <v>0</v>
      </c>
      <c r="N209" t="n">
        <v>1</v>
      </c>
    </row>
    <row r="210">
      <c r="A210" t="inlineStr">
        <is>
          <t>Barley</t>
        </is>
      </c>
      <c r="B210" t="inlineStr">
        <is>
          <t>customary payment to 1 smith, 3 bushels.</t>
        </is>
      </c>
      <c r="C210" t="n">
        <v>0</v>
      </c>
      <c r="D210" t="n">
        <v>0</v>
      </c>
      <c r="E210" t="n">
        <v>0</v>
      </c>
      <c r="F210" t="n">
        <v>0</v>
      </c>
      <c r="H210" t="n">
        <v>0</v>
      </c>
      <c r="I210" t="n">
        <v>3</v>
      </c>
      <c r="J210" t="n">
        <v>0.375</v>
      </c>
      <c r="K210" t="n">
        <v>0.375</v>
      </c>
      <c r="L210" t="n">
        <v>0</v>
      </c>
      <c r="M210" t="n">
        <v>0</v>
      </c>
      <c r="N210" t="n">
        <v>3</v>
      </c>
    </row>
    <row r="211">
      <c r="A211" t="inlineStr">
        <is>
          <t>Barley</t>
        </is>
      </c>
      <c r="B211" t="inlineStr">
        <is>
          <t>customary payment to 1 shepherd of ewes, 3 bushels Delivered to 1 hayward from Michaelmas until Lammas and from the Decollation of St John the Baptist until Michaelmas, because for 4 weeks at harvest-time he was at table, 6 quarters, taking a quarter every 8 weeks.</t>
        </is>
      </c>
      <c r="C211" t="n">
        <v>0</v>
      </c>
      <c r="D211" t="n">
        <v>0</v>
      </c>
      <c r="E211" t="n">
        <v>0</v>
      </c>
      <c r="F211" t="n">
        <v>0</v>
      </c>
      <c r="H211" t="n">
        <v>6</v>
      </c>
      <c r="I211" t="n">
        <v>3</v>
      </c>
      <c r="J211" t="n">
        <v>6.375</v>
      </c>
      <c r="K211" t="n">
        <v>0.375</v>
      </c>
      <c r="L211" t="n">
        <v>6</v>
      </c>
      <c r="M211" t="n">
        <v>0</v>
      </c>
      <c r="N211" t="n">
        <v>3</v>
      </c>
      <c r="O211" t="n">
        <v>6</v>
      </c>
      <c r="P211" t="n">
        <v>0</v>
      </c>
    </row>
    <row r="212">
      <c r="A212" t="inlineStr">
        <is>
          <t>Barley</t>
        </is>
      </c>
      <c r="B212" t="inlineStr">
        <is>
          <t>Delivered to 2 ploughmen who were sometimes carters and 1 drover for the year, 17 quarters 2 bushels, taking a quarter every 9 weeks.</t>
        </is>
      </c>
      <c r="C212" t="n">
        <v>0</v>
      </c>
      <c r="D212" t="n">
        <v>0</v>
      </c>
      <c r="E212" t="n">
        <v>0</v>
      </c>
      <c r="F212" t="n">
        <v>0</v>
      </c>
      <c r="H212" t="n">
        <v>17</v>
      </c>
      <c r="I212" t="n">
        <v>2</v>
      </c>
      <c r="J212" t="n">
        <v>17.25</v>
      </c>
      <c r="K212" t="n">
        <v>17.25</v>
      </c>
      <c r="L212" t="n">
        <v>0</v>
      </c>
      <c r="M212" t="n">
        <v>17</v>
      </c>
      <c r="N212" t="n">
        <v>2</v>
      </c>
    </row>
    <row r="213">
      <c r="A213" t="inlineStr">
        <is>
          <t>Barley</t>
        </is>
      </c>
      <c r="B213" t="inlineStr">
        <is>
          <t>Delivered to 1 dairymaid from Michaelmas until Lammas and from the Decollation of St John the Baptist until the following Michaelmas, 4 quarters, because she was at table for 4 weeks at harvest-time, taking a quarter every 12 weeks.</t>
        </is>
      </c>
      <c r="C213" t="n">
        <v>0</v>
      </c>
      <c r="D213" t="n">
        <v>0</v>
      </c>
      <c r="E213" t="n">
        <v>0</v>
      </c>
      <c r="F213" t="n">
        <v>0</v>
      </c>
      <c r="H213" t="n">
        <v>4</v>
      </c>
      <c r="I213" t="n">
        <v>0</v>
      </c>
      <c r="J213" t="n">
        <v>4</v>
      </c>
      <c r="K213" t="n">
        <v>4</v>
      </c>
      <c r="L213" t="n">
        <v>0</v>
      </c>
      <c r="M213" t="n">
        <v>4</v>
      </c>
      <c r="N213" t="n">
        <v>0</v>
      </c>
    </row>
    <row r="214">
      <c r="A214" t="inlineStr">
        <is>
          <t>Barley</t>
        </is>
      </c>
      <c r="B214" t="inlineStr">
        <is>
          <t>Delivered to 1 keeper of lambs from weaning until Lammas, 1 quarters.</t>
        </is>
      </c>
      <c r="C214" t="n">
        <v>0</v>
      </c>
      <c r="D214" t="n">
        <v>0</v>
      </c>
      <c r="E214" t="n">
        <v>0</v>
      </c>
      <c r="F214" t="n">
        <v>0</v>
      </c>
      <c r="H214" t="n">
        <v>1</v>
      </c>
      <c r="I214" t="n">
        <v>0</v>
      </c>
      <c r="J214" t="n">
        <v>1</v>
      </c>
      <c r="K214" t="n">
        <v>1</v>
      </c>
      <c r="L214" t="n">
        <v>0</v>
      </c>
      <c r="M214" t="n">
        <v>1</v>
      </c>
      <c r="N214" t="n">
        <v>0</v>
      </c>
    </row>
    <row r="215">
      <c r="A215" t="inlineStr">
        <is>
          <t>Barley</t>
        </is>
      </c>
      <c r="B215" t="inlineStr">
        <is>
          <t>Delivered to 1 cowherd for the year, 4 quarters 2 bushels, taking a quarter every 12 weeks.</t>
        </is>
      </c>
      <c r="C215" t="n">
        <v>0</v>
      </c>
      <c r="D215" t="n">
        <v>0</v>
      </c>
      <c r="E215" t="n">
        <v>0</v>
      </c>
      <c r="F215" t="n">
        <v>0</v>
      </c>
      <c r="H215" t="n">
        <v>4</v>
      </c>
      <c r="I215" t="n">
        <v>2</v>
      </c>
      <c r="J215" t="n">
        <v>4.25</v>
      </c>
      <c r="K215" t="n">
        <v>4.25</v>
      </c>
      <c r="L215" t="n">
        <v>0</v>
      </c>
      <c r="M215" t="n">
        <v>4</v>
      </c>
      <c r="N215" t="n">
        <v>2</v>
      </c>
    </row>
    <row r="216">
      <c r="A216" t="inlineStr">
        <is>
          <t>Barley</t>
        </is>
      </c>
      <c r="B216" t="inlineStr">
        <is>
          <t>.</t>
        </is>
      </c>
      <c r="C216" t="n">
        <v>0</v>
      </c>
      <c r="D216" t="n">
        <v>0</v>
      </c>
      <c r="E216" t="n">
        <v>0</v>
      </c>
      <c r="F216" t="n">
        <v>0</v>
      </c>
      <c r="H216" t="n">
        <v>0</v>
      </c>
      <c r="I216" t="n">
        <v>0</v>
      </c>
      <c r="J216" t="n">
        <v>0</v>
      </c>
      <c r="K216" t="n">
        <v>0</v>
      </c>
      <c r="L216" t="n">
        <v>0</v>
      </c>
      <c r="M216" t="n">
        <v>0</v>
      </c>
      <c r="N216" t="n">
        <v>0</v>
      </c>
    </row>
    <row r="217">
      <c r="A217" t="inlineStr">
        <is>
          <t>Barley</t>
        </is>
      </c>
      <c r="B217" t="inlineStr">
        <is>
          <t>provision of the reeve and officials of the curia for 4 weeks at harvest-time, 2 quarters.</t>
        </is>
      </c>
      <c r="C217" t="n">
        <v>0</v>
      </c>
      <c r="D217" t="n">
        <v>0</v>
      </c>
      <c r="E217" t="n">
        <v>0</v>
      </c>
      <c r="F217" t="n">
        <v>0</v>
      </c>
      <c r="H217" t="n">
        <v>2</v>
      </c>
      <c r="I217" t="n">
        <v>0</v>
      </c>
      <c r="J217" t="n">
        <v>2</v>
      </c>
      <c r="K217" t="n">
        <v>2</v>
      </c>
      <c r="L217" t="n">
        <v>0</v>
      </c>
      <c r="M217" t="n">
        <v>2</v>
      </c>
      <c r="N217" t="n">
        <v>0</v>
      </c>
    </row>
    <row r="218">
      <c r="A218" t="inlineStr">
        <is>
          <t>Barley</t>
        </is>
      </c>
      <c r="B218" t="inlineStr">
        <is>
          <t>.</t>
        </is>
      </c>
      <c r="C218" t="n">
        <v>0</v>
      </c>
      <c r="D218" t="n">
        <v>0</v>
      </c>
      <c r="E218" t="n">
        <v>0</v>
      </c>
      <c r="F218" t="n">
        <v>0</v>
      </c>
      <c r="H218" t="n">
        <v>0</v>
      </c>
      <c r="I218" t="n">
        <v>0</v>
      </c>
      <c r="J218" t="n">
        <v>0</v>
      </c>
      <c r="K218" t="n">
        <v>0</v>
      </c>
      <c r="L218" t="n">
        <v>0</v>
      </c>
      <c r="M218" t="n">
        <v>0</v>
      </c>
      <c r="N218" t="n">
        <v>0</v>
      </c>
    </row>
    <row r="219">
      <c r="A219" t="inlineStr">
        <is>
          <t>Barley</t>
        </is>
      </c>
      <c r="B219" t="inlineStr">
        <is>
          <t>customary provision, that is, in bread at harvest-time on account of the boon-works, 7.5 quarters.</t>
        </is>
      </c>
      <c r="C219" t="n">
        <v>0</v>
      </c>
      <c r="D219" t="n">
        <v>0</v>
      </c>
      <c r="E219" t="n">
        <v>0</v>
      </c>
      <c r="F219" t="n">
        <v>0</v>
      </c>
      <c r="H219" t="n">
        <v>7.5</v>
      </c>
      <c r="I219" t="n">
        <v>0</v>
      </c>
      <c r="J219" t="n">
        <v>7.5</v>
      </c>
      <c r="K219" t="n">
        <v>7.5</v>
      </c>
      <c r="L219" t="n">
        <v>0</v>
      </c>
      <c r="M219" t="n">
        <v>7.5</v>
      </c>
      <c r="N219" t="n">
        <v>0</v>
      </c>
    </row>
    <row r="220">
      <c r="A220" t="inlineStr">
        <is>
          <t>Barley</t>
        </is>
      </c>
      <c r="B220" t="inlineStr">
        <is>
          <t>Sold, 34 quarters 1 bushels</t>
        </is>
      </c>
      <c r="C220" t="n">
        <v>0</v>
      </c>
      <c r="D220" t="n">
        <v>0</v>
      </c>
      <c r="E220" t="n">
        <v>0</v>
      </c>
      <c r="F220" t="n">
        <v>0</v>
      </c>
      <c r="H220" t="n">
        <v>34</v>
      </c>
      <c r="I220" t="n">
        <v>1</v>
      </c>
      <c r="J220" t="n">
        <v>34.125</v>
      </c>
      <c r="K220" t="n">
        <v>34.125</v>
      </c>
      <c r="L220" t="n">
        <v>0</v>
      </c>
      <c r="M220" t="n">
        <v>34</v>
      </c>
      <c r="N220" t="n">
        <v>1</v>
      </c>
    </row>
    <row r="221">
      <c r="A221" t="inlineStr">
        <is>
          <t>Oats</t>
        </is>
      </c>
      <c r="B221" t="inlineStr">
        <is>
          <t>{yield: three-fold less 8 quarters 6 bushels}</t>
        </is>
      </c>
      <c r="C221" t="n">
        <v>0</v>
      </c>
      <c r="D221" t="n">
        <v>0</v>
      </c>
      <c r="E221" t="n">
        <v>0</v>
      </c>
      <c r="F221" t="n">
        <v>0</v>
      </c>
      <c r="H221" t="n">
        <v>8</v>
      </c>
      <c r="I221" t="n">
        <v>6</v>
      </c>
      <c r="J221" t="n">
        <v>8.75</v>
      </c>
      <c r="K221" t="n">
        <v>8.75</v>
      </c>
      <c r="L221" t="n">
        <v>0</v>
      </c>
      <c r="M221" t="n">
        <v>8</v>
      </c>
      <c r="N221" t="n">
        <v>6</v>
      </c>
    </row>
    <row r="222">
      <c r="A222" t="inlineStr">
        <is>
          <t>Oats</t>
        </is>
      </c>
      <c r="B222" t="inlineStr">
        <is>
          <t>The same render account for 93.5 quarters 2 bushels from the whole issue of oats by struck measure.</t>
        </is>
      </c>
      <c r="C222" t="n">
        <v>0</v>
      </c>
      <c r="D222" t="n">
        <v>0</v>
      </c>
      <c r="E222" t="n">
        <v>0</v>
      </c>
      <c r="F222" t="n">
        <v>0</v>
      </c>
      <c r="G222" t="inlineStr">
        <is>
          <t>oats</t>
        </is>
      </c>
      <c r="H222" t="n">
        <v>93.5</v>
      </c>
      <c r="I222" t="n">
        <v>2</v>
      </c>
      <c r="J222" t="n">
        <v>93.75</v>
      </c>
      <c r="K222" t="n">
        <v>93.75</v>
      </c>
      <c r="L222" t="n">
        <v>0</v>
      </c>
      <c r="M222" t="n">
        <v>93.5</v>
      </c>
      <c r="N222" t="n">
        <v>2</v>
      </c>
    </row>
    <row r="223">
      <c r="A223" t="inlineStr">
        <is>
          <t>Oats</t>
        </is>
      </c>
      <c r="B223" t="inlineStr">
        <is>
          <t>14.5 quarters by estimation in sheaves given to oxen.</t>
        </is>
      </c>
      <c r="C223" t="n">
        <v>0</v>
      </c>
      <c r="D223" t="n">
        <v>0</v>
      </c>
      <c r="E223" t="n">
        <v>0</v>
      </c>
      <c r="F223" t="n">
        <v>0</v>
      </c>
      <c r="H223" t="n">
        <v>14.5</v>
      </c>
      <c r="I223" t="n">
        <v>0</v>
      </c>
      <c r="J223" t="n">
        <v>14.5</v>
      </c>
      <c r="K223" t="n">
        <v>14.5</v>
      </c>
      <c r="L223" t="n">
        <v>0</v>
      </c>
      <c r="M223" t="n">
        <v>14.5</v>
      </c>
      <c r="N223" t="n">
        <v>0</v>
      </c>
    </row>
    <row r="224">
      <c r="A224" t="inlineStr">
        <is>
          <t>Oats</t>
        </is>
      </c>
      <c r="B224" t="inlineStr">
        <is>
          <t>Total, 108 quarters 2 bushels Sown over 225 acres which lie in Midelcrofte, Suthfeld', and Watcumb', 42 quarters 1 bushels.</t>
        </is>
      </c>
      <c r="C224" t="n">
        <v>0</v>
      </c>
      <c r="D224" t="n">
        <v>0</v>
      </c>
      <c r="E224" t="n">
        <v>0</v>
      </c>
      <c r="F224" t="n">
        <v>0</v>
      </c>
      <c r="H224" t="n">
        <v>42</v>
      </c>
      <c r="I224" t="n">
        <v>1</v>
      </c>
      <c r="J224" t="n">
        <v>42.125</v>
      </c>
      <c r="K224" t="n">
        <v>108.25</v>
      </c>
      <c r="L224" t="n">
        <v>-66.125</v>
      </c>
      <c r="M224" t="n">
        <v>108</v>
      </c>
      <c r="N224" t="n">
        <v>2</v>
      </c>
      <c r="O224" t="n">
        <v>42</v>
      </c>
      <c r="P224" t="n">
        <v>1</v>
      </c>
    </row>
    <row r="225">
      <c r="A225" t="inlineStr">
        <is>
          <t>Oats</t>
        </is>
      </c>
      <c r="B225" t="inlineStr">
        <is>
          <t>that is, 1.5 bushels an acre, less' bushels in all.</t>
        </is>
      </c>
      <c r="C225" t="n">
        <v>0</v>
      </c>
      <c r="D225" t="n">
        <v>0</v>
      </c>
      <c r="E225" t="n">
        <v>0</v>
      </c>
      <c r="F225" t="n">
        <v>0</v>
      </c>
      <c r="H225" t="n">
        <v>0</v>
      </c>
      <c r="I225" t="n">
        <v>1.5</v>
      </c>
      <c r="J225" t="n">
        <v>0.1875</v>
      </c>
      <c r="K225" t="n">
        <v>0.1875</v>
      </c>
      <c r="L225" t="n">
        <v>0</v>
      </c>
      <c r="M225" t="n">
        <v>0</v>
      </c>
      <c r="N225" t="n">
        <v>1.5</v>
      </c>
    </row>
    <row r="226">
      <c r="A226" t="inlineStr">
        <is>
          <t>Oats</t>
        </is>
      </c>
      <c r="B226" t="inlineStr">
        <is>
          <t>.</t>
        </is>
      </c>
      <c r="C226" t="n">
        <v>0</v>
      </c>
      <c r="D226" t="n">
        <v>0</v>
      </c>
      <c r="E226" t="n">
        <v>0</v>
      </c>
      <c r="F226" t="n">
        <v>0</v>
      </c>
      <c r="H226" t="n">
        <v>0</v>
      </c>
      <c r="I226" t="n">
        <v>0</v>
      </c>
      <c r="J226" t="n">
        <v>0</v>
      </c>
      <c r="K226" t="n">
        <v>0</v>
      </c>
      <c r="L226" t="n">
        <v>0</v>
      </c>
      <c r="M226" t="n">
        <v>0</v>
      </c>
      <c r="N226" t="n">
        <v>0</v>
      </c>
    </row>
    <row r="227">
      <c r="A227" t="inlineStr">
        <is>
          <t>Oats</t>
        </is>
      </c>
      <c r="B227" t="inlineStr">
        <is>
          <t>customary payment to 1 hayward, 1 bushels.</t>
        </is>
      </c>
      <c r="C227" t="n">
        <v>0</v>
      </c>
      <c r="D227" t="n">
        <v>0</v>
      </c>
      <c r="E227" t="n">
        <v>0</v>
      </c>
      <c r="F227" t="n">
        <v>0</v>
      </c>
      <c r="H227" t="n">
        <v>0</v>
      </c>
      <c r="I227" t="n">
        <v>1</v>
      </c>
      <c r="J227" t="n">
        <v>0.125</v>
      </c>
      <c r="K227" t="n">
        <v>0.125</v>
      </c>
      <c r="L227" t="n">
        <v>0</v>
      </c>
      <c r="M227" t="n">
        <v>0</v>
      </c>
      <c r="N227" t="n">
        <v>1</v>
      </c>
    </row>
    <row r="228">
      <c r="A228" t="inlineStr">
        <is>
          <t>Oats</t>
        </is>
      </c>
      <c r="B228" t="inlineStr">
        <is>
          <t>fodder of 2 cart-horses and 3 plough-horses hauling the ploughs, 15.5 quarters 3 bushels.</t>
        </is>
      </c>
      <c r="C228" t="n">
        <v>0</v>
      </c>
      <c r="D228" t="n">
        <v>0</v>
      </c>
      <c r="E228" t="n">
        <v>0</v>
      </c>
      <c r="F228" t="n">
        <v>0</v>
      </c>
      <c r="H228" t="n">
        <v>15.5</v>
      </c>
      <c r="I228" t="n">
        <v>3</v>
      </c>
      <c r="J228" t="n">
        <v>15.875</v>
      </c>
      <c r="K228" t="n">
        <v>15.875</v>
      </c>
      <c r="L228" t="n">
        <v>0</v>
      </c>
      <c r="M228" t="n">
        <v>15.5</v>
      </c>
      <c r="N228" t="n">
        <v>3</v>
      </c>
    </row>
    <row r="229">
      <c r="A229" t="inlineStr">
        <is>
          <t>Oats</t>
        </is>
      </c>
      <c r="B229" t="inlineStr">
        <is>
          <t>supporting oxen by estimation in sheaves, 14.5 quarters.</t>
        </is>
      </c>
      <c r="C229" t="n">
        <v>0</v>
      </c>
      <c r="D229" t="n">
        <v>0</v>
      </c>
      <c r="E229" t="n">
        <v>0</v>
      </c>
      <c r="F229" t="n">
        <v>0</v>
      </c>
      <c r="H229" t="n">
        <v>14.5</v>
      </c>
      <c r="I229" t="n">
        <v>0</v>
      </c>
      <c r="J229" t="n">
        <v>14.5</v>
      </c>
      <c r="K229" t="n">
        <v>14.5</v>
      </c>
      <c r="L229" t="n">
        <v>0</v>
      </c>
      <c r="M229" t="n">
        <v>14.5</v>
      </c>
      <c r="N229" t="n">
        <v>0</v>
      </c>
    </row>
    <row r="230">
      <c r="A230" t="inlineStr">
        <is>
          <t>Oats</t>
        </is>
      </c>
      <c r="B230" t="inlineStr">
        <is>
          <t>.</t>
        </is>
      </c>
      <c r="C230" t="n">
        <v>0</v>
      </c>
      <c r="D230" t="n">
        <v>0</v>
      </c>
      <c r="E230" t="n">
        <v>0</v>
      </c>
      <c r="F230" t="n">
        <v>0</v>
      </c>
      <c r="H230" t="n">
        <v>0</v>
      </c>
      <c r="I230" t="n">
        <v>0</v>
      </c>
      <c r="J230" t="n">
        <v>0</v>
      </c>
      <c r="K230" t="n">
        <v>0</v>
      </c>
      <c r="L230" t="n">
        <v>0</v>
      </c>
      <c r="M230" t="n">
        <v>0</v>
      </c>
      <c r="N230" t="n">
        <v>0</v>
      </c>
    </row>
    <row r="231">
      <c r="A231" t="inlineStr">
        <is>
          <t>Oats</t>
        </is>
      </c>
      <c r="B231" t="inlineStr">
        <is>
          <t>fodder of the steward's horses, 2 bushels.</t>
        </is>
      </c>
      <c r="C231" t="n">
        <v>0</v>
      </c>
      <c r="D231" t="n">
        <v>0</v>
      </c>
      <c r="E231" t="n">
        <v>0</v>
      </c>
      <c r="F231" t="n">
        <v>0</v>
      </c>
      <c r="H231" t="n">
        <v>0</v>
      </c>
      <c r="I231" t="n">
        <v>2</v>
      </c>
      <c r="J231" t="n">
        <v>0.25</v>
      </c>
      <c r="K231" t="n">
        <v>0.25</v>
      </c>
      <c r="L231" t="n">
        <v>0</v>
      </c>
      <c r="M231" t="n">
        <v>0</v>
      </c>
      <c r="N231" t="n">
        <v>2</v>
      </c>
    </row>
    <row r="232">
      <c r="A232" t="inlineStr">
        <is>
          <t>Oats</t>
        </is>
      </c>
      <c r="B232" t="inlineStr">
        <is>
          <t>fodder of the horse of the bailiff and clerk for his visits, 5 bushels Sold, 34.5 quarters 2 bushels</t>
        </is>
      </c>
      <c r="C232" t="n">
        <v>0</v>
      </c>
      <c r="D232" t="n">
        <v>0</v>
      </c>
      <c r="E232" t="n">
        <v>0</v>
      </c>
      <c r="F232" t="n">
        <v>0</v>
      </c>
      <c r="H232" t="n">
        <v>34.5</v>
      </c>
      <c r="I232" t="n">
        <v>2</v>
      </c>
      <c r="J232" t="n">
        <v>34.75</v>
      </c>
      <c r="K232" t="n">
        <v>0.625</v>
      </c>
      <c r="L232" t="n">
        <v>34.125</v>
      </c>
      <c r="M232" t="n">
        <v>0</v>
      </c>
      <c r="N232" t="n">
        <v>5</v>
      </c>
      <c r="O232" t="n">
        <v>34.5</v>
      </c>
      <c r="P232" t="n">
        <v>2</v>
      </c>
    </row>
    <row r="233">
      <c r="A233" t="inlineStr">
        <is>
          <t>Peas</t>
        </is>
      </c>
      <c r="B233" t="inlineStr">
        <is>
          <t>{yield: four-fold less 1 bushels}</t>
        </is>
      </c>
      <c r="C233" t="n">
        <v>0</v>
      </c>
      <c r="D233" t="n">
        <v>0</v>
      </c>
      <c r="E233" t="n">
        <v>0</v>
      </c>
      <c r="F233" t="n">
        <v>0</v>
      </c>
      <c r="H233" t="n">
        <v>0</v>
      </c>
      <c r="I233" t="n">
        <v>1</v>
      </c>
      <c r="J233" t="n">
        <v>0.125</v>
      </c>
      <c r="K233" t="n">
        <v>0.125</v>
      </c>
      <c r="L233" t="n">
        <v>0</v>
      </c>
      <c r="M233" t="n">
        <v>0</v>
      </c>
      <c r="N233" t="n">
        <v>1</v>
      </c>
    </row>
    <row r="234">
      <c r="A234" t="inlineStr">
        <is>
          <t>Peas</t>
        </is>
      </c>
      <c r="B234" t="inlineStr">
        <is>
          <t>The same render account for 11.5 quarters 3 bushels from the whole issue of peas by struck measure.</t>
        </is>
      </c>
      <c r="C234" t="n">
        <v>0</v>
      </c>
      <c r="D234" t="n">
        <v>0</v>
      </c>
      <c r="E234" t="n">
        <v>0</v>
      </c>
      <c r="F234" t="n">
        <v>0</v>
      </c>
      <c r="G234" t="inlineStr">
        <is>
          <t>peas</t>
        </is>
      </c>
      <c r="H234" t="n">
        <v>11.5</v>
      </c>
      <c r="I234" t="n">
        <v>3</v>
      </c>
      <c r="J234" t="n">
        <v>11.875</v>
      </c>
      <c r="K234" t="n">
        <v>11.875</v>
      </c>
      <c r="L234" t="n">
        <v>0</v>
      </c>
      <c r="M234" t="n">
        <v>11.5</v>
      </c>
      <c r="N234" t="n">
        <v>3</v>
      </c>
    </row>
    <row r="235">
      <c r="A235" t="inlineStr">
        <is>
          <t>Peas</t>
        </is>
      </c>
      <c r="B235" t="inlineStr">
        <is>
          <t>Sown over 18 acres which lie in Hynhok', 2 quarters 2 bushels.</t>
        </is>
      </c>
      <c r="C235" t="n">
        <v>0</v>
      </c>
      <c r="D235" t="n">
        <v>0</v>
      </c>
      <c r="E235" t="n">
        <v>0</v>
      </c>
      <c r="F235" t="n">
        <v>0</v>
      </c>
      <c r="H235" t="n">
        <v>2</v>
      </c>
      <c r="I235" t="n">
        <v>2</v>
      </c>
      <c r="J235" t="n">
        <v>2.25</v>
      </c>
      <c r="K235" t="n">
        <v>2.25</v>
      </c>
      <c r="L235" t="n">
        <v>0</v>
      </c>
      <c r="M235" t="n">
        <v>2</v>
      </c>
      <c r="N235" t="n">
        <v>2</v>
      </c>
    </row>
    <row r="236">
      <c r="A236" t="inlineStr">
        <is>
          <t>Peas</t>
        </is>
      </c>
      <c r="B236" t="inlineStr">
        <is>
          <t>that is, 1 bushels an acre.</t>
        </is>
      </c>
      <c r="C236" t="n">
        <v>0</v>
      </c>
      <c r="D236" t="n">
        <v>0</v>
      </c>
      <c r="E236" t="n">
        <v>0</v>
      </c>
      <c r="F236" t="n">
        <v>0</v>
      </c>
      <c r="H236" t="n">
        <v>0</v>
      </c>
      <c r="I236" t="n">
        <v>1</v>
      </c>
      <c r="J236" t="n">
        <v>0.125</v>
      </c>
      <c r="K236" t="n">
        <v>0.125</v>
      </c>
      <c r="L236" t="n">
        <v>0</v>
      </c>
      <c r="M236" t="n">
        <v>0</v>
      </c>
      <c r="N236" t="n">
        <v>1</v>
      </c>
    </row>
    <row r="237">
      <c r="A237" t="inlineStr">
        <is>
          <t>Peas</t>
        </is>
      </c>
      <c r="B237" t="inlineStr">
        <is>
          <t>Sold, 9.5 quarters 1 bushels</t>
        </is>
      </c>
      <c r="C237" t="n">
        <v>0</v>
      </c>
      <c r="D237" t="n">
        <v>0</v>
      </c>
      <c r="E237" t="n">
        <v>0</v>
      </c>
      <c r="F237" t="n">
        <v>0</v>
      </c>
      <c r="H237" t="n">
        <v>9.5</v>
      </c>
      <c r="I237" t="n">
        <v>1</v>
      </c>
      <c r="J237" t="n">
        <v>9.625</v>
      </c>
      <c r="K237" t="n">
        <v>9.625</v>
      </c>
      <c r="L237" t="n">
        <v>0</v>
      </c>
      <c r="M237" t="n">
        <v>9.5</v>
      </c>
      <c r="N237" t="n">
        <v>1</v>
      </c>
    </row>
    <row r="238">
      <c r="A238" t="inlineStr">
        <is>
          <t>Vetches</t>
        </is>
      </c>
      <c r="B238" t="inlineStr">
        <is>
          <t>{yield: three-and-a-half-fold plus 2.5 bushels}</t>
        </is>
      </c>
      <c r="C238" t="n">
        <v>0</v>
      </c>
      <c r="D238" t="n">
        <v>0</v>
      </c>
      <c r="E238" t="n">
        <v>0</v>
      </c>
      <c r="F238" t="n">
        <v>0</v>
      </c>
      <c r="H238" t="n">
        <v>0</v>
      </c>
      <c r="I238" t="n">
        <v>2.5</v>
      </c>
      <c r="J238" t="n">
        <v>0.3125</v>
      </c>
      <c r="K238" t="n">
        <v>0.3125</v>
      </c>
      <c r="L238" t="n">
        <v>0</v>
      </c>
      <c r="M238" t="n">
        <v>0</v>
      </c>
      <c r="N238" t="n">
        <v>2.5</v>
      </c>
    </row>
    <row r="239">
      <c r="A239" t="inlineStr">
        <is>
          <t>Vetches</t>
        </is>
      </c>
      <c r="B239" t="inlineStr">
        <is>
          <t>The same render account for 9.5 quarters of vetches remaining from the previous year in the granary.</t>
        </is>
      </c>
      <c r="C239" t="n">
        <v>0</v>
      </c>
      <c r="D239" t="n">
        <v>0</v>
      </c>
      <c r="E239" t="n">
        <v>0</v>
      </c>
      <c r="F239" t="n">
        <v>0</v>
      </c>
      <c r="G239" t="inlineStr">
        <is>
          <t>vetches</t>
        </is>
      </c>
      <c r="H239" t="n">
        <v>9.5</v>
      </c>
      <c r="I239" t="n">
        <v>0</v>
      </c>
      <c r="J239" t="n">
        <v>9.5</v>
      </c>
      <c r="K239" t="n">
        <v>9.5</v>
      </c>
      <c r="L239" t="n">
        <v>0</v>
      </c>
      <c r="M239" t="n">
        <v>9.5</v>
      </c>
      <c r="N239" t="n">
        <v>0</v>
      </c>
    </row>
    <row r="240">
      <c r="A240" t="inlineStr">
        <is>
          <t>Vetches</t>
        </is>
      </c>
      <c r="B240" t="inlineStr">
        <is>
          <t>10 quarters 3 bushels from the whole issue of vetches this year.</t>
        </is>
      </c>
      <c r="C240" t="n">
        <v>0</v>
      </c>
      <c r="D240" t="n">
        <v>0</v>
      </c>
      <c r="E240" t="n">
        <v>0</v>
      </c>
      <c r="F240" t="n">
        <v>0</v>
      </c>
      <c r="G240" t="inlineStr">
        <is>
          <t>vetches</t>
        </is>
      </c>
      <c r="H240" t="n">
        <v>10</v>
      </c>
      <c r="I240" t="n">
        <v>3</v>
      </c>
      <c r="J240" t="n">
        <v>10.375</v>
      </c>
      <c r="K240" t="n">
        <v>10.375</v>
      </c>
      <c r="L240" t="n">
        <v>0</v>
      </c>
      <c r="M240" t="n">
        <v>10</v>
      </c>
      <c r="N240" t="n">
        <v>3</v>
      </c>
    </row>
    <row r="241">
      <c r="A241" t="inlineStr">
        <is>
          <t>Vetches</t>
        </is>
      </c>
      <c r="B241" t="inlineStr">
        <is>
          <t>Total, 19.5 quarters 3 bushels</t>
        </is>
      </c>
      <c r="C241" t="n">
        <v>0</v>
      </c>
      <c r="D241" t="n">
        <v>0</v>
      </c>
      <c r="E241" t="n">
        <v>0</v>
      </c>
      <c r="F241" t="n">
        <v>0</v>
      </c>
      <c r="H241" t="n">
        <v>19.5</v>
      </c>
      <c r="I241" t="n">
        <v>3</v>
      </c>
      <c r="J241" t="n">
        <v>19.875</v>
      </c>
      <c r="K241" t="n">
        <v>19.875</v>
      </c>
      <c r="L241" t="n">
        <v>0</v>
      </c>
      <c r="M241" t="n">
        <v>19.5</v>
      </c>
      <c r="N241" t="n">
        <v>3</v>
      </c>
    </row>
    <row r="242">
      <c r="A242" t="inlineStr">
        <is>
          <t>Vetches</t>
        </is>
      </c>
      <c r="B242" t="inlineStr">
        <is>
          <t>Sown over 18 acres as they lie in Yforlong' and Northden', 2 quarters 1 bushels.</t>
        </is>
      </c>
      <c r="C242" t="n">
        <v>0</v>
      </c>
      <c r="D242" t="n">
        <v>0</v>
      </c>
      <c r="E242" t="n">
        <v>0</v>
      </c>
      <c r="F242" t="n">
        <v>0</v>
      </c>
      <c r="H242" t="n">
        <v>2</v>
      </c>
      <c r="I242" t="n">
        <v>1</v>
      </c>
      <c r="J242" t="n">
        <v>2.125</v>
      </c>
      <c r="K242" t="n">
        <v>2.125</v>
      </c>
      <c r="L242" t="n">
        <v>0</v>
      </c>
      <c r="M242" t="n">
        <v>2</v>
      </c>
      <c r="N242" t="n">
        <v>1</v>
      </c>
    </row>
    <row r="243">
      <c r="A243" t="inlineStr">
        <is>
          <t>Vetches</t>
        </is>
      </c>
      <c r="B243" t="inlineStr">
        <is>
          <t>that is, 1 bushels an acre, less 1 bushels in all.</t>
        </is>
      </c>
      <c r="C243" t="n">
        <v>0</v>
      </c>
      <c r="D243" t="n">
        <v>0</v>
      </c>
      <c r="E243" t="n">
        <v>0</v>
      </c>
      <c r="F243" t="n">
        <v>0</v>
      </c>
      <c r="H243" t="n">
        <v>0</v>
      </c>
      <c r="I243" t="n">
        <v>1</v>
      </c>
      <c r="J243" t="n">
        <v>0.125</v>
      </c>
      <c r="K243" t="n">
        <v>0.125</v>
      </c>
      <c r="L243" t="n">
        <v>0</v>
      </c>
      <c r="M243" t="n">
        <v>0</v>
      </c>
      <c r="N243" t="n">
        <v>1</v>
      </c>
      <c r="O243" t="n">
        <v>0</v>
      </c>
      <c r="P243" t="n">
        <v>1</v>
      </c>
    </row>
    <row r="244">
      <c r="A244" t="inlineStr">
        <is>
          <t>Vetches</t>
        </is>
      </c>
      <c r="B244" t="inlineStr">
        <is>
          <t>Mixed above with barley, 3 quarters 3 bushels Sold, 14 quarters 3 bushels</t>
        </is>
      </c>
      <c r="C244" t="n">
        <v>0</v>
      </c>
      <c r="D244" t="n">
        <v>0</v>
      </c>
      <c r="E244" t="n">
        <v>0</v>
      </c>
      <c r="F244" t="n">
        <v>0</v>
      </c>
      <c r="G244" t="inlineStr">
        <is>
          <t>barley</t>
        </is>
      </c>
      <c r="H244" t="n">
        <v>14</v>
      </c>
      <c r="I244" t="n">
        <v>3</v>
      </c>
      <c r="J244" t="n">
        <v>14.375</v>
      </c>
      <c r="K244" t="n">
        <v>3.375</v>
      </c>
      <c r="L244" t="n">
        <v>11</v>
      </c>
      <c r="M244" t="n">
        <v>3</v>
      </c>
      <c r="N244" t="n">
        <v>3</v>
      </c>
      <c r="O244" t="n">
        <v>14</v>
      </c>
      <c r="P244" t="n">
        <v>3</v>
      </c>
    </row>
    <row r="245">
      <c r="A245" t="inlineStr">
        <is>
          <t>Cows: 21 remain from the previous year; 2 added from steers. Total, 23. 4 sold before calving; 19 remain.</t>
        </is>
      </c>
      <c r="B245" t="inlineStr">
        <is>
          <t>Steers: 6 remain from the previous year's bullocks.</t>
        </is>
      </c>
      <c r="C245" t="n">
        <v>0</v>
      </c>
      <c r="D245" t="n">
        <v>0</v>
      </c>
      <c r="E245" t="n">
        <v>0</v>
      </c>
      <c r="F245" t="n">
        <v>0</v>
      </c>
      <c r="H245" t="n">
        <v>0</v>
      </c>
      <c r="I245" t="n">
        <v>0</v>
      </c>
      <c r="J245" t="n">
        <v>0</v>
      </c>
      <c r="K245" t="n">
        <v>0</v>
      </c>
      <c r="L245" t="n">
        <v>0</v>
      </c>
      <c r="M245" t="n">
        <v>0</v>
      </c>
      <c r="N245" t="n">
        <v>0</v>
      </c>
    </row>
    <row r="246">
      <c r="A246" t="inlineStr">
        <is>
          <t>Cows: 21 remain from the previous year; 2 added from steers. Total, 23. 4 sold before calving; 19 remain.</t>
        </is>
      </c>
      <c r="B246" t="inlineStr">
        <is>
          <t>4 added to oxen, 2 to cows.</t>
        </is>
      </c>
      <c r="C246" t="n">
        <v>0</v>
      </c>
      <c r="D246" t="n">
        <v>0</v>
      </c>
      <c r="E246" t="n">
        <v>0</v>
      </c>
      <c r="F246" t="n">
        <v>0</v>
      </c>
      <c r="H246" t="n">
        <v>0</v>
      </c>
      <c r="I246" t="n">
        <v>0</v>
      </c>
      <c r="J246" t="n">
        <v>0</v>
      </c>
      <c r="K246" t="n">
        <v>0</v>
      </c>
      <c r="L246" t="n">
        <v>0</v>
      </c>
      <c r="M246" t="n">
        <v>0</v>
      </c>
      <c r="N246" t="n">
        <v>0</v>
      </c>
    </row>
    <row r="247">
      <c r="A247" t="inlineStr">
        <is>
          <t>Cows: 21 remain from the previous year; 2 added from steers. Total, 23. 4 sold before calving; 19 remain.</t>
        </is>
      </c>
      <c r="B247" t="inlineStr">
        <is>
          <t>none remain.</t>
        </is>
      </c>
      <c r="C247" t="n">
        <v>0</v>
      </c>
      <c r="D247" t="n">
        <v>0</v>
      </c>
      <c r="E247" t="n">
        <v>0</v>
      </c>
      <c r="F247" t="n">
        <v>0</v>
      </c>
      <c r="H247" t="n">
        <v>0</v>
      </c>
      <c r="I247" t="n">
        <v>0</v>
      </c>
      <c r="J247" t="n">
        <v>0</v>
      </c>
      <c r="K247" t="n">
        <v>0</v>
      </c>
      <c r="L247" t="n">
        <v>0</v>
      </c>
      <c r="M247" t="n">
        <v>0</v>
      </c>
      <c r="N247" t="n">
        <v>0</v>
      </c>
    </row>
    <row r="248">
      <c r="A248" t="inlineStr">
        <is>
          <t>Hoggs: 75 remain from the previous year's lambs; 19 in murrain before shearing; 22 added to wethers, 34 to ewes; none remain.</t>
        </is>
      </c>
      <c r="B248" t="inlineStr">
        <is>
          <t>Lambs: 299 from the offspring of the said ewes because 29 were sterile. 27 in tithe because skins before weaning assessed for tithe separately.</t>
        </is>
      </c>
      <c r="C248" t="n">
        <v>0</v>
      </c>
      <c r="D248" t="n">
        <v>0</v>
      </c>
      <c r="E248" t="n">
        <v>0</v>
      </c>
      <c r="F248" t="n">
        <v>0</v>
      </c>
      <c r="H248" t="n">
        <v>0</v>
      </c>
      <c r="I248" t="n">
        <v>0</v>
      </c>
      <c r="J248" t="n">
        <v>0</v>
      </c>
      <c r="K248" t="n">
        <v>0</v>
      </c>
      <c r="L248" t="n">
        <v>0</v>
      </c>
      <c r="M248" t="n">
        <v>0</v>
      </c>
      <c r="N248" t="n">
        <v>0</v>
      </c>
    </row>
    <row r="249">
      <c r="A249" t="inlineStr">
        <is>
          <t>Hoggs: 75 remain from the previous year's lambs; 19 in murrain before shearing; 22 added to wethers, 34 to ewes; none remain.</t>
        </is>
      </c>
      <c r="B249" t="inlineStr">
        <is>
          <t>29 in murrain before weaning, 21 after weaning and before shearing, 12 after shearing.</t>
        </is>
      </c>
      <c r="C249" t="n">
        <v>0</v>
      </c>
      <c r="D249" t="n">
        <v>0</v>
      </c>
      <c r="E249" t="n">
        <v>0</v>
      </c>
      <c r="F249" t="n">
        <v>0</v>
      </c>
      <c r="H249" t="n">
        <v>0</v>
      </c>
      <c r="I249" t="n">
        <v>0</v>
      </c>
      <c r="J249" t="n">
        <v>0</v>
      </c>
      <c r="K249" t="n">
        <v>0</v>
      </c>
      <c r="L249" t="n">
        <v>0</v>
      </c>
      <c r="M249" t="n">
        <v>0</v>
      </c>
      <c r="N249" t="n">
        <v>0</v>
      </c>
    </row>
    <row r="250">
      <c r="A250" t="inlineStr">
        <is>
          <t>Hoggs: 75 remain from the previous year's lambs; 19 in murrain before shearing; 22 added to wethers, 34 to ewes; none remain.</t>
        </is>
      </c>
      <c r="B250" t="inlineStr">
        <is>
          <t>2 in customary payment to 1 reeve and 1 shepherd.</t>
        </is>
      </c>
      <c r="C250" t="n">
        <v>0</v>
      </c>
      <c r="D250" t="n">
        <v>0</v>
      </c>
      <c r="E250" t="n">
        <v>0</v>
      </c>
      <c r="F250" t="n">
        <v>0</v>
      </c>
      <c r="H250" t="n">
        <v>0</v>
      </c>
      <c r="I250" t="n">
        <v>0</v>
      </c>
      <c r="J250" t="n">
        <v>0</v>
      </c>
      <c r="K250" t="n">
        <v>0</v>
      </c>
      <c r="L250" t="n">
        <v>0</v>
      </c>
      <c r="M250" t="n">
        <v>0</v>
      </c>
      <c r="N250" t="n">
        <v>0</v>
      </c>
    </row>
    <row r="251">
      <c r="A251" t="inlineStr">
        <is>
          <t>Hoggs: 75 remain from the previous year's lambs; 19 in murrain before shearing; 22 added to wethers, 34 to ewes; none remain.</t>
        </is>
      </c>
      <c r="B251" t="inlineStr">
        <is>
          <t>48 sold before shearing because feeble.</t>
        </is>
      </c>
      <c r="C251" t="n">
        <v>0</v>
      </c>
      <c r="D251" t="n">
        <v>0</v>
      </c>
      <c r="E251" t="n">
        <v>0</v>
      </c>
      <c r="F251" t="n">
        <v>0</v>
      </c>
      <c r="H251" t="n">
        <v>0</v>
      </c>
      <c r="I251" t="n">
        <v>0</v>
      </c>
      <c r="J251" t="n">
        <v>0</v>
      </c>
      <c r="K251" t="n">
        <v>0</v>
      </c>
      <c r="L251" t="n">
        <v>0</v>
      </c>
      <c r="M251" t="n">
        <v>0</v>
      </c>
      <c r="N251" t="n">
        <v>0</v>
      </c>
    </row>
    <row r="252">
      <c r="A252" t="inlineStr">
        <is>
          <t>Hoggs: 75 remain from the previous year's lambs; 19 in murrain before shearing; 22 added to wethers, 34 to ewes; none remain.</t>
        </is>
      </c>
      <c r="B252" t="inlineStr">
        <is>
          <t>Total, 139. 160 remain.</t>
        </is>
      </c>
      <c r="C252" t="n">
        <v>0</v>
      </c>
      <c r="D252" t="n">
        <v>0</v>
      </c>
      <c r="E252" t="n">
        <v>0</v>
      </c>
      <c r="F252" t="n">
        <v>0</v>
      </c>
      <c r="H252" t="n">
        <v>0</v>
      </c>
      <c r="I252" t="n">
        <v>0</v>
      </c>
      <c r="J252" t="n">
        <v>0</v>
      </c>
      <c r="K252" t="n">
        <v>0</v>
      </c>
      <c r="L252" t="n">
        <v>0</v>
      </c>
      <c r="M252" t="n">
        <v>0</v>
      </c>
      <c r="N2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87"/>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1 qr 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t="inlineStr">
        <is>
          <t>Wheat</t>
        </is>
      </c>
      <c r="B4" t="inlineStr">
        <is>
          <t>The same render account for 47.5 quarters from the whole issue of wheat by struck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47.5</v>
      </c>
      <c r="U4" t="n">
        <v>0</v>
      </c>
      <c r="V4" t="n">
        <v>47.5</v>
      </c>
      <c r="W4" t="n">
        <v>0</v>
      </c>
      <c r="X4" t="n">
        <v>47.5</v>
      </c>
      <c r="Y4" t="n">
        <v>0</v>
      </c>
      <c r="Z4" t="n">
        <v>47.5</v>
      </c>
      <c r="AA4" t="n">
        <v>47.5</v>
      </c>
      <c r="AB4" t="n">
        <v>0</v>
      </c>
      <c r="AC4" t="n">
        <v>47.5</v>
      </c>
      <c r="AD4" t="n">
        <v>0</v>
      </c>
    </row>
    <row r="5">
      <c r="A5" t="inlineStr">
        <is>
          <t>Wheat</t>
        </is>
      </c>
      <c r="B5" t="inlineStr">
        <is>
          <t>10.5 quarters 2.5 bushels from churchscot.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10.5</v>
      </c>
      <c r="Y5" t="n">
        <v>2.5</v>
      </c>
      <c r="Z5" t="n">
        <v>10.8125</v>
      </c>
      <c r="AA5" t="n">
        <v>10.8125</v>
      </c>
      <c r="AB5" t="n">
        <v>0</v>
      </c>
      <c r="AC5" t="n">
        <v>10.5</v>
      </c>
      <c r="AD5" t="n">
        <v>2.5</v>
      </c>
    </row>
    <row r="6">
      <c r="A6" t="inlineStr">
        <is>
          <t>Wheat</t>
        </is>
      </c>
      <c r="B6" t="inlineStr">
        <is>
          <t>Total, 58 quarters 2.5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58</v>
      </c>
      <c r="Y6" t="n">
        <v>2.5</v>
      </c>
      <c r="Z6" t="n">
        <v>58.3125</v>
      </c>
      <c r="AA6" t="n">
        <v>58.3125</v>
      </c>
      <c r="AB6" t="n">
        <v>0</v>
      </c>
      <c r="AC6" t="n">
        <v>58</v>
      </c>
      <c r="AD6" t="n">
        <v>2.5</v>
      </c>
    </row>
    <row r="7">
      <c r="A7" t="inlineStr">
        <is>
          <t>Wheat</t>
        </is>
      </c>
      <c r="B7" t="inlineStr">
        <is>
          <t>Sown over 154.5 acres which lie in le Sorelond', Tonforlong', le Suthemestecrofte, and Fomden', 14.5 quarters.</t>
        </is>
      </c>
      <c r="C7" t="n">
        <v>0</v>
      </c>
      <c r="D7" t="n">
        <v>0</v>
      </c>
      <c r="E7" t="n">
        <v>14.5</v>
      </c>
      <c r="F7" t="n">
        <v>0</v>
      </c>
      <c r="G7" t="n">
        <v>14.5</v>
      </c>
      <c r="H7" t="n">
        <v>0</v>
      </c>
      <c r="I7" t="n">
        <v>0</v>
      </c>
      <c r="J7" t="n">
        <v>0</v>
      </c>
      <c r="K7" t="n">
        <v>0</v>
      </c>
      <c r="L7" t="n">
        <v>0</v>
      </c>
      <c r="M7" t="n">
        <v>0</v>
      </c>
      <c r="N7" t="n">
        <v>0</v>
      </c>
      <c r="O7" t="n">
        <v>0</v>
      </c>
      <c r="P7" t="n">
        <v>0</v>
      </c>
      <c r="Q7" t="n">
        <v>0</v>
      </c>
      <c r="R7" t="n">
        <v>0</v>
      </c>
      <c r="S7" t="n">
        <v>0</v>
      </c>
      <c r="T7" t="n">
        <v>0</v>
      </c>
      <c r="U7" t="n">
        <v>0</v>
      </c>
      <c r="V7" t="n">
        <v>0</v>
      </c>
      <c r="W7" t="n">
        <v>0</v>
      </c>
      <c r="X7" t="n">
        <v>14.5</v>
      </c>
      <c r="Y7" t="n">
        <v>0</v>
      </c>
      <c r="Z7" t="n">
        <v>14.5</v>
      </c>
      <c r="AA7" t="n">
        <v>14.5</v>
      </c>
      <c r="AB7" t="n">
        <v>0</v>
      </c>
      <c r="AC7" t="n">
        <v>14.5</v>
      </c>
      <c r="AD7" t="n">
        <v>0</v>
      </c>
    </row>
    <row r="8">
      <c r="A8" t="inlineStr">
        <is>
          <t>Wheat</t>
        </is>
      </c>
      <c r="B8" t="inlineStr">
        <is>
          <t>that is, 1.5 bushels over 2 acres.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0.1875</v>
      </c>
      <c r="AA8" t="n">
        <v>0.1875</v>
      </c>
      <c r="AB8" t="n">
        <v>0</v>
      </c>
      <c r="AC8" t="n">
        <v>0</v>
      </c>
      <c r="AD8" t="n">
        <v>1.5</v>
      </c>
    </row>
    <row r="9">
      <c r="A9" t="inlineStr">
        <is>
          <t>Wheat</t>
        </is>
      </c>
      <c r="B9" t="inlineStr">
        <is>
          <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Wheat</t>
        </is>
      </c>
      <c r="B10" t="inlineStr">
        <is>
          <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Wheat</t>
        </is>
      </c>
      <c r="B11" t="inlineStr">
        <is>
          <t>customary payment to 1 sower, 1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1</v>
      </c>
      <c r="Z11" t="n">
        <v>0.125</v>
      </c>
      <c r="AA11" t="n">
        <v>0.125</v>
      </c>
      <c r="AB11" t="n">
        <v>0</v>
      </c>
      <c r="AC11" t="n">
        <v>0</v>
      </c>
      <c r="AD11" t="n">
        <v>1</v>
      </c>
    </row>
    <row r="12">
      <c r="A12" t="inlineStr">
        <is>
          <t>Wheat</t>
        </is>
      </c>
      <c r="B12" t="inlineStr">
        <is>
          <t>provision of 1 reeve, 1 hayward keeping the woods and pasture, and 1 beadle, from Lammas until the Decollation of St John the Baptist, for 4 weeks, 6 bushels Nothing for the provison of the steward this year.</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6</v>
      </c>
      <c r="Z12" t="n">
        <v>0.75</v>
      </c>
      <c r="AA12" t="n">
        <v>0.75</v>
      </c>
      <c r="AB12" t="n">
        <v>0</v>
      </c>
      <c r="AC12" t="n">
        <v>0</v>
      </c>
      <c r="AD12" t="n">
        <v>6</v>
      </c>
    </row>
    <row r="13">
      <c r="A13" t="inlineStr">
        <is>
          <t>Wheat</t>
        </is>
      </c>
      <c r="B13" t="inlineStr">
        <is>
          <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Wheat</t>
        </is>
      </c>
      <c r="B14" t="inlineStr">
        <is>
          <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Wheat</t>
        </is>
      </c>
      <c r="B15" t="inlineStr">
        <is>
          <t>default of the land of Horn for churchscot,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2</v>
      </c>
      <c r="Z15" t="n">
        <v>0.25</v>
      </c>
      <c r="AA15" t="n">
        <v>0.25</v>
      </c>
      <c r="AB15" t="n">
        <v>0</v>
      </c>
      <c r="AC15" t="n">
        <v>0</v>
      </c>
      <c r="AD15" t="n">
        <v>2</v>
      </c>
    </row>
    <row r="16">
      <c r="A16" t="inlineStr">
        <is>
          <t>Wheat</t>
        </is>
      </c>
      <c r="B16" t="inlineStr">
        <is>
          <t>the land of Tyle, 1.5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1.5</v>
      </c>
      <c r="Z16" t="n">
        <v>0.1875</v>
      </c>
      <c r="AA16" t="n">
        <v>0.1875</v>
      </c>
      <c r="AB16" t="n">
        <v>0</v>
      </c>
      <c r="AC16" t="n">
        <v>0</v>
      </c>
      <c r="AD16" t="n">
        <v>1.5</v>
      </c>
    </row>
    <row r="17">
      <c r="A17" t="inlineStr">
        <is>
          <t>Wheat</t>
        </is>
      </c>
      <c r="B17" t="inlineStr">
        <is>
          <t>the reeve (le Reve), 0.5 bushels 1 peck.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0.5</v>
      </c>
      <c r="Z17" t="n">
        <v>0.0625</v>
      </c>
      <c r="AA17" t="n">
        <v>0.0625</v>
      </c>
      <c r="AB17" t="n">
        <v>0</v>
      </c>
      <c r="AC17" t="n">
        <v>0</v>
      </c>
      <c r="AD17" t="n">
        <v>0.5</v>
      </c>
    </row>
    <row r="18">
      <c r="A18" t="inlineStr">
        <is>
          <t>Wheat</t>
        </is>
      </c>
      <c r="B18" t="inlineStr">
        <is>
          <t>the land of the millward (le Meleward') 0.5 bushels 1 peck.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0.5</v>
      </c>
      <c r="Z18" t="n">
        <v>0.0625</v>
      </c>
      <c r="AA18" t="n">
        <v>0.0625</v>
      </c>
      <c r="AB18" t="n">
        <v>0</v>
      </c>
      <c r="AC18" t="n">
        <v>0</v>
      </c>
      <c r="AD18" t="n">
        <v>0.5</v>
      </c>
    </row>
    <row r="19">
      <c r="A19" t="inlineStr">
        <is>
          <t>Wheat</t>
        </is>
      </c>
      <c r="B19" t="inlineStr">
        <is>
          <t>Sold, 42 quarters 2.5 bushels It balances.</t>
        </is>
      </c>
      <c r="C19" t="n">
        <v>0</v>
      </c>
      <c r="D19" t="n">
        <v>0</v>
      </c>
      <c r="E19" t="n">
        <v>0</v>
      </c>
      <c r="F19" t="n">
        <v>0</v>
      </c>
      <c r="G19" t="n">
        <v>0</v>
      </c>
      <c r="H19" t="n">
        <v>0</v>
      </c>
      <c r="I19" t="n">
        <v>0</v>
      </c>
      <c r="J19" t="n">
        <v>0</v>
      </c>
      <c r="K19" t="n">
        <v>0</v>
      </c>
      <c r="L19" t="n">
        <v>0</v>
      </c>
      <c r="M19" t="n">
        <v>0</v>
      </c>
      <c r="N19" t="n">
        <v>0</v>
      </c>
      <c r="O19" t="n">
        <v>0</v>
      </c>
      <c r="P19" t="n">
        <v>0</v>
      </c>
      <c r="Q19" t="n">
        <v>42</v>
      </c>
      <c r="R19" t="n">
        <v>2.5</v>
      </c>
      <c r="S19" t="n">
        <v>42.3125</v>
      </c>
      <c r="T19" t="n">
        <v>0</v>
      </c>
      <c r="U19" t="n">
        <v>0</v>
      </c>
      <c r="V19" t="n">
        <v>0</v>
      </c>
      <c r="W19" t="n">
        <v>0</v>
      </c>
      <c r="X19" t="n">
        <v>42</v>
      </c>
      <c r="Y19" t="n">
        <v>2.5</v>
      </c>
      <c r="Z19" t="n">
        <v>42.3125</v>
      </c>
      <c r="AA19" t="n">
        <v>42.3125</v>
      </c>
      <c r="AB19" t="n">
        <v>0</v>
      </c>
      <c r="AC19" t="n">
        <v>42</v>
      </c>
      <c r="AD19" t="n">
        <v>2.5</v>
      </c>
    </row>
    <row r="20">
      <c r="A20" t="inlineStr">
        <is>
          <t>Wheat</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t="inlineStr">
        <is>
          <t>Curall</t>
        </is>
      </c>
      <c r="B21" t="inlineStr">
        <is>
          <t>The same render account for 6 quarters 3 bushels from the whole issue of curall by struck measure.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6</v>
      </c>
      <c r="U21" t="n">
        <v>3</v>
      </c>
      <c r="V21" t="n">
        <v>6.375</v>
      </c>
      <c r="W21" t="n">
        <v>0</v>
      </c>
      <c r="X21" t="n">
        <v>6</v>
      </c>
      <c r="Y21" t="n">
        <v>3</v>
      </c>
      <c r="Z21" t="n">
        <v>6.375</v>
      </c>
      <c r="AA21" t="n">
        <v>6.375</v>
      </c>
      <c r="AB21" t="n">
        <v>0</v>
      </c>
      <c r="AC21" t="n">
        <v>6</v>
      </c>
      <c r="AD21" t="n">
        <v>3</v>
      </c>
    </row>
    <row r="22">
      <c r="A22" t="inlineStr">
        <is>
          <t>Curall</t>
        </is>
      </c>
      <c r="B22" t="inlineStr">
        <is>
          <t>Sold, 6 quarters 3 bushels</t>
        </is>
      </c>
      <c r="C22" t="n">
        <v>0</v>
      </c>
      <c r="D22" t="n">
        <v>0</v>
      </c>
      <c r="E22" t="n">
        <v>0</v>
      </c>
      <c r="F22" t="n">
        <v>0</v>
      </c>
      <c r="G22" t="n">
        <v>0</v>
      </c>
      <c r="H22" t="n">
        <v>0</v>
      </c>
      <c r="I22" t="n">
        <v>0</v>
      </c>
      <c r="J22" t="n">
        <v>0</v>
      </c>
      <c r="K22" t="n">
        <v>0</v>
      </c>
      <c r="L22" t="n">
        <v>0</v>
      </c>
      <c r="M22" t="n">
        <v>0</v>
      </c>
      <c r="N22" t="n">
        <v>0</v>
      </c>
      <c r="O22" t="n">
        <v>0</v>
      </c>
      <c r="P22" t="n">
        <v>0</v>
      </c>
      <c r="Q22" t="n">
        <v>6</v>
      </c>
      <c r="R22" t="n">
        <v>3</v>
      </c>
      <c r="S22" t="n">
        <v>6.375</v>
      </c>
      <c r="T22" t="n">
        <v>0</v>
      </c>
      <c r="U22" t="n">
        <v>0</v>
      </c>
      <c r="V22" t="n">
        <v>0</v>
      </c>
      <c r="W22" t="n">
        <v>0</v>
      </c>
      <c r="X22" t="n">
        <v>6</v>
      </c>
      <c r="Y22" t="n">
        <v>3</v>
      </c>
      <c r="Z22" t="n">
        <v>6.375</v>
      </c>
      <c r="AA22" t="n">
        <v>6.375</v>
      </c>
      <c r="AB22" t="n">
        <v>0</v>
      </c>
      <c r="AC22" t="n">
        <v>6</v>
      </c>
      <c r="AD22" t="n">
        <v>3</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row>
    <row r="24">
      <c r="A24" t="inlineStr">
        <is>
          <t>Rye</t>
        </is>
      </c>
      <c r="B24" t="inlineStr">
        <is>
          <t>The same render account for 2 quarters 0.5 bushels of rye from churchscot.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2</v>
      </c>
      <c r="U24" t="n">
        <v>0.5</v>
      </c>
      <c r="V24" t="n">
        <v>2.0625</v>
      </c>
      <c r="W24" t="n">
        <v>0</v>
      </c>
      <c r="X24" t="n">
        <v>2</v>
      </c>
      <c r="Y24" t="n">
        <v>0.5</v>
      </c>
      <c r="Z24" t="n">
        <v>2.0625</v>
      </c>
      <c r="AA24" t="n">
        <v>2.0625</v>
      </c>
      <c r="AB24" t="n">
        <v>0</v>
      </c>
      <c r="AC24" t="n">
        <v>2</v>
      </c>
      <c r="AD24" t="n">
        <v>0.5</v>
      </c>
    </row>
    <row r="25">
      <c r="A25" t="inlineStr">
        <is>
          <t>Rye</t>
        </is>
      </c>
      <c r="B25" t="inlineStr">
        <is>
          <t>Sold, 2 quarters 0.5 bushels</t>
        </is>
      </c>
      <c r="C25" t="n">
        <v>0</v>
      </c>
      <c r="D25" t="n">
        <v>0</v>
      </c>
      <c r="E25" t="n">
        <v>0</v>
      </c>
      <c r="F25" t="n">
        <v>0</v>
      </c>
      <c r="G25" t="n">
        <v>0</v>
      </c>
      <c r="H25" t="n">
        <v>0</v>
      </c>
      <c r="I25" t="n">
        <v>0</v>
      </c>
      <c r="J25" t="n">
        <v>0</v>
      </c>
      <c r="K25" t="n">
        <v>0</v>
      </c>
      <c r="L25" t="n">
        <v>0</v>
      </c>
      <c r="M25" t="n">
        <v>0</v>
      </c>
      <c r="N25" t="n">
        <v>0</v>
      </c>
      <c r="O25" t="n">
        <v>0</v>
      </c>
      <c r="P25" t="n">
        <v>0</v>
      </c>
      <c r="Q25" t="n">
        <v>2</v>
      </c>
      <c r="R25" t="n">
        <v>0.5</v>
      </c>
      <c r="S25" t="n">
        <v>2.0625</v>
      </c>
      <c r="T25" t="n">
        <v>0</v>
      </c>
      <c r="U25" t="n">
        <v>0</v>
      </c>
      <c r="V25" t="n">
        <v>0</v>
      </c>
      <c r="W25" t="n">
        <v>0</v>
      </c>
      <c r="X25" t="n">
        <v>2</v>
      </c>
      <c r="Y25" t="n">
        <v>0.5</v>
      </c>
      <c r="Z25" t="n">
        <v>2.0625</v>
      </c>
      <c r="AA25" t="n">
        <v>2.0625</v>
      </c>
      <c r="AB25" t="n">
        <v>0</v>
      </c>
      <c r="AC25" t="n">
        <v>2</v>
      </c>
      <c r="AD25" t="n">
        <v>0.5</v>
      </c>
    </row>
    <row r="26">
      <c r="A26" t="inlineStr">
        <is>
          <t>Rye</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row>
    <row r="27">
      <c r="A27" t="inlineStr">
        <is>
          <t>Maslin</t>
        </is>
      </c>
      <c r="B27" t="inlineStr">
        <is>
          <t>{yield: two-fold plus . . . 1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0.125</v>
      </c>
      <c r="AA27" t="n">
        <v>0.125</v>
      </c>
      <c r="AB27" t="n">
        <v>0</v>
      </c>
      <c r="AC27" t="n">
        <v>0</v>
      </c>
      <c r="AD27" t="n">
        <v>1</v>
      </c>
    </row>
    <row r="28">
      <c r="A28" t="inlineStr">
        <is>
          <t>Maslin</t>
        </is>
      </c>
      <c r="B28" t="inlineStr">
        <is>
          <t>The same render account for 7.5 quarters 1 bushels from the whole issue of maslin by struck measure.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7.5</v>
      </c>
      <c r="U28" t="n">
        <v>1</v>
      </c>
      <c r="V28" t="n">
        <v>7.625</v>
      </c>
      <c r="W28" t="n">
        <v>0</v>
      </c>
      <c r="X28" t="n">
        <v>7.5</v>
      </c>
      <c r="Y28" t="n">
        <v>1</v>
      </c>
      <c r="Z28" t="n">
        <v>7.625</v>
      </c>
      <c r="AA28" t="n">
        <v>7.625</v>
      </c>
      <c r="AB28" t="n">
        <v>0</v>
      </c>
      <c r="AC28" t="n">
        <v>7.5</v>
      </c>
      <c r="AD28" t="n">
        <v>1</v>
      </c>
    </row>
    <row r="29">
      <c r="A29" t="inlineStr">
        <is>
          <t>Maslin</t>
        </is>
      </c>
      <c r="B29" t="inlineStr">
        <is>
          <t>Mixed with barley, 7 quarters 1 bushels Sold, 4 bushels</t>
        </is>
      </c>
      <c r="C29" t="n">
        <v>0</v>
      </c>
      <c r="D29" t="n">
        <v>0</v>
      </c>
      <c r="E29" t="n">
        <v>0</v>
      </c>
      <c r="F29" t="n">
        <v>0</v>
      </c>
      <c r="G29" t="n">
        <v>0</v>
      </c>
      <c r="H29" t="n">
        <v>0</v>
      </c>
      <c r="I29" t="n">
        <v>0</v>
      </c>
      <c r="J29" t="n">
        <v>0</v>
      </c>
      <c r="K29" t="n">
        <v>0</v>
      </c>
      <c r="L29" t="n">
        <v>0</v>
      </c>
      <c r="M29" t="n">
        <v>0</v>
      </c>
      <c r="N29" t="n">
        <v>0</v>
      </c>
      <c r="O29" t="n">
        <v>0</v>
      </c>
      <c r="P29" t="n">
        <v>0</v>
      </c>
      <c r="Q29" t="n">
        <v>7</v>
      </c>
      <c r="R29" t="n">
        <v>1</v>
      </c>
      <c r="S29" t="n">
        <v>7.125</v>
      </c>
      <c r="T29" t="n">
        <v>0</v>
      </c>
      <c r="U29" t="n">
        <v>0</v>
      </c>
      <c r="V29" t="n">
        <v>0</v>
      </c>
      <c r="W29" t="n">
        <v>0</v>
      </c>
      <c r="X29" t="n">
        <v>7</v>
      </c>
      <c r="Y29" t="n">
        <v>4</v>
      </c>
      <c r="Z29" t="n">
        <v>7.5</v>
      </c>
      <c r="AA29" t="n">
        <v>7.125</v>
      </c>
      <c r="AB29" t="n">
        <v>0.375</v>
      </c>
      <c r="AC29" t="n">
        <v>7</v>
      </c>
      <c r="AD29" t="n">
        <v>1</v>
      </c>
      <c r="AE29" t="n">
        <v>0</v>
      </c>
      <c r="AF29" t="n">
        <v>4</v>
      </c>
    </row>
    <row r="30">
      <c r="A30" t="inlineStr">
        <is>
          <t>Maslin</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inlineStr">
        <is>
          <t>Barley</t>
        </is>
      </c>
      <c r="B31" t="inlineStr">
        <is>
          <t>(yield: 5-fold	. 1 qr 1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t="inlineStr">
        <is>
          <t>Barley</t>
        </is>
      </c>
      <c r="B32" t="inlineStr">
        <is>
          <t>The same render account for 73.5 quarters 1 bushels from the whole issue of barley by struck measure.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73.5</v>
      </c>
      <c r="U32" t="n">
        <v>1</v>
      </c>
      <c r="V32" t="n">
        <v>73.625</v>
      </c>
      <c r="W32" t="n">
        <v>0</v>
      </c>
      <c r="X32" t="n">
        <v>73.5</v>
      </c>
      <c r="Y32" t="n">
        <v>1</v>
      </c>
      <c r="Z32" t="n">
        <v>73.625</v>
      </c>
      <c r="AA32" t="n">
        <v>73.625</v>
      </c>
      <c r="AB32" t="n">
        <v>0</v>
      </c>
      <c r="AC32" t="n">
        <v>73.5</v>
      </c>
      <c r="AD32" t="n">
        <v>1</v>
      </c>
    </row>
    <row r="33">
      <c r="A33" t="inlineStr">
        <is>
          <t>Barley</t>
        </is>
      </c>
      <c r="B33" t="inlineStr">
        <is>
          <t>7 quarters 1 bushels received above from maslin.</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7</v>
      </c>
      <c r="Y33" t="n">
        <v>1</v>
      </c>
      <c r="Z33" t="n">
        <v>7.125</v>
      </c>
      <c r="AA33" t="n">
        <v>7.125</v>
      </c>
      <c r="AB33" t="n">
        <v>0</v>
      </c>
      <c r="AC33" t="n">
        <v>7</v>
      </c>
      <c r="AD33" t="n">
        <v>1</v>
      </c>
    </row>
    <row r="34">
      <c r="A34" t="inlineStr">
        <is>
          <t>Barley</t>
        </is>
      </c>
      <c r="B34" t="inlineStr">
        <is>
          <t>9 quarters received above from bere.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9</v>
      </c>
      <c r="Y34" t="n">
        <v>0</v>
      </c>
      <c r="Z34" t="n">
        <v>9</v>
      </c>
      <c r="AA34" t="n">
        <v>9</v>
      </c>
      <c r="AB34" t="n">
        <v>0</v>
      </c>
      <c r="AC34" t="n">
        <v>9</v>
      </c>
      <c r="AD34" t="n">
        <v>0</v>
      </c>
    </row>
    <row r="35">
      <c r="A35" t="inlineStr">
        <is>
          <t>Barley</t>
        </is>
      </c>
      <c r="B35" t="inlineStr">
        <is>
          <t>3 quarters 3 bus, received from vetches for the liveries of the manorial servants.</t>
        </is>
      </c>
      <c r="C35" t="n">
        <v>0</v>
      </c>
      <c r="D35" t="n">
        <v>0</v>
      </c>
      <c r="E35" t="n">
        <v>0</v>
      </c>
      <c r="F35" t="n">
        <v>0</v>
      </c>
      <c r="G35" t="n">
        <v>0</v>
      </c>
      <c r="H35" t="n">
        <v>0</v>
      </c>
      <c r="I35" t="n">
        <v>0</v>
      </c>
      <c r="J35" t="n">
        <v>0</v>
      </c>
      <c r="K35" t="n">
        <v>0</v>
      </c>
      <c r="L35" t="n">
        <v>0</v>
      </c>
      <c r="M35" t="n">
        <v>0</v>
      </c>
      <c r="N35" t="n">
        <v>3</v>
      </c>
      <c r="O35" t="n">
        <v>0</v>
      </c>
      <c r="P35" t="n">
        <v>3</v>
      </c>
      <c r="Q35" t="n">
        <v>0</v>
      </c>
      <c r="R35" t="n">
        <v>0</v>
      </c>
      <c r="S35" t="n">
        <v>0</v>
      </c>
      <c r="T35" t="n">
        <v>0</v>
      </c>
      <c r="U35" t="n">
        <v>0</v>
      </c>
      <c r="V35" t="n">
        <v>0</v>
      </c>
      <c r="W35" t="n">
        <v>0</v>
      </c>
    </row>
    <row r="36">
      <c r="A36" t="inlineStr">
        <is>
          <t>Barley</t>
        </is>
      </c>
      <c r="B36" t="inlineStr">
        <is>
          <t>Total, 93 quarters 1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93</v>
      </c>
      <c r="Y36" t="n">
        <v>1</v>
      </c>
      <c r="Z36" t="n">
        <v>93.125</v>
      </c>
      <c r="AA36" t="n">
        <v>93.125</v>
      </c>
      <c r="AB36" t="n">
        <v>0</v>
      </c>
      <c r="AC36" t="n">
        <v>93</v>
      </c>
      <c r="AD36" t="n">
        <v>1</v>
      </c>
    </row>
    <row r="37">
      <c r="A37" t="inlineStr">
        <is>
          <t>Barley</t>
        </is>
      </c>
      <c r="B37" t="inlineStr">
        <is>
          <t>Sown over 86 acres as they lie in le Harnesgate, le Grove, and Tonforlong' behind the garden, 16 quarters 1 bushels.</t>
        </is>
      </c>
      <c r="C37" t="n">
        <v>0</v>
      </c>
      <c r="D37" t="n">
        <v>0</v>
      </c>
      <c r="E37" t="n">
        <v>16</v>
      </c>
      <c r="F37" t="n">
        <v>1</v>
      </c>
      <c r="G37" t="n">
        <v>16.125</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1</v>
      </c>
      <c r="Z37" t="n">
        <v>16.125</v>
      </c>
      <c r="AA37" t="n">
        <v>16.125</v>
      </c>
      <c r="AB37" t="n">
        <v>0</v>
      </c>
      <c r="AC37" t="n">
        <v>16</v>
      </c>
      <c r="AD37" t="n">
        <v>1</v>
      </c>
    </row>
    <row r="38">
      <c r="A38" t="inlineStr">
        <is>
          <t>Barley</t>
        </is>
      </c>
      <c r="B38" t="inlineStr">
        <is>
          <t>that is, 1.5 bushels an acre.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1.5</v>
      </c>
      <c r="Z38" t="n">
        <v>0.1875</v>
      </c>
      <c r="AA38" t="n">
        <v>0.1875</v>
      </c>
      <c r="AB38" t="n">
        <v>0</v>
      </c>
      <c r="AC38" t="n">
        <v>0</v>
      </c>
      <c r="AD38" t="n">
        <v>1.5</v>
      </c>
    </row>
    <row r="39">
      <c r="A39" t="inlineStr">
        <is>
          <t>Barley</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Barley</t>
        </is>
      </c>
      <c r="B40" t="inlineStr">
        <is>
          <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Barley</t>
        </is>
      </c>
      <c r="B41" t="inlineStr">
        <is>
          <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Barley</t>
        </is>
      </c>
      <c r="B42" t="inlineStr">
        <is>
          <t>customary payment to 1 sower, 1 bushels.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1</v>
      </c>
      <c r="Z42" t="n">
        <v>0.125</v>
      </c>
      <c r="AA42" t="n">
        <v>0.125</v>
      </c>
      <c r="AB42" t="n">
        <v>0</v>
      </c>
      <c r="AC42" t="n">
        <v>0</v>
      </c>
      <c r="AD42" t="n">
        <v>1</v>
      </c>
    </row>
    <row r="43">
      <c r="A43" t="inlineStr">
        <is>
          <t>Barley</t>
        </is>
      </c>
      <c r="B43" t="inlineStr">
        <is>
          <t>customary payment to 1 smith,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3</v>
      </c>
      <c r="Z43" t="n">
        <v>0.375</v>
      </c>
      <c r="AA43" t="n">
        <v>0.375</v>
      </c>
      <c r="AB43" t="n">
        <v>0</v>
      </c>
      <c r="AC43" t="n">
        <v>0</v>
      </c>
      <c r="AD43" t="n">
        <v>3</v>
      </c>
    </row>
    <row r="44">
      <c r="A44" t="inlineStr">
        <is>
          <t>Barley</t>
        </is>
      </c>
      <c r="B44" t="inlineStr">
        <is>
          <t>customary payment to 1 shepherd of ewes, 3 bushels Delivered to 1 hayward from Michaelmas until Lammas and from the Decollation of St John the Baptist until Michaelmas, because for 4 weeks at harvest-time he was at table, 6 quarters, taking a quarter every 8 weeks.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6</v>
      </c>
      <c r="Y44" t="n">
        <v>3</v>
      </c>
      <c r="Z44" t="n">
        <v>6.375</v>
      </c>
      <c r="AA44" t="n">
        <v>0.375</v>
      </c>
      <c r="AB44" t="n">
        <v>6</v>
      </c>
      <c r="AC44" t="n">
        <v>0</v>
      </c>
      <c r="AD44" t="n">
        <v>3</v>
      </c>
      <c r="AE44" t="n">
        <v>6</v>
      </c>
      <c r="AF44" t="n">
        <v>0</v>
      </c>
    </row>
    <row r="45">
      <c r="A45" t="inlineStr">
        <is>
          <t>Barley</t>
        </is>
      </c>
      <c r="B45" t="inlineStr">
        <is>
          <t>Delivered to 2 ploughmen who were sometimes carters and 1 drover for the year, 17 quarters 2 bushels, taking a quarter every 9 weeks.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17</v>
      </c>
      <c r="Y45" t="n">
        <v>2</v>
      </c>
      <c r="Z45" t="n">
        <v>17.25</v>
      </c>
      <c r="AA45" t="n">
        <v>17.25</v>
      </c>
      <c r="AB45" t="n">
        <v>0</v>
      </c>
      <c r="AC45" t="n">
        <v>17</v>
      </c>
      <c r="AD45" t="n">
        <v>2</v>
      </c>
    </row>
    <row r="46">
      <c r="A46" t="inlineStr">
        <is>
          <t>Barley</t>
        </is>
      </c>
      <c r="B46" t="inlineStr">
        <is>
          <t>Delivered to 1 dairymaid from Michaelmas until Lammas and from the Decollation of St John the Baptist until the following Michaelmas, 4 quarters, because she was at table for 4 weeks at harvest-time, taking a quarter every 12 weeks.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4</v>
      </c>
      <c r="Y46" t="n">
        <v>0</v>
      </c>
      <c r="Z46" t="n">
        <v>4</v>
      </c>
      <c r="AA46" t="n">
        <v>4</v>
      </c>
      <c r="AB46" t="n">
        <v>0</v>
      </c>
      <c r="AC46" t="n">
        <v>4</v>
      </c>
      <c r="AD46" t="n">
        <v>0</v>
      </c>
    </row>
    <row r="47">
      <c r="A47" t="inlineStr">
        <is>
          <t>Barley</t>
        </is>
      </c>
      <c r="B47" t="inlineStr">
        <is>
          <t>Delivered to 1 keeper of lambs from weaning until Lammas, 1 qr.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t="inlineStr">
        <is>
          <t>Barley</t>
        </is>
      </c>
      <c r="B48" t="inlineStr">
        <is>
          <t>Delivered to 1 cowherd for the year, 4 quarters 2 bushels, taking a quarter every 12 weeks.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4</v>
      </c>
      <c r="Y48" t="n">
        <v>2</v>
      </c>
      <c r="Z48" t="n">
        <v>4.25</v>
      </c>
      <c r="AA48" t="n">
        <v>4.25</v>
      </c>
      <c r="AB48" t="n">
        <v>0</v>
      </c>
      <c r="AC48" t="n">
        <v>4</v>
      </c>
      <c r="AD48" t="n">
        <v>2</v>
      </c>
    </row>
    <row r="49">
      <c r="A49" t="inlineStr">
        <is>
          <t>Barley</t>
        </is>
      </c>
      <c r="B49" t="inlineStr">
        <is>
          <t>.</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Barley</t>
        </is>
      </c>
      <c r="B50" t="inlineStr">
        <is>
          <t>.</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Barley</t>
        </is>
      </c>
      <c r="B51" t="inlineStr">
        <is>
          <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Barley</t>
        </is>
      </c>
      <c r="B52" t="inlineStr">
        <is>
          <t>provision of the reeve and officials of the curia for 4 weeks at harvest-time, 2 quarters.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row>
    <row r="53">
      <c r="A53" t="inlineStr">
        <is>
          <t>Barley</t>
        </is>
      </c>
      <c r="B53" t="inlineStr">
        <is>
          <t>.</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Barley</t>
        </is>
      </c>
      <c r="B54" t="inlineStr">
        <is>
          <t>.</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Barley</t>
        </is>
      </c>
      <c r="B55" t="inlineStr">
        <is>
          <t>.</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row>
    <row r="56">
      <c r="A56" t="inlineStr">
        <is>
          <t>Barley</t>
        </is>
      </c>
      <c r="B56" t="inlineStr">
        <is>
          <t>customary provision, that is, in bread at harvest-time on account of the boon-works, 7.5 quarters.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7.5</v>
      </c>
      <c r="Y56" t="n">
        <v>0</v>
      </c>
      <c r="Z56" t="n">
        <v>7.5</v>
      </c>
      <c r="AA56" t="n">
        <v>7.5</v>
      </c>
      <c r="AB56" t="n">
        <v>0</v>
      </c>
      <c r="AC56" t="n">
        <v>7.5</v>
      </c>
      <c r="AD56" t="n">
        <v>0</v>
      </c>
    </row>
    <row r="57">
      <c r="A57" t="inlineStr">
        <is>
          <t>Barley</t>
        </is>
      </c>
      <c r="B57" t="inlineStr">
        <is>
          <t>Sold, 34 quarters 1 bushels</t>
        </is>
      </c>
      <c r="C57" t="n">
        <v>0</v>
      </c>
      <c r="D57" t="n">
        <v>0</v>
      </c>
      <c r="E57" t="n">
        <v>0</v>
      </c>
      <c r="F57" t="n">
        <v>0</v>
      </c>
      <c r="G57" t="n">
        <v>0</v>
      </c>
      <c r="H57" t="n">
        <v>0</v>
      </c>
      <c r="I57" t="n">
        <v>0</v>
      </c>
      <c r="J57" t="n">
        <v>0</v>
      </c>
      <c r="K57" t="n">
        <v>0</v>
      </c>
      <c r="L57" t="n">
        <v>0</v>
      </c>
      <c r="M57" t="n">
        <v>0</v>
      </c>
      <c r="N57" t="n">
        <v>0</v>
      </c>
      <c r="O57" t="n">
        <v>0</v>
      </c>
      <c r="P57" t="n">
        <v>0</v>
      </c>
      <c r="Q57" t="n">
        <v>34</v>
      </c>
      <c r="R57" t="n">
        <v>1</v>
      </c>
      <c r="S57" t="n">
        <v>34.125</v>
      </c>
      <c r="T57" t="n">
        <v>0</v>
      </c>
      <c r="U57" t="n">
        <v>0</v>
      </c>
      <c r="V57" t="n">
        <v>0</v>
      </c>
      <c r="W57" t="n">
        <v>0</v>
      </c>
      <c r="X57" t="n">
        <v>34</v>
      </c>
      <c r="Y57" t="n">
        <v>1</v>
      </c>
      <c r="Z57" t="n">
        <v>34.125</v>
      </c>
      <c r="AA57" t="n">
        <v>34.125</v>
      </c>
      <c r="AB57" t="n">
        <v>0</v>
      </c>
      <c r="AC57" t="n">
        <v>34</v>
      </c>
      <c r="AD57" t="n">
        <v>1</v>
      </c>
    </row>
    <row r="58">
      <c r="A58" t="inlineStr">
        <is>
          <t>Barley</t>
        </is>
      </c>
      <c r="B58" t="inlineStr">
        <is>
          <t>Total</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row>
    <row r="59">
      <c r="A59" t="inlineStr">
        <is>
          <t>Oats</t>
        </is>
      </c>
      <c r="B59" t="inlineStr">
        <is>
          <t>{yield: three-fold less 8 quarters 6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8</v>
      </c>
      <c r="Y59" t="n">
        <v>6</v>
      </c>
      <c r="Z59" t="n">
        <v>8.75</v>
      </c>
      <c r="AA59" t="n">
        <v>8.75</v>
      </c>
      <c r="AB59" t="n">
        <v>0</v>
      </c>
      <c r="AC59" t="n">
        <v>8</v>
      </c>
      <c r="AD59" t="n">
        <v>6</v>
      </c>
    </row>
    <row r="60">
      <c r="A60" t="inlineStr">
        <is>
          <t>Oats</t>
        </is>
      </c>
      <c r="B60" t="inlineStr">
        <is>
          <t>The same render account for 93.5 quarters 2 bushels from the whole issue of oats by struck measure.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93.5</v>
      </c>
      <c r="U60" t="n">
        <v>2</v>
      </c>
      <c r="V60" t="n">
        <v>93.75</v>
      </c>
      <c r="W60" t="n">
        <v>0</v>
      </c>
      <c r="X60" t="n">
        <v>93.5</v>
      </c>
      <c r="Y60" t="n">
        <v>2</v>
      </c>
      <c r="Z60" t="n">
        <v>93.75</v>
      </c>
      <c r="AA60" t="n">
        <v>93.75</v>
      </c>
      <c r="AB60" t="n">
        <v>0</v>
      </c>
      <c r="AC60" t="n">
        <v>93.5</v>
      </c>
      <c r="AD60" t="n">
        <v>2</v>
      </c>
    </row>
    <row r="61">
      <c r="A61" t="inlineStr">
        <is>
          <t>Oats</t>
        </is>
      </c>
      <c r="B61" t="inlineStr">
        <is>
          <t>14.5 quarters by estimation in sheaves given to oxen.</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14.5</v>
      </c>
      <c r="Y61" t="n">
        <v>0</v>
      </c>
      <c r="Z61" t="n">
        <v>14.5</v>
      </c>
      <c r="AA61" t="n">
        <v>14.5</v>
      </c>
      <c r="AB61" t="n">
        <v>0</v>
      </c>
      <c r="AC61" t="n">
        <v>14.5</v>
      </c>
      <c r="AD61" t="n">
        <v>0</v>
      </c>
    </row>
    <row r="62">
      <c r="A62" t="inlineStr">
        <is>
          <t>Oats</t>
        </is>
      </c>
      <c r="B62" t="inlineStr">
        <is>
          <t>Total, 108 quarters 2 bushels Sown over 225 acres which lie in Midelcrofte, Suthfeld', and Watcumb', 42 quarters 1 bushels.</t>
        </is>
      </c>
      <c r="C62" t="n">
        <v>0</v>
      </c>
      <c r="D62" t="n">
        <v>0</v>
      </c>
      <c r="E62" t="n">
        <v>150</v>
      </c>
      <c r="F62" t="n">
        <v>3</v>
      </c>
      <c r="G62" t="n">
        <v>150.375</v>
      </c>
      <c r="H62" t="n">
        <v>0</v>
      </c>
      <c r="I62" t="n">
        <v>0</v>
      </c>
      <c r="J62" t="n">
        <v>0</v>
      </c>
      <c r="K62" t="n">
        <v>0</v>
      </c>
      <c r="L62" t="n">
        <v>0</v>
      </c>
      <c r="M62" t="n">
        <v>0</v>
      </c>
      <c r="N62" t="n">
        <v>0</v>
      </c>
      <c r="O62" t="n">
        <v>0</v>
      </c>
      <c r="P62" t="n">
        <v>0</v>
      </c>
      <c r="Q62" t="n">
        <v>0</v>
      </c>
      <c r="R62" t="n">
        <v>0</v>
      </c>
      <c r="S62" t="n">
        <v>0</v>
      </c>
      <c r="T62" t="n">
        <v>0</v>
      </c>
      <c r="U62" t="n">
        <v>0</v>
      </c>
      <c r="V62" t="n">
        <v>0</v>
      </c>
      <c r="W62" t="n">
        <v>0</v>
      </c>
      <c r="X62" t="n">
        <v>42</v>
      </c>
      <c r="Y62" t="n">
        <v>1</v>
      </c>
      <c r="Z62" t="n">
        <v>42.125</v>
      </c>
      <c r="AA62" t="n">
        <v>108.25</v>
      </c>
      <c r="AB62" t="n">
        <v>-66.125</v>
      </c>
      <c r="AC62" t="n">
        <v>108</v>
      </c>
      <c r="AD62" t="n">
        <v>2</v>
      </c>
      <c r="AE62" t="n">
        <v>42</v>
      </c>
      <c r="AF62" t="n">
        <v>1</v>
      </c>
    </row>
    <row r="63">
      <c r="A63" t="inlineStr">
        <is>
          <t>Oats</t>
        </is>
      </c>
      <c r="B63" t="inlineStr">
        <is>
          <t>that is, 1.5 bushels an acre, less' bushels in all.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1.5</v>
      </c>
      <c r="Z63" t="n">
        <v>0.1875</v>
      </c>
      <c r="AA63" t="n">
        <v>0.1875</v>
      </c>
      <c r="AB63" t="n">
        <v>0</v>
      </c>
      <c r="AC63" t="n">
        <v>0</v>
      </c>
      <c r="AD63" t="n">
        <v>1.5</v>
      </c>
    </row>
    <row r="64">
      <c r="A64" t="inlineStr">
        <is>
          <t>Oats</t>
        </is>
      </c>
      <c r="B64" t="inlineStr">
        <is>
          <t>.</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Oats</t>
        </is>
      </c>
      <c r="B65" t="inlineStr">
        <is>
          <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Oats</t>
        </is>
      </c>
      <c r="B66" t="inlineStr">
        <is>
          <t>customary payment to 1 hayward, 1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1</v>
      </c>
      <c r="Z66" t="n">
        <v>0.125</v>
      </c>
      <c r="AA66" t="n">
        <v>0.125</v>
      </c>
      <c r="AB66" t="n">
        <v>0</v>
      </c>
      <c r="AC66" t="n">
        <v>0</v>
      </c>
      <c r="AD66" t="n">
        <v>1</v>
      </c>
    </row>
    <row r="67">
      <c r="A67" t="inlineStr">
        <is>
          <t>Oats</t>
        </is>
      </c>
      <c r="B67" t="inlineStr">
        <is>
          <t>fodder of 2 cart-horses and 3 plough-horses hauling the ploughs, 15.5 quarters 3 bushels.</t>
        </is>
      </c>
      <c r="C67" t="n">
        <v>0</v>
      </c>
      <c r="D67" t="n">
        <v>0</v>
      </c>
      <c r="E67" t="n">
        <v>0</v>
      </c>
      <c r="F67" t="n">
        <v>0</v>
      </c>
      <c r="G67" t="n">
        <v>0</v>
      </c>
      <c r="H67" t="n">
        <v>0</v>
      </c>
      <c r="I67" t="n">
        <v>0</v>
      </c>
      <c r="J67" t="n">
        <v>0</v>
      </c>
      <c r="K67" t="n">
        <v>0</v>
      </c>
      <c r="L67" t="n">
        <v>0</v>
      </c>
      <c r="M67" t="n">
        <v>0</v>
      </c>
      <c r="N67" t="n">
        <v>15.5</v>
      </c>
      <c r="O67" t="n">
        <v>3</v>
      </c>
      <c r="P67" t="n">
        <v>15.875</v>
      </c>
      <c r="Q67" t="n">
        <v>0</v>
      </c>
      <c r="R67" t="n">
        <v>0</v>
      </c>
      <c r="S67" t="n">
        <v>0</v>
      </c>
      <c r="T67" t="n">
        <v>0</v>
      </c>
      <c r="U67" t="n">
        <v>0</v>
      </c>
      <c r="V67" t="n">
        <v>0</v>
      </c>
      <c r="W67" t="n">
        <v>0</v>
      </c>
      <c r="X67" t="n">
        <v>15.5</v>
      </c>
      <c r="Y67" t="n">
        <v>3</v>
      </c>
      <c r="Z67" t="n">
        <v>15.875</v>
      </c>
      <c r="AA67" t="n">
        <v>15.875</v>
      </c>
      <c r="AB67" t="n">
        <v>0</v>
      </c>
      <c r="AC67" t="n">
        <v>15.5</v>
      </c>
      <c r="AD67" t="n">
        <v>3</v>
      </c>
    </row>
    <row r="68">
      <c r="A68" t="inlineStr">
        <is>
          <t>Oats</t>
        </is>
      </c>
      <c r="B68" t="inlineStr">
        <is>
          <t>supporting oxen by estimation in sheaves, 14.5 quarters.</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14.5</v>
      </c>
      <c r="Y68" t="n">
        <v>0</v>
      </c>
      <c r="Z68" t="n">
        <v>14.5</v>
      </c>
      <c r="AA68" t="n">
        <v>14.5</v>
      </c>
      <c r="AB68" t="n">
        <v>0</v>
      </c>
      <c r="AC68" t="n">
        <v>14.5</v>
      </c>
      <c r="AD68" t="n">
        <v>0</v>
      </c>
    </row>
    <row r="69">
      <c r="A69" t="inlineStr">
        <is>
          <t>Oats</t>
        </is>
      </c>
      <c r="B69" t="inlineStr">
        <is>
          <t>.</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Oats</t>
        </is>
      </c>
      <c r="B70" t="inlineStr">
        <is>
          <t>.</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row>
    <row r="71">
      <c r="A71" t="inlineStr">
        <is>
          <t>Oats</t>
        </is>
      </c>
      <c r="B71" t="inlineStr">
        <is>
          <t>fodder of the steward's horses, 2 bushels.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2</v>
      </c>
      <c r="Z71" t="n">
        <v>0.25</v>
      </c>
      <c r="AA71" t="n">
        <v>0.25</v>
      </c>
      <c r="AB71" t="n">
        <v>0</v>
      </c>
      <c r="AC71" t="n">
        <v>0</v>
      </c>
      <c r="AD71" t="n">
        <v>2</v>
      </c>
    </row>
    <row r="72">
      <c r="A72" t="inlineStr">
        <is>
          <t>Oats</t>
        </is>
      </c>
      <c r="B72" t="inlineStr">
        <is>
          <t>fodder of the horse of the bailiff and clerk for his visits, 5 bushels Sold, 34.5 quarters 2 bushels</t>
        </is>
      </c>
      <c r="C72" t="n">
        <v>0</v>
      </c>
      <c r="D72" t="n">
        <v>0</v>
      </c>
      <c r="E72" t="n">
        <v>0</v>
      </c>
      <c r="F72" t="n">
        <v>0</v>
      </c>
      <c r="G72" t="n">
        <v>0</v>
      </c>
      <c r="H72" t="n">
        <v>0</v>
      </c>
      <c r="I72" t="n">
        <v>0</v>
      </c>
      <c r="J72" t="n">
        <v>0</v>
      </c>
      <c r="K72" t="n">
        <v>0</v>
      </c>
      <c r="L72" t="n">
        <v>0</v>
      </c>
      <c r="M72" t="n">
        <v>0</v>
      </c>
      <c r="N72" t="n">
        <v>34.5</v>
      </c>
      <c r="O72" t="n">
        <v>2</v>
      </c>
      <c r="P72" t="n">
        <v>34.75</v>
      </c>
      <c r="Q72" t="n">
        <v>34.5</v>
      </c>
      <c r="R72" t="n">
        <v>2</v>
      </c>
      <c r="S72" t="n">
        <v>34.75</v>
      </c>
      <c r="T72" t="n">
        <v>0</v>
      </c>
      <c r="U72" t="n">
        <v>0</v>
      </c>
      <c r="V72" t="n">
        <v>0</v>
      </c>
      <c r="W72" t="n">
        <v>0</v>
      </c>
      <c r="X72" t="n">
        <v>34.5</v>
      </c>
      <c r="Y72" t="n">
        <v>2</v>
      </c>
      <c r="Z72" t="n">
        <v>34.75</v>
      </c>
      <c r="AA72" t="n">
        <v>0.625</v>
      </c>
      <c r="AB72" t="n">
        <v>34.125</v>
      </c>
      <c r="AC72" t="n">
        <v>0</v>
      </c>
      <c r="AD72" t="n">
        <v>5</v>
      </c>
      <c r="AE72" t="n">
        <v>34.5</v>
      </c>
      <c r="AF72" t="n">
        <v>2</v>
      </c>
    </row>
    <row r="73">
      <c r="A73" t="inlineStr">
        <is>
          <t>Oats</t>
        </is>
      </c>
      <c r="B73" t="inlineStr">
        <is>
          <t>Total</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row>
    <row r="74">
      <c r="A74" t="inlineStr">
        <is>
          <t>Peas</t>
        </is>
      </c>
      <c r="B74" t="inlineStr">
        <is>
          <t>{yield: four-fold less 1 bushels}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1</v>
      </c>
      <c r="Z74" t="n">
        <v>0.125</v>
      </c>
      <c r="AA74" t="n">
        <v>0.125</v>
      </c>
      <c r="AB74" t="n">
        <v>0</v>
      </c>
      <c r="AC74" t="n">
        <v>0</v>
      </c>
      <c r="AD74" t="n">
        <v>1</v>
      </c>
    </row>
    <row r="75">
      <c r="A75" t="inlineStr">
        <is>
          <t>Peas</t>
        </is>
      </c>
      <c r="B75" t="inlineStr">
        <is>
          <t>The same render account for 11.5 quarters 3 bushels from the whole issue of peas by struck measure.</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11.5</v>
      </c>
      <c r="U75" t="n">
        <v>3</v>
      </c>
      <c r="V75" t="n">
        <v>11.875</v>
      </c>
      <c r="W75" t="n">
        <v>0</v>
      </c>
      <c r="X75" t="n">
        <v>11.5</v>
      </c>
      <c r="Y75" t="n">
        <v>3</v>
      </c>
      <c r="Z75" t="n">
        <v>11.875</v>
      </c>
      <c r="AA75" t="n">
        <v>11.875</v>
      </c>
      <c r="AB75" t="n">
        <v>0</v>
      </c>
      <c r="AC75" t="n">
        <v>11.5</v>
      </c>
      <c r="AD75" t="n">
        <v>3</v>
      </c>
    </row>
    <row r="76">
      <c r="A76" t="inlineStr">
        <is>
          <t>Peas</t>
        </is>
      </c>
      <c r="B76" t="inlineStr">
        <is>
          <t>Sown over 18 acres which lie in Hynhok', 2 quarters 2 bushels.</t>
        </is>
      </c>
      <c r="C76" t="n">
        <v>0</v>
      </c>
      <c r="D76" t="n">
        <v>0</v>
      </c>
      <c r="E76" t="n">
        <v>2</v>
      </c>
      <c r="F76" t="n">
        <v>2</v>
      </c>
      <c r="G76" t="n">
        <v>2.25</v>
      </c>
      <c r="H76" t="n">
        <v>0</v>
      </c>
      <c r="I76" t="n">
        <v>0</v>
      </c>
      <c r="J76" t="n">
        <v>0</v>
      </c>
      <c r="K76" t="n">
        <v>0</v>
      </c>
      <c r="L76" t="n">
        <v>0</v>
      </c>
      <c r="M76" t="n">
        <v>0</v>
      </c>
      <c r="N76" t="n">
        <v>0</v>
      </c>
      <c r="O76" t="n">
        <v>0</v>
      </c>
      <c r="P76" t="n">
        <v>0</v>
      </c>
      <c r="Q76" t="n">
        <v>0</v>
      </c>
      <c r="R76" t="n">
        <v>0</v>
      </c>
      <c r="S76" t="n">
        <v>0</v>
      </c>
      <c r="T76" t="n">
        <v>0</v>
      </c>
      <c r="U76" t="n">
        <v>0</v>
      </c>
      <c r="V76" t="n">
        <v>0</v>
      </c>
      <c r="W76" t="n">
        <v>0</v>
      </c>
      <c r="X76" t="n">
        <v>2</v>
      </c>
      <c r="Y76" t="n">
        <v>2</v>
      </c>
      <c r="Z76" t="n">
        <v>2.25</v>
      </c>
      <c r="AA76" t="n">
        <v>2.25</v>
      </c>
      <c r="AB76" t="n">
        <v>0</v>
      </c>
      <c r="AC76" t="n">
        <v>2</v>
      </c>
      <c r="AD76" t="n">
        <v>2</v>
      </c>
    </row>
    <row r="77">
      <c r="A77" t="inlineStr">
        <is>
          <t>Peas</t>
        </is>
      </c>
      <c r="B77" t="inlineStr">
        <is>
          <t>that is, 1 bushels an acre.</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0.125</v>
      </c>
      <c r="AA77" t="n">
        <v>0.125</v>
      </c>
      <c r="AB77" t="n">
        <v>0</v>
      </c>
      <c r="AC77" t="n">
        <v>0</v>
      </c>
      <c r="AD77" t="n">
        <v>1</v>
      </c>
    </row>
    <row r="78">
      <c r="A78" t="inlineStr">
        <is>
          <t>Peas</t>
        </is>
      </c>
      <c r="B78" t="inlineStr">
        <is>
          <t>Sold, 9.5 quarters 1 bushels</t>
        </is>
      </c>
      <c r="C78" t="n">
        <v>0</v>
      </c>
      <c r="D78" t="n">
        <v>0</v>
      </c>
      <c r="E78" t="n">
        <v>0</v>
      </c>
      <c r="F78" t="n">
        <v>0</v>
      </c>
      <c r="G78" t="n">
        <v>0</v>
      </c>
      <c r="H78" t="n">
        <v>0</v>
      </c>
      <c r="I78" t="n">
        <v>0</v>
      </c>
      <c r="J78" t="n">
        <v>0</v>
      </c>
      <c r="K78" t="n">
        <v>0</v>
      </c>
      <c r="L78" t="n">
        <v>0</v>
      </c>
      <c r="M78" t="n">
        <v>0</v>
      </c>
      <c r="N78" t="n">
        <v>0</v>
      </c>
      <c r="O78" t="n">
        <v>0</v>
      </c>
      <c r="P78" t="n">
        <v>0</v>
      </c>
      <c r="Q78" t="n">
        <v>9.5</v>
      </c>
      <c r="R78" t="n">
        <v>1</v>
      </c>
      <c r="S78" t="n">
        <v>9.625</v>
      </c>
      <c r="T78" t="n">
        <v>0</v>
      </c>
      <c r="U78" t="n">
        <v>0</v>
      </c>
      <c r="V78" t="n">
        <v>0</v>
      </c>
      <c r="W78" t="n">
        <v>0</v>
      </c>
      <c r="X78" t="n">
        <v>9.5</v>
      </c>
      <c r="Y78" t="n">
        <v>1</v>
      </c>
      <c r="Z78" t="n">
        <v>9.625</v>
      </c>
      <c r="AA78" t="n">
        <v>9.625</v>
      </c>
      <c r="AB78" t="n">
        <v>0</v>
      </c>
      <c r="AC78" t="n">
        <v>9.5</v>
      </c>
      <c r="AD78" t="n">
        <v>1</v>
      </c>
    </row>
    <row r="79">
      <c r="A79" t="inlineStr">
        <is>
          <t>Peas</t>
        </is>
      </c>
      <c r="B79" t="inlineStr">
        <is>
          <t>Total</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row>
    <row r="80">
      <c r="A80" t="inlineStr">
        <is>
          <t>Vetches</t>
        </is>
      </c>
      <c r="B80" t="inlineStr">
        <is>
          <t>{yield: three-and-a-half-fold plus 2.5 bushels}</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2.5</v>
      </c>
      <c r="Z80" t="n">
        <v>0.3125</v>
      </c>
      <c r="AA80" t="n">
        <v>0.3125</v>
      </c>
      <c r="AB80" t="n">
        <v>0</v>
      </c>
      <c r="AC80" t="n">
        <v>0</v>
      </c>
      <c r="AD80" t="n">
        <v>2.5</v>
      </c>
    </row>
    <row r="81">
      <c r="A81" t="inlineStr">
        <is>
          <t>Vetches</t>
        </is>
      </c>
      <c r="B81" t="inlineStr">
        <is>
          <t>The same render account for 9.5 quarters of vetches remaining from the previous year in the granary.</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9.5</v>
      </c>
      <c r="U81" t="n">
        <v>0</v>
      </c>
      <c r="V81" t="n">
        <v>9.5</v>
      </c>
      <c r="W81" t="n">
        <v>0</v>
      </c>
      <c r="X81" t="n">
        <v>9.5</v>
      </c>
      <c r="Y81" t="n">
        <v>0</v>
      </c>
      <c r="Z81" t="n">
        <v>9.5</v>
      </c>
      <c r="AA81" t="n">
        <v>9.5</v>
      </c>
      <c r="AB81" t="n">
        <v>0</v>
      </c>
      <c r="AC81" t="n">
        <v>9.5</v>
      </c>
      <c r="AD81" t="n">
        <v>0</v>
      </c>
    </row>
    <row r="82">
      <c r="A82" t="inlineStr">
        <is>
          <t>Vetches</t>
        </is>
      </c>
      <c r="B82" t="inlineStr">
        <is>
          <t>10 quarters 3 bushels from the whole issue of vetches this year.</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10</v>
      </c>
      <c r="U82" t="n">
        <v>3</v>
      </c>
      <c r="V82" t="n">
        <v>10.375</v>
      </c>
      <c r="W82" t="n">
        <v>0</v>
      </c>
      <c r="X82" t="n">
        <v>10</v>
      </c>
      <c r="Y82" t="n">
        <v>3</v>
      </c>
      <c r="Z82" t="n">
        <v>10.375</v>
      </c>
      <c r="AA82" t="n">
        <v>10.375</v>
      </c>
      <c r="AB82" t="n">
        <v>0</v>
      </c>
      <c r="AC82" t="n">
        <v>10</v>
      </c>
      <c r="AD82" t="n">
        <v>3</v>
      </c>
    </row>
    <row r="83">
      <c r="A83" t="inlineStr">
        <is>
          <t>Vetches</t>
        </is>
      </c>
      <c r="B83" t="inlineStr">
        <is>
          <t>Total, 19.5 quarters 3 bushels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19.5</v>
      </c>
      <c r="Y83" t="n">
        <v>3</v>
      </c>
      <c r="Z83" t="n">
        <v>19.875</v>
      </c>
      <c r="AA83" t="n">
        <v>19.875</v>
      </c>
      <c r="AB83" t="n">
        <v>0</v>
      </c>
      <c r="AC83" t="n">
        <v>19.5</v>
      </c>
      <c r="AD83" t="n">
        <v>3</v>
      </c>
    </row>
    <row r="84">
      <c r="A84" t="inlineStr">
        <is>
          <t>Vetches</t>
        </is>
      </c>
      <c r="B84" t="inlineStr">
        <is>
          <t>Sown over 18 acres as they lie in Yforlong' and Northden', 2 quarters 1 bushels.</t>
        </is>
      </c>
      <c r="C84" t="n">
        <v>0</v>
      </c>
      <c r="D84" t="n">
        <v>0</v>
      </c>
      <c r="E84" t="n">
        <v>2</v>
      </c>
      <c r="F84" t="n">
        <v>1</v>
      </c>
      <c r="G84" t="n">
        <v>2.125</v>
      </c>
      <c r="H84" t="n">
        <v>0</v>
      </c>
      <c r="I84" t="n">
        <v>0</v>
      </c>
      <c r="J84" t="n">
        <v>0</v>
      </c>
      <c r="K84" t="n">
        <v>0</v>
      </c>
      <c r="L84" t="n">
        <v>0</v>
      </c>
      <c r="M84" t="n">
        <v>0</v>
      </c>
      <c r="N84" t="n">
        <v>0</v>
      </c>
      <c r="O84" t="n">
        <v>0</v>
      </c>
      <c r="P84" t="n">
        <v>0</v>
      </c>
      <c r="Q84" t="n">
        <v>0</v>
      </c>
      <c r="R84" t="n">
        <v>0</v>
      </c>
      <c r="S84" t="n">
        <v>0</v>
      </c>
      <c r="T84" t="n">
        <v>0</v>
      </c>
      <c r="U84" t="n">
        <v>0</v>
      </c>
      <c r="V84" t="n">
        <v>0</v>
      </c>
      <c r="W84" t="n">
        <v>0</v>
      </c>
      <c r="X84" t="n">
        <v>2</v>
      </c>
      <c r="Y84" t="n">
        <v>1</v>
      </c>
      <c r="Z84" t="n">
        <v>2.125</v>
      </c>
      <c r="AA84" t="n">
        <v>2.125</v>
      </c>
      <c r="AB84" t="n">
        <v>0</v>
      </c>
      <c r="AC84" t="n">
        <v>2</v>
      </c>
      <c r="AD84" t="n">
        <v>1</v>
      </c>
    </row>
    <row r="85">
      <c r="A85" t="inlineStr">
        <is>
          <t>Vetches</t>
        </is>
      </c>
      <c r="B85" t="inlineStr">
        <is>
          <t>that is, 1 bushels an acre, less 1 bushels in all.</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1</v>
      </c>
      <c r="Z85" t="n">
        <v>0.125</v>
      </c>
      <c r="AA85" t="n">
        <v>0.125</v>
      </c>
      <c r="AB85" t="n">
        <v>0</v>
      </c>
      <c r="AC85" t="n">
        <v>0</v>
      </c>
      <c r="AD85" t="n">
        <v>1</v>
      </c>
      <c r="AE85" t="n">
        <v>0</v>
      </c>
      <c r="AF85" t="n">
        <v>1</v>
      </c>
    </row>
    <row r="86">
      <c r="A86" t="inlineStr">
        <is>
          <t>Vetches</t>
        </is>
      </c>
      <c r="B86" t="inlineStr">
        <is>
          <t>Mixed above with barley, 3 quarters 3 bushels Sold, 14 quarters 3 bushels</t>
        </is>
      </c>
      <c r="C86" t="n">
        <v>0</v>
      </c>
      <c r="D86" t="n">
        <v>0</v>
      </c>
      <c r="E86" t="n">
        <v>0</v>
      </c>
      <c r="F86" t="n">
        <v>0</v>
      </c>
      <c r="G86" t="n">
        <v>0</v>
      </c>
      <c r="H86" t="n">
        <v>0</v>
      </c>
      <c r="I86" t="n">
        <v>0</v>
      </c>
      <c r="J86" t="n">
        <v>0</v>
      </c>
      <c r="K86" t="n">
        <v>0</v>
      </c>
      <c r="L86" t="n">
        <v>0</v>
      </c>
      <c r="M86" t="n">
        <v>0</v>
      </c>
      <c r="N86" t="n">
        <v>0</v>
      </c>
      <c r="O86" t="n">
        <v>0</v>
      </c>
      <c r="P86" t="n">
        <v>0</v>
      </c>
      <c r="Q86" t="n">
        <v>17</v>
      </c>
      <c r="R86" t="n">
        <v>6</v>
      </c>
      <c r="S86" t="n">
        <v>17.75</v>
      </c>
      <c r="T86" t="n">
        <v>0</v>
      </c>
      <c r="U86" t="n">
        <v>0</v>
      </c>
      <c r="V86" t="n">
        <v>0</v>
      </c>
      <c r="W86" t="n">
        <v>0</v>
      </c>
      <c r="X86" t="n">
        <v>14</v>
      </c>
      <c r="Y86" t="n">
        <v>3</v>
      </c>
      <c r="Z86" t="n">
        <v>14.375</v>
      </c>
      <c r="AA86" t="n">
        <v>3.375</v>
      </c>
      <c r="AB86" t="n">
        <v>11</v>
      </c>
      <c r="AC86" t="n">
        <v>3</v>
      </c>
      <c r="AD86" t="n">
        <v>3</v>
      </c>
      <c r="AE86" t="n">
        <v>14</v>
      </c>
      <c r="AF86" t="n">
        <v>3</v>
      </c>
    </row>
    <row r="87">
      <c r="A87" t="inlineStr">
        <is>
          <t>Vetches</t>
        </is>
      </c>
      <c r="B87" t="inlineStr">
        <is>
          <t>Total</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9"/>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The same render account for £12 1 shilling 3.5pence from 42 quarters 2.5 bushels of wheat sold, at 4 shilling 8d a quarters for 5.5 quarters, 5 shilling a quarters for 17.5 quarters 3 bushels, and 6 shilling 8pence a quarters for 18.5 quarters.</t>
        </is>
      </c>
      <c r="C2" t="n">
        <v>12.06</v>
      </c>
      <c r="D2" t="n">
        <v>12</v>
      </c>
      <c r="E2" t="n">
        <v>1</v>
      </c>
      <c r="F2" t="n">
        <v>3.5</v>
      </c>
      <c r="G2" t="inlineStr">
        <is>
          <t>wheat</t>
        </is>
      </c>
      <c r="H2" t="n">
        <v>41.5</v>
      </c>
      <c r="I2" t="n">
        <v>3</v>
      </c>
      <c r="J2" t="n">
        <v>41.875</v>
      </c>
      <c r="K2" t="n">
        <v>42.3125</v>
      </c>
      <c r="L2" t="n">
        <v>-0.4375</v>
      </c>
      <c r="M2" t="n">
        <v>42</v>
      </c>
      <c r="N2" t="n">
        <v>2.5</v>
      </c>
      <c r="O2" t="n">
        <v>5</v>
      </c>
      <c r="P2" t="n">
        <v>0</v>
      </c>
      <c r="Q2" t="n">
        <v>5.5</v>
      </c>
      <c r="R2" t="n">
        <v>0</v>
      </c>
      <c r="S2" t="n">
        <v>6</v>
      </c>
      <c r="T2" t="n">
        <v>8</v>
      </c>
      <c r="U2" t="n">
        <v>17.5</v>
      </c>
      <c r="V2" t="n">
        <v>3</v>
      </c>
      <c r="Y2" t="n">
        <v>18.5</v>
      </c>
      <c r="Z2" t="n">
        <v>0</v>
      </c>
      <c r="AC2" t="n">
        <v>0.25</v>
      </c>
      <c r="AD2" t="n">
        <v>0.3333333333333333</v>
      </c>
      <c r="AG2" t="n">
        <v>42.3125</v>
      </c>
      <c r="AH2" t="n">
        <v>0.3137254901960784</v>
      </c>
      <c r="AI2" t="n">
        <v>0.2916666666666666</v>
      </c>
      <c r="AJ2" t="inlineStr">
        <is>
          <t>wheat</t>
        </is>
      </c>
    </row>
    <row r="3">
      <c r="A3" t="inlineStr">
        <is>
          <t>Sale of corn</t>
        </is>
      </c>
      <c r="B3" t="inlineStr">
        <is>
          <t>£1 1 shilling 3pence from 6 quarters 3 bushels of curall sold, at 3 shilling 4pence a quarters.</t>
        </is>
      </c>
      <c r="C3" t="n">
        <v>1.06</v>
      </c>
      <c r="D3" t="n">
        <v>1</v>
      </c>
      <c r="E3" t="n">
        <v>1</v>
      </c>
      <c r="F3" t="n">
        <v>3</v>
      </c>
      <c r="G3" t="inlineStr">
        <is>
          <t>curall</t>
        </is>
      </c>
      <c r="H3" t="n">
        <v>6</v>
      </c>
      <c r="I3" t="n">
        <v>3</v>
      </c>
      <c r="J3" t="n">
        <v>6.375</v>
      </c>
      <c r="K3" t="n">
        <v>6.375</v>
      </c>
      <c r="L3" t="n">
        <v>0</v>
      </c>
      <c r="M3" t="n">
        <v>6</v>
      </c>
      <c r="N3" t="n">
        <v>3</v>
      </c>
      <c r="O3" t="n">
        <v>3</v>
      </c>
      <c r="P3" t="n">
        <v>4</v>
      </c>
      <c r="AC3" t="n">
        <v>0.1666666666666667</v>
      </c>
      <c r="AG3" t="n">
        <v>6.375</v>
      </c>
      <c r="AH3" t="n">
        <v>0.1666666666666667</v>
      </c>
      <c r="AI3" t="n">
        <v>0.1666666666666667</v>
      </c>
      <c r="AJ3" t="inlineStr">
        <is>
          <t>curall</t>
        </is>
      </c>
    </row>
    <row r="4">
      <c r="A4" t="inlineStr">
        <is>
          <t>Sale of corn</t>
        </is>
      </c>
      <c r="B4" t="inlineStr">
        <is>
          <t>1 shilling 4pence from 4 bushels of maslin sold.</t>
        </is>
      </c>
      <c r="C4" t="n">
        <v>0.07000000000000001</v>
      </c>
      <c r="D4" t="n">
        <v>0</v>
      </c>
      <c r="E4" t="n">
        <v>1</v>
      </c>
      <c r="F4" t="n">
        <v>4</v>
      </c>
      <c r="G4" t="inlineStr">
        <is>
          <t>maslin</t>
        </is>
      </c>
      <c r="H4" t="n">
        <v>0</v>
      </c>
      <c r="I4" t="n">
        <v>4</v>
      </c>
      <c r="J4" t="n">
        <v>0.5</v>
      </c>
      <c r="K4" t="n">
        <v>0.5</v>
      </c>
      <c r="L4" t="n">
        <v>0</v>
      </c>
      <c r="M4" t="n">
        <v>0</v>
      </c>
      <c r="N4" t="n">
        <v>4</v>
      </c>
      <c r="AC4" t="n">
        <v>0.14</v>
      </c>
      <c r="AG4" t="n">
        <v>0.5</v>
      </c>
      <c r="AH4" t="n">
        <v>0.14</v>
      </c>
      <c r="AI4" t="n">
        <v>0.14</v>
      </c>
      <c r="AJ4" t="inlineStr">
        <is>
          <t>maslin</t>
        </is>
      </c>
    </row>
    <row r="5">
      <c r="A5" t="inlineStr">
        <is>
          <t>Sale of corn</t>
        </is>
      </c>
      <c r="B5" t="inlineStr">
        <is>
          <t>£1 16 shilling 8pence from 11 quarters of bere sold, at 3 shilling 4pence a quarters.</t>
        </is>
      </c>
      <c r="C5" t="n">
        <v>1.83</v>
      </c>
      <c r="D5" t="n">
        <v>1</v>
      </c>
      <c r="E5" t="n">
        <v>16</v>
      </c>
      <c r="F5" t="n">
        <v>8</v>
      </c>
      <c r="H5" t="n">
        <v>11</v>
      </c>
      <c r="I5" t="n">
        <v>0</v>
      </c>
      <c r="J5" t="n">
        <v>11</v>
      </c>
      <c r="K5" t="n">
        <v>11</v>
      </c>
      <c r="L5" t="n">
        <v>0</v>
      </c>
      <c r="M5" t="n">
        <v>11</v>
      </c>
      <c r="N5" t="n">
        <v>0</v>
      </c>
      <c r="O5" t="n">
        <v>3</v>
      </c>
      <c r="P5" t="n">
        <v>4</v>
      </c>
      <c r="AC5" t="n">
        <v>0.1666666666666667</v>
      </c>
      <c r="AG5" t="n">
        <v>11</v>
      </c>
      <c r="AH5" t="n">
        <v>0.1666666666666667</v>
      </c>
      <c r="AI5" t="n">
        <v>0.1666666666666667</v>
      </c>
    </row>
    <row r="6">
      <c r="A6" t="inlineStr">
        <is>
          <t>Sale of corn</t>
        </is>
      </c>
      <c r="B6" t="inlineStr">
        <is>
          <t>£6 9 shilling 9pence from 34 quarters 1 bushels of barley sold, at 3 shilling 4pence a quarters for 10 quarters 1 bushels, and 4 shilling a quarters for 24 quarters.</t>
        </is>
      </c>
      <c r="C6" t="n">
        <v>6.49</v>
      </c>
      <c r="D6" t="n">
        <v>6</v>
      </c>
      <c r="E6" t="n">
        <v>9</v>
      </c>
      <c r="F6" t="n">
        <v>9</v>
      </c>
      <c r="G6" t="inlineStr">
        <is>
          <t>barley</t>
        </is>
      </c>
      <c r="H6" t="n">
        <v>34</v>
      </c>
      <c r="I6" t="n">
        <v>1</v>
      </c>
      <c r="J6" t="n">
        <v>34.125</v>
      </c>
      <c r="K6" t="n">
        <v>34.125</v>
      </c>
      <c r="L6" t="n">
        <v>0</v>
      </c>
      <c r="M6" t="n">
        <v>34</v>
      </c>
      <c r="N6" t="n">
        <v>1</v>
      </c>
      <c r="O6" t="n">
        <v>3</v>
      </c>
      <c r="P6" t="n">
        <v>4</v>
      </c>
      <c r="Q6" t="n">
        <v>10</v>
      </c>
      <c r="R6" t="n">
        <v>1</v>
      </c>
      <c r="S6" t="n">
        <v>4</v>
      </c>
      <c r="T6" t="n">
        <v>0</v>
      </c>
      <c r="U6" t="n">
        <v>24</v>
      </c>
      <c r="V6" t="n">
        <v>0</v>
      </c>
      <c r="AC6" t="n">
        <v>0.1666666666666667</v>
      </c>
      <c r="AD6" t="n">
        <v>0.2</v>
      </c>
      <c r="AG6" t="n">
        <v>34.125</v>
      </c>
      <c r="AH6" t="n">
        <v>0.1901098901098901</v>
      </c>
      <c r="AI6" t="n">
        <v>0.1833333333333333</v>
      </c>
      <c r="AJ6" t="inlineStr">
        <is>
          <t>barley</t>
        </is>
      </c>
    </row>
    <row r="7">
      <c r="A7" t="inlineStr">
        <is>
          <t>Sale of corn</t>
        </is>
      </c>
      <c r="B7" t="inlineStr">
        <is>
          <t>£4 3 shilling 2pence from 34.5 quarters 2 bushels of oats sold, at 2 shilling a quarters for 14 quarters 2 bushels, and 2 shilling 8pence a quarters for 20.5.</t>
        </is>
      </c>
      <c r="C7" t="n">
        <v>4.16</v>
      </c>
      <c r="D7" t="n">
        <v>4</v>
      </c>
      <c r="E7" t="n">
        <v>3</v>
      </c>
      <c r="F7" t="n">
        <v>2</v>
      </c>
      <c r="G7" t="inlineStr">
        <is>
          <t>oats</t>
        </is>
      </c>
      <c r="H7" t="n">
        <v>14</v>
      </c>
      <c r="I7" t="n">
        <v>2</v>
      </c>
      <c r="J7" t="n">
        <v>14.25</v>
      </c>
      <c r="K7" t="n">
        <v>34.75</v>
      </c>
      <c r="L7" t="n">
        <v>-20.5</v>
      </c>
      <c r="M7" t="n">
        <v>34.5</v>
      </c>
      <c r="N7" t="n">
        <v>2</v>
      </c>
      <c r="O7" t="n">
        <v>2</v>
      </c>
      <c r="P7" t="n">
        <v>0</v>
      </c>
      <c r="Q7" t="n">
        <v>14</v>
      </c>
      <c r="R7" t="n">
        <v>2</v>
      </c>
      <c r="S7" t="n">
        <v>2</v>
      </c>
      <c r="T7" t="n">
        <v>8</v>
      </c>
      <c r="AC7" t="n">
        <v>0.1</v>
      </c>
      <c r="AD7" t="n">
        <v>0.1333333333333333</v>
      </c>
      <c r="AG7" t="n">
        <v>34.75</v>
      </c>
      <c r="AI7" t="n">
        <v>0.1166666666666667</v>
      </c>
      <c r="AJ7" t="inlineStr">
        <is>
          <t>oats</t>
        </is>
      </c>
    </row>
    <row r="8">
      <c r="A8" t="inlineStr">
        <is>
          <t>Sale of corn</t>
        </is>
      </c>
      <c r="B8" t="inlineStr">
        <is>
          <t>£1 9pence from 9.5quarters 1 bushels of peas sold, at 2 shilling a quarters for 7 quarters 3 bushels, and 2 shilling 8pence a quarters for 2 quarters 2 bushels.</t>
        </is>
      </c>
      <c r="C8" t="n">
        <v>1.04</v>
      </c>
      <c r="D8" t="n">
        <v>1</v>
      </c>
      <c r="E8" t="n">
        <v>0</v>
      </c>
      <c r="F8" t="n">
        <v>9</v>
      </c>
      <c r="G8" t="inlineStr">
        <is>
          <t>peas</t>
        </is>
      </c>
      <c r="H8" t="n">
        <v>9</v>
      </c>
      <c r="I8" t="n">
        <v>5</v>
      </c>
      <c r="J8" t="n">
        <v>9.625</v>
      </c>
      <c r="K8" t="n">
        <v>9.625</v>
      </c>
      <c r="L8" t="n">
        <v>0</v>
      </c>
      <c r="M8" t="n">
        <v>9.5</v>
      </c>
      <c r="N8" t="n">
        <v>1</v>
      </c>
      <c r="O8" t="n">
        <v>2</v>
      </c>
      <c r="P8" t="n">
        <v>0</v>
      </c>
      <c r="Q8" t="n">
        <v>7</v>
      </c>
      <c r="R8" t="n">
        <v>3</v>
      </c>
      <c r="S8" t="n">
        <v>2</v>
      </c>
      <c r="T8" t="n">
        <v>8</v>
      </c>
      <c r="U8" t="n">
        <v>2</v>
      </c>
      <c r="V8" t="n">
        <v>2</v>
      </c>
      <c r="AC8" t="n">
        <v>0.1</v>
      </c>
      <c r="AD8" t="n">
        <v>0.1333333333333333</v>
      </c>
      <c r="AG8" t="n">
        <v>9.625</v>
      </c>
      <c r="AH8" t="n">
        <v>0.1077922077922078</v>
      </c>
      <c r="AI8" t="n">
        <v>0.1166666666666667</v>
      </c>
      <c r="AJ8" t="inlineStr">
        <is>
          <t>peas</t>
        </is>
      </c>
    </row>
    <row r="9">
      <c r="A9" t="inlineStr">
        <is>
          <t>Sale of corn</t>
        </is>
      </c>
      <c r="B9" t="inlineStr">
        <is>
          <t>£1 5 shilling 6.5 from 14 quarters 3 bushels of vetches sold, at 1 shilling 4pence a quarters for 8 quarters for 6 quarters 3 bushels Total, £27 19 shilling 9pence</t>
        </is>
      </c>
      <c r="C9" t="n">
        <v>1.25</v>
      </c>
      <c r="D9" t="n">
        <v>1</v>
      </c>
      <c r="E9" t="n">
        <v>5</v>
      </c>
      <c r="F9" t="n">
        <v>0</v>
      </c>
      <c r="G9" t="inlineStr">
        <is>
          <t>vetches</t>
        </is>
      </c>
      <c r="H9" t="n">
        <v>14</v>
      </c>
      <c r="I9" t="n">
        <v>3</v>
      </c>
      <c r="J9" t="n">
        <v>14.375</v>
      </c>
      <c r="K9" t="n">
        <v>14.375</v>
      </c>
      <c r="L9" t="n">
        <v>0</v>
      </c>
      <c r="M9" t="n">
        <v>14</v>
      </c>
      <c r="N9" t="n">
        <v>3</v>
      </c>
      <c r="O9" t="n">
        <v>1</v>
      </c>
      <c r="P9" t="n">
        <v>4</v>
      </c>
      <c r="Q9" t="n">
        <v>8</v>
      </c>
      <c r="R9" t="n">
        <v>0</v>
      </c>
      <c r="U9" t="n">
        <v>6</v>
      </c>
      <c r="V9" t="n">
        <v>3</v>
      </c>
      <c r="AC9" t="n">
        <v>0.06666666666666667</v>
      </c>
      <c r="AG9" t="n">
        <v>14.375</v>
      </c>
      <c r="AH9" t="n">
        <v>0.06666666666666667</v>
      </c>
      <c r="AI9" t="n">
        <v>0.06666666666666667</v>
      </c>
      <c r="AJ9" t="inlineStr">
        <is>
          <t>vetches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2025-12-18T10:17:00Z</dcterms:modified>
  <cp:lastModifiedBy>Kowalski, Kuba</cp:lastModifiedBy>
</cp:coreProperties>
</file>
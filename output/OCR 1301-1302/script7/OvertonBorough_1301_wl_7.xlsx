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tonBorough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Overton Borough Overview" sheetId="6" state="visible" r:id="rId6"/>
    <sheet xmlns:r="http://schemas.openxmlformats.org/officeDocument/2006/relationships" name="Overton Borough Receipts" sheetId="7" state="visible" r:id="rId7"/>
    <sheet xmlns:r="http://schemas.openxmlformats.org/officeDocument/2006/relationships" name="Overton Borough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8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10" borderId="0" pivotButton="0" quotePrefix="0" xfId="0"/>
    <xf numFmtId="0" fontId="16" fillId="5" borderId="0" pivotButton="0" quotePrefix="0" xfId="0"/>
    <xf numFmtId="4" fontId="16" fillId="5" borderId="0" pivotButton="0" quotePrefix="0" xfId="0"/>
    <xf numFmtId="2" fontId="17" fillId="2" borderId="0" pivotButton="0" quotePrefix="0" xfId="0"/>
    <xf numFmtId="4" fontId="8" fillId="0" borderId="0" pivotButton="0" quotePrefix="0" xfId="0"/>
    <xf numFmtId="2" fontId="16" fillId="2" borderId="0" pivotButton="0" quotePrefix="0" xfId="0"/>
    <xf numFmtId="2" fontId="16" fillId="3" borderId="0" pivotButton="0" quotePrefix="0" xfId="0"/>
    <xf numFmtId="2" fontId="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4" fontId="13" fillId="5" borderId="0" applyAlignment="1" pivotButton="0" quotePrefix="0" xfId="0">
      <alignment horizontal="right"/>
    </xf>
    <xf numFmtId="0" fontId="13" fillId="0" borderId="0" applyAlignment="1" pivotButton="0" quotePrefix="0" xfId="0">
      <alignment horizontal="right"/>
    </xf>
    <xf numFmtId="4" fontId="13" fillId="0" borderId="0" applyAlignment="1" pivotButton="0" quotePrefix="0" xfId="0">
      <alignment horizontal="right"/>
    </xf>
    <xf numFmtId="0" fontId="13" fillId="5" borderId="0" applyAlignment="1" pivotButton="0" quotePrefix="0" xfId="0">
      <alignment horizontal="right" wrapText="1"/>
    </xf>
    <xf numFmtId="0" fontId="13" fillId="5" borderId="0" applyAlignment="1" pivotButton="0" quotePrefix="0" xfId="0">
      <alignment horizontal="right"/>
    </xf>
    <xf numFmtId="2" fontId="13" fillId="5" borderId="0" applyAlignment="1" pivotButton="0" quotePrefix="0" xfId="0">
      <alignment wrapText="1"/>
    </xf>
    <xf numFmtId="0" fontId="17" fillId="2" borderId="17" pivotButton="0" quotePrefix="0" xfId="0"/>
    <xf numFmtId="0" fontId="16" fillId="2" borderId="18" pivotButton="0" quotePrefix="0" xfId="0"/>
    <xf numFmtId="2" fontId="6" fillId="2" borderId="19" pivotButton="0" quotePrefix="0" xfId="0"/>
    <xf numFmtId="2" fontId="6" fillId="4" borderId="10" pivotButton="0" quotePrefix="0" xfId="0"/>
    <xf numFmtId="2" fontId="6" fillId="0" borderId="10" pivotButton="0" quotePrefix="0" xfId="0"/>
    <xf numFmtId="10" fontId="6" fillId="2" borderId="10" pivotButton="0" quotePrefix="0" xfId="0"/>
    <xf numFmtId="10" fontId="6" fillId="4" borderId="10" pivotButton="0" quotePrefix="0" xfId="0"/>
    <xf numFmtId="0" fontId="16" fillId="4" borderId="12" pivotButton="0" quotePrefix="0" xfId="0"/>
    <xf numFmtId="2" fontId="6" fillId="4"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0" borderId="0" applyAlignment="1" pivotButton="0" quotePrefix="0" xfId="0">
      <alignment horizontal="right" wrapText="1"/>
    </xf>
    <xf numFmtId="0" fontId="6" fillId="0" borderId="0" applyAlignment="1" pivotButton="0" quotePrefix="0" xfId="0">
      <alignment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7" fillId="0" borderId="0" pivotButton="0" quotePrefix="0" xfId="0"/>
    <xf numFmtId="4"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OVERTONBOROUGH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2.060416666666666</v>
      </c>
      <c r="D4" s="13" t="n"/>
      <c r="E4" s="13" t="n"/>
    </row>
    <row r="5">
      <c r="A5" s="15" t="inlineStr">
        <is>
          <t>Rents of assize total</t>
        </is>
      </c>
      <c r="B5" s="76" t="n">
        <v>8.214583333333332</v>
      </c>
    </row>
    <row r="6">
      <c r="A6" s="15" t="inlineStr">
        <is>
          <t>Quittances total</t>
        </is>
      </c>
      <c r="B6" s="76" t="n">
        <v>0.1</v>
      </c>
    </row>
    <row r="7">
      <c r="A7" s="15" t="inlineStr">
        <is>
          <t>Defaults of rent total</t>
        </is>
      </c>
      <c r="B7" s="76" t="n">
        <v>0.025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0.025</v>
      </c>
    </row>
    <row r="15">
      <c r="A15" s="15" t="inlineStr">
        <is>
          <t>Issues of the Manor total</t>
        </is>
      </c>
      <c r="B15" s="76" t="n">
        <v>0.8</v>
      </c>
    </row>
    <row r="16">
      <c r="A16" s="76" t="inlineStr">
        <is>
          <t>Issues of the tenements in the lord's hands total</t>
        </is>
      </c>
      <c r="B16" s="76" t="n"/>
    </row>
    <row r="17">
      <c r="A17" s="76" t="inlineStr">
        <is>
          <t>Sale of labour services total</t>
        </is>
      </c>
      <c r="B17" s="76" t="n"/>
    </row>
    <row r="18">
      <c r="A18" s="15" t="inlineStr">
        <is>
          <t>Sale of corn total</t>
        </is>
      </c>
      <c r="B18" s="76" t="n">
        <v>0</v>
      </c>
    </row>
    <row r="19">
      <c r="A19" s="15" t="inlineStr">
        <is>
          <t>Entry and marriage fines total</t>
        </is>
      </c>
      <c r="B19" s="76" t="n">
        <v>0.5</v>
      </c>
    </row>
    <row r="20">
      <c r="A20" s="15" t="inlineStr">
        <is>
          <t>Pleas &amp; perquisites total</t>
        </is>
      </c>
      <c r="B20" s="76" t="n">
        <v>3.2625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c r="B31" t="n">
        <v>0</v>
      </c>
    </row>
    <row r="32">
      <c r="A32" s="15" t="inlineStr">
        <is>
          <t>Cost of carts and wagons total</t>
        </is>
      </c>
      <c r="B32" t="n">
        <v>0</v>
      </c>
    </row>
    <row r="33">
      <c r="A33" s="15" t="inlineStr">
        <is>
          <t>Cost of dairy total</t>
        </is>
      </c>
      <c r="B33" t="n">
        <v>0</v>
      </c>
    </row>
    <row r="34">
      <c r="A34" s="15" t="inlineStr">
        <is>
          <t>Purchase of stock total</t>
        </is>
      </c>
      <c r="B34" t="n">
        <v>0</v>
      </c>
    </row>
    <row r="35">
      <c r="A35" s="15" t="inlineStr">
        <is>
          <t>Sheepcote total</t>
        </is>
      </c>
      <c r="B35" t="n">
        <v>0</v>
      </c>
    </row>
    <row r="36">
      <c r="A36" s="15" t="inlineStr">
        <is>
          <t>Cost of buildings total</t>
        </is>
      </c>
      <c r="B36" s="84" t="n">
        <v>0.2583333333333334</v>
      </c>
    </row>
    <row r="37">
      <c r="A37" s="15" t="inlineStr">
        <is>
          <t>Threshing total</t>
        </is>
      </c>
      <c r="B37" t="n">
        <v>0</v>
      </c>
    </row>
    <row r="38">
      <c r="A38" s="15" t="inlineStr">
        <is>
          <t>Barley expenses</t>
        </is>
      </c>
    </row>
    <row r="39">
      <c r="A39" s="15" t="inlineStr">
        <is>
          <t>Expenses of the harvest total</t>
        </is>
      </c>
      <c r="B39" t="n">
        <v>0</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0</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9"/>
  <sheetViews>
    <sheetView topLeftCell="A1" workbookViewId="0">
      <selection activeCell="A1" sqref="A1"/>
    </sheetView>
  </sheetViews>
  <sheetFormatPr baseColWidth="8" defaultRowHeight="15"/>
  <cols>
    <col width="78.33203125" customWidth="1" min="1" max="1"/>
    <col width="17.1640625" customWidth="1" min="7" max="7"/>
  </cols>
  <sheetData>
    <row r="1" ht="19" customHeight="1">
      <c r="A1" s="127" t="inlineStr">
        <is>
          <t>OVERTON BOROUGH</t>
        </is>
      </c>
      <c r="B1" s="128" t="inlineStr">
        <is>
          <t>£</t>
        </is>
      </c>
      <c r="C1" s="129" t="inlineStr">
        <is>
          <t xml:space="preserve">s </t>
        </is>
      </c>
      <c r="D1" s="129" t="inlineStr">
        <is>
          <t>d</t>
        </is>
      </c>
      <c r="E1" s="130" t="n"/>
      <c r="F1" s="130" t="n"/>
      <c r="G1" s="131" t="inlineStr">
        <is>
          <t>Total in £</t>
        </is>
      </c>
      <c r="H1" s="132" t="inlineStr">
        <is>
          <t>Error</t>
        </is>
      </c>
    </row>
    <row r="2">
      <c r="A2" s="15" t="n"/>
      <c r="B2" s="15" t="n"/>
      <c r="C2" s="15" t="n"/>
      <c r="D2" s="15" t="n"/>
      <c r="E2" s="15" t="n"/>
      <c r="F2" s="15" t="n"/>
      <c r="G2" s="133" t="n"/>
      <c r="H2" s="10" t="n"/>
    </row>
    <row r="3">
      <c r="A3" s="8" t="inlineStr">
        <is>
          <t>CASH ACCOUNT</t>
        </is>
      </c>
      <c r="B3" s="15" t="n"/>
      <c r="C3" s="15" t="n"/>
      <c r="D3" s="15" t="n"/>
      <c r="E3" s="15" t="n"/>
      <c r="F3" s="15" t="n"/>
      <c r="G3" s="133" t="n"/>
      <c r="H3" s="10" t="n"/>
    </row>
    <row r="4">
      <c r="A4" s="16" t="inlineStr">
        <is>
          <t>RECEIPTS</t>
        </is>
      </c>
      <c r="B4" s="134" t="n"/>
      <c r="C4" s="134" t="n"/>
      <c r="D4" s="134" t="n"/>
      <c r="E4" s="134" t="n"/>
      <c r="F4" s="134" t="n"/>
      <c r="G4" s="135" t="n"/>
      <c r="H4" s="10" t="n"/>
    </row>
    <row r="5">
      <c r="A5" s="15" t="inlineStr">
        <is>
          <t>Arrears total</t>
        </is>
      </c>
      <c r="C5" s="15" t="n"/>
      <c r="D5" s="15" t="n"/>
      <c r="E5" s="15" t="n"/>
      <c r="F5" s="15" t="n"/>
      <c r="G5" s="136">
        <f>IF(INDEX('Overton Borough Receipts'!$A$4:$F$70,MATCH('Overton Borough Overview'!$A5,'Overton Borough Receipts'!$A$4:$A$70,0),6)=0,"",INDEX('Overton Borough Receipts'!$A$4:$F$70,MATCH('Overton Borough Overview'!$A5,'Overton Borough Receipts'!$A$4:$A$70,0),6))</f>
        <v/>
      </c>
      <c r="H5" s="10" t="n"/>
    </row>
    <row r="6">
      <c r="A6" s="15" t="inlineStr">
        <is>
          <t>Rents of assize total</t>
        </is>
      </c>
      <c r="B6" s="15" t="n"/>
      <c r="C6" s="15" t="n"/>
      <c r="D6" s="15" t="n"/>
      <c r="E6" s="15" t="n"/>
      <c r="F6" s="15" t="n"/>
      <c r="G6" s="136">
        <f>IF(INDEX('Overton Borough Receipts'!$A$4:$F$70,MATCH('Overton Borough Overview'!$A6,'Overton Borough Receipts'!$A$4:$A$70,0),6)=0,"",INDEX('Overton Borough Receipts'!$A$4:$F$70,MATCH('Overton Borough Overview'!$A6,'Overton Borough Receipts'!$A$4:$A$70,0),6))</f>
        <v/>
      </c>
      <c r="H6" s="10" t="n"/>
    </row>
    <row r="7">
      <c r="A7" s="15" t="inlineStr">
        <is>
          <t>Quittances total</t>
        </is>
      </c>
      <c r="B7" s="15" t="n"/>
      <c r="C7" s="15" t="n"/>
      <c r="D7" s="15" t="n"/>
      <c r="E7" s="15" t="n"/>
      <c r="F7" s="15" t="n"/>
      <c r="G7" s="136">
        <f>IF(INDEX('Overton Borough Receipts'!$A$4:$F$70,MATCH('Overton Borough Overview'!$A7,'Overton Borough Receipts'!$A$4:$A$70,0),6)=0,"",INDEX('Overton Borough Receipts'!$A$4:$F$70,MATCH('Overton Borough Overview'!$A7,'Overton Borough Receipts'!$A$4:$A$70,0),6))</f>
        <v/>
      </c>
      <c r="H7" s="10" t="n"/>
    </row>
    <row r="8">
      <c r="A8" s="15" t="inlineStr">
        <is>
          <t>Defaults of rent total</t>
        </is>
      </c>
      <c r="B8" s="15" t="n"/>
      <c r="C8" s="15" t="n"/>
      <c r="D8" s="15" t="n"/>
      <c r="E8" s="15" t="n"/>
      <c r="F8" s="15" t="n"/>
      <c r="G8" s="136">
        <f>IF(INDEX('Overton Borough Receipts'!$A$4:$F$70,MATCH('Overton Borough Overview'!$A8,'Overton Borough Receipts'!$A$4:$A$70,0),6)=0,"",INDEX('Overton Borough Receipts'!$A$4:$F$70,MATCH('Overton Borough Overview'!$A8,'Overton Borough Receipts'!$A$4:$A$70,0),6))</f>
        <v/>
      </c>
      <c r="H8" s="10" t="n"/>
    </row>
    <row r="9">
      <c r="A9" s="15" t="inlineStr">
        <is>
          <t>Annual recognizances total</t>
        </is>
      </c>
      <c r="B9" s="15" t="n"/>
      <c r="C9" s="15" t="n"/>
      <c r="D9" s="15" t="n"/>
      <c r="E9" s="15" t="n"/>
      <c r="F9" s="15" t="n"/>
      <c r="G9" s="136">
        <f>IF(INDEX('Overton Borough Receipts'!$A$4:$F$70,MATCH('Overton Borough Overview'!$A9,'Overton Borough Receipts'!$A$4:$A$70,0),6)=0,"",INDEX('Overton Borough Receipts'!$A$4:$F$70,MATCH('Overton Borough Overview'!$A9,'Overton Borough Receipts'!$A$4:$A$70,0),6))</f>
        <v/>
      </c>
      <c r="H9" s="10" t="n"/>
    </row>
    <row r="10">
      <c r="A10" s="15" t="inlineStr">
        <is>
          <t>Issues of the Manor total</t>
        </is>
      </c>
      <c r="B10" s="15" t="n"/>
      <c r="C10" s="15" t="n"/>
      <c r="D10" s="15" t="n"/>
      <c r="E10" s="15" t="n"/>
      <c r="F10" s="15" t="n"/>
      <c r="G10" s="136">
        <f>IF(INDEX('Overton Borough Receipts'!$A$4:$F$70,MATCH('Overton Borough Overview'!$A10,'Overton Borough Receipts'!$A$4:$A$70,0),6)=0,"",INDEX('Overton Borough Receipts'!$A$4:$F$70,MATCH('Overton Borough Overview'!$A10,'Overton Borough Receipts'!$A$4:$A$70,0),6))</f>
        <v/>
      </c>
      <c r="H10" s="10" t="n"/>
    </row>
    <row r="11">
      <c r="A11" s="15" t="inlineStr">
        <is>
          <t>Sale of corn total</t>
        </is>
      </c>
      <c r="B11" s="15" t="n"/>
      <c r="C11" s="15" t="n"/>
      <c r="D11" s="15" t="n"/>
      <c r="E11" s="15" t="n"/>
      <c r="F11" s="15" t="n"/>
      <c r="G11" s="137">
        <f>'Overton Borough Receipts'!F44</f>
        <v/>
      </c>
      <c r="H11" s="10" t="n"/>
    </row>
    <row r="12">
      <c r="A12" s="15" t="inlineStr">
        <is>
          <t>Entry and marriage fines total</t>
        </is>
      </c>
      <c r="B12" s="15" t="n"/>
      <c r="C12" s="15" t="n"/>
      <c r="D12" s="15" t="n"/>
      <c r="E12" s="15" t="n"/>
      <c r="F12" s="15" t="n"/>
      <c r="G12" s="136">
        <f>IF(INDEX('Overton Borough Receipts'!$A$4:$F$70,MATCH('Overton Borough Overview'!$A12,'Overton Borough Receipts'!$A$4:$A$70,0),6)=0,"",INDEX('Overton Borough Receipts'!$A$4:$F$70,MATCH('Overton Borough Overview'!$A12,'Overton Borough Receipts'!$A$4:$A$70,0),6))</f>
        <v/>
      </c>
      <c r="H12" s="10" t="n"/>
    </row>
    <row r="13">
      <c r="A13" s="15" t="inlineStr">
        <is>
          <t>Pleas &amp; perquisites total</t>
        </is>
      </c>
      <c r="B13" s="15" t="n"/>
      <c r="C13" s="15" t="n"/>
      <c r="D13" s="15" t="n"/>
      <c r="E13" s="15" t="n"/>
      <c r="F13" s="15" t="n"/>
      <c r="G13" s="136">
        <f>IF(INDEX('Overton Borough Receipts'!$A$4:$F$70,MATCH('Overton Borough Overview'!$A13,'Overton Borough Receipts'!$A$4:$A$70,0),6)=0,"",INDEX('Overton Borough Receipts'!$A$4:$F$70,MATCH('Overton Borough Overview'!$A13,'Overton Borough Receipts'!$A$4:$A$70,0),6))</f>
        <v/>
      </c>
      <c r="H13" s="10" t="n"/>
    </row>
    <row r="14">
      <c r="A14" s="17" t="inlineStr">
        <is>
          <t>Sum of the above (incl. arrears)</t>
        </is>
      </c>
      <c r="B14" s="17" t="n"/>
      <c r="C14" s="17" t="n"/>
      <c r="D14" s="17" t="n"/>
      <c r="E14" s="17" t="n"/>
      <c r="F14" s="17" t="n"/>
      <c r="G14" s="138">
        <f>SUM(G5:G13)-SUM(G7:G8)</f>
        <v/>
      </c>
      <c r="H14" s="10" t="n"/>
    </row>
    <row r="15">
      <c r="A15" s="17" t="inlineStr">
        <is>
          <t>Total recorded in the accounts excl. arrears</t>
        </is>
      </c>
      <c r="B15" s="17" t="n"/>
      <c r="C15" s="17" t="n"/>
      <c r="D15" s="17" t="n"/>
      <c r="E15" s="17" t="n"/>
      <c r="F15" s="17" t="n"/>
      <c r="G15" s="138">
        <f>'Overton Borough Receipts'!F69</f>
        <v/>
      </c>
      <c r="H15" s="139">
        <f>G14-G15</f>
        <v/>
      </c>
      <c r="I15" s="40" t="n"/>
    </row>
    <row r="16">
      <c r="A16" s="17" t="inlineStr">
        <is>
          <t>Total recorded in the accounts incl. arrears</t>
        </is>
      </c>
      <c r="B16" s="17" t="n"/>
      <c r="C16" s="17" t="n"/>
      <c r="D16" s="17" t="n"/>
      <c r="E16" s="17" t="n"/>
      <c r="F16" s="17" t="n"/>
      <c r="G16" s="138">
        <f>'Overton Borough Receipts'!F70</f>
        <v/>
      </c>
      <c r="H16" s="139" t="n"/>
    </row>
    <row r="17">
      <c r="A17" s="15" t="n"/>
      <c r="B17" s="15" t="n"/>
      <c r="C17" s="15" t="n"/>
      <c r="D17" s="15" t="n"/>
      <c r="E17" s="15" t="n"/>
      <c r="F17" s="15" t="n"/>
      <c r="G17" s="133" t="n"/>
      <c r="H17" s="10" t="n"/>
    </row>
    <row r="18">
      <c r="A18" s="15" t="n"/>
      <c r="B18" s="15" t="n"/>
      <c r="C18" s="15" t="n"/>
      <c r="D18" s="15" t="n"/>
      <c r="E18" s="15" t="n"/>
      <c r="F18" s="15" t="n"/>
      <c r="G18" s="133" t="n"/>
      <c r="H18" s="10" t="n"/>
    </row>
    <row r="19">
      <c r="A19" s="16" t="inlineStr">
        <is>
          <t>EXPENSES</t>
        </is>
      </c>
      <c r="B19" s="134" t="n"/>
      <c r="C19" s="134" t="n"/>
      <c r="D19" s="134" t="n"/>
      <c r="E19" s="134" t="n"/>
      <c r="F19" s="134" t="n"/>
      <c r="G19" s="135" t="n"/>
      <c r="H19" s="10" t="n"/>
    </row>
    <row r="20">
      <c r="A20" s="15" t="inlineStr">
        <is>
          <t>Cost of ploughs total</t>
        </is>
      </c>
      <c r="C20" s="15" t="n"/>
      <c r="D20" s="15" t="n"/>
      <c r="E20" s="15" t="n"/>
      <c r="F20" s="15" t="n"/>
      <c r="G20" s="136">
        <f>IF(INDEX('Overton Borough Expenses'!$A$2:$F$120,MATCH('Overton Borough Overview'!$A20,'Overton Borough Expenses'!$A$2:$A$120,0),6)=0,"",INDEX('Overton Borough Expenses'!$A$2:$F$120,MATCH('Overton Borough Overview'!$A20,'Overton Borough Expenses'!$A$2:$A$120,0),6))</f>
        <v/>
      </c>
      <c r="H20" s="10" t="n"/>
    </row>
    <row r="21">
      <c r="A21" s="15" t="inlineStr">
        <is>
          <t>Purchase of corn total</t>
        </is>
      </c>
      <c r="B21" s="15" t="n"/>
      <c r="C21" s="15" t="n"/>
      <c r="D21" s="15" t="n"/>
      <c r="E21" s="15" t="n"/>
      <c r="F21" s="15" t="n"/>
      <c r="G21" s="136">
        <f>IF(INDEX('Overton Borough Expenses'!$A$2:$F$120,MATCH('Overton Borough Overview'!$A21,'Overton Borough Expenses'!$A$2:$A$120,0),6)=0,"",INDEX('Overton Borough Expenses'!$A$2:$F$120,MATCH('Overton Borough Overview'!$A21,'Overton Borough Expenses'!$A$2:$A$120,0),6))</f>
        <v/>
      </c>
      <c r="H21" s="10" t="n"/>
    </row>
    <row r="22">
      <c r="A22" s="15" t="inlineStr">
        <is>
          <t>Cost of carts and wagons total</t>
        </is>
      </c>
      <c r="B22" s="15" t="n"/>
      <c r="C22" s="15" t="n"/>
      <c r="D22" s="15" t="n"/>
      <c r="E22" s="15" t="n"/>
      <c r="F22" s="15" t="n"/>
      <c r="G22" s="136">
        <f>IF(INDEX('Overton Borough Expenses'!$A$2:$F$120,MATCH('Overton Borough Overview'!$A22,'Overton Borough Expenses'!$A$2:$A$120,0),6)=0,"",INDEX('Overton Borough Expenses'!$A$2:$F$120,MATCH('Overton Borough Overview'!$A22,'Overton Borough Expenses'!$A$2:$A$120,0),6))</f>
        <v/>
      </c>
      <c r="H22" s="10" t="n"/>
    </row>
    <row r="23">
      <c r="A23" s="15" t="inlineStr">
        <is>
          <t>Cost of dairy total</t>
        </is>
      </c>
      <c r="B23" s="15" t="n"/>
      <c r="C23" s="15" t="n"/>
      <c r="D23" s="15" t="n"/>
      <c r="E23" s="15" t="n"/>
      <c r="F23" s="15" t="n"/>
      <c r="G23" s="136">
        <f>IF(INDEX('Overton Borough Expenses'!$A$2:$F$120,MATCH('Overton Borough Overview'!$A23,'Overton Borough Expenses'!$A$2:$A$120,0),6)=0,"",INDEX('Overton Borough Expenses'!$A$2:$F$120,MATCH('Overton Borough Overview'!$A23,'Overton Borough Expenses'!$A$2:$A$120,0),6))</f>
        <v/>
      </c>
      <c r="H23" s="10" t="n"/>
    </row>
    <row r="24">
      <c r="A24" s="15" t="inlineStr">
        <is>
          <t>Purchase of stock total</t>
        </is>
      </c>
      <c r="B24" s="15" t="n"/>
      <c r="C24" s="15" t="n"/>
      <c r="D24" s="15" t="n"/>
      <c r="E24" s="15" t="n"/>
      <c r="F24" s="15" t="n"/>
      <c r="G24" s="136">
        <f>IF(INDEX('Overton Borough Expenses'!$A$2:$F$120,MATCH('Overton Borough Overview'!$A24,'Overton Borough Expenses'!$A$2:$A$120,0),6)=0,"",INDEX('Overton Borough Expenses'!$A$2:$F$120,MATCH('Overton Borough Overview'!$A24,'Overton Borough Expenses'!$A$2:$A$120,0),6))</f>
        <v/>
      </c>
      <c r="H24" s="10" t="n"/>
    </row>
    <row r="25">
      <c r="A25" s="15" t="inlineStr">
        <is>
          <t>Sheepcote total</t>
        </is>
      </c>
      <c r="B25" s="15" t="n"/>
      <c r="C25" s="15" t="n"/>
      <c r="D25" s="15" t="n"/>
      <c r="E25" s="15" t="n"/>
      <c r="F25" s="15" t="n"/>
      <c r="G25" s="136">
        <f>IF(INDEX('Overton Borough Expenses'!$A$2:$F$120,MATCH('Overton Borough Overview'!$A25,'Overton Borough Expenses'!$A$2:$A$120,0),6)=0,"",INDEX('Overton Borough Expenses'!$A$2:$F$120,MATCH('Overton Borough Overview'!$A25,'Overton Borough Expenses'!$A$2:$A$120,0),6))</f>
        <v/>
      </c>
      <c r="H25" s="10" t="n"/>
    </row>
    <row r="26">
      <c r="A26" s="15" t="inlineStr">
        <is>
          <t>Cost of buildings total</t>
        </is>
      </c>
      <c r="B26" s="15" t="n"/>
      <c r="C26" s="15" t="n"/>
      <c r="D26" s="15" t="n"/>
      <c r="E26" s="15" t="n"/>
      <c r="F26" s="15" t="n"/>
      <c r="G26" s="136">
        <f>IF(INDEX('Overton Borough Expenses'!$A$2:$F$120,MATCH('Overton Borough Overview'!$A26,'Overton Borough Expenses'!$A$2:$A$120,0),6)=0,"",INDEX('Overton Borough Expenses'!$A$2:$F$120,MATCH('Overton Borough Overview'!$A26,'Overton Borough Expenses'!$A$2:$A$120,0),6))</f>
        <v/>
      </c>
      <c r="H26" s="10" t="n"/>
    </row>
    <row r="27">
      <c r="A27" s="15" t="inlineStr">
        <is>
          <t>Threshing total</t>
        </is>
      </c>
      <c r="B27" s="15" t="n"/>
      <c r="C27" s="15" t="n"/>
      <c r="D27" s="15" t="n"/>
      <c r="E27" s="15" t="n"/>
      <c r="F27" s="15" t="n"/>
      <c r="G27" s="136">
        <f>IF(INDEX('Overton Borough Expenses'!$A$2:$F$120,MATCH('Overton Borough Overview'!$A27,'Overton Borough Expenses'!$A$2:$A$120,0),6)=0,"",INDEX('Overton Borough Expenses'!$A$2:$F$120,MATCH('Overton Borough Overview'!$A27,'Overton Borough Expenses'!$A$2:$A$120,0),6))</f>
        <v/>
      </c>
      <c r="H27" s="10" t="n"/>
    </row>
    <row r="28">
      <c r="A28" s="15" t="inlineStr">
        <is>
          <t>Expenses of the harvest total</t>
        </is>
      </c>
      <c r="B28" s="15" t="n"/>
      <c r="C28" s="15" t="n"/>
      <c r="D28" s="15" t="n"/>
      <c r="E28" s="15" t="n"/>
      <c r="F28" s="15" t="n"/>
      <c r="G28" s="136">
        <f>IF(INDEX('Overton Borough Expenses'!$A$2:$F$120,MATCH('Overton Borough Overview'!$A28,'Overton Borough Expenses'!$A$2:$A$120,0),6)=0,"",INDEX('Overton Borough Expenses'!$A$2:$F$120,MATCH('Overton Borough Overview'!$A28,'Overton Borough Expenses'!$A$2:$A$120,0),6))</f>
        <v/>
      </c>
      <c r="H28" s="10" t="n"/>
    </row>
    <row r="29">
      <c r="A29" s="15" t="inlineStr">
        <is>
          <t>Steward's expenses total</t>
        </is>
      </c>
      <c r="B29" s="15" t="n"/>
      <c r="C29" s="15" t="n"/>
      <c r="D29" s="15" t="n"/>
      <c r="E29" s="15" t="n"/>
      <c r="F29" s="15" t="n"/>
      <c r="G29" s="136">
        <f>IF(INDEX('Overton Borough Expenses'!$A$2:$F$120,MATCH('Overton Borough Overview'!$A29,'Overton Borough Expenses'!$A$2:$A$120,0),6)=0,"",INDEX('Overton Borough Expenses'!$A$2:$F$120,MATCH('Overton Borough Overview'!$A29,'Overton Borough Expenses'!$A$2:$A$120,0),6))</f>
        <v/>
      </c>
      <c r="H29" s="10" t="n"/>
    </row>
    <row r="30">
      <c r="A30" s="17" t="inlineStr">
        <is>
          <t>Sum of the above</t>
        </is>
      </c>
      <c r="B30" s="134" t="n"/>
      <c r="C30" s="134" t="n"/>
      <c r="D30" s="134" t="n"/>
      <c r="E30" s="134" t="n"/>
      <c r="F30" s="134" t="n"/>
      <c r="G30" s="140">
        <f>SUM(G20:G29)</f>
        <v/>
      </c>
      <c r="H30" s="10" t="n"/>
    </row>
    <row r="31">
      <c r="A31" s="17" t="inlineStr">
        <is>
          <t>Total of all expenses</t>
        </is>
      </c>
      <c r="B31" s="134" t="n"/>
      <c r="C31" s="134" t="n"/>
      <c r="D31" s="134" t="n"/>
      <c r="E31" s="134" t="n"/>
      <c r="F31" s="134" t="n"/>
      <c r="G31" s="140">
        <f>'Overton Borough Expenses'!F115</f>
        <v/>
      </c>
      <c r="H31" s="139">
        <f>G30-G31</f>
        <v/>
      </c>
    </row>
    <row r="32">
      <c r="A32" s="17" t="inlineStr">
        <is>
          <t>Capital Expenses</t>
        </is>
      </c>
      <c r="B32" s="134" t="n"/>
      <c r="C32" s="134" t="n"/>
      <c r="D32" s="134" t="n"/>
      <c r="E32" s="134" t="n"/>
      <c r="F32" s="134" t="n"/>
      <c r="G32" s="140">
        <f>'Overton Borough Expenses'!F120</f>
        <v/>
      </c>
      <c r="H32" s="10" t="n"/>
    </row>
    <row r="33">
      <c r="A33" s="15" t="n"/>
      <c r="B33" s="15" t="n"/>
      <c r="C33" s="15" t="n"/>
      <c r="D33" s="15" t="n"/>
      <c r="E33" s="15" t="n"/>
      <c r="F33" s="15" t="n"/>
      <c r="G33" s="133" t="n"/>
      <c r="H33" s="10" t="n"/>
    </row>
    <row r="34">
      <c r="A34" s="18" t="inlineStr">
        <is>
          <t>Owed by the reeve</t>
        </is>
      </c>
      <c r="B34" s="18" t="n"/>
      <c r="C34" s="18" t="n"/>
      <c r="D34" s="18" t="n"/>
      <c r="E34" s="18" t="n"/>
      <c r="F34" s="18" t="n"/>
      <c r="G34" s="141" t="n"/>
      <c r="H34" s="10" t="n"/>
    </row>
    <row r="35">
      <c r="A35" s="18" t="inlineStr">
        <is>
          <t>From accounts</t>
        </is>
      </c>
      <c r="B35" s="18" t="n"/>
      <c r="C35" s="18" t="n"/>
      <c r="D35" s="18" t="n"/>
      <c r="E35" s="18" t="n"/>
      <c r="F35" s="18" t="n"/>
      <c r="G35" s="141" t="n"/>
      <c r="H35" s="139" t="n"/>
    </row>
    <row r="36">
      <c r="A36" s="15" t="n"/>
      <c r="B36" s="15" t="n"/>
      <c r="C36" s="15" t="n"/>
      <c r="D36" s="15" t="n"/>
      <c r="E36" s="15" t="n"/>
      <c r="F36" s="15" t="n"/>
      <c r="G36" s="133" t="n"/>
      <c r="H36" s="10" t="n"/>
    </row>
    <row r="37">
      <c r="A37" s="18" t="inlineStr">
        <is>
          <t>Cash deliveries</t>
        </is>
      </c>
      <c r="B37" s="18" t="n"/>
      <c r="C37" s="18" t="n"/>
      <c r="D37" s="18" t="n"/>
      <c r="E37" s="18" t="n"/>
      <c r="F37" s="18" t="n"/>
      <c r="G37" s="142" t="n"/>
      <c r="H37" s="10" t="n"/>
    </row>
    <row r="38">
      <c r="A38" s="20" t="inlineStr">
        <is>
          <t>Total of all allowances and cash deliveries in accounts</t>
        </is>
      </c>
      <c r="B38" s="143" t="inlineStr">
        <is>
          <t>n/a</t>
        </is>
      </c>
      <c r="C38" s="143" t="n"/>
      <c r="D38" s="143" t="n"/>
      <c r="E38" s="143" t="n"/>
      <c r="F38" s="143" t="n"/>
      <c r="G38" s="144" t="n"/>
      <c r="H38" s="10" t="n"/>
    </row>
    <row r="39">
      <c r="A39" s="15" t="n"/>
      <c r="B39" s="15" t="n"/>
      <c r="C39" s="15" t="n"/>
      <c r="D39" s="15" t="n"/>
      <c r="E39" s="15" t="n"/>
      <c r="F39" s="15" t="n"/>
      <c r="G39" s="133" t="n"/>
      <c r="H39" s="10" t="n"/>
    </row>
    <row r="40">
      <c r="A40" s="18" t="inlineStr">
        <is>
          <t>Net amount owed</t>
        </is>
      </c>
      <c r="B40" s="18" t="n"/>
      <c r="C40" s="18" t="n"/>
      <c r="D40" s="18" t="n"/>
      <c r="E40" s="18" t="n"/>
      <c r="F40" s="18" t="n"/>
      <c r="G40" s="142" t="n"/>
      <c r="H40" s="10" t="n"/>
    </row>
    <row r="41">
      <c r="A41" s="18" t="inlineStr">
        <is>
          <t>Net amount owed in accounts</t>
        </is>
      </c>
      <c r="B41" s="18" t="n"/>
      <c r="C41" s="18" t="n"/>
      <c r="D41" s="18" t="n"/>
      <c r="E41" s="18" t="n"/>
      <c r="F41" s="18" t="n"/>
      <c r="G41" s="142" t="n"/>
      <c r="H41" s="139">
        <f>G40-G41</f>
        <v/>
      </c>
    </row>
    <row r="42">
      <c r="A42" s="15" t="n"/>
      <c r="B42" s="15" t="n"/>
      <c r="C42" s="15" t="n"/>
      <c r="D42" s="15" t="n"/>
      <c r="E42" s="15" t="n"/>
      <c r="F42" s="15" t="n"/>
      <c r="G42" s="133" t="n"/>
      <c r="H42" s="10" t="n"/>
    </row>
    <row r="43">
      <c r="A43" s="16" t="inlineStr">
        <is>
          <t xml:space="preserve">GRANGE ACCOUNT </t>
        </is>
      </c>
      <c r="B43" s="145" t="inlineStr">
        <is>
          <t>Net Production</t>
        </is>
      </c>
      <c r="D43" s="134" t="n"/>
      <c r="E43" s="134" t="n"/>
      <c r="F43" s="134" t="n"/>
      <c r="G43" s="140" t="n"/>
      <c r="H43" s="10" t="n"/>
    </row>
    <row r="44">
      <c r="A44" s="8" t="inlineStr">
        <is>
          <t>Grange</t>
        </is>
      </c>
      <c r="B44" s="146" t="inlineStr">
        <is>
          <t>qrs</t>
        </is>
      </c>
      <c r="C44" s="147" t="n"/>
      <c r="D44" s="15" t="n"/>
      <c r="E44" s="15" t="n"/>
      <c r="F44" s="15" t="n"/>
      <c r="G44" s="91" t="inlineStr">
        <is>
          <t>£</t>
        </is>
      </c>
      <c r="H44" s="10" t="n"/>
      <c r="I44" t="inlineStr">
        <is>
          <t>Note: Columns indexed are hardcoded, do not alter number of columns in issues of grange</t>
        </is>
      </c>
    </row>
    <row r="45">
      <c r="A45" t="inlineStr">
        <is>
          <t>Net wheat</t>
        </is>
      </c>
      <c r="B45" s="136">
        <f>IF(INDEX('Issues of the Grange'!$A$2:$P$24,MATCH('Overton Borough Overview'!$A45,'Issues of the Grange'!$A$2:$A$24,0),10)=0,"",INDEX('Issues of the Grange'!$A$2:$P$24,MATCH('Overton Borough Overview'!$A45,'Issues of the Grange'!$A$2:$A$24,0),10))</f>
        <v/>
      </c>
      <c r="C45" s="15" t="n"/>
      <c r="D45" s="15" t="n"/>
      <c r="E45" s="15" t="n"/>
      <c r="F45" s="15" t="n"/>
      <c r="G45" s="136">
        <f>IF(INDEX('Issues of the Grange'!$A$2:$P$24,MATCH('Overton Borough Overview'!$A45,'Issues of the Grange'!$A$2:$A$24,0),13)=0,"",INDEX('Issues of the Grange'!$A$2:$P$24,MATCH('Overton Borough Overview'!$A45,'Issues of the Grange'!$A$2:$A$24,0),13))</f>
        <v/>
      </c>
      <c r="H45" s="10" t="n"/>
    </row>
    <row r="46">
      <c r="A46" t="inlineStr">
        <is>
          <t>Net curall</t>
        </is>
      </c>
      <c r="B46" s="136">
        <f>IF(INDEX('Issues of the Grange'!$A$2:$P$24,MATCH('Overton Borough Overview'!$A46,'Issues of the Grange'!$A$2:$A$24,0),10)=0,"",INDEX('Issues of the Grange'!$A$2:$P$24,MATCH('Overton Borough Overview'!$A46,'Issues of the Grange'!$A$2:$A$24,0),10))</f>
        <v/>
      </c>
      <c r="C46" s="15" t="n"/>
      <c r="D46" s="15" t="n"/>
      <c r="E46" s="15" t="n"/>
      <c r="F46" s="15" t="n"/>
      <c r="G46" s="136">
        <f>IF(INDEX('Issues of the Grange'!$A$2:$P$24,MATCH('Overton Borough Overview'!$A46,'Issues of the Grange'!$A$2:$A$24,0),13)=0,"",INDEX('Issues of the Grange'!$A$2:$P$24,MATCH('Overton Borough Overview'!$A46,'Issues of the Grange'!$A$2:$A$24,0),13))</f>
        <v/>
      </c>
      <c r="H46" s="10" t="n"/>
    </row>
    <row r="47">
      <c r="A47" t="inlineStr">
        <is>
          <t>Net barley</t>
        </is>
      </c>
      <c r="B47" s="136">
        <f>IF(INDEX('Issues of the Grange'!$A$2:$P$24,MATCH('Overton Borough Overview'!$A47,'Issues of the Grange'!$A$2:$A$24,0),10)=0,"",INDEX('Issues of the Grange'!$A$2:$P$24,MATCH('Overton Borough Overview'!$A47,'Issues of the Grange'!$A$2:$A$24,0),10))</f>
        <v/>
      </c>
      <c r="C47" s="15" t="n"/>
      <c r="D47" s="15" t="n"/>
      <c r="E47" s="15" t="n"/>
      <c r="F47" s="15" t="n"/>
      <c r="G47" s="136">
        <f>IF(INDEX('Issues of the Grange'!$A$2:$P$24,MATCH('Overton Borough Overview'!$A47,'Issues of the Grange'!$A$2:$A$24,0),13)=0,"",INDEX('Issues of the Grange'!$A$2:$P$24,MATCH('Overton Borough Overview'!$A47,'Issues of the Grange'!$A$2:$A$24,0),13))</f>
        <v/>
      </c>
      <c r="H47" s="10" t="n"/>
    </row>
    <row r="48">
      <c r="A48" t="inlineStr">
        <is>
          <t>Net oats</t>
        </is>
      </c>
      <c r="B48" s="136">
        <f>IF(INDEX('Issues of the Grange'!$A$2:$P$24,MATCH('Overton Borough Overview'!$A48,'Issues of the Grange'!$A$2:$A$24,0),10)=0,"",INDEX('Issues of the Grange'!$A$2:$P$24,MATCH('Overton Borough Overview'!$A48,'Issues of the Grange'!$A$2:$A$24,0),10))</f>
        <v/>
      </c>
      <c r="C48" s="15" t="n"/>
      <c r="D48" s="15" t="n"/>
      <c r="E48" s="15" t="n"/>
      <c r="F48" s="15" t="n"/>
      <c r="G48" s="136">
        <f>IF(INDEX('Issues of the Grange'!$A$2:$P$24,MATCH('Overton Borough Overview'!$A48,'Issues of the Grange'!$A$2:$A$24,0),13)=0,"",INDEX('Issues of the Grange'!$A$2:$P$24,MATCH('Overton Borough Overview'!$A48,'Issues of the Grange'!$A$2:$A$24,0),13))</f>
        <v/>
      </c>
      <c r="H48" s="10" t="n"/>
    </row>
    <row r="49">
      <c r="A49" t="inlineStr">
        <is>
          <t>Net peas</t>
        </is>
      </c>
      <c r="B49" s="136">
        <f>IF(INDEX('Issues of the Grange'!$A$2:$P$24,MATCH('Overton Borough Overview'!$A49,'Issues of the Grange'!$A$2:$A$24,0),10)=0,"",INDEX('Issues of the Grange'!$A$2:$P$24,MATCH('Overton Borough Overview'!$A49,'Issues of the Grange'!$A$2:$A$24,0),10))</f>
        <v/>
      </c>
      <c r="C49" s="15" t="n"/>
      <c r="D49" s="15" t="n"/>
      <c r="E49" s="15" t="n"/>
      <c r="F49" s="15" t="n"/>
      <c r="G49" s="136">
        <f>IF(INDEX('Issues of the Grange'!$A$2:$P$24,MATCH('Overton Borough Overview'!$A49,'Issues of the Grange'!$A$2:$A$24,0),13)=0,"",INDEX('Issues of the Grange'!$A$2:$P$24,MATCH('Overton Borough Overview'!$A49,'Issues of the Grange'!$A$2:$A$24,0),13))</f>
        <v/>
      </c>
      <c r="H49" s="10" t="n"/>
    </row>
    <row r="50">
      <c r="A50" t="inlineStr">
        <is>
          <t>Net vetches</t>
        </is>
      </c>
      <c r="B50" s="136">
        <f>IF(INDEX('Issues of the Grange'!$A$2:$P$24,MATCH('Overton Borough Overview'!$A50,'Issues of the Grange'!$A$2:$A$24,0),10)=0,"",INDEX('Issues of the Grange'!$A$2:$P$24,MATCH('Overton Borough Overview'!$A50,'Issues of the Grange'!$A$2:$A$24,0),10))</f>
        <v/>
      </c>
      <c r="C50" s="15" t="n"/>
      <c r="D50" s="15" t="n"/>
      <c r="E50" s="15" t="n"/>
      <c r="F50" s="15" t="n"/>
      <c r="G50" s="136">
        <f>IF(INDEX('Issues of the Grange'!$A$2:$P$24,MATCH('Overton Borough Overview'!$A50,'Issues of the Grange'!$A$2:$A$24,0),13)=0,"",INDEX('Issues of the Grange'!$A$2:$P$24,MATCH('Overton Borough Overview'!$A50,'Issues of the Grange'!$A$2:$A$24,0),13))</f>
        <v/>
      </c>
      <c r="H50" s="10" t="n"/>
    </row>
    <row r="51">
      <c r="A51" s="17" t="inlineStr">
        <is>
          <t>Net value of production (sum of the above)</t>
        </is>
      </c>
      <c r="B51" s="134" t="n"/>
      <c r="C51" s="134" t="n"/>
      <c r="D51" s="134" t="n"/>
      <c r="E51" s="134" t="n"/>
      <c r="F51" s="134" t="n"/>
      <c r="G51" s="135">
        <f>SUM(G45:G50)</f>
        <v/>
      </c>
      <c r="H51" s="10" t="n"/>
    </row>
    <row r="52">
      <c r="A52" s="17" t="inlineStr">
        <is>
          <t>Value of sales</t>
        </is>
      </c>
      <c r="B52" s="134" t="n"/>
      <c r="C52" s="134" t="n"/>
      <c r="D52" s="134" t="n"/>
      <c r="E52" s="134" t="n"/>
      <c r="F52" s="134" t="n"/>
      <c r="G52" s="140">
        <f>'Issues of the Grange'!N24</f>
        <v/>
      </c>
      <c r="H52" s="10" t="n"/>
    </row>
    <row r="53">
      <c r="A53" s="15" t="n"/>
      <c r="B53" s="15" t="n"/>
      <c r="C53" s="15" t="n"/>
      <c r="D53" s="15" t="n"/>
      <c r="E53" s="15" t="n"/>
      <c r="F53" s="15" t="n"/>
      <c r="G53" s="133" t="n"/>
      <c r="H53" s="10" t="n"/>
    </row>
    <row r="54">
      <c r="A54" s="16" t="inlineStr">
        <is>
          <t>MILL ACCOUNT</t>
        </is>
      </c>
      <c r="B54" s="134" t="inlineStr">
        <is>
          <t>n/a</t>
        </is>
      </c>
      <c r="C54" s="134" t="n"/>
      <c r="D54" s="134" t="n"/>
      <c r="E54" s="134" t="n"/>
      <c r="F54" s="134" t="n"/>
      <c r="G54" s="140" t="n"/>
      <c r="H54" s="10" t="n"/>
    </row>
    <row r="55">
      <c r="A55" s="8" t="inlineStr">
        <is>
          <t>Issues of the mill</t>
        </is>
      </c>
      <c r="B55" s="148" t="inlineStr">
        <is>
          <t>qrs</t>
        </is>
      </c>
      <c r="C55" s="147" t="inlineStr">
        <is>
          <t>bus</t>
        </is>
      </c>
      <c r="D55" s="15" t="n"/>
      <c r="E55" s="15" t="n"/>
      <c r="F55" s="15" t="n"/>
      <c r="G55" s="77" t="inlineStr">
        <is>
          <t>£</t>
        </is>
      </c>
      <c r="H55" s="10" t="n"/>
    </row>
    <row r="56">
      <c r="A56" s="15" t="inlineStr">
        <is>
          <t>Wheat</t>
        </is>
      </c>
      <c r="B56" s="18" t="n"/>
      <c r="C56" s="18" t="n"/>
      <c r="D56" s="15" t="n"/>
      <c r="E56" s="15" t="n"/>
      <c r="F56" s="15" t="n"/>
      <c r="G56" s="141" t="n"/>
      <c r="H56" s="10" t="n"/>
    </row>
    <row r="57">
      <c r="A57" s="15" t="inlineStr">
        <is>
          <t>Oatmeal</t>
        </is>
      </c>
      <c r="B57" s="18" t="n"/>
      <c r="C57" s="18" t="n"/>
      <c r="D57" s="15" t="n"/>
      <c r="E57" s="15" t="n"/>
      <c r="F57" s="15" t="n"/>
      <c r="G57" s="141" t="n"/>
      <c r="H57" s="10" t="n"/>
    </row>
    <row r="58">
      <c r="A58" s="15" t="inlineStr">
        <is>
          <t>1st grade malt</t>
        </is>
      </c>
      <c r="B58" s="18" t="n"/>
      <c r="C58" s="18" t="n"/>
      <c r="D58" s="15" t="n"/>
      <c r="E58" s="15" t="n"/>
      <c r="F58" s="15" t="n"/>
      <c r="G58" s="141" t="n"/>
      <c r="H58" s="10" t="n"/>
    </row>
    <row r="59">
      <c r="A59" s="15" t="inlineStr">
        <is>
          <t>2nd grade malt</t>
        </is>
      </c>
      <c r="B59" s="18" t="n"/>
      <c r="C59" s="18" t="n"/>
      <c r="D59" s="15" t="n"/>
      <c r="E59" s="15" t="n"/>
      <c r="F59" s="15" t="n"/>
      <c r="G59" s="141" t="n"/>
      <c r="H59" s="10" t="n"/>
    </row>
    <row r="60">
      <c r="A60" s="15" t="inlineStr">
        <is>
          <t>Maslin</t>
        </is>
      </c>
      <c r="B60" s="18" t="n"/>
      <c r="C60" s="18" t="n"/>
      <c r="D60" s="15" t="n"/>
      <c r="E60" s="15" t="n"/>
      <c r="F60" s="15" t="n"/>
      <c r="G60" s="141" t="n"/>
      <c r="H60" s="10" t="n"/>
    </row>
    <row r="61">
      <c r="A61" s="17" t="inlineStr">
        <is>
          <t>Total value of production (sum of the above)</t>
        </is>
      </c>
      <c r="B61" s="134" t="n"/>
      <c r="C61" s="134" t="n"/>
      <c r="D61" s="134" t="n"/>
      <c r="E61" s="134" t="n"/>
      <c r="F61" s="134" t="n"/>
      <c r="G61" s="144" t="n"/>
      <c r="H61" s="10" t="n"/>
    </row>
    <row r="62">
      <c r="A62" s="17" t="inlineStr">
        <is>
          <t>Value of sales</t>
        </is>
      </c>
      <c r="B62" s="134" t="n"/>
      <c r="C62" s="134" t="n"/>
      <c r="D62" s="134" t="n"/>
      <c r="E62" s="134" t="n"/>
      <c r="F62" s="134" t="n"/>
      <c r="G62" s="144" t="n">
        <v>0</v>
      </c>
      <c r="H62" s="10" t="n"/>
    </row>
    <row r="63">
      <c r="A63" s="15" t="n"/>
      <c r="B63" s="15" t="n"/>
      <c r="C63" s="15" t="n"/>
      <c r="D63" s="15" t="n"/>
      <c r="E63" s="15" t="n"/>
      <c r="F63" s="15" t="n"/>
      <c r="G63" s="133" t="n"/>
      <c r="H63" s="10" t="n"/>
    </row>
    <row r="64">
      <c r="A64" s="16" t="inlineStr">
        <is>
          <t>STOCK ACCOUNT</t>
        </is>
      </c>
      <c r="B64" s="134" t="n"/>
      <c r="C64" s="134" t="n"/>
      <c r="D64" s="134" t="n"/>
      <c r="E64" s="134" t="n"/>
      <c r="F64" s="134" t="n"/>
      <c r="G64" s="140" t="n"/>
      <c r="H64" s="10" t="n"/>
    </row>
    <row r="65" ht="51" customHeight="1">
      <c r="A65" s="21" t="inlineStr">
        <is>
          <t>Livestock</t>
        </is>
      </c>
      <c r="B65" s="149" t="inlineStr">
        <is>
          <t>Inherited stock</t>
        </is>
      </c>
      <c r="C65" s="149" t="inlineStr">
        <is>
          <t>End-period  stock</t>
        </is>
      </c>
      <c r="D65" s="150" t="inlineStr">
        <is>
          <t>Stockbuilding</t>
        </is>
      </c>
      <c r="E65" s="136" t="n"/>
      <c r="F65" s="151" t="inlineStr">
        <is>
          <t>Sales in (£)</t>
        </is>
      </c>
      <c r="G65" s="151" t="inlineStr">
        <is>
          <t>Value of production (£) at sales prices</t>
        </is>
      </c>
      <c r="H65" s="10" t="n"/>
    </row>
    <row r="66" ht="17" customHeight="1">
      <c r="A66" s="22" t="inlineStr">
        <is>
          <t>Cart-horses</t>
        </is>
      </c>
      <c r="B66" s="136">
        <f>IFERROR(INDEX(Stock!$A$3:$T$90,MATCH('Overton Borough Overview'!$A66,Stock!$A$3:$A$90,0),MATCH('Overton Borough Overview'!B$65,Stock!$A$3:$T$3,0)),0)</f>
        <v/>
      </c>
      <c r="C66" s="136">
        <f>IFERROR(INDEX(Stock!$A$3:$T$90,MATCH('Overton Borough Overview'!$A66,Stock!$A$3:$A$90,0),MATCH('Overton Borough Overview'!C$65,Stock!$A$3:$T$3,0)),0)</f>
        <v/>
      </c>
      <c r="D66" s="136">
        <f>C66-B66</f>
        <v/>
      </c>
      <c r="E66" s="133" t="n"/>
      <c r="F66" s="136">
        <f>IFERROR(INDEX(Stock!$A$3:$T$90,MATCH('Overton Borough Overview'!$A66,Stock!$A$3:$A$90,0),MATCH('Overton Borough Overview'!F$65,Stock!$A$3:$T$3,0)),0)</f>
        <v/>
      </c>
      <c r="G66" s="136">
        <f>IFERROR(INDEX(Stock!$A$3:$T$90,MATCH('Overton Borough Overview'!$A66,Stock!$A$3:$A$90,0),MATCH('Overton Borough Overview'!G$65,Stock!$A$3:$T$3,0)),0)</f>
        <v/>
      </c>
      <c r="H66" s="10" t="n"/>
    </row>
    <row r="67" ht="17" customHeight="1">
      <c r="A67" s="22" t="inlineStr">
        <is>
          <t>Mares</t>
        </is>
      </c>
      <c r="B67" s="136">
        <f>IFERROR(INDEX(Stock!$A$3:$T$90,MATCH('Overton Borough Overview'!$A67,Stock!$A$3:$A$90,0),MATCH('Overton Borough Overview'!B$65,Stock!$A$3:$T$3,0)),0)</f>
        <v/>
      </c>
      <c r="C67" s="136">
        <f>IFERROR(INDEX(Stock!$A$3:$T$90,MATCH('Overton Borough Overview'!$A67,Stock!$A$3:$A$90,0),MATCH('Overton Borough Overview'!C$65,Stock!$A$3:$T$3,0)),0)</f>
        <v/>
      </c>
      <c r="D67" s="136">
        <f>C67-B67</f>
        <v/>
      </c>
      <c r="E67" s="133" t="n"/>
      <c r="F67" s="136">
        <f>IFERROR(INDEX(Stock!$A$3:$T$90,MATCH('Overton Borough Overview'!$A67,Stock!$A$3:$A$90,0),MATCH('Overton Borough Overview'!F$65,Stock!$A$3:$T$3,0)),0)</f>
        <v/>
      </c>
      <c r="G67" s="136">
        <f>IFERROR(INDEX(Stock!$A$3:$T$90,MATCH('Overton Borough Overview'!$A67,Stock!$A$3:$A$90,0),MATCH('Overton Borough Overview'!G$65,Stock!$A$3:$T$3,0)),0)</f>
        <v/>
      </c>
      <c r="H67" s="10" t="n"/>
    </row>
    <row r="68">
      <c r="A68" s="15" t="inlineStr">
        <is>
          <t>Plough horses</t>
        </is>
      </c>
      <c r="B68" s="136">
        <f>IFERROR(INDEX(Stock!$A$3:$T$90,MATCH('Overton Borough Overview'!$A68,Stock!$A$3:$A$90,0),MATCH('Overton Borough Overview'!B$65,Stock!$A$3:$T$3,0)),0)</f>
        <v/>
      </c>
      <c r="C68" s="136">
        <f>IFERROR(INDEX(Stock!$A$3:$T$90,MATCH('Overton Borough Overview'!$A68,Stock!$A$3:$A$90,0),MATCH('Overton Borough Overview'!C$65,Stock!$A$3:$T$3,0)),0)</f>
        <v/>
      </c>
      <c r="D68" s="136">
        <f>C68-B68</f>
        <v/>
      </c>
      <c r="E68" s="133" t="n"/>
      <c r="F68" s="136">
        <f>IFERROR(INDEX(Stock!$A$3:$T$90,MATCH('Overton Borough Overview'!$A68,Stock!$A$3:$A$90,0),MATCH('Overton Borough Overview'!F$65,Stock!$A$3:$T$3,0)),0)</f>
        <v/>
      </c>
      <c r="G68" s="136">
        <f>IFERROR(INDEX(Stock!$A$3:$T$90,MATCH('Overton Borough Overview'!$A68,Stock!$A$3:$A$90,0),MATCH('Overton Borough Overview'!G$65,Stock!$A$3:$T$3,0)),0)</f>
        <v/>
      </c>
      <c r="H68" s="10" t="n"/>
    </row>
    <row r="69">
      <c r="A69" s="15" t="inlineStr">
        <is>
          <t>Colts (2 years)</t>
        </is>
      </c>
      <c r="B69" s="136">
        <f>IFERROR(INDEX(Stock!$A$3:$T$90,MATCH('Overton Borough Overview'!$A69,Stock!$A$3:$A$90,0),MATCH('Overton Borough Overview'!B$65,Stock!$A$3:$T$3,0)),0)</f>
        <v/>
      </c>
      <c r="C69" s="136">
        <f>IFERROR(INDEX(Stock!$A$3:$T$90,MATCH('Overton Borough Overview'!$A69,Stock!$A$3:$A$90,0),MATCH('Overton Borough Overview'!C$65,Stock!$A$3:$T$3,0)),0)</f>
        <v/>
      </c>
      <c r="D69" s="136">
        <f>C69-B69</f>
        <v/>
      </c>
      <c r="E69" s="133" t="n"/>
      <c r="F69" s="136">
        <f>IFERROR(INDEX(Stock!$A$3:$T$90,MATCH('Overton Borough Overview'!$A69,Stock!$A$3:$A$90,0),MATCH('Overton Borough Overview'!F$65,Stock!$A$3:$T$3,0)),0)</f>
        <v/>
      </c>
      <c r="G69" s="136">
        <f>IFERROR(INDEX(Stock!$A$3:$T$90,MATCH('Overton Borough Overview'!$A69,Stock!$A$3:$A$90,0),MATCH('Overton Borough Overview'!G$65,Stock!$A$3:$T$3,0)),0)</f>
        <v/>
      </c>
      <c r="H69" s="10" t="n"/>
    </row>
    <row r="70">
      <c r="A70" s="15" t="inlineStr">
        <is>
          <t>Colts (2 years)</t>
        </is>
      </c>
      <c r="B70" s="136">
        <f>IFERROR(INDEX(Stock!$A$3:$T$90,MATCH('Overton Borough Overview'!$A70,Stock!$A$3:$A$90,0),MATCH('Overton Borough Overview'!B$65,Stock!$A$3:$T$3,0)),0)</f>
        <v/>
      </c>
      <c r="C70" s="136">
        <f>IFERROR(INDEX(Stock!$A$3:$T$90,MATCH('Overton Borough Overview'!$A70,Stock!$A$3:$A$90,0),MATCH('Overton Borough Overview'!C$65,Stock!$A$3:$T$3,0)),0)</f>
        <v/>
      </c>
      <c r="D70" s="136">
        <f>C70-B70</f>
        <v/>
      </c>
      <c r="E70" s="133" t="n"/>
      <c r="F70" s="136">
        <f>IFERROR(INDEX(Stock!$A$3:$T$90,MATCH('Overton Borough Overview'!$A70,Stock!$A$3:$A$90,0),MATCH('Overton Borough Overview'!F$65,Stock!$A$3:$T$3,0)),0)</f>
        <v/>
      </c>
      <c r="G70" s="136">
        <f>IFERROR(INDEX(Stock!$A$3:$T$90,MATCH('Overton Borough Overview'!$A70,Stock!$A$3:$A$90,0),MATCH('Overton Borough Overview'!G$65,Stock!$A$3:$T$3,0)),0)</f>
        <v/>
      </c>
      <c r="H70" s="10" t="n"/>
    </row>
    <row r="71">
      <c r="A71" s="15" t="inlineStr">
        <is>
          <t>Colts (1 year)</t>
        </is>
      </c>
      <c r="B71" s="136">
        <f>IFERROR(INDEX(Stock!$A$3:$T$90,MATCH('Overton Borough Overview'!$A71,Stock!$A$3:$A$90,0),MATCH('Overton Borough Overview'!B$65,Stock!$A$3:$T$3,0)),0)</f>
        <v/>
      </c>
      <c r="C71" s="136">
        <f>IFERROR(INDEX(Stock!$A$3:$T$90,MATCH('Overton Borough Overview'!$A71,Stock!$A$3:$A$90,0),MATCH('Overton Borough Overview'!C$65,Stock!$A$3:$T$3,0)),0)</f>
        <v/>
      </c>
      <c r="D71" s="136">
        <f>C71-B71</f>
        <v/>
      </c>
      <c r="E71" s="133" t="n"/>
      <c r="F71" s="136">
        <f>IFERROR(INDEX(Stock!$A$3:$T$90,MATCH('Overton Borough Overview'!$A71,Stock!$A$3:$A$90,0),MATCH('Overton Borough Overview'!F$65,Stock!$A$3:$T$3,0)),0)</f>
        <v/>
      </c>
      <c r="G71" s="136">
        <f>IFERROR(INDEX(Stock!$A$3:$T$90,MATCH('Overton Borough Overview'!$A71,Stock!$A$3:$A$90,0),MATCH('Overton Borough Overview'!G$65,Stock!$A$3:$T$3,0)),0)</f>
        <v/>
      </c>
      <c r="H71" s="10" t="n"/>
    </row>
    <row r="72">
      <c r="A72" s="15" t="inlineStr">
        <is>
          <t>Foals</t>
        </is>
      </c>
      <c r="B72" s="136">
        <f>IFERROR(INDEX(Stock!$A$3:$T$90,MATCH('Overton Borough Overview'!$A72,Stock!$A$3:$A$90,0),MATCH('Overton Borough Overview'!B$65,Stock!$A$3:$T$3,0)),0)</f>
        <v/>
      </c>
      <c r="C72" s="136">
        <f>IFERROR(INDEX(Stock!$A$3:$T$90,MATCH('Overton Borough Overview'!$A72,Stock!$A$3:$A$90,0),MATCH('Overton Borough Overview'!C$65,Stock!$A$3:$T$3,0)),0)</f>
        <v/>
      </c>
      <c r="D72" s="136">
        <f>C72-B72</f>
        <v/>
      </c>
      <c r="E72" s="133" t="n"/>
      <c r="F72" s="136">
        <f>IFERROR(INDEX(Stock!$A$3:$T$90,MATCH('Overton Borough Overview'!$A72,Stock!$A$3:$A$90,0),MATCH('Overton Borough Overview'!F$65,Stock!$A$3:$T$3,0)),0)</f>
        <v/>
      </c>
      <c r="G72" s="136">
        <f>IFERROR(INDEX(Stock!$A$3:$T$90,MATCH('Overton Borough Overview'!$A72,Stock!$A$3:$A$90,0),MATCH('Overton Borough Overview'!G$65,Stock!$A$3:$T$3,0)),0)</f>
        <v/>
      </c>
      <c r="H72" s="10" t="n"/>
    </row>
    <row r="73">
      <c r="A73" s="15" t="inlineStr">
        <is>
          <t>Oxen</t>
        </is>
      </c>
      <c r="B73" s="136">
        <f>IFERROR(INDEX(Stock!$A$3:$T$90,MATCH('Overton Borough Overview'!$A73,Stock!$A$3:$A$90,0),MATCH('Overton Borough Overview'!B$65,Stock!$A$3:$T$3,0)),0)</f>
        <v/>
      </c>
      <c r="C73" s="136">
        <f>IFERROR(INDEX(Stock!$A$3:$T$90,MATCH('Overton Borough Overview'!$A73,Stock!$A$3:$A$90,0),MATCH('Overton Borough Overview'!C$65,Stock!$A$3:$T$3,0)),0)</f>
        <v/>
      </c>
      <c r="D73" s="136">
        <f>C73-B73</f>
        <v/>
      </c>
      <c r="E73" s="133" t="n"/>
      <c r="F73" s="136">
        <f>IFERROR(INDEX(Stock!$A$3:$T$90,MATCH('Overton Borough Overview'!$A73,Stock!$A$3:$A$90,0),MATCH('Overton Borough Overview'!F$65,Stock!$A$3:$T$3,0)),0)</f>
        <v/>
      </c>
      <c r="G73" s="136">
        <f>IFERROR(INDEX(Stock!$A$3:$T$90,MATCH('Overton Borough Overview'!$A73,Stock!$A$3:$A$90,0),MATCH('Overton Borough Overview'!G$65,Stock!$A$3:$T$3,0)),0)</f>
        <v/>
      </c>
      <c r="H73" s="10" t="n"/>
    </row>
    <row r="74">
      <c r="A74" s="15" t="inlineStr">
        <is>
          <t>Bulls</t>
        </is>
      </c>
      <c r="B74" s="136">
        <f>IFERROR(INDEX(Stock!$A$3:$T$90,MATCH('Overton Borough Overview'!$A74,Stock!$A$3:$A$90,0),MATCH('Overton Borough Overview'!B$65,Stock!$A$3:$T$3,0)),0)</f>
        <v/>
      </c>
      <c r="C74" s="136">
        <f>IFERROR(INDEX(Stock!$A$3:$T$90,MATCH('Overton Borough Overview'!$A74,Stock!$A$3:$A$90,0),MATCH('Overton Borough Overview'!C$65,Stock!$A$3:$T$3,0)),0)</f>
        <v/>
      </c>
      <c r="D74" s="136">
        <f>C74-B74</f>
        <v/>
      </c>
      <c r="E74" s="133" t="n"/>
      <c r="F74" s="136">
        <f>IFERROR(INDEX(Stock!$A$3:$T$90,MATCH('Overton Borough Overview'!$A74,Stock!$A$3:$A$90,0),MATCH('Overton Borough Overview'!F$65,Stock!$A$3:$T$3,0)),0)</f>
        <v/>
      </c>
      <c r="G74" s="136">
        <f>IFERROR(INDEX(Stock!$A$3:$T$90,MATCH('Overton Borough Overview'!$A74,Stock!$A$3:$A$90,0),MATCH('Overton Borough Overview'!G$65,Stock!$A$3:$T$3,0)),0)</f>
        <v/>
      </c>
      <c r="H74" s="10" t="n"/>
    </row>
    <row r="75">
      <c r="A75" s="15" t="inlineStr">
        <is>
          <t>Cows</t>
        </is>
      </c>
      <c r="B75" s="136">
        <f>IFERROR(INDEX(Stock!$A$3:$T$90,MATCH('Overton Borough Overview'!$A75,Stock!$A$3:$A$90,0),MATCH('Overton Borough Overview'!B$65,Stock!$A$3:$T$3,0)),0)</f>
        <v/>
      </c>
      <c r="C75" s="136">
        <f>IFERROR(INDEX(Stock!$A$3:$T$90,MATCH('Overton Borough Overview'!$A75,Stock!$A$3:$A$90,0),MATCH('Overton Borough Overview'!C$65,Stock!$A$3:$T$3,0)),0)</f>
        <v/>
      </c>
      <c r="D75" s="136">
        <f>C75-B75</f>
        <v/>
      </c>
      <c r="E75" s="133" t="n"/>
      <c r="F75" s="136">
        <f>IFERROR(INDEX(Stock!$A$3:$T$90,MATCH('Overton Borough Overview'!$A75,Stock!$A$3:$A$90,0),MATCH('Overton Borough Overview'!F$65,Stock!$A$3:$T$3,0)),0)</f>
        <v/>
      </c>
      <c r="G75" s="136">
        <f>IFERROR(INDEX(Stock!$A$3:$T$90,MATCH('Overton Borough Overview'!$A75,Stock!$A$3:$A$90,0),MATCH('Overton Borough Overview'!G$65,Stock!$A$3:$T$3,0)),0)</f>
        <v/>
      </c>
      <c r="H75" s="10" t="n"/>
    </row>
    <row r="76">
      <c r="A76" s="15" t="inlineStr">
        <is>
          <t>Steers</t>
        </is>
      </c>
      <c r="B76" s="136">
        <f>IFERROR(INDEX(Stock!$A$3:$T$90,MATCH('Overton Borough Overview'!$A76,Stock!$A$3:$A$90,0),MATCH('Overton Borough Overview'!B$65,Stock!$A$3:$T$3,0)),0)</f>
        <v/>
      </c>
      <c r="C76" s="136">
        <f>IFERROR(INDEX(Stock!$A$3:$T$90,MATCH('Overton Borough Overview'!$A76,Stock!$A$3:$A$90,0),MATCH('Overton Borough Overview'!C$65,Stock!$A$3:$T$3,0)),0)</f>
        <v/>
      </c>
      <c r="D76" s="136">
        <f>C76-B76</f>
        <v/>
      </c>
      <c r="E76" s="133" t="n"/>
      <c r="F76" s="136">
        <f>IFERROR(INDEX(Stock!$A$3:$T$90,MATCH('Overton Borough Overview'!$A76,Stock!$A$3:$A$90,0),MATCH('Overton Borough Overview'!F$65,Stock!$A$3:$T$3,0)),0)</f>
        <v/>
      </c>
      <c r="G76" s="136">
        <f>IFERROR(INDEX(Stock!$A$3:$T$90,MATCH('Overton Borough Overview'!$A76,Stock!$A$3:$A$90,0),MATCH('Overton Borough Overview'!G$65,Stock!$A$3:$T$3,0)),0)</f>
        <v/>
      </c>
      <c r="H76" s="10" t="n"/>
    </row>
    <row r="77">
      <c r="A77" s="15" t="inlineStr">
        <is>
          <t>Bullocks</t>
        </is>
      </c>
      <c r="B77" s="136">
        <f>IFERROR(INDEX(Stock!$A$3:$T$90,MATCH('Overton Borough Overview'!$A77,Stock!$A$3:$A$90,0),MATCH('Overton Borough Overview'!B$65,Stock!$A$3:$T$3,0)),0)</f>
        <v/>
      </c>
      <c r="C77" s="136">
        <f>IFERROR(INDEX(Stock!$A$3:$T$90,MATCH('Overton Borough Overview'!$A77,Stock!$A$3:$A$90,0),MATCH('Overton Borough Overview'!C$65,Stock!$A$3:$T$3,0)),0)</f>
        <v/>
      </c>
      <c r="D77" s="136">
        <f>C77-B77</f>
        <v/>
      </c>
      <c r="E77" s="133" t="n"/>
      <c r="F77" s="136">
        <f>IFERROR(INDEX(Stock!$A$3:$T$90,MATCH('Overton Borough Overview'!$A77,Stock!$A$3:$A$90,0),MATCH('Overton Borough Overview'!F$65,Stock!$A$3:$T$3,0)),0)</f>
        <v/>
      </c>
      <c r="G77" s="136">
        <f>IFERROR(INDEX(Stock!$A$3:$T$90,MATCH('Overton Borough Overview'!$A77,Stock!$A$3:$A$90,0),MATCH('Overton Borough Overview'!G$65,Stock!$A$3:$T$3,0)),0)</f>
        <v/>
      </c>
      <c r="H77" s="10" t="n"/>
    </row>
    <row r="78">
      <c r="A78" s="15" t="inlineStr">
        <is>
          <t>Yearlings</t>
        </is>
      </c>
      <c r="B78" s="136">
        <f>IFERROR(INDEX(Stock!$A$3:$T$90,MATCH('Overton Borough Overview'!$A78,Stock!$A$3:$A$90,0),MATCH('Overton Borough Overview'!B$65,Stock!$A$3:$T$3,0)),0)</f>
        <v/>
      </c>
      <c r="C78" s="136">
        <f>IFERROR(INDEX(Stock!$A$3:$T$90,MATCH('Overton Borough Overview'!$A78,Stock!$A$3:$A$90,0),MATCH('Overton Borough Overview'!C$65,Stock!$A$3:$T$3,0)),0)</f>
        <v/>
      </c>
      <c r="D78" s="136">
        <f>C78-B78</f>
        <v/>
      </c>
      <c r="E78" s="133" t="n"/>
      <c r="F78" s="136">
        <f>IFERROR(INDEX(Stock!$A$3:$T$90,MATCH('Overton Borough Overview'!$A78,Stock!$A$3:$A$90,0),MATCH('Overton Borough Overview'!F$65,Stock!$A$3:$T$3,0)),0)</f>
        <v/>
      </c>
      <c r="G78" s="136">
        <f>IFERROR(INDEX(Stock!$A$3:$T$90,MATCH('Overton Borough Overview'!$A78,Stock!$A$3:$A$90,0),MATCH('Overton Borough Overview'!G$65,Stock!$A$3:$T$3,0)),0)</f>
        <v/>
      </c>
      <c r="H78" s="10" t="n"/>
    </row>
    <row r="79">
      <c r="A79" s="15" t="inlineStr">
        <is>
          <t>Calves</t>
        </is>
      </c>
      <c r="B79" s="136">
        <f>IFERROR(INDEX(Stock!$A$3:$T$90,MATCH('Overton Borough Overview'!$A79,Stock!$A$3:$A$90,0),MATCH('Overton Borough Overview'!B$65,Stock!$A$3:$T$3,0)),0)</f>
        <v/>
      </c>
      <c r="C79" s="136">
        <f>IFERROR(INDEX(Stock!$A$3:$T$90,MATCH('Overton Borough Overview'!$A79,Stock!$A$3:$A$90,0),MATCH('Overton Borough Overview'!C$65,Stock!$A$3:$T$3,0)),0)</f>
        <v/>
      </c>
      <c r="D79" s="136">
        <f>C79-B79</f>
        <v/>
      </c>
      <c r="E79" s="133" t="n"/>
      <c r="F79" s="136">
        <f>IFERROR(INDEX(Stock!$A$3:$T$90,MATCH('Overton Borough Overview'!$A79,Stock!$A$3:$A$90,0),MATCH('Overton Borough Overview'!F$65,Stock!$A$3:$T$3,0)),0)</f>
        <v/>
      </c>
      <c r="G79" s="136">
        <f>IFERROR(INDEX(Stock!$A$3:$T$90,MATCH('Overton Borough Overview'!$A79,Stock!$A$3:$A$90,0),MATCH('Overton Borough Overview'!G$65,Stock!$A$3:$T$3,0)),0)</f>
        <v/>
      </c>
      <c r="H79" s="10" t="n"/>
    </row>
    <row r="80">
      <c r="A80" s="15" t="inlineStr">
        <is>
          <t>Wethers</t>
        </is>
      </c>
      <c r="B80" s="136">
        <f>IFERROR(INDEX(Stock!$A$3:$T$90,MATCH('Overton Borough Overview'!$A80,Stock!$A$3:$A$90,0),MATCH('Overton Borough Overview'!B$65,Stock!$A$3:$T$3,0)),0)</f>
        <v/>
      </c>
      <c r="C80" s="136">
        <f>IFERROR(INDEX(Stock!$A$3:$T$90,MATCH('Overton Borough Overview'!$A80,Stock!$A$3:$A$90,0),MATCH('Overton Borough Overview'!C$65,Stock!$A$3:$T$3,0)),0)</f>
        <v/>
      </c>
      <c r="D80" s="136">
        <f>C80-B80</f>
        <v/>
      </c>
      <c r="E80" s="133" t="n"/>
      <c r="F80" s="136">
        <f>IFERROR(INDEX(Stock!$A$3:$T$90,MATCH('Overton Borough Overview'!$A80,Stock!$A$3:$A$90,0),MATCH('Overton Borough Overview'!F$65,Stock!$A$3:$T$3,0)),0)</f>
        <v/>
      </c>
      <c r="G80" s="136">
        <f>IFERROR(INDEX(Stock!$A$3:$T$90,MATCH('Overton Borough Overview'!$A80,Stock!$A$3:$A$90,0),MATCH('Overton Borough Overview'!G$65,Stock!$A$3:$T$3,0)),0)</f>
        <v/>
      </c>
      <c r="H80" s="10" t="n"/>
    </row>
    <row r="81">
      <c r="A81" s="15" t="inlineStr">
        <is>
          <t>Rams</t>
        </is>
      </c>
      <c r="B81" s="136">
        <f>IFERROR(INDEX(Stock!$A$3:$T$90,MATCH('Overton Borough Overview'!$A81,Stock!$A$3:$A$90,0),MATCH('Overton Borough Overview'!B$65,Stock!$A$3:$T$3,0)),0)</f>
        <v/>
      </c>
      <c r="C81" s="136">
        <f>IFERROR(INDEX(Stock!$A$3:$T$90,MATCH('Overton Borough Overview'!$A81,Stock!$A$3:$A$90,0),MATCH('Overton Borough Overview'!C$65,Stock!$A$3:$T$3,0)),0)</f>
        <v/>
      </c>
      <c r="D81" s="136">
        <f>C81-B81</f>
        <v/>
      </c>
      <c r="E81" s="133" t="n"/>
      <c r="F81" s="136">
        <f>IFERROR(INDEX(Stock!$A$3:$T$90,MATCH('Overton Borough Overview'!$A81,Stock!$A$3:$A$90,0),MATCH('Overton Borough Overview'!F$65,Stock!$A$3:$T$3,0)),0)</f>
        <v/>
      </c>
      <c r="G81" s="136">
        <f>IFERROR(INDEX(Stock!$A$3:$T$90,MATCH('Overton Borough Overview'!$A81,Stock!$A$3:$A$90,0),MATCH('Overton Borough Overview'!G$65,Stock!$A$3:$T$3,0)),0)</f>
        <v/>
      </c>
      <c r="H81" s="10" t="n"/>
    </row>
    <row r="82">
      <c r="A82" s="15" t="inlineStr">
        <is>
          <t>Ewes</t>
        </is>
      </c>
      <c r="B82" s="136">
        <f>IFERROR(INDEX(Stock!$A$3:$T$90,MATCH('Overton Borough Overview'!$A82,Stock!$A$3:$A$90,0),MATCH('Overton Borough Overview'!B$65,Stock!$A$3:$T$3,0)),0)</f>
        <v/>
      </c>
      <c r="C82" s="136">
        <f>IFERROR(INDEX(Stock!$A$3:$T$90,MATCH('Overton Borough Overview'!$A82,Stock!$A$3:$A$90,0),MATCH('Overton Borough Overview'!C$65,Stock!$A$3:$T$3,0)),0)</f>
        <v/>
      </c>
      <c r="D82" s="136">
        <f>C82-B82</f>
        <v/>
      </c>
      <c r="E82" s="133" t="n"/>
      <c r="F82" s="136">
        <f>IFERROR(INDEX(Stock!$A$3:$T$90,MATCH('Overton Borough Overview'!$A82,Stock!$A$3:$A$90,0),MATCH('Overton Borough Overview'!F$65,Stock!$A$3:$T$3,0)),0)</f>
        <v/>
      </c>
      <c r="G82" s="136">
        <f>IFERROR(INDEX(Stock!$A$3:$T$90,MATCH('Overton Borough Overview'!$A82,Stock!$A$3:$A$90,0),MATCH('Overton Borough Overview'!G$65,Stock!$A$3:$T$3,0)),0)</f>
        <v/>
      </c>
      <c r="H82" s="10" t="n"/>
    </row>
    <row r="83">
      <c r="A83" s="15" t="inlineStr">
        <is>
          <t>Hoggs</t>
        </is>
      </c>
      <c r="B83" s="136">
        <f>IFERROR(INDEX(Stock!$A$3:$T$90,MATCH('Overton Borough Overview'!$A83,Stock!$A$3:$A$90,0),MATCH('Overton Borough Overview'!B$65,Stock!$A$3:$T$3,0)),0)</f>
        <v/>
      </c>
      <c r="C83" s="136">
        <f>IFERROR(INDEX(Stock!$A$3:$T$90,MATCH('Overton Borough Overview'!$A83,Stock!$A$3:$A$90,0),MATCH('Overton Borough Overview'!C$65,Stock!$A$3:$T$3,0)),0)</f>
        <v/>
      </c>
      <c r="D83" s="136">
        <f>C83-B83</f>
        <v/>
      </c>
      <c r="E83" s="133" t="n"/>
      <c r="F83" s="136">
        <f>IFERROR(INDEX(Stock!$A$3:$T$90,MATCH('Overton Borough Overview'!$A83,Stock!$A$3:$A$90,0),MATCH('Overton Borough Overview'!F$65,Stock!$A$3:$T$3,0)),0)</f>
        <v/>
      </c>
      <c r="G83" s="136">
        <f>IFERROR(INDEX(Stock!$A$3:$T$90,MATCH('Overton Borough Overview'!$A83,Stock!$A$3:$A$90,0),MATCH('Overton Borough Overview'!G$65,Stock!$A$3:$T$3,0)),0)</f>
        <v/>
      </c>
      <c r="H83" s="10" t="n"/>
    </row>
    <row r="84">
      <c r="A84" s="15" t="inlineStr">
        <is>
          <t>Lambs</t>
        </is>
      </c>
      <c r="B84" s="136">
        <f>IFERROR(INDEX(Stock!$A$3:$T$90,MATCH('Overton Borough Overview'!$A84,Stock!$A$3:$A$90,0),MATCH('Overton Borough Overview'!B$65,Stock!$A$3:$T$3,0)),0)</f>
        <v/>
      </c>
      <c r="C84" s="136">
        <f>IFERROR(INDEX(Stock!$A$3:$T$90,MATCH('Overton Borough Overview'!$A84,Stock!$A$3:$A$90,0),MATCH('Overton Borough Overview'!C$65,Stock!$A$3:$T$3,0)),0)</f>
        <v/>
      </c>
      <c r="D84" s="136">
        <f>C84-B84</f>
        <v/>
      </c>
      <c r="E84" s="133" t="n"/>
      <c r="F84" s="136">
        <f>IFERROR(INDEX(Stock!$A$3:$T$90,MATCH('Overton Borough Overview'!$A84,Stock!$A$3:$A$90,0),MATCH('Overton Borough Overview'!F$65,Stock!$A$3:$T$3,0)),0)</f>
        <v/>
      </c>
      <c r="G84" s="136">
        <f>IFERROR(INDEX(Stock!$A$3:$T$90,MATCH('Overton Borough Overview'!$A84,Stock!$A$3:$A$90,0),MATCH('Overton Borough Overview'!G$65,Stock!$A$3:$T$3,0)),0)</f>
        <v/>
      </c>
      <c r="H84" s="10" t="n"/>
    </row>
    <row r="85">
      <c r="A85" s="15" t="inlineStr">
        <is>
          <t>Boars</t>
        </is>
      </c>
      <c r="B85" s="136">
        <f>IFERROR(INDEX(Stock!$A$3:$T$90,MATCH('Overton Borough Overview'!$A85,Stock!$A$3:$A$90,0),MATCH('Overton Borough Overview'!B$65,Stock!$A$3:$T$3,0)),0)</f>
        <v/>
      </c>
      <c r="C85" s="136">
        <f>IFERROR(INDEX(Stock!$A$3:$T$90,MATCH('Overton Borough Overview'!$A85,Stock!$A$3:$A$90,0),MATCH('Overton Borough Overview'!C$65,Stock!$A$3:$T$3,0)),0)</f>
        <v/>
      </c>
      <c r="D85" s="136">
        <f>C85-B85</f>
        <v/>
      </c>
      <c r="E85" s="133" t="n"/>
      <c r="F85" s="136">
        <f>IFERROR(INDEX(Stock!$A$3:$T$90,MATCH('Overton Borough Overview'!$A85,Stock!$A$3:$A$90,0),MATCH('Overton Borough Overview'!F$65,Stock!$A$3:$T$3,0)),0)</f>
        <v/>
      </c>
      <c r="G85" s="136">
        <f>IFERROR(INDEX(Stock!$A$3:$T$90,MATCH('Overton Borough Overview'!$A85,Stock!$A$3:$A$90,0),MATCH('Overton Borough Overview'!G$65,Stock!$A$3:$T$3,0)),0)</f>
        <v/>
      </c>
      <c r="H85" s="10" t="n"/>
    </row>
    <row r="86">
      <c r="A86" s="15" t="inlineStr">
        <is>
          <t>Sows</t>
        </is>
      </c>
      <c r="B86" s="136">
        <f>IFERROR(INDEX(Stock!$A$3:$T$90,MATCH('Overton Borough Overview'!$A86,Stock!$A$3:$A$90,0),MATCH('Overton Borough Overview'!B$65,Stock!$A$3:$T$3,0)),0)</f>
        <v/>
      </c>
      <c r="C86" s="136">
        <f>IFERROR(INDEX(Stock!$A$3:$T$90,MATCH('Overton Borough Overview'!$A86,Stock!$A$3:$A$90,0),MATCH('Overton Borough Overview'!C$65,Stock!$A$3:$T$3,0)),0)</f>
        <v/>
      </c>
      <c r="D86" s="136">
        <f>C86-B86</f>
        <v/>
      </c>
      <c r="E86" s="133" t="n"/>
      <c r="F86" s="136">
        <f>IFERROR(INDEX(Stock!$A$3:$T$90,MATCH('Overton Borough Overview'!$A86,Stock!$A$3:$A$90,0),MATCH('Overton Borough Overview'!F$65,Stock!$A$3:$T$3,0)),0)</f>
        <v/>
      </c>
      <c r="G86" s="136">
        <f>IFERROR(INDEX(Stock!$A$3:$T$90,MATCH('Overton Borough Overview'!$A86,Stock!$A$3:$A$90,0),MATCH('Overton Borough Overview'!G$65,Stock!$A$3:$T$3,0)),0)</f>
        <v/>
      </c>
      <c r="H86" s="10" t="n"/>
    </row>
    <row r="87">
      <c r="A87" s="15" t="inlineStr">
        <is>
          <t>Pigs</t>
        </is>
      </c>
      <c r="B87" s="136">
        <f>IFERROR(INDEX(Stock!$A$3:$T$90,MATCH('Overton Borough Overview'!$A87,Stock!$A$3:$A$90,0),MATCH('Overton Borough Overview'!B$65,Stock!$A$3:$T$3,0)),0)</f>
        <v/>
      </c>
      <c r="C87" s="136">
        <f>IFERROR(INDEX(Stock!$A$3:$T$90,MATCH('Overton Borough Overview'!$A87,Stock!$A$3:$A$90,0),MATCH('Overton Borough Overview'!C$65,Stock!$A$3:$T$3,0)),0)</f>
        <v/>
      </c>
      <c r="D87" s="136">
        <f>C87-B87</f>
        <v/>
      </c>
      <c r="E87" s="133" t="n"/>
      <c r="F87" s="136">
        <f>IFERROR(INDEX(Stock!$A$3:$T$90,MATCH('Overton Borough Overview'!$A87,Stock!$A$3:$A$90,0),MATCH('Overton Borough Overview'!F$65,Stock!$A$3:$T$3,0)),0)</f>
        <v/>
      </c>
      <c r="G87" s="136">
        <f>IFERROR(INDEX(Stock!$A$3:$T$90,MATCH('Overton Borough Overview'!$A87,Stock!$A$3:$A$90,0),MATCH('Overton Borough Overview'!G$65,Stock!$A$3:$T$3,0)),0)</f>
        <v/>
      </c>
      <c r="H87" s="10" t="n"/>
    </row>
    <row r="88">
      <c r="A88" s="15" t="inlineStr">
        <is>
          <t>Hoggets</t>
        </is>
      </c>
      <c r="B88" s="136">
        <f>IFERROR(INDEX(Stock!$A$3:$T$90,MATCH('Overton Borough Overview'!$A88,Stock!$A$3:$A$90,0),MATCH('Overton Borough Overview'!B$65,Stock!$A$3:$T$3,0)),0)</f>
        <v/>
      </c>
      <c r="C88" s="136">
        <f>IFERROR(INDEX(Stock!$A$3:$T$90,MATCH('Overton Borough Overview'!$A88,Stock!$A$3:$A$90,0),MATCH('Overton Borough Overview'!C$65,Stock!$A$3:$T$3,0)),0)</f>
        <v/>
      </c>
      <c r="D88" s="136">
        <f>C88-B88</f>
        <v/>
      </c>
      <c r="E88" s="133" t="n"/>
      <c r="F88" s="136">
        <f>IFERROR(INDEX(Stock!$A$3:$T$90,MATCH('Overton Borough Overview'!$A88,Stock!$A$3:$A$90,0),MATCH('Overton Borough Overview'!F$65,Stock!$A$3:$T$3,0)),0)</f>
        <v/>
      </c>
      <c r="G88" s="136">
        <f>IFERROR(INDEX(Stock!$A$3:$T$90,MATCH('Overton Borough Overview'!$A88,Stock!$A$3:$A$90,0),MATCH('Overton Borough Overview'!G$65,Stock!$A$3:$T$3,0)),0)</f>
        <v/>
      </c>
      <c r="H88" s="10" t="n"/>
    </row>
    <row r="89">
      <c r="A89" s="15" t="inlineStr">
        <is>
          <t>Piglets</t>
        </is>
      </c>
      <c r="B89" s="136">
        <f>IFERROR(INDEX(Stock!$A$3:$T$90,MATCH('Overton Borough Overview'!$A89,Stock!$A$3:$A$90,0),MATCH('Overton Borough Overview'!B$65,Stock!$A$3:$T$3,0)),0)</f>
        <v/>
      </c>
      <c r="C89" s="136">
        <f>IFERROR(INDEX(Stock!$A$3:$T$90,MATCH('Overton Borough Overview'!$A89,Stock!$A$3:$A$90,0),MATCH('Overton Borough Overview'!C$65,Stock!$A$3:$T$3,0)),0)</f>
        <v/>
      </c>
      <c r="D89" s="136">
        <f>C89-B89</f>
        <v/>
      </c>
      <c r="E89" s="133" t="n"/>
      <c r="F89" s="136">
        <f>IFERROR(INDEX(Stock!$A$3:$T$90,MATCH('Overton Borough Overview'!$A89,Stock!$A$3:$A$90,0),MATCH('Overton Borough Overview'!F$65,Stock!$A$3:$T$3,0)),0)</f>
        <v/>
      </c>
      <c r="G89" s="136">
        <f>IFERROR(INDEX(Stock!$A$3:$T$90,MATCH('Overton Borough Overview'!$A89,Stock!$A$3:$A$90,0),MATCH('Overton Borough Overview'!G$65,Stock!$A$3:$T$3,0)),0)</f>
        <v/>
      </c>
      <c r="H89" s="10" t="n"/>
    </row>
    <row r="90">
      <c r="A90" s="15" t="inlineStr">
        <is>
          <t>Swans</t>
        </is>
      </c>
      <c r="B90" s="136">
        <f>IFERROR(INDEX(Stock!$A$3:$T$90,MATCH('Overton Borough Overview'!$A90,Stock!$A$3:$A$90,0),MATCH('Overton Borough Overview'!B$65,Stock!$A$3:$T$3,0)),0)</f>
        <v/>
      </c>
      <c r="C90" s="136">
        <f>IFERROR(INDEX(Stock!$A$3:$T$90,MATCH('Overton Borough Overview'!$A90,Stock!$A$3:$A$90,0),MATCH('Overton Borough Overview'!C$65,Stock!$A$3:$T$3,0)),0)</f>
        <v/>
      </c>
      <c r="D90" s="136">
        <f>C90-B90</f>
        <v/>
      </c>
      <c r="E90" s="133" t="n"/>
      <c r="F90" s="136">
        <f>IFERROR(INDEX(Stock!$A$3:$T$90,MATCH('Overton Borough Overview'!$A90,Stock!$A$3:$A$90,0),MATCH('Overton Borough Overview'!F$65,Stock!$A$3:$T$3,0)),0)</f>
        <v/>
      </c>
      <c r="G90" s="136">
        <f>IFERROR(INDEX(Stock!$A$3:$T$90,MATCH('Overton Borough Overview'!$A90,Stock!$A$3:$A$90,0),MATCH('Overton Borough Overview'!G$65,Stock!$A$3:$T$3,0)),0)</f>
        <v/>
      </c>
      <c r="H90" s="10" t="n"/>
    </row>
    <row r="91">
      <c r="A91" s="15" t="inlineStr">
        <is>
          <t>Peacocks</t>
        </is>
      </c>
      <c r="B91" s="136">
        <f>IFERROR(INDEX(Stock!$A$3:$T$90,MATCH('Overton Borough Overview'!$A91,Stock!$A$3:$A$90,0),MATCH('Overton Borough Overview'!B$65,Stock!$A$3:$T$3,0)),0)</f>
        <v/>
      </c>
      <c r="C91" s="136">
        <f>IFERROR(INDEX(Stock!$A$3:$T$90,MATCH('Overton Borough Overview'!$A91,Stock!$A$3:$A$90,0),MATCH('Overton Borough Overview'!C$65,Stock!$A$3:$T$3,0)),0)</f>
        <v/>
      </c>
      <c r="D91" s="136">
        <f>C91-B91</f>
        <v/>
      </c>
      <c r="E91" s="133" t="n"/>
      <c r="F91" s="136">
        <f>IFERROR(INDEX(Stock!$A$3:$T$90,MATCH('Overton Borough Overview'!$A91,Stock!$A$3:$A$90,0),MATCH('Overton Borough Overview'!F$65,Stock!$A$3:$T$3,0)),0)</f>
        <v/>
      </c>
      <c r="G91" s="136">
        <f>IFERROR(INDEX(Stock!$A$3:$T$90,MATCH('Overton Borough Overview'!$A91,Stock!$A$3:$A$90,0),MATCH('Overton Borough Overview'!G$65,Stock!$A$3:$T$3,0)),0)</f>
        <v/>
      </c>
      <c r="H91" s="10" t="n"/>
    </row>
    <row r="92">
      <c r="A92" s="17" t="inlineStr">
        <is>
          <t>Total</t>
        </is>
      </c>
      <c r="B92" s="134" t="n"/>
      <c r="C92" s="134" t="n"/>
      <c r="D92" s="134" t="n"/>
      <c r="E92" s="134" t="n"/>
      <c r="F92" s="134" t="n"/>
      <c r="G92" s="140">
        <f>SUM(G66:G91)</f>
        <v/>
      </c>
      <c r="H92" s="10" t="n"/>
    </row>
    <row r="93">
      <c r="A93" s="17" t="inlineStr">
        <is>
          <t>Value of sales</t>
        </is>
      </c>
      <c r="B93" s="134" t="n"/>
      <c r="C93" s="134" t="n"/>
      <c r="D93" s="134" t="n"/>
      <c r="E93" s="134" t="n"/>
      <c r="F93" s="134" t="n"/>
      <c r="G93" s="140">
        <f>SUM(F66:F91)</f>
        <v/>
      </c>
      <c r="H93" s="10" t="n"/>
    </row>
    <row r="94">
      <c r="A94" s="15" t="n"/>
      <c r="B94" s="15" t="n"/>
      <c r="C94" s="15" t="n"/>
      <c r="D94" s="15" t="n"/>
      <c r="E94" s="15" t="n"/>
      <c r="F94" s="15" t="n"/>
      <c r="G94" s="133" t="n"/>
      <c r="H94" s="10" t="n"/>
    </row>
    <row r="95" ht="51" customHeight="1">
      <c r="A95" s="16" t="inlineStr">
        <is>
          <t>Wool</t>
        </is>
      </c>
      <c r="B95" s="149" t="inlineStr">
        <is>
          <t>Inherited stock</t>
        </is>
      </c>
      <c r="C95" s="149" t="inlineStr">
        <is>
          <t>End-period  stock</t>
        </is>
      </c>
      <c r="D95" s="150" t="inlineStr">
        <is>
          <t>Stockbuilding</t>
        </is>
      </c>
      <c r="E95" s="136" t="n"/>
      <c r="F95" s="151" t="inlineStr">
        <is>
          <t>Sales in (£)</t>
        </is>
      </c>
      <c r="G95" s="151" t="inlineStr">
        <is>
          <t>Value of production (£) at sales prices</t>
        </is>
      </c>
      <c r="H95" s="10" t="n"/>
    </row>
    <row r="96" ht="17" customHeight="1">
      <c r="A96" s="22" t="inlineStr">
        <is>
          <t>Fleeces</t>
        </is>
      </c>
      <c r="B96" s="136">
        <f>IFERROR(INDEX(Stock!$A$3:$T$90,MATCH('Overton Borough Overview'!$A96,Stock!$A$3:$A$90,0),MATCH('Overton Borough Overview'!B$65,Stock!$A$3:$T$3,0)),0)</f>
        <v/>
      </c>
      <c r="C96" s="136">
        <f>IFERROR(INDEX(Stock!$A$3:$T$90,MATCH('Overton Borough Overview'!$A96,Stock!$A$3:$A$90,0),MATCH('Overton Borough Overview'!C$65,Stock!$A$3:$T$3,0)),0)</f>
        <v/>
      </c>
      <c r="D96" s="136">
        <f>C96-B96</f>
        <v/>
      </c>
      <c r="F96" s="136">
        <f>IFERROR(INDEX(Stock!$A$3:$T$90,MATCH('Overton Borough Overview'!$A96,Stock!$A$3:$A$90,0),MATCH('Overton Borough Overview'!F$65,Stock!$A$3:$T$3,0)),0)</f>
        <v/>
      </c>
      <c r="G96" s="136">
        <f>IFERROR(INDEX(Stock!$A$3:$T$90,MATCH('Overton Borough Overview'!$A96,Stock!$A$3:$A$90,0),MATCH('Overton Borough Overview'!G$65,Stock!$A$3:$T$3,0)),0)</f>
        <v/>
      </c>
      <c r="H96" s="10" t="n"/>
    </row>
    <row r="97">
      <c r="A97" s="15" t="inlineStr">
        <is>
          <t>Coarse wool</t>
        </is>
      </c>
      <c r="B97" s="136">
        <f>IFERROR(INDEX(Stock!$A$3:$T$90,MATCH('Overton Borough Overview'!$A97,Stock!$A$3:$A$90,0),MATCH('Overton Borough Overview'!B$65,Stock!$A$3:$T$3,0)),0)</f>
        <v/>
      </c>
      <c r="C97" s="136">
        <f>IFERROR(INDEX(Stock!$A$3:$T$90,MATCH('Overton Borough Overview'!$A97,Stock!$A$3:$A$90,0),MATCH('Overton Borough Overview'!C$65,Stock!$A$3:$T$3,0)),0)</f>
        <v/>
      </c>
      <c r="D97" s="136">
        <f>C97-B97</f>
        <v/>
      </c>
      <c r="F97" s="136">
        <f>IFERROR(INDEX(Stock!$A$3:$T$90,MATCH('Overton Borough Overview'!$A97,Stock!$A$3:$A$90,0),MATCH('Overton Borough Overview'!F$65,Stock!$A$3:$T$3,0)),0)</f>
        <v/>
      </c>
      <c r="G97" s="136">
        <f>IFERROR(INDEX(Stock!$A$3:$T$90,MATCH('Overton Borough Overview'!$A97,Stock!$A$3:$A$90,0),MATCH('Overton Borough Overview'!G$65,Stock!$A$3:$T$3,0)),0)</f>
        <v/>
      </c>
      <c r="H97" s="10" t="n"/>
    </row>
    <row r="98">
      <c r="A98" s="15" t="inlineStr">
        <is>
          <t>Lamb's wool</t>
        </is>
      </c>
      <c r="B98" s="136">
        <f>IFERROR(INDEX(Stock!$A$3:$T$90,MATCH('Overton Borough Overview'!$A98,Stock!$A$3:$A$90,0),MATCH('Overton Borough Overview'!B$65,Stock!$A$3:$T$3,0)),0)</f>
        <v/>
      </c>
      <c r="C98" s="136">
        <f>IFERROR(INDEX(Stock!$A$3:$T$90,MATCH('Overton Borough Overview'!$A98,Stock!$A$3:$A$90,0),MATCH('Overton Borough Overview'!C$65,Stock!$A$3:$T$3,0)),0)</f>
        <v/>
      </c>
      <c r="D98" s="136">
        <f>C98-B98</f>
        <v/>
      </c>
      <c r="F98" s="136">
        <f>IFERROR(INDEX(Stock!$A$3:$T$90,MATCH('Overton Borough Overview'!$A98,Stock!$A$3:$A$90,0),MATCH('Overton Borough Overview'!F$65,Stock!$A$3:$T$3,0)),0)</f>
        <v/>
      </c>
      <c r="G98" s="136">
        <f>IFERROR(INDEX(Stock!$A$3:$T$90,MATCH('Overton Borough Overview'!$A98,Stock!$A$3:$A$90,0),MATCH('Overton Borough Overview'!G$65,Stock!$A$3:$T$3,0)),0)</f>
        <v/>
      </c>
      <c r="H98" s="10" t="n"/>
    </row>
    <row r="99">
      <c r="A99" s="15" t="inlineStr">
        <is>
          <t>Wool locks</t>
        </is>
      </c>
      <c r="B99" s="136">
        <f>IFERROR(INDEX(Stock!$A$3:$T$90,MATCH('Overton Borough Overview'!$A99,Stock!$A$3:$A$90,0),MATCH('Overton Borough Overview'!B$65,Stock!$A$3:$T$3,0)),0)</f>
        <v/>
      </c>
      <c r="C99" s="136">
        <f>IFERROR(INDEX(Stock!$A$3:$T$90,MATCH('Overton Borough Overview'!$A99,Stock!$A$3:$A$90,0),MATCH('Overton Borough Overview'!C$65,Stock!$A$3:$T$3,0)),0)</f>
        <v/>
      </c>
      <c r="D99" s="136">
        <f>C99-B99</f>
        <v/>
      </c>
      <c r="F99" s="136">
        <f>IFERROR(INDEX(Stock!$A$3:$T$90,MATCH('Overton Borough Overview'!$A99,Stock!$A$3:$A$90,0),MATCH('Overton Borough Overview'!F$65,Stock!$A$3:$T$3,0)),0)</f>
        <v/>
      </c>
      <c r="G99" s="136">
        <f>IFERROR(INDEX(Stock!$A$3:$T$90,MATCH('Overton Borough Overview'!$A99,Stock!$A$3:$A$90,0),MATCH('Overton Borough Overview'!G$65,Stock!$A$3:$T$3,0)),0)</f>
        <v/>
      </c>
      <c r="H99" s="10" t="n"/>
    </row>
    <row r="100">
      <c r="A100" s="15" t="inlineStr">
        <is>
          <t>Wool sold at shearing</t>
        </is>
      </c>
      <c r="B100" s="136">
        <f>IFERROR(INDEX(Stock!$A$3:$T$90,MATCH('Overton Borough Overview'!$A100,Stock!$A$3:$A$90,0),MATCH('Overton Borough Overview'!B$65,Stock!$A$3:$T$3,0)),0)</f>
        <v/>
      </c>
      <c r="C100" s="136">
        <f>IFERROR(INDEX(Stock!$A$3:$T$90,MATCH('Overton Borough Overview'!$A100,Stock!$A$3:$A$90,0),MATCH('Overton Borough Overview'!C$65,Stock!$A$3:$T$3,0)),0)</f>
        <v/>
      </c>
      <c r="D100" s="136">
        <f>C100-B100</f>
        <v/>
      </c>
      <c r="F100" s="136">
        <f>IFERROR(INDEX(Stock!$A$3:$T$90,MATCH('Overton Borough Overview'!$A100,Stock!$A$3:$A$90,0),MATCH('Overton Borough Overview'!F$65,Stock!$A$3:$T$3,0)),0)</f>
        <v/>
      </c>
      <c r="G100" s="136">
        <f>IFERROR(INDEX(Stock!$A$3:$T$90,MATCH('Overton Borough Overview'!$A100,Stock!$A$3:$A$90,0),MATCH('Overton Borough Overview'!G$65,Stock!$A$3:$T$3,0)),0)</f>
        <v/>
      </c>
      <c r="H100" s="10" t="n"/>
    </row>
    <row r="101">
      <c r="A101" s="17" t="inlineStr">
        <is>
          <t>Total value of production (sum of the above)</t>
        </is>
      </c>
      <c r="B101" s="134" t="n"/>
      <c r="C101" s="134" t="n"/>
      <c r="D101" s="134" t="n"/>
      <c r="E101" s="134" t="n"/>
      <c r="F101" s="134" t="n"/>
      <c r="G101" s="140">
        <f>SUM(G96:G100)</f>
        <v/>
      </c>
      <c r="H101" s="10" t="n"/>
    </row>
    <row r="102">
      <c r="A102" s="17" t="inlineStr">
        <is>
          <t>Value of sales</t>
        </is>
      </c>
      <c r="B102" s="134" t="n"/>
      <c r="C102" s="134" t="n"/>
      <c r="D102" s="134" t="n"/>
      <c r="E102" s="134" t="n"/>
      <c r="F102" s="134" t="n"/>
      <c r="G102" s="140">
        <f>SUM(F96:F100)</f>
        <v/>
      </c>
      <c r="H102" s="10" t="n"/>
    </row>
    <row r="103">
      <c r="A103" s="8" t="n"/>
      <c r="B103" s="15" t="n"/>
      <c r="C103" s="15" t="n"/>
      <c r="D103" s="15" t="n"/>
      <c r="E103" s="15" t="n"/>
      <c r="F103" s="15" t="n"/>
      <c r="G103" s="133" t="n"/>
      <c r="H103" s="10" t="n"/>
    </row>
    <row r="104" ht="51" customHeight="1">
      <c r="A104" s="16" t="inlineStr">
        <is>
          <t>Hides</t>
        </is>
      </c>
      <c r="B104" s="149" t="inlineStr">
        <is>
          <t>Inherited stock</t>
        </is>
      </c>
      <c r="C104" s="149" t="inlineStr">
        <is>
          <t>End-period  stock</t>
        </is>
      </c>
      <c r="D104" s="150" t="inlineStr">
        <is>
          <t>Stockbuilding</t>
        </is>
      </c>
      <c r="E104" s="136" t="n"/>
      <c r="F104" s="151" t="inlineStr">
        <is>
          <t>Sales in (£)</t>
        </is>
      </c>
      <c r="G104" s="151" t="inlineStr">
        <is>
          <t>Value of production (£) at sales prices</t>
        </is>
      </c>
      <c r="H104" s="10" t="n"/>
    </row>
    <row r="105">
      <c r="A105" s="15" t="inlineStr">
        <is>
          <t>Ox hides</t>
        </is>
      </c>
      <c r="B105" s="136">
        <f>IFERROR(INDEX(Stock!$A$3:$T$90,MATCH('Overton Borough Overview'!$A105,Stock!$A$3:$A$90,0),MATCH('Overton Borough Overview'!B$65,Stock!$A$3:$T$3,0)),0)</f>
        <v/>
      </c>
      <c r="C105" s="136">
        <f>IFERROR(INDEX(Stock!$A$3:$T$90,MATCH('Overton Borough Overview'!$A105,Stock!$A$3:$A$90,0),MATCH('Overton Borough Overview'!C$65,Stock!$A$3:$T$3,0)),0)</f>
        <v/>
      </c>
      <c r="D105" s="136">
        <f>C105-B105</f>
        <v/>
      </c>
      <c r="E105" s="15" t="n"/>
      <c r="F105" s="136">
        <f>IFERROR(INDEX(Stock!$A$3:$T$90,MATCH('Overton Borough Overview'!$A105,Stock!$A$3:$A$90,0),MATCH('Overton Borough Overview'!F$65,Stock!$A$3:$T$3,0)),0)</f>
        <v/>
      </c>
      <c r="G105" s="136">
        <f>IFERROR(INDEX(Stock!$A$3:$T$90,MATCH('Overton Borough Overview'!$A105,Stock!$A$3:$A$90,0),MATCH('Overton Borough Overview'!G$65,Stock!$A$3:$T$3,0)),0)</f>
        <v/>
      </c>
      <c r="H105" s="10" t="n"/>
    </row>
    <row r="106">
      <c r="A106" s="15" t="inlineStr">
        <is>
          <t>Cow hides</t>
        </is>
      </c>
      <c r="B106" s="136">
        <f>IFERROR(INDEX(Stock!$A$3:$T$90,MATCH('Overton Borough Overview'!$A106,Stock!$A$3:$A$90,0),MATCH('Overton Borough Overview'!B$65,Stock!$A$3:$T$3,0)),0)</f>
        <v/>
      </c>
      <c r="C106" s="136">
        <f>IFERROR(INDEX(Stock!$A$3:$T$90,MATCH('Overton Borough Overview'!$A106,Stock!$A$3:$A$90,0),MATCH('Overton Borough Overview'!C$65,Stock!$A$3:$T$3,0)),0)</f>
        <v/>
      </c>
      <c r="D106" s="136">
        <f>C106-B106</f>
        <v/>
      </c>
      <c r="E106" s="15" t="n"/>
      <c r="F106" s="136">
        <f>IFERROR(INDEX(Stock!$A$3:$T$90,MATCH('Overton Borough Overview'!$A106,Stock!$A$3:$A$90,0),MATCH('Overton Borough Overview'!F$65,Stock!$A$3:$T$3,0)),0)</f>
        <v/>
      </c>
      <c r="G106" s="136">
        <f>IFERROR(INDEX(Stock!$A$3:$T$90,MATCH('Overton Borough Overview'!$A106,Stock!$A$3:$A$90,0),MATCH('Overton Borough Overview'!G$65,Stock!$A$3:$T$3,0)),0)</f>
        <v/>
      </c>
      <c r="H106" s="10" t="n"/>
    </row>
    <row r="107">
      <c r="A107" s="15" t="inlineStr">
        <is>
          <t>Mare hides</t>
        </is>
      </c>
      <c r="B107" s="136">
        <f>IFERROR(INDEX(Stock!$A$3:$T$90,MATCH('Overton Borough Overview'!$A107,Stock!$A$3:$A$90,0),MATCH('Overton Borough Overview'!B$65,Stock!$A$3:$T$3,0)),0)</f>
        <v/>
      </c>
      <c r="C107" s="136">
        <f>IFERROR(INDEX(Stock!$A$3:$T$90,MATCH('Overton Borough Overview'!$A107,Stock!$A$3:$A$90,0),MATCH('Overton Borough Overview'!C$65,Stock!$A$3:$T$3,0)),0)</f>
        <v/>
      </c>
      <c r="D107" s="136">
        <f>C107-B107</f>
        <v/>
      </c>
      <c r="E107" s="15" t="n"/>
      <c r="F107" s="136">
        <f>IFERROR(INDEX(Stock!$A$3:$T$90,MATCH('Overton Borough Overview'!$A107,Stock!$A$3:$A$90,0),MATCH('Overton Borough Overview'!F$65,Stock!$A$3:$T$3,0)),0)</f>
        <v/>
      </c>
      <c r="G107" s="136">
        <f>IFERROR(INDEX(Stock!$A$3:$T$90,MATCH('Overton Borough Overview'!$A107,Stock!$A$3:$A$90,0),MATCH('Overton Borough Overview'!G$65,Stock!$A$3:$T$3,0)),0)</f>
        <v/>
      </c>
      <c r="H107" s="10" t="n"/>
    </row>
    <row r="108">
      <c r="A108" s="15" t="inlineStr">
        <is>
          <t>Steer hides</t>
        </is>
      </c>
      <c r="B108" s="136">
        <f>IFERROR(INDEX(Stock!$A$3:$T$90,MATCH('Overton Borough Overview'!$A108,Stock!$A$3:$A$90,0),MATCH('Overton Borough Overview'!B$65,Stock!$A$3:$T$3,0)),0)</f>
        <v/>
      </c>
      <c r="C108" s="136">
        <f>IFERROR(INDEX(Stock!$A$3:$T$90,MATCH('Overton Borough Overview'!$A108,Stock!$A$3:$A$90,0),MATCH('Overton Borough Overview'!C$65,Stock!$A$3:$T$3,0)),0)</f>
        <v/>
      </c>
      <c r="D108" s="136">
        <f>C108-B108</f>
        <v/>
      </c>
      <c r="E108" s="15" t="n"/>
      <c r="F108" s="136">
        <f>IFERROR(INDEX(Stock!$A$3:$T$90,MATCH('Overton Borough Overview'!$A108,Stock!$A$3:$A$90,0),MATCH('Overton Borough Overview'!F$65,Stock!$A$3:$T$3,0)),0)</f>
        <v/>
      </c>
      <c r="G108" s="136">
        <f>IFERROR(INDEX(Stock!$A$3:$T$90,MATCH('Overton Borough Overview'!$A108,Stock!$A$3:$A$90,0),MATCH('Overton Borough Overview'!G$65,Stock!$A$3:$T$3,0)),0)</f>
        <v/>
      </c>
      <c r="H108" s="10" t="n"/>
    </row>
    <row r="109">
      <c r="A109" s="15" t="inlineStr">
        <is>
          <t>Yearling Calf hides</t>
        </is>
      </c>
      <c r="B109" s="136">
        <f>IFERROR(INDEX(Stock!$A$3:$T$90,MATCH('Overton Borough Overview'!$A109,Stock!$A$3:$A$90,0),MATCH('Overton Borough Overview'!B$65,Stock!$A$3:$T$3,0)),0)</f>
        <v/>
      </c>
      <c r="C109" s="136">
        <f>IFERROR(INDEX(Stock!$A$3:$T$90,MATCH('Overton Borough Overview'!$A109,Stock!$A$3:$A$90,0),MATCH('Overton Borough Overview'!C$65,Stock!$A$3:$T$3,0)),0)</f>
        <v/>
      </c>
      <c r="D109" s="136">
        <f>C109-B109</f>
        <v/>
      </c>
      <c r="E109" s="15" t="n"/>
      <c r="F109" s="136">
        <f>IFERROR(INDEX(Stock!$A$3:$T$90,MATCH('Overton Borough Overview'!$A109,Stock!$A$3:$A$90,0),MATCH('Overton Borough Overview'!F$65,Stock!$A$3:$T$3,0)),0)</f>
        <v/>
      </c>
      <c r="G109" s="136">
        <f>IFERROR(INDEX(Stock!$A$3:$T$90,MATCH('Overton Borough Overview'!$A109,Stock!$A$3:$A$90,0),MATCH('Overton Borough Overview'!G$65,Stock!$A$3:$T$3,0)),0)</f>
        <v/>
      </c>
      <c r="H109" s="10" t="n"/>
    </row>
    <row r="110">
      <c r="A110" s="15" t="inlineStr">
        <is>
          <t>Calf hides</t>
        </is>
      </c>
      <c r="B110" s="136">
        <f>IFERROR(INDEX(Stock!$A$3:$T$90,MATCH('Overton Borough Overview'!$A110,Stock!$A$3:$A$90,0),MATCH('Overton Borough Overview'!B$65,Stock!$A$3:$T$3,0)),0)</f>
        <v/>
      </c>
      <c r="C110" s="136">
        <f>IFERROR(INDEX(Stock!$A$3:$T$90,MATCH('Overton Borough Overview'!$A110,Stock!$A$3:$A$90,0),MATCH('Overton Borough Overview'!C$65,Stock!$A$3:$T$3,0)),0)</f>
        <v/>
      </c>
      <c r="D110" s="136">
        <f>C110-B110</f>
        <v/>
      </c>
      <c r="E110" s="15" t="n"/>
      <c r="F110" s="136">
        <f>IFERROR(INDEX(Stock!$A$3:$T$90,MATCH('Overton Borough Overview'!$A110,Stock!$A$3:$A$90,0),MATCH('Overton Borough Overview'!F$65,Stock!$A$3:$T$3,0)),0)</f>
        <v/>
      </c>
      <c r="G110" s="136">
        <f>IFERROR(INDEX(Stock!$A$3:$T$90,MATCH('Overton Borough Overview'!$A110,Stock!$A$3:$A$90,0),MATCH('Overton Borough Overview'!G$65,Stock!$A$3:$T$3,0)),0)</f>
        <v/>
      </c>
      <c r="H110" s="10" t="n"/>
    </row>
    <row r="111">
      <c r="A111" s="23" t="inlineStr">
        <is>
          <t>Pig hides</t>
        </is>
      </c>
      <c r="B111" s="136">
        <f>IFERROR(INDEX(Stock!$A$3:$T$90,MATCH('Overton Borough Overview'!$A111,Stock!$A$3:$A$90,0),MATCH('Overton Borough Overview'!B$65,Stock!$A$3:$T$3,0)),0)</f>
        <v/>
      </c>
      <c r="C111" s="136">
        <f>IFERROR(INDEX(Stock!$A$3:$T$90,MATCH('Overton Borough Overview'!$A111,Stock!$A$3:$A$90,0),MATCH('Overton Borough Overview'!C$65,Stock!$A$3:$T$3,0)),0)</f>
        <v/>
      </c>
      <c r="D111" s="136">
        <f>C111-B111</f>
        <v/>
      </c>
      <c r="E111" s="15" t="n"/>
      <c r="F111" s="136">
        <f>IFERROR(INDEX(Stock!$A$3:$T$90,MATCH('Overton Borough Overview'!$A111,Stock!$A$3:$A$90,0),MATCH('Overton Borough Overview'!F$65,Stock!$A$3:$T$3,0)),0)</f>
        <v/>
      </c>
      <c r="G111" s="136">
        <f>IFERROR(INDEX(Stock!$A$3:$T$90,MATCH('Overton Borough Overview'!$A111,Stock!$A$3:$A$90,0),MATCH('Overton Borough Overview'!G$65,Stock!$A$3:$T$3,0)),0)</f>
        <v/>
      </c>
      <c r="H111" s="10" t="n"/>
    </row>
    <row r="112">
      <c r="A112" s="24" t="inlineStr">
        <is>
          <t>Weather woolskins</t>
        </is>
      </c>
      <c r="B112" s="136">
        <f>IFERROR(INDEX(Stock!$A$3:$T$90,MATCH('Overton Borough Overview'!$A112,Stock!$A$3:$A$90,0),MATCH('Overton Borough Overview'!B$65,Stock!$A$3:$T$3,0)),0)</f>
        <v/>
      </c>
      <c r="C112" s="136">
        <f>IFERROR(INDEX(Stock!$A$3:$T$90,MATCH('Overton Borough Overview'!$A112,Stock!$A$3:$A$90,0),MATCH('Overton Borough Overview'!C$65,Stock!$A$3:$T$3,0)),0)</f>
        <v/>
      </c>
      <c r="D112" s="136">
        <f>C112-B112</f>
        <v/>
      </c>
      <c r="E112" s="15" t="n"/>
      <c r="F112" s="136">
        <f>IFERROR(INDEX(Stock!$A$3:$T$90,MATCH('Overton Borough Overview'!$A112,Stock!$A$3:$A$90,0),MATCH('Overton Borough Overview'!F$65,Stock!$A$3:$T$3,0)),0)</f>
        <v/>
      </c>
      <c r="G112" s="136">
        <f>IFERROR(INDEX(Stock!$A$3:$T$90,MATCH('Overton Borough Overview'!$A112,Stock!$A$3:$A$90,0),MATCH('Overton Borough Overview'!G$65,Stock!$A$3:$T$3,0)),0)</f>
        <v/>
      </c>
      <c r="H112" s="10" t="n"/>
    </row>
    <row r="113">
      <c r="A113" s="24" t="inlineStr">
        <is>
          <t>Ram woolskins</t>
        </is>
      </c>
      <c r="B113" s="136">
        <f>IFERROR(INDEX(Stock!$A$3:$T$90,MATCH('Overton Borough Overview'!$A113,Stock!$A$3:$A$90,0),MATCH('Overton Borough Overview'!B$65,Stock!$A$3:$T$3,0)),0)</f>
        <v/>
      </c>
      <c r="C113" s="136">
        <f>IFERROR(INDEX(Stock!$A$3:$T$90,MATCH('Overton Borough Overview'!$A113,Stock!$A$3:$A$90,0),MATCH('Overton Borough Overview'!C$65,Stock!$A$3:$T$3,0)),0)</f>
        <v/>
      </c>
      <c r="D113" s="136">
        <f>C113-B113</f>
        <v/>
      </c>
      <c r="E113" s="15" t="n"/>
      <c r="F113" s="136">
        <f>IFERROR(INDEX(Stock!$A$3:$T$90,MATCH('Overton Borough Overview'!$A113,Stock!$A$3:$A$90,0),MATCH('Overton Borough Overview'!F$65,Stock!$A$3:$T$3,0)),0)</f>
        <v/>
      </c>
      <c r="G113" s="136">
        <f>IFERROR(INDEX(Stock!$A$3:$T$90,MATCH('Overton Borough Overview'!$A113,Stock!$A$3:$A$90,0),MATCH('Overton Borough Overview'!G$65,Stock!$A$3:$T$3,0)),0)</f>
        <v/>
      </c>
      <c r="H113" s="10" t="n"/>
    </row>
    <row r="114">
      <c r="A114" s="24" t="inlineStr">
        <is>
          <t>Ewe woolskins</t>
        </is>
      </c>
      <c r="B114" s="136">
        <f>IFERROR(INDEX(Stock!$A$3:$T$90,MATCH('Overton Borough Overview'!$A114,Stock!$A$3:$A$90,0),MATCH('Overton Borough Overview'!B$65,Stock!$A$3:$T$3,0)),0)</f>
        <v/>
      </c>
      <c r="C114" s="136">
        <f>IFERROR(INDEX(Stock!$A$3:$T$90,MATCH('Overton Borough Overview'!$A114,Stock!$A$3:$A$90,0),MATCH('Overton Borough Overview'!C$65,Stock!$A$3:$T$3,0)),0)</f>
        <v/>
      </c>
      <c r="D114" s="136">
        <f>C114-B114</f>
        <v/>
      </c>
      <c r="E114" s="15" t="n"/>
      <c r="F114" s="136">
        <f>IFERROR(INDEX(Stock!$A$3:$T$90,MATCH('Overton Borough Overview'!$A114,Stock!$A$3:$A$90,0),MATCH('Overton Borough Overview'!F$65,Stock!$A$3:$T$3,0)),0)</f>
        <v/>
      </c>
      <c r="G114" s="136">
        <f>IFERROR(INDEX(Stock!$A$3:$T$90,MATCH('Overton Borough Overview'!$A114,Stock!$A$3:$A$90,0),MATCH('Overton Borough Overview'!G$65,Stock!$A$3:$T$3,0)),0)</f>
        <v/>
      </c>
      <c r="H114" s="10" t="n"/>
    </row>
    <row r="115">
      <c r="A115" s="24" t="inlineStr">
        <is>
          <t>Hogg woolskins</t>
        </is>
      </c>
      <c r="B115" s="136">
        <f>IFERROR(INDEX(Stock!$A$3:$T$90,MATCH('Overton Borough Overview'!$A115,Stock!$A$3:$A$90,0),MATCH('Overton Borough Overview'!B$65,Stock!$A$3:$T$3,0)),0)</f>
        <v/>
      </c>
      <c r="C115" s="136">
        <f>IFERROR(INDEX(Stock!$A$3:$T$90,MATCH('Overton Borough Overview'!$A115,Stock!$A$3:$A$90,0),MATCH('Overton Borough Overview'!C$65,Stock!$A$3:$T$3,0)),0)</f>
        <v/>
      </c>
      <c r="D115" s="136">
        <f>C115-B115</f>
        <v/>
      </c>
      <c r="E115" s="15" t="n"/>
      <c r="F115" s="136">
        <f>IFERROR(INDEX(Stock!$A$3:$T$90,MATCH('Overton Borough Overview'!$A115,Stock!$A$3:$A$90,0),MATCH('Overton Borough Overview'!F$65,Stock!$A$3:$T$3,0)),0)</f>
        <v/>
      </c>
      <c r="G115" s="136">
        <f>IFERROR(INDEX(Stock!$A$3:$T$90,MATCH('Overton Borough Overview'!$A115,Stock!$A$3:$A$90,0),MATCH('Overton Borough Overview'!G$65,Stock!$A$3:$T$3,0)),0)</f>
        <v/>
      </c>
      <c r="H115" s="10" t="n"/>
    </row>
    <row r="116">
      <c r="A116" s="25" t="inlineStr">
        <is>
          <t>Woolskins (total)</t>
        </is>
      </c>
      <c r="B116" s="136">
        <f>IFERROR(INDEX(Stock!$A$3:$T$90,MATCH('Overton Borough Overview'!$A116,Stock!$A$3:$A$90,0),MATCH('Overton Borough Overview'!B$65,Stock!$A$3:$T$3,0)),0)</f>
        <v/>
      </c>
      <c r="C116" s="136">
        <f>IFERROR(INDEX(Stock!$A$3:$T$90,MATCH('Overton Borough Overview'!$A116,Stock!$A$3:$A$90,0),MATCH('Overton Borough Overview'!C$65,Stock!$A$3:$T$3,0)),0)</f>
        <v/>
      </c>
      <c r="D116" s="136">
        <f>C116-B116</f>
        <v/>
      </c>
      <c r="E116" s="15" t="n"/>
      <c r="F116" s="136">
        <f>IFERROR(INDEX(Stock!$A$3:$T$90,MATCH('Overton Borough Overview'!$A116,Stock!$A$3:$A$90,0),MATCH('Overton Borough Overview'!F$65,Stock!$A$3:$T$3,0)),0)</f>
        <v/>
      </c>
      <c r="G116" s="136">
        <f>IFERROR(INDEX(Stock!$A$3:$T$90,MATCH('Overton Borough Overview'!$A116,Stock!$A$3:$A$90,0),MATCH('Overton Borough Overview'!G$65,Stock!$A$3:$T$3,0)),0)</f>
        <v/>
      </c>
      <c r="H116" s="10" t="n"/>
    </row>
    <row r="117">
      <c r="A117" s="24" t="inlineStr">
        <is>
          <t>Wether bareskins</t>
        </is>
      </c>
      <c r="B117" s="136">
        <f>IFERROR(INDEX(Stock!$A$3:$T$90,MATCH('Overton Borough Overview'!$A117,Stock!$A$3:$A$90,0),MATCH('Overton Borough Overview'!B$65,Stock!$A$3:$T$3,0)),0)</f>
        <v/>
      </c>
      <c r="C117" s="136">
        <f>IFERROR(INDEX(Stock!$A$3:$T$90,MATCH('Overton Borough Overview'!$A117,Stock!$A$3:$A$90,0),MATCH('Overton Borough Overview'!C$65,Stock!$A$3:$T$3,0)),0)</f>
        <v/>
      </c>
      <c r="D117" s="136">
        <f>C117-B117</f>
        <v/>
      </c>
      <c r="E117" s="15" t="n"/>
      <c r="F117" s="136">
        <f>IFERROR(INDEX(Stock!$A$3:$T$90,MATCH('Overton Borough Overview'!$A117,Stock!$A$3:$A$90,0),MATCH('Overton Borough Overview'!F$65,Stock!$A$3:$T$3,0)),0)</f>
        <v/>
      </c>
      <c r="G117" s="136">
        <f>IFERROR(INDEX(Stock!$A$3:$T$90,MATCH('Overton Borough Overview'!$A117,Stock!$A$3:$A$90,0),MATCH('Overton Borough Overview'!G$65,Stock!$A$3:$T$3,0)),0)</f>
        <v/>
      </c>
      <c r="H117" s="10" t="n"/>
    </row>
    <row r="118">
      <c r="A118" s="24" t="inlineStr">
        <is>
          <t>Ram bareskins</t>
        </is>
      </c>
      <c r="B118" s="136">
        <f>IFERROR(INDEX(Stock!$A$3:$T$90,MATCH('Overton Borough Overview'!$A118,Stock!$A$3:$A$90,0),MATCH('Overton Borough Overview'!B$65,Stock!$A$3:$T$3,0)),0)</f>
        <v/>
      </c>
      <c r="C118" s="136">
        <f>IFERROR(INDEX(Stock!$A$3:$T$90,MATCH('Overton Borough Overview'!$A118,Stock!$A$3:$A$90,0),MATCH('Overton Borough Overview'!C$65,Stock!$A$3:$T$3,0)),0)</f>
        <v/>
      </c>
      <c r="D118" s="136">
        <f>C118-B118</f>
        <v/>
      </c>
      <c r="E118" s="15" t="n"/>
      <c r="F118" s="136">
        <f>IFERROR(INDEX(Stock!$A$3:$T$90,MATCH('Overton Borough Overview'!$A118,Stock!$A$3:$A$90,0),MATCH('Overton Borough Overview'!F$65,Stock!$A$3:$T$3,0)),0)</f>
        <v/>
      </c>
      <c r="G118" s="136">
        <f>IFERROR(INDEX(Stock!$A$3:$T$90,MATCH('Overton Borough Overview'!$A118,Stock!$A$3:$A$90,0),MATCH('Overton Borough Overview'!G$65,Stock!$A$3:$T$3,0)),0)</f>
        <v/>
      </c>
      <c r="H118" s="10" t="n"/>
    </row>
    <row r="119">
      <c r="A119" s="24" t="inlineStr">
        <is>
          <t>Ewe bareskins</t>
        </is>
      </c>
      <c r="B119" s="136">
        <f>IFERROR(INDEX(Stock!$A$3:$T$90,MATCH('Overton Borough Overview'!$A119,Stock!$A$3:$A$90,0),MATCH('Overton Borough Overview'!B$65,Stock!$A$3:$T$3,0)),0)</f>
        <v/>
      </c>
      <c r="C119" s="136">
        <f>IFERROR(INDEX(Stock!$A$3:$T$90,MATCH('Overton Borough Overview'!$A119,Stock!$A$3:$A$90,0),MATCH('Overton Borough Overview'!C$65,Stock!$A$3:$T$3,0)),0)</f>
        <v/>
      </c>
      <c r="D119" s="136">
        <f>C119-B119</f>
        <v/>
      </c>
      <c r="E119" s="15" t="n"/>
      <c r="F119" s="136">
        <f>IFERROR(INDEX(Stock!$A$3:$T$90,MATCH('Overton Borough Overview'!$A119,Stock!$A$3:$A$90,0),MATCH('Overton Borough Overview'!F$65,Stock!$A$3:$T$3,0)),0)</f>
        <v/>
      </c>
      <c r="G119" s="136">
        <f>IFERROR(INDEX(Stock!$A$3:$T$90,MATCH('Overton Borough Overview'!$A119,Stock!$A$3:$A$90,0),MATCH('Overton Borough Overview'!G$65,Stock!$A$3:$T$3,0)),0)</f>
        <v/>
      </c>
      <c r="H119" s="10" t="n"/>
    </row>
    <row r="120">
      <c r="A120" s="24" t="inlineStr">
        <is>
          <t>Hogg bareskins</t>
        </is>
      </c>
      <c r="B120" s="136">
        <f>IFERROR(INDEX(Stock!$A$3:$T$90,MATCH('Overton Borough Overview'!$A120,Stock!$A$3:$A$90,0),MATCH('Overton Borough Overview'!B$65,Stock!$A$3:$T$3,0)),0)</f>
        <v/>
      </c>
      <c r="C120" s="136">
        <f>IFERROR(INDEX(Stock!$A$3:$T$90,MATCH('Overton Borough Overview'!$A120,Stock!$A$3:$A$90,0),MATCH('Overton Borough Overview'!C$65,Stock!$A$3:$T$3,0)),0)</f>
        <v/>
      </c>
      <c r="D120" s="136">
        <f>C120-B120</f>
        <v/>
      </c>
      <c r="E120" s="15" t="n"/>
      <c r="F120" s="136">
        <f>IFERROR(INDEX(Stock!$A$3:$T$90,MATCH('Overton Borough Overview'!$A120,Stock!$A$3:$A$90,0),MATCH('Overton Borough Overview'!F$65,Stock!$A$3:$T$3,0)),0)</f>
        <v/>
      </c>
      <c r="G120" s="136">
        <f>IFERROR(INDEX(Stock!$A$3:$T$90,MATCH('Overton Borough Overview'!$A120,Stock!$A$3:$A$90,0),MATCH('Overton Borough Overview'!G$65,Stock!$A$3:$T$3,0)),0)</f>
        <v/>
      </c>
      <c r="H120" s="10" t="n"/>
    </row>
    <row r="121">
      <c r="A121" s="25" t="inlineStr">
        <is>
          <t>Bareskins (total)</t>
        </is>
      </c>
      <c r="B121" s="136">
        <f>IFERROR(INDEX(Stock!$A$3:$T$90,MATCH('Overton Borough Overview'!$A121,Stock!$A$3:$A$90,0),MATCH('Overton Borough Overview'!B$65,Stock!$A$3:$T$3,0)),0)</f>
        <v/>
      </c>
      <c r="C121" s="136">
        <f>IFERROR(INDEX(Stock!$A$3:$T$90,MATCH('Overton Borough Overview'!$A121,Stock!$A$3:$A$90,0),MATCH('Overton Borough Overview'!C$65,Stock!$A$3:$T$3,0)),0)</f>
        <v/>
      </c>
      <c r="D121" s="136">
        <f>C121-B121</f>
        <v/>
      </c>
      <c r="E121" s="15" t="n"/>
      <c r="F121" s="136">
        <f>IFERROR(INDEX(Stock!$A$3:$T$90,MATCH('Overton Borough Overview'!$A121,Stock!$A$3:$A$90,0),MATCH('Overton Borough Overview'!F$65,Stock!$A$3:$T$3,0)),0)</f>
        <v/>
      </c>
      <c r="G121" s="136">
        <f>IFERROR(INDEX(Stock!$A$3:$T$90,MATCH('Overton Borough Overview'!$A121,Stock!$A$3:$A$90,0),MATCH('Overton Borough Overview'!G$65,Stock!$A$3:$T$3,0)),0)</f>
        <v/>
      </c>
      <c r="H121" s="10" t="n"/>
    </row>
    <row r="122">
      <c r="A122" s="15" t="inlineStr">
        <is>
          <t>Lambskins</t>
        </is>
      </c>
      <c r="B122" s="136">
        <f>IFERROR(INDEX(Stock!$A$3:$T$90,MATCH('Overton Borough Overview'!$A122,Stock!$A$3:$A$90,0),MATCH('Overton Borough Overview'!B$65,Stock!$A$3:$T$3,0)),0)</f>
        <v/>
      </c>
      <c r="C122" s="136">
        <f>IFERROR(INDEX(Stock!$A$3:$T$90,MATCH('Overton Borough Overview'!$A122,Stock!$A$3:$A$90,0),MATCH('Overton Borough Overview'!C$65,Stock!$A$3:$T$3,0)),0)</f>
        <v/>
      </c>
      <c r="D122" s="136">
        <f>C122-B122</f>
        <v/>
      </c>
      <c r="E122" s="15" t="n"/>
      <c r="F122" s="136">
        <f>IFERROR(INDEX(Stock!$A$3:$T$90,MATCH('Overton Borough Overview'!$A122,Stock!$A$3:$A$90,0),MATCH('Overton Borough Overview'!F$65,Stock!$A$3:$T$3,0)),0)</f>
        <v/>
      </c>
      <c r="G122" s="136">
        <f>IFERROR(INDEX(Stock!$A$3:$T$90,MATCH('Overton Borough Overview'!$A122,Stock!$A$3:$A$90,0),MATCH('Overton Borough Overview'!G$65,Stock!$A$3:$T$3,0)),0)</f>
        <v/>
      </c>
      <c r="H122" s="10" t="n"/>
    </row>
    <row r="123">
      <c r="A123" s="15" t="inlineStr">
        <is>
          <t>Rotted skins</t>
        </is>
      </c>
      <c r="B123" s="136">
        <f>IFERROR(INDEX(Stock!$A$3:$T$90,MATCH('Overton Borough Overview'!$A123,Stock!$A$3:$A$90,0),MATCH('Overton Borough Overview'!B$65,Stock!$A$3:$T$3,0)),0)</f>
        <v/>
      </c>
      <c r="C123" s="136">
        <f>IFERROR(INDEX(Stock!$A$3:$T$90,MATCH('Overton Borough Overview'!$A123,Stock!$A$3:$A$90,0),MATCH('Overton Borough Overview'!C$65,Stock!$A$3:$T$3,0)),0)</f>
        <v/>
      </c>
      <c r="D123" s="136">
        <f>C123-B123</f>
        <v/>
      </c>
      <c r="E123" s="15" t="n"/>
      <c r="F123" s="136">
        <f>IFERROR(INDEX(Stock!$A$3:$T$90,MATCH('Overton Borough Overview'!$A123,Stock!$A$3:$A$90,0),MATCH('Overton Borough Overview'!F$65,Stock!$A$3:$T$3,0)),0)</f>
        <v/>
      </c>
      <c r="G123" s="136">
        <f>IFERROR(INDEX(Stock!$A$3:$T$90,MATCH('Overton Borough Overview'!$A123,Stock!$A$3:$A$90,0),MATCH('Overton Borough Overview'!G$65,Stock!$A$3:$T$3,0)),0)</f>
        <v/>
      </c>
      <c r="H123" s="10" t="n"/>
    </row>
    <row r="124">
      <c r="A124" s="15" t="inlineStr">
        <is>
          <t>Shorn skins</t>
        </is>
      </c>
      <c r="B124" s="136">
        <f>IFERROR(INDEX(Stock!$A$3:$T$90,MATCH('Overton Borough Overview'!$A124,Stock!$A$3:$A$90,0),MATCH('Overton Borough Overview'!B$65,Stock!$A$3:$T$3,0)),0)</f>
        <v/>
      </c>
      <c r="C124" s="136">
        <f>IFERROR(INDEX(Stock!$A$3:$T$90,MATCH('Overton Borough Overview'!$A124,Stock!$A$3:$A$90,0),MATCH('Overton Borough Overview'!C$65,Stock!$A$3:$T$3,0)),0)</f>
        <v/>
      </c>
      <c r="D124" s="136">
        <f>C124-B124</f>
        <v/>
      </c>
      <c r="E124" s="15" t="n"/>
      <c r="F124" s="136">
        <f>IFERROR(INDEX(Stock!$A$3:$T$90,MATCH('Overton Borough Overview'!$A124,Stock!$A$3:$A$90,0),MATCH('Overton Borough Overview'!F$65,Stock!$A$3:$T$3,0)),0)</f>
        <v/>
      </c>
      <c r="G124" s="136">
        <f>IFERROR(INDEX(Stock!$A$3:$T$90,MATCH('Overton Borough Overview'!$A124,Stock!$A$3:$A$90,0),MATCH('Overton Borough Overview'!G$65,Stock!$A$3:$T$3,0)),0)</f>
        <v/>
      </c>
      <c r="H124" s="10" t="n"/>
    </row>
    <row r="125">
      <c r="A125" s="17" t="inlineStr">
        <is>
          <t>Total value of production (sum of the above)</t>
        </is>
      </c>
      <c r="B125" s="134" t="n"/>
      <c r="C125" s="134" t="n"/>
      <c r="D125" s="134" t="n"/>
      <c r="E125" s="134" t="n"/>
      <c r="F125" s="134" t="n"/>
      <c r="G125" s="140">
        <f>SUM(G105:G124)</f>
        <v/>
      </c>
      <c r="H125" s="10" t="n"/>
    </row>
    <row r="126">
      <c r="A126" s="17" t="inlineStr">
        <is>
          <t>Value of sales</t>
        </is>
      </c>
      <c r="B126" s="134" t="n"/>
      <c r="C126" s="134" t="n"/>
      <c r="D126" s="134" t="n"/>
      <c r="E126" s="134" t="n"/>
      <c r="F126" s="134" t="n"/>
      <c r="G126" s="140">
        <f>SUM(F105:F124)</f>
        <v/>
      </c>
      <c r="H126" s="10" t="n"/>
    </row>
    <row r="127">
      <c r="A127" s="15" t="n"/>
      <c r="B127" s="15" t="n"/>
      <c r="C127" s="15" t="n"/>
      <c r="D127" s="15" t="n"/>
      <c r="E127" s="15" t="n"/>
      <c r="F127" s="15" t="n"/>
      <c r="G127" s="133" t="n"/>
      <c r="H127" s="10" t="n"/>
    </row>
    <row r="128" ht="51" customHeight="1">
      <c r="A128" s="16" t="inlineStr">
        <is>
          <t>Poultry stock</t>
        </is>
      </c>
      <c r="B128" s="149" t="inlineStr">
        <is>
          <t>Inherited stock</t>
        </is>
      </c>
      <c r="C128" s="149" t="inlineStr">
        <is>
          <t>End-period  stock</t>
        </is>
      </c>
      <c r="D128" s="150" t="inlineStr">
        <is>
          <t>Stockbuilding</t>
        </is>
      </c>
      <c r="E128" s="136" t="n"/>
      <c r="F128" s="151" t="inlineStr">
        <is>
          <t>Sales in (£)</t>
        </is>
      </c>
      <c r="G128" s="151" t="inlineStr">
        <is>
          <t>Value of production (£) at sales prices</t>
        </is>
      </c>
      <c r="H128" s="10" t="n"/>
    </row>
    <row r="129" ht="17" customHeight="1">
      <c r="A129" s="22" t="inlineStr">
        <is>
          <t>Hens</t>
        </is>
      </c>
      <c r="B129" s="136">
        <f>IFERROR(INDEX(Stock!$A$3:$T$90,MATCH('Overton Borough Overview'!$A129,Stock!$A$3:$A$90,0),MATCH('Overton Borough Overview'!B$65,Stock!$A$3:$T$3,0)),0)</f>
        <v/>
      </c>
      <c r="C129" s="136">
        <f>IFERROR(INDEX(Stock!$A$3:$T$90,MATCH('Overton Borough Overview'!$A129,Stock!$A$3:$A$90,0),MATCH('Overton Borough Overview'!C$65,Stock!$A$3:$T$3,0)),0)</f>
        <v/>
      </c>
      <c r="D129" s="136">
        <f>C129-B129</f>
        <v/>
      </c>
      <c r="E129" s="15" t="n"/>
      <c r="F129" s="136">
        <f>IFERROR(INDEX(Stock!$A$3:$T$90,MATCH('Overton Borough Overview'!$A129,Stock!$A$3:$A$90,0),MATCH('Overton Borough Overview'!F$65,Stock!$A$3:$T$3,0)),0)</f>
        <v/>
      </c>
      <c r="G129" s="136">
        <f>IFERROR(INDEX(Stock!$A$3:$T$90,MATCH('Overton Borough Overview'!$A129,Stock!$A$3:$A$90,0),MATCH('Overton Borough Overview'!G$65,Stock!$A$3:$T$3,0)),0)</f>
        <v/>
      </c>
      <c r="H129" s="10" t="n"/>
    </row>
    <row r="130">
      <c r="A130" s="15" t="inlineStr">
        <is>
          <t>Geese</t>
        </is>
      </c>
      <c r="B130" s="136">
        <f>IFERROR(INDEX(Stock!$A$3:$T$90,MATCH('Overton Borough Overview'!$A130,Stock!$A$3:$A$90,0),MATCH('Overton Borough Overview'!B$65,Stock!$A$3:$T$3,0)),0)</f>
        <v/>
      </c>
      <c r="C130" s="136">
        <f>IFERROR(INDEX(Stock!$A$3:$T$90,MATCH('Overton Borough Overview'!$A130,Stock!$A$3:$A$90,0),MATCH('Overton Borough Overview'!C$65,Stock!$A$3:$T$3,0)),0)</f>
        <v/>
      </c>
      <c r="D130" s="136">
        <f>C130-B130</f>
        <v/>
      </c>
      <c r="E130" s="15" t="n"/>
      <c r="F130" s="136">
        <f>IFERROR(INDEX(Stock!$A$3:$T$90,MATCH('Overton Borough Overview'!$A130,Stock!$A$3:$A$90,0),MATCH('Overton Borough Overview'!F$65,Stock!$A$3:$T$3,0)),0)</f>
        <v/>
      </c>
      <c r="G130" s="136">
        <f>IFERROR(INDEX(Stock!$A$3:$T$90,MATCH('Overton Borough Overview'!$A130,Stock!$A$3:$A$90,0),MATCH('Overton Borough Overview'!G$65,Stock!$A$3:$T$3,0)),0)</f>
        <v/>
      </c>
      <c r="H130" s="10" t="n"/>
    </row>
    <row r="131">
      <c r="A131" s="15" t="inlineStr">
        <is>
          <t>Capons (from chickens)</t>
        </is>
      </c>
      <c r="B131" s="136">
        <f>IFERROR(INDEX(Stock!$A$3:$T$90,MATCH('Overton Borough Overview'!$A131,Stock!$A$3:$A$90,0),MATCH('Overton Borough Overview'!B$65,Stock!$A$3:$T$3,0)),0)</f>
        <v/>
      </c>
      <c r="C131" s="136">
        <f>IFERROR(INDEX(Stock!$A$3:$T$90,MATCH('Overton Borough Overview'!$A131,Stock!$A$3:$A$90,0),MATCH('Overton Borough Overview'!C$65,Stock!$A$3:$T$3,0)),0)</f>
        <v/>
      </c>
      <c r="D131" s="136">
        <f>C131-B131</f>
        <v/>
      </c>
      <c r="E131" s="15" t="n"/>
      <c r="F131" s="136">
        <f>IFERROR(INDEX(Stock!$A$3:$T$90,MATCH('Overton Borough Overview'!$A131,Stock!$A$3:$A$90,0),MATCH('Overton Borough Overview'!F$65,Stock!$A$3:$T$3,0)),0)</f>
        <v/>
      </c>
      <c r="G131" s="136">
        <f>IFERROR(INDEX(Stock!$A$3:$T$90,MATCH('Overton Borough Overview'!$A131,Stock!$A$3:$A$90,0),MATCH('Overton Borough Overview'!G$65,Stock!$A$3:$T$3,0)),0)</f>
        <v/>
      </c>
      <c r="H131" s="10" t="n"/>
    </row>
    <row r="132">
      <c r="A132" s="15" t="inlineStr">
        <is>
          <t>Cocks &amp; hens</t>
        </is>
      </c>
      <c r="B132" s="136">
        <f>IFERROR(INDEX(Stock!$A$3:$T$90,MATCH('Overton Borough Overview'!$A132,Stock!$A$3:$A$90,0),MATCH('Overton Borough Overview'!B$65,Stock!$A$3:$T$3,0)),0)</f>
        <v/>
      </c>
      <c r="C132" s="136">
        <f>IFERROR(INDEX(Stock!$A$3:$T$90,MATCH('Overton Borough Overview'!$A132,Stock!$A$3:$A$90,0),MATCH('Overton Borough Overview'!C$65,Stock!$A$3:$T$3,0)),0)</f>
        <v/>
      </c>
      <c r="D132" s="136">
        <f>C132-B132</f>
        <v/>
      </c>
      <c r="E132" s="15" t="n"/>
      <c r="F132" s="136">
        <f>IFERROR(INDEX(Stock!$A$3:$T$90,MATCH('Overton Borough Overview'!$A132,Stock!$A$3:$A$90,0),MATCH('Overton Borough Overview'!F$65,Stock!$A$3:$T$3,0)),0)</f>
        <v/>
      </c>
      <c r="G132" s="136">
        <f>IFERROR(INDEX(Stock!$A$3:$T$90,MATCH('Overton Borough Overview'!$A132,Stock!$A$3:$A$90,0),MATCH('Overton Borough Overview'!G$65,Stock!$A$3:$T$3,0)),0)</f>
        <v/>
      </c>
      <c r="H132" s="10" t="n"/>
    </row>
    <row r="133">
      <c r="A133" s="17" t="inlineStr">
        <is>
          <t>Total value of production (sum of the above)</t>
        </is>
      </c>
      <c r="B133" s="134" t="n"/>
      <c r="C133" s="134" t="n"/>
      <c r="D133" s="134" t="n"/>
      <c r="E133" s="134" t="n"/>
      <c r="F133" s="134" t="n"/>
      <c r="G133" s="140" t="n"/>
      <c r="H133" s="10" t="n"/>
    </row>
    <row r="134">
      <c r="A134" s="17" t="inlineStr">
        <is>
          <t>Value of sales</t>
        </is>
      </c>
      <c r="B134" s="134" t="n"/>
      <c r="C134" s="134" t="n"/>
      <c r="D134" s="134" t="n"/>
      <c r="E134" s="134" t="n"/>
      <c r="F134" s="134" t="n"/>
      <c r="G134" s="140" t="n"/>
      <c r="H134" s="10" t="n"/>
    </row>
    <row r="135">
      <c r="A135" s="15" t="n"/>
      <c r="B135" s="15" t="n"/>
      <c r="C135" s="15" t="n"/>
      <c r="D135" s="15" t="n"/>
      <c r="E135" s="15" t="n"/>
      <c r="F135" s="15" t="n"/>
      <c r="G135" s="133" t="n"/>
      <c r="H135" s="10" t="n"/>
    </row>
    <row r="136" ht="51" customHeight="1">
      <c r="A136" s="16" t="inlineStr">
        <is>
          <t>Poultry production</t>
        </is>
      </c>
      <c r="B136" s="149" t="inlineStr">
        <is>
          <t>Inherited stock</t>
        </is>
      </c>
      <c r="C136" s="149" t="inlineStr">
        <is>
          <t>End-period  stock</t>
        </is>
      </c>
      <c r="D136" s="150" t="inlineStr">
        <is>
          <t>Stockbuilding</t>
        </is>
      </c>
      <c r="E136" s="136" t="n"/>
      <c r="F136" s="151" t="inlineStr">
        <is>
          <t>Sales in (£)</t>
        </is>
      </c>
      <c r="G136" s="151" t="inlineStr">
        <is>
          <t>Value of production (£) at sales prices</t>
        </is>
      </c>
      <c r="H136" s="10" t="n"/>
    </row>
    <row r="137">
      <c r="A137" s="15" t="inlineStr">
        <is>
          <t>Eggs</t>
        </is>
      </c>
      <c r="B137" s="136">
        <f>IFERROR(INDEX(Stock!$A$3:$T$90,MATCH('Overton Borough Overview'!$A137,Stock!$A$3:$A$90,0),MATCH('Overton Borough Overview'!B$65,Stock!$A$3:$T$3,0)),0)</f>
        <v/>
      </c>
      <c r="C137" s="136">
        <f>IFERROR(INDEX(Stock!$A$3:$T$90,MATCH('Overton Borough Overview'!$A137,Stock!$A$3:$A$90,0),MATCH('Overton Borough Overview'!C$65,Stock!$A$3:$T$3,0)),0)</f>
        <v/>
      </c>
      <c r="D137" s="136">
        <f>C137-B137</f>
        <v/>
      </c>
      <c r="E137" s="15" t="n"/>
      <c r="F137" s="136">
        <f>IFERROR(INDEX(Stock!$A$3:$T$90,MATCH('Overton Borough Overview'!$A137,Stock!$A$3:$A$90,0),MATCH('Overton Borough Overview'!F$65,Stock!$A$3:$T$3,0)),0)</f>
        <v/>
      </c>
      <c r="G137" s="136">
        <f>IFERROR(INDEX(Stock!$A$3:$T$90,MATCH('Overton Borough Overview'!$A137,Stock!$A$3:$A$90,0),MATCH('Overton Borough Overview'!G$65,Stock!$A$3:$T$3,0)),0)</f>
        <v/>
      </c>
      <c r="H137" s="10" t="n"/>
    </row>
    <row r="138">
      <c r="A138" s="15" t="inlineStr">
        <is>
          <t>Cocks &amp; hens from churchscot of customary tenants</t>
        </is>
      </c>
      <c r="B138" s="136">
        <f>IFERROR(INDEX(Stock!$A$3:$T$90,MATCH('Overton Borough Overview'!$A138,Stock!$A$3:$A$90,0),MATCH('Overton Borough Overview'!B$65,Stock!$A$3:$T$3,0)),0)</f>
        <v/>
      </c>
      <c r="C138" s="136">
        <f>IFERROR(INDEX(Stock!$A$3:$T$90,MATCH('Overton Borough Overview'!$A138,Stock!$A$3:$A$90,0),MATCH('Overton Borough Overview'!C$65,Stock!$A$3:$T$3,0)),0)</f>
        <v/>
      </c>
      <c r="D138" s="136">
        <f>C138-B138</f>
        <v/>
      </c>
      <c r="E138" s="15" t="n"/>
      <c r="F138" s="136">
        <f>IFERROR(INDEX(Stock!$A$3:$T$90,MATCH('Overton Borough Overview'!$A138,Stock!$A$3:$A$90,0),MATCH('Overton Borough Overview'!F$65,Stock!$A$3:$T$3,0)),0)</f>
        <v/>
      </c>
      <c r="G138" s="136">
        <f>IFERROR(INDEX(Stock!$A$3:$T$90,MATCH('Overton Borough Overview'!$A138,Stock!$A$3:$A$90,0),MATCH('Overton Borough Overview'!G$65,Stock!$A$3:$T$3,0)),0)</f>
        <v/>
      </c>
      <c r="H138" s="10" t="n"/>
    </row>
    <row r="139">
      <c r="A139" s="15" t="inlineStr">
        <is>
          <t>Sum of above</t>
        </is>
      </c>
      <c r="B139" s="136">
        <f>SUM(B137:B138)</f>
        <v/>
      </c>
      <c r="C139" s="136">
        <f>SUM(C137:C138)</f>
        <v/>
      </c>
      <c r="D139" s="136">
        <f>SUM(D137:D138)</f>
        <v/>
      </c>
      <c r="E139" s="15" t="n"/>
      <c r="F139" s="136">
        <f>IFERROR(INDEX(Stock!$A$3:$T$90,MATCH('Overton Borough Overview'!$A139,Stock!$A$3:$A$90,0),MATCH('Overton Borough Overview'!F$65,Stock!$A$3:$T$3,0)),0)</f>
        <v/>
      </c>
      <c r="G139" s="136">
        <f>IFERROR(INDEX(Stock!$A$3:$T$90,MATCH('Overton Borough Overview'!$A139,Stock!$A$3:$A$90,0),MATCH('Overton Borough Overview'!G$65,Stock!$A$3:$T$3,0)),0)</f>
        <v/>
      </c>
      <c r="H139" s="10" t="n"/>
    </row>
    <row r="140">
      <c r="A140" s="17" t="inlineStr">
        <is>
          <t>Total value of stock</t>
        </is>
      </c>
      <c r="B140" s="134" t="n"/>
      <c r="C140" s="134" t="n"/>
      <c r="D140" s="134" t="n"/>
      <c r="E140" s="134" t="n"/>
      <c r="F140" s="134" t="n"/>
      <c r="G140" s="140" t="n"/>
      <c r="H140" s="10" t="n"/>
    </row>
    <row r="141">
      <c r="A141" s="17" t="inlineStr">
        <is>
          <t>Value of sales</t>
        </is>
      </c>
      <c r="B141" s="134" t="n"/>
      <c r="C141" s="134" t="n"/>
      <c r="D141" s="134" t="n"/>
      <c r="E141" s="134" t="n"/>
      <c r="F141" s="134" t="n"/>
      <c r="G141" s="140" t="n"/>
      <c r="H141" s="10" t="n"/>
    </row>
    <row r="142">
      <c r="A142" s="15" t="n"/>
      <c r="B142" s="15" t="n"/>
      <c r="C142" s="15" t="n"/>
      <c r="D142" s="15" t="n"/>
      <c r="E142" s="15" t="n"/>
      <c r="F142" s="15" t="n"/>
      <c r="G142" s="133" t="n"/>
      <c r="H142" s="10" t="n"/>
    </row>
    <row r="143" ht="51" customHeight="1">
      <c r="A143" s="16" t="inlineStr">
        <is>
          <t>Dairy Production</t>
        </is>
      </c>
      <c r="B143" s="149" t="inlineStr">
        <is>
          <t>Inherited stock</t>
        </is>
      </c>
      <c r="C143" s="149" t="inlineStr">
        <is>
          <t>End-period  stock</t>
        </is>
      </c>
      <c r="D143" s="150" t="inlineStr">
        <is>
          <t>Stockbuilding</t>
        </is>
      </c>
      <c r="E143" s="136" t="n"/>
      <c r="F143" s="151" t="inlineStr">
        <is>
          <t>Sales in (£)</t>
        </is>
      </c>
      <c r="G143" s="151" t="inlineStr">
        <is>
          <t>Value of production (£) at sales prices</t>
        </is>
      </c>
      <c r="H143" s="10" t="n"/>
    </row>
    <row r="144">
      <c r="A144" s="15" t="inlineStr">
        <is>
          <t>Butter</t>
        </is>
      </c>
      <c r="B144" s="136">
        <f>IFERROR(INDEX(Stock!$A$3:$T$90,MATCH('Overton Borough Overview'!$A144,Stock!$A$3:$A$90,0),MATCH('Overton Borough Overview'!B$65,Stock!$A$3:$T$3,0)),0)</f>
        <v/>
      </c>
      <c r="C144" s="136">
        <f>IFERROR(INDEX(Stock!$A$3:$T$90,MATCH('Overton Borough Overview'!$A144,Stock!$A$3:$A$90,0),MATCH('Overton Borough Overview'!C$65,Stock!$A$3:$T$3,0)),0)</f>
        <v/>
      </c>
      <c r="D144" s="136">
        <f>C144-B144</f>
        <v/>
      </c>
      <c r="E144" s="15" t="n"/>
      <c r="F144" s="136">
        <f>IFERROR(INDEX(Stock!$A$3:$T$90,MATCH('Overton Borough Overview'!$A144,Stock!$A$3:$A$90,0),MATCH('Overton Borough Overview'!F$65,Stock!$A$3:$T$3,0)),0)</f>
        <v/>
      </c>
      <c r="G144" s="136">
        <f>IFERROR(INDEX(Stock!$A$3:$T$90,MATCH('Overton Borough Overview'!$A144,Stock!$A$3:$A$90,0),MATCH('Overton Borough Overview'!G$65,Stock!$A$3:$T$3,0)),0)</f>
        <v/>
      </c>
      <c r="H144" s="10" t="n"/>
    </row>
    <row r="145">
      <c r="A145" s="15" t="inlineStr">
        <is>
          <t>Winter Cheese</t>
        </is>
      </c>
      <c r="B145" s="136">
        <f>IFERROR(INDEX(Stock!$A$3:$T$90,MATCH('Overton Borough Overview'!$A145,Stock!$A$3:$A$90,0),MATCH('Overton Borough Overview'!B$65,Stock!$A$3:$T$3,0)),0)</f>
        <v/>
      </c>
      <c r="C145" s="136">
        <f>IFERROR(INDEX(Stock!$A$3:$T$90,MATCH('Overton Borough Overview'!$A145,Stock!$A$3:$A$90,0),MATCH('Overton Borough Overview'!C$65,Stock!$A$3:$T$3,0)),0)</f>
        <v/>
      </c>
      <c r="D145" s="136">
        <f>C145-B145</f>
        <v/>
      </c>
      <c r="E145" s="15" t="n"/>
      <c r="F145" s="136">
        <f>IFERROR(INDEX(Stock!$A$3:$T$90,MATCH('Overton Borough Overview'!$A145,Stock!$A$3:$A$90,0),MATCH('Overton Borough Overview'!F$65,Stock!$A$3:$T$3,0)),0)</f>
        <v/>
      </c>
      <c r="G145" s="136">
        <f>IFERROR(INDEX(Stock!$A$3:$T$90,MATCH('Overton Borough Overview'!$A145,Stock!$A$3:$A$90,0),MATCH('Overton Borough Overview'!G$65,Stock!$A$3:$T$3,0)),0)</f>
        <v/>
      </c>
      <c r="H145" s="10" t="n"/>
    </row>
    <row r="146">
      <c r="A146" s="15" t="inlineStr">
        <is>
          <t>Summer Cheese</t>
        </is>
      </c>
      <c r="B146" s="136">
        <f>IFERROR(INDEX(Stock!$A$3:$T$90,MATCH('Overton Borough Overview'!$A146,Stock!$A$3:$A$90,0),MATCH('Overton Borough Overview'!B$65,Stock!$A$3:$T$3,0)),0)</f>
        <v/>
      </c>
      <c r="C146" s="136">
        <f>IFERROR(INDEX(Stock!$A$3:$T$90,MATCH('Overton Borough Overview'!$A146,Stock!$A$3:$A$90,0),MATCH('Overton Borough Overview'!C$65,Stock!$A$3:$T$3,0)),0)</f>
        <v/>
      </c>
      <c r="D146" s="136">
        <f>C146-B146</f>
        <v/>
      </c>
      <c r="E146" s="15" t="n"/>
      <c r="F146" s="136">
        <f>IFERROR(INDEX(Stock!$A$3:$T$90,MATCH('Overton Borough Overview'!$A146,Stock!$A$3:$A$90,0),MATCH('Overton Borough Overview'!F$65,Stock!$A$3:$T$3,0)),0)</f>
        <v/>
      </c>
      <c r="G146" s="136">
        <f>IFERROR(INDEX(Stock!$A$3:$T$90,MATCH('Overton Borough Overview'!$A146,Stock!$A$3:$A$90,0),MATCH('Overton Borough Overview'!G$65,Stock!$A$3:$T$3,0)),0)</f>
        <v/>
      </c>
      <c r="H146" s="10" t="n"/>
    </row>
    <row r="147">
      <c r="A147" s="17" t="inlineStr">
        <is>
          <t>Total value of production (sum of the above)</t>
        </is>
      </c>
      <c r="B147" s="134" t="n"/>
      <c r="C147" s="134" t="n"/>
      <c r="D147" s="134" t="n"/>
      <c r="E147" s="134" t="n"/>
      <c r="F147" s="134" t="n"/>
      <c r="G147" s="140">
        <f>SUM(G144:G146)</f>
        <v/>
      </c>
      <c r="H147" s="10" t="n"/>
    </row>
    <row r="148">
      <c r="A148" s="17" t="inlineStr">
        <is>
          <t>Value of sales</t>
        </is>
      </c>
      <c r="B148" s="134" t="n"/>
      <c r="C148" s="134" t="n"/>
      <c r="D148" s="134" t="n"/>
      <c r="E148" s="134" t="n"/>
      <c r="F148" s="134" t="n"/>
      <c r="G148" s="140">
        <f>SUM(F144:F146)</f>
        <v/>
      </c>
      <c r="H148" s="10" t="n"/>
    </row>
    <row r="149">
      <c r="A149" s="15" t="n"/>
      <c r="B149" s="15" t="n"/>
      <c r="C149" s="15" t="n"/>
      <c r="D149" s="15" t="n"/>
      <c r="E149" s="15" t="n"/>
      <c r="F149" s="15" t="n"/>
      <c r="G149" s="133" t="n"/>
      <c r="H149" s="10" t="n"/>
    </row>
    <row r="150" ht="17" customHeight="1">
      <c r="A150" s="15" t="n"/>
      <c r="B150" s="15" t="n"/>
      <c r="C150" s="15" t="n"/>
      <c r="D150" s="15" t="n"/>
      <c r="E150" s="15" t="n"/>
      <c r="F150" s="15" t="n"/>
      <c r="G150" s="133" t="n"/>
      <c r="H150" s="10" t="n"/>
    </row>
    <row r="151">
      <c r="A151" s="152" t="inlineStr">
        <is>
          <t>Total Production Value of all Output (Grange, Dairy, Livestock Sales, Wools, Skins - NO Mill)</t>
        </is>
      </c>
      <c r="B151" s="153" t="n"/>
      <c r="C151" s="153" t="n"/>
      <c r="D151" s="153" t="n"/>
      <c r="E151" s="153" t="n"/>
      <c r="F151" s="153" t="n"/>
      <c r="G151" s="154">
        <f>G147+G125+G140+G133+G101+G93+G51</f>
        <v/>
      </c>
      <c r="H151" s="10" t="n"/>
    </row>
    <row r="152">
      <c r="A152" s="98" t="inlineStr">
        <is>
          <t>Total Sales Value of all Output as defined above</t>
        </is>
      </c>
      <c r="B152" s="143" t="n"/>
      <c r="C152" s="143" t="n"/>
      <c r="D152" s="143" t="n"/>
      <c r="E152" s="143" t="n"/>
      <c r="F152" s="143" t="n"/>
      <c r="G152" s="155">
        <f>G148+G141+G134+G126+G102+G93+G52</f>
        <v/>
      </c>
      <c r="H152" s="10" t="n"/>
    </row>
    <row r="153">
      <c r="A153" s="98" t="inlineStr">
        <is>
          <t>Total Sales of Corn + Issues of the Manor as recorded in account</t>
        </is>
      </c>
      <c r="B153" s="20" t="n"/>
      <c r="C153" s="20" t="n"/>
      <c r="D153" s="143" t="n"/>
      <c r="E153" s="143" t="n"/>
      <c r="F153" s="143" t="n"/>
      <c r="G153" s="155">
        <f>G10+G11</f>
        <v/>
      </c>
      <c r="H153" s="10" t="n"/>
    </row>
    <row r="154">
      <c r="A154" s="98" t="inlineStr">
        <is>
          <t>Production Value + Cash Receipts (excl. Arrears, Issues, Corn and Mill)</t>
        </is>
      </c>
      <c r="B154" s="20" t="n"/>
      <c r="C154" s="143" t="n"/>
      <c r="D154" s="143" t="n"/>
      <c r="E154" s="143" t="n"/>
      <c r="F154" s="143" t="n"/>
      <c r="G154" s="155">
        <f>G151+G9+G10+G13-G8-G7</f>
        <v/>
      </c>
      <c r="H154" s="10" t="n"/>
    </row>
    <row r="155">
      <c r="A155" s="99" t="n"/>
      <c r="B155" s="15" t="n"/>
      <c r="C155" s="15" t="n"/>
      <c r="D155" s="15" t="n"/>
      <c r="E155" s="15" t="n"/>
      <c r="F155" s="15" t="n"/>
      <c r="G155" s="156" t="n"/>
      <c r="H155" s="10" t="n"/>
    </row>
    <row r="156">
      <c r="A156" s="100" t="inlineStr">
        <is>
          <t>% of capital expenses in terms of total production</t>
        </is>
      </c>
      <c r="B156" s="134" t="n"/>
      <c r="C156" s="134" t="n"/>
      <c r="D156" s="134" t="n"/>
      <c r="E156" s="134" t="n"/>
      <c r="F156" s="134" t="n"/>
      <c r="G156" s="157">
        <f>G32/G151</f>
        <v/>
      </c>
      <c r="H156" s="10" t="n"/>
    </row>
    <row r="157">
      <c r="A157" s="98" t="inlineStr">
        <is>
          <t>% of capital expenses in terms of total production + cash receipts</t>
        </is>
      </c>
      <c r="B157" s="20" t="n"/>
      <c r="C157" s="143" t="n"/>
      <c r="D157" s="143" t="n"/>
      <c r="E157" s="143" t="n"/>
      <c r="F157" s="143" t="n"/>
      <c r="G157" s="158">
        <f>G32/G154</f>
        <v/>
      </c>
      <c r="H157" s="10" t="n"/>
    </row>
    <row r="158">
      <c r="A158" s="99" t="n"/>
      <c r="B158" s="15" t="n"/>
      <c r="C158" s="15" t="n"/>
      <c r="D158" s="15" t="n"/>
      <c r="E158" s="15" t="n"/>
      <c r="F158" s="15" t="n"/>
      <c r="G158" s="156" t="n"/>
      <c r="H158" s="10" t="n"/>
    </row>
    <row r="159" ht="17" customHeight="1">
      <c r="A159" s="101" t="inlineStr">
        <is>
          <t>% of capital expenses as calculated previously</t>
        </is>
      </c>
      <c r="B159" s="159" t="n"/>
      <c r="C159" s="159" t="n"/>
      <c r="D159" s="159" t="n"/>
      <c r="E159" s="159" t="n"/>
      <c r="F159" s="159" t="n"/>
      <c r="G159" s="160" t="n">
        <v>2.038132807</v>
      </c>
      <c r="H159" s="10" t="n"/>
    </row>
  </sheetData>
  <mergeCells count="1">
    <mergeCell ref="B43:C4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70"/>
  <sheetViews>
    <sheetView topLeftCell="A1" workbookViewId="0">
      <selection activeCell="A1" sqref="A1"/>
    </sheetView>
  </sheetViews>
  <sheetFormatPr baseColWidth="8" defaultRowHeight="15"/>
  <cols>
    <col width="41.5" customWidth="1" min="1" max="1"/>
    <col width="10.83203125" customWidth="1" min="7" max="7"/>
  </cols>
  <sheetData>
    <row r="1">
      <c r="A1" t="inlineStr">
        <is>
          <t>OVERTON BOROUGH RECEIPTS</t>
        </is>
      </c>
      <c r="F1" s="161" t="n"/>
      <c r="H1" s="10" t="n"/>
    </row>
    <row r="2">
      <c r="B2" s="89" t="inlineStr">
        <is>
          <t>£</t>
        </is>
      </c>
      <c r="C2" s="90" t="inlineStr">
        <is>
          <t xml:space="preserve">s </t>
        </is>
      </c>
      <c r="D2" s="90" t="inlineStr">
        <is>
          <t>d</t>
        </is>
      </c>
      <c r="E2" s="12" t="n"/>
      <c r="F2" s="5" t="inlineStr">
        <is>
          <t>Total in £</t>
        </is>
      </c>
      <c r="G2" s="162" t="inlineStr">
        <is>
          <t>Error</t>
        </is>
      </c>
      <c r="H2" s="12" t="inlineStr">
        <is>
          <t>Notes</t>
        </is>
      </c>
    </row>
    <row r="3">
      <c r="F3" s="161" t="n"/>
      <c r="H3" s="10" t="n"/>
    </row>
    <row r="4">
      <c r="A4" s="12" t="inlineStr">
        <is>
          <t>Arrears</t>
        </is>
      </c>
      <c r="F4" s="161" t="n"/>
      <c r="H4" s="10" t="n"/>
    </row>
    <row r="5">
      <c r="A5" t="inlineStr">
        <is>
          <t>Arrears total</t>
        </is>
      </c>
      <c r="B5" t="n">
        <v>2</v>
      </c>
      <c r="C5" t="n">
        <v>1</v>
      </c>
      <c r="D5" t="n">
        <v>2.5</v>
      </c>
      <c r="F5" s="163">
        <f>B5+C5/20+D5/240</f>
        <v/>
      </c>
      <c r="H5" s="10" t="n"/>
    </row>
    <row r="6">
      <c r="A6" t="inlineStr">
        <is>
          <t>of which delivered to treasurer of Wolvesey</t>
        </is>
      </c>
      <c r="B6" t="n">
        <v>2</v>
      </c>
      <c r="C6" t="n">
        <v>1</v>
      </c>
      <c r="D6" t="n">
        <v>2.5</v>
      </c>
      <c r="F6" s="163">
        <f>B6+C6/20+D6/240</f>
        <v/>
      </c>
      <c r="H6" s="10" t="n"/>
    </row>
    <row r="7"/>
    <row r="8">
      <c r="A8" s="12" t="inlineStr">
        <is>
          <t>Rents of assize</t>
        </is>
      </c>
    </row>
    <row r="9">
      <c r="A9" t="inlineStr">
        <is>
          <t>renst of assize for the year all paid at Michaelmas</t>
        </is>
      </c>
      <c r="B9" t="n">
        <v>8</v>
      </c>
      <c r="C9" t="n">
        <v>4</v>
      </c>
      <c r="D9" t="n">
        <v>3.5</v>
      </c>
      <c r="F9" s="163">
        <f>B9+C9/20+D9/240</f>
        <v/>
      </c>
    </row>
    <row r="10">
      <c r="A10" s="12" t="inlineStr">
        <is>
          <t>Total recorded in accounts</t>
        </is>
      </c>
      <c r="B10" t="n">
        <v>8</v>
      </c>
      <c r="C10" t="n">
        <v>4</v>
      </c>
      <c r="D10" t="n">
        <v>3.5</v>
      </c>
      <c r="F10" s="163">
        <f>B10+C10/20+D10/240</f>
        <v/>
      </c>
    </row>
    <row r="11">
      <c r="A11" s="12" t="inlineStr">
        <is>
          <t>Rents of assize total</t>
        </is>
      </c>
      <c r="B11">
        <f>SUM(B9:B9)</f>
        <v/>
      </c>
      <c r="C11">
        <f>SUM(C9:C9)</f>
        <v/>
      </c>
      <c r="D11">
        <f>SUM(D9:D9)</f>
        <v/>
      </c>
      <c r="F11" s="163">
        <f>B11+C11/20+D11/240</f>
        <v/>
      </c>
      <c r="G11" s="139">
        <f>F11-F10</f>
        <v/>
      </c>
    </row>
    <row r="12"/>
    <row r="13">
      <c r="A13" s="12" t="inlineStr">
        <is>
          <t>Quittances</t>
        </is>
      </c>
    </row>
    <row r="14">
      <c r="A14" t="inlineStr">
        <is>
          <t>one reeve for the year</t>
        </is>
      </c>
      <c r="C14" t="n">
        <v>2</v>
      </c>
      <c r="F14" s="163">
        <f>B14+C14/20+D14/240</f>
        <v/>
      </c>
    </row>
    <row r="15">
      <c r="A15" s="12" t="inlineStr">
        <is>
          <t>Total recorded in accounts</t>
        </is>
      </c>
      <c r="C15" t="n">
        <v>2</v>
      </c>
      <c r="F15" s="163">
        <f>B15+C15/20+D15/240</f>
        <v/>
      </c>
    </row>
    <row r="16">
      <c r="A16" s="12" t="inlineStr">
        <is>
          <t>Quittances total</t>
        </is>
      </c>
      <c r="B16">
        <f>SUM(B14:B14)</f>
        <v/>
      </c>
      <c r="C16">
        <f>SUM(C14:C14)</f>
        <v/>
      </c>
      <c r="D16">
        <f>SUM(D14:D14)</f>
        <v/>
      </c>
      <c r="F16" s="163">
        <f>B16+C16/20+D16/240</f>
        <v/>
      </c>
      <c r="G16" s="139">
        <f>F16-F15</f>
        <v/>
      </c>
    </row>
    <row r="17"/>
    <row r="18">
      <c r="A18" s="12" t="inlineStr">
        <is>
          <t>Defaults of rent</t>
        </is>
      </c>
    </row>
    <row r="19">
      <c r="A19" t="inlineStr">
        <is>
          <t>default of the house of Gilbert le Pynk</t>
        </is>
      </c>
      <c r="D19" t="n">
        <v>6</v>
      </c>
      <c r="F19" s="163">
        <f>B19+C19/20+D19/240</f>
        <v/>
      </c>
    </row>
    <row r="20">
      <c r="A20" s="12" t="inlineStr">
        <is>
          <t>Total recorded in accounts</t>
        </is>
      </c>
      <c r="D20" t="n">
        <v>6</v>
      </c>
      <c r="F20" s="163">
        <f>B20+C20/20+D20/240</f>
        <v/>
      </c>
    </row>
    <row r="21">
      <c r="A21" s="12" t="inlineStr">
        <is>
          <t>Defaults of rent total</t>
        </is>
      </c>
      <c r="B21">
        <f>SUM(B19:B19)</f>
        <v/>
      </c>
      <c r="C21">
        <f>SUM(C19:C19)</f>
        <v/>
      </c>
      <c r="D21">
        <f>SUM(D19:D19)</f>
        <v/>
      </c>
      <c r="F21" s="163">
        <f>B21+C21/20+D21/240</f>
        <v/>
      </c>
      <c r="G21" s="139">
        <f>F21-F20</f>
        <v/>
      </c>
    </row>
    <row r="22"/>
    <row r="23">
      <c r="A23" s="12" t="inlineStr">
        <is>
          <t>Total of rents remaining</t>
        </is>
      </c>
      <c r="B23" t="n">
        <v>8</v>
      </c>
      <c r="C23" t="n">
        <v>1</v>
      </c>
      <c r="D23" t="n">
        <v>9.5</v>
      </c>
      <c r="F23" s="163">
        <f>B23+C23/20+D23/240</f>
        <v/>
      </c>
      <c r="H23" t="inlineStr">
        <is>
          <t>not included in receipts</t>
        </is>
      </c>
    </row>
    <row r="24">
      <c r="F24" s="163" t="n"/>
    </row>
    <row r="25">
      <c r="A25" s="12" t="inlineStr">
        <is>
          <t>Wax</t>
        </is>
      </c>
      <c r="F25" s="163" t="n"/>
    </row>
    <row r="26">
      <c r="F26" s="163">
        <f>B26+C26/20+D26/240</f>
        <v/>
      </c>
    </row>
    <row r="27">
      <c r="A27" s="12" t="inlineStr">
        <is>
          <t>Total recorded in accounts</t>
        </is>
      </c>
      <c r="F27" s="163">
        <f>B27+C27/20+D27/240</f>
        <v/>
      </c>
    </row>
    <row r="28">
      <c r="A28" s="12" t="inlineStr">
        <is>
          <t>Wax total</t>
        </is>
      </c>
      <c r="B28">
        <f>SUM(B26)</f>
        <v/>
      </c>
      <c r="C28">
        <f>SUM(C26)</f>
        <v/>
      </c>
      <c r="D28">
        <f>SUM(D26)</f>
        <v/>
      </c>
      <c r="F28" s="163">
        <f>B28+C28/20+D28/240</f>
        <v/>
      </c>
      <c r="G28" s="139">
        <f>F28-F27</f>
        <v/>
      </c>
    </row>
    <row r="29"/>
    <row r="30">
      <c r="A30" s="12" t="inlineStr">
        <is>
          <t>Annual recognizances</t>
        </is>
      </c>
    </row>
    <row r="31">
      <c r="A31" t="inlineStr">
        <is>
          <t>from Richard Hayward</t>
        </is>
      </c>
      <c r="D31" t="n">
        <v>6</v>
      </c>
      <c r="F31" s="163">
        <f>B31+C31/20+D31/240</f>
        <v/>
      </c>
    </row>
    <row r="32">
      <c r="A32" s="12" t="inlineStr">
        <is>
          <t>Total recorded in accounts</t>
        </is>
      </c>
      <c r="D32" t="n">
        <v>6</v>
      </c>
      <c r="F32" s="163">
        <f>B32+C32/20+D32/240</f>
        <v/>
      </c>
    </row>
    <row r="33">
      <c r="A33" s="12" t="inlineStr">
        <is>
          <t>Annual recognizances total</t>
        </is>
      </c>
      <c r="B33">
        <f>SUM(B31:B31)</f>
        <v/>
      </c>
      <c r="C33">
        <f>SUM(C31:C31)</f>
        <v/>
      </c>
      <c r="D33">
        <f>SUM(D31:D31)</f>
        <v/>
      </c>
      <c r="F33" s="163">
        <f>B33+C33/20+D33/240</f>
        <v/>
      </c>
      <c r="G33" s="139">
        <f>F33-F32</f>
        <v/>
      </c>
    </row>
    <row r="34">
      <c r="A34" s="161" t="n"/>
    </row>
    <row r="35">
      <c r="A35" s="12" t="inlineStr">
        <is>
          <t>Selds and stalls (no issue of the manor)</t>
        </is>
      </c>
    </row>
    <row r="36">
      <c r="A36" t="inlineStr">
        <is>
          <t xml:space="preserve">16 selds hired in the borough </t>
        </is>
      </c>
      <c r="C36" t="n">
        <v>10</v>
      </c>
      <c r="D36" t="n">
        <v>8</v>
      </c>
      <c r="F36" s="163">
        <f>B36+C36/20+D36/240</f>
        <v/>
      </c>
    </row>
    <row r="37">
      <c r="A37" t="inlineStr">
        <is>
          <t>32 stalls</t>
        </is>
      </c>
      <c r="C37" t="n">
        <v>5</v>
      </c>
      <c r="D37" t="n">
        <v>4</v>
      </c>
      <c r="F37" s="163">
        <f>B37+C37/20+D37/240</f>
        <v/>
      </c>
    </row>
    <row r="38">
      <c r="A38" s="12" t="inlineStr">
        <is>
          <t>Total recorded in accounts</t>
        </is>
      </c>
      <c r="C38" t="n">
        <v>16</v>
      </c>
      <c r="F38" s="163">
        <f>B38+C38/20+D38/240</f>
        <v/>
      </c>
    </row>
    <row r="39">
      <c r="A39" s="12" t="inlineStr">
        <is>
          <t>Issues of the manor total</t>
        </is>
      </c>
      <c r="B39">
        <f>SUM(B36:B37)</f>
        <v/>
      </c>
      <c r="C39">
        <f>SUM(C36:C37)</f>
        <v/>
      </c>
      <c r="D39">
        <f>SUM(D36:D37)</f>
        <v/>
      </c>
      <c r="F39" s="163">
        <f>B39+C39/20+D39/240</f>
        <v/>
      </c>
      <c r="G39" s="139">
        <f>F39-F38</f>
        <v/>
      </c>
    </row>
    <row r="40"/>
    <row r="41">
      <c r="A41" s="12" t="inlineStr">
        <is>
          <t>Sale of corn</t>
        </is>
      </c>
    </row>
    <row r="42">
      <c r="A42" t="inlineStr">
        <is>
          <t>nothing</t>
        </is>
      </c>
      <c r="F42" s="163">
        <f>B42+C42/20+D42/240</f>
        <v/>
      </c>
    </row>
    <row r="43">
      <c r="A43" s="12" t="inlineStr">
        <is>
          <t>Total recorded in accounts</t>
        </is>
      </c>
      <c r="F43" s="163">
        <f>B43+C43/20+D43/240</f>
        <v/>
      </c>
    </row>
    <row r="44">
      <c r="A44" s="12" t="inlineStr">
        <is>
          <t>Sale of corn total</t>
        </is>
      </c>
      <c r="B44">
        <f>SUM(B42:B42)</f>
        <v/>
      </c>
      <c r="C44">
        <f>SUM(C42:C42)</f>
        <v/>
      </c>
      <c r="D44">
        <f>SUM(D42:D42)</f>
        <v/>
      </c>
      <c r="F44" s="163">
        <f>B44+C44/20+D44/240</f>
        <v/>
      </c>
      <c r="G44" s="139">
        <f>F44-F43</f>
        <v/>
      </c>
    </row>
    <row r="45"/>
    <row r="46">
      <c r="A46" s="12" t="inlineStr">
        <is>
          <t>Entry and marriage fines</t>
        </is>
      </c>
    </row>
    <row r="47">
      <c r="A47" t="inlineStr">
        <is>
          <t>nothing</t>
        </is>
      </c>
      <c r="F47" s="163">
        <f>B47+C47/20+D47/240</f>
        <v/>
      </c>
    </row>
    <row r="48">
      <c r="A48" s="12" t="inlineStr">
        <is>
          <t>Total recorded in accounts</t>
        </is>
      </c>
      <c r="F48" s="163">
        <f>B48+C48/20+D48/240</f>
        <v/>
      </c>
    </row>
    <row r="49">
      <c r="A49" s="12" t="inlineStr">
        <is>
          <t>Entry and marriage fines total</t>
        </is>
      </c>
      <c r="B49">
        <f>SUM(B47:B47)</f>
        <v/>
      </c>
      <c r="C49">
        <f>SUM(C47:C47)</f>
        <v/>
      </c>
      <c r="D49">
        <f>SUM(D47:D47)</f>
        <v/>
      </c>
      <c r="F49" s="163">
        <f>B49+C49/20+D49/240</f>
        <v/>
      </c>
      <c r="G49" s="139">
        <f>F49-F48</f>
        <v/>
      </c>
    </row>
    <row r="50">
      <c r="A50" s="12" t="n"/>
      <c r="F50" s="163" t="n"/>
      <c r="G50" s="139" t="n"/>
    </row>
    <row r="51">
      <c r="A51" s="12" t="n"/>
      <c r="F51" s="163" t="n"/>
      <c r="G51" s="139" t="n"/>
    </row>
    <row r="52">
      <c r="A52" s="12" t="inlineStr">
        <is>
          <t>Farm of Freefolk</t>
        </is>
      </c>
    </row>
    <row r="53">
      <c r="A53" t="inlineStr">
        <is>
          <t>for the farm of Freefolk at Michaelmas</t>
        </is>
      </c>
      <c r="C53" t="n">
        <v>10</v>
      </c>
      <c r="F53" s="163">
        <f>B53+C53/20+D53/240</f>
        <v/>
      </c>
    </row>
    <row r="54">
      <c r="A54" s="12" t="inlineStr">
        <is>
          <t>Total recorded in accounts</t>
        </is>
      </c>
      <c r="C54" t="n">
        <v>10</v>
      </c>
      <c r="F54" s="163">
        <f>B54+C54/20+D54/240</f>
        <v/>
      </c>
    </row>
    <row r="55">
      <c r="A55" s="12" t="inlineStr">
        <is>
          <t>Entry and marriage fines total</t>
        </is>
      </c>
      <c r="B55">
        <f>SUM(B53:B53)</f>
        <v/>
      </c>
      <c r="C55">
        <f>SUM(C53:C53)</f>
        <v/>
      </c>
      <c r="D55">
        <f>SUM(D53:D53)</f>
        <v/>
      </c>
      <c r="F55" s="163">
        <f>B55+C55/20+D55/240</f>
        <v/>
      </c>
      <c r="G55" s="139">
        <f>F55-F54</f>
        <v/>
      </c>
    </row>
    <row r="56">
      <c r="A56" s="12" t="n"/>
      <c r="F56" s="163" t="n"/>
      <c r="G56" s="139" t="n"/>
    </row>
    <row r="57">
      <c r="F57" s="163" t="n"/>
    </row>
    <row r="58">
      <c r="A58" s="12" t="inlineStr">
        <is>
          <t>Pleas and perquisites</t>
        </is>
      </c>
      <c r="F58" s="163" t="n"/>
    </row>
    <row r="59">
      <c r="A59" t="inlineStr">
        <is>
          <t>from William Sueyn</t>
        </is>
      </c>
      <c r="C59" t="n">
        <v>8</v>
      </c>
      <c r="D59" t="n">
        <v>9</v>
      </c>
      <c r="F59" s="163">
        <f>B59+C59/20+D59/240</f>
        <v/>
      </c>
    </row>
    <row r="60">
      <c r="A60" t="inlineStr">
        <is>
          <t>from John Wylly</t>
        </is>
      </c>
      <c r="C60" t="n">
        <v>2</v>
      </c>
      <c r="F60" s="163">
        <f>B60+C60/20+D60/240</f>
        <v/>
      </c>
    </row>
    <row r="61">
      <c r="A61" t="inlineStr">
        <is>
          <t>from John Capellanus</t>
        </is>
      </c>
      <c r="C61" t="n">
        <v>7</v>
      </c>
      <c r="D61" t="n">
        <v>6</v>
      </c>
      <c r="F61" s="163">
        <f>B61+C61/20+D61/240</f>
        <v/>
      </c>
    </row>
    <row r="62">
      <c r="A62" t="inlineStr">
        <is>
          <t>from John Blakeman</t>
        </is>
      </c>
      <c r="C62" t="n">
        <v>4</v>
      </c>
      <c r="D62" t="n">
        <v>6</v>
      </c>
      <c r="F62" s="163">
        <f>B62+C62/20+D62/240</f>
        <v/>
      </c>
    </row>
    <row r="63">
      <c r="A63" t="inlineStr">
        <is>
          <t>from those who brewed ale breaking the assize</t>
        </is>
      </c>
      <c r="B63" t="n">
        <v>2</v>
      </c>
      <c r="C63" t="n">
        <v>2</v>
      </c>
      <c r="D63" t="n">
        <v>6</v>
      </c>
      <c r="F63" s="163">
        <f>B63+C63/20+D63/240</f>
        <v/>
      </c>
    </row>
    <row r="64">
      <c r="A64" s="12" t="inlineStr">
        <is>
          <t>Total recorded in accounts</t>
        </is>
      </c>
      <c r="B64" t="n">
        <v>3</v>
      </c>
      <c r="C64" t="n">
        <v>5</v>
      </c>
      <c r="D64" t="n">
        <v>3</v>
      </c>
      <c r="F64" s="163">
        <f>B64+C64/20+D64/240</f>
        <v/>
      </c>
    </row>
    <row r="65">
      <c r="A65" s="12" t="inlineStr">
        <is>
          <t>Pleas &amp; perquisites total</t>
        </is>
      </c>
      <c r="B65">
        <f>SUM(B59:B63)</f>
        <v/>
      </c>
      <c r="C65">
        <f>SUM(C59:C63)</f>
        <v/>
      </c>
      <c r="D65">
        <f>SUM(D59:D63)</f>
        <v/>
      </c>
      <c r="F65" s="163">
        <f>B65+C65/20+D65/240</f>
        <v/>
      </c>
    </row>
    <row r="66"/>
    <row r="67">
      <c r="A67" s="8" t="inlineStr">
        <is>
          <t>Total of all receipts (sum of above excl. arrears)</t>
        </is>
      </c>
      <c r="F67" s="163">
        <f>F65+F55+F49+F44+F39+F33+F28+F23</f>
        <v/>
      </c>
    </row>
    <row r="68">
      <c r="A68" s="8" t="inlineStr">
        <is>
          <t>Total of all receipts (sum of above incl. arrears)</t>
        </is>
      </c>
      <c r="F68" s="163">
        <f>F67+F6</f>
        <v/>
      </c>
    </row>
    <row r="69">
      <c r="A69" s="8" t="inlineStr">
        <is>
          <t>Total of all receipts in account excl.  arrears</t>
        </is>
      </c>
      <c r="B69" t="n">
        <v>12</v>
      </c>
      <c r="C69" t="n">
        <v>13</v>
      </c>
      <c r="D69" t="n">
        <v>6</v>
      </c>
      <c r="F69" s="163">
        <f>B69+C69/20+D69/240</f>
        <v/>
      </c>
      <c r="G69" s="139">
        <f>F69-F67</f>
        <v/>
      </c>
    </row>
    <row r="70">
      <c r="A70" s="8" t="inlineStr">
        <is>
          <t>Total of all receipts in account incl. arrears</t>
        </is>
      </c>
      <c r="F70" s="163">
        <f>B70+C70/20+D70/240</f>
        <v/>
      </c>
      <c r="G70" s="139"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20"/>
  <sheetViews>
    <sheetView topLeftCell="A1" workbookViewId="0">
      <selection activeCell="A1" sqref="A1"/>
    </sheetView>
  </sheetViews>
  <sheetFormatPr baseColWidth="8" defaultRowHeight="15"/>
  <cols>
    <col width="47.6640625" customWidth="1" min="1" max="1"/>
  </cols>
  <sheetData>
    <row r="1">
      <c r="A1" s="15" t="inlineStr">
        <is>
          <t>OVERTON BOROUGH EXPENSES</t>
        </is>
      </c>
      <c r="B1" s="15" t="n"/>
      <c r="C1" s="15" t="n"/>
      <c r="D1" s="15" t="n"/>
      <c r="E1" s="15" t="n"/>
      <c r="F1" s="164" t="n"/>
      <c r="G1" s="15" t="n"/>
      <c r="H1" s="10" t="n"/>
    </row>
    <row r="2">
      <c r="A2" s="15" t="n"/>
      <c r="B2" s="148" t="inlineStr">
        <is>
          <t>£</t>
        </is>
      </c>
      <c r="C2" s="147" t="inlineStr">
        <is>
          <t xml:space="preserve">s </t>
        </is>
      </c>
      <c r="D2" s="147" t="inlineStr">
        <is>
          <t>d</t>
        </is>
      </c>
      <c r="E2" s="8" t="n"/>
      <c r="F2" s="165" t="inlineStr">
        <is>
          <t>Total in £</t>
        </is>
      </c>
      <c r="G2" s="162" t="inlineStr">
        <is>
          <t>Error</t>
        </is>
      </c>
      <c r="H2" s="12" t="inlineStr">
        <is>
          <t>Notes</t>
        </is>
      </c>
    </row>
    <row r="3">
      <c r="A3" s="12" t="inlineStr">
        <is>
          <t>Cost of Ploughs</t>
        </is>
      </c>
    </row>
    <row r="4">
      <c r="F4" s="161">
        <f>B4+C4/20+D4/240</f>
        <v/>
      </c>
    </row>
    <row r="5">
      <c r="F5" s="161">
        <f>B5+C5/20+D5/240</f>
        <v/>
      </c>
    </row>
    <row r="6">
      <c r="F6" s="161">
        <f>B6+C6/20+D6/240</f>
        <v/>
      </c>
    </row>
    <row r="7">
      <c r="F7" s="161">
        <f>B7+C7/20+D7/240</f>
        <v/>
      </c>
    </row>
    <row r="8">
      <c r="F8" s="161">
        <f>B8+C8/20+D8/240</f>
        <v/>
      </c>
    </row>
    <row r="9">
      <c r="F9" s="161">
        <f>B9+C9/20+D9/240</f>
        <v/>
      </c>
    </row>
    <row r="10">
      <c r="F10" s="161">
        <f>B10+C10/20+D10/240</f>
        <v/>
      </c>
    </row>
    <row r="11">
      <c r="F11" s="161">
        <f>B11+C11/20+D11/240</f>
        <v/>
      </c>
    </row>
    <row r="12">
      <c r="F12" s="161">
        <f>B12+C12/20+D12/240</f>
        <v/>
      </c>
    </row>
    <row r="13">
      <c r="F13" s="161">
        <f>B13+C13/20+D13/240</f>
        <v/>
      </c>
    </row>
    <row r="14">
      <c r="F14" s="161">
        <f>B14+C14/20+D14/240</f>
        <v/>
      </c>
    </row>
    <row r="15">
      <c r="F15" s="161">
        <f>B15+C15/20+D15/240</f>
        <v/>
      </c>
    </row>
    <row r="16">
      <c r="A16" s="12" t="inlineStr">
        <is>
          <t>Total recorded in accounts</t>
        </is>
      </c>
      <c r="F16" s="163">
        <f>B16+C16/20+D16/240</f>
        <v/>
      </c>
    </row>
    <row r="17">
      <c r="A17" s="12" t="inlineStr">
        <is>
          <t>Cost of ploughs total</t>
        </is>
      </c>
      <c r="B17">
        <f>SUM(B3:B15)</f>
        <v/>
      </c>
      <c r="C17">
        <f>SUM(C3:C15)</f>
        <v/>
      </c>
      <c r="D17">
        <f>SUM(D3:D15)</f>
        <v/>
      </c>
      <c r="F17" s="163">
        <f>B17+C17/20+D17/240</f>
        <v/>
      </c>
      <c r="G17" s="161">
        <f>F17-F16</f>
        <v/>
      </c>
    </row>
    <row r="18">
      <c r="A18" s="12" t="inlineStr">
        <is>
          <t>Total capital expenses</t>
        </is>
      </c>
      <c r="B18">
        <f>SUM(B4:B7,B9,B10:B11,B13,B15)</f>
        <v/>
      </c>
      <c r="C18">
        <f>SUM(C4:C7,C9,C10:C11,C13,C15)</f>
        <v/>
      </c>
      <c r="D18">
        <f>SUM(D4:D7,D9,D10:D11,D13,D15)</f>
        <v/>
      </c>
      <c r="F18" s="163">
        <f>B18+C18/20+D18/240</f>
        <v/>
      </c>
      <c r="G18" s="161" t="n"/>
    </row>
    <row r="19"/>
    <row r="20">
      <c r="A20" s="12" t="inlineStr">
        <is>
          <t>Purchase of Corn</t>
        </is>
      </c>
    </row>
    <row r="21">
      <c r="F21" s="161">
        <f>B21+C21/20+D21/240</f>
        <v/>
      </c>
    </row>
    <row r="22">
      <c r="A22" s="12" t="inlineStr">
        <is>
          <t>Total recorded in accounts</t>
        </is>
      </c>
      <c r="F22" s="163">
        <f>B22+C22/20+D22/240</f>
        <v/>
      </c>
    </row>
    <row r="23">
      <c r="A23" s="12" t="inlineStr">
        <is>
          <t>Purchase of corn total</t>
        </is>
      </c>
      <c r="B23">
        <f>SUM(B21)</f>
        <v/>
      </c>
      <c r="C23">
        <f>SUM(C21)</f>
        <v/>
      </c>
      <c r="D23">
        <f>SUM(D21)</f>
        <v/>
      </c>
      <c r="F23" s="163">
        <f>B23+C23/20+D23/240</f>
        <v/>
      </c>
      <c r="G23" s="161">
        <f>F23-F22</f>
        <v/>
      </c>
    </row>
    <row r="24"/>
    <row r="25">
      <c r="A25" s="12" t="inlineStr">
        <is>
          <t>Cost of Carts and Wagons</t>
        </is>
      </c>
    </row>
    <row r="26">
      <c r="F26" s="161">
        <f>B26+C26/20+D26/240</f>
        <v/>
      </c>
    </row>
    <row r="27">
      <c r="F27" s="161">
        <f>B27+C27/20+D27/240</f>
        <v/>
      </c>
    </row>
    <row r="28">
      <c r="F28" s="161">
        <f>B28+C28/20+D28/240</f>
        <v/>
      </c>
    </row>
    <row r="29">
      <c r="F29" s="161">
        <f>B29+C29/20+D29/240</f>
        <v/>
      </c>
    </row>
    <row r="30">
      <c r="F30" s="161">
        <f>B30+C30/20+D30/240</f>
        <v/>
      </c>
    </row>
    <row r="31">
      <c r="F31" s="161">
        <f>B31+C31/20+D31/240</f>
        <v/>
      </c>
    </row>
    <row r="32">
      <c r="F32" s="161">
        <f>B32+C32/20+D32/240</f>
        <v/>
      </c>
    </row>
    <row r="33">
      <c r="F33" s="161">
        <f>B33+C33/20+D33/240</f>
        <v/>
      </c>
    </row>
    <row r="34">
      <c r="F34" s="161">
        <f>B34+C34/20+D34/240</f>
        <v/>
      </c>
    </row>
    <row r="35">
      <c r="F35" s="161">
        <f>B35+C35/20+D35/240</f>
        <v/>
      </c>
    </row>
    <row r="36">
      <c r="F36" s="161">
        <f>B36+C36/20+D36/240</f>
        <v/>
      </c>
    </row>
    <row r="37">
      <c r="F37" s="161">
        <f>B37+C37/20+D37/240</f>
        <v/>
      </c>
    </row>
    <row r="38">
      <c r="F38" s="161">
        <f>B38+C38/20+D38/240</f>
        <v/>
      </c>
    </row>
    <row r="39">
      <c r="F39" s="161">
        <f>B39+C39/20+D39/240</f>
        <v/>
      </c>
    </row>
    <row r="40">
      <c r="F40" s="161">
        <f>B40+C40/20+D40/240</f>
        <v/>
      </c>
    </row>
    <row r="41">
      <c r="A41" s="12" t="inlineStr">
        <is>
          <t>Total recorded in accounts</t>
        </is>
      </c>
      <c r="F41" s="163">
        <f>B41+C41/20+D41/240</f>
        <v/>
      </c>
    </row>
    <row r="42">
      <c r="A42" s="12" t="inlineStr">
        <is>
          <t>Cost of carts and wagons total</t>
        </is>
      </c>
      <c r="B42">
        <f>SUM(B26:B40)</f>
        <v/>
      </c>
      <c r="C42">
        <f>SUM(C26:C40)</f>
        <v/>
      </c>
      <c r="D42">
        <f>SUM(D26:D40)</f>
        <v/>
      </c>
      <c r="F42" s="163">
        <f>B42+C42/20+D42/240</f>
        <v/>
      </c>
      <c r="G42" s="161">
        <f>F42-F41</f>
        <v/>
      </c>
    </row>
    <row r="43">
      <c r="A43" s="12" t="inlineStr">
        <is>
          <t>Total capital expenses</t>
        </is>
      </c>
      <c r="B43">
        <f>SUM(B26:B39)</f>
        <v/>
      </c>
      <c r="C43">
        <f>SUM(C26:C39)</f>
        <v/>
      </c>
      <c r="D43">
        <f>SUM(D26:D39)</f>
        <v/>
      </c>
      <c r="F43" s="163">
        <f>B43+C43/20+D43/240</f>
        <v/>
      </c>
      <c r="G43" s="161" t="n"/>
    </row>
    <row r="44"/>
    <row r="45">
      <c r="A45" s="12" t="inlineStr">
        <is>
          <t>Cost of Dairy</t>
        </is>
      </c>
    </row>
    <row r="46">
      <c r="F46" s="161">
        <f>B46+C46/20+D46/240</f>
        <v/>
      </c>
    </row>
    <row r="47">
      <c r="F47" s="161">
        <f>B47+C47/20+D47/240</f>
        <v/>
      </c>
    </row>
    <row r="48">
      <c r="F48" s="161">
        <f>B48+C48/20+D48/240</f>
        <v/>
      </c>
    </row>
    <row r="49">
      <c r="F49" s="161">
        <f>B49+C49/20+D49/240</f>
        <v/>
      </c>
    </row>
    <row r="50">
      <c r="F50" s="161">
        <f>B50+C50/20+D50/240</f>
        <v/>
      </c>
    </row>
    <row r="51">
      <c r="F51" s="161">
        <f>B51+C51/20+D51/240</f>
        <v/>
      </c>
    </row>
    <row r="52">
      <c r="A52" s="12" t="inlineStr">
        <is>
          <t>Total recorded in accounts</t>
        </is>
      </c>
      <c r="F52" s="163">
        <f>B52+C52/20+D52/240</f>
        <v/>
      </c>
    </row>
    <row r="53">
      <c r="A53" s="12" t="inlineStr">
        <is>
          <t>Cost of dairy total</t>
        </is>
      </c>
      <c r="B53">
        <f>SUM(B46:B51)</f>
        <v/>
      </c>
      <c r="C53">
        <f>SUM(C46:C51)</f>
        <v/>
      </c>
      <c r="D53">
        <f>SUM(D46:D51)</f>
        <v/>
      </c>
      <c r="F53" s="163">
        <f>B53+C53/20+D53/240</f>
        <v/>
      </c>
      <c r="G53" s="161">
        <f>F53-F52</f>
        <v/>
      </c>
    </row>
    <row r="54">
      <c r="A54" s="12" t="inlineStr">
        <is>
          <t>Total capital expenses</t>
        </is>
      </c>
      <c r="B54">
        <f>SUM(B46:B50)</f>
        <v/>
      </c>
      <c r="C54">
        <f>SUM(C46:C50)</f>
        <v/>
      </c>
      <c r="D54">
        <f>SUM(D46:D50)</f>
        <v/>
      </c>
      <c r="F54" s="163">
        <f>B54+C54/20+D54/240</f>
        <v/>
      </c>
      <c r="G54" s="161" t="n"/>
    </row>
    <row r="55"/>
    <row r="56">
      <c r="A56" s="12" t="inlineStr">
        <is>
          <t>Purchase of Stock</t>
        </is>
      </c>
    </row>
    <row r="57">
      <c r="F57" s="161">
        <f>B57+C57/20+D57/240</f>
        <v/>
      </c>
    </row>
    <row r="58">
      <c r="F58" s="161">
        <f>B58+C58/20+D58/240</f>
        <v/>
      </c>
    </row>
    <row r="59">
      <c r="F59" s="161">
        <f>B59+C59/20+D59/240</f>
        <v/>
      </c>
    </row>
    <row r="60">
      <c r="A60" s="12" t="inlineStr">
        <is>
          <t>Total recorded in accounts</t>
        </is>
      </c>
      <c r="F60" s="163">
        <f>B60+C60/20+D60/240</f>
        <v/>
      </c>
    </row>
    <row r="61">
      <c r="A61" s="12" t="inlineStr">
        <is>
          <t>Purchase of stock total</t>
        </is>
      </c>
      <c r="B61">
        <f>SUM(B57:B59)</f>
        <v/>
      </c>
      <c r="C61">
        <f>SUM(C57:C59)</f>
        <v/>
      </c>
      <c r="D61">
        <f>SUM(D57:D59)</f>
        <v/>
      </c>
      <c r="F61" s="163">
        <f>B61+C61/20+D61/240</f>
        <v/>
      </c>
      <c r="G61" s="161">
        <f>F61-F60</f>
        <v/>
      </c>
    </row>
    <row r="62"/>
    <row r="63">
      <c r="A63" s="12" t="inlineStr">
        <is>
          <t>Sheepcote</t>
        </is>
      </c>
    </row>
    <row r="64">
      <c r="F64" s="161">
        <f>B64+C64/20+D64/240</f>
        <v/>
      </c>
    </row>
    <row r="65">
      <c r="F65" s="161">
        <f>B65+C65/20+D65/240</f>
        <v/>
      </c>
    </row>
    <row r="66">
      <c r="F66" s="161">
        <f>B66+C66/20+D66/240</f>
        <v/>
      </c>
    </row>
    <row r="67">
      <c r="F67" s="161">
        <f>B67+C67/20+D67/240</f>
        <v/>
      </c>
    </row>
    <row r="68">
      <c r="F68" s="161">
        <f>B68+C68/20+D68/240</f>
        <v/>
      </c>
    </row>
    <row r="69">
      <c r="F69" s="161">
        <f>B69+C69/20+D69/240</f>
        <v/>
      </c>
    </row>
    <row r="70">
      <c r="A70" s="12" t="inlineStr">
        <is>
          <t>Total recorded in accounts</t>
        </is>
      </c>
      <c r="F70" s="163">
        <f>B70+C70/20+D70/240</f>
        <v/>
      </c>
    </row>
    <row r="71">
      <c r="A71" s="12" t="inlineStr">
        <is>
          <t>Sheepcote total</t>
        </is>
      </c>
      <c r="B71">
        <f>SUM(B64:B69)</f>
        <v/>
      </c>
      <c r="C71">
        <f>SUM(C64:C69)</f>
        <v/>
      </c>
      <c r="D71">
        <f>SUM(D64:D69)</f>
        <v/>
      </c>
      <c r="F71" s="163">
        <f>B71+C71/20+D71/240</f>
        <v/>
      </c>
      <c r="G71" s="161">
        <f>F71-F70</f>
        <v/>
      </c>
    </row>
    <row r="72">
      <c r="A72" s="12" t="inlineStr">
        <is>
          <t>Total capital expenses</t>
        </is>
      </c>
      <c r="B72">
        <f>SUM(B64:B65,B66,B68:B69)</f>
        <v/>
      </c>
      <c r="C72">
        <f>SUM(C64:C65,C66,C68:C69)</f>
        <v/>
      </c>
      <c r="D72">
        <f>SUM(D64:D65,D66,D68:D69)</f>
        <v/>
      </c>
      <c r="F72" s="163">
        <f>B72+C72/20+D72/240</f>
        <v/>
      </c>
      <c r="G72" s="161" t="n"/>
    </row>
    <row r="73"/>
    <row r="74">
      <c r="A74" s="12" t="inlineStr">
        <is>
          <t>Cost of Buildings</t>
        </is>
      </c>
    </row>
    <row r="75">
      <c r="A75" t="inlineStr">
        <is>
          <t>in roofing, pointing and mending selds in places</t>
        </is>
      </c>
      <c r="C75" t="n">
        <v>1</v>
      </c>
      <c r="D75" t="n">
        <v>8</v>
      </c>
      <c r="F75" s="161">
        <f>B75+C75/20+D75/240</f>
        <v/>
      </c>
    </row>
    <row r="76">
      <c r="A76" t="inlineStr">
        <is>
          <t>collecting sands for the same and mending of the walls</t>
        </is>
      </c>
      <c r="D76" t="n">
        <v>5</v>
      </c>
      <c r="F76" s="161">
        <f>B76+C76/20+D76/240</f>
        <v/>
      </c>
    </row>
    <row r="77">
      <c r="A77" t="inlineStr">
        <is>
          <t>in making 1 tumbrel anew and mending the pillory</t>
        </is>
      </c>
      <c r="C77" t="n">
        <v>3</v>
      </c>
      <c r="D77" t="n">
        <v>1</v>
      </c>
      <c r="F77" s="161">
        <f>B77+C77/20+D77/240</f>
        <v/>
      </c>
    </row>
    <row r="78">
      <c r="F78" s="161">
        <f>B78+C78/20+D78/240</f>
        <v/>
      </c>
    </row>
    <row r="79">
      <c r="F79" s="161">
        <f>B79+C79/20+D79/240</f>
        <v/>
      </c>
    </row>
    <row r="80">
      <c r="F80" s="161">
        <f>B80+C80/20+D80/240</f>
        <v/>
      </c>
    </row>
    <row r="81">
      <c r="F81" s="161">
        <f>B81+C81/20+D81/240</f>
        <v/>
      </c>
    </row>
    <row r="82">
      <c r="F82" s="161">
        <f>B82+C82/20+D82/240</f>
        <v/>
      </c>
    </row>
    <row r="83">
      <c r="F83" s="161">
        <f>B83+C83/20+D83/240</f>
        <v/>
      </c>
    </row>
    <row r="84">
      <c r="F84" s="161">
        <f>B84+C84/20+D84/240</f>
        <v/>
      </c>
    </row>
    <row r="85">
      <c r="F85" s="161">
        <f>B85+C85/20+D85/240</f>
        <v/>
      </c>
    </row>
    <row r="86">
      <c r="A86" s="12" t="inlineStr">
        <is>
          <t>Total recorded in accounts</t>
        </is>
      </c>
      <c r="C86" t="n">
        <v>5</v>
      </c>
      <c r="D86" t="n">
        <v>2</v>
      </c>
      <c r="F86" s="163">
        <f>B86+C86/20+D86/240</f>
        <v/>
      </c>
    </row>
    <row r="87">
      <c r="A87" s="12" t="inlineStr">
        <is>
          <t>Cost of buildings total</t>
        </is>
      </c>
      <c r="B87">
        <f>SUM(B75:B85)</f>
        <v/>
      </c>
      <c r="C87">
        <f>SUM(C75:C85)</f>
        <v/>
      </c>
      <c r="D87">
        <f>SUM(D75:D85)</f>
        <v/>
      </c>
      <c r="F87" s="163">
        <f>B87+C87/20+D87/240</f>
        <v/>
      </c>
      <c r="G87" s="161">
        <f>F87-F86</f>
        <v/>
      </c>
    </row>
    <row r="88">
      <c r="A88" s="12" t="inlineStr">
        <is>
          <t>Total capital expenses</t>
        </is>
      </c>
      <c r="B88">
        <f>SUM(B75:B76,B82:B85)</f>
        <v/>
      </c>
      <c r="C88">
        <f>SUM(C75:C76,C82:C85)</f>
        <v/>
      </c>
      <c r="D88">
        <f>SUM(D75:D76,D82:D85)</f>
        <v/>
      </c>
      <c r="F88" s="163">
        <f>B88+C88/20+D88/240</f>
        <v/>
      </c>
      <c r="G88" s="161" t="n"/>
    </row>
    <row r="89"/>
    <row r="90">
      <c r="A90" s="12" t="inlineStr">
        <is>
          <t>Threshing</t>
        </is>
      </c>
    </row>
    <row r="91">
      <c r="F91" s="161">
        <f>B91+C91/20+D91/240</f>
        <v/>
      </c>
    </row>
    <row r="92">
      <c r="F92" s="161">
        <f>B92+C92/20+D92/240</f>
        <v/>
      </c>
    </row>
    <row r="93">
      <c r="F93" s="161">
        <f>B93+C93/20+D93/240</f>
        <v/>
      </c>
    </row>
    <row r="94">
      <c r="F94" s="161">
        <f>B94+C94/20+D94/240</f>
        <v/>
      </c>
    </row>
    <row r="95">
      <c r="F95" s="161">
        <f>B95+C95/20+D95/240</f>
        <v/>
      </c>
    </row>
    <row r="96">
      <c r="A96" s="12" t="inlineStr">
        <is>
          <t>Total recorded in accounts</t>
        </is>
      </c>
      <c r="F96" s="163">
        <f>B96+C96/20+D96/240</f>
        <v/>
      </c>
    </row>
    <row r="97">
      <c r="A97" s="12" t="inlineStr">
        <is>
          <t>Threshing total</t>
        </is>
      </c>
      <c r="B97">
        <f>SUM(B91:B95)</f>
        <v/>
      </c>
      <c r="C97">
        <f>SUM(C91:C95)</f>
        <v/>
      </c>
      <c r="D97">
        <f>SUM(D91:D95)</f>
        <v/>
      </c>
      <c r="F97" s="163">
        <f>B97+C97/20+D97/240</f>
        <v/>
      </c>
      <c r="G97" s="161">
        <f>F97-F96</f>
        <v/>
      </c>
    </row>
    <row r="98"/>
    <row r="99">
      <c r="A99" s="12" t="inlineStr">
        <is>
          <t>Expenses of the Harvest</t>
        </is>
      </c>
    </row>
    <row r="100">
      <c r="F100" s="161">
        <f>B100+C100/20+D100/240</f>
        <v/>
      </c>
    </row>
    <row r="101">
      <c r="F101" s="161">
        <f>B101+C101/20+D101/240</f>
        <v/>
      </c>
    </row>
    <row r="102">
      <c r="F102" s="161">
        <f>B102+C102/20+D102/240</f>
        <v/>
      </c>
    </row>
    <row r="103">
      <c r="F103" s="161">
        <f>B103+C103/20+D103/240</f>
        <v/>
      </c>
    </row>
    <row r="104">
      <c r="F104" s="161">
        <f>B104+C104/20+D104/240</f>
        <v/>
      </c>
    </row>
    <row r="105">
      <c r="A105" s="12" t="inlineStr">
        <is>
          <t>Total recorded in accounts</t>
        </is>
      </c>
      <c r="F105" s="163">
        <f>B105+C105/20+D105/240</f>
        <v/>
      </c>
    </row>
    <row r="106">
      <c r="A106" s="12" t="inlineStr">
        <is>
          <t>Expenses of the harvest total</t>
        </is>
      </c>
      <c r="B106">
        <f>SUM(B100:B104)</f>
        <v/>
      </c>
      <c r="C106">
        <f>SUM(C100:C104)</f>
        <v/>
      </c>
      <c r="D106">
        <f>SUM(D100:D104)</f>
        <v/>
      </c>
      <c r="F106" s="163">
        <f>B106+C106/20+D106/240</f>
        <v/>
      </c>
      <c r="G106" s="161">
        <f>F106-F105</f>
        <v/>
      </c>
    </row>
    <row r="107"/>
    <row r="108">
      <c r="A108" s="12" t="inlineStr">
        <is>
          <t>Steward's Expenses</t>
        </is>
      </c>
    </row>
    <row r="109">
      <c r="F109" s="161">
        <f>B109+C109/20+D109/240</f>
        <v/>
      </c>
    </row>
    <row r="110">
      <c r="F110" s="161">
        <f>B110+C110/20+D110/240</f>
        <v/>
      </c>
    </row>
    <row r="111">
      <c r="F111" s="161">
        <f>B111+C111/20+D111/240</f>
        <v/>
      </c>
    </row>
    <row r="112">
      <c r="A112" s="12" t="inlineStr">
        <is>
          <t>Total recorded in accounts</t>
        </is>
      </c>
      <c r="F112" s="163">
        <f>B112+C112/20+D112/240</f>
        <v/>
      </c>
    </row>
    <row r="113">
      <c r="A113" s="12" t="inlineStr">
        <is>
          <t>Steward's expenses total</t>
        </is>
      </c>
      <c r="B113">
        <f>SUM(B109:B111)</f>
        <v/>
      </c>
      <c r="C113">
        <f>SUM(C109:C111)</f>
        <v/>
      </c>
      <c r="D113">
        <f>SUM(D109:D111)</f>
        <v/>
      </c>
      <c r="F113" s="163">
        <f>B113+C113/20+D113/240</f>
        <v/>
      </c>
      <c r="G113" s="161">
        <f>F113-F112</f>
        <v/>
      </c>
    </row>
    <row r="114"/>
    <row r="115">
      <c r="A115" t="inlineStr">
        <is>
          <t>Total of all Expenses</t>
        </is>
      </c>
      <c r="F115" s="161">
        <f>B115+C115/20+D115/240</f>
        <v/>
      </c>
    </row>
    <row r="116">
      <c r="A116" t="inlineStr">
        <is>
          <t>Total of all Expenses (calculated)</t>
        </is>
      </c>
      <c r="B116">
        <f>SUM(B113,B106,B97,B87,B71,B61,B53,B42,B23,B17)</f>
        <v/>
      </c>
      <c r="C116">
        <f>SUM(C113,C106,C97,C87,C71,C61,C53,C42,C23,C17)</f>
        <v/>
      </c>
      <c r="D116">
        <f>SUM(D113,D106,D97,D87,D71,D61,D53,D42,D23,D17)</f>
        <v/>
      </c>
      <c r="F116" s="161">
        <f>B116+C116/20+D116/240</f>
        <v/>
      </c>
      <c r="G116" s="161">
        <f>F116-F115</f>
        <v/>
      </c>
    </row>
    <row r="117">
      <c r="A117" t="inlineStr">
        <is>
          <t>And thus he owes</t>
        </is>
      </c>
      <c r="B117" t="n">
        <v>12</v>
      </c>
      <c r="C117" t="n">
        <v>8</v>
      </c>
      <c r="D117" t="n">
        <v>4.5</v>
      </c>
      <c r="F117" s="161">
        <f>B117+C117/20+D117/240</f>
        <v/>
      </c>
    </row>
    <row r="118">
      <c r="A118" t="inlineStr">
        <is>
          <t>Delivered to Sir Geoffrey, treasurer of Wolvesey</t>
        </is>
      </c>
      <c r="B118" t="n">
        <v>7</v>
      </c>
      <c r="F118" s="161">
        <f>B118+C118/20+D118/240</f>
        <v/>
      </c>
    </row>
    <row r="119">
      <c r="A119" t="inlineStr">
        <is>
          <t>and thus he owes clear</t>
        </is>
      </c>
      <c r="B119" t="n">
        <v>5</v>
      </c>
      <c r="C119" t="n">
        <v>8</v>
      </c>
      <c r="D119" t="n">
        <v>4.5</v>
      </c>
      <c r="F119" s="161">
        <f>B119+C119/20+D119/240</f>
        <v/>
      </c>
    </row>
    <row r="120">
      <c r="A120" t="inlineStr">
        <is>
          <t>Total capital expenses</t>
        </is>
      </c>
      <c r="B120">
        <f>SUM(B18,B43,B54,B61,B72,B88)</f>
        <v/>
      </c>
      <c r="C120">
        <f>SUM(C18,C43,C54,C61,C72,C88)</f>
        <v/>
      </c>
      <c r="D120">
        <f>SUM(D18,D43,D54,D61,D72,D88)</f>
        <v/>
      </c>
      <c r="F120" s="161">
        <f>B120+C120/20+D120/240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4"/>
  <sheetViews>
    <sheetView topLeftCell="A1" workbookViewId="0">
      <selection activeCell="A1" sqref="A1"/>
    </sheetView>
  </sheetViews>
  <sheetFormatPr baseColWidth="8" defaultRowHeight="15"/>
  <sheetData>
    <row r="1">
      <c r="A1" s="38" t="inlineStr">
        <is>
          <t xml:space="preserve">no grange </t>
        </is>
      </c>
      <c r="B1" s="40" t="n"/>
      <c r="I1" s="166" t="n"/>
      <c r="J1" s="166" t="n"/>
      <c r="O1" s="167" t="n"/>
      <c r="P1" s="167" t="n"/>
      <c r="Q1" s="167" t="n"/>
    </row>
    <row r="2">
      <c r="A2" s="38" t="n"/>
    </row>
    <row r="3">
      <c r="A3" s="38" t="n"/>
      <c r="F3" s="166" t="n"/>
      <c r="J3" s="167" t="n"/>
      <c r="K3" s="166" t="n"/>
      <c r="L3" s="166" t="n"/>
      <c r="M3" s="166" t="n"/>
      <c r="N3" s="166" t="n"/>
      <c r="O3" s="166" t="n"/>
      <c r="P3" s="167" t="n"/>
    </row>
    <row r="4">
      <c r="B4" s="166" t="n"/>
      <c r="C4" s="166" t="n"/>
      <c r="D4" s="166" t="n"/>
      <c r="E4" s="166" t="n"/>
      <c r="F4" s="166" t="n"/>
      <c r="G4" s="166" t="n"/>
      <c r="H4" s="166" t="n"/>
      <c r="I4" s="166" t="n"/>
      <c r="J4" s="166" t="n"/>
      <c r="K4" s="166" t="n"/>
      <c r="L4" s="166" t="n"/>
      <c r="M4" s="166" t="n"/>
      <c r="N4" s="166" t="n"/>
      <c r="O4" s="166" t="n"/>
      <c r="P4" s="167" t="n"/>
    </row>
    <row r="5">
      <c r="F5" s="26" t="n"/>
      <c r="J5" s="26" t="n"/>
      <c r="P5" s="26" t="n"/>
    </row>
    <row r="6">
      <c r="F6" s="26" t="n"/>
      <c r="J6" s="26" t="n"/>
      <c r="P6" s="26" t="n"/>
    </row>
    <row r="7">
      <c r="F7" s="26" t="n"/>
      <c r="J7" s="26" t="n"/>
      <c r="P7" s="26" t="n"/>
    </row>
    <row r="8">
      <c r="F8" s="26" t="n"/>
      <c r="J8" s="26" t="n"/>
      <c r="P8" s="26" t="n"/>
    </row>
    <row r="9">
      <c r="F9" s="26" t="n"/>
      <c r="J9" s="26" t="n"/>
      <c r="P9" s="26" t="n"/>
    </row>
    <row r="10">
      <c r="F10" s="26" t="n"/>
      <c r="J10" s="26" t="n"/>
      <c r="P10" s="26" t="n"/>
    </row>
    <row r="11"/>
    <row r="12">
      <c r="F12" s="26" t="n"/>
      <c r="P12" s="26" t="n"/>
      <c r="Q12" s="13" t="n"/>
    </row>
    <row r="13">
      <c r="P13" s="26" t="n"/>
    </row>
    <row r="14"/>
    <row r="15"/>
    <row r="16">
      <c r="A16" s="38" t="n"/>
      <c r="B16" s="168" t="n"/>
      <c r="C16" s="169" t="n"/>
      <c r="D16" s="169" t="n"/>
      <c r="E16" s="169" t="n"/>
      <c r="G16" s="169" t="n"/>
      <c r="H16" s="169" t="n"/>
      <c r="I16" s="169" t="n"/>
      <c r="J16" s="168" t="n"/>
      <c r="L16" s="170" t="n"/>
      <c r="M16" s="168" t="n"/>
      <c r="N16" s="168" t="n"/>
    </row>
    <row r="17">
      <c r="B17" s="166" t="n"/>
      <c r="C17" s="166" t="n"/>
      <c r="J17" s="166" t="n"/>
      <c r="L17" s="171" t="n"/>
      <c r="M17" s="166" t="n"/>
      <c r="N17" s="166" t="n"/>
    </row>
    <row r="18">
      <c r="B18" s="26" t="n"/>
      <c r="J18" s="26" t="n"/>
      <c r="L18" s="172" t="n"/>
      <c r="M18" s="26" t="n"/>
      <c r="N18" s="26" t="n"/>
    </row>
    <row r="19">
      <c r="B19" s="26" t="n"/>
      <c r="J19" s="26" t="n"/>
      <c r="L19" s="172" t="n"/>
      <c r="M19" s="26" t="n"/>
      <c r="N19" s="26" t="n"/>
    </row>
    <row r="20">
      <c r="B20" s="26" t="n"/>
      <c r="J20" s="26" t="n"/>
      <c r="L20" s="172" t="n"/>
      <c r="M20" s="26" t="n"/>
      <c r="N20" s="26" t="n"/>
    </row>
    <row r="21">
      <c r="B21" s="26" t="n"/>
      <c r="J21" s="26" t="n"/>
      <c r="L21" s="172" t="n"/>
      <c r="M21" s="26" t="n"/>
      <c r="N21" s="26" t="n"/>
    </row>
    <row r="22">
      <c r="B22" s="26" t="n"/>
      <c r="J22" s="26" t="n"/>
      <c r="L22" s="172" t="n"/>
      <c r="M22" s="26" t="n"/>
      <c r="N22" s="26" t="n"/>
    </row>
    <row r="23">
      <c r="B23" s="26" t="n"/>
      <c r="J23" s="26" t="n"/>
      <c r="L23" s="172" t="n"/>
      <c r="M23" s="26" t="n"/>
      <c r="N23" s="26" t="n"/>
    </row>
    <row r="24">
      <c r="B24" s="26" t="n"/>
      <c r="J24" s="26" t="n"/>
      <c r="M24" s="26" t="n"/>
      <c r="N24" s="26"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T96"/>
  <sheetViews>
    <sheetView topLeftCell="A1" workbookViewId="0">
      <selection activeCell="A1" sqref="A1"/>
    </sheetView>
  </sheetViews>
  <sheetFormatPr baseColWidth="8" defaultRowHeight="15"/>
  <cols>
    <col width="44.33203125" customWidth="1" min="1" max="1"/>
    <col width="11.6640625" customWidth="1" min="14" max="14"/>
    <col width="10.83203125" customWidth="1" min="17" max="17"/>
  </cols>
  <sheetData>
    <row r="1">
      <c r="A1" s="8" t="n"/>
      <c r="B1" s="15" t="n"/>
      <c r="C1" s="15" t="n"/>
      <c r="D1" s="15" t="n"/>
      <c r="E1" s="15" t="n"/>
      <c r="F1" s="15" t="n"/>
      <c r="G1" s="15" t="n"/>
      <c r="H1" s="15" t="n"/>
      <c r="I1" s="15" t="n"/>
      <c r="J1" s="15" t="n"/>
      <c r="K1" s="15" t="n"/>
      <c r="L1" s="133" t="n"/>
      <c r="M1" s="133" t="n"/>
      <c r="N1" s="15" t="n"/>
      <c r="O1" s="15" t="n"/>
      <c r="P1" s="15" t="n"/>
      <c r="Q1" s="133" t="n"/>
      <c r="R1" s="133" t="n"/>
      <c r="S1" s="133" t="n"/>
      <c r="T1" s="15" t="n"/>
    </row>
    <row r="2" ht="17" customHeight="1">
      <c r="A2" s="22" t="inlineStr">
        <is>
          <t>no stock account</t>
        </is>
      </c>
      <c r="B2" s="15" t="n"/>
      <c r="C2" s="15" t="n"/>
      <c r="D2" s="15" t="n"/>
      <c r="E2" s="15" t="n"/>
      <c r="F2" s="15" t="n"/>
      <c r="G2" s="15" t="n"/>
      <c r="H2" s="15" t="n"/>
      <c r="I2" s="15" t="n"/>
      <c r="J2" s="15" t="n"/>
      <c r="K2" s="15" t="n"/>
      <c r="L2" s="133" t="n"/>
      <c r="M2" s="133" t="n"/>
      <c r="N2" s="15" t="n"/>
      <c r="O2" s="15" t="n"/>
      <c r="P2" s="15" t="n"/>
      <c r="Q2" s="133" t="n"/>
      <c r="R2" s="133" t="n"/>
      <c r="S2" s="133" t="n"/>
      <c r="T2" s="15" t="n"/>
    </row>
    <row r="3">
      <c r="A3" s="173" t="n"/>
      <c r="B3" s="174" t="n"/>
      <c r="C3" s="174" t="n"/>
      <c r="D3" s="174" t="n"/>
      <c r="E3" s="8" t="n"/>
      <c r="F3" s="8" t="n"/>
      <c r="G3" s="174" t="n"/>
      <c r="H3" s="174" t="n"/>
      <c r="I3" s="174" t="n"/>
      <c r="J3" s="174" t="n"/>
      <c r="K3" s="174" t="n"/>
      <c r="L3" s="175" t="n"/>
      <c r="M3" s="175" t="n"/>
      <c r="N3" s="174" t="n"/>
      <c r="O3" s="174" t="n"/>
      <c r="P3" s="174" t="n"/>
      <c r="Q3" s="175" t="n"/>
      <c r="R3" s="176" t="n"/>
      <c r="S3" s="176" t="n"/>
      <c r="T3" s="174" t="n"/>
    </row>
    <row r="4">
      <c r="A4" s="22" t="n"/>
      <c r="B4" s="15" t="n"/>
      <c r="C4" s="15" t="n"/>
      <c r="D4" s="15" t="n"/>
      <c r="E4" s="15" t="n"/>
      <c r="F4" s="15" t="n"/>
      <c r="G4" s="15" t="n"/>
      <c r="H4" s="15" t="n"/>
      <c r="I4" s="15" t="n"/>
      <c r="J4" s="15" t="n"/>
      <c r="K4" s="174" t="n"/>
      <c r="Q4" s="133" t="n"/>
      <c r="R4" s="133" t="n"/>
      <c r="S4" s="133" t="n"/>
      <c r="T4" s="15" t="n"/>
    </row>
    <row r="5">
      <c r="A5" s="22" t="n"/>
      <c r="B5" s="15" t="n"/>
      <c r="C5" s="15" t="n"/>
      <c r="D5" s="15" t="n"/>
      <c r="E5" s="15" t="n"/>
      <c r="F5" s="15" t="n"/>
      <c r="G5" s="15" t="n"/>
      <c r="H5" s="15" t="n"/>
      <c r="I5" s="15" t="n"/>
      <c r="J5" s="15" t="n"/>
      <c r="K5" s="174" t="n"/>
      <c r="L5" s="175" t="n"/>
      <c r="M5" s="175" t="n"/>
      <c r="N5" s="174" t="n"/>
      <c r="O5" s="174" t="n"/>
      <c r="P5" s="174" t="n"/>
      <c r="Q5" s="133" t="n"/>
      <c r="R5" s="133" t="n"/>
      <c r="S5" s="133" t="n"/>
      <c r="T5" s="15" t="n"/>
    </row>
    <row r="6">
      <c r="A6" s="15" t="n"/>
      <c r="B6" s="15" t="n"/>
      <c r="C6" s="15" t="n"/>
      <c r="D6" s="15" t="n"/>
      <c r="E6" s="15" t="n"/>
      <c r="F6" s="15" t="n"/>
      <c r="G6" s="15" t="n"/>
      <c r="H6" s="15" t="n"/>
      <c r="I6" s="15" t="n"/>
      <c r="J6" s="15" t="n"/>
      <c r="K6" s="174" t="n"/>
      <c r="L6" s="175" t="n"/>
      <c r="M6" s="175" t="n"/>
      <c r="N6" s="174" t="n"/>
      <c r="O6" s="174" t="n"/>
      <c r="P6" s="174" t="n"/>
      <c r="Q6" s="133" t="n"/>
      <c r="R6" s="133" t="n"/>
      <c r="S6" s="133" t="n"/>
      <c r="T6" s="15" t="n"/>
    </row>
    <row r="7">
      <c r="A7" s="15" t="n"/>
      <c r="B7" s="15" t="n"/>
      <c r="C7" s="15" t="n"/>
      <c r="D7" s="15" t="n"/>
      <c r="E7" s="15" t="n"/>
      <c r="F7" s="15" t="n"/>
      <c r="G7" s="15" t="n"/>
      <c r="H7" s="15" t="n"/>
      <c r="I7" s="15" t="n"/>
      <c r="J7" s="15" t="n"/>
      <c r="K7" s="174" t="n"/>
      <c r="L7" s="175" t="n"/>
      <c r="M7" s="175" t="n"/>
      <c r="N7" s="174" t="n"/>
      <c r="O7" s="174" t="n"/>
      <c r="P7" s="174" t="n"/>
      <c r="Q7" s="133" t="n"/>
      <c r="R7" s="133" t="n"/>
      <c r="S7" s="133" t="n"/>
      <c r="T7" s="15" t="n"/>
    </row>
    <row r="8">
      <c r="A8" s="15" t="n"/>
      <c r="B8" s="15" t="n"/>
      <c r="C8" s="15" t="n"/>
      <c r="D8" s="15" t="n"/>
      <c r="E8" s="15" t="n"/>
      <c r="F8" s="15" t="n"/>
      <c r="G8" s="15" t="n"/>
      <c r="H8" s="15" t="n"/>
      <c r="I8" s="15" t="n"/>
      <c r="J8" s="15" t="n"/>
      <c r="K8" s="174" t="n"/>
      <c r="L8" s="175" t="n"/>
      <c r="M8" s="175" t="n"/>
      <c r="N8" s="174" t="n"/>
      <c r="O8" s="174" t="n"/>
      <c r="P8" s="174" t="n"/>
      <c r="Q8" s="133" t="n"/>
      <c r="R8" s="133" t="n"/>
      <c r="S8" s="133" t="n"/>
      <c r="T8" s="15" t="n"/>
    </row>
    <row r="9">
      <c r="A9" s="15" t="n"/>
      <c r="B9" s="15" t="n"/>
      <c r="C9" s="15" t="n"/>
      <c r="D9" s="15" t="n"/>
      <c r="E9" s="15" t="n"/>
      <c r="F9" s="15" t="n"/>
      <c r="G9" s="15" t="n"/>
      <c r="H9" s="15" t="n"/>
      <c r="I9" s="15" t="n"/>
      <c r="J9" s="15" t="n"/>
      <c r="K9" s="174" t="n"/>
      <c r="L9" s="175" t="n"/>
      <c r="M9" s="175" t="n"/>
      <c r="N9" s="174" t="n"/>
      <c r="O9" s="174" t="n"/>
      <c r="P9" s="174" t="n"/>
      <c r="Q9" s="133" t="n"/>
      <c r="R9" s="133" t="n"/>
      <c r="S9" s="133" t="n"/>
      <c r="T9" s="15" t="n"/>
    </row>
    <row r="10">
      <c r="A10" s="15" t="n"/>
      <c r="B10" s="15" t="n"/>
      <c r="C10" s="15" t="n"/>
      <c r="D10" s="15" t="n"/>
      <c r="E10" s="15" t="n"/>
      <c r="F10" s="15" t="n"/>
      <c r="G10" s="15" t="n"/>
      <c r="H10" s="15" t="n"/>
      <c r="I10" s="15" t="n"/>
      <c r="J10" s="15" t="n"/>
      <c r="K10" s="174" t="n"/>
      <c r="L10" s="175" t="n"/>
      <c r="M10" s="175" t="n"/>
      <c r="N10" s="174" t="n"/>
      <c r="O10" s="174" t="n"/>
      <c r="P10" s="174" t="n"/>
      <c r="Q10" s="133" t="n"/>
      <c r="R10" s="133" t="n"/>
      <c r="S10" s="133" t="n"/>
      <c r="T10" s="15" t="n"/>
    </row>
    <row r="11">
      <c r="A11" s="15" t="n"/>
      <c r="B11" s="15" t="n"/>
      <c r="C11" s="15" t="n"/>
      <c r="D11" s="15" t="n"/>
      <c r="E11" s="15" t="n"/>
      <c r="F11" s="15" t="n"/>
      <c r="G11" s="15" t="n"/>
      <c r="H11" s="15" t="n"/>
      <c r="I11" s="15" t="n"/>
      <c r="J11" s="15" t="n"/>
      <c r="K11" s="174" t="n"/>
      <c r="L11" s="177" t="n"/>
      <c r="M11" s="177" t="n"/>
      <c r="N11" s="178" t="n"/>
      <c r="O11" s="178" t="n"/>
      <c r="P11" s="178" t="n"/>
      <c r="Q11" s="133" t="n"/>
      <c r="R11" s="133" t="n"/>
      <c r="S11" s="133" t="n"/>
      <c r="T11" s="15" t="n"/>
    </row>
    <row r="12">
      <c r="A12" s="15" t="n"/>
      <c r="B12" s="15" t="n"/>
      <c r="C12" s="15" t="n"/>
      <c r="D12" s="15" t="n"/>
      <c r="E12" s="15" t="n"/>
      <c r="F12" s="15" t="n"/>
      <c r="G12" s="15" t="n"/>
      <c r="H12" s="15" t="n"/>
      <c r="I12" s="15" t="n"/>
      <c r="J12" s="15" t="n"/>
      <c r="K12" s="174" t="n"/>
      <c r="L12" s="177" t="n"/>
      <c r="M12" s="177" t="n"/>
      <c r="N12" s="178" t="n"/>
      <c r="O12" s="178" t="n"/>
      <c r="P12" s="178" t="n"/>
      <c r="Q12" s="133" t="n"/>
      <c r="R12" s="133" t="n"/>
      <c r="S12" s="133" t="n"/>
      <c r="T12" s="15" t="n"/>
    </row>
    <row r="13">
      <c r="A13" s="15" t="n"/>
      <c r="B13" s="15" t="n"/>
      <c r="C13" s="15" t="n"/>
      <c r="D13" s="15" t="n"/>
      <c r="E13" s="15" t="n"/>
      <c r="F13" s="15" t="n"/>
      <c r="G13" s="15" t="n"/>
      <c r="H13" s="15" t="n"/>
      <c r="I13" s="15" t="n"/>
      <c r="J13" s="15" t="n"/>
      <c r="K13" s="174" t="n"/>
      <c r="L13" s="177" t="n"/>
      <c r="M13" s="177" t="n"/>
      <c r="N13" s="178" t="n"/>
      <c r="O13" s="178" t="n"/>
      <c r="P13" s="178" t="n"/>
      <c r="Q13" s="133" t="n"/>
      <c r="R13" s="133" t="n"/>
      <c r="S13" s="133" t="n"/>
      <c r="T13" s="15" t="n"/>
    </row>
    <row r="14">
      <c r="A14" s="15" t="n"/>
      <c r="B14" s="15" t="n"/>
      <c r="C14" s="15" t="n"/>
      <c r="D14" s="15" t="n"/>
      <c r="E14" s="15" t="n"/>
      <c r="F14" s="15" t="n"/>
      <c r="G14" s="15" t="n"/>
      <c r="H14" s="15" t="n"/>
      <c r="I14" s="15" t="n"/>
      <c r="J14" s="15" t="n"/>
      <c r="K14" s="174" t="n"/>
      <c r="L14" s="177" t="n"/>
      <c r="M14" s="177" t="n"/>
      <c r="N14" s="178" t="n"/>
      <c r="O14" s="178" t="n"/>
      <c r="P14" s="178" t="n"/>
      <c r="Q14" s="133" t="n"/>
      <c r="R14" s="133" t="n"/>
      <c r="S14" s="133" t="n"/>
      <c r="T14" s="15" t="n"/>
    </row>
    <row r="15">
      <c r="A15" s="15" t="n"/>
      <c r="B15" s="15" t="n"/>
      <c r="C15" s="15" t="n"/>
      <c r="D15" s="15" t="n"/>
      <c r="E15" s="15" t="n"/>
      <c r="F15" s="15" t="n"/>
      <c r="G15" s="15" t="n"/>
      <c r="H15" s="15" t="n"/>
      <c r="I15" s="15" t="n"/>
      <c r="J15" s="15" t="n"/>
      <c r="K15" s="174" t="n"/>
      <c r="L15" s="177" t="n"/>
      <c r="M15" s="177" t="n"/>
      <c r="N15" s="178" t="n"/>
      <c r="O15" s="178" t="n"/>
      <c r="P15" s="178" t="n"/>
      <c r="Q15" s="133" t="n"/>
      <c r="R15" s="133" t="n"/>
      <c r="S15" s="133" t="n"/>
      <c r="T15" s="15" t="n"/>
    </row>
    <row r="16">
      <c r="A16" s="15" t="n"/>
      <c r="B16" s="15" t="n"/>
      <c r="C16" s="15" t="n"/>
      <c r="D16" s="15" t="n"/>
      <c r="E16" s="15" t="n"/>
      <c r="F16" s="15" t="n"/>
      <c r="G16" s="15" t="n"/>
      <c r="H16" s="15" t="n"/>
      <c r="I16" s="15" t="n"/>
      <c r="J16" s="15" t="n"/>
      <c r="K16" s="174" t="n"/>
      <c r="L16" s="177" t="n"/>
      <c r="M16" s="177" t="n"/>
      <c r="N16" s="178" t="n"/>
      <c r="O16" s="178" t="n"/>
      <c r="P16" s="178" t="n"/>
      <c r="Q16" s="133" t="n"/>
      <c r="R16" s="133" t="n"/>
      <c r="S16" s="133" t="n"/>
      <c r="T16" s="15" t="n"/>
    </row>
    <row r="17">
      <c r="A17" s="15" t="n"/>
      <c r="B17" s="15" t="n"/>
      <c r="C17" s="15" t="n"/>
      <c r="D17" s="15" t="n"/>
      <c r="E17" s="15" t="n"/>
      <c r="F17" s="15" t="n"/>
      <c r="G17" s="15" t="n"/>
      <c r="H17" s="15" t="n"/>
      <c r="I17" s="15" t="n"/>
      <c r="J17" s="15" t="n"/>
      <c r="K17" s="174" t="n"/>
      <c r="L17" s="177" t="n"/>
      <c r="M17" s="177" t="n"/>
      <c r="N17" s="178" t="n"/>
      <c r="O17" s="178" t="n"/>
      <c r="P17" s="178" t="n"/>
      <c r="Q17" s="133" t="n"/>
      <c r="R17" s="133" t="n"/>
      <c r="S17" s="133" t="n"/>
      <c r="T17" s="15" t="n"/>
    </row>
    <row r="18">
      <c r="A18" s="15" t="n"/>
      <c r="B18" s="15" t="n"/>
      <c r="C18" s="15" t="n"/>
      <c r="D18" s="15" t="n"/>
      <c r="E18" s="15" t="n"/>
      <c r="F18" s="15" t="n"/>
      <c r="G18" s="15" t="n"/>
      <c r="H18" s="15" t="n"/>
      <c r="I18" s="15" t="n"/>
      <c r="J18" s="15" t="n"/>
      <c r="K18" s="174" t="n"/>
      <c r="L18" s="177" t="n"/>
      <c r="M18" s="177" t="n"/>
      <c r="N18" s="178" t="n"/>
      <c r="O18" s="178" t="n"/>
      <c r="P18" s="178" t="n"/>
      <c r="Q18" s="133" t="n"/>
      <c r="R18" s="133" t="n"/>
      <c r="S18" s="133" t="n"/>
      <c r="T18" s="15" t="n"/>
    </row>
    <row r="19">
      <c r="A19" s="15" t="n"/>
      <c r="B19" s="15" t="n"/>
      <c r="C19" s="15" t="n"/>
      <c r="D19" s="15" t="n"/>
      <c r="E19" s="15" t="n"/>
      <c r="F19" s="15" t="n"/>
      <c r="G19" s="15" t="n"/>
      <c r="H19" s="15" t="n"/>
      <c r="I19" s="15" t="n"/>
      <c r="J19" s="15" t="n"/>
      <c r="K19" s="174" t="n"/>
      <c r="L19" s="177" t="n"/>
      <c r="M19" s="177" t="n"/>
      <c r="N19" s="178" t="n"/>
      <c r="O19" s="178" t="n"/>
      <c r="P19" s="178" t="n"/>
      <c r="Q19" s="133" t="n"/>
      <c r="R19" s="133" t="n"/>
      <c r="S19" s="133" t="n"/>
      <c r="T19" s="15" t="n"/>
    </row>
    <row r="20">
      <c r="A20" s="15" t="n"/>
      <c r="B20" s="15" t="n"/>
      <c r="C20" s="15" t="n"/>
      <c r="D20" s="15" t="n"/>
      <c r="E20" s="15" t="n"/>
      <c r="F20" s="15" t="n"/>
      <c r="G20" s="15" t="n"/>
      <c r="H20" s="15" t="n"/>
      <c r="I20" s="15" t="n"/>
      <c r="J20" s="15" t="n"/>
      <c r="K20" s="174" t="n"/>
      <c r="L20" s="177" t="n"/>
      <c r="M20" s="177" t="n"/>
      <c r="N20" s="178" t="n"/>
      <c r="O20" s="178" t="n"/>
      <c r="P20" s="178" t="n"/>
      <c r="Q20" s="133" t="n"/>
      <c r="R20" s="133" t="n"/>
      <c r="S20" s="133" t="n"/>
      <c r="T20" s="15" t="n"/>
    </row>
    <row r="21">
      <c r="A21" s="15" t="n"/>
      <c r="B21" s="15" t="n"/>
      <c r="C21" s="15" t="n"/>
      <c r="D21" s="15" t="n"/>
      <c r="E21" s="15" t="n"/>
      <c r="F21" s="15" t="n"/>
      <c r="G21" s="15" t="n"/>
      <c r="H21" s="15" t="n"/>
      <c r="I21" s="15" t="n"/>
      <c r="J21" s="15" t="n"/>
      <c r="K21" s="174" t="n"/>
      <c r="L21" s="177" t="n"/>
      <c r="M21" s="177" t="n"/>
      <c r="N21" s="178" t="n"/>
      <c r="O21" s="178" t="n"/>
      <c r="P21" s="178" t="n"/>
      <c r="Q21" s="133" t="n"/>
      <c r="R21" s="133" t="n"/>
      <c r="S21" s="133" t="n"/>
      <c r="T21" s="15" t="n"/>
    </row>
    <row r="22">
      <c r="A22" s="15" t="n"/>
      <c r="B22" s="15" t="n"/>
      <c r="C22" s="15" t="n"/>
      <c r="D22" s="15" t="n"/>
      <c r="E22" s="15" t="n"/>
      <c r="F22" s="15" t="n"/>
      <c r="G22" s="15" t="n"/>
      <c r="H22" s="15" t="n"/>
      <c r="I22" s="15" t="n"/>
      <c r="J22" s="15" t="n"/>
      <c r="K22" s="174" t="n"/>
      <c r="L22" s="177" t="n"/>
      <c r="M22" s="177" t="n"/>
      <c r="N22" s="178" t="n"/>
      <c r="O22" s="178" t="n"/>
      <c r="P22" s="178" t="n"/>
      <c r="Q22" s="133" t="n"/>
      <c r="R22" s="133" t="n"/>
      <c r="S22" s="133" t="n"/>
      <c r="T22" s="15" t="n"/>
    </row>
    <row r="23">
      <c r="A23" s="15" t="n"/>
      <c r="B23" s="15" t="n"/>
      <c r="C23" s="15" t="n"/>
      <c r="D23" s="15" t="n"/>
      <c r="E23" s="15" t="n"/>
      <c r="F23" s="15" t="n"/>
      <c r="G23" s="15" t="n"/>
      <c r="H23" s="15" t="n"/>
      <c r="I23" s="15" t="n"/>
      <c r="J23" s="15" t="n"/>
      <c r="K23" s="174" t="n"/>
      <c r="L23" s="177" t="n"/>
      <c r="M23" s="177" t="n"/>
      <c r="N23" s="178" t="n"/>
      <c r="O23" s="178" t="n"/>
      <c r="P23" s="178" t="n"/>
      <c r="Q23" s="133" t="n"/>
      <c r="R23" s="133" t="n"/>
      <c r="S23" s="133" t="n"/>
      <c r="T23" s="15" t="n"/>
    </row>
    <row r="24">
      <c r="A24" s="15" t="n"/>
      <c r="B24" s="15" t="n"/>
      <c r="C24" s="15" t="n"/>
      <c r="D24" s="15" t="n"/>
      <c r="E24" s="15" t="n"/>
      <c r="F24" s="15" t="n"/>
      <c r="G24" s="15" t="n"/>
      <c r="H24" s="15" t="n"/>
      <c r="I24" s="15" t="n"/>
      <c r="J24" s="15" t="n"/>
      <c r="K24" s="174" t="n"/>
      <c r="L24" s="177" t="n"/>
      <c r="M24" s="177" t="n"/>
      <c r="N24" s="178" t="n"/>
      <c r="O24" s="178" t="n"/>
      <c r="P24" s="178" t="n"/>
      <c r="Q24" s="133" t="n"/>
      <c r="R24" s="133" t="n"/>
      <c r="S24" s="133" t="n"/>
      <c r="T24" s="15" t="n"/>
    </row>
    <row r="25">
      <c r="A25" s="15" t="n"/>
      <c r="B25" s="15" t="n"/>
      <c r="C25" s="15" t="n"/>
      <c r="D25" s="15" t="n"/>
      <c r="E25" s="15" t="n"/>
      <c r="F25" s="15" t="n"/>
      <c r="G25" s="15" t="n"/>
      <c r="H25" s="15" t="n"/>
      <c r="I25" s="15" t="n"/>
      <c r="J25" s="15" t="n"/>
      <c r="K25" s="174" t="n"/>
      <c r="L25" s="177" t="n"/>
      <c r="M25" s="177" t="n"/>
      <c r="N25" s="178" t="n"/>
      <c r="O25" s="178" t="n"/>
      <c r="P25" s="178" t="n"/>
      <c r="Q25" s="133" t="n"/>
      <c r="R25" s="133" t="n"/>
      <c r="S25" s="133" t="n"/>
      <c r="T25" s="15" t="n"/>
    </row>
    <row r="26">
      <c r="A26" s="15" t="n"/>
      <c r="B26" s="15" t="n"/>
      <c r="C26" s="15" t="n"/>
      <c r="D26" s="15" t="n"/>
      <c r="E26" s="15" t="n"/>
      <c r="F26" s="15" t="n"/>
      <c r="G26" s="15" t="n"/>
      <c r="H26" s="15" t="n"/>
      <c r="I26" s="15" t="n"/>
      <c r="J26" s="15" t="n"/>
      <c r="K26" s="174" t="n"/>
      <c r="L26" s="177" t="n"/>
      <c r="M26" s="177" t="n"/>
      <c r="N26" s="178" t="n"/>
      <c r="O26" s="178" t="n"/>
      <c r="P26" s="178" t="n"/>
      <c r="Q26" s="133" t="n"/>
      <c r="R26" s="133" t="n"/>
      <c r="S26" s="133" t="n"/>
      <c r="T26" s="15" t="n"/>
    </row>
    <row r="27">
      <c r="A27" s="15" t="n"/>
      <c r="B27" s="15" t="n"/>
      <c r="C27" s="15" t="n"/>
      <c r="D27" s="15" t="n"/>
      <c r="E27" s="15" t="n"/>
      <c r="F27" s="15" t="n"/>
      <c r="G27" s="15" t="n"/>
      <c r="H27" s="15" t="n"/>
      <c r="I27" s="15" t="n"/>
      <c r="J27" s="15" t="n"/>
      <c r="K27" s="174" t="n"/>
      <c r="L27" s="177" t="n"/>
      <c r="M27" s="177" t="n"/>
      <c r="N27" s="178" t="n"/>
      <c r="O27" s="178" t="n"/>
      <c r="P27" s="178" t="n"/>
      <c r="Q27" s="133" t="n"/>
      <c r="R27" s="133" t="n"/>
      <c r="S27" s="133" t="n"/>
      <c r="T27" s="15" t="n"/>
    </row>
    <row r="28">
      <c r="A28" s="15" t="n"/>
      <c r="B28" s="15" t="n"/>
      <c r="C28" s="15" t="n"/>
      <c r="D28" s="15" t="n"/>
      <c r="E28" s="15" t="n"/>
      <c r="F28" s="15" t="n"/>
      <c r="G28" s="15" t="n"/>
      <c r="H28" s="15" t="n"/>
      <c r="I28" s="15" t="n"/>
      <c r="J28" s="15" t="n"/>
      <c r="K28" s="174" t="n"/>
      <c r="L28" s="177" t="n"/>
      <c r="M28" s="177" t="n"/>
      <c r="N28" s="178" t="n"/>
      <c r="O28" s="178" t="n"/>
      <c r="P28" s="178" t="n"/>
      <c r="Q28" s="133" t="n"/>
      <c r="R28" s="133" t="n"/>
      <c r="S28" s="133" t="n"/>
      <c r="T28" s="15" t="n"/>
    </row>
    <row r="29">
      <c r="A29" s="15" t="n"/>
      <c r="B29" s="15" t="n"/>
      <c r="C29" s="15" t="n"/>
      <c r="D29" s="15" t="n"/>
      <c r="E29" s="15" t="n"/>
      <c r="F29" s="15" t="n"/>
      <c r="G29" s="15" t="n"/>
      <c r="H29" s="15" t="n"/>
      <c r="I29" s="15" t="n"/>
      <c r="J29" s="15" t="n"/>
      <c r="K29" s="174" t="n"/>
      <c r="L29" s="133" t="n"/>
      <c r="M29" s="133" t="n"/>
      <c r="N29" s="15" t="n"/>
      <c r="O29" s="15" t="n"/>
      <c r="P29" s="15" t="n"/>
      <c r="Q29" s="133" t="n"/>
      <c r="R29" s="133" t="n"/>
      <c r="S29" s="133" t="n"/>
      <c r="T29" s="15" t="n"/>
    </row>
    <row r="30">
      <c r="A30" s="15" t="n"/>
      <c r="B30" s="15" t="n"/>
      <c r="C30" s="15" t="n"/>
      <c r="D30" s="15" t="n"/>
      <c r="E30" s="15" t="n"/>
      <c r="F30" s="15" t="n"/>
      <c r="G30" s="15" t="n"/>
      <c r="H30" s="15" t="n"/>
      <c r="I30" s="15" t="n"/>
      <c r="J30" s="15" t="n"/>
      <c r="K30" s="174" t="n"/>
      <c r="L30" s="133" t="n"/>
      <c r="M30" s="133" t="n"/>
      <c r="N30" s="15" t="n"/>
      <c r="O30" s="15" t="n"/>
      <c r="P30" s="15" t="n"/>
      <c r="Q30" s="133" t="n"/>
      <c r="R30" s="133" t="n"/>
      <c r="S30" s="133" t="n"/>
      <c r="T30" s="15" t="n"/>
    </row>
    <row r="31">
      <c r="A31" s="15" t="n"/>
      <c r="B31" s="15" t="n"/>
      <c r="C31" s="15" t="n"/>
      <c r="D31" s="15" t="n"/>
      <c r="E31" s="15" t="n"/>
      <c r="F31" s="15" t="n"/>
      <c r="G31" s="15" t="n"/>
      <c r="H31" s="15" t="n"/>
      <c r="I31" s="15" t="n"/>
      <c r="J31" s="15" t="n"/>
      <c r="K31" s="174" t="n"/>
      <c r="L31" s="133" t="n"/>
      <c r="M31" s="133" t="n"/>
      <c r="N31" s="15" t="n"/>
      <c r="O31" s="15" t="n"/>
      <c r="P31" s="15" t="n"/>
      <c r="Q31" s="133" t="n"/>
      <c r="R31" s="133" t="n"/>
      <c r="S31" s="133" t="n"/>
      <c r="T31" s="15" t="n"/>
    </row>
    <row r="32">
      <c r="A32" s="173" t="n"/>
      <c r="B32" s="179" t="n"/>
      <c r="C32" s="179" t="n"/>
      <c r="D32" s="179" t="n"/>
      <c r="E32" s="179" t="n"/>
      <c r="F32" s="15" t="n"/>
      <c r="G32" s="15" t="n"/>
      <c r="H32" s="15" t="n"/>
      <c r="I32" s="15" t="n"/>
      <c r="J32" s="15" t="n"/>
      <c r="K32" s="174" t="n"/>
      <c r="L32" s="133" t="n"/>
      <c r="M32" s="133" t="n"/>
      <c r="N32" s="15" t="n"/>
      <c r="O32" s="15" t="n"/>
      <c r="P32" s="15" t="n"/>
      <c r="Q32" s="133" t="n"/>
      <c r="R32" s="133" t="n"/>
      <c r="S32" s="133" t="n"/>
      <c r="T32" s="15" t="n"/>
    </row>
    <row r="33">
      <c r="A33" s="22" t="n"/>
      <c r="B33" s="15" t="n"/>
      <c r="C33" s="15" t="n"/>
      <c r="D33" s="15" t="n"/>
      <c r="E33" s="15" t="n"/>
      <c r="F33" s="15" t="n"/>
      <c r="G33" s="15" t="n"/>
      <c r="H33" s="15" t="n"/>
      <c r="I33" s="15" t="n"/>
      <c r="J33" s="15" t="n"/>
      <c r="K33" s="174" t="n"/>
      <c r="L33" s="133" t="n"/>
      <c r="M33" s="133" t="n"/>
      <c r="N33" s="15" t="n"/>
      <c r="O33" s="15" t="n"/>
      <c r="P33" s="15" t="n"/>
      <c r="Q33" s="133" t="n"/>
      <c r="R33" s="133" t="n"/>
      <c r="S33" s="133" t="n"/>
      <c r="T33" s="15" t="n"/>
    </row>
    <row r="34">
      <c r="A34" s="15" t="n"/>
      <c r="B34" s="15" t="n"/>
      <c r="C34" s="15" t="n"/>
      <c r="D34" s="15" t="n"/>
      <c r="E34" s="15" t="n"/>
      <c r="F34" s="15" t="n"/>
      <c r="G34" s="15" t="n"/>
      <c r="H34" s="15" t="n"/>
      <c r="I34" s="15" t="n"/>
      <c r="J34" s="15" t="n"/>
      <c r="K34" s="174" t="n"/>
      <c r="L34" s="133" t="n"/>
      <c r="M34" s="133" t="n"/>
      <c r="N34" s="15" t="n"/>
      <c r="O34" s="15" t="n"/>
      <c r="P34" s="15" t="n"/>
      <c r="Q34" s="133" t="n"/>
      <c r="R34" s="133" t="n"/>
      <c r="S34" s="133" t="n"/>
      <c r="T34" s="15" t="n"/>
    </row>
    <row r="35">
      <c r="A35" s="15" t="n"/>
      <c r="B35" s="15" t="n"/>
      <c r="C35" s="15" t="n"/>
      <c r="D35" s="15" t="n"/>
      <c r="E35" s="15" t="n"/>
      <c r="F35" s="15" t="n"/>
      <c r="G35" s="15" t="n"/>
      <c r="H35" s="15" t="n"/>
      <c r="I35" s="15" t="n"/>
      <c r="J35" s="15" t="n"/>
      <c r="K35" s="174" t="n"/>
      <c r="L35" s="133" t="n"/>
      <c r="M35" s="133" t="n"/>
      <c r="N35" s="15" t="n"/>
      <c r="O35" s="15" t="n"/>
      <c r="P35" s="15" t="n"/>
      <c r="Q35" s="133" t="n"/>
      <c r="R35" s="133" t="n"/>
      <c r="S35" s="133" t="n"/>
      <c r="T35" s="15" t="n"/>
    </row>
    <row r="36">
      <c r="A36" s="15" t="n"/>
      <c r="B36" s="15" t="n"/>
      <c r="C36" s="15" t="n"/>
      <c r="D36" s="15" t="n"/>
      <c r="E36" s="15" t="n"/>
      <c r="F36" s="15" t="n"/>
      <c r="G36" s="15" t="n"/>
      <c r="H36" s="15" t="n"/>
      <c r="I36" s="15" t="n"/>
      <c r="J36" s="15" t="n"/>
      <c r="K36" s="174" t="n"/>
      <c r="L36" s="133" t="n"/>
      <c r="M36" s="15" t="n"/>
      <c r="N36" s="15" t="n"/>
      <c r="O36" s="15" t="n"/>
      <c r="P36" s="15" t="n"/>
      <c r="Q36" s="133" t="n"/>
      <c r="R36" s="133" t="n"/>
      <c r="S36" s="133" t="n"/>
      <c r="T36" s="15" t="n"/>
    </row>
    <row r="37">
      <c r="A37" s="15" t="n"/>
      <c r="B37" s="15" t="n"/>
      <c r="C37" s="15" t="n"/>
      <c r="D37" s="15" t="n"/>
      <c r="E37" s="15" t="n"/>
      <c r="F37" s="15" t="n"/>
      <c r="G37" s="15" t="n"/>
      <c r="H37" s="15" t="n"/>
      <c r="I37" s="15" t="n"/>
      <c r="J37" s="15" t="n"/>
      <c r="K37" s="174" t="n"/>
      <c r="L37" s="133" t="n"/>
      <c r="M37" s="133" t="n"/>
      <c r="N37" s="15" t="n"/>
      <c r="O37" s="15" t="n"/>
      <c r="P37" s="15" t="n"/>
      <c r="Q37" s="133" t="n"/>
      <c r="R37" s="133" t="n"/>
      <c r="S37" s="133" t="n"/>
      <c r="T37" s="15" t="n"/>
    </row>
    <row r="38">
      <c r="A38" s="15" t="n"/>
      <c r="B38" s="15" t="n"/>
      <c r="C38" s="15" t="n"/>
      <c r="D38" s="15" t="n"/>
      <c r="E38" s="15" t="n"/>
      <c r="F38" s="15" t="n"/>
      <c r="G38" s="15" t="n"/>
      <c r="H38" s="15" t="n"/>
      <c r="I38" s="15" t="n"/>
      <c r="J38" s="15" t="n"/>
      <c r="K38" s="174" t="n"/>
      <c r="L38" s="133" t="n"/>
      <c r="M38" s="133" t="n"/>
      <c r="N38" s="15" t="n"/>
      <c r="O38" s="15" t="n"/>
      <c r="P38" s="15" t="n"/>
      <c r="Q38" s="133" t="n"/>
      <c r="R38" s="133" t="n"/>
      <c r="S38" s="133" t="n"/>
      <c r="T38" s="15" t="n"/>
    </row>
    <row r="39">
      <c r="A39" s="15" t="n"/>
      <c r="B39" s="15" t="n"/>
      <c r="C39" s="15" t="n"/>
      <c r="D39" s="15" t="n"/>
      <c r="E39" s="15" t="n"/>
      <c r="F39" s="15" t="n"/>
      <c r="G39" s="15" t="n"/>
      <c r="H39" s="15" t="n"/>
      <c r="I39" s="15" t="n"/>
      <c r="J39" s="15" t="n"/>
      <c r="K39" s="174" t="n"/>
      <c r="L39" s="133" t="n"/>
      <c r="M39" s="133" t="n"/>
      <c r="N39" s="15" t="n"/>
      <c r="O39" s="15" t="n"/>
      <c r="P39" s="15" t="n"/>
      <c r="Q39" s="133" t="n"/>
      <c r="R39" s="133" t="n"/>
      <c r="S39" s="133" t="n"/>
      <c r="T39" s="15" t="n"/>
    </row>
    <row r="40">
      <c r="A40" s="15" t="n"/>
      <c r="B40" s="15" t="n"/>
      <c r="C40" s="15" t="n"/>
      <c r="D40" s="15" t="n"/>
      <c r="E40" s="15" t="n"/>
      <c r="F40" s="15" t="n"/>
      <c r="G40" s="15" t="n"/>
      <c r="H40" s="15" t="n"/>
      <c r="I40" s="15" t="n"/>
      <c r="J40" s="15" t="n"/>
      <c r="K40" s="174" t="n"/>
      <c r="L40" s="133" t="n"/>
      <c r="M40" s="133" t="n"/>
      <c r="N40" s="15" t="n"/>
      <c r="O40" s="15" t="n"/>
      <c r="P40" s="15" t="n"/>
      <c r="Q40" s="133" t="n"/>
      <c r="R40" s="133" t="n"/>
      <c r="S40" s="133" t="n"/>
      <c r="T40" s="15" t="n"/>
    </row>
    <row r="41">
      <c r="A41" s="173" t="n"/>
      <c r="B41" s="179" t="n"/>
      <c r="C41" s="179" t="n"/>
      <c r="D41" s="15" t="n"/>
      <c r="E41" s="15" t="n"/>
      <c r="F41" s="15" t="n"/>
      <c r="G41" s="15" t="n"/>
      <c r="H41" s="15" t="n"/>
      <c r="I41" s="15" t="n"/>
      <c r="J41" s="15" t="n"/>
      <c r="K41" s="174" t="n"/>
      <c r="L41" s="133" t="n"/>
      <c r="M41" s="133" t="n"/>
      <c r="N41" s="15" t="n"/>
      <c r="O41" s="15" t="n"/>
      <c r="P41" s="15" t="n"/>
      <c r="Q41" s="133" t="n"/>
      <c r="R41" s="133" t="n"/>
      <c r="S41" s="133" t="n"/>
      <c r="T41" s="15" t="n"/>
    </row>
    <row r="42">
      <c r="A42" s="15" t="n"/>
      <c r="B42" s="15" t="n"/>
      <c r="C42" s="15" t="n"/>
      <c r="D42" s="15" t="n"/>
      <c r="E42" s="15" t="n"/>
      <c r="F42" s="15" t="n"/>
      <c r="G42" s="15" t="n"/>
      <c r="H42" s="15" t="n"/>
      <c r="I42" s="15" t="n"/>
      <c r="J42" s="15" t="n"/>
      <c r="K42" s="174" t="n"/>
      <c r="L42" s="133" t="n"/>
      <c r="M42" s="133" t="n"/>
      <c r="N42" s="15" t="n"/>
      <c r="O42" s="133" t="n"/>
      <c r="P42" s="133" t="n"/>
      <c r="Q42" s="133" t="n"/>
      <c r="R42" s="133" t="n"/>
      <c r="S42" s="133" t="n"/>
      <c r="T42" s="15" t="n"/>
    </row>
    <row r="43">
      <c r="A43" s="15" t="n"/>
      <c r="B43" s="15" t="n"/>
      <c r="C43" s="15" t="n"/>
      <c r="D43" s="15" t="n"/>
      <c r="F43" s="15" t="n"/>
      <c r="G43" s="15" t="n"/>
      <c r="H43" s="15" t="n"/>
      <c r="I43" s="15" t="n"/>
      <c r="J43" s="15" t="n"/>
      <c r="K43" s="174" t="n"/>
      <c r="L43" s="133" t="n"/>
      <c r="M43" s="133" t="n"/>
      <c r="N43" s="15" t="n"/>
      <c r="O43" s="133" t="n"/>
      <c r="P43" s="133" t="n"/>
      <c r="Q43" s="133" t="n"/>
      <c r="R43" s="133" t="n"/>
      <c r="S43" s="133" t="n"/>
      <c r="T43" s="15" t="n"/>
    </row>
    <row r="44">
      <c r="A44" s="15" t="n"/>
      <c r="B44" s="15" t="n"/>
      <c r="C44" s="15" t="n"/>
      <c r="D44" s="15" t="n"/>
      <c r="E44" s="15" t="n"/>
      <c r="F44" s="15" t="n"/>
      <c r="G44" s="15" t="n"/>
      <c r="H44" s="15" t="n"/>
      <c r="I44" s="15" t="n"/>
      <c r="J44" s="15" t="n"/>
      <c r="K44" s="174" t="n"/>
      <c r="L44" s="133" t="n"/>
      <c r="M44" s="133" t="n"/>
      <c r="N44" s="15" t="n"/>
      <c r="O44" s="15" t="n"/>
      <c r="P44" s="15" t="n"/>
      <c r="Q44" s="133" t="n"/>
      <c r="R44" s="133" t="n"/>
      <c r="S44" s="133" t="n"/>
      <c r="T44" s="15" t="n"/>
    </row>
    <row r="45">
      <c r="A45" s="15" t="n"/>
      <c r="B45" s="15" t="n"/>
      <c r="C45" s="15" t="n"/>
      <c r="D45" s="15" t="n"/>
      <c r="F45" s="15" t="n"/>
      <c r="G45" s="15" t="n"/>
      <c r="H45" s="15" t="n"/>
      <c r="I45" s="15" t="n"/>
      <c r="J45" s="15" t="n"/>
      <c r="K45" s="174" t="n"/>
      <c r="L45" s="133" t="n"/>
      <c r="M45" s="133" t="n"/>
      <c r="N45" s="180" t="n"/>
      <c r="O45" s="15" t="n"/>
      <c r="P45" s="15" t="n"/>
      <c r="Q45" s="133" t="n"/>
      <c r="R45" s="133" t="n"/>
      <c r="S45" s="133" t="n"/>
      <c r="T45" s="15" t="n"/>
    </row>
    <row r="46">
      <c r="A46" s="15" t="n"/>
      <c r="B46" s="15" t="n"/>
      <c r="C46" s="15" t="n"/>
      <c r="D46" s="15" t="n"/>
      <c r="E46" s="15" t="n"/>
      <c r="F46" s="15" t="n"/>
      <c r="G46" s="15" t="n"/>
      <c r="H46" s="15" t="n"/>
      <c r="I46" s="15" t="n"/>
      <c r="J46" s="15" t="n"/>
      <c r="K46" s="174" t="n"/>
      <c r="L46" s="133" t="n"/>
      <c r="M46" s="133" t="n"/>
      <c r="N46" s="15" t="n"/>
      <c r="O46" s="15" t="n"/>
      <c r="P46" s="15" t="n"/>
      <c r="Q46" s="133" t="n"/>
      <c r="R46" s="133" t="n"/>
      <c r="S46" s="133" t="n"/>
      <c r="T46" s="15" t="n"/>
    </row>
    <row r="47">
      <c r="A47" s="15" t="n"/>
      <c r="B47" s="15" t="n"/>
      <c r="C47" s="15" t="n"/>
      <c r="D47" s="15" t="n"/>
      <c r="E47" s="15" t="n"/>
      <c r="F47" s="15" t="n"/>
      <c r="G47" s="15" t="n"/>
      <c r="H47" s="15" t="n"/>
      <c r="I47" s="15" t="n"/>
      <c r="J47" s="15" t="n"/>
      <c r="K47" s="174" t="n"/>
      <c r="L47" s="133" t="n"/>
      <c r="M47" s="133" t="n"/>
      <c r="N47" s="15" t="n"/>
      <c r="O47" s="15" t="n"/>
      <c r="P47" s="15" t="n"/>
      <c r="Q47" s="133" t="n"/>
      <c r="R47" s="133" t="n"/>
      <c r="S47" s="133" t="n"/>
      <c r="T47" s="15" t="n"/>
    </row>
    <row r="48">
      <c r="A48" s="23" t="n"/>
      <c r="B48" s="15" t="n"/>
      <c r="C48" s="15" t="n"/>
      <c r="D48" s="15" t="n"/>
      <c r="E48" s="15" t="n"/>
      <c r="F48" s="15" t="n"/>
      <c r="G48" s="15" t="n"/>
      <c r="H48" s="15" t="n"/>
      <c r="I48" s="15" t="n"/>
      <c r="J48" s="15" t="n"/>
      <c r="K48" s="174" t="n"/>
      <c r="L48" s="133" t="n"/>
      <c r="M48" s="133" t="n"/>
      <c r="N48" s="15" t="n"/>
      <c r="O48" s="15" t="n"/>
      <c r="P48" s="15" t="n"/>
      <c r="Q48" s="133" t="n"/>
      <c r="R48" s="133" t="n"/>
      <c r="S48" s="133" t="n"/>
      <c r="T48" s="15" t="n"/>
    </row>
    <row r="49">
      <c r="A49" s="24" t="n"/>
      <c r="B49" s="15" t="n"/>
      <c r="C49" s="15" t="n"/>
      <c r="D49" s="15" t="n"/>
      <c r="E49" s="15" t="n"/>
      <c r="F49" s="15" t="n"/>
      <c r="G49" s="15" t="n"/>
      <c r="H49" s="15" t="n"/>
      <c r="I49" s="15" t="n"/>
      <c r="J49" s="15" t="n"/>
      <c r="K49" s="174" t="n"/>
      <c r="L49" s="133" t="n"/>
      <c r="M49" s="133" t="n"/>
      <c r="N49" s="15" t="n"/>
      <c r="O49" s="15" t="n"/>
      <c r="P49" s="15" t="n"/>
      <c r="Q49" s="133" t="n"/>
      <c r="R49" s="133" t="n"/>
      <c r="S49" s="133" t="n"/>
      <c r="T49" s="15" t="n"/>
    </row>
    <row r="50">
      <c r="A50" s="24" t="n"/>
      <c r="B50" s="15" t="n"/>
      <c r="C50" s="15" t="n"/>
      <c r="D50" s="15" t="n"/>
      <c r="E50" s="15" t="n"/>
      <c r="F50" s="15" t="n"/>
      <c r="G50" s="15" t="n"/>
      <c r="H50" s="15" t="n"/>
      <c r="I50" s="15" t="n"/>
      <c r="J50" s="15" t="n"/>
      <c r="K50" s="174" t="n"/>
      <c r="L50" s="133" t="n"/>
      <c r="M50" s="133" t="n"/>
      <c r="N50" s="15" t="n"/>
      <c r="O50" s="15" t="n"/>
      <c r="P50" s="15" t="n"/>
      <c r="Q50" s="133" t="n"/>
      <c r="R50" s="133" t="n"/>
      <c r="S50" s="133" t="n"/>
      <c r="T50" s="15" t="n"/>
    </row>
    <row r="51">
      <c r="A51" s="24" t="n"/>
      <c r="B51" s="15" t="n"/>
      <c r="C51" s="15" t="n"/>
      <c r="D51" s="15" t="n"/>
      <c r="E51" s="15" t="n"/>
      <c r="F51" s="15" t="n"/>
      <c r="G51" s="15" t="n"/>
      <c r="H51" s="15" t="n"/>
      <c r="I51" s="15" t="n"/>
      <c r="J51" s="15" t="n"/>
      <c r="K51" s="174" t="n"/>
      <c r="L51" s="133" t="n"/>
      <c r="M51" s="133" t="n"/>
      <c r="N51" s="15" t="n"/>
      <c r="O51" s="15" t="n"/>
      <c r="P51" s="15" t="n"/>
      <c r="Q51" s="133" t="n"/>
      <c r="R51" s="133" t="n"/>
      <c r="S51" s="133" t="n"/>
      <c r="T51" s="15" t="n"/>
    </row>
    <row r="52">
      <c r="A52" s="24" t="n"/>
      <c r="B52" s="15" t="n"/>
      <c r="C52" s="15" t="n"/>
      <c r="D52" s="15" t="n"/>
      <c r="E52" s="15" t="n"/>
      <c r="F52" s="15" t="n"/>
      <c r="G52" s="15" t="n"/>
      <c r="H52" s="15" t="n"/>
      <c r="I52" s="15" t="n"/>
      <c r="J52" s="15" t="n"/>
      <c r="K52" s="174" t="n"/>
      <c r="L52" s="133" t="n"/>
      <c r="M52" s="133" t="n"/>
      <c r="N52" s="15" t="n"/>
      <c r="O52" s="15" t="n"/>
      <c r="P52" s="15" t="n"/>
      <c r="Q52" s="133" t="n"/>
      <c r="R52" s="133" t="n"/>
      <c r="S52" s="133" t="n"/>
      <c r="T52" s="15" t="n"/>
    </row>
    <row r="53">
      <c r="A53" s="25" t="n"/>
      <c r="B53" s="15" t="n"/>
      <c r="C53" s="15" t="n"/>
      <c r="D53" s="15" t="n"/>
      <c r="E53" s="15" t="n"/>
      <c r="F53" s="15" t="n"/>
      <c r="G53" s="15" t="n"/>
      <c r="H53" s="15" t="n"/>
      <c r="I53" s="15" t="n"/>
      <c r="J53" s="15" t="n"/>
      <c r="K53" s="174" t="n"/>
      <c r="L53" s="133" t="n"/>
      <c r="M53" s="133" t="n"/>
      <c r="N53" s="15" t="n"/>
      <c r="O53" s="15" t="n"/>
      <c r="P53" s="15" t="n"/>
      <c r="Q53" s="133" t="n"/>
      <c r="R53" s="133" t="n"/>
      <c r="S53" s="133" t="n"/>
      <c r="T53" s="15" t="n"/>
    </row>
    <row r="54">
      <c r="A54" s="24" t="n"/>
      <c r="B54" s="15" t="n"/>
      <c r="C54" s="15" t="n"/>
      <c r="D54" s="15" t="n"/>
      <c r="E54" s="15" t="n"/>
      <c r="F54" s="15" t="n"/>
      <c r="G54" s="15" t="n"/>
      <c r="H54" s="15" t="n"/>
      <c r="I54" s="15" t="n"/>
      <c r="J54" s="15" t="n"/>
      <c r="K54" s="174" t="n"/>
      <c r="L54" s="133" t="n"/>
      <c r="M54" s="133" t="n"/>
      <c r="N54" s="15" t="n"/>
      <c r="O54" s="15" t="n"/>
      <c r="P54" s="15" t="n"/>
      <c r="Q54" s="133" t="n"/>
      <c r="R54" s="133" t="n"/>
      <c r="S54" s="133" t="n"/>
      <c r="T54" s="15" t="n"/>
    </row>
    <row r="55">
      <c r="A55" s="24" t="n"/>
      <c r="B55" s="15" t="n"/>
      <c r="C55" s="15" t="n"/>
      <c r="D55" s="15" t="n"/>
      <c r="E55" s="15" t="n"/>
      <c r="F55" s="15" t="n"/>
      <c r="G55" s="15" t="n"/>
      <c r="H55" s="15" t="n"/>
      <c r="I55" s="15" t="n"/>
      <c r="J55" s="15" t="n"/>
      <c r="K55" s="174" t="n"/>
      <c r="L55" s="133" t="n"/>
      <c r="M55" s="133" t="n"/>
      <c r="N55" s="15" t="n"/>
      <c r="O55" s="15" t="n"/>
      <c r="P55" s="15" t="n"/>
      <c r="Q55" s="133" t="n"/>
      <c r="R55" s="133" t="n"/>
      <c r="S55" s="133" t="n"/>
      <c r="T55" s="15" t="n"/>
    </row>
    <row r="56">
      <c r="A56" s="24" t="n"/>
      <c r="B56" s="15" t="n"/>
      <c r="C56" s="15" t="n"/>
      <c r="D56" s="15" t="n"/>
      <c r="E56" s="15" t="n"/>
      <c r="F56" s="15" t="n"/>
      <c r="G56" s="15" t="n"/>
      <c r="H56" s="15" t="n"/>
      <c r="I56" s="15" t="n"/>
      <c r="J56" s="15" t="n"/>
      <c r="K56" s="174" t="n"/>
      <c r="L56" s="133" t="n"/>
      <c r="M56" s="133" t="n"/>
      <c r="N56" s="15" t="n"/>
      <c r="O56" s="15" t="n"/>
      <c r="P56" s="15" t="n"/>
      <c r="Q56" s="133" t="n"/>
      <c r="R56" s="133" t="n"/>
      <c r="S56" s="133" t="n"/>
      <c r="T56" s="15" t="n"/>
    </row>
    <row r="57">
      <c r="A57" s="24" t="n"/>
      <c r="B57" s="15" t="n"/>
      <c r="C57" s="15" t="n"/>
      <c r="D57" s="15" t="n"/>
      <c r="E57" s="15" t="n"/>
      <c r="F57" s="15" t="n"/>
      <c r="G57" s="15" t="n"/>
      <c r="H57" s="15" t="n"/>
      <c r="I57" s="15" t="n"/>
      <c r="J57" s="15" t="n"/>
      <c r="K57" s="174" t="n"/>
      <c r="L57" s="133" t="n"/>
      <c r="M57" s="133" t="n"/>
      <c r="N57" s="15" t="n"/>
      <c r="O57" s="15" t="n"/>
      <c r="P57" s="15" t="n"/>
      <c r="Q57" s="133" t="n"/>
      <c r="R57" s="133" t="n"/>
      <c r="S57" s="133" t="n"/>
      <c r="T57" s="15" t="n"/>
    </row>
    <row r="58">
      <c r="A58" s="25" t="n"/>
      <c r="B58" s="15" t="n"/>
      <c r="C58" s="15" t="n"/>
      <c r="D58" s="15" t="n"/>
      <c r="E58" s="15" t="n"/>
      <c r="F58" s="15" t="n"/>
      <c r="G58" s="15" t="n"/>
      <c r="H58" s="15" t="n"/>
      <c r="I58" s="15" t="n"/>
      <c r="J58" s="15" t="n"/>
      <c r="K58" s="174" t="n"/>
      <c r="L58" s="133" t="n"/>
      <c r="M58" s="133" t="n"/>
      <c r="N58" s="15" t="n"/>
      <c r="O58" s="15" t="n"/>
      <c r="P58" s="15" t="n"/>
      <c r="Q58" s="133" t="n"/>
      <c r="R58" s="133" t="n"/>
      <c r="S58" s="133" t="n"/>
      <c r="T58" s="15" t="n"/>
    </row>
    <row r="59">
      <c r="A59" s="15" t="n"/>
      <c r="B59" s="15" t="n"/>
      <c r="C59" s="15" t="n"/>
      <c r="D59" s="15" t="n"/>
      <c r="E59" s="15" t="n"/>
      <c r="F59" s="15" t="n"/>
      <c r="G59" s="15" t="n"/>
      <c r="H59" s="15" t="n"/>
      <c r="I59" s="15" t="n"/>
      <c r="J59" s="15" t="n"/>
      <c r="K59" s="174" t="n"/>
      <c r="L59" s="133" t="n"/>
      <c r="M59" s="133" t="n"/>
      <c r="N59" s="180" t="n"/>
      <c r="O59" s="15" t="n"/>
      <c r="P59" s="15" t="n"/>
      <c r="Q59" s="133" t="n"/>
      <c r="R59" s="133" t="n"/>
      <c r="S59" s="133" t="n"/>
      <c r="T59" s="15" t="n"/>
    </row>
    <row r="60">
      <c r="A60" s="15" t="n"/>
      <c r="B60" s="15" t="n"/>
      <c r="C60" s="15" t="n"/>
      <c r="D60" s="15" t="n"/>
      <c r="E60" s="15" t="n"/>
      <c r="F60" s="15" t="n"/>
      <c r="G60" s="15" t="n"/>
      <c r="H60" s="15" t="n"/>
      <c r="I60" s="15" t="n"/>
      <c r="J60" s="15" t="n"/>
      <c r="K60" s="174" t="n"/>
      <c r="L60" s="133" t="n"/>
      <c r="M60" s="133" t="n"/>
      <c r="N60" s="15" t="n"/>
      <c r="O60" s="15" t="n"/>
      <c r="P60" s="15" t="n"/>
      <c r="Q60" s="133" t="n"/>
      <c r="R60" s="133" t="n"/>
      <c r="S60" s="133" t="n"/>
      <c r="T60" s="15" t="n"/>
    </row>
    <row r="61">
      <c r="A61" s="15" t="n"/>
      <c r="B61" s="15" t="n"/>
      <c r="C61" s="15" t="n"/>
      <c r="D61" s="15" t="n"/>
      <c r="E61" s="15" t="n"/>
      <c r="F61" s="15" t="n"/>
      <c r="G61" s="15" t="n"/>
      <c r="H61" s="15" t="n"/>
      <c r="I61" s="15" t="n"/>
      <c r="J61" s="15" t="n"/>
      <c r="K61" s="174" t="n"/>
      <c r="L61" s="133" t="n"/>
      <c r="M61" s="133" t="n"/>
      <c r="N61" s="15" t="n"/>
      <c r="O61" s="15" t="n"/>
      <c r="P61" s="15" t="n"/>
      <c r="Q61" s="133" t="n"/>
      <c r="R61" s="133" t="n"/>
      <c r="S61" s="133" t="n"/>
      <c r="T61" s="15" t="n"/>
    </row>
    <row r="62">
      <c r="A62" s="15" t="n"/>
      <c r="B62" s="15" t="n"/>
      <c r="C62" s="15" t="n"/>
      <c r="D62" s="15" t="n"/>
      <c r="E62" s="15" t="n"/>
      <c r="F62" s="15" t="n"/>
      <c r="G62" s="15" t="n"/>
      <c r="H62" s="15" t="n"/>
      <c r="I62" s="15" t="n"/>
      <c r="J62" s="15" t="n"/>
      <c r="K62" s="174" t="n"/>
      <c r="L62" s="133" t="n"/>
      <c r="M62" s="133" t="n"/>
      <c r="N62" s="15" t="n"/>
      <c r="O62" s="15" t="n"/>
      <c r="P62" s="15" t="n"/>
      <c r="Q62" s="133" t="n"/>
      <c r="R62" s="133" t="n"/>
      <c r="S62" s="133" t="n"/>
      <c r="T62" s="15" t="n"/>
    </row>
    <row r="63">
      <c r="A63" s="15" t="n"/>
      <c r="B63" s="15" t="n"/>
      <c r="C63" s="15" t="n"/>
      <c r="D63" s="15" t="n"/>
      <c r="E63" s="15" t="n"/>
      <c r="F63" s="15" t="n"/>
      <c r="G63" s="15" t="n"/>
      <c r="H63" s="15" t="n"/>
      <c r="I63" s="15" t="n"/>
      <c r="J63" s="15" t="n"/>
      <c r="K63" s="174" t="n"/>
      <c r="L63" s="133" t="n"/>
      <c r="M63" s="133" t="n"/>
      <c r="N63" s="15" t="n"/>
      <c r="O63" s="15" t="n"/>
      <c r="P63" s="15" t="n"/>
      <c r="Q63" s="133" t="n"/>
      <c r="R63" s="133" t="n"/>
      <c r="S63" s="133" t="n"/>
      <c r="T63" s="15" t="n"/>
    </row>
    <row r="64">
      <c r="A64" s="173" t="n"/>
      <c r="B64" s="179" t="n"/>
      <c r="C64" s="179" t="n"/>
      <c r="D64" s="15" t="n"/>
      <c r="E64" s="15" t="n"/>
      <c r="F64" s="15" t="n"/>
      <c r="G64" s="15" t="n"/>
      <c r="H64" s="15" t="n"/>
      <c r="I64" s="15" t="n"/>
      <c r="J64" s="15" t="n"/>
      <c r="K64" s="174" t="n"/>
      <c r="L64" s="133" t="n"/>
      <c r="M64" s="133" t="n"/>
      <c r="N64" s="15" t="n"/>
      <c r="O64" s="15" t="n"/>
      <c r="P64" s="15" t="n"/>
      <c r="Q64" s="133" t="n"/>
      <c r="R64" s="133" t="n"/>
      <c r="S64" s="133" t="n"/>
      <c r="T64" s="15" t="n"/>
    </row>
    <row r="65">
      <c r="A65" s="22" t="n"/>
      <c r="B65" s="15" t="n"/>
      <c r="C65" s="15" t="n"/>
      <c r="D65" s="15" t="n"/>
      <c r="E65" s="15" t="n"/>
      <c r="F65" s="15" t="n"/>
      <c r="G65" s="15" t="n"/>
      <c r="H65" s="15" t="n"/>
      <c r="I65" s="15" t="n"/>
      <c r="J65" s="15" t="n"/>
      <c r="K65" s="174" t="n"/>
      <c r="L65" s="133" t="n"/>
      <c r="M65" s="133" t="n"/>
      <c r="N65" s="15" t="n"/>
      <c r="O65" s="15" t="n"/>
      <c r="P65" s="15" t="n"/>
      <c r="Q65" s="133" t="n"/>
      <c r="R65" s="133" t="n"/>
      <c r="S65" s="133" t="n"/>
      <c r="T65" s="15" t="n"/>
    </row>
    <row r="66">
      <c r="A66" s="15" t="n"/>
      <c r="B66" s="15" t="n"/>
      <c r="C66" s="15" t="n"/>
      <c r="D66" s="15" t="n"/>
      <c r="E66" s="15" t="n"/>
      <c r="F66" s="15" t="n"/>
      <c r="G66" s="15" t="n"/>
      <c r="H66" s="15" t="n"/>
      <c r="I66" s="15" t="n"/>
      <c r="J66" s="15" t="n"/>
      <c r="K66" s="174" t="n"/>
      <c r="L66" s="133" t="n"/>
      <c r="M66" s="133" t="n"/>
      <c r="N66" s="15" t="n"/>
      <c r="O66" s="15" t="n"/>
      <c r="P66" s="15" t="n"/>
      <c r="Q66" s="133" t="n"/>
      <c r="R66" s="133" t="n"/>
      <c r="S66" s="133" t="n"/>
      <c r="T66" s="15" t="n"/>
    </row>
    <row r="67">
      <c r="A67" s="15" t="n"/>
      <c r="B67" s="15" t="n"/>
      <c r="C67" s="15" t="n"/>
      <c r="D67" s="15" t="n"/>
      <c r="E67" s="15" t="n"/>
      <c r="F67" s="15" t="n"/>
      <c r="G67" s="15" t="n"/>
      <c r="H67" s="15" t="n"/>
      <c r="I67" s="15" t="n"/>
      <c r="J67" s="15" t="n"/>
      <c r="K67" s="174" t="n"/>
      <c r="L67" s="133" t="n"/>
      <c r="M67" s="133" t="n"/>
      <c r="N67" s="15" t="n"/>
      <c r="O67" s="15" t="n"/>
      <c r="P67" s="15" t="n"/>
      <c r="Q67" s="133" t="n"/>
      <c r="R67" s="133" t="n"/>
      <c r="S67" s="133" t="n"/>
      <c r="T67" s="15" t="n"/>
    </row>
    <row r="68">
      <c r="A68" s="15" t="n"/>
      <c r="B68" s="15" t="n"/>
      <c r="C68" s="15" t="n"/>
      <c r="D68" s="15" t="n"/>
      <c r="E68" s="15" t="n"/>
      <c r="F68" s="15" t="n"/>
      <c r="G68" s="15" t="n"/>
      <c r="H68" s="15" t="n"/>
      <c r="I68" s="15" t="n"/>
      <c r="J68" s="15" t="n"/>
      <c r="K68" s="174" t="n"/>
      <c r="L68" s="133" t="n"/>
      <c r="M68" s="133" t="n"/>
      <c r="N68" s="15" t="n"/>
      <c r="O68" s="15" t="n"/>
      <c r="P68" s="15" t="n"/>
      <c r="Q68" s="133" t="n"/>
      <c r="R68" s="133" t="n"/>
      <c r="S68" s="133" t="n"/>
      <c r="T68" s="15" t="n"/>
    </row>
    <row r="69">
      <c r="A69" s="15" t="n"/>
      <c r="B69" s="15" t="n"/>
      <c r="C69" s="15" t="n"/>
      <c r="D69" s="15" t="n"/>
      <c r="E69" s="15" t="n"/>
      <c r="F69" s="15" t="n"/>
      <c r="G69" s="15" t="n"/>
      <c r="H69" s="15" t="n"/>
      <c r="I69" s="15" t="n"/>
      <c r="J69" s="15" t="n"/>
      <c r="K69" s="174" t="n"/>
      <c r="L69" s="133" t="n"/>
      <c r="M69" s="133" t="n"/>
      <c r="N69" s="15" t="n"/>
      <c r="O69" s="15" t="n"/>
      <c r="P69" s="15" t="n"/>
      <c r="Q69" s="133" t="n"/>
      <c r="R69" s="133" t="n"/>
      <c r="S69" s="133" t="n"/>
      <c r="T69" s="15" t="n"/>
    </row>
    <row r="70">
      <c r="A70" s="15" t="n"/>
      <c r="B70" s="15" t="n"/>
      <c r="C70" s="15" t="n"/>
      <c r="D70" s="15" t="n"/>
      <c r="E70" s="15" t="n"/>
      <c r="F70" s="15" t="n"/>
      <c r="G70" s="15" t="n"/>
      <c r="H70" s="15" t="n"/>
      <c r="I70" s="15" t="n"/>
      <c r="J70" s="15" t="n"/>
      <c r="K70" s="174" t="n"/>
      <c r="L70" s="133" t="n"/>
      <c r="M70" s="133" t="n"/>
      <c r="N70" s="15" t="n"/>
      <c r="O70" s="15" t="n"/>
      <c r="P70" s="15" t="n"/>
      <c r="Q70" s="133" t="n"/>
      <c r="R70" s="133" t="n"/>
      <c r="S70" s="133" t="n"/>
      <c r="T70" s="15" t="n"/>
    </row>
    <row r="71">
      <c r="A71" s="8" t="n"/>
      <c r="B71" s="179" t="n"/>
      <c r="C71" s="179" t="n"/>
      <c r="D71" s="15" t="n"/>
      <c r="E71" s="15" t="n"/>
      <c r="F71" s="15" t="n"/>
      <c r="G71" s="15" t="n"/>
      <c r="H71" s="15" t="n"/>
      <c r="I71" s="15" t="n"/>
      <c r="J71" s="15" t="n"/>
      <c r="K71" s="174" t="n"/>
      <c r="L71" s="133" t="n"/>
      <c r="M71" s="133" t="n"/>
      <c r="N71" s="15" t="n"/>
      <c r="O71" s="15" t="n"/>
      <c r="P71" s="15" t="n"/>
      <c r="Q71" s="133" t="n"/>
      <c r="R71" s="133" t="n"/>
      <c r="S71" s="133" t="n"/>
      <c r="T71" s="15" t="n"/>
    </row>
    <row r="72">
      <c r="A72" s="15" t="n"/>
      <c r="B72" s="15" t="n"/>
      <c r="C72" s="15" t="n"/>
      <c r="D72" s="15" t="n"/>
      <c r="E72" s="15" t="n"/>
      <c r="F72" s="15" t="n"/>
      <c r="G72" s="15" t="n"/>
      <c r="H72" s="15" t="n"/>
      <c r="I72" s="15" t="n"/>
      <c r="J72" s="15" t="n"/>
      <c r="K72" s="174" t="n"/>
      <c r="L72" s="133" t="n"/>
      <c r="M72" s="133" t="n"/>
      <c r="N72" s="15" t="n"/>
      <c r="O72" s="15" t="n"/>
      <c r="P72" s="15" t="n"/>
      <c r="Q72" s="133" t="n"/>
      <c r="R72" s="133" t="n"/>
      <c r="S72" s="133" t="n"/>
      <c r="T72" s="15" t="n"/>
    </row>
    <row r="73">
      <c r="A73" s="15" t="n"/>
      <c r="B73" s="15" t="n"/>
      <c r="C73" s="15" t="n"/>
      <c r="D73" s="15" t="n"/>
      <c r="E73" s="15" t="n"/>
      <c r="F73" s="15" t="n"/>
      <c r="G73" s="15" t="n"/>
      <c r="H73" s="15" t="n"/>
      <c r="I73" s="15" t="n"/>
      <c r="J73" s="15" t="n"/>
      <c r="K73" s="174" t="n"/>
      <c r="L73" s="133" t="n"/>
      <c r="M73" s="133" t="n"/>
      <c r="N73" s="15" t="n"/>
      <c r="O73" s="15" t="n"/>
      <c r="P73" s="15" t="n"/>
      <c r="Q73" s="133" t="n"/>
      <c r="R73" s="133" t="n"/>
      <c r="S73" s="133" t="n"/>
      <c r="T73" s="15" t="n"/>
    </row>
    <row r="74">
      <c r="A74" s="15" t="n"/>
      <c r="B74" s="15" t="n"/>
      <c r="C74" s="15" t="n"/>
      <c r="D74" s="15" t="n"/>
      <c r="E74" s="15" t="n"/>
      <c r="F74" s="15" t="n"/>
      <c r="G74" s="15" t="n"/>
      <c r="H74" s="15" t="n"/>
      <c r="I74" s="15" t="n"/>
      <c r="J74" s="15" t="n"/>
      <c r="K74" s="174" t="n"/>
      <c r="L74" s="133" t="n"/>
      <c r="M74" s="133" t="n"/>
      <c r="N74" s="15" t="n"/>
      <c r="O74" s="15" t="n"/>
      <c r="P74" s="15" t="n"/>
      <c r="Q74" s="133" t="n"/>
      <c r="R74" s="133" t="n"/>
      <c r="S74" s="133" t="n"/>
      <c r="T74" s="15" t="n"/>
    </row>
    <row r="75">
      <c r="A75" s="15" t="n"/>
      <c r="B75" s="15" t="n"/>
      <c r="C75" s="15" t="n"/>
      <c r="D75" s="15" t="n"/>
      <c r="E75" s="15" t="n"/>
      <c r="F75" s="15" t="n"/>
      <c r="G75" s="15" t="n"/>
      <c r="H75" s="15" t="n"/>
      <c r="I75" s="15" t="n"/>
      <c r="J75" s="15" t="n"/>
      <c r="K75" s="174" t="n"/>
      <c r="L75" s="133" t="n"/>
      <c r="M75" s="133" t="n"/>
      <c r="N75" s="15" t="n"/>
      <c r="O75" s="15" t="n"/>
      <c r="P75" s="15" t="n"/>
      <c r="Q75" s="133" t="n"/>
      <c r="R75" s="133" t="n"/>
      <c r="S75" s="133" t="n"/>
      <c r="T75" s="15" t="n"/>
    </row>
    <row r="76">
      <c r="A76" s="8" t="n"/>
      <c r="B76" s="15" t="n"/>
      <c r="C76" s="15" t="n"/>
      <c r="D76" s="15" t="n"/>
      <c r="E76" s="15" t="n"/>
      <c r="F76" s="15" t="n"/>
      <c r="G76" s="15" t="n"/>
      <c r="H76" s="15" t="n"/>
      <c r="I76" s="15" t="n"/>
      <c r="J76" s="15" t="n"/>
      <c r="K76" s="174" t="n"/>
      <c r="L76" s="133" t="n"/>
      <c r="M76" s="133" t="n"/>
      <c r="N76" s="15" t="n"/>
      <c r="O76" s="15" t="n"/>
      <c r="P76" s="15" t="n"/>
      <c r="Q76" s="133" t="n"/>
      <c r="R76" s="133" t="n"/>
      <c r="S76" s="133" t="n"/>
      <c r="T76" s="15" t="n"/>
    </row>
    <row r="77">
      <c r="A77" s="15" t="n"/>
      <c r="B77" s="15" t="n"/>
      <c r="C77" s="15" t="n"/>
      <c r="D77" s="15" t="n"/>
      <c r="E77" s="15" t="n"/>
      <c r="F77" s="15" t="n"/>
      <c r="G77" s="15" t="n"/>
      <c r="H77" s="15" t="n"/>
      <c r="I77" s="15" t="n"/>
      <c r="J77" s="15" t="n"/>
      <c r="K77" s="174" t="n"/>
      <c r="L77" s="133" t="n"/>
      <c r="M77" s="133" t="n"/>
      <c r="N77" s="15" t="n"/>
      <c r="O77" s="15" t="n"/>
      <c r="P77" s="15" t="n"/>
      <c r="Q77" s="133" t="n"/>
      <c r="R77" s="133" t="n"/>
      <c r="S77" s="133" t="n"/>
      <c r="T77" s="15" t="n"/>
    </row>
    <row r="78">
      <c r="A78" s="15" t="n"/>
      <c r="B78" s="15" t="n"/>
      <c r="C78" s="15" t="n"/>
      <c r="D78" s="15" t="n"/>
      <c r="E78" s="15" t="n"/>
      <c r="F78" s="15" t="n"/>
      <c r="G78" s="15" t="n"/>
      <c r="H78" s="15" t="n"/>
      <c r="I78" s="15" t="n"/>
      <c r="J78" s="15" t="n"/>
      <c r="K78" s="174" t="n"/>
      <c r="L78" s="133" t="n"/>
      <c r="M78" s="133" t="n"/>
      <c r="N78" s="15" t="n"/>
      <c r="O78" s="15" t="n"/>
      <c r="P78" s="15" t="n"/>
      <c r="Q78" s="133" t="n"/>
      <c r="R78" s="133" t="n"/>
      <c r="S78" s="133" t="n"/>
      <c r="T78" s="15" t="n"/>
    </row>
    <row r="79">
      <c r="A79" s="15" t="n"/>
      <c r="B79" s="15" t="n"/>
      <c r="C79" s="15" t="n"/>
      <c r="D79" s="15" t="n"/>
      <c r="E79" s="15" t="n"/>
      <c r="F79" s="15" t="n"/>
      <c r="G79" s="15" t="n"/>
      <c r="H79" s="15" t="n"/>
      <c r="I79" s="15" t="n"/>
      <c r="J79" s="15" t="n"/>
      <c r="K79" s="174" t="n"/>
      <c r="L79" s="133" t="n"/>
      <c r="M79" s="133" t="n"/>
      <c r="N79" s="15" t="n"/>
      <c r="O79" s="15" t="n"/>
      <c r="P79" s="15" t="n"/>
      <c r="Q79" s="133" t="n"/>
      <c r="R79" s="133" t="n"/>
      <c r="S79" s="133" t="n"/>
      <c r="T79" s="15" t="n"/>
    </row>
    <row r="80">
      <c r="A80" s="15" t="n"/>
      <c r="B80" s="15" t="n"/>
      <c r="C80" s="15" t="n"/>
      <c r="D80" s="15" t="n"/>
      <c r="E80" s="15" t="n"/>
      <c r="F80" s="15" t="n"/>
      <c r="G80" s="15" t="n"/>
      <c r="H80" s="15" t="n"/>
      <c r="I80" s="15" t="n"/>
      <c r="J80" s="15" t="n"/>
      <c r="K80" s="174" t="n"/>
      <c r="L80" s="133" t="n"/>
      <c r="M80" s="133" t="n"/>
      <c r="N80" s="15" t="n"/>
      <c r="O80" s="15" t="n"/>
      <c r="P80" s="15" t="n"/>
      <c r="Q80" s="133" t="n"/>
      <c r="R80" s="133" t="n"/>
      <c r="S80" s="133" t="n"/>
      <c r="T80" s="15" t="n"/>
    </row>
    <row r="81">
      <c r="A81" s="15" t="n"/>
      <c r="B81" s="15" t="n"/>
      <c r="C81" s="15" t="n"/>
      <c r="D81" s="15" t="n"/>
      <c r="E81" s="15" t="n"/>
      <c r="F81" s="15" t="n"/>
      <c r="G81" s="15" t="n"/>
      <c r="H81" s="15" t="n"/>
      <c r="I81" s="15" t="n"/>
      <c r="J81" s="15" t="n"/>
      <c r="K81" s="174" t="n"/>
      <c r="L81" s="133" t="n"/>
      <c r="M81" s="133" t="n"/>
      <c r="N81" s="15" t="n"/>
      <c r="O81" s="15" t="n"/>
      <c r="P81" s="15" t="n"/>
      <c r="Q81" s="133" t="n"/>
      <c r="R81" s="133" t="n"/>
      <c r="S81" s="133" t="n"/>
      <c r="T81" s="15" t="n"/>
    </row>
    <row r="82">
      <c r="A82" s="8" t="n"/>
      <c r="B82" s="179" t="n"/>
      <c r="C82" s="179" t="n"/>
      <c r="D82" s="15" t="n"/>
      <c r="E82" s="15" t="n"/>
      <c r="F82" s="15" t="n"/>
      <c r="G82" s="15" t="n"/>
      <c r="H82" s="15" t="n"/>
      <c r="I82" s="15" t="n"/>
      <c r="J82" s="15" t="n"/>
      <c r="K82" s="174" t="n"/>
      <c r="L82" s="133" t="n"/>
      <c r="M82" s="133" t="n"/>
      <c r="N82" s="15" t="n"/>
      <c r="O82" s="15" t="n"/>
      <c r="P82" s="15" t="n"/>
      <c r="Q82" s="133" t="n"/>
      <c r="R82" s="133" t="n"/>
      <c r="S82" s="133" t="n"/>
      <c r="T82" s="15" t="n"/>
    </row>
    <row r="83">
      <c r="A83" s="15" t="n"/>
      <c r="B83" s="15" t="n"/>
      <c r="C83" s="15" t="n"/>
      <c r="D83" s="15" t="n"/>
      <c r="E83" s="15" t="n"/>
      <c r="F83" s="15" t="n"/>
      <c r="G83" s="15" t="n"/>
      <c r="H83" s="15" t="n"/>
      <c r="I83" s="15" t="n"/>
      <c r="J83" s="15" t="n"/>
      <c r="K83" s="174" t="n"/>
      <c r="L83" s="133" t="n"/>
      <c r="M83" s="133" t="n"/>
      <c r="N83" s="15" t="n"/>
      <c r="O83" s="15" t="n"/>
      <c r="P83" s="15" t="n"/>
      <c r="Q83" s="133" t="n"/>
      <c r="R83" s="133" t="n"/>
      <c r="S83" s="133" t="n"/>
      <c r="T83" s="15" t="n"/>
    </row>
    <row r="84">
      <c r="A84" s="15" t="n"/>
      <c r="B84" s="15" t="n"/>
      <c r="C84" s="15" t="n"/>
      <c r="D84" s="15" t="n"/>
      <c r="E84" s="15" t="n"/>
      <c r="F84" s="15" t="n"/>
      <c r="G84" s="15" t="n"/>
      <c r="H84" s="15" t="n"/>
      <c r="I84" s="15" t="n"/>
      <c r="J84" s="15" t="n"/>
      <c r="K84" s="174" t="n"/>
      <c r="L84" s="133" t="n"/>
      <c r="M84" s="133" t="n"/>
      <c r="N84" s="15" t="n"/>
      <c r="O84" s="15" t="n"/>
      <c r="P84" s="15" t="n"/>
      <c r="Q84" s="133" t="n"/>
      <c r="R84" s="133" t="n"/>
      <c r="S84" s="133" t="n"/>
      <c r="T84" s="15" t="n"/>
    </row>
    <row r="85">
      <c r="A85" s="15" t="n"/>
      <c r="B85" s="15" t="n"/>
      <c r="C85" s="15" t="n"/>
      <c r="D85" s="15" t="n"/>
      <c r="E85" s="15" t="n"/>
      <c r="F85" s="15" t="n"/>
      <c r="G85" s="15" t="n"/>
      <c r="H85" s="15" t="n"/>
      <c r="I85" s="15" t="n"/>
      <c r="J85" s="15" t="n"/>
      <c r="K85" s="174" t="n"/>
      <c r="L85" s="133" t="n"/>
      <c r="M85" s="133" t="n"/>
      <c r="N85" s="15" t="n"/>
      <c r="O85" s="15" t="n"/>
      <c r="P85" s="15" t="n"/>
      <c r="Q85" s="133" t="n"/>
      <c r="R85" s="133" t="n"/>
      <c r="S85" s="133" t="n"/>
      <c r="T85" s="15" t="n"/>
    </row>
    <row r="86">
      <c r="A86" s="15" t="n"/>
      <c r="B86" s="15" t="n"/>
      <c r="C86" s="15" t="n"/>
      <c r="D86" s="15" t="n"/>
      <c r="E86" s="15" t="n"/>
      <c r="F86" s="15" t="n"/>
      <c r="G86" s="15" t="n"/>
      <c r="H86" s="15" t="n"/>
      <c r="I86" s="15" t="n"/>
      <c r="J86" s="15" t="n"/>
      <c r="K86" s="174" t="n"/>
      <c r="L86" s="133" t="n"/>
      <c r="M86" s="133" t="n"/>
      <c r="N86" s="15" t="n"/>
      <c r="O86" s="15" t="n"/>
      <c r="P86" s="15" t="n"/>
      <c r="Q86" s="133" t="n"/>
      <c r="R86" s="133" t="n"/>
      <c r="S86" s="133" t="n"/>
      <c r="T86" s="15" t="n"/>
    </row>
    <row r="87">
      <c r="A87" s="8" t="n"/>
      <c r="B87" s="179" t="n"/>
      <c r="C87" s="179" t="n"/>
      <c r="D87" s="15" t="n"/>
      <c r="E87" s="15" t="n"/>
      <c r="F87" s="15" t="n"/>
      <c r="G87" s="15" t="n"/>
      <c r="H87" s="15" t="n"/>
      <c r="I87" s="15" t="n"/>
      <c r="J87" s="15" t="n"/>
      <c r="K87" s="174" t="n"/>
      <c r="L87" s="133" t="n"/>
      <c r="M87" s="15" t="n"/>
      <c r="N87" s="15" t="n"/>
      <c r="P87" s="15" t="n"/>
      <c r="Q87" s="133" t="n"/>
      <c r="R87" s="133" t="n"/>
      <c r="S87" s="133" t="n"/>
      <c r="T87" s="15" t="n"/>
    </row>
    <row r="88">
      <c r="A88" s="15" t="n"/>
      <c r="B88" s="15" t="n"/>
      <c r="C88" s="15" t="n"/>
      <c r="D88" s="15" t="n"/>
      <c r="E88" s="15" t="n"/>
      <c r="F88" s="15" t="n"/>
      <c r="G88" s="15" t="n"/>
      <c r="H88" s="15" t="n"/>
      <c r="I88" s="15" t="n"/>
      <c r="J88" s="15" t="n"/>
      <c r="K88" s="174" t="n"/>
      <c r="L88" s="133" t="n"/>
      <c r="M88" s="133" t="n"/>
      <c r="N88" s="15" t="n"/>
      <c r="O88" s="15" t="n"/>
      <c r="P88" s="15" t="n"/>
      <c r="Q88" s="133" t="n"/>
      <c r="R88" s="133" t="n"/>
      <c r="S88" s="133" t="n"/>
      <c r="T88" s="15" t="n"/>
    </row>
    <row r="89">
      <c r="A89" s="15" t="n"/>
      <c r="B89" s="15" t="n"/>
      <c r="C89" s="15" t="n"/>
      <c r="D89" s="15" t="n"/>
      <c r="E89" s="15" t="n"/>
      <c r="F89" s="15" t="n"/>
      <c r="G89" s="15" t="n"/>
      <c r="H89" s="15" t="n"/>
      <c r="I89" s="15" t="n"/>
      <c r="J89" s="15" t="n"/>
      <c r="K89" s="174" t="n"/>
      <c r="L89" s="133" t="n"/>
      <c r="M89" s="133" t="n"/>
      <c r="N89" s="15" t="n"/>
      <c r="O89" s="15" t="n"/>
      <c r="P89" s="15" t="n"/>
      <c r="Q89" s="133" t="n"/>
      <c r="R89" s="133" t="n"/>
      <c r="S89" s="133" t="n"/>
      <c r="T89" s="15" t="n"/>
    </row>
    <row r="90">
      <c r="A90" s="8" t="n"/>
      <c r="B90" s="15" t="n"/>
      <c r="C90" s="15" t="n"/>
      <c r="D90" s="15" t="n"/>
      <c r="E90" s="15" t="n"/>
      <c r="F90" s="15" t="n"/>
      <c r="G90" s="15" t="n"/>
      <c r="H90" s="15" t="n"/>
      <c r="I90" s="15" t="n"/>
      <c r="J90" s="15" t="n"/>
      <c r="K90" s="174" t="n"/>
      <c r="L90" s="133" t="n"/>
      <c r="M90" s="133" t="n"/>
      <c r="N90" s="15" t="n"/>
      <c r="O90" s="15" t="n"/>
      <c r="P90" s="15" t="n"/>
      <c r="Q90" s="133" t="n"/>
      <c r="R90" s="133" t="n"/>
      <c r="S90" s="133" t="n"/>
      <c r="T90" s="15" t="n"/>
    </row>
    <row r="91">
      <c r="A91" s="15" t="n"/>
      <c r="B91" s="15" t="n"/>
      <c r="C91" s="15" t="n"/>
      <c r="D91" s="15" t="n"/>
      <c r="E91" s="15" t="n"/>
      <c r="F91" s="15" t="n"/>
      <c r="G91" s="15" t="n"/>
      <c r="H91" s="15" t="n"/>
      <c r="I91" s="15" t="n"/>
      <c r="J91" s="15" t="n"/>
      <c r="K91" s="174" t="n"/>
      <c r="L91" s="133" t="n"/>
      <c r="M91" s="133" t="n"/>
      <c r="N91" s="15" t="n"/>
      <c r="O91" s="15" t="n"/>
      <c r="P91" s="15" t="n"/>
      <c r="Q91" s="133" t="n"/>
      <c r="R91" s="133" t="n"/>
      <c r="S91" s="133" t="n"/>
      <c r="T91" s="15" t="n"/>
    </row>
    <row r="92">
      <c r="A92" s="15" t="n"/>
      <c r="B92" s="15" t="n"/>
      <c r="C92" s="15" t="n"/>
      <c r="D92" s="15" t="n"/>
      <c r="E92" s="15" t="n"/>
      <c r="F92" s="15" t="n"/>
      <c r="G92" s="15" t="n"/>
      <c r="H92" s="15" t="n"/>
      <c r="I92" s="15" t="n"/>
      <c r="J92" s="15" t="n"/>
      <c r="K92" s="174" t="n"/>
      <c r="L92" s="133" t="n"/>
      <c r="M92" s="133" t="n"/>
      <c r="N92" s="15" t="n"/>
      <c r="O92" s="15" t="n"/>
      <c r="P92" s="15" t="n"/>
      <c r="Q92" s="133" t="n"/>
      <c r="R92" s="133" t="n"/>
      <c r="S92" s="133" t="n"/>
      <c r="T92" s="15" t="n"/>
    </row>
    <row r="93">
      <c r="A93" s="15" t="n"/>
      <c r="B93" s="15" t="n"/>
      <c r="C93" s="15" t="n"/>
      <c r="D93" s="15" t="n"/>
      <c r="E93" s="15" t="n"/>
      <c r="F93" s="15" t="n"/>
      <c r="G93" s="15" t="n"/>
      <c r="H93" s="15" t="n"/>
      <c r="I93" s="15" t="n"/>
      <c r="J93" s="15" t="n"/>
      <c r="K93" s="174" t="n"/>
      <c r="L93" s="133" t="n"/>
      <c r="M93" s="133" t="n"/>
      <c r="N93" s="15" t="n"/>
      <c r="O93" s="15" t="n"/>
      <c r="P93" s="15" t="n"/>
      <c r="Q93" s="133" t="n"/>
      <c r="R93" s="133" t="n"/>
      <c r="S93" s="133" t="n"/>
      <c r="T93" s="15" t="n"/>
    </row>
    <row r="94">
      <c r="B94" s="179" t="n"/>
      <c r="C94" s="179" t="n"/>
      <c r="D94" s="15" t="n"/>
      <c r="E94" s="15" t="n"/>
      <c r="F94" s="15" t="n"/>
      <c r="G94" s="15" t="n"/>
      <c r="H94" s="15" t="n"/>
      <c r="I94" s="15" t="n"/>
      <c r="J94" s="15" t="n"/>
      <c r="K94" s="174" t="n"/>
      <c r="L94" s="133" t="n"/>
      <c r="M94" s="133" t="n"/>
      <c r="N94" s="15" t="n"/>
      <c r="O94" s="15" t="n"/>
      <c r="P94" s="15" t="n"/>
      <c r="Q94" s="133" t="n"/>
      <c r="R94" s="133" t="n"/>
      <c r="S94" s="133" t="n"/>
      <c r="T94" s="15" t="n"/>
    </row>
    <row r="95">
      <c r="Q95" s="133" t="n"/>
      <c r="R95" s="133" t="n"/>
      <c r="S95" s="133" t="n"/>
    </row>
    <row r="96">
      <c r="A96"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2025-12-18T10:17:15Z</dcterms:modified>
  <cp:lastModifiedBy>Kowalski, Kuba</cp:lastModifiedBy>
</cp:coreProperties>
</file>
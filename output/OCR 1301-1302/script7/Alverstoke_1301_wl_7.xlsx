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5790" windowWidth="38640" windowHeight="21120" tabRatio="600" firstSheet="0" activeTab="0" autoFilterDateGrouping="1"/>
  </bookViews>
  <sheets>
    <sheet xmlns:r="http://schemas.openxmlformats.org/officeDocument/2006/relationships" name="Alverstoke Overview - Completed" sheetId="1" state="visible" r:id="rId1"/>
    <sheet xmlns:r="http://schemas.openxmlformats.org/officeDocument/2006/relationships" name="Prices" sheetId="2" state="visible" r:id="rId2"/>
    <sheet xmlns:r="http://schemas.openxmlformats.org/officeDocument/2006/relationships" name="Labour Rents" sheetId="3" state="visible" r:id="rId3"/>
    <sheet xmlns:r="http://schemas.openxmlformats.org/officeDocument/2006/relationships" name="Overview" sheetId="4" state="visible" r:id="rId4"/>
    <sheet xmlns:r="http://schemas.openxmlformats.org/officeDocument/2006/relationships" name="Receipts" sheetId="5" state="visible" r:id="rId5"/>
    <sheet xmlns:r="http://schemas.openxmlformats.org/officeDocument/2006/relationships" name="Expenses" sheetId="6" state="visible" r:id="rId6"/>
    <sheet xmlns:r="http://schemas.openxmlformats.org/officeDocument/2006/relationships" name="Issues of the Grange" sheetId="7" state="visible" r:id="rId7"/>
    <sheet xmlns:r="http://schemas.openxmlformats.org/officeDocument/2006/relationships" name="Issues of the Mills" sheetId="8" state="visible" r:id="rId8"/>
    <sheet xmlns:r="http://schemas.openxmlformats.org/officeDocument/2006/relationships" name="Stock" sheetId="9" state="visible" r:id="rId9"/>
    <sheet xmlns:r="http://schemas.openxmlformats.org/officeDocument/2006/relationships" name="raw data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#,##0.000000"/>
  </numFmts>
  <fonts count="31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sz val="11"/>
    </font>
    <font>
      <name val="Calibri"/>
      <family val="2"/>
      <color rgb="FFFF0000"/>
      <sz val="12"/>
      <scheme val="minor"/>
    </font>
    <font>
      <name val="Calibri"/>
      <family val="2"/>
      <b val="1"/>
      <color theme="1"/>
      <sz val="12"/>
      <scheme val="minor"/>
    </font>
    <font>
      <name val="Calibri (Body)"/>
      <b val="1"/>
      <color theme="1"/>
      <sz val="12"/>
    </font>
    <font>
      <name val="Calibri (Body)"/>
      <b val="1"/>
      <color rgb="FFFF0000"/>
      <sz val="12"/>
    </font>
    <font>
      <name val="Calibri"/>
      <family val="2"/>
      <b val="1"/>
      <sz val="12"/>
    </font>
    <font>
      <name val="Calibri"/>
      <family val="2"/>
      <b val="1"/>
      <color rgb="FF000000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i val="1"/>
      <color rgb="FF000000"/>
      <sz val="12"/>
      <scheme val="minor"/>
    </font>
    <font>
      <name val="Calibri"/>
      <family val="2"/>
      <b val="1"/>
      <i val="1"/>
      <color rgb="FF000000"/>
      <sz val="12"/>
      <scheme val="minor"/>
    </font>
    <font>
      <name val="Calibri (Body)"/>
      <color rgb="FFFF0000"/>
      <sz val="12"/>
    </font>
    <font>
      <name val="Calibri"/>
      <family val="2"/>
      <b val="1"/>
      <color theme="1"/>
      <sz val="11"/>
      <scheme val="minor"/>
    </font>
    <font>
      <name val="Calibri"/>
      <family val="2"/>
      <i val="1"/>
      <color rgb="FFFF0000"/>
      <sz val="12"/>
      <scheme val="minor"/>
    </font>
    <font>
      <name val="Tahoma"/>
      <family val="2"/>
      <b val="1"/>
      <color rgb="FF000000"/>
      <sz val="10"/>
    </font>
    <font>
      <name val="Tahoma"/>
      <family val="2"/>
      <color rgb="FF000000"/>
      <sz val="10"/>
    </font>
    <font>
      <name val="Calibri"/>
      <family val="2"/>
      <i val="1"/>
      <color theme="1"/>
      <sz val="11"/>
      <scheme val="minor"/>
    </font>
    <font>
      <name val="Calibri"/>
      <family val="2"/>
      <i val="1"/>
      <color rgb="FFFF0000"/>
      <sz val="11"/>
      <scheme val="minor"/>
    </font>
    <font>
      <name val="Calibri"/>
      <family val="2"/>
      <sz val="12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color rgb="FFFF0000"/>
      <sz val="11"/>
      <scheme val="minor"/>
    </font>
    <font>
      <name val="Calibri (Body)"/>
      <color rgb="FFFF0000"/>
      <sz val="11"/>
    </font>
    <font>
      <name val="Calibri (Body)"/>
      <b val="1"/>
      <color rgb="FFFF0000"/>
      <sz val="11"/>
    </font>
  </fonts>
  <fills count="11">
    <fill>
      <patternFill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rgb="FF000000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0">
    <xf numFmtId="0" fontId="0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0" fillId="0" borderId="0" pivotButton="0" quotePrefix="0" xfId="0"/>
    <xf numFmtId="4" fontId="10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4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left" vertical="top"/>
    </xf>
    <xf numFmtId="0" fontId="13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12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2" borderId="0" pivotButton="0" quotePrefix="0" xfId="0"/>
    <xf numFmtId="0" fontId="17" fillId="2" borderId="0" pivotButton="0" quotePrefix="0" xfId="0"/>
    <xf numFmtId="0" fontId="16" fillId="3" borderId="0" pivotButton="0" quotePrefix="0" xfId="0"/>
    <xf numFmtId="0" fontId="17" fillId="3" borderId="0" pivotButton="0" quotePrefix="0" xfId="0"/>
    <xf numFmtId="0" fontId="17" fillId="4" borderId="0" pivotButton="0" quotePrefix="0" xfId="0"/>
    <xf numFmtId="0" fontId="13" fillId="5" borderId="0" pivotButton="0" quotePrefix="0" xfId="0"/>
    <xf numFmtId="0" fontId="16" fillId="0" borderId="0" applyAlignment="1" pivotButton="0" quotePrefix="0" xfId="0">
      <alignment wrapText="1"/>
    </xf>
    <xf numFmtId="0" fontId="16" fillId="0" borderId="2" pivotButton="0" quotePrefix="0" xfId="0"/>
    <xf numFmtId="0" fontId="16" fillId="0" borderId="0" applyAlignment="1" pivotButton="0" quotePrefix="0" xfId="0">
      <alignment horizontal="right"/>
    </xf>
    <xf numFmtId="0" fontId="16" fillId="0" borderId="2" applyAlignment="1" pivotButton="0" quotePrefix="0" xfId="0">
      <alignment horizontal="left"/>
    </xf>
    <xf numFmtId="2" fontId="6" fillId="0" borderId="0" pivotButton="0" quotePrefix="0" xfId="0"/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 wrapText="1"/>
    </xf>
    <xf numFmtId="0" fontId="12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7" fillId="0" borderId="0" applyAlignment="1" pivotButton="0" quotePrefix="0" xfId="0">
      <alignment horizontal="center" vertical="top"/>
    </xf>
    <xf numFmtId="0" fontId="20" fillId="0" borderId="0" pivotButton="0" quotePrefix="0" xfId="0"/>
    <xf numFmtId="0" fontId="0" fillId="6" borderId="0" pivotButton="0" quotePrefix="0" xfId="0"/>
    <xf numFmtId="0" fontId="21" fillId="0" borderId="0" pivotButton="0" quotePrefix="0" xfId="0"/>
    <xf numFmtId="0" fontId="0" fillId="0" borderId="0" applyAlignment="1" pivotButton="0" quotePrefix="0" xfId="0">
      <alignment horizontal="center"/>
    </xf>
    <xf numFmtId="0" fontId="0" fillId="8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 wrapText="1"/>
    </xf>
    <xf numFmtId="0" fontId="0" fillId="0" borderId="3" applyAlignment="1" pivotButton="0" quotePrefix="0" xfId="0">
      <alignment horizontal="right"/>
    </xf>
    <xf numFmtId="0" fontId="0" fillId="0" borderId="4" applyAlignment="1" pivotButton="0" quotePrefix="0" xfId="0">
      <alignment horizontal="right"/>
    </xf>
    <xf numFmtId="0" fontId="0" fillId="0" borderId="5" applyAlignment="1" pivotButton="0" quotePrefix="0" xfId="0">
      <alignment horizontal="right"/>
    </xf>
    <xf numFmtId="0" fontId="0" fillId="0" borderId="4" applyAlignment="1" pivotButton="0" quotePrefix="0" xfId="0">
      <alignment horizontal="center"/>
    </xf>
    <xf numFmtId="2" fontId="19" fillId="0" borderId="0" pivotButton="0" quotePrefix="0" xfId="0"/>
    <xf numFmtId="2" fontId="11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 wrapText="1"/>
    </xf>
    <xf numFmtId="0" fontId="9" fillId="5" borderId="0" pivotButton="0" quotePrefix="0" xfId="0"/>
    <xf numFmtId="0" fontId="6" fillId="5" borderId="0" pivotButton="0" quotePrefix="0" xfId="0"/>
    <xf numFmtId="2" fontId="6" fillId="5" borderId="0" pivotButton="0" quotePrefix="0" xfId="0"/>
    <xf numFmtId="2" fontId="19" fillId="5" borderId="0" pivotButton="0" quotePrefix="0" xfId="0"/>
    <xf numFmtId="0" fontId="14" fillId="5" borderId="0" pivotButton="0" quotePrefix="0" xfId="0"/>
    <xf numFmtId="0" fontId="21" fillId="5" borderId="0" pivotButton="0" quotePrefix="0" xfId="0"/>
    <xf numFmtId="0" fontId="24" fillId="0" borderId="0" pivotButton="0" quotePrefix="0" xfId="0"/>
    <xf numFmtId="0" fontId="0" fillId="0" borderId="4" pivotButton="0" quotePrefix="0" xfId="0"/>
    <xf numFmtId="0" fontId="25" fillId="0" borderId="0" pivotButton="0" quotePrefix="0" xfId="0"/>
    <xf numFmtId="164" fontId="26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pivotButton="0" quotePrefix="0" xfId="0"/>
    <xf numFmtId="164" fontId="0" fillId="0" borderId="0" pivotButton="0" quotePrefix="0" xfId="0"/>
    <xf numFmtId="0" fontId="9" fillId="0" borderId="0" applyAlignment="1" pivotButton="0" quotePrefix="0" xfId="0">
      <alignment wrapText="1"/>
    </xf>
    <xf numFmtId="0" fontId="14" fillId="6" borderId="0" pivotButton="0" quotePrefix="0" xfId="0"/>
    <xf numFmtId="0" fontId="0" fillId="0" borderId="6" pivotButton="0" quotePrefix="0" xfId="0"/>
    <xf numFmtId="0" fontId="0" fillId="0" borderId="6" applyAlignment="1" pivotButton="0" quotePrefix="0" xfId="0">
      <alignment horizontal="left"/>
    </xf>
    <xf numFmtId="0" fontId="0" fillId="5" borderId="0" pivotButton="0" quotePrefix="0" xfId="0"/>
    <xf numFmtId="0" fontId="0" fillId="9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wrapText="1"/>
    </xf>
    <xf numFmtId="2" fontId="9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/>
    </xf>
    <xf numFmtId="0" fontId="4" fillId="0" borderId="0" pivotButton="0" quotePrefix="0" xfId="0"/>
    <xf numFmtId="2" fontId="13" fillId="0" borderId="0" applyAlignment="1" pivotButton="0" quotePrefix="0" xfId="0">
      <alignment horizontal="right"/>
    </xf>
    <xf numFmtId="2" fontId="27" fillId="0" borderId="0" applyAlignment="1" pivotButton="0" quotePrefix="0" xfId="0">
      <alignment horizontal="right"/>
    </xf>
    <xf numFmtId="0" fontId="4" fillId="0" borderId="8" pivotButton="0" quotePrefix="0" xfId="0"/>
    <xf numFmtId="0" fontId="8" fillId="0" borderId="8" pivotButton="0" quotePrefix="0" xfId="0"/>
    <xf numFmtId="0" fontId="15" fillId="5" borderId="8" pivotButton="0" quotePrefix="0" xfId="0"/>
    <xf numFmtId="0" fontId="15" fillId="5" borderId="0" pivotButton="0" quotePrefix="0" xfId="0"/>
    <xf numFmtId="0" fontId="18" fillId="2" borderId="0" pivotButton="0" quotePrefix="0" xfId="0"/>
    <xf numFmtId="2" fontId="4" fillId="0" borderId="0" pivotButton="0" quotePrefix="0" xfId="0"/>
    <xf numFmtId="0" fontId="16" fillId="0" borderId="4" pivotButton="0" quotePrefix="0" xfId="0"/>
    <xf numFmtId="2" fontId="4" fillId="0" borderId="4" pivotButton="0" quotePrefix="0" xfId="0"/>
    <xf numFmtId="0" fontId="8" fillId="0" borderId="4" pivotButton="0" quotePrefix="0" xfId="0"/>
    <xf numFmtId="0" fontId="4" fillId="0" borderId="4" pivotButton="0" quotePrefix="0" xfId="0"/>
    <xf numFmtId="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2" fontId="13" fillId="5" borderId="0" applyAlignment="1" pivotButton="0" quotePrefix="0" xfId="0">
      <alignment horizontal="right"/>
    </xf>
    <xf numFmtId="0" fontId="13" fillId="10" borderId="0" pivotButton="0" quotePrefix="0" xfId="0"/>
    <xf numFmtId="0" fontId="4" fillId="5" borderId="0" pivotButton="0" quotePrefix="0" xfId="0"/>
    <xf numFmtId="0" fontId="8" fillId="5" borderId="0" pivotButton="0" quotePrefix="0" xfId="0"/>
    <xf numFmtId="0" fontId="9" fillId="5" borderId="0" applyAlignment="1" pivotButton="0" quotePrefix="0" xfId="0">
      <alignment horizontal="right"/>
    </xf>
    <xf numFmtId="0" fontId="3" fillId="0" borderId="0" pivotButton="0" quotePrefix="0" xfId="0"/>
    <xf numFmtId="0" fontId="17" fillId="2" borderId="9" pivotButton="0" quotePrefix="0" xfId="0"/>
    <xf numFmtId="0" fontId="17" fillId="4" borderId="9" pivotButton="0" quotePrefix="0" xfId="0"/>
    <xf numFmtId="0" fontId="16" fillId="0" borderId="9" pivotButton="0" quotePrefix="0" xfId="0"/>
    <xf numFmtId="10" fontId="17" fillId="2" borderId="9" pivotButton="0" quotePrefix="0" xfId="0"/>
    <xf numFmtId="10" fontId="17" fillId="4" borderId="11" pivotButton="0" quotePrefix="0" xfId="0"/>
    <xf numFmtId="0" fontId="8" fillId="0" borderId="12" pivotButton="0" quotePrefix="0" xfId="0"/>
    <xf numFmtId="0" fontId="16" fillId="5" borderId="14" pivotButton="0" quotePrefix="0" xfId="0"/>
    <xf numFmtId="2" fontId="13" fillId="5" borderId="15" applyAlignment="1" pivotButton="0" quotePrefix="0" xfId="0">
      <alignment horizontal="right"/>
    </xf>
    <xf numFmtId="0" fontId="8" fillId="5" borderId="15" pivotButton="0" quotePrefix="0" xfId="0"/>
    <xf numFmtId="0" fontId="3" fillId="0" borderId="12" pivotButton="0" quotePrefix="0" xfId="0"/>
    <xf numFmtId="2" fontId="4" fillId="5" borderId="0" pivotButton="0" quotePrefix="0" xfId="0"/>
    <xf numFmtId="0" fontId="2" fillId="5" borderId="15" pivotButton="0" quotePrefix="0" xfId="0"/>
    <xf numFmtId="0" fontId="2" fillId="5" borderId="16" pivotButton="0" quotePrefix="0" xfId="0"/>
    <xf numFmtId="2" fontId="2" fillId="0" borderId="0" pivotButton="0" quotePrefix="0" xfId="0"/>
    <xf numFmtId="0" fontId="2" fillId="0" borderId="0" pivotButton="0" quotePrefix="0" xfId="0"/>
    <xf numFmtId="0" fontId="2" fillId="0" borderId="10" pivotButton="0" quotePrefix="0" xfId="0"/>
    <xf numFmtId="10" fontId="2" fillId="0" borderId="0" pivotButton="0" quotePrefix="0" xfId="0"/>
    <xf numFmtId="0" fontId="2" fillId="0" borderId="12" pivotButton="0" quotePrefix="0" xfId="0"/>
    <xf numFmtId="0" fontId="2" fillId="0" borderId="13" pivotButton="0" quotePrefix="0" xfId="0"/>
    <xf numFmtId="0" fontId="1" fillId="0" borderId="0" pivotButton="0" quotePrefix="0" xfId="0"/>
    <xf numFmtId="2" fontId="9" fillId="5" borderId="0" pivotButton="0" quotePrefix="0" xfId="0"/>
    <xf numFmtId="2" fontId="13" fillId="0" borderId="0" applyAlignment="1" pivotButton="0" quotePrefix="0" xfId="0">
      <alignment horizontal="left" vertical="center" wrapText="1"/>
    </xf>
    <xf numFmtId="0" fontId="17" fillId="10" borderId="0" pivotButton="0" quotePrefix="0" xfId="0"/>
    <xf numFmtId="0" fontId="9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7" applyAlignment="1" pivotButton="0" quotePrefix="0" xfId="0">
      <alignment horizontal="center" wrapText="1"/>
    </xf>
    <xf numFmtId="0" fontId="28" fillId="5" borderId="0" pivotButton="0" quotePrefix="0" xfId="0"/>
    <xf numFmtId="2" fontId="0" fillId="5" borderId="0" pivotButton="0" quotePrefix="0" xfId="0"/>
    <xf numFmtId="2" fontId="28" fillId="5" borderId="0" pivotButton="0" quotePrefix="0" xfId="0"/>
    <xf numFmtId="0" fontId="27" fillId="0" borderId="0" applyAlignment="1" pivotButton="0" quotePrefix="0" xfId="0">
      <alignment horizontal="right"/>
    </xf>
    <xf numFmtId="2" fontId="9" fillId="0" borderId="0" pivotButton="0" quotePrefix="0" xfId="0"/>
    <xf numFmtId="0" fontId="20" fillId="5" borderId="0" pivotButton="0" quotePrefix="0" xfId="0"/>
    <xf numFmtId="0" fontId="0" fillId="0" borderId="17" pivotButton="0" quotePrefix="0" xfId="0"/>
    <xf numFmtId="0" fontId="0" fillId="0" borderId="18" pivotButton="0" quotePrefix="0" xfId="0"/>
    <xf numFmtId="2" fontId="0" fillId="0" borderId="18" pivotButton="0" quotePrefix="0" xfId="0"/>
    <xf numFmtId="0" fontId="0" fillId="0" borderId="19" pivotButton="0" quotePrefix="0" xfId="0"/>
    <xf numFmtId="0" fontId="29" fillId="0" borderId="0" pivotButton="0" quotePrefix="0" xfId="0"/>
    <xf numFmtId="2" fontId="29" fillId="0" borderId="0" pivotButton="0" quotePrefix="0" xfId="0"/>
    <xf numFmtId="0" fontId="30" fillId="0" borderId="0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Victoria Gierok</author>
  </authors>
  <commentList>
    <comment ref="F86" authorId="0" shapeId="0">
      <text>
        <t>Victoria Gierok:
valued at sales prices where available</t>
      </text>
    </comment>
    <comment ref="F117" authorId="0" shapeId="0">
      <text>
        <t>Victoria Gierok:
valued at sales prices where available</t>
      </text>
    </comment>
    <comment ref="F126" authorId="0" shapeId="0">
      <text>
        <t>Victoria Gierok:
valued at sales prices where available</t>
      </text>
    </comment>
    <comment ref="F150" authorId="0" shapeId="0">
      <text>
        <t>Victoria Gierok:
valued at sales prices where available</t>
      </text>
    </comment>
    <comment ref="F158" authorId="0" shapeId="0">
      <text>
        <t>Victoria Gierok:
valued at sales prices where available</t>
      </text>
    </comment>
    <comment ref="F165" authorId="0" shapeId="0">
      <text>
        <t>Victoria Gierok:
valued at sales prices where available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topLeftCell="A1" workbookViewId="0">
      <selection activeCell="A1" sqref="A1"/>
    </sheetView>
  </sheetViews>
  <sheetFormatPr baseColWidth="8" defaultColWidth="10.81640625" defaultRowHeight="15.5"/>
  <cols>
    <col width="80" bestFit="1" customWidth="1" style="76" min="1" max="1"/>
    <col width="10.81640625" customWidth="1" style="76" min="2" max="2"/>
    <col width="10.81640625" customWidth="1" style="10" min="3" max="3"/>
    <col width="30.81640625" bestFit="1" customWidth="1" style="76" min="4" max="4"/>
    <col width="29.36328125" bestFit="1" customWidth="1" style="76" min="5" max="5"/>
    <col width="35.453125" bestFit="1" customWidth="1" style="76" min="6" max="6"/>
    <col width="21.1796875" customWidth="1" style="76" min="7" max="7"/>
    <col width="10.81640625" customWidth="1" style="76" min="8" max="16384"/>
  </cols>
  <sheetData>
    <row r="1">
      <c r="A1" s="8" t="inlineStr">
        <is>
          <t>ALVERSTOKE OVERVIEW - COMPLETED</t>
        </is>
      </c>
      <c r="B1" s="77" t="inlineStr">
        <is>
          <t>Total in £</t>
        </is>
      </c>
      <c r="C1" s="78" t="inlineStr">
        <is>
          <t>Error</t>
        </is>
      </c>
      <c r="D1" s="12" t="inlineStr">
        <is>
          <t>Note</t>
        </is>
      </c>
      <c r="E1" s="12" t="n"/>
    </row>
    <row r="2">
      <c r="A2" s="8" t="inlineStr">
        <is>
          <t>CASH ACCOUNT</t>
        </is>
      </c>
    </row>
    <row r="3">
      <c r="A3" s="16" t="inlineStr">
        <is>
          <t>RECEIPTS</t>
        </is>
      </c>
    </row>
    <row r="4">
      <c r="A4" s="15" t="inlineStr">
        <is>
          <t>Arrears total</t>
        </is>
      </c>
      <c r="B4" s="76" t="n">
        <v>2.13</v>
      </c>
      <c r="D4" s="13" t="n"/>
      <c r="E4" s="13" t="n"/>
    </row>
    <row r="5">
      <c r="A5" s="15" t="inlineStr">
        <is>
          <t>Rents of assize total</t>
        </is>
      </c>
      <c r="B5" s="76" t="n">
        <v>53.56458333333333</v>
      </c>
    </row>
    <row r="6">
      <c r="A6" s="15" t="inlineStr">
        <is>
          <t>Quittances total</t>
        </is>
      </c>
      <c r="B6" s="76" t="n"/>
    </row>
    <row r="7">
      <c r="A7" s="15" t="inlineStr">
        <is>
          <t>Defaults of rent total</t>
        </is>
      </c>
      <c r="B7" s="76" t="n"/>
    </row>
    <row r="8">
      <c r="A8" s="76" t="inlineStr">
        <is>
          <t>Defaults of rent through the pestilence total</t>
        </is>
      </c>
      <c r="B8" s="76" t="n"/>
    </row>
    <row r="9">
      <c r="A9" s="76" t="inlineStr">
        <is>
          <t>Cotlands defaults total</t>
        </is>
      </c>
      <c r="B9" s="76" t="n"/>
    </row>
    <row r="10">
      <c r="A10" s="76" t="inlineStr">
        <is>
          <t>Cotlands total</t>
        </is>
      </c>
      <c r="B10" s="76" t="n"/>
    </row>
    <row r="11">
      <c r="A11" s="76" t="inlineStr">
        <is>
          <t>Total of quittances and defaults of rent total</t>
        </is>
      </c>
      <c r="B11" s="76" t="n"/>
    </row>
    <row r="12">
      <c r="A12" s="76" t="inlineStr">
        <is>
          <t>Total of rents remaining clear total</t>
        </is>
      </c>
      <c r="B12" s="76" t="n"/>
    </row>
    <row r="13">
      <c r="A13" s="76" t="inlineStr">
        <is>
          <t>Farms total</t>
        </is>
      </c>
      <c r="B13" s="76" t="n"/>
    </row>
    <row r="14">
      <c r="A14" s="15" t="inlineStr">
        <is>
          <t>Annual recognizances total</t>
        </is>
      </c>
      <c r="B14" s="76" t="n"/>
    </row>
    <row r="15">
      <c r="A15" s="15" t="inlineStr">
        <is>
          <t>Issues of the Manor total</t>
        </is>
      </c>
      <c r="B15" s="76" t="n"/>
    </row>
    <row r="16">
      <c r="A16" s="76" t="inlineStr">
        <is>
          <t>Issues of the tenements in the lord's hands total</t>
        </is>
      </c>
      <c r="B16" s="76" t="n"/>
    </row>
    <row r="17">
      <c r="A17" s="76" t="inlineStr">
        <is>
          <t>Sale of labour services total</t>
        </is>
      </c>
      <c r="B17" s="76" t="n"/>
    </row>
    <row r="18">
      <c r="A18" s="15" t="inlineStr">
        <is>
          <t>Sale of corn total</t>
        </is>
      </c>
      <c r="B18" s="76" t="n"/>
    </row>
    <row r="19">
      <c r="A19" s="15" t="inlineStr">
        <is>
          <t>Entry and marriage fines total</t>
        </is>
      </c>
      <c r="B19" s="76" t="n"/>
    </row>
    <row r="20">
      <c r="A20" s="15" t="inlineStr">
        <is>
          <t>Pleas &amp; perquisites total</t>
        </is>
      </c>
      <c r="B20" s="76" t="n"/>
    </row>
    <row r="21">
      <c r="A21" s="76" t="inlineStr">
        <is>
          <t>Forfeited chattels total</t>
        </is>
      </c>
      <c r="B21" s="76" t="n"/>
    </row>
    <row r="22">
      <c r="A22" s="76" t="inlineStr">
        <is>
          <t>Farm of the demesne land total</t>
        </is>
      </c>
      <c r="B22" s="76" t="n"/>
      <c r="D22" s="88" t="n"/>
    </row>
    <row r="23">
      <c r="A23" s="81" t="inlineStr">
        <is>
          <t>Total of all receipts (calculated here)</t>
        </is>
      </c>
      <c r="B23" s="79">
        <f>SUM(B5:B22)</f>
        <v/>
      </c>
      <c r="C23" s="80" t="n"/>
    </row>
    <row r="24">
      <c r="A24" s="82" t="inlineStr">
        <is>
          <t>Total of all receipts (calculated here) incl arrears</t>
        </is>
      </c>
      <c r="B24">
        <f>SUM(B4:B22)</f>
        <v/>
      </c>
      <c r="D24" s="13" t="n"/>
      <c r="E24" s="13" t="n"/>
    </row>
    <row r="25">
      <c r="A25" s="83" t="inlineStr">
        <is>
          <t>Total recorded in the accounts excl. arrears</t>
        </is>
      </c>
      <c r="B25" s="76" t="n">
        <v>59.65</v>
      </c>
      <c r="C25" s="10">
        <f>B23-B25</f>
        <v/>
      </c>
    </row>
    <row r="26">
      <c r="A26" s="83" t="inlineStr">
        <is>
          <t>Total recorded in the accounts incl. arrears</t>
        </is>
      </c>
      <c r="B26">
        <f>B25+B4</f>
        <v/>
      </c>
      <c r="D26" s="13" t="n"/>
      <c r="E26" s="13" t="n"/>
    </row>
    <row r="27">
      <c r="A27" s="15" t="n"/>
    </row>
    <row r="28">
      <c r="A28" s="15" t="n"/>
    </row>
    <row r="29">
      <c r="A29" s="16" t="inlineStr">
        <is>
          <t>EXPENSES</t>
        </is>
      </c>
    </row>
    <row r="30">
      <c r="A30" s="15" t="inlineStr">
        <is>
          <t>Cost of ploughs total</t>
        </is>
      </c>
    </row>
    <row r="31">
      <c r="A31" s="15" t="inlineStr">
        <is>
          <t>Purchase of corn total</t>
        </is>
      </c>
    </row>
    <row r="32">
      <c r="A32" s="15" t="inlineStr">
        <is>
          <t>Cost of carts and wagons total</t>
        </is>
      </c>
    </row>
    <row r="33">
      <c r="A33" s="15" t="inlineStr">
        <is>
          <t>Cost of dairy total</t>
        </is>
      </c>
    </row>
    <row r="34">
      <c r="A34" s="15" t="inlineStr">
        <is>
          <t>Purchase of stock total</t>
        </is>
      </c>
    </row>
    <row r="35">
      <c r="A35" s="15" t="inlineStr">
        <is>
          <t>Sheepcote total</t>
        </is>
      </c>
    </row>
    <row r="36">
      <c r="A36" s="15" t="inlineStr">
        <is>
          <t>Cost of buildings total</t>
        </is>
      </c>
      <c r="B36" s="84" t="n"/>
    </row>
    <row r="37">
      <c r="A37" s="15" t="inlineStr">
        <is>
          <t>Threshing total</t>
        </is>
      </c>
    </row>
    <row r="38">
      <c r="A38" s="15" t="inlineStr">
        <is>
          <t>Barley expenses</t>
        </is>
      </c>
    </row>
    <row r="39">
      <c r="A39" s="15" t="inlineStr">
        <is>
          <t>Expenses of the harvest total</t>
        </is>
      </c>
    </row>
    <row r="40">
      <c r="A40" s="15" t="inlineStr">
        <is>
          <t>Necessary expenses</t>
        </is>
      </c>
    </row>
    <row r="41">
      <c r="A41" s="15" t="inlineStr">
        <is>
          <t>Wages of the bailiff</t>
        </is>
      </c>
      <c r="B41" s="84" t="n"/>
    </row>
    <row r="42">
      <c r="A42" s="15" t="inlineStr">
        <is>
          <t>Steward's expenses total</t>
        </is>
      </c>
      <c r="B42" s="84" t="n">
        <v>0.46</v>
      </c>
    </row>
    <row r="43">
      <c r="A43" s="85" t="inlineStr">
        <is>
          <t>Annual fees</t>
        </is>
      </c>
      <c r="B43" s="86" t="n"/>
      <c r="C43" s="87" t="n"/>
      <c r="D43" s="88" t="n"/>
    </row>
    <row r="44">
      <c r="A44" s="82" t="inlineStr">
        <is>
          <t>Total of all expenses per account</t>
        </is>
      </c>
      <c r="B44" s="84" t="n"/>
    </row>
    <row r="45">
      <c r="A45" s="82" t="inlineStr">
        <is>
          <t>Total of all expenses (calculated here)</t>
        </is>
      </c>
      <c r="B45" s="84" t="n">
        <v>0.46</v>
      </c>
    </row>
    <row r="46">
      <c r="A46" s="82" t="inlineStr">
        <is>
          <t>Total fixed investment</t>
        </is>
      </c>
      <c r="B46" s="84" t="n">
        <v>0</v>
      </c>
    </row>
    <row r="47">
      <c r="A47" s="82" t="inlineStr">
        <is>
          <t>Total Demesne fixed investment</t>
        </is>
      </c>
      <c r="B47" s="84" t="n">
        <v>0</v>
      </c>
    </row>
    <row r="48">
      <c r="A48" s="12" t="n"/>
    </row>
    <row r="49">
      <c r="A49" s="18" t="inlineStr">
        <is>
          <t>Owed by the reeve</t>
        </is>
      </c>
      <c r="B49" s="84">
        <f>B23-B45</f>
        <v/>
      </c>
    </row>
    <row r="50">
      <c r="A50" s="18" t="inlineStr">
        <is>
          <t>From accounts</t>
        </is>
      </c>
      <c r="B50" s="84" t="n"/>
    </row>
    <row r="51">
      <c r="A51" s="15" t="n"/>
    </row>
    <row r="52">
      <c r="A52" s="18" t="inlineStr">
        <is>
          <t>Allowances</t>
        </is>
      </c>
      <c r="B52" s="84" t="n"/>
    </row>
    <row r="53">
      <c r="A53" s="18" t="inlineStr">
        <is>
          <t>Cash deliveries</t>
        </is>
      </c>
      <c r="B53" s="84" t="n">
        <v>52.75</v>
      </c>
    </row>
    <row r="54">
      <c r="A54" s="19" t="inlineStr">
        <is>
          <t>Sum of the above</t>
        </is>
      </c>
      <c r="B54" s="84">
        <f>SUM(B52:B53)</f>
        <v/>
      </c>
    </row>
    <row r="55">
      <c r="A55" s="20" t="inlineStr">
        <is>
          <t>Total of all allowances and cash deliveries in accounts</t>
        </is>
      </c>
    </row>
    <row r="56">
      <c r="A56" s="15" t="n"/>
    </row>
    <row r="57">
      <c r="A57" s="18" t="inlineStr">
        <is>
          <t>Net amount owed</t>
        </is>
      </c>
      <c r="B57" s="84">
        <f>B50-B54</f>
        <v/>
      </c>
    </row>
    <row r="58">
      <c r="A58" s="18" t="inlineStr">
        <is>
          <t>Net amount owed in accounts</t>
        </is>
      </c>
    </row>
    <row r="59">
      <c r="A59" s="15" t="n"/>
    </row>
    <row r="60">
      <c r="A60" s="16" t="inlineStr">
        <is>
          <t xml:space="preserve">GRANGE ACCOUNT </t>
        </is>
      </c>
      <c r="B60" s="120" t="inlineStr">
        <is>
          <t>Total Production</t>
        </is>
      </c>
      <c r="D60" s="117" t="inlineStr">
        <is>
          <t>Value of total gross production in £</t>
        </is>
      </c>
      <c r="E60" s="117" t="inlineStr">
        <is>
          <t>Value of total net production in £</t>
        </is>
      </c>
    </row>
    <row r="61">
      <c r="A61" s="8" t="inlineStr">
        <is>
          <t>Grange</t>
        </is>
      </c>
      <c r="B61" s="89" t="inlineStr">
        <is>
          <t>qrs</t>
        </is>
      </c>
      <c r="C61" s="90" t="inlineStr">
        <is>
          <t>bus</t>
        </is>
      </c>
    </row>
    <row r="62">
      <c r="A62" s="76" t="inlineStr">
        <is>
          <t>Wheat</t>
        </is>
      </c>
      <c r="F62" s="13" t="n"/>
    </row>
    <row r="63">
      <c r="A63" s="76" t="inlineStr">
        <is>
          <t>Rye</t>
        </is>
      </c>
      <c r="F63" s="13" t="n"/>
    </row>
    <row r="64">
      <c r="A64" s="76" t="inlineStr">
        <is>
          <t>Dredge</t>
        </is>
      </c>
      <c r="F64" s="13" t="n"/>
    </row>
    <row r="65">
      <c r="A65" s="76" t="inlineStr">
        <is>
          <t>Curall</t>
        </is>
      </c>
      <c r="F65" s="13" t="n"/>
    </row>
    <row r="66">
      <c r="A66" s="76" t="inlineStr">
        <is>
          <t>Barley</t>
        </is>
      </c>
      <c r="F66" s="13" t="n"/>
    </row>
    <row r="67">
      <c r="A67" s="76" t="inlineStr">
        <is>
          <t>Oats</t>
        </is>
      </c>
      <c r="F67" s="13" t="n"/>
    </row>
    <row r="68">
      <c r="A68" s="76" t="inlineStr">
        <is>
          <t>Beans</t>
        </is>
      </c>
      <c r="F68" s="13" t="n"/>
    </row>
    <row r="69">
      <c r="A69" s="76" t="inlineStr">
        <is>
          <t>Peas</t>
        </is>
      </c>
      <c r="F69" s="13" t="n"/>
    </row>
    <row r="70">
      <c r="A70" s="76" t="inlineStr">
        <is>
          <t>Vetches</t>
        </is>
      </c>
    </row>
    <row r="71">
      <c r="A71" s="17" t="inlineStr">
        <is>
          <t>Total value of gross production (sum of the above)</t>
        </is>
      </c>
      <c r="B71" s="93" t="n"/>
      <c r="C71" s="94" t="n"/>
      <c r="D71" s="93" t="n"/>
      <c r="E71" s="93" t="n"/>
    </row>
    <row r="72">
      <c r="A72" s="17" t="inlineStr">
        <is>
          <t>Total value of net production</t>
        </is>
      </c>
      <c r="B72" s="93" t="n"/>
      <c r="C72" s="94" t="n"/>
      <c r="D72" s="93" t="n"/>
      <c r="E72" s="93" t="n"/>
    </row>
    <row r="73">
      <c r="A73" s="17" t="inlineStr">
        <is>
          <t>Value of sales</t>
        </is>
      </c>
      <c r="B73" s="93" t="n"/>
      <c r="C73" s="94" t="n"/>
      <c r="D73" s="93" t="n"/>
      <c r="E73" s="93" t="n"/>
    </row>
    <row r="74">
      <c r="A74" s="15" t="n"/>
    </row>
    <row r="75">
      <c r="A75" s="16" t="inlineStr">
        <is>
          <t>MILL ACCOUNT</t>
        </is>
      </c>
      <c r="B75" s="120" t="inlineStr">
        <is>
          <t>Total Production</t>
        </is>
      </c>
      <c r="D75" s="91" t="inlineStr">
        <is>
          <t>Total in £</t>
        </is>
      </c>
      <c r="E75" s="91" t="n"/>
    </row>
    <row r="76">
      <c r="A76" s="8" t="inlineStr">
        <is>
          <t>Issues of the mill</t>
        </is>
      </c>
      <c r="B76" s="89" t="inlineStr">
        <is>
          <t>qrs</t>
        </is>
      </c>
      <c r="C76" s="90" t="inlineStr">
        <is>
          <t>bus</t>
        </is>
      </c>
    </row>
    <row r="77">
      <c r="A77" s="15" t="inlineStr">
        <is>
          <t>Wheat</t>
        </is>
      </c>
      <c r="F77" s="13" t="n"/>
    </row>
    <row r="78">
      <c r="A78" s="15" t="inlineStr">
        <is>
          <t>Oatmeal</t>
        </is>
      </c>
    </row>
    <row r="79">
      <c r="A79" s="15" t="inlineStr">
        <is>
          <t>1st grade malt</t>
        </is>
      </c>
    </row>
    <row r="80">
      <c r="A80" s="15" t="inlineStr">
        <is>
          <t>2nd grade malt</t>
        </is>
      </c>
    </row>
    <row r="81">
      <c r="A81" s="15" t="inlineStr">
        <is>
          <t>Maslin</t>
        </is>
      </c>
    </row>
    <row r="82">
      <c r="A82" s="17" t="inlineStr">
        <is>
          <t>Total value of production (sum of the above)</t>
        </is>
      </c>
      <c r="B82" s="93" t="n"/>
      <c r="C82" s="94" t="n"/>
      <c r="D82" s="93" t="n"/>
      <c r="E82" s="93" t="n"/>
    </row>
    <row r="83">
      <c r="A83" s="17" t="inlineStr">
        <is>
          <t>Value of sales</t>
        </is>
      </c>
      <c r="B83" s="93" t="n"/>
      <c r="C83" s="94" t="n"/>
      <c r="D83" s="93" t="n"/>
      <c r="E83" s="93" t="n"/>
    </row>
    <row r="84">
      <c r="A84" s="15" t="n"/>
    </row>
    <row r="85">
      <c r="A85" s="92" t="inlineStr">
        <is>
          <t>STOCK ACCOUNT</t>
        </is>
      </c>
      <c r="B85" s="93" t="n"/>
      <c r="C85" s="94" t="n"/>
      <c r="D85" s="93" t="n"/>
      <c r="E85" s="93" t="n"/>
      <c r="F85" s="93" t="n"/>
      <c r="G85" s="93" t="n"/>
    </row>
    <row r="86">
      <c r="A86" s="21" t="inlineStr">
        <is>
          <t>Livestock</t>
        </is>
      </c>
      <c r="B86" s="95" t="inlineStr">
        <is>
          <t>Begin stock</t>
        </is>
      </c>
      <c r="C86" s="95" t="inlineStr">
        <is>
          <t>End stock</t>
        </is>
      </c>
      <c r="D86" s="95" t="inlineStr">
        <is>
          <t>Stockbuilding</t>
        </is>
      </c>
      <c r="E86" s="95" t="n"/>
      <c r="F86" s="95" t="inlineStr">
        <is>
          <t>Value of stock in £</t>
        </is>
      </c>
      <c r="G86" s="53" t="inlineStr">
        <is>
          <t>Value of stockbuilding</t>
        </is>
      </c>
    </row>
    <row r="87">
      <c r="A87" s="22" t="inlineStr">
        <is>
          <t>Cart-horses</t>
        </is>
      </c>
      <c r="B87" s="76" t="n"/>
      <c r="C87" s="76" t="n"/>
      <c r="D87" s="76">
        <f>C87-B87</f>
        <v/>
      </c>
      <c r="F87" s="84">
        <f>'Stock'!K5*'Stock'!O5</f>
        <v/>
      </c>
      <c r="G87" s="84">
        <f>D87*'Stock'!O5</f>
        <v/>
      </c>
    </row>
    <row r="88">
      <c r="A88" s="22" t="inlineStr">
        <is>
          <t>Mares</t>
        </is>
      </c>
      <c r="B88" s="76" t="n"/>
      <c r="C88" s="76" t="n"/>
      <c r="D88" s="76">
        <f>C88-B88</f>
        <v/>
      </c>
      <c r="F88" s="84">
        <f>'Stock'!K6*'Stock'!O6</f>
        <v/>
      </c>
      <c r="G88" s="84">
        <f>D88*'Stock'!O6</f>
        <v/>
      </c>
    </row>
    <row r="89">
      <c r="A89" s="15" t="inlineStr">
        <is>
          <t>Plough horses</t>
        </is>
      </c>
      <c r="B89" s="76" t="n"/>
      <c r="C89" s="76" t="n"/>
      <c r="D89" s="76">
        <f>C89-B89</f>
        <v/>
      </c>
      <c r="F89" s="84">
        <f>'Stock'!K7*'Stock'!O7</f>
        <v/>
      </c>
      <c r="G89" s="84">
        <f>D89*'Stock'!O7</f>
        <v/>
      </c>
    </row>
    <row r="90">
      <c r="A90" s="15" t="inlineStr">
        <is>
          <t>Colts (2 years)</t>
        </is>
      </c>
      <c r="B90" s="76" t="n"/>
      <c r="C90" s="76" t="n"/>
      <c r="D90" s="76">
        <f>C90-B90</f>
        <v/>
      </c>
      <c r="F90" s="84">
        <f>'Stock'!K8*'Stock'!O8</f>
        <v/>
      </c>
      <c r="G90" s="84">
        <f>D90*'Stock'!O8</f>
        <v/>
      </c>
    </row>
    <row r="91">
      <c r="A91" s="15" t="inlineStr">
        <is>
          <t>Colts (2 years)</t>
        </is>
      </c>
      <c r="B91" s="76" t="n"/>
      <c r="C91" s="76" t="n"/>
      <c r="D91" s="76">
        <f>C91-B91</f>
        <v/>
      </c>
      <c r="F91" s="84">
        <f>'Stock'!K9*'Stock'!O9</f>
        <v/>
      </c>
      <c r="G91" s="84">
        <f>D91*'Stock'!O9</f>
        <v/>
      </c>
    </row>
    <row r="92">
      <c r="A92" s="15" t="inlineStr">
        <is>
          <t>Colts (1 year)</t>
        </is>
      </c>
      <c r="B92" s="76" t="n"/>
      <c r="C92" s="76" t="n"/>
      <c r="D92" s="76">
        <f>C92-B92</f>
        <v/>
      </c>
      <c r="F92" s="84">
        <f>'Stock'!K10*'Stock'!O10</f>
        <v/>
      </c>
      <c r="G92" s="84">
        <f>D92*'Stock'!O10</f>
        <v/>
      </c>
    </row>
    <row r="93">
      <c r="A93" s="15" t="inlineStr">
        <is>
          <t>Foals</t>
        </is>
      </c>
      <c r="B93" s="76" t="n"/>
      <c r="C93" s="76" t="n"/>
      <c r="D93" s="76">
        <f>C93-B93</f>
        <v/>
      </c>
      <c r="F93" s="84">
        <f>'Stock'!K11*'Stock'!O11</f>
        <v/>
      </c>
      <c r="G93" s="84">
        <f>D93*'Stock'!O11</f>
        <v/>
      </c>
    </row>
    <row r="94">
      <c r="A94" s="15" t="inlineStr">
        <is>
          <t>Oxen</t>
        </is>
      </c>
      <c r="B94" s="76" t="n"/>
      <c r="C94" s="76" t="n"/>
      <c r="D94" s="76">
        <f>C94-B94</f>
        <v/>
      </c>
      <c r="F94" s="84">
        <f>'Stock'!K12*'Stock'!O12</f>
        <v/>
      </c>
      <c r="G94" s="84">
        <f>D94*'Stock'!O12</f>
        <v/>
      </c>
    </row>
    <row r="95">
      <c r="A95" s="15" t="inlineStr">
        <is>
          <t>Bulls</t>
        </is>
      </c>
      <c r="B95" s="76" t="n"/>
      <c r="C95" s="76" t="n"/>
      <c r="D95" s="76">
        <f>C95-B95</f>
        <v/>
      </c>
      <c r="F95" s="84">
        <f>'Stock'!K13*'Stock'!O13</f>
        <v/>
      </c>
      <c r="G95" s="84">
        <f>D95*'Stock'!O13</f>
        <v/>
      </c>
    </row>
    <row r="96">
      <c r="A96" s="15" t="inlineStr">
        <is>
          <t>Cows</t>
        </is>
      </c>
      <c r="B96" s="76" t="n"/>
      <c r="C96" s="76" t="n"/>
      <c r="D96" s="76">
        <f>C96-B96</f>
        <v/>
      </c>
      <c r="F96" s="84">
        <f>'Stock'!K14*'Stock'!O14</f>
        <v/>
      </c>
      <c r="G96" s="84">
        <f>D96*'Stock'!O14</f>
        <v/>
      </c>
    </row>
    <row r="97">
      <c r="A97" s="15" t="inlineStr">
        <is>
          <t>Steers</t>
        </is>
      </c>
      <c r="B97" s="76" t="n"/>
      <c r="C97" s="76" t="n"/>
      <c r="D97" s="76">
        <f>C97-B97</f>
        <v/>
      </c>
      <c r="F97" s="84">
        <f>'Stock'!K15*'Stock'!O15</f>
        <v/>
      </c>
      <c r="G97" s="84">
        <f>D97*'Stock'!O15</f>
        <v/>
      </c>
    </row>
    <row r="98">
      <c r="A98" s="15" t="inlineStr">
        <is>
          <t>Bullocks</t>
        </is>
      </c>
      <c r="B98" s="76" t="n"/>
      <c r="C98" s="76" t="n"/>
      <c r="D98" s="76">
        <f>C98-B98</f>
        <v/>
      </c>
      <c r="F98" s="84">
        <f>'Stock'!K16*'Stock'!O16</f>
        <v/>
      </c>
      <c r="G98" s="84">
        <f>D98*'Stock'!O16</f>
        <v/>
      </c>
    </row>
    <row r="99">
      <c r="A99" s="15" t="inlineStr">
        <is>
          <t>Yearlings</t>
        </is>
      </c>
      <c r="B99" s="76" t="n"/>
      <c r="C99" s="76" t="n"/>
      <c r="D99" s="76">
        <f>C99-B99</f>
        <v/>
      </c>
      <c r="F99" s="84">
        <f>'Stock'!K17*'Stock'!O17</f>
        <v/>
      </c>
      <c r="G99" s="84">
        <f>D99*'Stock'!O17</f>
        <v/>
      </c>
    </row>
    <row r="100">
      <c r="A100" s="15" t="inlineStr">
        <is>
          <t>Calves</t>
        </is>
      </c>
      <c r="B100" s="76" t="n"/>
      <c r="C100" s="76" t="n"/>
      <c r="D100" s="76">
        <f>C100-B100</f>
        <v/>
      </c>
      <c r="F100" s="84">
        <f>'Stock'!K18*'Stock'!O18</f>
        <v/>
      </c>
      <c r="G100" s="84">
        <f>D100*'Stock'!O18</f>
        <v/>
      </c>
    </row>
    <row r="101">
      <c r="A101" s="15" t="inlineStr">
        <is>
          <t>Wethers</t>
        </is>
      </c>
      <c r="B101" s="76" t="n"/>
      <c r="C101" s="76" t="n"/>
      <c r="D101" s="76">
        <f>C101-B101</f>
        <v/>
      </c>
      <c r="F101" s="84">
        <f>'Stock'!K19*'Stock'!O19</f>
        <v/>
      </c>
      <c r="G101" s="84">
        <f>D101*'Stock'!O19</f>
        <v/>
      </c>
    </row>
    <row r="102">
      <c r="A102" s="15" t="inlineStr">
        <is>
          <t>Rams</t>
        </is>
      </c>
      <c r="B102" s="76" t="n"/>
      <c r="C102" s="76" t="n"/>
      <c r="D102" s="76">
        <f>C102-B102</f>
        <v/>
      </c>
      <c r="F102" s="84">
        <f>'Stock'!K20*'Stock'!O20</f>
        <v/>
      </c>
      <c r="G102" s="84">
        <f>D102*'Stock'!O20</f>
        <v/>
      </c>
    </row>
    <row r="103">
      <c r="A103" s="15" t="inlineStr">
        <is>
          <t>Ewes</t>
        </is>
      </c>
      <c r="B103" s="76" t="n"/>
      <c r="C103" s="76" t="n"/>
      <c r="D103" s="76">
        <f>C103-B103</f>
        <v/>
      </c>
      <c r="F103" s="84">
        <f>'Stock'!K21*'Stock'!O21</f>
        <v/>
      </c>
      <c r="G103" s="84">
        <f>D103*'Stock'!O21</f>
        <v/>
      </c>
    </row>
    <row r="104">
      <c r="A104" s="15" t="inlineStr">
        <is>
          <t>Hoggs</t>
        </is>
      </c>
      <c r="B104" s="76" t="n"/>
      <c r="C104" s="76" t="n"/>
      <c r="D104" s="76">
        <f>C104-B104</f>
        <v/>
      </c>
      <c r="F104" s="84">
        <f>'Stock'!K22*'Stock'!O22</f>
        <v/>
      </c>
      <c r="G104" s="84">
        <f>D104*'Stock'!O22</f>
        <v/>
      </c>
    </row>
    <row r="105">
      <c r="A105" s="15" t="inlineStr">
        <is>
          <t>Lambs</t>
        </is>
      </c>
      <c r="B105" s="76" t="n"/>
      <c r="C105" s="76" t="n"/>
      <c r="D105" s="76">
        <f>C105-B105</f>
        <v/>
      </c>
      <c r="F105" s="84">
        <f>'Stock'!K23*'Stock'!O23</f>
        <v/>
      </c>
      <c r="G105" s="84">
        <f>D105*'Stock'!O23</f>
        <v/>
      </c>
    </row>
    <row r="106">
      <c r="A106" s="15" t="inlineStr">
        <is>
          <t>Boars</t>
        </is>
      </c>
      <c r="B106" s="76" t="n"/>
      <c r="C106" s="76" t="n"/>
      <c r="D106" s="76">
        <f>C106-B106</f>
        <v/>
      </c>
      <c r="F106" s="84">
        <f>'Stock'!K24*'Stock'!O24</f>
        <v/>
      </c>
      <c r="G106" s="84">
        <f>D106*'Stock'!O24</f>
        <v/>
      </c>
    </row>
    <row r="107">
      <c r="A107" s="15" t="inlineStr">
        <is>
          <t>Sows</t>
        </is>
      </c>
      <c r="B107" s="76" t="n"/>
      <c r="C107" s="76" t="n"/>
      <c r="D107" s="76">
        <f>C107-B107</f>
        <v/>
      </c>
      <c r="F107" s="84">
        <f>'Stock'!K25*'Stock'!O25</f>
        <v/>
      </c>
      <c r="G107" s="84">
        <f>D107*'Stock'!O25</f>
        <v/>
      </c>
    </row>
    <row r="108">
      <c r="A108" s="15" t="inlineStr">
        <is>
          <t>Pigs</t>
        </is>
      </c>
      <c r="B108" s="76" t="n"/>
      <c r="C108" s="76" t="n"/>
      <c r="D108" s="76">
        <f>C108-B108</f>
        <v/>
      </c>
      <c r="F108" s="84">
        <f>'Stock'!K26*'Stock'!O26</f>
        <v/>
      </c>
      <c r="G108" s="84">
        <f>D108*'Stock'!O26</f>
        <v/>
      </c>
    </row>
    <row r="109">
      <c r="A109" s="15" t="inlineStr">
        <is>
          <t>Hoggets</t>
        </is>
      </c>
      <c r="B109" s="76" t="n"/>
      <c r="C109" s="76" t="n"/>
      <c r="D109" s="76">
        <f>C109-B109</f>
        <v/>
      </c>
      <c r="F109" s="84">
        <f>'Stock'!K27*'Stock'!O27</f>
        <v/>
      </c>
      <c r="G109" s="84">
        <f>D109*'Stock'!O27</f>
        <v/>
      </c>
    </row>
    <row r="110">
      <c r="A110" s="15" t="inlineStr">
        <is>
          <t>Piglets</t>
        </is>
      </c>
      <c r="B110" s="76" t="n"/>
      <c r="C110" s="76" t="n"/>
      <c r="D110" s="76">
        <f>C110-B110</f>
        <v/>
      </c>
      <c r="F110" s="84">
        <f>'Stock'!K28*'Stock'!O28</f>
        <v/>
      </c>
      <c r="G110" s="84">
        <f>D110*'Stock'!O28</f>
        <v/>
      </c>
    </row>
    <row r="111">
      <c r="A111" s="15" t="inlineStr">
        <is>
          <t>Swans</t>
        </is>
      </c>
      <c r="B111" s="76" t="n"/>
      <c r="C111" s="76" t="n"/>
      <c r="D111" s="76">
        <f>C111-B111</f>
        <v/>
      </c>
      <c r="F111" s="84">
        <f>'Stock'!K29*'Stock'!O29</f>
        <v/>
      </c>
      <c r="G111" s="84">
        <f>D111*'Stock'!O29</f>
        <v/>
      </c>
    </row>
    <row r="112">
      <c r="A112" s="15" t="inlineStr">
        <is>
          <t>Peacocks</t>
        </is>
      </c>
      <c r="B112" s="76" t="n"/>
      <c r="C112" s="76" t="n"/>
      <c r="D112" s="76">
        <f>C112-B112</f>
        <v/>
      </c>
      <c r="F112" s="84">
        <f>'Stock'!K30*'Stock'!O30</f>
        <v/>
      </c>
      <c r="G112" s="84">
        <f>D112*'Stock'!O30</f>
        <v/>
      </c>
    </row>
    <row r="113">
      <c r="A113" s="17" t="inlineStr">
        <is>
          <t>Total value of stock (sum of the above)</t>
        </is>
      </c>
      <c r="B113" s="93" t="n"/>
      <c r="C113" s="94" t="n"/>
      <c r="D113" s="93" t="n"/>
      <c r="E113" s="93" t="n"/>
      <c r="F113" s="107">
        <f>SUM(F87:F112)</f>
        <v/>
      </c>
      <c r="G113" s="107">
        <f>SUM(G87:G112)</f>
        <v/>
      </c>
    </row>
    <row r="114">
      <c r="A114" s="17" t="inlineStr">
        <is>
          <t>Total value of production</t>
        </is>
      </c>
      <c r="B114" s="93" t="n"/>
      <c r="C114" s="94" t="n"/>
      <c r="D114" s="93" t="n"/>
      <c r="E114" s="93" t="n"/>
      <c r="F114" s="107">
        <f>SUM('Stock'!T5:T30)</f>
        <v/>
      </c>
      <c r="G114" s="107" t="n"/>
    </row>
    <row r="115">
      <c r="A115" s="17" t="inlineStr">
        <is>
          <t>Value of sales</t>
        </is>
      </c>
      <c r="B115" s="93" t="n"/>
      <c r="C115" s="94" t="n"/>
      <c r="D115" s="93" t="n"/>
      <c r="E115" s="93" t="n"/>
      <c r="F115" s="107">
        <f>SUM('Stock'!R5:R30)</f>
        <v/>
      </c>
      <c r="G115" s="107" t="n"/>
    </row>
    <row r="116">
      <c r="A116" s="15" t="n"/>
    </row>
    <row r="117">
      <c r="A117" s="16" t="inlineStr">
        <is>
          <t>Wool</t>
        </is>
      </c>
      <c r="B117" s="95" t="inlineStr">
        <is>
          <t>Begin stock</t>
        </is>
      </c>
      <c r="C117" s="95" t="inlineStr">
        <is>
          <t>End stock</t>
        </is>
      </c>
      <c r="D117" s="95" t="inlineStr">
        <is>
          <t>Stockbuilding</t>
        </is>
      </c>
      <c r="E117" s="95" t="n"/>
      <c r="F117" s="95" t="inlineStr">
        <is>
          <t>Value of stock in £</t>
        </is>
      </c>
    </row>
    <row r="118">
      <c r="A118" s="22" t="inlineStr">
        <is>
          <t>Fleeces</t>
        </is>
      </c>
      <c r="G118" s="96" t="n"/>
    </row>
    <row r="119">
      <c r="A119" s="15" t="inlineStr">
        <is>
          <t>Coarse wool</t>
        </is>
      </c>
    </row>
    <row r="120">
      <c r="A120" s="15" t="inlineStr">
        <is>
          <t>Lamb's wool</t>
        </is>
      </c>
    </row>
    <row r="121">
      <c r="A121" s="15" t="inlineStr">
        <is>
          <t>Wool locks</t>
        </is>
      </c>
    </row>
    <row r="122">
      <c r="A122" s="15" t="inlineStr">
        <is>
          <t>Wool sold at shearing</t>
        </is>
      </c>
    </row>
    <row r="123">
      <c r="A123" s="119" t="inlineStr">
        <is>
          <t>Total value of production (sum of the above)</t>
        </is>
      </c>
      <c r="B123" s="93" t="n"/>
      <c r="C123" s="94" t="n"/>
      <c r="D123" s="93" t="n"/>
      <c r="E123" s="93" t="n"/>
      <c r="F123" s="93" t="n"/>
    </row>
    <row r="124">
      <c r="A124" s="119" t="inlineStr">
        <is>
          <t>Value of sales</t>
        </is>
      </c>
      <c r="B124" s="93" t="n"/>
      <c r="C124" s="94" t="n"/>
      <c r="D124" s="93" t="n"/>
      <c r="E124" s="93" t="n"/>
      <c r="F124" s="93" t="n"/>
    </row>
    <row r="125">
      <c r="A125" s="8" t="n"/>
    </row>
    <row r="126">
      <c r="A126" s="16" t="inlineStr">
        <is>
          <t>Hides</t>
        </is>
      </c>
      <c r="B126" s="95" t="inlineStr">
        <is>
          <t>Begin stock</t>
        </is>
      </c>
      <c r="C126" s="95" t="inlineStr">
        <is>
          <t>End stock</t>
        </is>
      </c>
      <c r="D126" s="95" t="inlineStr">
        <is>
          <t>Stockbuilding</t>
        </is>
      </c>
      <c r="E126" s="95" t="n"/>
      <c r="F126" s="95" t="inlineStr">
        <is>
          <t>Value of stock in £</t>
        </is>
      </c>
    </row>
    <row r="127">
      <c r="A127" s="15" t="inlineStr">
        <is>
          <t>Ox hides</t>
        </is>
      </c>
      <c r="G127" s="96" t="n"/>
    </row>
    <row r="128">
      <c r="A128" s="15" t="inlineStr">
        <is>
          <t>Cow hides</t>
        </is>
      </c>
    </row>
    <row r="129">
      <c r="A129" s="15" t="inlineStr">
        <is>
          <t>Mare hides</t>
        </is>
      </c>
    </row>
    <row r="130">
      <c r="A130" s="15" t="inlineStr">
        <is>
          <t>Steer hides</t>
        </is>
      </c>
    </row>
    <row r="131">
      <c r="A131" s="15" t="inlineStr">
        <is>
          <t>Yearling Calf hides</t>
        </is>
      </c>
    </row>
    <row r="132">
      <c r="A132" s="15" t="inlineStr">
        <is>
          <t>Calf hides</t>
        </is>
      </c>
    </row>
    <row r="133">
      <c r="A133" s="23" t="inlineStr">
        <is>
          <t>Pig hides</t>
        </is>
      </c>
    </row>
    <row r="134">
      <c r="A134" s="24" t="inlineStr">
        <is>
          <t>Wether woolskins</t>
        </is>
      </c>
    </row>
    <row r="135">
      <c r="A135" s="24" t="inlineStr">
        <is>
          <t>Ram woolskins</t>
        </is>
      </c>
    </row>
    <row r="136">
      <c r="A136" s="24" t="inlineStr">
        <is>
          <t>Ewe woolskins</t>
        </is>
      </c>
    </row>
    <row r="137">
      <c r="A137" s="24" t="inlineStr">
        <is>
          <t>Hogg woolskins</t>
        </is>
      </c>
    </row>
    <row r="138">
      <c r="A138" s="25" t="inlineStr">
        <is>
          <t>Woolskins (total)</t>
        </is>
      </c>
    </row>
    <row r="139">
      <c r="A139" s="24" t="inlineStr">
        <is>
          <t>Wether bareskins</t>
        </is>
      </c>
    </row>
    <row r="140">
      <c r="A140" s="24" t="inlineStr">
        <is>
          <t>Ram bareskins</t>
        </is>
      </c>
    </row>
    <row r="141">
      <c r="A141" s="24" t="inlineStr">
        <is>
          <t>Ewe bareskins</t>
        </is>
      </c>
    </row>
    <row r="142">
      <c r="A142" s="24" t="inlineStr">
        <is>
          <t>Hogg bareskins</t>
        </is>
      </c>
    </row>
    <row r="143">
      <c r="A143" s="25" t="inlineStr">
        <is>
          <t>Bareskins (total)</t>
        </is>
      </c>
    </row>
    <row r="144">
      <c r="A144" s="15" t="inlineStr">
        <is>
          <t>Lambskins</t>
        </is>
      </c>
    </row>
    <row r="145">
      <c r="A145" s="15" t="inlineStr">
        <is>
          <t>Rotted skins</t>
        </is>
      </c>
    </row>
    <row r="146">
      <c r="A146" s="15" t="inlineStr">
        <is>
          <t>Shorn skins</t>
        </is>
      </c>
    </row>
    <row r="147">
      <c r="A147" s="17" t="inlineStr">
        <is>
          <t>Total value of production (sum of the above)</t>
        </is>
      </c>
      <c r="B147" s="93" t="n"/>
      <c r="C147" s="94" t="n"/>
      <c r="D147" s="93" t="n"/>
      <c r="E147" s="93" t="n"/>
      <c r="F147" s="93" t="n"/>
    </row>
    <row r="148">
      <c r="A148" s="17" t="inlineStr">
        <is>
          <t>Value of sales</t>
        </is>
      </c>
      <c r="B148" s="93" t="n"/>
      <c r="C148" s="94" t="n"/>
      <c r="D148" s="93" t="n"/>
      <c r="E148" s="93" t="n"/>
      <c r="F148" s="93" t="n"/>
    </row>
    <row r="149">
      <c r="A149" s="15" t="n"/>
    </row>
    <row r="150">
      <c r="A150" s="16" t="inlineStr">
        <is>
          <t>Poultry stock</t>
        </is>
      </c>
      <c r="B150" s="95" t="inlineStr">
        <is>
          <t>Begin stock</t>
        </is>
      </c>
      <c r="C150" s="95" t="inlineStr">
        <is>
          <t>End stock</t>
        </is>
      </c>
      <c r="D150" s="95" t="inlineStr">
        <is>
          <t>Stockbuilding</t>
        </is>
      </c>
      <c r="E150" s="95" t="n"/>
      <c r="F150" s="95" t="inlineStr">
        <is>
          <t>Value of stock in £</t>
        </is>
      </c>
    </row>
    <row r="151">
      <c r="A151" s="22" t="inlineStr">
        <is>
          <t>Hens</t>
        </is>
      </c>
      <c r="B151" s="76" t="n">
        <v>0</v>
      </c>
      <c r="C151" s="76" t="n">
        <v>0</v>
      </c>
      <c r="D151" s="76" t="n">
        <v>0</v>
      </c>
      <c r="F151" s="76" t="n">
        <v>0</v>
      </c>
      <c r="G151" s="96" t="n"/>
    </row>
    <row r="152">
      <c r="A152" s="15" t="inlineStr">
        <is>
          <t>Geese</t>
        </is>
      </c>
      <c r="B152" s="76" t="n">
        <v>0</v>
      </c>
      <c r="C152" s="76" t="n">
        <v>0</v>
      </c>
      <c r="D152" s="76" t="n">
        <v>0</v>
      </c>
      <c r="F152" s="76" t="n">
        <v>0</v>
      </c>
    </row>
    <row r="153">
      <c r="A153" s="15" t="inlineStr">
        <is>
          <t>Capons (from chickens)</t>
        </is>
      </c>
      <c r="B153" s="76" t="n">
        <v>0</v>
      </c>
      <c r="C153" s="76" t="n">
        <v>0</v>
      </c>
      <c r="D153" s="76" t="n">
        <v>0</v>
      </c>
      <c r="F153" s="76" t="n">
        <v>0</v>
      </c>
    </row>
    <row r="154">
      <c r="A154" s="15" t="inlineStr">
        <is>
          <t>Cocks &amp; hens</t>
        </is>
      </c>
      <c r="B154" s="76" t="n">
        <v>0</v>
      </c>
      <c r="C154" s="76" t="n">
        <v>0</v>
      </c>
      <c r="D154" s="76" t="n">
        <v>0</v>
      </c>
      <c r="F154" s="76" t="n">
        <v>0</v>
      </c>
    </row>
    <row r="155">
      <c r="A155" s="119" t="inlineStr">
        <is>
          <t>Total value of production (sum of the above)</t>
        </is>
      </c>
      <c r="B155" s="93" t="n"/>
      <c r="C155" s="93" t="n"/>
      <c r="D155" s="93" t="n"/>
      <c r="E155" s="93" t="n"/>
      <c r="F155" s="93">
        <f>SUM(F151:F154)</f>
        <v/>
      </c>
    </row>
    <row r="156">
      <c r="A156" s="119" t="inlineStr">
        <is>
          <t>Value of sales</t>
        </is>
      </c>
      <c r="B156" s="93" t="n"/>
      <c r="C156" s="94" t="n"/>
      <c r="D156" s="93" t="n"/>
      <c r="E156" s="93" t="n"/>
      <c r="F156" s="93">
        <f>SUM('Stock'!R67:R70)</f>
        <v/>
      </c>
    </row>
    <row r="157">
      <c r="A157" s="15" t="n"/>
    </row>
    <row r="158">
      <c r="A158" s="16" t="inlineStr">
        <is>
          <t>Poultry production</t>
        </is>
      </c>
      <c r="B158" s="95" t="inlineStr">
        <is>
          <t>Begin stock</t>
        </is>
      </c>
      <c r="C158" s="95" t="inlineStr">
        <is>
          <t>End stock</t>
        </is>
      </c>
      <c r="D158" s="95" t="inlineStr">
        <is>
          <t>Stockbuilding</t>
        </is>
      </c>
      <c r="E158" s="95" t="n"/>
      <c r="F158" s="95" t="inlineStr">
        <is>
          <t>Value of stock in £</t>
        </is>
      </c>
    </row>
    <row r="159">
      <c r="A159" s="15" t="inlineStr">
        <is>
          <t>Eggs</t>
        </is>
      </c>
      <c r="B159" t="n">
        <v>0</v>
      </c>
      <c r="C159" t="n">
        <v>0</v>
      </c>
      <c r="D159" t="n">
        <v>0</v>
      </c>
      <c r="F159" t="n">
        <v>0</v>
      </c>
      <c r="G159" s="116" t="n"/>
    </row>
    <row r="160">
      <c r="A160" s="15" t="inlineStr">
        <is>
          <t>Cocks &amp; hens from churchscot of customary tenants</t>
        </is>
      </c>
      <c r="B160" t="n">
        <v>0</v>
      </c>
      <c r="C160" t="n">
        <v>0</v>
      </c>
      <c r="D160" t="n">
        <v>0</v>
      </c>
      <c r="F160" t="n">
        <v>0</v>
      </c>
    </row>
    <row r="161">
      <c r="A161" s="15" t="inlineStr">
        <is>
          <t>Sum of above</t>
        </is>
      </c>
    </row>
    <row r="162">
      <c r="A162" s="17" t="inlineStr">
        <is>
          <t>Total value of stock</t>
        </is>
      </c>
      <c r="B162" s="93" t="n"/>
      <c r="C162" s="94" t="n"/>
      <c r="D162" s="93" t="n"/>
      <c r="E162" s="93" t="n"/>
      <c r="F162" s="93" t="n"/>
    </row>
    <row r="163">
      <c r="A163" s="17" t="inlineStr">
        <is>
          <t>Value of sales</t>
        </is>
      </c>
      <c r="B163" s="93" t="n"/>
      <c r="C163" s="94" t="n"/>
      <c r="D163" s="93" t="n"/>
      <c r="E163" s="93" t="n"/>
      <c r="F163" s="93" t="n"/>
    </row>
    <row r="164">
      <c r="A164" s="15" t="n"/>
    </row>
    <row r="165">
      <c r="A165" s="16" t="inlineStr">
        <is>
          <t>Dairy Production</t>
        </is>
      </c>
      <c r="B165" s="95" t="inlineStr">
        <is>
          <t>Begin stock</t>
        </is>
      </c>
      <c r="C165" s="95" t="inlineStr">
        <is>
          <t>End stock</t>
        </is>
      </c>
      <c r="D165" s="95" t="inlineStr">
        <is>
          <t>Stockbuilding</t>
        </is>
      </c>
      <c r="E165" s="95" t="n"/>
      <c r="F165" s="95" t="inlineStr">
        <is>
          <t>Value of stock in £</t>
        </is>
      </c>
    </row>
    <row r="166">
      <c r="A166" s="15" t="inlineStr">
        <is>
          <t>Butter</t>
        </is>
      </c>
      <c r="B166" t="n">
        <v>0</v>
      </c>
      <c r="C166" t="n">
        <v>0</v>
      </c>
      <c r="D166" t="n">
        <v>0</v>
      </c>
      <c r="F166" t="n">
        <v>0</v>
      </c>
      <c r="G166" s="116" t="n"/>
    </row>
    <row r="167">
      <c r="A167" s="15" t="inlineStr">
        <is>
          <t>Winter Cheese</t>
        </is>
      </c>
      <c r="B167" t="n">
        <v>0</v>
      </c>
      <c r="C167" t="n">
        <v>0</v>
      </c>
      <c r="D167" t="n">
        <v>0</v>
      </c>
      <c r="F167" t="n">
        <v>0</v>
      </c>
    </row>
    <row r="168">
      <c r="A168" s="15" t="inlineStr">
        <is>
          <t>Summer Cheese</t>
        </is>
      </c>
      <c r="B168" t="n">
        <v>0</v>
      </c>
      <c r="C168" t="n">
        <v>0</v>
      </c>
      <c r="D168" t="n">
        <v>0</v>
      </c>
      <c r="F168" t="n">
        <v>0</v>
      </c>
    </row>
    <row r="169">
      <c r="A169" s="17" t="inlineStr">
        <is>
          <t>Total value of production (sum of the above)</t>
        </is>
      </c>
      <c r="B169" s="93" t="n"/>
      <c r="C169" s="94" t="n"/>
      <c r="D169" s="93" t="n"/>
      <c r="E169" s="93" t="n"/>
      <c r="F169" s="93" t="n"/>
    </row>
    <row r="170">
      <c r="A170" s="17" t="inlineStr">
        <is>
          <t>Value of sales</t>
        </is>
      </c>
      <c r="B170" s="93" t="n"/>
      <c r="C170" s="94" t="n"/>
      <c r="D170" s="93" t="n"/>
      <c r="E170" s="93" t="n"/>
      <c r="F170" s="93" t="n"/>
    </row>
    <row r="171">
      <c r="A171" s="15" t="n"/>
    </row>
    <row r="172">
      <c r="A172" s="15" t="n"/>
    </row>
    <row r="173" ht="16" customHeight="1" thickBot="1"/>
    <row r="174" ht="16" customHeight="1" thickBot="1">
      <c r="A174" s="103" t="n"/>
      <c r="B174" s="104" t="inlineStr">
        <is>
          <t>Total in £</t>
        </is>
      </c>
      <c r="C174" s="105" t="n"/>
      <c r="D174" s="108" t="n"/>
      <c r="E174" s="108" t="n"/>
      <c r="F174" s="109" t="n"/>
    </row>
    <row r="175">
      <c r="A175" s="97" t="inlineStr">
        <is>
          <t>Total Production Value of all Output (Grange, Dairy, Livestock Sales, Wools, Skins - NO Mill)</t>
        </is>
      </c>
      <c r="B175" s="110">
        <f>F169+F162+F156+F147+F123+F115+D71</f>
        <v/>
      </c>
      <c r="D175" s="111" t="n"/>
      <c r="E175" s="111" t="n"/>
      <c r="F175" s="112" t="n"/>
    </row>
    <row r="176">
      <c r="A176" s="98" t="inlineStr">
        <is>
          <t>Total Sales Value of all Output as defined above</t>
        </is>
      </c>
      <c r="B176" s="110">
        <f>F170+F163+F156+F148+F124+F115+D73</f>
        <v/>
      </c>
      <c r="D176" s="111" t="n"/>
      <c r="E176" s="111" t="n"/>
      <c r="F176" s="112" t="n"/>
    </row>
    <row r="177">
      <c r="A177" s="98" t="inlineStr">
        <is>
          <t>Total Sales of Corn + Issues of the Manor as recorded in account</t>
        </is>
      </c>
      <c r="B177" s="110">
        <f>B15+B18</f>
        <v/>
      </c>
      <c r="D177" s="111" t="n"/>
      <c r="E177" s="111" t="n"/>
      <c r="F177" s="112" t="n"/>
    </row>
    <row r="178">
      <c r="A178" s="98" t="inlineStr">
        <is>
          <t>Production Value + Cash Receipts (excl. Arrears, Issues, Corn and Mill)</t>
        </is>
      </c>
      <c r="B178" s="110">
        <f>B175+B12+B13+B14+B16+B17+B19+B20+B21+B22</f>
        <v/>
      </c>
      <c r="D178" s="111" t="n"/>
      <c r="E178" s="111" t="n"/>
      <c r="F178" s="112" t="n"/>
    </row>
    <row r="179">
      <c r="A179" s="99" t="n"/>
      <c r="B179" s="111" t="n"/>
      <c r="D179" s="111" t="n"/>
      <c r="E179" s="111" t="n"/>
      <c r="F179" s="112" t="n"/>
    </row>
    <row r="180">
      <c r="A180" s="100" t="inlineStr">
        <is>
          <t>% of capital expenses in terms of total production</t>
        </is>
      </c>
      <c r="B180" s="113">
        <f>B47/B175</f>
        <v/>
      </c>
      <c r="C180" s="13" t="n"/>
      <c r="F180" s="112" t="n"/>
    </row>
    <row r="181">
      <c r="A181" s="98" t="inlineStr">
        <is>
          <t>% of capital expenses in terms of total production + cash receipts</t>
        </is>
      </c>
      <c r="B181" s="113">
        <f>B47/B178</f>
        <v/>
      </c>
      <c r="D181" s="111" t="n"/>
      <c r="E181" s="111" t="n"/>
      <c r="F181" s="112" t="n"/>
    </row>
    <row r="182">
      <c r="A182" s="99" t="n"/>
      <c r="D182" s="111" t="n"/>
      <c r="E182" s="111" t="n"/>
      <c r="F182" s="112" t="n"/>
    </row>
    <row r="183" ht="16" customHeight="1" thickBot="1">
      <c r="A183" s="101" t="inlineStr">
        <is>
          <t>% of capital expenses as calculated previously</t>
        </is>
      </c>
      <c r="B183" s="106" t="inlineStr">
        <is>
          <t>n/a</t>
        </is>
      </c>
      <c r="C183" s="102" t="n"/>
      <c r="D183" s="114" t="n"/>
      <c r="E183" s="114" t="n"/>
      <c r="F183" s="115" t="n"/>
    </row>
  </sheetData>
  <mergeCells count="2">
    <mergeCell ref="B60:C60"/>
    <mergeCell ref="B75:C75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topLeftCell="A1" workbookViewId="0">
      <selection activeCell="A1" sqref="A1"/>
    </sheetView>
  </sheetViews>
  <sheetFormatPr baseColWidth="8" defaultColWidth="12.6328125" defaultRowHeight="14.5"/>
  <sheetData>
    <row r="1" ht="15.5" customHeight="1">
      <c r="A1" s="12" t="inlineStr">
        <is>
          <t>Meat &amp; Dairy Prices</t>
        </is>
      </c>
    </row>
    <row r="2">
      <c r="C2" t="n">
        <v>1301</v>
      </c>
      <c r="D2" t="n">
        <v>1302</v>
      </c>
      <c r="E2" s="28" t="inlineStr">
        <is>
          <t>Average</t>
        </is>
      </c>
    </row>
    <row r="3" ht="15.5" customHeight="1">
      <c r="A3" t="inlineStr">
        <is>
          <t>Beef</t>
        </is>
      </c>
      <c r="B3" t="inlineStr">
        <is>
          <t>£ per lb</t>
        </is>
      </c>
      <c r="C3" s="62" t="n">
        <v>0.003335185413087333</v>
      </c>
      <c r="D3" s="62" t="n">
        <v>0.003260853786849182</v>
      </c>
      <c r="E3" s="63">
        <f>AVERAGE(C3:D3)</f>
        <v/>
      </c>
    </row>
    <row r="4">
      <c r="A4" t="inlineStr">
        <is>
          <t>Mutton</t>
        </is>
      </c>
      <c r="B4" t="inlineStr">
        <is>
          <t>£ per lb</t>
        </is>
      </c>
      <c r="C4" s="63" t="n">
        <v>0.003659397726835158</v>
      </c>
      <c r="D4" s="63" t="n">
        <v>0.003712551295250783</v>
      </c>
      <c r="E4" s="63">
        <f>AVERAGE(C4:D4)</f>
        <v/>
      </c>
    </row>
    <row r="5">
      <c r="A5" t="inlineStr">
        <is>
          <t>Pork</t>
        </is>
      </c>
      <c r="B5" t="inlineStr">
        <is>
          <t>£ per lb</t>
        </is>
      </c>
      <c r="C5" s="63" t="n">
        <v>0.003843132608634785</v>
      </c>
      <c r="D5" s="63" t="n">
        <v>0.003757480310106574</v>
      </c>
      <c r="E5" s="63">
        <f>AVERAGE(C5:D5)</f>
        <v/>
      </c>
    </row>
    <row r="6">
      <c r="A6" t="inlineStr">
        <is>
          <t>Cheese</t>
        </is>
      </c>
      <c r="B6" t="inlineStr">
        <is>
          <t>£ per lb</t>
        </is>
      </c>
      <c r="C6" s="64" t="n">
        <v>0.005576875401355813</v>
      </c>
      <c r="D6" s="63" t="n">
        <v>0.005665489823647453</v>
      </c>
      <c r="E6" s="63">
        <f>AVERAGE(C6:D6)</f>
        <v/>
      </c>
    </row>
    <row r="7">
      <c r="A7" t="inlineStr">
        <is>
          <t>Butter</t>
        </is>
      </c>
      <c r="B7" t="inlineStr">
        <is>
          <t>£ per lb</t>
        </is>
      </c>
      <c r="C7" s="63" t="n">
        <v>0.00366262210285494</v>
      </c>
      <c r="D7" s="63" t="n">
        <v>0.003593507742292381</v>
      </c>
      <c r="E7" s="63">
        <f>AVERAGE(C7:D7)</f>
        <v/>
      </c>
    </row>
    <row r="8">
      <c r="A8" t="inlineStr">
        <is>
          <t>Milk</t>
        </is>
      </c>
      <c r="B8" t="inlineStr">
        <is>
          <t>£ per gallon</t>
        </is>
      </c>
      <c r="C8" s="65" t="n">
        <v>0.005576875401355813</v>
      </c>
      <c r="D8" s="63" t="n">
        <v>0.005665489823647453</v>
      </c>
      <c r="E8" s="63">
        <f>AVERAGE(C8:D8)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ColWidth="8.81640625" defaultRowHeight="14.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5"/>
  <sheetViews>
    <sheetView topLeftCell="A1" workbookViewId="0">
      <selection activeCell="A1" sqref="A1"/>
    </sheetView>
  </sheetViews>
  <sheetFormatPr baseColWidth="8" defaultRowHeight="15"/>
  <cols>
    <col width="80" customWidth="1" min="1" max="1"/>
    <col width="29.1640625" customWidth="1" min="2" max="2"/>
    <col width="5.1640625" customWidth="1" min="3" max="3"/>
    <col width="5.1640625" customWidth="1" min="4" max="4"/>
    <col width="30.83203125" customWidth="1" min="5" max="5"/>
    <col width="29.33203125" customWidth="1" min="6" max="6"/>
  </cols>
  <sheetData>
    <row r="1">
      <c r="A1" s="8" t="inlineStr">
        <is>
          <t>ALVERSTOKE</t>
        </is>
      </c>
      <c r="B1" s="77" t="inlineStr">
        <is>
          <t>Total in £</t>
        </is>
      </c>
      <c r="C1" s="78" t="inlineStr">
        <is>
          <t>Error</t>
        </is>
      </c>
      <c r="D1" s="12" t="inlineStr">
        <is>
          <t>Note</t>
        </is>
      </c>
      <c r="E1" s="12" t="n"/>
    </row>
    <row r="2">
      <c r="A2" s="8" t="inlineStr">
        <is>
          <t>CASH ACCOUNT</t>
        </is>
      </c>
    </row>
    <row r="3">
      <c r="A3" s="16" t="inlineStr">
        <is>
          <t>RECEIPTS</t>
        </is>
      </c>
      <c r="B3" s="70" t="n"/>
      <c r="C3" s="127" t="n"/>
      <c r="D3" s="70" t="n"/>
    </row>
    <row r="4">
      <c r="A4" s="15" t="inlineStr">
        <is>
          <t>Arrears total</t>
        </is>
      </c>
      <c r="B4">
        <f>Receipts!F5</f>
        <v/>
      </c>
    </row>
    <row r="5">
      <c r="A5" s="15" t="inlineStr">
        <is>
          <t>Rents of assize total</t>
        </is>
      </c>
      <c r="B5" s="72">
        <f>Receipts!F14</f>
        <v/>
      </c>
    </row>
    <row r="6">
      <c r="A6" s="15" t="inlineStr">
        <is>
          <t>Recognizance total</t>
        </is>
      </c>
      <c r="B6" s="72">
        <f>Receipts!F22</f>
        <v/>
      </c>
    </row>
    <row r="7">
      <c r="A7" s="15" t="inlineStr">
        <is>
          <t>Reliefs total</t>
        </is>
      </c>
      <c r="B7" s="72">
        <f>Receipts!F33</f>
        <v/>
      </c>
    </row>
    <row r="8">
      <c r="A8" s="15" t="inlineStr">
        <is>
          <t>Quittances total</t>
        </is>
      </c>
    </row>
    <row r="9">
      <c r="A9" s="15" t="inlineStr">
        <is>
          <t>Defaults of rent total</t>
        </is>
      </c>
    </row>
    <row r="10">
      <c r="A10" s="9" t="inlineStr">
        <is>
          <t>Defaults of rent through the pestilence total</t>
        </is>
      </c>
    </row>
    <row r="11">
      <c r="A11" s="9" t="inlineStr">
        <is>
          <t>Cotlands defaults total</t>
        </is>
      </c>
    </row>
    <row r="12">
      <c r="A12" s="9" t="inlineStr">
        <is>
          <t>Cotlands total</t>
        </is>
      </c>
    </row>
    <row r="13">
      <c r="A13" s="9" t="inlineStr">
        <is>
          <t>Total of quittances and defaults of rent total</t>
        </is>
      </c>
    </row>
    <row r="14">
      <c r="A14" s="9" t="inlineStr">
        <is>
          <t>Total of rents remaining clear total</t>
        </is>
      </c>
    </row>
    <row r="15">
      <c r="A15" s="9" t="inlineStr">
        <is>
          <t>Farms total</t>
        </is>
      </c>
      <c r="B15">
        <f>Receipts!F18</f>
        <v/>
      </c>
    </row>
    <row r="16">
      <c r="A16" s="15" t="inlineStr">
        <is>
          <t>Annual recognizances total</t>
        </is>
      </c>
    </row>
    <row r="17">
      <c r="A17" s="15" t="inlineStr">
        <is>
          <t>Issues of the Manor total</t>
        </is>
      </c>
    </row>
    <row r="18">
      <c r="A18" s="9" t="inlineStr">
        <is>
          <t>Issues of the tenements in the lord's hands total</t>
        </is>
      </c>
    </row>
    <row r="19">
      <c r="A19" s="9" t="inlineStr">
        <is>
          <t>Sale of labour services total</t>
        </is>
      </c>
    </row>
    <row r="20">
      <c r="A20" s="15" t="inlineStr">
        <is>
          <t>Sale of corn total</t>
        </is>
      </c>
    </row>
    <row r="21">
      <c r="A21" s="15" t="inlineStr">
        <is>
          <t>Entry and marriage fines total</t>
        </is>
      </c>
    </row>
    <row r="22">
      <c r="A22" s="15" t="inlineStr">
        <is>
          <t>Pleas &amp; perquisites total</t>
        </is>
      </c>
      <c r="B22">
        <f>Receipts!F117</f>
        <v/>
      </c>
    </row>
    <row r="23">
      <c r="A23" s="9" t="inlineStr">
        <is>
          <t>Forfeited chattels total</t>
        </is>
      </c>
    </row>
    <row r="24">
      <c r="A24" s="9" t="inlineStr">
        <is>
          <t>Farm of the demesne land total</t>
        </is>
      </c>
    </row>
    <row r="25">
      <c r="A25" s="81" t="inlineStr">
        <is>
          <t>Total of all receipts (calculated here)</t>
        </is>
      </c>
      <c r="B25" s="128">
        <f>Receipts!F120</f>
        <v/>
      </c>
      <c r="C25" s="127" t="n"/>
      <c r="D25" s="70" t="n"/>
    </row>
    <row r="26">
      <c r="A26" s="82" t="inlineStr">
        <is>
          <t>Total of all receipts (calculated here) incl arrears</t>
        </is>
      </c>
      <c r="B26" s="70" t="n"/>
      <c r="C26" s="127" t="n"/>
      <c r="D26" s="70" t="n"/>
    </row>
    <row r="27">
      <c r="A27" s="83" t="inlineStr">
        <is>
          <t>Total recorded in the accounts excl. arrears</t>
        </is>
      </c>
      <c r="B27" s="70">
        <f>Receipts!F119</f>
        <v/>
      </c>
      <c r="C27" s="129">
        <f>B27-B25</f>
        <v/>
      </c>
      <c r="D27" s="70" t="n"/>
    </row>
    <row r="28">
      <c r="A28" s="83" t="inlineStr">
        <is>
          <t>Total recorded in the accounts incl. arrears</t>
        </is>
      </c>
      <c r="B28" s="128">
        <f>Receipts!F121</f>
        <v/>
      </c>
      <c r="C28" s="127" t="n"/>
      <c r="D28" s="70" t="n"/>
    </row>
    <row r="29">
      <c r="A29" s="15" t="n"/>
    </row>
    <row r="30">
      <c r="A30" s="15" t="n"/>
    </row>
    <row r="31">
      <c r="A31" s="16" t="inlineStr">
        <is>
          <t>EXPENSES</t>
        </is>
      </c>
      <c r="B31" s="70" t="n"/>
      <c r="C31" s="127" t="n"/>
      <c r="D31" s="70" t="n"/>
    </row>
    <row r="32">
      <c r="A32" s="15" t="inlineStr">
        <is>
          <t>Cost of ploughs total</t>
        </is>
      </c>
    </row>
    <row r="33">
      <c r="A33" s="15" t="inlineStr">
        <is>
          <t>Purchase of corn total</t>
        </is>
      </c>
    </row>
    <row r="34">
      <c r="A34" s="15" t="inlineStr">
        <is>
          <t>Cost of carts and wagons total</t>
        </is>
      </c>
    </row>
    <row r="35">
      <c r="A35" s="15" t="inlineStr">
        <is>
          <t>Cost of dairy total</t>
        </is>
      </c>
    </row>
    <row r="36">
      <c r="A36" s="15" t="inlineStr">
        <is>
          <t>Purchase of stock total</t>
        </is>
      </c>
    </row>
    <row r="37">
      <c r="A37" s="15" t="inlineStr">
        <is>
          <t>Sheepcote total</t>
        </is>
      </c>
    </row>
    <row r="38">
      <c r="A38" s="15" t="inlineStr">
        <is>
          <t>Cost of buildings total</t>
        </is>
      </c>
    </row>
    <row r="39">
      <c r="A39" s="15" t="inlineStr">
        <is>
          <t>Threshing total</t>
        </is>
      </c>
    </row>
    <row r="40">
      <c r="A40" s="15" t="inlineStr">
        <is>
          <t>Barley expenses</t>
        </is>
      </c>
    </row>
    <row r="41">
      <c r="A41" s="15" t="inlineStr">
        <is>
          <t>Expenses of the harvest total</t>
        </is>
      </c>
    </row>
    <row r="42">
      <c r="A42" s="15" t="inlineStr">
        <is>
          <t>Necessary expenses</t>
        </is>
      </c>
    </row>
    <row r="43">
      <c r="A43" s="15" t="inlineStr">
        <is>
          <t>Wages of the bailiff</t>
        </is>
      </c>
    </row>
    <row r="44">
      <c r="A44" s="15" t="inlineStr">
        <is>
          <t>Steward's expenses total</t>
        </is>
      </c>
      <c r="B44">
        <f>Expenses!F4</f>
        <v/>
      </c>
    </row>
    <row r="45">
      <c r="A45" s="85" t="inlineStr">
        <is>
          <t>Annual fees</t>
        </is>
      </c>
    </row>
    <row r="46">
      <c r="A46" s="82" t="inlineStr">
        <is>
          <t>Total of all expenses per account</t>
        </is>
      </c>
      <c r="B46" s="70" t="n"/>
      <c r="C46" s="127" t="n"/>
      <c r="D46" s="70" t="n"/>
    </row>
    <row r="47">
      <c r="A47" s="82" t="inlineStr">
        <is>
          <t>Total of all expenses (calculated here)</t>
        </is>
      </c>
      <c r="B47" s="70">
        <f>Expenses!F15</f>
        <v/>
      </c>
      <c r="C47" s="127" t="n"/>
      <c r="D47" s="70" t="n"/>
    </row>
    <row r="48">
      <c r="A48" s="82" t="inlineStr">
        <is>
          <t>Total fixed investment</t>
        </is>
      </c>
      <c r="B48" s="70" t="n">
        <v>0</v>
      </c>
      <c r="C48" s="127" t="n"/>
      <c r="D48" s="70" t="n"/>
    </row>
    <row r="49">
      <c r="A49" s="82" t="inlineStr">
        <is>
          <t>Total Demesne fixed investment</t>
        </is>
      </c>
      <c r="B49" s="70" t="n">
        <v>0</v>
      </c>
      <c r="C49" s="127" t="n"/>
      <c r="D49" s="70" t="n"/>
    </row>
    <row r="50">
      <c r="A50" s="12" t="n"/>
    </row>
    <row r="51">
      <c r="A51" s="18" t="inlineStr">
        <is>
          <t>Owed by the reeve</t>
        </is>
      </c>
    </row>
    <row r="52">
      <c r="A52" s="18" t="inlineStr">
        <is>
          <t>From accounts</t>
        </is>
      </c>
    </row>
    <row r="53">
      <c r="A53" s="15" t="n"/>
    </row>
    <row r="54">
      <c r="A54" s="18" t="inlineStr">
        <is>
          <t>Allowances</t>
        </is>
      </c>
    </row>
    <row r="55">
      <c r="A55" s="18" t="inlineStr">
        <is>
          <t>Cash deliveries</t>
        </is>
      </c>
    </row>
    <row r="56">
      <c r="A56" s="19" t="inlineStr">
        <is>
          <t>Sum of the above</t>
        </is>
      </c>
    </row>
    <row r="57">
      <c r="A57" s="20" t="inlineStr">
        <is>
          <t>Total of all allowances and cash deliveries in accounts</t>
        </is>
      </c>
    </row>
    <row r="58">
      <c r="A58" s="15" t="n"/>
    </row>
    <row r="59">
      <c r="A59" s="18" t="inlineStr">
        <is>
          <t>Net amount owed</t>
        </is>
      </c>
    </row>
    <row r="60">
      <c r="A60" s="18" t="inlineStr">
        <is>
          <t>Net amount owed in accounts</t>
        </is>
      </c>
    </row>
    <row r="61">
      <c r="A61" s="15" t="n"/>
    </row>
    <row r="62">
      <c r="A62" s="16" t="inlineStr">
        <is>
          <t xml:space="preserve">GRANGE ACCOUNT </t>
        </is>
      </c>
      <c r="B62" s="120" t="inlineStr">
        <is>
          <t>Total Production</t>
        </is>
      </c>
      <c r="D62" s="54" t="n"/>
      <c r="E62" s="54" t="n"/>
      <c r="F62" s="55" t="n"/>
    </row>
    <row r="63">
      <c r="A63" s="8" t="inlineStr">
        <is>
          <t>Grange</t>
        </is>
      </c>
      <c r="B63" s="89" t="inlineStr">
        <is>
          <t>qrs</t>
        </is>
      </c>
      <c r="C63" s="130" t="n"/>
      <c r="D63" s="9" t="n"/>
      <c r="E63" s="131" t="inlineStr">
        <is>
          <t>Value of total gross production in £</t>
        </is>
      </c>
      <c r="F63" s="131" t="inlineStr">
        <is>
          <t>Value of total net production in £</t>
        </is>
      </c>
    </row>
    <row r="64">
      <c r="A64" s="9" t="inlineStr">
        <is>
          <t>Wheat</t>
        </is>
      </c>
      <c r="G64" t="inlineStr">
        <is>
          <t>nothing</t>
        </is>
      </c>
    </row>
    <row r="65">
      <c r="A65" s="9" t="inlineStr">
        <is>
          <t>Rye</t>
        </is>
      </c>
    </row>
    <row r="66">
      <c r="A66" s="9" t="inlineStr">
        <is>
          <t>Dredge</t>
        </is>
      </c>
    </row>
    <row r="67">
      <c r="A67" s="9" t="inlineStr">
        <is>
          <t>Curall</t>
        </is>
      </c>
    </row>
    <row r="68">
      <c r="A68" s="9" t="inlineStr">
        <is>
          <t>Barley</t>
        </is>
      </c>
    </row>
    <row r="69">
      <c r="A69" s="9" t="inlineStr">
        <is>
          <t>Oats</t>
        </is>
      </c>
    </row>
    <row r="70">
      <c r="A70" s="9" t="inlineStr">
        <is>
          <t>Beans</t>
        </is>
      </c>
    </row>
    <row r="71">
      <c r="A71" s="9" t="inlineStr">
        <is>
          <t>Peas</t>
        </is>
      </c>
    </row>
    <row r="72">
      <c r="A72" s="9" t="inlineStr">
        <is>
          <t>Vetches</t>
        </is>
      </c>
    </row>
    <row r="73">
      <c r="A73" s="17" t="inlineStr">
        <is>
          <t>Total value of gross production (sum of the above)</t>
        </is>
      </c>
      <c r="B73" s="127" t="n"/>
      <c r="C73" s="127" t="n"/>
      <c r="D73" s="70" t="n"/>
      <c r="E73" s="70" t="n"/>
      <c r="F73" s="70" t="n"/>
    </row>
    <row r="74">
      <c r="A74" s="17" t="inlineStr">
        <is>
          <t>Total value of net production</t>
        </is>
      </c>
      <c r="B74" s="127" t="n"/>
      <c r="C74" s="127" t="n"/>
      <c r="D74" s="70" t="n"/>
      <c r="E74" s="70" t="n"/>
      <c r="F74" s="70" t="n"/>
    </row>
    <row r="75">
      <c r="A75" s="17" t="inlineStr">
        <is>
          <t>Value of sales</t>
        </is>
      </c>
      <c r="B75" s="127" t="n"/>
      <c r="C75" s="127" t="n"/>
      <c r="D75" s="70" t="n"/>
      <c r="E75" s="70" t="n"/>
      <c r="F75" s="70" t="n"/>
    </row>
    <row r="76">
      <c r="A76" s="15" t="n"/>
    </row>
    <row r="77">
      <c r="A77" s="16" t="inlineStr">
        <is>
          <t>MILL ACCOUNT</t>
        </is>
      </c>
      <c r="B77" s="70" t="n"/>
      <c r="C77" s="127" t="n"/>
      <c r="D77" s="70" t="n"/>
      <c r="E77" s="70" t="n"/>
      <c r="F77" s="70" t="n"/>
    </row>
    <row r="78">
      <c r="A78" s="8" t="inlineStr">
        <is>
          <t>Issues of the mill</t>
        </is>
      </c>
      <c r="G78" t="inlineStr">
        <is>
          <t>nothing</t>
        </is>
      </c>
    </row>
    <row r="79">
      <c r="A79" s="15" t="inlineStr">
        <is>
          <t>Wheat</t>
        </is>
      </c>
    </row>
    <row r="80">
      <c r="A80" s="15" t="inlineStr">
        <is>
          <t>Oatmeal</t>
        </is>
      </c>
    </row>
    <row r="81">
      <c r="A81" s="15" t="inlineStr">
        <is>
          <t>1st grade malt</t>
        </is>
      </c>
    </row>
    <row r="82">
      <c r="A82" s="15" t="inlineStr">
        <is>
          <t>2nd grade malt</t>
        </is>
      </c>
    </row>
    <row r="83">
      <c r="A83" s="15" t="inlineStr">
        <is>
          <t>Maslin</t>
        </is>
      </c>
    </row>
    <row r="84">
      <c r="A84" s="17" t="inlineStr">
        <is>
          <t>Total value of production (sum of the above)</t>
        </is>
      </c>
      <c r="B84" s="70" t="n"/>
      <c r="C84" s="127" t="n"/>
      <c r="D84" s="70" t="n"/>
      <c r="E84" s="70" t="n"/>
      <c r="F84" s="70" t="n"/>
    </row>
    <row r="85">
      <c r="A85" s="17" t="inlineStr">
        <is>
          <t>Value of sales</t>
        </is>
      </c>
      <c r="B85" s="70" t="n"/>
      <c r="C85" s="127" t="n"/>
      <c r="D85" s="70" t="n"/>
      <c r="E85" s="70" t="n"/>
      <c r="F85" s="70" t="n"/>
    </row>
    <row r="86">
      <c r="A86" s="15" t="n"/>
    </row>
    <row r="87">
      <c r="A87" s="92" t="inlineStr">
        <is>
          <t>STOCK ACCOUNT</t>
        </is>
      </c>
      <c r="B87" s="70" t="n"/>
    </row>
    <row r="88">
      <c r="A88" s="21" t="inlineStr">
        <is>
          <t>Livestock</t>
        </is>
      </c>
      <c r="B88" s="132" t="inlineStr">
        <is>
          <t>Sales value in £</t>
        </is>
      </c>
    </row>
    <row r="89" ht="17" customHeight="1">
      <c r="A89" s="22" t="inlineStr">
        <is>
          <t>Cart-horses</t>
        </is>
      </c>
      <c r="G89" t="inlineStr">
        <is>
          <t>nothing</t>
        </is>
      </c>
    </row>
    <row r="90" ht="17" customHeight="1">
      <c r="A90" s="22" t="inlineStr">
        <is>
          <t>Mares</t>
        </is>
      </c>
    </row>
    <row r="91">
      <c r="A91" s="15" t="inlineStr">
        <is>
          <t>Plough horses</t>
        </is>
      </c>
    </row>
    <row r="92">
      <c r="A92" s="15" t="inlineStr">
        <is>
          <t>Colts (2 years)</t>
        </is>
      </c>
    </row>
    <row r="93">
      <c r="A93" s="15" t="inlineStr">
        <is>
          <t>Colts (2 years)</t>
        </is>
      </c>
    </row>
    <row r="94">
      <c r="A94" s="15" t="inlineStr">
        <is>
          <t>Colts (1 year)</t>
        </is>
      </c>
    </row>
    <row r="95">
      <c r="A95" s="15" t="inlineStr">
        <is>
          <t>Foals</t>
        </is>
      </c>
    </row>
    <row r="96">
      <c r="A96" s="15" t="inlineStr">
        <is>
          <t>Oxen</t>
        </is>
      </c>
    </row>
    <row r="97">
      <c r="A97" s="15" t="inlineStr">
        <is>
          <t>Bulls</t>
        </is>
      </c>
    </row>
    <row r="98">
      <c r="A98" s="15" t="inlineStr">
        <is>
          <t>Cows</t>
        </is>
      </c>
    </row>
    <row r="99">
      <c r="A99" s="15" t="inlineStr">
        <is>
          <t>Steers</t>
        </is>
      </c>
    </row>
    <row r="100">
      <c r="A100" s="15" t="inlineStr">
        <is>
          <t>Bullocks</t>
        </is>
      </c>
    </row>
    <row r="101">
      <c r="A101" s="15" t="inlineStr">
        <is>
          <t>Yearlings</t>
        </is>
      </c>
    </row>
    <row r="102">
      <c r="A102" s="15" t="inlineStr">
        <is>
          <t>Calves</t>
        </is>
      </c>
    </row>
    <row r="103">
      <c r="A103" s="15" t="inlineStr">
        <is>
          <t>Wethers</t>
        </is>
      </c>
    </row>
    <row r="104">
      <c r="A104" s="15" t="inlineStr">
        <is>
          <t>Rams</t>
        </is>
      </c>
    </row>
    <row r="105">
      <c r="A105" s="15" t="inlineStr">
        <is>
          <t>Ewes</t>
        </is>
      </c>
    </row>
    <row r="106">
      <c r="A106" s="15" t="inlineStr">
        <is>
          <t>Hoggs</t>
        </is>
      </c>
    </row>
    <row r="107">
      <c r="A107" s="15" t="inlineStr">
        <is>
          <t>Lambs</t>
        </is>
      </c>
    </row>
    <row r="108">
      <c r="A108" s="15" t="inlineStr">
        <is>
          <t>Boars</t>
        </is>
      </c>
    </row>
    <row r="109">
      <c r="A109" s="15" t="inlineStr">
        <is>
          <t>Sows</t>
        </is>
      </c>
    </row>
    <row r="110">
      <c r="A110" s="15" t="inlineStr">
        <is>
          <t>Pigs</t>
        </is>
      </c>
    </row>
    <row r="111">
      <c r="A111" s="15" t="inlineStr">
        <is>
          <t>Hoggets</t>
        </is>
      </c>
    </row>
    <row r="112">
      <c r="A112" s="15" t="inlineStr">
        <is>
          <t>Piglets</t>
        </is>
      </c>
    </row>
    <row r="113">
      <c r="A113" s="15" t="inlineStr">
        <is>
          <t>Swans</t>
        </is>
      </c>
    </row>
    <row r="114">
      <c r="A114" s="15" t="inlineStr">
        <is>
          <t>Peacocks</t>
        </is>
      </c>
    </row>
    <row r="115">
      <c r="A115" s="17" t="inlineStr">
        <is>
          <t>Total value of stock (sum of the above)</t>
        </is>
      </c>
    </row>
    <row r="116">
      <c r="A116" s="17" t="inlineStr">
        <is>
          <t>Total value of production</t>
        </is>
      </c>
    </row>
    <row r="117">
      <c r="A117" s="17" t="inlineStr">
        <is>
          <t>Value of sales</t>
        </is>
      </c>
    </row>
    <row r="118">
      <c r="A118" s="15" t="n"/>
    </row>
    <row r="119">
      <c r="A119" s="16" t="inlineStr">
        <is>
          <t>Wool</t>
        </is>
      </c>
      <c r="B119" s="132" t="inlineStr">
        <is>
          <t>Value of production at sales prices £</t>
        </is>
      </c>
    </row>
    <row r="120" ht="17" customHeight="1">
      <c r="A120" s="22" t="inlineStr">
        <is>
          <t>Fleeces</t>
        </is>
      </c>
    </row>
    <row r="121">
      <c r="A121" s="15" t="inlineStr">
        <is>
          <t>Coarse wool</t>
        </is>
      </c>
    </row>
    <row r="122">
      <c r="A122" s="15" t="inlineStr">
        <is>
          <t>Lamb's wool</t>
        </is>
      </c>
    </row>
    <row r="123">
      <c r="A123" s="15" t="inlineStr">
        <is>
          <t>Wool locks</t>
        </is>
      </c>
    </row>
    <row r="124">
      <c r="A124" s="15" t="inlineStr">
        <is>
          <t>Wool sold at shearing</t>
        </is>
      </c>
    </row>
    <row r="125">
      <c r="A125" s="119" t="inlineStr">
        <is>
          <t>Total value of production (sum of the above)</t>
        </is>
      </c>
    </row>
    <row r="126">
      <c r="A126" s="119" t="inlineStr">
        <is>
          <t>Value of sales</t>
        </is>
      </c>
    </row>
    <row r="127">
      <c r="A127" s="8" t="n"/>
    </row>
    <row r="128">
      <c r="A128" s="16" t="inlineStr">
        <is>
          <t>Hides</t>
        </is>
      </c>
      <c r="B128" s="132" t="inlineStr">
        <is>
          <t>Value of production at sales prices £</t>
        </is>
      </c>
    </row>
    <row r="129">
      <c r="A129" s="15" t="inlineStr">
        <is>
          <t>Ox hides</t>
        </is>
      </c>
    </row>
    <row r="130">
      <c r="A130" s="15" t="inlineStr">
        <is>
          <t>Cow hides</t>
        </is>
      </c>
    </row>
    <row r="131">
      <c r="A131" s="15" t="inlineStr">
        <is>
          <t>Mare hides</t>
        </is>
      </c>
    </row>
    <row r="132">
      <c r="A132" s="15" t="inlineStr">
        <is>
          <t>Steer hides</t>
        </is>
      </c>
    </row>
    <row r="133">
      <c r="A133" s="15" t="inlineStr">
        <is>
          <t>Yearling Calf hides</t>
        </is>
      </c>
    </row>
    <row r="134">
      <c r="A134" s="15" t="inlineStr">
        <is>
          <t>Calf hides</t>
        </is>
      </c>
    </row>
    <row r="135">
      <c r="A135" s="23" t="inlineStr">
        <is>
          <t>Pig hides</t>
        </is>
      </c>
    </row>
    <row r="136">
      <c r="A136" s="24" t="inlineStr">
        <is>
          <t>Wether woolskins</t>
        </is>
      </c>
    </row>
    <row r="137">
      <c r="A137" s="24" t="inlineStr">
        <is>
          <t>Ram woolskins</t>
        </is>
      </c>
    </row>
    <row r="138">
      <c r="A138" s="24" t="inlineStr">
        <is>
          <t>Ewe woolskins</t>
        </is>
      </c>
    </row>
    <row r="139">
      <c r="A139" s="24" t="inlineStr">
        <is>
          <t>Hogg woolskins</t>
        </is>
      </c>
    </row>
    <row r="140">
      <c r="A140" s="25" t="inlineStr">
        <is>
          <t>Woolskins (total)</t>
        </is>
      </c>
    </row>
    <row r="141">
      <c r="A141" s="24" t="inlineStr">
        <is>
          <t>Wether bareskins</t>
        </is>
      </c>
    </row>
    <row r="142">
      <c r="A142" s="24" t="inlineStr">
        <is>
          <t>Ram bareskins</t>
        </is>
      </c>
    </row>
    <row r="143">
      <c r="A143" s="24" t="inlineStr">
        <is>
          <t>Ewe bareskins</t>
        </is>
      </c>
    </row>
    <row r="144">
      <c r="A144" s="24" t="inlineStr">
        <is>
          <t>Hogg bareskins</t>
        </is>
      </c>
    </row>
    <row r="145">
      <c r="A145" s="25" t="inlineStr">
        <is>
          <t>Bareskins (total)</t>
        </is>
      </c>
    </row>
    <row r="146">
      <c r="A146" s="15" t="inlineStr">
        <is>
          <t>Lambskins</t>
        </is>
      </c>
    </row>
    <row r="147">
      <c r="A147" s="15" t="inlineStr">
        <is>
          <t>Rotted skins</t>
        </is>
      </c>
    </row>
    <row r="148">
      <c r="A148" s="15" t="inlineStr">
        <is>
          <t>Shorn skins</t>
        </is>
      </c>
    </row>
    <row r="149">
      <c r="A149" s="17" t="inlineStr">
        <is>
          <t>Total value of production (sum of the above)</t>
        </is>
      </c>
    </row>
    <row r="150">
      <c r="A150" s="17" t="inlineStr">
        <is>
          <t>Value of sales</t>
        </is>
      </c>
    </row>
    <row r="151">
      <c r="A151" s="15" t="n"/>
    </row>
    <row r="152">
      <c r="A152" s="16" t="inlineStr">
        <is>
          <t>Poultry stock</t>
        </is>
      </c>
      <c r="B152" s="132" t="inlineStr">
        <is>
          <t>Value of production at sales prices £</t>
        </is>
      </c>
    </row>
    <row r="153" ht="17" customHeight="1">
      <c r="A153" s="22" t="inlineStr">
        <is>
          <t>Hens</t>
        </is>
      </c>
    </row>
    <row r="154">
      <c r="A154" s="15" t="inlineStr">
        <is>
          <t>Geese</t>
        </is>
      </c>
    </row>
    <row r="155">
      <c r="A155" s="15" t="inlineStr">
        <is>
          <t>Capons (from chickens)</t>
        </is>
      </c>
    </row>
    <row r="156">
      <c r="A156" s="15" t="inlineStr">
        <is>
          <t>Cocks &amp; hens</t>
        </is>
      </c>
    </row>
    <row r="157">
      <c r="A157" s="119" t="inlineStr">
        <is>
          <t>Total value of production (sum of the above)</t>
        </is>
      </c>
    </row>
    <row r="158">
      <c r="A158" s="119" t="inlineStr">
        <is>
          <t>Value of sales</t>
        </is>
      </c>
    </row>
    <row r="159">
      <c r="A159" s="15" t="n"/>
    </row>
    <row r="160">
      <c r="A160" s="16" t="inlineStr">
        <is>
          <t>Poultry production</t>
        </is>
      </c>
      <c r="B160" s="132" t="inlineStr">
        <is>
          <t>Value of production at sales prices £</t>
        </is>
      </c>
    </row>
    <row r="161">
      <c r="A161" s="15" t="inlineStr">
        <is>
          <t>Eggs</t>
        </is>
      </c>
    </row>
    <row r="162">
      <c r="A162" s="15" t="inlineStr">
        <is>
          <t>Cocks &amp; hens from churchscot of customary tenants</t>
        </is>
      </c>
    </row>
    <row r="163">
      <c r="A163" s="15" t="inlineStr">
        <is>
          <t>Sum of above</t>
        </is>
      </c>
    </row>
    <row r="164">
      <c r="A164" s="17" t="inlineStr">
        <is>
          <t>Total value of stock</t>
        </is>
      </c>
    </row>
    <row r="165">
      <c r="A165" s="17" t="inlineStr">
        <is>
          <t>Value of sales</t>
        </is>
      </c>
    </row>
    <row r="166">
      <c r="A166" s="15" t="n"/>
    </row>
    <row r="167">
      <c r="A167" s="16" t="inlineStr">
        <is>
          <t>Dairy Production</t>
        </is>
      </c>
      <c r="B167" s="132" t="inlineStr">
        <is>
          <t>Value of production at sales prices £</t>
        </is>
      </c>
    </row>
    <row r="168">
      <c r="A168" s="15" t="inlineStr">
        <is>
          <t>Butter</t>
        </is>
      </c>
    </row>
    <row r="169">
      <c r="A169" s="15" t="inlineStr">
        <is>
          <t>Winter Cheese</t>
        </is>
      </c>
    </row>
    <row r="170">
      <c r="A170" s="15" t="inlineStr">
        <is>
          <t>Summer Cheese</t>
        </is>
      </c>
    </row>
    <row r="171">
      <c r="A171" s="17" t="inlineStr">
        <is>
          <t>Total value of production (sum of the above)</t>
        </is>
      </c>
    </row>
    <row r="172">
      <c r="A172" s="17" t="inlineStr">
        <is>
          <t>Value of sales</t>
        </is>
      </c>
    </row>
    <row r="173">
      <c r="A173" s="15" t="n"/>
    </row>
    <row r="174">
      <c r="A174" s="15" t="n"/>
    </row>
    <row r="175" ht="17" customHeight="1"/>
    <row r="176" ht="17" customHeight="1">
      <c r="A176" s="103" t="n"/>
      <c r="B176" s="133" t="n"/>
    </row>
    <row r="177">
      <c r="A177" s="97" t="inlineStr">
        <is>
          <t>Total Production Value of all Output (Grange, Dairy, Livestock Sales, Wools, Skins - NO Mill)</t>
        </is>
      </c>
      <c r="B177" s="134">
        <f>B171+B164+B157+B149+B125+B117+F74</f>
        <v/>
      </c>
      <c r="D177" t="inlineStr">
        <is>
          <t>no production</t>
        </is>
      </c>
    </row>
    <row r="178">
      <c r="A178" s="98" t="inlineStr">
        <is>
          <t>Total Sales Value of all Output as defined above</t>
        </is>
      </c>
      <c r="B178" s="134" t="n"/>
      <c r="D178" t="inlineStr">
        <is>
          <t>no sales</t>
        </is>
      </c>
    </row>
    <row r="179">
      <c r="A179" s="98" t="inlineStr">
        <is>
          <t>Total Sales of Corn + Issues of the Manor as recorded in account</t>
        </is>
      </c>
      <c r="B179" s="134">
        <f>B20+B17</f>
        <v/>
      </c>
    </row>
    <row r="180">
      <c r="A180" s="98" t="inlineStr">
        <is>
          <t>Production Value + Cash Receipts (excl. Arrears, Issues, Corn and Mill)</t>
        </is>
      </c>
      <c r="B180" s="135">
        <f>B177+B5+B15+B22+B7</f>
        <v/>
      </c>
    </row>
    <row r="181">
      <c r="A181" s="99" t="n"/>
      <c r="B181" s="134" t="n"/>
    </row>
    <row r="182">
      <c r="A182" s="100" t="inlineStr">
        <is>
          <t>% of capital expenses in terms of total production</t>
        </is>
      </c>
      <c r="B182" s="134" t="n"/>
      <c r="D182" t="inlineStr">
        <is>
          <t>nothing</t>
        </is>
      </c>
    </row>
    <row r="183">
      <c r="A183" s="98" t="inlineStr">
        <is>
          <t>% of capital expenses in terms of total production + cash receipts</t>
        </is>
      </c>
      <c r="B183" s="134" t="n"/>
      <c r="D183" t="inlineStr">
        <is>
          <t>nothing</t>
        </is>
      </c>
    </row>
    <row r="184">
      <c r="A184" s="99" t="n"/>
      <c r="B184" s="134" t="n"/>
    </row>
    <row r="185" ht="17" customHeight="1">
      <c r="A185" s="101" t="inlineStr">
        <is>
          <t>% of capital expenses as calculated previously</t>
        </is>
      </c>
      <c r="B185" s="136" t="n"/>
    </row>
  </sheetData>
  <mergeCells count="1">
    <mergeCell ref="B62:C6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1"/>
  <sheetViews>
    <sheetView topLeftCell="A1" workbookViewId="0">
      <selection activeCell="A1" sqref="A1"/>
    </sheetView>
  </sheetViews>
  <sheetFormatPr baseColWidth="8" defaultRowHeight="15"/>
  <cols>
    <col width="32.83203125" customWidth="1" min="1" max="1"/>
    <col width="12.83203125" customWidth="1" min="6" max="6"/>
    <col width="8.83203125" customWidth="1" min="7" max="7"/>
  </cols>
  <sheetData>
    <row r="1" ht="16" customHeight="1">
      <c r="A1" s="2" t="inlineStr">
        <is>
          <t>ALVERSTOKE RECEIPTS</t>
        </is>
      </c>
    </row>
    <row r="2" ht="16" customHeight="1">
      <c r="A2" s="11" t="inlineStr">
        <is>
          <t>Heading</t>
        </is>
      </c>
      <c r="B2" s="3" t="inlineStr">
        <is>
          <t>£</t>
        </is>
      </c>
      <c r="C2" s="4" t="inlineStr">
        <is>
          <t xml:space="preserve">s </t>
        </is>
      </c>
      <c r="D2" s="4" t="inlineStr">
        <is>
          <t>d</t>
        </is>
      </c>
      <c r="E2" s="9" t="n"/>
      <c r="F2" s="5" t="inlineStr">
        <is>
          <t>Total in £</t>
        </is>
      </c>
      <c r="G2" s="6" t="inlineStr">
        <is>
          <t>Error</t>
        </is>
      </c>
      <c r="H2" s="11" t="inlineStr">
        <is>
          <t>Sentence</t>
        </is>
      </c>
    </row>
    <row r="3">
      <c r="A3" t="inlineStr">
        <is>
          <t>Arrears</t>
        </is>
      </c>
      <c r="B3" t="n">
        <v>2</v>
      </c>
      <c r="C3" t="n">
        <v>2</v>
      </c>
      <c r="D3" t="n">
        <v>7</v>
      </c>
      <c r="F3" t="n">
        <v>2.13</v>
      </c>
      <c r="H3" t="inlineStr">
        <is>
          <t>John de Forton', bailiff, renders account for £2 2 shilling 7pence of arrears from the previous year.</t>
        </is>
      </c>
    </row>
    <row r="4">
      <c r="A4" t="inlineStr">
        <is>
          <t>Arrears</t>
        </is>
      </c>
      <c r="B4" t="n">
        <v>0</v>
      </c>
      <c r="C4" t="n">
        <v>0</v>
      </c>
      <c r="D4" t="n">
        <v>0</v>
      </c>
      <c r="F4" t="n">
        <v>0</v>
      </c>
      <c r="H4" t="inlineStr">
        <is>
          <t>All delivered to Geoffrey, treasurer of Wolvesey, by 1 tally, and he is quit.</t>
        </is>
      </c>
    </row>
    <row r="5">
      <c r="A5" t="inlineStr">
        <is>
          <t>Arrears</t>
        </is>
      </c>
      <c r="F5" t="n">
        <v>2.13</v>
      </c>
      <c r="G5" s="137">
        <f>F5-F3</f>
        <v/>
      </c>
      <c r="H5" t="inlineStr">
        <is>
          <t>Total</t>
        </is>
      </c>
    </row>
    <row r="6"/>
    <row r="7">
      <c r="A7" t="inlineStr">
        <is>
          <t>Rents</t>
        </is>
      </c>
      <c r="B7" t="n">
        <v>13</v>
      </c>
      <c r="C7" t="n">
        <v>0</v>
      </c>
      <c r="D7" t="n">
        <v>0</v>
      </c>
      <c r="F7" s="72" t="n">
        <v>13</v>
      </c>
      <c r="H7" t="inlineStr">
        <is>
          <t>The same renders account for £13 for rents of assize at All Saints (1 November).</t>
        </is>
      </c>
    </row>
    <row r="8">
      <c r="A8" t="inlineStr">
        <is>
          <t>Rents</t>
        </is>
      </c>
      <c r="B8" t="n">
        <v>13</v>
      </c>
      <c r="C8" t="n">
        <v>0</v>
      </c>
      <c r="D8" t="n">
        <v>0</v>
      </c>
      <c r="F8" s="72" t="n">
        <v>13</v>
      </c>
      <c r="H8" t="inlineStr">
        <is>
          <t>£13 at the Purification (2 February).</t>
        </is>
      </c>
    </row>
    <row r="9">
      <c r="A9" t="inlineStr">
        <is>
          <t>Rents</t>
        </is>
      </c>
      <c r="B9" t="n">
        <v>13</v>
      </c>
      <c r="C9" t="n">
        <v>0</v>
      </c>
      <c r="D9" t="n">
        <v>0</v>
      </c>
      <c r="F9" s="72" t="n">
        <v>13</v>
      </c>
      <c r="H9" t="inlineStr">
        <is>
          <t>£13 at the Invention of the Cross (3 May).</t>
        </is>
      </c>
    </row>
    <row r="10">
      <c r="A10" t="inlineStr">
        <is>
          <t>Rents</t>
        </is>
      </c>
      <c r="B10" t="n">
        <v>14</v>
      </c>
      <c r="C10" t="n">
        <v>0</v>
      </c>
      <c r="D10" t="n">
        <v>7.5</v>
      </c>
      <c r="F10" s="72">
        <f>B10+C10/20+D10/240</f>
        <v/>
      </c>
      <c r="H10" t="inlineStr">
        <is>
          <t>£14 7.5d at Michaelmas (29 September).</t>
        </is>
      </c>
    </row>
    <row r="11">
      <c r="A11" t="inlineStr">
        <is>
          <t>Rents</t>
        </is>
      </c>
      <c r="B11" t="n">
        <v>0</v>
      </c>
      <c r="C11" t="n">
        <v>10</v>
      </c>
      <c r="D11" t="n">
        <v>0</v>
      </c>
      <c r="F11" s="72">
        <f>B11+C11/20+D11/240</f>
        <v/>
      </c>
      <c r="H11" t="inlineStr">
        <is>
          <t>10 shilling from the rent of Robert de Chark at the same feast.</t>
        </is>
      </c>
    </row>
    <row r="12">
      <c r="A12" t="inlineStr">
        <is>
          <t>Rents</t>
        </is>
      </c>
      <c r="B12" t="n">
        <v>0</v>
      </c>
      <c r="C12" t="n">
        <v>0</v>
      </c>
      <c r="D12" t="n">
        <v>8</v>
      </c>
      <c r="F12" s="72">
        <f>B12+C12/20+D12/240</f>
        <v/>
      </c>
      <c r="H12" t="inlineStr">
        <is>
          <t>8pence from John Aze and Alexander Cred' for 1 marsh and 2 water-channels at the same feast.</t>
        </is>
      </c>
    </row>
    <row r="13">
      <c r="A13" t="inlineStr">
        <is>
          <t>Rents</t>
        </is>
      </c>
      <c r="B13" t="n">
        <v>53</v>
      </c>
      <c r="C13" t="n">
        <v>11</v>
      </c>
      <c r="D13" t="n">
        <v>3.5</v>
      </c>
      <c r="F13" s="72">
        <f>B13+C13/20+D13/240</f>
        <v/>
      </c>
      <c r="H13" t="inlineStr">
        <is>
          <t>Total, £53 11 shilling 3.5pence</t>
        </is>
      </c>
    </row>
    <row r="14">
      <c r="A14" t="inlineStr">
        <is>
          <t>Rents</t>
        </is>
      </c>
      <c r="F14" s="72">
        <f>SUM(F7:F12)</f>
        <v/>
      </c>
      <c r="G14" s="138">
        <f>F14-F13</f>
        <v/>
      </c>
      <c r="H14" t="inlineStr">
        <is>
          <t>Total</t>
        </is>
      </c>
    </row>
    <row r="15"/>
    <row r="16">
      <c r="A16" t="inlineStr">
        <is>
          <t>Farm of the mill</t>
        </is>
      </c>
      <c r="B16" t="n">
        <v>2</v>
      </c>
      <c r="C16" t="n">
        <v>10</v>
      </c>
      <c r="D16" t="n">
        <v>0</v>
      </c>
      <c r="F16" t="n">
        <v>2.5</v>
      </c>
      <c r="H16" t="inlineStr">
        <is>
          <t>The same renders account for £2 10 shilling for the farm of the mill of Forton'.</t>
        </is>
      </c>
    </row>
    <row r="17">
      <c r="A17" t="inlineStr">
        <is>
          <t>Farm of the mill</t>
        </is>
      </c>
      <c r="B17" t="n">
        <v>2</v>
      </c>
      <c r="C17" t="n">
        <v>10</v>
      </c>
      <c r="D17" t="n">
        <v>0</v>
      </c>
      <c r="F17" t="n">
        <v>2.5</v>
      </c>
      <c r="H17" t="inlineStr">
        <is>
          <t>Total, £2 10 shilling</t>
        </is>
      </c>
    </row>
    <row r="18">
      <c r="A18" t="inlineStr">
        <is>
          <t>Farm of the mill</t>
        </is>
      </c>
      <c r="F18" t="n">
        <v>2.5</v>
      </c>
      <c r="G18" s="137" t="n">
        <v>0</v>
      </c>
      <c r="H18" t="inlineStr">
        <is>
          <t>Total</t>
        </is>
      </c>
    </row>
    <row r="19"/>
    <row r="20">
      <c r="A20" t="inlineStr">
        <is>
          <t>Recognizance</t>
        </is>
      </c>
      <c r="B20" t="n">
        <v>0</v>
      </c>
      <c r="C20" t="n">
        <v>0</v>
      </c>
      <c r="D20" t="n">
        <v>1</v>
      </c>
      <c r="F20" t="n">
        <v>0</v>
      </c>
      <c r="H20" t="inlineStr">
        <is>
          <t>The same renders account for 1pence for the annual recognizance of Adam Guldebrigg'.</t>
        </is>
      </c>
    </row>
    <row r="21">
      <c r="A21" t="inlineStr">
        <is>
          <t>Recognizance</t>
        </is>
      </c>
      <c r="B21" t="n">
        <v>0</v>
      </c>
      <c r="C21" t="n">
        <v>0</v>
      </c>
      <c r="D21" t="n">
        <v>1</v>
      </c>
      <c r="F21" t="n">
        <v>0</v>
      </c>
      <c r="H21" t="inlineStr">
        <is>
          <t>Total, 1pence</t>
        </is>
      </c>
    </row>
    <row r="22">
      <c r="A22" t="inlineStr">
        <is>
          <t>Recognizance</t>
        </is>
      </c>
      <c r="F22" t="n">
        <v>0</v>
      </c>
      <c r="G22" s="137" t="n">
        <v>0</v>
      </c>
      <c r="H22" t="inlineStr">
        <is>
          <t>Total</t>
        </is>
      </c>
    </row>
    <row r="23"/>
    <row r="24">
      <c r="A24" t="inlineStr">
        <is>
          <t>Reliefs</t>
        </is>
      </c>
      <c r="B24" t="n">
        <v>0</v>
      </c>
      <c r="C24" t="n">
        <v>13</v>
      </c>
      <c r="D24" t="n">
        <v>3</v>
      </c>
      <c r="F24" t="n">
        <v>0.66</v>
      </c>
      <c r="H24" t="inlineStr">
        <is>
          <t>The same renders account for 13 shilling 3pence from John le Pope for relief for the lands and tenements which belonged to William Pope his father.</t>
        </is>
      </c>
    </row>
    <row r="25">
      <c r="A25" t="inlineStr">
        <is>
          <t>Reliefs</t>
        </is>
      </c>
      <c r="B25" t="n">
        <v>0</v>
      </c>
      <c r="C25" t="n">
        <v>1</v>
      </c>
      <c r="D25" t="n">
        <v>0</v>
      </c>
      <c r="F25" t="n">
        <v>0.05</v>
      </c>
      <c r="H25" t="inlineStr">
        <is>
          <t>1 shilling from Joan le Pope for relief for the lands which belonged to Joan her mother.</t>
        </is>
      </c>
    </row>
    <row r="26">
      <c r="A26" t="inlineStr">
        <is>
          <t>Reliefs</t>
        </is>
      </c>
      <c r="B26" t="n">
        <v>0</v>
      </c>
      <c r="C26" t="n">
        <v>13</v>
      </c>
      <c r="D26" t="n">
        <v>6</v>
      </c>
      <c r="F26" t="n">
        <v>0.68</v>
      </c>
      <c r="H26" t="inlineStr">
        <is>
          <t>13 shilling 6pence from Bartholomew Hendel for relief for the lands and tenements which belonged to William Hendel his father.</t>
        </is>
      </c>
    </row>
    <row r="27">
      <c r="A27" t="inlineStr">
        <is>
          <t>Reliefs</t>
        </is>
      </c>
      <c r="B27" t="n">
        <v>0</v>
      </c>
      <c r="C27" t="n">
        <v>0</v>
      </c>
      <c r="D27" t="n">
        <v>8</v>
      </c>
      <c r="F27" t="n">
        <v>0.03</v>
      </c>
      <c r="H27" t="inlineStr">
        <is>
          <t>8pence from William Molendinarius for relief for the lands and tenements which belonged to John Molendinarius his brother.</t>
        </is>
      </c>
    </row>
    <row r="28">
      <c r="A28" t="inlineStr">
        <is>
          <t>Reliefs</t>
        </is>
      </c>
      <c r="B28" t="n">
        <v>0</v>
      </c>
      <c r="C28" t="n">
        <v>0</v>
      </c>
      <c r="D28" t="n">
        <v>2</v>
      </c>
      <c r="F28" t="n">
        <v>0.01</v>
      </c>
      <c r="H28" t="inlineStr">
        <is>
          <t>2pence from William Arnold for relief for 1 half-acre (aulve) of land by surrender of John le Bege.</t>
        </is>
      </c>
    </row>
    <row r="29">
      <c r="A29" t="inlineStr">
        <is>
          <t>Reliefs</t>
        </is>
      </c>
      <c r="B29" t="n">
        <v>0</v>
      </c>
      <c r="C29" t="n">
        <v>0</v>
      </c>
      <c r="D29" t="n">
        <v>2</v>
      </c>
      <c r="F29" t="n">
        <v>0.01</v>
      </c>
      <c r="H29" t="inlineStr">
        <is>
          <t>2pence from Richard Arnold for relief for 1 half-acre of land by surrender of Thomas Bild'.</t>
        </is>
      </c>
    </row>
    <row r="30">
      <c r="A30" t="inlineStr">
        <is>
          <t>Reliefs</t>
        </is>
      </c>
      <c r="B30" t="n">
        <v>0</v>
      </c>
      <c r="C30" t="n">
        <v>0</v>
      </c>
      <c r="D30" t="n">
        <v>1</v>
      </c>
      <c r="F30" t="n">
        <v>0</v>
      </c>
      <c r="H30" t="inlineStr">
        <is>
          <t>1pence from Richard Piris for relief for the land which belonged to Peter Randoldf his father.</t>
        </is>
      </c>
    </row>
    <row r="31">
      <c r="A31" t="inlineStr">
        <is>
          <t>Reliefs</t>
        </is>
      </c>
      <c r="B31" t="n">
        <v>0</v>
      </c>
      <c r="C31" t="n">
        <v>0</v>
      </c>
      <c r="D31" t="n">
        <v>4</v>
      </c>
      <c r="F31" t="n">
        <v>0.02</v>
      </c>
      <c r="H31" t="inlineStr">
        <is>
          <t>4pence from Agnes and Alice Bild' for relief for the land which belonged to Adam Bild' their father.</t>
        </is>
      </c>
    </row>
    <row r="32">
      <c r="A32" t="inlineStr">
        <is>
          <t>Reliefs</t>
        </is>
      </c>
      <c r="B32" t="n">
        <v>1</v>
      </c>
      <c r="C32" t="n">
        <v>9</v>
      </c>
      <c r="D32" t="n">
        <v>2</v>
      </c>
      <c r="F32" t="n">
        <v>1.46</v>
      </c>
      <c r="H32" t="inlineStr">
        <is>
          <t>Total, £1 9 shilling 2pence</t>
        </is>
      </c>
    </row>
    <row r="33">
      <c r="A33" t="inlineStr">
        <is>
          <t>Reliefs</t>
        </is>
      </c>
      <c r="F33" t="n">
        <v>1.46</v>
      </c>
      <c r="G33" s="137" t="n">
        <v>0</v>
      </c>
      <c r="H33" t="inlineStr">
        <is>
          <t>Total</t>
        </is>
      </c>
    </row>
    <row r="34"/>
    <row r="35">
      <c r="A35" t="inlineStr">
        <is>
          <t>Perquisites</t>
        </is>
      </c>
      <c r="B35" t="n">
        <v>0</v>
      </c>
      <c r="C35" t="n">
        <v>0</v>
      </c>
      <c r="D35" t="n">
        <v>6</v>
      </c>
      <c r="F35" t="n">
        <v>0.03</v>
      </c>
      <c r="H35" t="inlineStr">
        <is>
          <t>The same renders account for 6pence from Sarah de Forton' for breaking the assize of ale.</t>
        </is>
      </c>
    </row>
    <row r="36">
      <c r="A36" t="inlineStr">
        <is>
          <t>Perquisites</t>
        </is>
      </c>
      <c r="B36" t="n">
        <v>0</v>
      </c>
      <c r="C36" t="n">
        <v>0</v>
      </c>
      <c r="D36" t="n">
        <v>6</v>
      </c>
      <c r="F36" t="n">
        <v>0.03</v>
      </c>
      <c r="H36" t="inlineStr">
        <is>
          <t>6pence from William Page for the same.</t>
        </is>
      </c>
    </row>
    <row r="37">
      <c r="A37" t="inlineStr">
        <is>
          <t>Perquisites</t>
        </is>
      </c>
      <c r="B37" t="n">
        <v>0</v>
      </c>
      <c r="C37" t="n">
        <v>0</v>
      </c>
      <c r="D37" t="n">
        <v>3</v>
      </c>
      <c r="F37" t="n">
        <v>0.01</v>
      </c>
      <c r="H37" t="inlineStr">
        <is>
          <t>3pence from John Spark' for the same.</t>
        </is>
      </c>
    </row>
    <row r="38">
      <c r="A38" t="inlineStr">
        <is>
          <t>Perquisites</t>
        </is>
      </c>
      <c r="B38" t="n">
        <v>0</v>
      </c>
      <c r="C38" t="n">
        <v>0</v>
      </c>
      <c r="D38" t="n">
        <v>6</v>
      </c>
      <c r="F38" t="n">
        <v>0.03</v>
      </c>
      <c r="H38" t="inlineStr">
        <is>
          <t>6pence from John Aubr' for the same.</t>
        </is>
      </c>
    </row>
    <row r="39">
      <c r="A39" t="inlineStr">
        <is>
          <t>Perquisites</t>
        </is>
      </c>
      <c r="B39" t="n">
        <v>0</v>
      </c>
      <c r="C39" t="n">
        <v>0</v>
      </c>
      <c r="D39" t="n">
        <v>3</v>
      </c>
      <c r="F39" t="n">
        <v>0.01</v>
      </c>
      <c r="H39" t="inlineStr">
        <is>
          <t>3pence from Robert Clericus for the same.</t>
        </is>
      </c>
    </row>
    <row r="40">
      <c r="A40" t="inlineStr">
        <is>
          <t>Perquisites</t>
        </is>
      </c>
      <c r="B40" t="n">
        <v>0</v>
      </c>
      <c r="C40" t="n">
        <v>0</v>
      </c>
      <c r="D40" t="n">
        <v>3</v>
      </c>
      <c r="F40" t="n">
        <v>0.01</v>
      </c>
      <c r="H40" t="inlineStr">
        <is>
          <t>3pence from John Walt' for the same.</t>
        </is>
      </c>
    </row>
    <row r="41">
      <c r="A41" t="inlineStr">
        <is>
          <t>Perquisites</t>
        </is>
      </c>
      <c r="B41" t="n">
        <v>0</v>
      </c>
      <c r="C41" t="n">
        <v>0</v>
      </c>
      <c r="D41" t="n">
        <v>6</v>
      </c>
      <c r="F41" t="n">
        <v>0.03</v>
      </c>
      <c r="H41" t="inlineStr">
        <is>
          <t>6pence from the relict of Edward for the same.</t>
        </is>
      </c>
    </row>
    <row r="42">
      <c r="A42" t="inlineStr">
        <is>
          <t>Perquisites</t>
        </is>
      </c>
      <c r="B42" t="n">
        <v>0</v>
      </c>
      <c r="C42" t="n">
        <v>0</v>
      </c>
      <c r="D42" t="n">
        <v>6</v>
      </c>
      <c r="F42" t="n">
        <v>0.03</v>
      </c>
      <c r="H42" t="inlineStr">
        <is>
          <t>6pence from John Fontayn for the same.</t>
        </is>
      </c>
    </row>
    <row r="43">
      <c r="A43" t="inlineStr">
        <is>
          <t>Perquisites</t>
        </is>
      </c>
      <c r="B43" t="n">
        <v>0</v>
      </c>
      <c r="C43" t="n">
        <v>0</v>
      </c>
      <c r="D43" t="n">
        <v>6</v>
      </c>
      <c r="F43" t="n">
        <v>0.03</v>
      </c>
      <c r="H43" t="inlineStr">
        <is>
          <t>6pence from Henry Bissop for the same.</t>
        </is>
      </c>
    </row>
    <row r="44">
      <c r="A44" t="inlineStr">
        <is>
          <t>Perquisites</t>
        </is>
      </c>
      <c r="B44" t="n">
        <v>0</v>
      </c>
      <c r="C44" t="n">
        <v>1</v>
      </c>
      <c r="D44" t="n">
        <v>0</v>
      </c>
      <c r="F44" t="n">
        <v>0.05</v>
      </c>
      <c r="H44" t="inlineStr">
        <is>
          <t>1 shilling from William Lote for the same.</t>
        </is>
      </c>
    </row>
    <row r="45">
      <c r="A45" t="inlineStr">
        <is>
          <t>Perquisites</t>
        </is>
      </c>
      <c r="B45" t="n">
        <v>0</v>
      </c>
      <c r="C45" t="n">
        <v>0</v>
      </c>
      <c r="D45" t="n">
        <v>6</v>
      </c>
      <c r="F45" t="n">
        <v>0.03</v>
      </c>
      <c r="H45" t="inlineStr">
        <is>
          <t>6pence from William Unwyn' for the same.</t>
        </is>
      </c>
    </row>
    <row r="46">
      <c r="A46" t="inlineStr">
        <is>
          <t>Perquisites</t>
        </is>
      </c>
      <c r="B46" t="n">
        <v>0</v>
      </c>
      <c r="C46" t="n">
        <v>0</v>
      </c>
      <c r="D46" t="n">
        <v>6</v>
      </c>
      <c r="F46" t="n">
        <v>0.03</v>
      </c>
      <c r="H46" t="inlineStr">
        <is>
          <t>6pence from John Bege for the same.</t>
        </is>
      </c>
    </row>
    <row r="47">
      <c r="A47" t="inlineStr">
        <is>
          <t>Perquisites</t>
        </is>
      </c>
      <c r="B47" t="n">
        <v>0</v>
      </c>
      <c r="C47" t="n">
        <v>0</v>
      </c>
      <c r="D47" t="n">
        <v>6</v>
      </c>
      <c r="F47" t="n">
        <v>0.03</v>
      </c>
      <c r="H47" t="inlineStr">
        <is>
          <t>6pence from Roger Alward for the same.</t>
        </is>
      </c>
    </row>
    <row r="48">
      <c r="A48" t="inlineStr">
        <is>
          <t>Perquisites</t>
        </is>
      </c>
      <c r="B48" t="n">
        <v>0</v>
      </c>
      <c r="C48" t="n">
        <v>1</v>
      </c>
      <c r="D48" t="n">
        <v>0</v>
      </c>
      <c r="F48" t="n">
        <v>0.05</v>
      </c>
      <c r="H48" t="inlineStr">
        <is>
          <t>1 shilling from Robert Ricard for the same.</t>
        </is>
      </c>
    </row>
    <row r="49">
      <c r="A49" t="inlineStr">
        <is>
          <t>Perquisites</t>
        </is>
      </c>
      <c r="B49" t="n">
        <v>0</v>
      </c>
      <c r="C49" t="n">
        <v>0</v>
      </c>
      <c r="D49" t="n">
        <v>6</v>
      </c>
      <c r="F49" t="n">
        <v>0.03</v>
      </c>
      <c r="H49" t="inlineStr">
        <is>
          <t>6pence from Richard de Alnet' for the same.</t>
        </is>
      </c>
    </row>
    <row r="50">
      <c r="A50" t="inlineStr">
        <is>
          <t>Perquisites</t>
        </is>
      </c>
      <c r="B50" t="n">
        <v>0</v>
      </c>
      <c r="C50" t="n">
        <v>0</v>
      </c>
      <c r="D50" t="n">
        <v>6</v>
      </c>
      <c r="F50" t="n">
        <v>0.03</v>
      </c>
      <c r="H50" t="inlineStr">
        <is>
          <t>6pence from the relict of Pope for the same.</t>
        </is>
      </c>
    </row>
    <row r="51">
      <c r="A51" t="inlineStr">
        <is>
          <t>Perquisites</t>
        </is>
      </c>
      <c r="B51" t="n">
        <v>0</v>
      </c>
      <c r="C51" t="n">
        <v>0</v>
      </c>
      <c r="D51" t="n">
        <v>6</v>
      </c>
      <c r="F51" t="n">
        <v>0.03</v>
      </c>
      <c r="H51" t="inlineStr">
        <is>
          <t>6pence from Matilda Pope for the same.</t>
        </is>
      </c>
    </row>
    <row r="52">
      <c r="A52" t="inlineStr">
        <is>
          <t>Perquisites</t>
        </is>
      </c>
      <c r="B52" t="n">
        <v>0</v>
      </c>
      <c r="C52" t="n">
        <v>1</v>
      </c>
      <c r="D52" t="n">
        <v>0</v>
      </c>
      <c r="F52" t="n">
        <v>0.05</v>
      </c>
      <c r="H52" t="inlineStr">
        <is>
          <t>1 shilling from Walter Lont' for the same.</t>
        </is>
      </c>
    </row>
    <row r="53">
      <c r="A53" t="inlineStr">
        <is>
          <t>Perquisites</t>
        </is>
      </c>
      <c r="B53" t="n">
        <v>0</v>
      </c>
      <c r="C53" t="n">
        <v>0</v>
      </c>
      <c r="D53" t="n">
        <v>3</v>
      </c>
      <c r="F53" t="n">
        <v>0.01</v>
      </c>
      <c r="H53" t="inlineStr">
        <is>
          <t>3pence from Henry Arnold' for the same.</t>
        </is>
      </c>
    </row>
    <row r="54">
      <c r="A54" t="inlineStr">
        <is>
          <t>Perquisites</t>
        </is>
      </c>
      <c r="B54" t="n">
        <v>0</v>
      </c>
      <c r="C54" t="n">
        <v>0</v>
      </c>
      <c r="D54" t="n">
        <v>3</v>
      </c>
      <c r="F54" t="n">
        <v>0.01</v>
      </c>
      <c r="H54" t="inlineStr">
        <is>
          <t>3pence from Peter Avice for the same.</t>
        </is>
      </c>
    </row>
    <row r="55">
      <c r="A55" t="inlineStr">
        <is>
          <t>Perquisites</t>
        </is>
      </c>
      <c r="B55" t="n">
        <v>0</v>
      </c>
      <c r="C55" t="n">
        <v>0</v>
      </c>
      <c r="D55" t="n">
        <v>3</v>
      </c>
      <c r="F55" t="n">
        <v>0.01</v>
      </c>
      <c r="H55" t="inlineStr">
        <is>
          <t>3pence from Peter Speg for the same.</t>
        </is>
      </c>
    </row>
    <row r="56">
      <c r="A56" t="inlineStr">
        <is>
          <t>Perquisites</t>
        </is>
      </c>
      <c r="B56" t="n">
        <v>0</v>
      </c>
      <c r="C56" t="n">
        <v>1</v>
      </c>
      <c r="D56" t="n">
        <v>0</v>
      </c>
      <c r="F56" t="n">
        <v>0.05</v>
      </c>
      <c r="H56" t="inlineStr">
        <is>
          <t>1 shilling from Thomas Pell' for the same.</t>
        </is>
      </c>
    </row>
    <row r="57">
      <c r="A57" t="inlineStr">
        <is>
          <t>Perquisites</t>
        </is>
      </c>
      <c r="B57" t="n">
        <v>0</v>
      </c>
      <c r="C57" t="n">
        <v>0</v>
      </c>
      <c r="D57" t="n">
        <v>3</v>
      </c>
      <c r="F57" t="n">
        <v>0.01</v>
      </c>
      <c r="H57" t="inlineStr">
        <is>
          <t>3pence from Henry Soun for the same.</t>
        </is>
      </c>
    </row>
    <row r="58">
      <c r="A58" t="inlineStr">
        <is>
          <t>Perquisites</t>
        </is>
      </c>
      <c r="B58" t="n">
        <v>0</v>
      </c>
      <c r="C58" t="n">
        <v>0</v>
      </c>
      <c r="D58" t="n">
        <v>6</v>
      </c>
      <c r="F58" t="n">
        <v>0.03</v>
      </c>
      <c r="H58" t="inlineStr">
        <is>
          <t>6pence from William Eston for the same.</t>
        </is>
      </c>
    </row>
    <row r="59">
      <c r="A59" t="inlineStr">
        <is>
          <t>Perquisites</t>
        </is>
      </c>
      <c r="B59" t="n">
        <v>0</v>
      </c>
      <c r="C59" t="n">
        <v>0</v>
      </c>
      <c r="D59" t="n">
        <v>6</v>
      </c>
      <c r="F59" t="n">
        <v>0.03</v>
      </c>
      <c r="H59" t="inlineStr">
        <is>
          <t>6pence from William Bendel for the same.</t>
        </is>
      </c>
    </row>
    <row r="60">
      <c r="A60" t="inlineStr">
        <is>
          <t>Perquisites</t>
        </is>
      </c>
      <c r="B60" t="n">
        <v>0</v>
      </c>
      <c r="C60" t="n">
        <v>0</v>
      </c>
      <c r="D60" t="n">
        <v>6</v>
      </c>
      <c r="F60" t="n">
        <v>0.03</v>
      </c>
      <c r="H60" t="inlineStr">
        <is>
          <t>6pence from William Weston for the same.</t>
        </is>
      </c>
    </row>
    <row r="61">
      <c r="A61" t="inlineStr">
        <is>
          <t>Perquisites</t>
        </is>
      </c>
      <c r="B61" t="n">
        <v>0</v>
      </c>
      <c r="C61" t="n">
        <v>0</v>
      </c>
      <c r="D61" t="n">
        <v>3</v>
      </c>
      <c r="F61" t="n">
        <v>0.01</v>
      </c>
      <c r="H61" t="inlineStr">
        <is>
          <t>3pence from John Bartholomew for the same.</t>
        </is>
      </c>
    </row>
    <row r="62">
      <c r="A62" t="inlineStr">
        <is>
          <t>Perquisites</t>
        </is>
      </c>
      <c r="B62" t="n">
        <v>0</v>
      </c>
      <c r="C62" t="n">
        <v>1</v>
      </c>
      <c r="D62" t="n">
        <v>0</v>
      </c>
      <c r="F62" t="n">
        <v>0.05</v>
      </c>
      <c r="H62" t="inlineStr">
        <is>
          <t>1 shilling from William de Bury for the same.</t>
        </is>
      </c>
    </row>
    <row r="63">
      <c r="A63" t="inlineStr">
        <is>
          <t>Perquisites</t>
        </is>
      </c>
      <c r="B63" t="n">
        <v>0</v>
      </c>
      <c r="C63" t="n">
        <v>0</v>
      </c>
      <c r="D63" t="n">
        <v>6</v>
      </c>
      <c r="F63" t="n">
        <v>0.03</v>
      </c>
      <c r="H63" t="inlineStr">
        <is>
          <t>6pence from John Wytlot for the same.</t>
        </is>
      </c>
    </row>
    <row r="64">
      <c r="A64" t="inlineStr">
        <is>
          <t>Perquisites</t>
        </is>
      </c>
      <c r="B64" t="n">
        <v>0</v>
      </c>
      <c r="C64" t="n">
        <v>0</v>
      </c>
      <c r="D64" t="n">
        <v>3</v>
      </c>
      <c r="F64" t="n">
        <v>0.01</v>
      </c>
      <c r="H64" t="inlineStr">
        <is>
          <t>3pence from Richard de Bury for the same.</t>
        </is>
      </c>
    </row>
    <row r="65">
      <c r="A65" t="inlineStr">
        <is>
          <t>Perquisites</t>
        </is>
      </c>
      <c r="B65" t="n">
        <v>0</v>
      </c>
      <c r="C65" t="n">
        <v>0</v>
      </c>
      <c r="D65" t="n">
        <v>3</v>
      </c>
      <c r="F65" t="n">
        <v>0.01</v>
      </c>
      <c r="H65" t="inlineStr">
        <is>
          <t>3pence from Alexander de Ponte for shedding the blood of Richard Stonman.</t>
        </is>
      </c>
    </row>
    <row r="66">
      <c r="A66" t="inlineStr">
        <is>
          <t>Perquisites</t>
        </is>
      </c>
      <c r="B66" t="n">
        <v>0</v>
      </c>
      <c r="C66" t="n">
        <v>0</v>
      </c>
      <c r="D66" t="n">
        <v>3</v>
      </c>
      <c r="F66" t="n">
        <v>0.01</v>
      </c>
      <c r="H66" t="inlineStr">
        <is>
          <t>3pence from John Mansir for the same.</t>
        </is>
      </c>
    </row>
    <row r="67">
      <c r="A67" t="inlineStr">
        <is>
          <t>Perquisites</t>
        </is>
      </c>
      <c r="B67" t="n">
        <v>0</v>
      </c>
      <c r="C67" t="n">
        <v>0</v>
      </c>
      <c r="D67" t="n">
        <v>3</v>
      </c>
      <c r="F67" t="n">
        <v>0.01</v>
      </c>
      <c r="H67" t="inlineStr">
        <is>
          <t>3pence from John Halygod for transgression against John Coc.</t>
        </is>
      </c>
    </row>
    <row r="68">
      <c r="A68" t="inlineStr">
        <is>
          <t>Perquisites</t>
        </is>
      </c>
      <c r="B68" t="n">
        <v>0</v>
      </c>
      <c r="C68" t="n">
        <v>0</v>
      </c>
      <c r="D68" t="n">
        <v>6</v>
      </c>
      <c r="F68" t="n">
        <v>0.03</v>
      </c>
      <c r="H68" t="inlineStr">
        <is>
          <t>6pence from Richard Age for raising the hue against William Soun.</t>
        </is>
      </c>
    </row>
    <row r="69">
      <c r="A69" t="inlineStr">
        <is>
          <t>Perquisites</t>
        </is>
      </c>
      <c r="B69" t="n">
        <v>0</v>
      </c>
      <c r="C69" t="n">
        <v>0</v>
      </c>
      <c r="D69" t="n">
        <v>3</v>
      </c>
      <c r="F69" t="n">
        <v>0.01</v>
      </c>
      <c r="H69" t="inlineStr">
        <is>
          <t>3pence from John Rolf for licence to agree with Richard Barbir.</t>
        </is>
      </c>
    </row>
    <row r="70">
      <c r="A70" t="inlineStr">
        <is>
          <t>Perquisites</t>
        </is>
      </c>
      <c r="B70" t="n">
        <v>0</v>
      </c>
      <c r="C70" t="n">
        <v>0</v>
      </c>
      <c r="D70" t="n">
        <v>3</v>
      </c>
      <c r="F70" t="n">
        <v>0.01</v>
      </c>
      <c r="H70" t="inlineStr">
        <is>
          <t>3pence from Robert Ricard for transgression against John de Forton.</t>
        </is>
      </c>
    </row>
    <row r="71">
      <c r="A71" t="inlineStr">
        <is>
          <t>Perquisites</t>
        </is>
      </c>
      <c r="B71" t="n">
        <v>0</v>
      </c>
      <c r="C71" t="n">
        <v>0</v>
      </c>
      <c r="D71" t="n">
        <v>3</v>
      </c>
      <c r="F71" t="n">
        <v>0.01</v>
      </c>
      <c r="H71" t="inlineStr">
        <is>
          <t>3pence from Richard Brok for transgression against the same.</t>
        </is>
      </c>
    </row>
    <row r="72">
      <c r="A72" t="inlineStr">
        <is>
          <t>Perquisites</t>
        </is>
      </c>
      <c r="B72" t="n">
        <v>0</v>
      </c>
      <c r="C72" t="n">
        <v>0</v>
      </c>
      <c r="D72" t="n">
        <v>3</v>
      </c>
      <c r="F72" t="n">
        <v>0.01</v>
      </c>
      <c r="H72" t="inlineStr">
        <is>
          <t>3pence from John de Ponte for transgression against Richard Stonman.</t>
        </is>
      </c>
    </row>
    <row r="73">
      <c r="A73" t="inlineStr">
        <is>
          <t>Perquisites</t>
        </is>
      </c>
      <c r="B73" t="n">
        <v>0</v>
      </c>
      <c r="C73" t="n">
        <v>0</v>
      </c>
      <c r="D73" t="n">
        <v>3</v>
      </c>
      <c r="F73" t="n">
        <v>0.01</v>
      </c>
      <c r="H73" t="inlineStr">
        <is>
          <t>3pence from Alexander de Ponte for the same.</t>
        </is>
      </c>
    </row>
    <row r="74">
      <c r="A74" t="inlineStr">
        <is>
          <t>Perquisites</t>
        </is>
      </c>
      <c r="B74" t="n">
        <v>0</v>
      </c>
      <c r="C74" t="n">
        <v>0</v>
      </c>
      <c r="D74" t="n">
        <v>3</v>
      </c>
      <c r="F74" t="n">
        <v>0.01</v>
      </c>
      <c r="H74" t="inlineStr">
        <is>
          <t>3pence from John Rolf for licence to agree with Amice Rolf.</t>
        </is>
      </c>
    </row>
    <row r="75">
      <c r="A75" t="inlineStr">
        <is>
          <t>Perquisites</t>
        </is>
      </c>
      <c r="B75" t="n">
        <v>0</v>
      </c>
      <c r="C75" t="n">
        <v>0</v>
      </c>
      <c r="D75" t="n">
        <v>3</v>
      </c>
      <c r="F75" t="n">
        <v>0.01</v>
      </c>
      <c r="H75" t="inlineStr">
        <is>
          <t>3pence from Robert de Burga because he is not proceeding against Robert de Burg'.</t>
        </is>
      </c>
    </row>
    <row r="76">
      <c r="A76" t="inlineStr">
        <is>
          <t>Perquisites</t>
        </is>
      </c>
      <c r="B76" t="n">
        <v>0</v>
      </c>
      <c r="C76" t="n">
        <v>1</v>
      </c>
      <c r="D76" t="n">
        <v>0</v>
      </c>
      <c r="F76" t="n">
        <v>0.05</v>
      </c>
      <c r="H76" t="inlineStr">
        <is>
          <t>1 shilling from John Aubroy for breaking the assize of ale.</t>
        </is>
      </c>
    </row>
    <row r="77">
      <c r="A77" t="inlineStr">
        <is>
          <t>Perquisites</t>
        </is>
      </c>
      <c r="B77" t="n">
        <v>0</v>
      </c>
      <c r="C77" t="n">
        <v>0</v>
      </c>
      <c r="D77" t="n">
        <v>3</v>
      </c>
      <c r="F77" t="n">
        <v>0.01</v>
      </c>
      <c r="H77" t="inlineStr">
        <is>
          <t>3pence from Matilda de la Don' for the same.</t>
        </is>
      </c>
    </row>
    <row r="78">
      <c r="A78" t="inlineStr">
        <is>
          <t>Perquisites</t>
        </is>
      </c>
      <c r="B78" t="n">
        <v>0</v>
      </c>
      <c r="C78" t="n">
        <v>0</v>
      </c>
      <c r="D78" t="n">
        <v>9</v>
      </c>
      <c r="F78" t="n">
        <v>0.04</v>
      </c>
      <c r="H78" t="inlineStr">
        <is>
          <t>9pence from John Walt' for the same.</t>
        </is>
      </c>
    </row>
    <row r="79">
      <c r="A79" t="inlineStr">
        <is>
          <t>Perquisites</t>
        </is>
      </c>
      <c r="B79" t="n">
        <v>0</v>
      </c>
      <c r="C79" t="n">
        <v>1</v>
      </c>
      <c r="D79" t="n">
        <v>0</v>
      </c>
      <c r="F79" t="n">
        <v>0.05</v>
      </c>
      <c r="H79" t="inlineStr">
        <is>
          <t>1 shilling from Matilda Edward for the same.</t>
        </is>
      </c>
    </row>
    <row r="80">
      <c r="A80" t="inlineStr">
        <is>
          <t>Perquisites</t>
        </is>
      </c>
      <c r="B80" t="n">
        <v>0</v>
      </c>
      <c r="C80" t="n">
        <v>0</v>
      </c>
      <c r="D80" t="n">
        <v>3</v>
      </c>
      <c r="F80" t="n">
        <v>0.01</v>
      </c>
      <c r="H80" t="inlineStr">
        <is>
          <t>3pence from John Fontayn for the same.</t>
        </is>
      </c>
    </row>
    <row r="81">
      <c r="A81" t="inlineStr">
        <is>
          <t>Perquisites</t>
        </is>
      </c>
      <c r="B81" t="n">
        <v>0</v>
      </c>
      <c r="C81" t="n">
        <v>0</v>
      </c>
      <c r="D81" t="n">
        <v>3</v>
      </c>
      <c r="F81" t="n">
        <v>0.01</v>
      </c>
      <c r="H81" t="inlineStr">
        <is>
          <t>3pence from Henry Bissop for the same.</t>
        </is>
      </c>
    </row>
    <row r="82">
      <c r="A82" t="inlineStr">
        <is>
          <t>Perquisites</t>
        </is>
      </c>
      <c r="B82" t="n">
        <v>0</v>
      </c>
      <c r="C82" t="n">
        <v>0</v>
      </c>
      <c r="D82" t="n">
        <v>6</v>
      </c>
      <c r="F82" t="n">
        <v>0.03</v>
      </c>
      <c r="H82" t="inlineStr">
        <is>
          <t>6pence from Roger le Suther' for the same.</t>
        </is>
      </c>
    </row>
    <row r="83">
      <c r="A83" t="inlineStr">
        <is>
          <t>Perquisites</t>
        </is>
      </c>
      <c r="B83" t="n">
        <v>0</v>
      </c>
      <c r="C83" t="n">
        <v>1</v>
      </c>
      <c r="D83" t="n">
        <v>0</v>
      </c>
      <c r="F83" t="n">
        <v>0.05</v>
      </c>
      <c r="H83" t="inlineStr">
        <is>
          <t>1 shilling from William_Lote for the same.</t>
        </is>
      </c>
    </row>
    <row r="84">
      <c r="A84" t="inlineStr">
        <is>
          <t>Perquisites</t>
        </is>
      </c>
      <c r="B84" t="n">
        <v>0</v>
      </c>
      <c r="C84" t="n">
        <v>0</v>
      </c>
      <c r="D84" t="n">
        <v>6</v>
      </c>
      <c r="F84" t="n">
        <v>0.03</v>
      </c>
      <c r="H84" t="inlineStr">
        <is>
          <t>6pence from William Unwyn' for the same.</t>
        </is>
      </c>
    </row>
    <row r="85">
      <c r="A85" t="inlineStr">
        <is>
          <t>Perquisites</t>
        </is>
      </c>
      <c r="B85" t="n">
        <v>0</v>
      </c>
      <c r="C85" t="n">
        <v>0</v>
      </c>
      <c r="D85" t="n">
        <v>6</v>
      </c>
      <c r="F85" t="n">
        <v>0.03</v>
      </c>
      <c r="H85" t="inlineStr">
        <is>
          <t>6pence from William de Campo for the same.</t>
        </is>
      </c>
    </row>
    <row r="86">
      <c r="A86" t="inlineStr">
        <is>
          <t>Perquisites</t>
        </is>
      </c>
      <c r="B86" t="n">
        <v>0</v>
      </c>
      <c r="C86" t="n">
        <v>1</v>
      </c>
      <c r="D86" t="n">
        <v>0</v>
      </c>
      <c r="F86" t="n">
        <v>0.05</v>
      </c>
      <c r="H86" t="inlineStr">
        <is>
          <t>1 shilling from Robert Ricard' for the same.</t>
        </is>
      </c>
    </row>
    <row r="87">
      <c r="A87" t="inlineStr">
        <is>
          <t>Perquisites</t>
        </is>
      </c>
      <c r="B87" t="n">
        <v>0</v>
      </c>
      <c r="C87" t="n">
        <v>1</v>
      </c>
      <c r="D87" t="n">
        <v>0</v>
      </c>
      <c r="F87" t="n">
        <v>0.05</v>
      </c>
      <c r="H87" t="inlineStr">
        <is>
          <t>1 shilling from lsabel le Pope for the same.</t>
        </is>
      </c>
    </row>
    <row r="88">
      <c r="A88" t="inlineStr">
        <is>
          <t>Perquisites</t>
        </is>
      </c>
      <c r="B88" t="n">
        <v>0</v>
      </c>
      <c r="C88" t="n">
        <v>1</v>
      </c>
      <c r="D88" t="n">
        <v>0</v>
      </c>
      <c r="F88" t="n">
        <v>0.05</v>
      </c>
      <c r="H88" t="inlineStr">
        <is>
          <t>1 shilling from Matilda le Pope for the same.</t>
        </is>
      </c>
    </row>
    <row r="89">
      <c r="A89" t="inlineStr">
        <is>
          <t>Perquisites</t>
        </is>
      </c>
      <c r="B89" t="n">
        <v>0</v>
      </c>
      <c r="C89" t="n">
        <v>1</v>
      </c>
      <c r="D89" t="n">
        <v>0</v>
      </c>
      <c r="F89" t="n">
        <v>0.05</v>
      </c>
      <c r="H89" t="inlineStr">
        <is>
          <t>1 shilling from Walter Lonte for the same.</t>
        </is>
      </c>
    </row>
    <row r="90">
      <c r="A90" t="inlineStr">
        <is>
          <t>Perquisites</t>
        </is>
      </c>
      <c r="B90" t="n">
        <v>0</v>
      </c>
      <c r="C90" t="n">
        <v>1</v>
      </c>
      <c r="D90" t="n">
        <v>0</v>
      </c>
      <c r="F90" t="n">
        <v>0.05</v>
      </c>
      <c r="H90" t="inlineStr">
        <is>
          <t>1 shilling from William Molendinarius for the same.</t>
        </is>
      </c>
    </row>
    <row r="91">
      <c r="A91" t="inlineStr">
        <is>
          <t>Perquisites</t>
        </is>
      </c>
      <c r="B91" t="n">
        <v>0</v>
      </c>
      <c r="C91" t="n">
        <v>1</v>
      </c>
      <c r="D91" t="n">
        <v>0</v>
      </c>
      <c r="F91" t="n">
        <v>0.05</v>
      </c>
      <c r="H91" t="inlineStr">
        <is>
          <t>1 shilling from Henry Soun for the same.</t>
        </is>
      </c>
    </row>
    <row r="92">
      <c r="A92" t="inlineStr">
        <is>
          <t>Perquisites</t>
        </is>
      </c>
      <c r="B92" t="n">
        <v>0</v>
      </c>
      <c r="C92" t="n">
        <v>1</v>
      </c>
      <c r="D92" t="n">
        <v>0</v>
      </c>
      <c r="F92" t="n">
        <v>0.05</v>
      </c>
      <c r="H92" t="inlineStr">
        <is>
          <t>1 shilling from Thomas Pellepar' for the same.</t>
        </is>
      </c>
    </row>
    <row r="93">
      <c r="A93" t="inlineStr">
        <is>
          <t>Perquisites</t>
        </is>
      </c>
      <c r="B93" t="n">
        <v>0</v>
      </c>
      <c r="C93" t="n">
        <v>1</v>
      </c>
      <c r="D93" t="n">
        <v>0</v>
      </c>
      <c r="F93" t="n">
        <v>0.05</v>
      </c>
      <c r="H93" t="inlineStr">
        <is>
          <t>1 shilling from William Eston for the same.</t>
        </is>
      </c>
    </row>
    <row r="94">
      <c r="A94" t="inlineStr">
        <is>
          <t>Perquisites</t>
        </is>
      </c>
      <c r="B94" t="n">
        <v>0</v>
      </c>
      <c r="C94" t="n">
        <v>1</v>
      </c>
      <c r="D94" t="n">
        <v>0</v>
      </c>
      <c r="F94" t="n">
        <v>0.05</v>
      </c>
      <c r="H94" t="inlineStr">
        <is>
          <t>1 shilling from Maurice Durant for the same.</t>
        </is>
      </c>
    </row>
    <row r="95">
      <c r="A95" t="inlineStr">
        <is>
          <t>Perquisites</t>
        </is>
      </c>
      <c r="B95" t="n">
        <v>0</v>
      </c>
      <c r="C95" t="n">
        <v>1</v>
      </c>
      <c r="D95" t="n">
        <v>0</v>
      </c>
      <c r="F95" t="n">
        <v>0.05</v>
      </c>
      <c r="H95" t="inlineStr">
        <is>
          <t>1 shilling from William de Bury for the same.</t>
        </is>
      </c>
    </row>
    <row r="96">
      <c r="A96" t="inlineStr">
        <is>
          <t>Perquisites</t>
        </is>
      </c>
      <c r="B96" t="n">
        <v>0</v>
      </c>
      <c r="C96" t="n">
        <v>0</v>
      </c>
      <c r="D96" t="n">
        <v>6</v>
      </c>
      <c r="F96" t="n">
        <v>0.03</v>
      </c>
      <c r="H96" t="inlineStr">
        <is>
          <t>6pence from John Wytlot for the same.</t>
        </is>
      </c>
    </row>
    <row r="97">
      <c r="A97" t="inlineStr">
        <is>
          <t>Perquisites</t>
        </is>
      </c>
      <c r="B97" t="n">
        <v>0</v>
      </c>
      <c r="C97" t="n">
        <v>0</v>
      </c>
      <c r="D97" t="n">
        <v>6</v>
      </c>
      <c r="F97" t="n">
        <v>0.03</v>
      </c>
      <c r="H97" t="inlineStr">
        <is>
          <t>6pence from Alice Hervy for the same.</t>
        </is>
      </c>
    </row>
    <row r="98">
      <c r="A98" t="inlineStr">
        <is>
          <t>Perquisites</t>
        </is>
      </c>
      <c r="B98" t="n">
        <v>0</v>
      </c>
      <c r="C98" t="n">
        <v>0</v>
      </c>
      <c r="D98" t="n">
        <v>3</v>
      </c>
      <c r="F98" t="n">
        <v>0.01</v>
      </c>
      <c r="H98" t="inlineStr">
        <is>
          <t>3pence from John Som' for transgression against John Bege.</t>
        </is>
      </c>
    </row>
    <row r="99">
      <c r="A99" t="inlineStr">
        <is>
          <t>Perquisites</t>
        </is>
      </c>
      <c r="B99" t="n">
        <v>0</v>
      </c>
      <c r="C99" t="n">
        <v>0</v>
      </c>
      <c r="D99" t="n">
        <v>6</v>
      </c>
      <c r="F99" t="n">
        <v>0.03</v>
      </c>
      <c r="H99" t="inlineStr">
        <is>
          <t>6pence from John Rolg for transgression against Alan Randolf.</t>
        </is>
      </c>
    </row>
    <row r="100">
      <c r="A100" t="inlineStr">
        <is>
          <t>Perquisites</t>
        </is>
      </c>
      <c r="B100" t="n">
        <v>0</v>
      </c>
      <c r="C100" t="n">
        <v>0</v>
      </c>
      <c r="D100" t="n">
        <v>3</v>
      </c>
      <c r="F100" t="n">
        <v>0.01</v>
      </c>
      <c r="H100" t="inlineStr">
        <is>
          <t>3pence from Bartholomew Hendel for transgression against Alexander de Ponte.</t>
        </is>
      </c>
    </row>
    <row r="101">
      <c r="A101" t="inlineStr">
        <is>
          <t>Perquisites</t>
        </is>
      </c>
      <c r="B101" t="n">
        <v>0</v>
      </c>
      <c r="C101" t="n">
        <v>0</v>
      </c>
      <c r="D101" t="n">
        <v>6</v>
      </c>
      <c r="F101" t="n">
        <v>0.03</v>
      </c>
      <c r="H101" t="inlineStr">
        <is>
          <t>6pence from Alexander Cred' for transgression against John Prevet.</t>
        </is>
      </c>
    </row>
    <row r="102">
      <c r="A102" t="inlineStr">
        <is>
          <t>Perquisites</t>
        </is>
      </c>
      <c r="B102" t="n">
        <v>0</v>
      </c>
      <c r="C102" t="n">
        <v>0</v>
      </c>
      <c r="D102" t="n">
        <v>2</v>
      </c>
      <c r="F102" t="n">
        <v>0.01</v>
      </c>
      <c r="H102" t="inlineStr">
        <is>
          <t>2pence from Alexander and Laura bis wife for transgression against Richard le Deken'.</t>
        </is>
      </c>
    </row>
    <row r="103">
      <c r="A103" t="inlineStr">
        <is>
          <t>Perquisites</t>
        </is>
      </c>
      <c r="B103" t="n">
        <v>0</v>
      </c>
      <c r="C103" t="n">
        <v>0</v>
      </c>
      <c r="D103" t="n">
        <v>3</v>
      </c>
      <c r="F103" t="n">
        <v>0.01</v>
      </c>
      <c r="H103" t="inlineStr">
        <is>
          <t>3pence from Henry de Burga for transgression against John Kewen.</t>
        </is>
      </c>
    </row>
    <row r="104">
      <c r="A104" t="inlineStr">
        <is>
          <t>Perquisites</t>
        </is>
      </c>
      <c r="B104" t="n">
        <v>0</v>
      </c>
      <c r="C104" t="n">
        <v>0</v>
      </c>
      <c r="D104" t="n">
        <v>4</v>
      </c>
      <c r="F104" t="n">
        <v>0.02</v>
      </c>
      <c r="H104" t="inlineStr">
        <is>
          <t>4pence from Richard le Child for licence to agree with Ella Gill'.</t>
        </is>
      </c>
    </row>
    <row r="105">
      <c r="A105" t="inlineStr">
        <is>
          <t>Perquisites</t>
        </is>
      </c>
      <c r="B105" t="n">
        <v>0</v>
      </c>
      <c r="C105" t="n">
        <v>0</v>
      </c>
      <c r="D105" t="n">
        <v>3</v>
      </c>
      <c r="F105" t="n">
        <v>0.01</v>
      </c>
      <c r="H105" t="inlineStr">
        <is>
          <t>3pence from John Rolf for licence to agree.</t>
        </is>
      </c>
    </row>
    <row r="106">
      <c r="A106" t="inlineStr">
        <is>
          <t>Perquisites</t>
        </is>
      </c>
      <c r="B106" t="n">
        <v>0</v>
      </c>
      <c r="C106" t="n">
        <v>0</v>
      </c>
      <c r="D106" t="n">
        <v>3</v>
      </c>
      <c r="F106" t="n">
        <v>0.01</v>
      </c>
      <c r="H106" t="inlineStr">
        <is>
          <t>3pence from the same John for licence to agree.</t>
        </is>
      </c>
    </row>
    <row r="107">
      <c r="A107" t="inlineStr">
        <is>
          <t>Perquisites</t>
        </is>
      </c>
      <c r="B107" t="n">
        <v>0</v>
      </c>
      <c r="C107" t="n">
        <v>0</v>
      </c>
      <c r="D107" t="n">
        <v>6</v>
      </c>
      <c r="F107" t="n">
        <v>0.03</v>
      </c>
      <c r="H107" t="inlineStr">
        <is>
          <t>6pence from John Som‘ for transgression against Richard Barbur.</t>
        </is>
      </c>
    </row>
    <row r="108">
      <c r="A108" t="inlineStr">
        <is>
          <t>Perquisites</t>
        </is>
      </c>
      <c r="B108" t="n">
        <v>0</v>
      </c>
      <c r="C108" t="n">
        <v>0</v>
      </c>
      <c r="D108" t="n">
        <v>3</v>
      </c>
      <c r="F108" t="n">
        <v>0.01</v>
      </c>
      <c r="H108" t="inlineStr">
        <is>
          <t>3pence from John Bege for transgression against the same Richard.</t>
        </is>
      </c>
    </row>
    <row r="109">
      <c r="A109" t="inlineStr">
        <is>
          <t>Perquisites</t>
        </is>
      </c>
      <c r="B109" t="n">
        <v>0</v>
      </c>
      <c r="C109" t="n">
        <v>0</v>
      </c>
      <c r="D109" t="n">
        <v>3</v>
      </c>
      <c r="F109" t="n">
        <v>0.01</v>
      </c>
      <c r="H109" t="inlineStr">
        <is>
          <t>3pence from William de Bury for transgression against John le Tayllor.</t>
        </is>
      </c>
    </row>
    <row r="110">
      <c r="A110" t="inlineStr">
        <is>
          <t>Perquisites</t>
        </is>
      </c>
      <c r="B110" t="n">
        <v>0</v>
      </c>
      <c r="C110" t="n">
        <v>0</v>
      </c>
      <c r="D110" t="n">
        <v>3</v>
      </c>
      <c r="F110" t="n">
        <v>0.01</v>
      </c>
      <c r="H110" t="inlineStr">
        <is>
          <t>3pence from Robert Cissor rforl Iicence to agree.</t>
        </is>
      </c>
    </row>
    <row r="111">
      <c r="A111" t="inlineStr">
        <is>
          <t>Perquisites</t>
        </is>
      </c>
      <c r="B111" t="n">
        <v>0</v>
      </c>
      <c r="C111" t="n">
        <v>0</v>
      </c>
      <c r="D111" t="n">
        <v>3</v>
      </c>
      <c r="F111" t="n">
        <v>0.01</v>
      </c>
      <c r="H111" t="inlineStr">
        <is>
          <t>· 3pence from Alice Arnold for licence to agree.</t>
        </is>
      </c>
    </row>
    <row r="112">
      <c r="A112" t="inlineStr">
        <is>
          <t>Perquisites</t>
        </is>
      </c>
      <c r="B112" t="n">
        <v>0</v>
      </c>
      <c r="C112" t="n">
        <v>0</v>
      </c>
      <c r="D112" t="n">
        <v>6</v>
      </c>
      <c r="F112" t="n">
        <v>0.03</v>
      </c>
      <c r="H112" t="inlineStr">
        <is>
          <t>6pence from Simon Faber for licence to agree with John Lokyar'.</t>
        </is>
      </c>
    </row>
    <row r="113">
      <c r="A113" t="inlineStr">
        <is>
          <t>Perquisites</t>
        </is>
      </c>
      <c r="B113" t="n">
        <v>0</v>
      </c>
      <c r="C113" t="n">
        <v>0</v>
      </c>
      <c r="D113" t="n">
        <v>3</v>
      </c>
      <c r="F113" t="n">
        <v>0.01</v>
      </c>
      <c r="H113" t="inlineStr">
        <is>
          <t>3pence from Henry de Burga for licence to agree with Walter Aylward'.</t>
        </is>
      </c>
    </row>
    <row r="114">
      <c r="A114" t="inlineStr">
        <is>
          <t>Perquisites</t>
        </is>
      </c>
      <c r="B114" t="n">
        <v>0</v>
      </c>
      <c r="C114" t="n">
        <v>0</v>
      </c>
      <c r="D114" t="n">
        <v>6</v>
      </c>
      <c r="F114" t="n">
        <v>0.03</v>
      </c>
      <c r="H114" t="inlineStr">
        <is>
          <t>6pence from William Unwyn' because he is proceeding against Thomas Aze.</t>
        </is>
      </c>
    </row>
    <row r="115">
      <c r="A115" t="inlineStr">
        <is>
          <t>Perquisites</t>
        </is>
      </c>
      <c r="B115" t="n">
        <v>0</v>
      </c>
      <c r="C115" t="n">
        <v>0</v>
      </c>
      <c r="D115" t="n">
        <v>6</v>
      </c>
      <c r="F115" t="n">
        <v>0.03</v>
      </c>
      <c r="H115" t="inlineStr">
        <is>
          <t>6pence from other small perquisites.</t>
        </is>
      </c>
    </row>
    <row r="116">
      <c r="A116" t="inlineStr">
        <is>
          <t>Perquisites</t>
        </is>
      </c>
      <c r="B116" t="n">
        <v>2</v>
      </c>
      <c r="C116" t="n">
        <v>2</v>
      </c>
      <c r="D116" t="n">
        <v>6</v>
      </c>
      <c r="F116" t="n">
        <v>2.12</v>
      </c>
      <c r="H116" t="inlineStr">
        <is>
          <t>Total, £2 2 shilling 6pence</t>
        </is>
      </c>
    </row>
    <row r="117">
      <c r="A117" t="inlineStr">
        <is>
          <t>Perquisites</t>
        </is>
      </c>
      <c r="F117" t="n">
        <v>2.13</v>
      </c>
      <c r="G117" s="137" t="n">
        <v>0.009999999999999787</v>
      </c>
      <c r="H117" t="inlineStr">
        <is>
          <t>Total</t>
        </is>
      </c>
    </row>
    <row r="118"/>
    <row r="119">
      <c r="A119" s="38" t="inlineStr">
        <is>
          <t>Total of all receipts recorded in accounts</t>
        </is>
      </c>
      <c r="B119" t="n">
        <v>59</v>
      </c>
      <c r="C119" t="n">
        <v>13</v>
      </c>
      <c r="D119" t="n">
        <v>0.5</v>
      </c>
      <c r="F119" t="n">
        <v>59.65</v>
      </c>
      <c r="H119" t="inlineStr">
        <is>
          <t>Total of all receipts, £59 13 shilling 0.5pence</t>
        </is>
      </c>
    </row>
    <row r="120" ht="16" customHeight="1">
      <c r="A120" s="9" t="inlineStr">
        <is>
          <t>Total cross-check without arrears</t>
        </is>
      </c>
      <c r="F120" s="72">
        <f>F117+F33+F18+F14</f>
        <v/>
      </c>
      <c r="G120" s="138">
        <f>F120-F119</f>
        <v/>
      </c>
    </row>
    <row r="121" ht="16" customHeight="1">
      <c r="A121" s="9" t="inlineStr">
        <is>
          <t>Total cross-check with arrears</t>
        </is>
      </c>
      <c r="F121" s="72">
        <f>F120+F5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topLeftCell="A1" workbookViewId="0">
      <selection activeCell="A1" sqref="A1"/>
    </sheetView>
  </sheetViews>
  <sheetFormatPr baseColWidth="8" defaultRowHeight="15"/>
  <cols>
    <col width="33.1640625" customWidth="1" min="1" max="1"/>
    <col width="12.83203125" customWidth="1" min="6" max="6"/>
    <col width="8.83203125" customWidth="1" min="7" max="7"/>
  </cols>
  <sheetData>
    <row r="1" ht="16" customHeight="1">
      <c r="A1" s="2" t="inlineStr">
        <is>
          <t>ALVERSTOKE EXPENSES</t>
        </is>
      </c>
    </row>
    <row r="2">
      <c r="A2" s="37" t="inlineStr">
        <is>
          <t>Heading</t>
        </is>
      </c>
      <c r="B2" s="37" t="inlineStr">
        <is>
          <t>Pounds</t>
        </is>
      </c>
      <c r="C2" s="37" t="inlineStr">
        <is>
          <t>Shillings</t>
        </is>
      </c>
      <c r="D2" s="37" t="inlineStr">
        <is>
          <t>Pence</t>
        </is>
      </c>
      <c r="E2" s="37" t="n"/>
      <c r="F2" s="37" t="inlineStr">
        <is>
          <t>Total in Pounds</t>
        </is>
      </c>
      <c r="G2" s="139" t="inlineStr">
        <is>
          <t>Error</t>
        </is>
      </c>
      <c r="H2" s="37" t="inlineStr">
        <is>
          <t>Sentence</t>
        </is>
      </c>
    </row>
    <row r="3">
      <c r="A3" t="inlineStr">
        <is>
          <t>Expenses of the steward</t>
        </is>
      </c>
      <c r="B3" t="n">
        <v>0</v>
      </c>
      <c r="C3" t="n">
        <v>9</v>
      </c>
      <c r="D3" t="n">
        <v>1.25</v>
      </c>
      <c r="F3" t="n">
        <v>0.46</v>
      </c>
      <c r="H3" t="inlineStr">
        <is>
          <t>In expenses of the steward for the tourns of Martinmas and Hockday by 2 tallies, 9 shilling 1.25pence</t>
        </is>
      </c>
    </row>
    <row r="4">
      <c r="A4" t="inlineStr">
        <is>
          <t>Expenses of the steward</t>
        </is>
      </c>
      <c r="F4" t="n">
        <v>0.46</v>
      </c>
      <c r="G4" s="137" t="n">
        <v>0</v>
      </c>
      <c r="H4" t="inlineStr">
        <is>
          <t>Total</t>
        </is>
      </c>
    </row>
    <row r="5"/>
    <row r="6">
      <c r="A6" t="inlineStr">
        <is>
          <t>and he owes</t>
        </is>
      </c>
      <c r="B6" t="n">
        <v>59</v>
      </c>
      <c r="C6" t="n">
        <v>3</v>
      </c>
      <c r="D6" t="n">
        <v>5.25</v>
      </c>
      <c r="F6" t="n">
        <v>59.17</v>
      </c>
      <c r="H6" t="inlineStr">
        <is>
          <t>And he owes, £59 3 shilling 5.25pence</t>
        </is>
      </c>
    </row>
    <row r="7"/>
    <row r="8">
      <c r="A8" t="inlineStr">
        <is>
          <t>cash deliveries</t>
        </is>
      </c>
      <c r="B8" t="n">
        <v>52</v>
      </c>
      <c r="C8" t="n">
        <v>15</v>
      </c>
      <c r="D8" t="n">
        <v>0</v>
      </c>
      <c r="F8" t="n">
        <v>52.75</v>
      </c>
      <c r="H8" t="inlineStr">
        <is>
          <t>Delivered to Sir Geoffrey, treasurer of Wolvesey, by 1 tally, £52 15 shilling</t>
        </is>
      </c>
    </row>
    <row r="9"/>
    <row r="10">
      <c r="A10" t="inlineStr">
        <is>
          <t>And thus he owes clear</t>
        </is>
      </c>
      <c r="B10" t="n">
        <v>6</v>
      </c>
      <c r="C10" t="n">
        <v>8</v>
      </c>
      <c r="D10" t="n">
        <v>5.25</v>
      </c>
      <c r="F10" t="n">
        <v>6.42</v>
      </c>
      <c r="H10" t="inlineStr">
        <is>
          <t>And thus he owes clear, £6 8 shilling 5.25pence</t>
        </is>
      </c>
    </row>
    <row r="11">
      <c r="A11" t="inlineStr">
        <is>
          <t>And thus he owes clear</t>
        </is>
      </c>
      <c r="F11" t="n">
        <v>6.42</v>
      </c>
      <c r="G11" s="137" t="n">
        <v>0</v>
      </c>
      <c r="H11" t="inlineStr">
        <is>
          <t>Total</t>
        </is>
      </c>
    </row>
    <row r="12"/>
    <row r="13"/>
    <row r="14" ht="16" customHeight="1">
      <c r="A14" s="12" t="inlineStr">
        <is>
          <t>Total of all expenses per account</t>
        </is>
      </c>
    </row>
    <row r="15" ht="16" customHeight="1">
      <c r="A15" s="12" t="inlineStr">
        <is>
          <t>Total of all expenses (calculated here)</t>
        </is>
      </c>
      <c r="F15">
        <f>F4</f>
        <v/>
      </c>
    </row>
    <row r="16" ht="16" customHeight="1">
      <c r="A16" s="12" t="inlineStr">
        <is>
          <t>Total fixed investment</t>
        </is>
      </c>
      <c r="F16" t="n">
        <v>0</v>
      </c>
    </row>
    <row r="17" ht="16" customHeight="1">
      <c r="A17" s="12" t="inlineStr">
        <is>
          <t>Total Demesne fixed investment</t>
        </is>
      </c>
      <c r="F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>
    <row r="1">
      <c r="A1" t="inlineStr">
        <is>
          <t>no grange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>
    <row r="1">
      <c r="A1" t="inlineStr">
        <is>
          <t>no mills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>
    <row r="1">
      <c r="A1" t="inlineStr">
        <is>
          <t>no stock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11"/>
  <sheetViews>
    <sheetView topLeftCell="A1" workbookViewId="0">
      <selection activeCell="A1" sqref="A1"/>
    </sheetView>
  </sheetViews>
  <sheetFormatPr baseColWidth="8" defaultRowHeight="15"/>
  <cols>
    <col width="23.5" customWidth="1" min="2" max="2"/>
  </cols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Corn</t>
        </is>
      </c>
      <c r="H1" s="1" t="inlineStr">
        <is>
          <t>Total Quarters Except 1</t>
        </is>
      </c>
      <c r="I1" s="1" t="inlineStr">
        <is>
          <t>Total Bushels Except 1</t>
        </is>
      </c>
      <c r="J1" s="1" t="inlineStr">
        <is>
          <t>Total Corn Cross-Check</t>
        </is>
      </c>
      <c r="K1" s="1" t="inlineStr">
        <is>
          <t>Total Corn Manorial Account</t>
        </is>
      </c>
      <c r="L1" s="1" t="inlineStr">
        <is>
          <t>Corn Quantity Error</t>
        </is>
      </c>
      <c r="M1" s="1" t="inlineStr">
        <is>
          <t>Quarters 1</t>
        </is>
      </c>
      <c r="N1" s="1" t="inlineStr">
        <is>
          <t>Bushels 1</t>
        </is>
      </c>
      <c r="O1" s="1" t="inlineStr">
        <is>
          <t>shilling a quarter 1</t>
        </is>
      </c>
      <c r="P1" s="1" t="inlineStr">
        <is>
          <t>pence a quarter 1</t>
        </is>
      </c>
      <c r="Q1" s="1" t="inlineStr">
        <is>
          <t>shilling a quarter 2</t>
        </is>
      </c>
      <c r="R1" s="1" t="inlineStr">
        <is>
          <t>pence a quarter 2</t>
        </is>
      </c>
      <c r="S1" s="1" t="inlineStr">
        <is>
          <t>shilling a quarter 3</t>
        </is>
      </c>
      <c r="T1" s="1" t="inlineStr">
        <is>
          <t>pence a quarter 3</t>
        </is>
      </c>
      <c r="U1" s="1" t="inlineStr">
        <is>
          <t>shilling a quarter 4</t>
        </is>
      </c>
      <c r="V1" s="1" t="inlineStr">
        <is>
          <t>pence a quarter 4</t>
        </is>
      </c>
      <c r="W1" s="1" t="inlineStr">
        <is>
          <t>shilling a bushel 1</t>
        </is>
      </c>
      <c r="X1" s="1" t="inlineStr">
        <is>
          <t>pence a bushel 1</t>
        </is>
      </c>
      <c r="Y1" s="1" t="inlineStr">
        <is>
          <t>shilling a bushel 2</t>
        </is>
      </c>
      <c r="Z1" s="1" t="inlineStr">
        <is>
          <t>pence a bushel 2</t>
        </is>
      </c>
      <c r="AA1" s="1" t="inlineStr">
        <is>
          <t>shilling a bushel 3</t>
        </is>
      </c>
      <c r="AB1" s="1" t="inlineStr">
        <is>
          <t>pence a bushel 3</t>
        </is>
      </c>
      <c r="AC1" s="1" t="inlineStr">
        <is>
          <t>shilling a bushel 4</t>
        </is>
      </c>
      <c r="AD1" s="1" t="inlineStr">
        <is>
          <t>pence a bushel 4</t>
        </is>
      </c>
    </row>
    <row r="2">
      <c r="A2" t="inlineStr">
        <is>
          <t>Arrears</t>
        </is>
      </c>
      <c r="B2" t="inlineStr">
        <is>
          <t>John de Forton', bailiff, renders account for £2 2 shilling 7pence of arrears from the previous year.</t>
        </is>
      </c>
      <c r="C2" t="n">
        <v>2.13</v>
      </c>
      <c r="D2" t="n">
        <v>2</v>
      </c>
      <c r="E2" t="n">
        <v>2</v>
      </c>
      <c r="F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Arrears</t>
        </is>
      </c>
      <c r="B3" t="inlineStr">
        <is>
          <t>All delivered to Geoffrey, treasurer of Wolvesey, by 1 tally, and he is quit.</t>
        </is>
      </c>
      <c r="C3" t="n">
        <v>0</v>
      </c>
      <c r="D3" t="n">
        <v>0</v>
      </c>
      <c r="E3" t="n">
        <v>0</v>
      </c>
      <c r="F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Rents</t>
        </is>
      </c>
      <c r="B4" t="inlineStr">
        <is>
          <t>The same renders account for £13 for rents of assize at All Saints (1 November).</t>
        </is>
      </c>
      <c r="C4" t="n">
        <v>13</v>
      </c>
      <c r="D4" t="n">
        <v>13</v>
      </c>
      <c r="E4" t="n">
        <v>0</v>
      </c>
      <c r="F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Rents</t>
        </is>
      </c>
      <c r="B5" t="inlineStr">
        <is>
          <t>£13 at the Purification (2 February).</t>
        </is>
      </c>
      <c r="C5" t="n">
        <v>13</v>
      </c>
      <c r="D5" t="n">
        <v>13</v>
      </c>
      <c r="E5" t="n">
        <v>0</v>
      </c>
      <c r="F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Rents</t>
        </is>
      </c>
      <c r="B6" t="inlineStr">
        <is>
          <t>£13 at the Invention of the Cross (3 May).</t>
        </is>
      </c>
      <c r="C6" t="n">
        <v>13</v>
      </c>
      <c r="D6" t="n">
        <v>13</v>
      </c>
      <c r="E6" t="n">
        <v>0</v>
      </c>
      <c r="F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Rents</t>
        </is>
      </c>
      <c r="B7" t="inlineStr">
        <is>
          <t>£14 7.5d at Michaelmas (29 September).</t>
        </is>
      </c>
      <c r="C7" t="n">
        <v>14</v>
      </c>
      <c r="D7" t="n">
        <v>14</v>
      </c>
      <c r="E7" t="n">
        <v>0</v>
      </c>
      <c r="F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Rents</t>
        </is>
      </c>
      <c r="B8" t="inlineStr">
        <is>
          <t>10 shilling from the rent of Robert de Chark at the same feast.</t>
        </is>
      </c>
      <c r="C8" t="n">
        <v>0.5</v>
      </c>
      <c r="D8" t="n">
        <v>0</v>
      </c>
      <c r="E8" t="n">
        <v>10</v>
      </c>
      <c r="F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Rents</t>
        </is>
      </c>
      <c r="B9" t="inlineStr">
        <is>
          <t>8pence from John Aze and Alexander Cred' for 1 marsh and 2 water-channels at the same feast.</t>
        </is>
      </c>
      <c r="C9" t="n">
        <v>0.03</v>
      </c>
      <c r="D9" t="n">
        <v>0</v>
      </c>
      <c r="E9" t="n">
        <v>0</v>
      </c>
      <c r="F9" t="n">
        <v>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Rents</t>
        </is>
      </c>
      <c r="B10" t="inlineStr">
        <is>
          <t>Total, £53 11 shilling 3.5pence</t>
        </is>
      </c>
      <c r="C10" t="n">
        <v>53.56</v>
      </c>
      <c r="D10" t="n">
        <v>53</v>
      </c>
      <c r="E10" t="n">
        <v>11</v>
      </c>
      <c r="F10" t="n">
        <v>3.5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Farm of the mill</t>
        </is>
      </c>
      <c r="B11" t="inlineStr">
        <is>
          <t>The same renders account for £2 10 shilling for the farm of the mill of Forton'.</t>
        </is>
      </c>
      <c r="C11" t="n">
        <v>2.5</v>
      </c>
      <c r="D11" t="n">
        <v>2</v>
      </c>
      <c r="E11" t="n">
        <v>10</v>
      </c>
      <c r="F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Farm of the mill</t>
        </is>
      </c>
      <c r="B12" t="inlineStr">
        <is>
          <t>Total, £2 10 shilling</t>
        </is>
      </c>
      <c r="C12" t="n">
        <v>2.5</v>
      </c>
      <c r="D12" t="n">
        <v>2</v>
      </c>
      <c r="E12" t="n">
        <v>10</v>
      </c>
      <c r="F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Recognizance</t>
        </is>
      </c>
      <c r="B13" t="inlineStr">
        <is>
          <t>The same renders account for 1pence for the annual recognizance of Adam Guldebrigg'.</t>
        </is>
      </c>
      <c r="C13" t="n">
        <v>0</v>
      </c>
      <c r="D13" t="n">
        <v>0</v>
      </c>
      <c r="E13" t="n">
        <v>0</v>
      </c>
      <c r="F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Recognizance</t>
        </is>
      </c>
      <c r="B14" t="inlineStr">
        <is>
          <t>Total, 1pence</t>
        </is>
      </c>
      <c r="C14" t="n">
        <v>0</v>
      </c>
      <c r="D14" t="n">
        <v>0</v>
      </c>
      <c r="E14" t="n">
        <v>0</v>
      </c>
      <c r="F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Reliefs</t>
        </is>
      </c>
      <c r="B15" t="inlineStr">
        <is>
          <t>The same renders account for 13 shilling 3pence from John le Pope for relief for the lands and tenements which belonged to William Pope his father.</t>
        </is>
      </c>
      <c r="C15" t="n">
        <v>0.66</v>
      </c>
      <c r="D15" t="n">
        <v>0</v>
      </c>
      <c r="E15" t="n">
        <v>13</v>
      </c>
      <c r="F15" t="n">
        <v>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Reliefs</t>
        </is>
      </c>
      <c r="B16" t="inlineStr">
        <is>
          <t>1 shilling from Joan le Pope for relief for the lands which belonged to Joan her mother.</t>
        </is>
      </c>
      <c r="C16" t="n">
        <v>0.05</v>
      </c>
      <c r="D16" t="n">
        <v>0</v>
      </c>
      <c r="E16" t="n">
        <v>1</v>
      </c>
      <c r="F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Reliefs</t>
        </is>
      </c>
      <c r="B17" t="inlineStr">
        <is>
          <t>13 shilling 6pence from Bartholomew Hendel for relief for the lands and tenements which belonged to William Hendel his father.</t>
        </is>
      </c>
      <c r="C17" t="n">
        <v>0.68</v>
      </c>
      <c r="D17" t="n">
        <v>0</v>
      </c>
      <c r="E17" t="n">
        <v>13</v>
      </c>
      <c r="F17" t="n">
        <v>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Reliefs</t>
        </is>
      </c>
      <c r="B18" t="inlineStr">
        <is>
          <t>8pence from William Molendinarius for relief for the lands and tenements which belonged to John Molendinarius his brother.</t>
        </is>
      </c>
      <c r="C18" t="n">
        <v>0.03</v>
      </c>
      <c r="D18" t="n">
        <v>0</v>
      </c>
      <c r="E18" t="n">
        <v>0</v>
      </c>
      <c r="F18" t="n">
        <v>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Reliefs</t>
        </is>
      </c>
      <c r="B19" t="inlineStr">
        <is>
          <t>2pence from William Arnold for relief for 1 half-acre (aulve) of land by surrender of John le Bege.</t>
        </is>
      </c>
      <c r="C19" t="n">
        <v>0.01</v>
      </c>
      <c r="D19" t="n">
        <v>0</v>
      </c>
      <c r="E19" t="n">
        <v>0</v>
      </c>
      <c r="F19" t="n">
        <v>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Reliefs</t>
        </is>
      </c>
      <c r="B20" t="inlineStr">
        <is>
          <t>2pence from Richard Arnold for relief for 1 half-acre of land by surrender of Thomas Bild'.</t>
        </is>
      </c>
      <c r="C20" t="n">
        <v>0.01</v>
      </c>
      <c r="D20" t="n">
        <v>0</v>
      </c>
      <c r="E20" t="n">
        <v>0</v>
      </c>
      <c r="F20" t="n">
        <v>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Reliefs</t>
        </is>
      </c>
      <c r="B21" t="inlineStr">
        <is>
          <t>1pence from Richard Piris for relief for the land which belonged to Peter Randoldf his father.</t>
        </is>
      </c>
      <c r="C21" t="n">
        <v>0</v>
      </c>
      <c r="D21" t="n">
        <v>0</v>
      </c>
      <c r="E21" t="n">
        <v>0</v>
      </c>
      <c r="F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Reliefs</t>
        </is>
      </c>
      <c r="B22" t="inlineStr">
        <is>
          <t>4pence from Agnes and Alice Bild' for relief for the land which belonged to Adam Bild' their father.</t>
        </is>
      </c>
      <c r="C22" t="n">
        <v>0.02</v>
      </c>
      <c r="D22" t="n">
        <v>0</v>
      </c>
      <c r="E22" t="n">
        <v>0</v>
      </c>
      <c r="F22" t="n">
        <v>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Reliefs</t>
        </is>
      </c>
      <c r="B23" t="inlineStr">
        <is>
          <t>Total, £1 9 shilling 2pence</t>
        </is>
      </c>
      <c r="C23" t="n">
        <v>1.46</v>
      </c>
      <c r="D23" t="n">
        <v>1</v>
      </c>
      <c r="E23" t="n">
        <v>9</v>
      </c>
      <c r="F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Perquisites</t>
        </is>
      </c>
      <c r="B24" t="inlineStr">
        <is>
          <t>The same renders account for 6pence from Sarah de Forton' for breaking the assize of ale.</t>
        </is>
      </c>
      <c r="C24" t="n">
        <v>0.03</v>
      </c>
      <c r="D24" t="n">
        <v>0</v>
      </c>
      <c r="E24" t="n">
        <v>0</v>
      </c>
      <c r="F24" t="n">
        <v>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Perquisites</t>
        </is>
      </c>
      <c r="B25" t="inlineStr">
        <is>
          <t>6pence from William Page for the same.</t>
        </is>
      </c>
      <c r="C25" t="n">
        <v>0.03</v>
      </c>
      <c r="D25" t="n">
        <v>0</v>
      </c>
      <c r="E25" t="n">
        <v>0</v>
      </c>
      <c r="F25" t="n">
        <v>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Perquisites</t>
        </is>
      </c>
      <c r="B26" t="inlineStr">
        <is>
          <t>3pence from John Spark' for the same.</t>
        </is>
      </c>
      <c r="C26" t="n">
        <v>0.01</v>
      </c>
      <c r="D26" t="n">
        <v>0</v>
      </c>
      <c r="E26" t="n">
        <v>0</v>
      </c>
      <c r="F26" t="n">
        <v>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Perquisites</t>
        </is>
      </c>
      <c r="B27" t="inlineStr">
        <is>
          <t>6pence from John Aubr' for the same.</t>
        </is>
      </c>
      <c r="C27" t="n">
        <v>0.03</v>
      </c>
      <c r="D27" t="n">
        <v>0</v>
      </c>
      <c r="E27" t="n">
        <v>0</v>
      </c>
      <c r="F27" t="n">
        <v>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Perquisites</t>
        </is>
      </c>
      <c r="B28" t="inlineStr">
        <is>
          <t>3pence from Robert Clericus for the same.</t>
        </is>
      </c>
      <c r="C28" t="n">
        <v>0.01</v>
      </c>
      <c r="D28" t="n">
        <v>0</v>
      </c>
      <c r="E28" t="n">
        <v>0</v>
      </c>
      <c r="F28" t="n">
        <v>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Perquisites</t>
        </is>
      </c>
      <c r="B29" t="inlineStr">
        <is>
          <t>3pence from John Walt' for the same.</t>
        </is>
      </c>
      <c r="C29" t="n">
        <v>0.01</v>
      </c>
      <c r="D29" t="n">
        <v>0</v>
      </c>
      <c r="E29" t="n">
        <v>0</v>
      </c>
      <c r="F29" t="n">
        <v>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Perquisites</t>
        </is>
      </c>
      <c r="B30" t="inlineStr">
        <is>
          <t>6pence from the relict of Edward for the same.</t>
        </is>
      </c>
      <c r="C30" t="n">
        <v>0.03</v>
      </c>
      <c r="D30" t="n">
        <v>0</v>
      </c>
      <c r="E30" t="n">
        <v>0</v>
      </c>
      <c r="F30" t="n">
        <v>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Perquisites</t>
        </is>
      </c>
      <c r="B31" t="inlineStr">
        <is>
          <t>6pence from John Fontayn for the same.</t>
        </is>
      </c>
      <c r="C31" t="n">
        <v>0.03</v>
      </c>
      <c r="D31" t="n">
        <v>0</v>
      </c>
      <c r="E31" t="n">
        <v>0</v>
      </c>
      <c r="F31" t="n">
        <v>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Perquisites</t>
        </is>
      </c>
      <c r="B32" t="inlineStr">
        <is>
          <t>6pence from Henry Bissop for the same.</t>
        </is>
      </c>
      <c r="C32" t="n">
        <v>0.03</v>
      </c>
      <c r="D32" t="n">
        <v>0</v>
      </c>
      <c r="E32" t="n">
        <v>0</v>
      </c>
      <c r="F32" t="n">
        <v>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Perquisites</t>
        </is>
      </c>
      <c r="B33" t="inlineStr">
        <is>
          <t>1 shilling from William Lote for the same.</t>
        </is>
      </c>
      <c r="C33" t="n">
        <v>0.05</v>
      </c>
      <c r="D33" t="n">
        <v>0</v>
      </c>
      <c r="E33" t="n">
        <v>1</v>
      </c>
      <c r="F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Perquisites</t>
        </is>
      </c>
      <c r="B34" t="inlineStr">
        <is>
          <t>6pence from William Unwyn' for the same.</t>
        </is>
      </c>
      <c r="C34" t="n">
        <v>0.03</v>
      </c>
      <c r="D34" t="n">
        <v>0</v>
      </c>
      <c r="E34" t="n">
        <v>0</v>
      </c>
      <c r="F34" t="n">
        <v>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Perquisites</t>
        </is>
      </c>
      <c r="B35" t="inlineStr">
        <is>
          <t>6pence from John Bege for the same.</t>
        </is>
      </c>
      <c r="C35" t="n">
        <v>0.03</v>
      </c>
      <c r="D35" t="n">
        <v>0</v>
      </c>
      <c r="E35" t="n">
        <v>0</v>
      </c>
      <c r="F35" t="n">
        <v>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Perquisites</t>
        </is>
      </c>
      <c r="B36" t="inlineStr">
        <is>
          <t>6pence from Roger Alward for the same.</t>
        </is>
      </c>
      <c r="C36" t="n">
        <v>0.03</v>
      </c>
      <c r="D36" t="n">
        <v>0</v>
      </c>
      <c r="E36" t="n">
        <v>0</v>
      </c>
      <c r="F36" t="n">
        <v>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Perquisites</t>
        </is>
      </c>
      <c r="B37" t="inlineStr">
        <is>
          <t>1 shilling from Robert Ricard for the same.</t>
        </is>
      </c>
      <c r="C37" t="n">
        <v>0.05</v>
      </c>
      <c r="D37" t="n">
        <v>0</v>
      </c>
      <c r="E37" t="n">
        <v>1</v>
      </c>
      <c r="F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Perquisites</t>
        </is>
      </c>
      <c r="B38" t="inlineStr">
        <is>
          <t>6pence from Richard de Alnet' for the same.</t>
        </is>
      </c>
      <c r="C38" t="n">
        <v>0.03</v>
      </c>
      <c r="D38" t="n">
        <v>0</v>
      </c>
      <c r="E38" t="n">
        <v>0</v>
      </c>
      <c r="F38" t="n">
        <v>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Perquisites</t>
        </is>
      </c>
      <c r="B39" t="inlineStr">
        <is>
          <t>6pence from the relict of Pope for the same.</t>
        </is>
      </c>
      <c r="C39" t="n">
        <v>0.03</v>
      </c>
      <c r="D39" t="n">
        <v>0</v>
      </c>
      <c r="E39" t="n">
        <v>0</v>
      </c>
      <c r="F39" t="n">
        <v>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Perquisites</t>
        </is>
      </c>
      <c r="B40" t="inlineStr">
        <is>
          <t>6pence from Matilda Pope for the same.</t>
        </is>
      </c>
      <c r="C40" t="n">
        <v>0.03</v>
      </c>
      <c r="D40" t="n">
        <v>0</v>
      </c>
      <c r="E40" t="n">
        <v>0</v>
      </c>
      <c r="F40" t="n">
        <v>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Perquisites</t>
        </is>
      </c>
      <c r="B41" t="inlineStr">
        <is>
          <t>1 shilling from Walter Lont' for the same.</t>
        </is>
      </c>
      <c r="C41" t="n">
        <v>0.05</v>
      </c>
      <c r="D41" t="n">
        <v>0</v>
      </c>
      <c r="E41" t="n">
        <v>1</v>
      </c>
      <c r="F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Perquisites</t>
        </is>
      </c>
      <c r="B42" t="inlineStr">
        <is>
          <t>3pence from Henry Arnold' for the same.</t>
        </is>
      </c>
      <c r="C42" t="n">
        <v>0.01</v>
      </c>
      <c r="D42" t="n">
        <v>0</v>
      </c>
      <c r="E42" t="n">
        <v>0</v>
      </c>
      <c r="F42" t="n">
        <v>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Perquisites</t>
        </is>
      </c>
      <c r="B43" t="inlineStr">
        <is>
          <t>3pence from Peter Avice for the same.</t>
        </is>
      </c>
      <c r="C43" t="n">
        <v>0.01</v>
      </c>
      <c r="D43" t="n">
        <v>0</v>
      </c>
      <c r="E43" t="n">
        <v>0</v>
      </c>
      <c r="F43" t="n">
        <v>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Perquisites</t>
        </is>
      </c>
      <c r="B44" t="inlineStr">
        <is>
          <t>3pence from Peter Speg for the same.</t>
        </is>
      </c>
      <c r="C44" t="n">
        <v>0.01</v>
      </c>
      <c r="D44" t="n">
        <v>0</v>
      </c>
      <c r="E44" t="n">
        <v>0</v>
      </c>
      <c r="F44" t="n">
        <v>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Perquisites</t>
        </is>
      </c>
      <c r="B45" t="inlineStr">
        <is>
          <t>1 shilling from Thomas Pell' for the same.</t>
        </is>
      </c>
      <c r="C45" t="n">
        <v>0.05</v>
      </c>
      <c r="D45" t="n">
        <v>0</v>
      </c>
      <c r="E45" t="n">
        <v>1</v>
      </c>
      <c r="F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Perquisites</t>
        </is>
      </c>
      <c r="B46" t="inlineStr">
        <is>
          <t>3pence from Henry Soun for the same.</t>
        </is>
      </c>
      <c r="C46" t="n">
        <v>0.01</v>
      </c>
      <c r="D46" t="n">
        <v>0</v>
      </c>
      <c r="E46" t="n">
        <v>0</v>
      </c>
      <c r="F46" t="n">
        <v>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Perquisites</t>
        </is>
      </c>
      <c r="B47" t="inlineStr">
        <is>
          <t>6pence from William Eston for the same.</t>
        </is>
      </c>
      <c r="C47" t="n">
        <v>0.03</v>
      </c>
      <c r="D47" t="n">
        <v>0</v>
      </c>
      <c r="E47" t="n">
        <v>0</v>
      </c>
      <c r="F47" t="n">
        <v>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Perquisites</t>
        </is>
      </c>
      <c r="B48" t="inlineStr">
        <is>
          <t>6pence from William Bendel for the same.</t>
        </is>
      </c>
      <c r="C48" t="n">
        <v>0.03</v>
      </c>
      <c r="D48" t="n">
        <v>0</v>
      </c>
      <c r="E48" t="n">
        <v>0</v>
      </c>
      <c r="F48" t="n">
        <v>6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Perquisites</t>
        </is>
      </c>
      <c r="B49" t="inlineStr">
        <is>
          <t>6pence from William Weston for the same.</t>
        </is>
      </c>
      <c r="C49" t="n">
        <v>0.03</v>
      </c>
      <c r="D49" t="n">
        <v>0</v>
      </c>
      <c r="E49" t="n">
        <v>0</v>
      </c>
      <c r="F49" t="n">
        <v>6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Perquisites</t>
        </is>
      </c>
      <c r="B50" t="inlineStr">
        <is>
          <t>3pence from John Bartholomew for the same.</t>
        </is>
      </c>
      <c r="C50" t="n">
        <v>0.01</v>
      </c>
      <c r="D50" t="n">
        <v>0</v>
      </c>
      <c r="E50" t="n">
        <v>0</v>
      </c>
      <c r="F50" t="n">
        <v>3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Perquisites</t>
        </is>
      </c>
      <c r="B51" t="inlineStr">
        <is>
          <t>1 shilling from William de Bury for the same.</t>
        </is>
      </c>
      <c r="C51" t="n">
        <v>0.05</v>
      </c>
      <c r="D51" t="n">
        <v>0</v>
      </c>
      <c r="E51" t="n">
        <v>1</v>
      </c>
      <c r="F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Perquisites</t>
        </is>
      </c>
      <c r="B52" t="inlineStr">
        <is>
          <t>6pence from John Wytlot for the same.</t>
        </is>
      </c>
      <c r="C52" t="n">
        <v>0.03</v>
      </c>
      <c r="D52" t="n">
        <v>0</v>
      </c>
      <c r="E52" t="n">
        <v>0</v>
      </c>
      <c r="F52" t="n">
        <v>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Perquisites</t>
        </is>
      </c>
      <c r="B53" t="inlineStr">
        <is>
          <t>3pence from Richard de Bury for the same.</t>
        </is>
      </c>
      <c r="C53" t="n">
        <v>0.01</v>
      </c>
      <c r="D53" t="n">
        <v>0</v>
      </c>
      <c r="E53" t="n">
        <v>0</v>
      </c>
      <c r="F53" t="n">
        <v>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Perquisites</t>
        </is>
      </c>
      <c r="B54" t="inlineStr">
        <is>
          <t>3pence from Alexander de Ponte for shedding the blood of Richard Stonman.</t>
        </is>
      </c>
      <c r="C54" t="n">
        <v>0.01</v>
      </c>
      <c r="D54" t="n">
        <v>0</v>
      </c>
      <c r="E54" t="n">
        <v>0</v>
      </c>
      <c r="F54" t="n">
        <v>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Perquisites</t>
        </is>
      </c>
      <c r="B55" t="inlineStr">
        <is>
          <t>3pence from John Mansir for the same.</t>
        </is>
      </c>
      <c r="C55" t="n">
        <v>0.01</v>
      </c>
      <c r="D55" t="n">
        <v>0</v>
      </c>
      <c r="E55" t="n">
        <v>0</v>
      </c>
      <c r="F55" t="n">
        <v>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Perquisites</t>
        </is>
      </c>
      <c r="B56" t="inlineStr">
        <is>
          <t>3pence from John Halygod for transgression against John Coc.</t>
        </is>
      </c>
      <c r="C56" t="n">
        <v>0.01</v>
      </c>
      <c r="D56" t="n">
        <v>0</v>
      </c>
      <c r="E56" t="n">
        <v>0</v>
      </c>
      <c r="F56" t="n">
        <v>3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Perquisites</t>
        </is>
      </c>
      <c r="B57" t="inlineStr">
        <is>
          <t>6pence from Richard Age for raising the hue against William Soun.</t>
        </is>
      </c>
      <c r="C57" t="n">
        <v>0.03</v>
      </c>
      <c r="D57" t="n">
        <v>0</v>
      </c>
      <c r="E57" t="n">
        <v>0</v>
      </c>
      <c r="F57" t="n">
        <v>6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Perquisites</t>
        </is>
      </c>
      <c r="B58" t="inlineStr">
        <is>
          <t>3pence from John Rolf for licence to agree with Richard Barbir.</t>
        </is>
      </c>
      <c r="C58" t="n">
        <v>0.01</v>
      </c>
      <c r="D58" t="n">
        <v>0</v>
      </c>
      <c r="E58" t="n">
        <v>0</v>
      </c>
      <c r="F58" t="n">
        <v>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Perquisites</t>
        </is>
      </c>
      <c r="B59" t="inlineStr">
        <is>
          <t>3pence from Robert Ricard for transgression against John de Forton.</t>
        </is>
      </c>
      <c r="C59" t="n">
        <v>0.01</v>
      </c>
      <c r="D59" t="n">
        <v>0</v>
      </c>
      <c r="E59" t="n">
        <v>0</v>
      </c>
      <c r="F59" t="n">
        <v>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Perquisites</t>
        </is>
      </c>
      <c r="B60" t="inlineStr">
        <is>
          <t>3pence from Richard Brok for transgression against the same.</t>
        </is>
      </c>
      <c r="C60" t="n">
        <v>0.01</v>
      </c>
      <c r="D60" t="n">
        <v>0</v>
      </c>
      <c r="E60" t="n">
        <v>0</v>
      </c>
      <c r="F60" t="n">
        <v>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Perquisites</t>
        </is>
      </c>
      <c r="B61" t="inlineStr">
        <is>
          <t>3pence from John de Ponte for transgression against Richard Stonman.</t>
        </is>
      </c>
      <c r="C61" t="n">
        <v>0.01</v>
      </c>
      <c r="D61" t="n">
        <v>0</v>
      </c>
      <c r="E61" t="n">
        <v>0</v>
      </c>
      <c r="F61" t="n">
        <v>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Perquisites</t>
        </is>
      </c>
      <c r="B62" t="inlineStr">
        <is>
          <t>3pence from Alexander de Ponte for the same.</t>
        </is>
      </c>
      <c r="C62" t="n">
        <v>0.01</v>
      </c>
      <c r="D62" t="n">
        <v>0</v>
      </c>
      <c r="E62" t="n">
        <v>0</v>
      </c>
      <c r="F62" t="n">
        <v>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Perquisites</t>
        </is>
      </c>
      <c r="B63" t="inlineStr">
        <is>
          <t>3pence from John Rolf for licence to agree with Amice Rolf.</t>
        </is>
      </c>
      <c r="C63" t="n">
        <v>0.01</v>
      </c>
      <c r="D63" t="n">
        <v>0</v>
      </c>
      <c r="E63" t="n">
        <v>0</v>
      </c>
      <c r="F63" t="n">
        <v>3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Perquisites</t>
        </is>
      </c>
      <c r="B64" t="inlineStr">
        <is>
          <t>3pence from Robert de Burga because he is not proceeding against Robert de Burg'.</t>
        </is>
      </c>
      <c r="C64" t="n">
        <v>0.01</v>
      </c>
      <c r="D64" t="n">
        <v>0</v>
      </c>
      <c r="E64" t="n">
        <v>0</v>
      </c>
      <c r="F64" t="n">
        <v>3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Perquisites</t>
        </is>
      </c>
      <c r="B65" t="inlineStr">
        <is>
          <t>1 shilling from John Aubroy for breaking the assize of ale.</t>
        </is>
      </c>
      <c r="C65" t="n">
        <v>0.05</v>
      </c>
      <c r="D65" t="n">
        <v>0</v>
      </c>
      <c r="E65" t="n">
        <v>1</v>
      </c>
      <c r="F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Perquisites</t>
        </is>
      </c>
      <c r="B66" t="inlineStr">
        <is>
          <t>3pence from Matilda de la Don' for the same.</t>
        </is>
      </c>
      <c r="C66" t="n">
        <v>0.01</v>
      </c>
      <c r="D66" t="n">
        <v>0</v>
      </c>
      <c r="E66" t="n">
        <v>0</v>
      </c>
      <c r="F66" t="n">
        <v>3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Perquisites</t>
        </is>
      </c>
      <c r="B67" t="inlineStr">
        <is>
          <t>9pence from John Walt' for the same.</t>
        </is>
      </c>
      <c r="C67" t="n">
        <v>0.04</v>
      </c>
      <c r="D67" t="n">
        <v>0</v>
      </c>
      <c r="E67" t="n">
        <v>0</v>
      </c>
      <c r="F67" t="n">
        <v>9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Perquisites</t>
        </is>
      </c>
      <c r="B68" t="inlineStr">
        <is>
          <t>1 shilling from Matilda Edward for the same.</t>
        </is>
      </c>
      <c r="C68" t="n">
        <v>0.05</v>
      </c>
      <c r="D68" t="n">
        <v>0</v>
      </c>
      <c r="E68" t="n">
        <v>1</v>
      </c>
      <c r="F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Perquisites</t>
        </is>
      </c>
      <c r="B69" t="inlineStr">
        <is>
          <t>3pence from John Fontayn for the same.</t>
        </is>
      </c>
      <c r="C69" t="n">
        <v>0.01</v>
      </c>
      <c r="D69" t="n">
        <v>0</v>
      </c>
      <c r="E69" t="n">
        <v>0</v>
      </c>
      <c r="F69" t="n">
        <v>3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Perquisites</t>
        </is>
      </c>
      <c r="B70" t="inlineStr">
        <is>
          <t>3pence from Henry Bissop for the same.</t>
        </is>
      </c>
      <c r="C70" t="n">
        <v>0.01</v>
      </c>
      <c r="D70" t="n">
        <v>0</v>
      </c>
      <c r="E70" t="n">
        <v>0</v>
      </c>
      <c r="F70" t="n">
        <v>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Perquisites</t>
        </is>
      </c>
      <c r="B71" t="inlineStr">
        <is>
          <t>6pence from Roger le Suther' for the same.</t>
        </is>
      </c>
      <c r="C71" t="n">
        <v>0.03</v>
      </c>
      <c r="D71" t="n">
        <v>0</v>
      </c>
      <c r="E71" t="n">
        <v>0</v>
      </c>
      <c r="F71" t="n">
        <v>6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Perquisites</t>
        </is>
      </c>
      <c r="B72" t="inlineStr">
        <is>
          <t>1 shilling from William_Lote for the same.</t>
        </is>
      </c>
      <c r="C72" t="n">
        <v>0.05</v>
      </c>
      <c r="D72" t="n">
        <v>0</v>
      </c>
      <c r="E72" t="n">
        <v>1</v>
      </c>
      <c r="F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Perquisites</t>
        </is>
      </c>
      <c r="B73" t="inlineStr">
        <is>
          <t>6pence from William Unwyn' for the same.</t>
        </is>
      </c>
      <c r="C73" t="n">
        <v>0.03</v>
      </c>
      <c r="D73" t="n">
        <v>0</v>
      </c>
      <c r="E73" t="n">
        <v>0</v>
      </c>
      <c r="F73" t="n">
        <v>6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Perquisites</t>
        </is>
      </c>
      <c r="B74" t="inlineStr">
        <is>
          <t>6pence from William de Campo for the same.</t>
        </is>
      </c>
      <c r="C74" t="n">
        <v>0.03</v>
      </c>
      <c r="D74" t="n">
        <v>0</v>
      </c>
      <c r="E74" t="n">
        <v>0</v>
      </c>
      <c r="F74" t="n">
        <v>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Perquisites</t>
        </is>
      </c>
      <c r="B75" t="inlineStr">
        <is>
          <t>1 shilling from Robert Ricard' for the same.</t>
        </is>
      </c>
      <c r="C75" t="n">
        <v>0.05</v>
      </c>
      <c r="D75" t="n">
        <v>0</v>
      </c>
      <c r="E75" t="n">
        <v>1</v>
      </c>
      <c r="F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Perquisites</t>
        </is>
      </c>
      <c r="B76" t="inlineStr">
        <is>
          <t>1 shilling from lsabel le Pope for the same.</t>
        </is>
      </c>
      <c r="C76" t="n">
        <v>0.05</v>
      </c>
      <c r="D76" t="n">
        <v>0</v>
      </c>
      <c r="E76" t="n">
        <v>1</v>
      </c>
      <c r="F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Perquisites</t>
        </is>
      </c>
      <c r="B77" t="inlineStr">
        <is>
          <t>1 shilling from Matilda le Pope for the same.</t>
        </is>
      </c>
      <c r="C77" t="n">
        <v>0.05</v>
      </c>
      <c r="D77" t="n">
        <v>0</v>
      </c>
      <c r="E77" t="n">
        <v>1</v>
      </c>
      <c r="F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Perquisites</t>
        </is>
      </c>
      <c r="B78" t="inlineStr">
        <is>
          <t>1 shilling from Walter Lonte for the same.</t>
        </is>
      </c>
      <c r="C78" t="n">
        <v>0.05</v>
      </c>
      <c r="D78" t="n">
        <v>0</v>
      </c>
      <c r="E78" t="n">
        <v>1</v>
      </c>
      <c r="F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Perquisites</t>
        </is>
      </c>
      <c r="B79" t="inlineStr">
        <is>
          <t>1 shilling from William Molendinarius for the same.</t>
        </is>
      </c>
      <c r="C79" t="n">
        <v>0.05</v>
      </c>
      <c r="D79" t="n">
        <v>0</v>
      </c>
      <c r="E79" t="n">
        <v>1</v>
      </c>
      <c r="F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Perquisites</t>
        </is>
      </c>
      <c r="B80" t="inlineStr">
        <is>
          <t>1 shilling from Henry Soun for the same.</t>
        </is>
      </c>
      <c r="C80" t="n">
        <v>0.05</v>
      </c>
      <c r="D80" t="n">
        <v>0</v>
      </c>
      <c r="E80" t="n">
        <v>1</v>
      </c>
      <c r="F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Perquisites</t>
        </is>
      </c>
      <c r="B81" t="inlineStr">
        <is>
          <t>1 shilling from Thomas Pellepar' for the same.</t>
        </is>
      </c>
      <c r="C81" t="n">
        <v>0.05</v>
      </c>
      <c r="D81" t="n">
        <v>0</v>
      </c>
      <c r="E81" t="n">
        <v>1</v>
      </c>
      <c r="F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Perquisites</t>
        </is>
      </c>
      <c r="B82" t="inlineStr">
        <is>
          <t>1 shilling from William Eston for the same.</t>
        </is>
      </c>
      <c r="C82" t="n">
        <v>0.05</v>
      </c>
      <c r="D82" t="n">
        <v>0</v>
      </c>
      <c r="E82" t="n">
        <v>1</v>
      </c>
      <c r="F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Perquisites</t>
        </is>
      </c>
      <c r="B83" t="inlineStr">
        <is>
          <t>1 shilling from Maurice Durant for the same.</t>
        </is>
      </c>
      <c r="C83" t="n">
        <v>0.05</v>
      </c>
      <c r="D83" t="n">
        <v>0</v>
      </c>
      <c r="E83" t="n">
        <v>1</v>
      </c>
      <c r="F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Perquisites</t>
        </is>
      </c>
      <c r="B84" t="inlineStr">
        <is>
          <t>1 shilling from William de Bury for the same.</t>
        </is>
      </c>
      <c r="C84" t="n">
        <v>0.05</v>
      </c>
      <c r="D84" t="n">
        <v>0</v>
      </c>
      <c r="E84" t="n">
        <v>1</v>
      </c>
      <c r="F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Perquisites</t>
        </is>
      </c>
      <c r="B85" t="inlineStr">
        <is>
          <t>6pence from John Wytlot for the same.</t>
        </is>
      </c>
      <c r="C85" t="n">
        <v>0.03</v>
      </c>
      <c r="D85" t="n">
        <v>0</v>
      </c>
      <c r="E85" t="n">
        <v>0</v>
      </c>
      <c r="F85" t="n">
        <v>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Perquisites</t>
        </is>
      </c>
      <c r="B86" t="inlineStr">
        <is>
          <t>6pence from Alice Hervy for the same.</t>
        </is>
      </c>
      <c r="C86" t="n">
        <v>0.03</v>
      </c>
      <c r="D86" t="n">
        <v>0</v>
      </c>
      <c r="E86" t="n">
        <v>0</v>
      </c>
      <c r="F86" t="n">
        <v>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Perquisites</t>
        </is>
      </c>
      <c r="B87" t="inlineStr">
        <is>
          <t>3pence from John Som' for transgression against John Bege.</t>
        </is>
      </c>
      <c r="C87" t="n">
        <v>0.01</v>
      </c>
      <c r="D87" t="n">
        <v>0</v>
      </c>
      <c r="E87" t="n">
        <v>0</v>
      </c>
      <c r="F87" t="n">
        <v>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Perquisites</t>
        </is>
      </c>
      <c r="B88" t="inlineStr">
        <is>
          <t>6pence from John Rolg for transgression against Alan Randolf.</t>
        </is>
      </c>
      <c r="C88" t="n">
        <v>0.03</v>
      </c>
      <c r="D88" t="n">
        <v>0</v>
      </c>
      <c r="E88" t="n">
        <v>0</v>
      </c>
      <c r="F88" t="n">
        <v>6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Perquisites</t>
        </is>
      </c>
      <c r="B89" t="inlineStr">
        <is>
          <t>3pence from Bartholomew Hendel for transgression against Alexander de Ponte.</t>
        </is>
      </c>
      <c r="C89" t="n">
        <v>0.01</v>
      </c>
      <c r="D89" t="n">
        <v>0</v>
      </c>
      <c r="E89" t="n">
        <v>0</v>
      </c>
      <c r="F89" t="n">
        <v>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Perquisites</t>
        </is>
      </c>
      <c r="B90" t="inlineStr">
        <is>
          <t>6pence from Alexander Cred' for transgression against John Prevet.</t>
        </is>
      </c>
      <c r="C90" t="n">
        <v>0.03</v>
      </c>
      <c r="D90" t="n">
        <v>0</v>
      </c>
      <c r="E90" t="n">
        <v>0</v>
      </c>
      <c r="F90" t="n">
        <v>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Perquisites</t>
        </is>
      </c>
      <c r="B91" t="inlineStr">
        <is>
          <t>2pence from Alexander and Laura bis wife for transgression against Richard le Deken'.</t>
        </is>
      </c>
      <c r="C91" t="n">
        <v>0.01</v>
      </c>
      <c r="D91" t="n">
        <v>0</v>
      </c>
      <c r="E91" t="n">
        <v>0</v>
      </c>
      <c r="F91" t="n">
        <v>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Perquisites</t>
        </is>
      </c>
      <c r="B92" t="inlineStr">
        <is>
          <t>3pence from Henry de Burga for transgression against John Kewen.</t>
        </is>
      </c>
      <c r="C92" t="n">
        <v>0.01</v>
      </c>
      <c r="D92" t="n">
        <v>0</v>
      </c>
      <c r="E92" t="n">
        <v>0</v>
      </c>
      <c r="F92" t="n">
        <v>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Perquisites</t>
        </is>
      </c>
      <c r="B93" t="inlineStr">
        <is>
          <t>4pence from Richard le Child for licence to agree with Ella Gill'.</t>
        </is>
      </c>
      <c r="C93" t="n">
        <v>0.02</v>
      </c>
      <c r="D93" t="n">
        <v>0</v>
      </c>
      <c r="E93" t="n">
        <v>0</v>
      </c>
      <c r="F93" t="n">
        <v>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Perquisites</t>
        </is>
      </c>
      <c r="B94" t="inlineStr">
        <is>
          <t>3pence from John Rolf for licence to agree.</t>
        </is>
      </c>
      <c r="C94" t="n">
        <v>0.01</v>
      </c>
      <c r="D94" t="n">
        <v>0</v>
      </c>
      <c r="E94" t="n">
        <v>0</v>
      </c>
      <c r="F94" t="n">
        <v>3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Perquisites</t>
        </is>
      </c>
      <c r="B95" t="inlineStr">
        <is>
          <t>3pence from the same John for licence to agree.</t>
        </is>
      </c>
      <c r="C95" t="n">
        <v>0.01</v>
      </c>
      <c r="D95" t="n">
        <v>0</v>
      </c>
      <c r="E95" t="n">
        <v>0</v>
      </c>
      <c r="F95" t="n">
        <v>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Perquisites</t>
        </is>
      </c>
      <c r="B96" t="inlineStr">
        <is>
          <t>6pence from John Som‘ for transgression against Richard Barbur.</t>
        </is>
      </c>
      <c r="C96" t="n">
        <v>0.03</v>
      </c>
      <c r="D96" t="n">
        <v>0</v>
      </c>
      <c r="E96" t="n">
        <v>0</v>
      </c>
      <c r="F96" t="n">
        <v>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Perquisites</t>
        </is>
      </c>
      <c r="B97" t="inlineStr">
        <is>
          <t>3pence from John Bege for transgression against the same Richard.</t>
        </is>
      </c>
      <c r="C97" t="n">
        <v>0.01</v>
      </c>
      <c r="D97" t="n">
        <v>0</v>
      </c>
      <c r="E97" t="n">
        <v>0</v>
      </c>
      <c r="F97" t="n">
        <v>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Perquisites</t>
        </is>
      </c>
      <c r="B98" t="inlineStr">
        <is>
          <t>3pence from William de Bury for transgression against John le Tayllor.</t>
        </is>
      </c>
      <c r="C98" t="n">
        <v>0.01</v>
      </c>
      <c r="D98" t="n">
        <v>0</v>
      </c>
      <c r="E98" t="n">
        <v>0</v>
      </c>
      <c r="F98" t="n">
        <v>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Perquisites</t>
        </is>
      </c>
      <c r="B99" t="inlineStr">
        <is>
          <t>3pence from Robert Cissor rforl Iicence to agree.</t>
        </is>
      </c>
      <c r="C99" t="n">
        <v>0.01</v>
      </c>
      <c r="D99" t="n">
        <v>0</v>
      </c>
      <c r="E99" t="n">
        <v>0</v>
      </c>
      <c r="F99" t="n">
        <v>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Perquisites</t>
        </is>
      </c>
      <c r="B100" t="inlineStr">
        <is>
          <t>· 3pence from Alice Arnold for licence to agree.</t>
        </is>
      </c>
      <c r="C100" t="n">
        <v>0.01</v>
      </c>
      <c r="D100" t="n">
        <v>0</v>
      </c>
      <c r="E100" t="n">
        <v>0</v>
      </c>
      <c r="F100" t="n">
        <v>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Perquisites</t>
        </is>
      </c>
      <c r="B101" t="inlineStr">
        <is>
          <t>6pence from Simon Faber for licence to agree with John Lokyar'.</t>
        </is>
      </c>
      <c r="C101" t="n">
        <v>0.03</v>
      </c>
      <c r="D101" t="n">
        <v>0</v>
      </c>
      <c r="E101" t="n">
        <v>0</v>
      </c>
      <c r="F101" t="n">
        <v>6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Perquisites</t>
        </is>
      </c>
      <c r="B102" t="inlineStr">
        <is>
          <t>3pence from Henry de Burga for licence to agree with Walter Aylward'.</t>
        </is>
      </c>
      <c r="C102" t="n">
        <v>0.01</v>
      </c>
      <c r="D102" t="n">
        <v>0</v>
      </c>
      <c r="E102" t="n">
        <v>0</v>
      </c>
      <c r="F102" t="n">
        <v>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Perquisites</t>
        </is>
      </c>
      <c r="B103" t="inlineStr">
        <is>
          <t>6pence from William Unwyn' because he is proceeding against Thomas Aze.</t>
        </is>
      </c>
      <c r="C103" t="n">
        <v>0.03</v>
      </c>
      <c r="D103" t="n">
        <v>0</v>
      </c>
      <c r="E103" t="n">
        <v>0</v>
      </c>
      <c r="F103" t="n">
        <v>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Perquisites</t>
        </is>
      </c>
      <c r="B104" t="inlineStr">
        <is>
          <t>6pence from other small perquisites.</t>
        </is>
      </c>
      <c r="C104" t="n">
        <v>0.03</v>
      </c>
      <c r="D104" t="n">
        <v>0</v>
      </c>
      <c r="E104" t="n">
        <v>0</v>
      </c>
      <c r="F104" t="n">
        <v>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Perquisites</t>
        </is>
      </c>
      <c r="B105" t="inlineStr">
        <is>
          <t>Total, £2 2 shilling 6pence</t>
        </is>
      </c>
      <c r="C105" t="n">
        <v>2.12</v>
      </c>
      <c r="D105" t="n">
        <v>2</v>
      </c>
      <c r="E105" t="n">
        <v>2</v>
      </c>
      <c r="F105" t="n">
        <v>6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Total of both</t>
        </is>
      </c>
      <c r="B106" t="inlineStr">
        <is>
          <t>Total of both, £3 11 shilling 8pence</t>
        </is>
      </c>
      <c r="C106" t="n">
        <v>3.58</v>
      </c>
      <c r="D106" t="n">
        <v>3</v>
      </c>
      <c r="E106" t="n">
        <v>11</v>
      </c>
      <c r="F106" t="n">
        <v>8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Total of all receipts</t>
        </is>
      </c>
      <c r="B107" t="inlineStr">
        <is>
          <t>Total of all receipts, £59 13 shilling 0.5pence</t>
        </is>
      </c>
      <c r="C107" t="n">
        <v>59.65</v>
      </c>
      <c r="D107" t="n">
        <v>59</v>
      </c>
      <c r="E107" t="n">
        <v>13</v>
      </c>
      <c r="F107" t="n">
        <v>0.5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Expenses</t>
        </is>
      </c>
      <c r="B108" t="inlineStr">
        <is>
          <t>In expenses of the steward for the tourns of Martinmas and Hockday by 2 tallies, 9 shilling 1.25pence</t>
        </is>
      </c>
      <c r="C108" t="n">
        <v>0.46</v>
      </c>
      <c r="D108" t="n">
        <v>0</v>
      </c>
      <c r="E108" t="n">
        <v>9</v>
      </c>
      <c r="F108" t="n">
        <v>1.25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And he owes,</t>
        </is>
      </c>
      <c r="B109" t="inlineStr">
        <is>
          <t>And he owes, £59 3 shilling 5.25pence</t>
        </is>
      </c>
      <c r="C109" t="n">
        <v>59.17</v>
      </c>
      <c r="D109" t="n">
        <v>59</v>
      </c>
      <c r="E109" t="n">
        <v>3</v>
      </c>
      <c r="F109" t="n">
        <v>5.25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And he owes,</t>
        </is>
      </c>
      <c r="B110" t="inlineStr">
        <is>
          <t>Delivered to Sir Geoffrey, treasurer of Wolvesey, by 1 tally, £52 15 shilling</t>
        </is>
      </c>
      <c r="C110" t="n">
        <v>52.75</v>
      </c>
      <c r="D110" t="n">
        <v>52</v>
      </c>
      <c r="E110" t="n">
        <v>15</v>
      </c>
      <c r="F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And thus he owes clear</t>
        </is>
      </c>
      <c r="B111" t="inlineStr">
        <is>
          <t>And thus he owes clear, £6 8 shilling 5.25pence</t>
        </is>
      </c>
      <c r="C111" t="n">
        <v>6.42</v>
      </c>
      <c r="D111" t="n">
        <v>6</v>
      </c>
      <c r="E111" t="n">
        <v>8</v>
      </c>
      <c r="F111" t="n">
        <v>5.25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2024-09-06T15:22:17Z</dcterms:created>
  <dcterms:modified xmlns:dcterms="http://purl.org/dc/terms/" xmlns:xsi="http://www.w3.org/2001/XMLSchema-instance" xsi:type="dcterms:W3CDTF">2025-12-18T10:16:47Z</dcterms:modified>
  <cp:lastModifiedBy>Kowalski, Kuba</cp:lastModifiedBy>
</cp:coreProperties>
</file>
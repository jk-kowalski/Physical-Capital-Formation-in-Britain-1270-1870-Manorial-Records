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BishopsWaltham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Issues of the Grange raw" sheetId="10" state="visible" r:id="rId10"/>
    <sheet xmlns:r="http://schemas.openxmlformats.org/officeDocument/2006/relationships" name="Sale of Corn Prices" sheetId="11" state="visible" r:id="rId11"/>
    <sheet xmlns:r="http://schemas.openxmlformats.org/officeDocument/2006/relationships" name="raw data"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color rgb="FFFF0000"/>
      <sz val="11"/>
    </font>
    <font>
      <name val="Calibri"/>
      <family val="2"/>
      <b val="1"/>
      <color rgb="FF000000"/>
      <sz val="11"/>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0" fillId="5" borderId="0" pivotButton="0" quotePrefix="0" xfId="0"/>
    <xf numFmtId="2" fontId="28" fillId="0" borderId="0" pivotButton="0" quotePrefix="0" xfId="0"/>
    <xf numFmtId="2" fontId="9" fillId="0" borderId="0" pivotButton="0" quotePrefix="0" xfId="0"/>
    <xf numFmtId="0" fontId="28"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29"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0" fontId="9" fillId="0" borderId="0" applyAlignment="1" pivotButton="0" quotePrefix="0" xfId="0">
      <alignment horizontal="left" wrapText="1"/>
    </xf>
    <xf numFmtId="0" fontId="9" fillId="0" borderId="0" applyAlignment="1" pivotButton="0" quotePrefix="0" xfId="0">
      <alignment horizontal="left"/>
    </xf>
    <xf numFmtId="2" fontId="9" fillId="0" borderId="0" applyAlignment="1" pivotButton="0" quotePrefix="0" xfId="0">
      <alignment horizontal="lef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0"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71.91</v>
      </c>
      <c r="D4" s="13" t="n"/>
      <c r="E4" s="13" t="n"/>
    </row>
    <row r="5">
      <c r="A5" s="15" t="inlineStr">
        <is>
          <t>Rents of assize total</t>
        </is>
      </c>
      <c r="B5" s="76" t="n">
        <v>76.08</v>
      </c>
    </row>
    <row r="6">
      <c r="A6" s="15" t="inlineStr">
        <is>
          <t>Quittances total</t>
        </is>
      </c>
      <c r="B6" s="76" t="n">
        <v>2.88</v>
      </c>
    </row>
    <row r="7">
      <c r="A7" s="15" t="inlineStr">
        <is>
          <t>Defaults of rent total</t>
        </is>
      </c>
      <c r="B7" s="76" t="n">
        <v>1.63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4.5</v>
      </c>
    </row>
    <row r="12">
      <c r="A12" s="76" t="inlineStr">
        <is>
          <t>Total of rents remaining clear total</t>
        </is>
      </c>
      <c r="B12" s="76" t="n"/>
    </row>
    <row r="13">
      <c r="A13" s="76" t="inlineStr">
        <is>
          <t>Farms total</t>
        </is>
      </c>
      <c r="B13" s="76" t="n"/>
    </row>
    <row r="14">
      <c r="A14" s="15" t="inlineStr">
        <is>
          <t>Annual recognizances total</t>
        </is>
      </c>
      <c r="B14" s="76" t="n">
        <v>0.25</v>
      </c>
    </row>
    <row r="15">
      <c r="A15" s="15" t="inlineStr">
        <is>
          <t>Issues of the Manor total</t>
        </is>
      </c>
      <c r="B15" s="76" t="n">
        <v>77.40000000000001</v>
      </c>
    </row>
    <row r="16">
      <c r="A16" s="76" t="inlineStr">
        <is>
          <t>Issues of the tenements in the lord's hands total</t>
        </is>
      </c>
      <c r="B16" s="76" t="n"/>
    </row>
    <row r="17">
      <c r="A17" s="76" t="inlineStr">
        <is>
          <t>Sale of labour services total</t>
        </is>
      </c>
      <c r="B17" s="76" t="n"/>
    </row>
    <row r="18">
      <c r="A18" s="15" t="inlineStr">
        <is>
          <t>Sale of corn total</t>
        </is>
      </c>
      <c r="B18" s="76" t="n">
        <v>11.51416666666667</v>
      </c>
    </row>
    <row r="19">
      <c r="A19" s="15" t="inlineStr">
        <is>
          <t>Entry and marriage fines total</t>
        </is>
      </c>
      <c r="B19" s="76" t="n">
        <v>24.81</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230.19</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10.05166666666667</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17.91</v>
      </c>
    </row>
    <row r="35">
      <c r="A35" s="15" t="inlineStr">
        <is>
          <t>Sheepcote total</t>
        </is>
      </c>
    </row>
    <row r="36">
      <c r="A36" s="15" t="inlineStr">
        <is>
          <t>Cost of buildings total</t>
        </is>
      </c>
      <c r="B36" s="84" t="n">
        <v>4.35</v>
      </c>
    </row>
    <row r="37">
      <c r="A37" s="15" t="inlineStr">
        <is>
          <t>Threshing total</t>
        </is>
      </c>
      <c r="B37" t="n">
        <v>0.0625</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5.045833333333334</v>
      </c>
    </row>
    <row r="43">
      <c r="A43" s="85" t="inlineStr">
        <is>
          <t>Annual fees</t>
        </is>
      </c>
      <c r="B43" s="86" t="n"/>
      <c r="C43" s="87" t="n"/>
      <c r="D43" s="88" t="n"/>
    </row>
    <row r="44">
      <c r="A44" s="82" t="inlineStr">
        <is>
          <t>Total of all expenses per account</t>
        </is>
      </c>
      <c r="B44" s="84" t="n">
        <v>54.45</v>
      </c>
    </row>
    <row r="45">
      <c r="A45" s="82" t="inlineStr">
        <is>
          <t>Total of all expenses (calculated here)</t>
        </is>
      </c>
      <c r="B45" s="84" t="n">
        <v>53.95666666666666</v>
      </c>
    </row>
    <row r="46">
      <c r="A46" s="82" t="inlineStr">
        <is>
          <t>Total fixed investment</t>
        </is>
      </c>
      <c r="B46" s="84" t="n">
        <v>12.88833333333333</v>
      </c>
    </row>
    <row r="47">
      <c r="A47" s="82" t="inlineStr">
        <is>
          <t>Total Demesne fixed investment</t>
        </is>
      </c>
      <c r="B47" s="84" t="n">
        <v>8.788333333333329</v>
      </c>
    </row>
    <row r="48">
      <c r="A48" s="12" t="n"/>
    </row>
    <row r="49">
      <c r="A49" s="18" t="inlineStr">
        <is>
          <t>Owed by the reeve</t>
        </is>
      </c>
      <c r="B49" s="84">
        <f>B23-B45</f>
        <v/>
      </c>
    </row>
    <row r="50">
      <c r="A50" s="18" t="inlineStr">
        <is>
          <t>From accounts</t>
        </is>
      </c>
      <c r="B50" s="84" t="n">
        <v>54.45</v>
      </c>
    </row>
    <row r="51">
      <c r="A51" s="15" t="n"/>
    </row>
    <row r="52">
      <c r="A52" s="18" t="inlineStr">
        <is>
          <t>Allowances</t>
        </is>
      </c>
      <c r="B52" s="84" t="n"/>
    </row>
    <row r="53">
      <c r="A53" s="18" t="inlineStr">
        <is>
          <t>Cash deliveries</t>
        </is>
      </c>
      <c r="B53" s="84" t="n">
        <v>116.16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132.25</v>
      </c>
      <c r="E62" t="n">
        <v>22.78541666666667</v>
      </c>
      <c r="F62" s="13" t="n"/>
    </row>
    <row r="63">
      <c r="A63" s="76" t="inlineStr">
        <is>
          <t>Rye</t>
        </is>
      </c>
      <c r="F63" s="13" t="n"/>
    </row>
    <row r="64">
      <c r="A64" s="76" t="inlineStr">
        <is>
          <t>Dredge</t>
        </is>
      </c>
      <c r="F64" s="13" t="n"/>
    </row>
    <row r="65">
      <c r="A65" s="76" t="inlineStr">
        <is>
          <t>Curall</t>
        </is>
      </c>
      <c r="B65" t="n">
        <v>10</v>
      </c>
      <c r="E65" t="n">
        <v>0.9395833333333338</v>
      </c>
      <c r="F65" s="13" t="n"/>
    </row>
    <row r="66">
      <c r="A66" s="76" t="inlineStr">
        <is>
          <t>Barley</t>
        </is>
      </c>
      <c r="B66" t="n">
        <v>83.375</v>
      </c>
      <c r="E66" t="n">
        <v>1.15</v>
      </c>
      <c r="F66" s="13" t="n"/>
    </row>
    <row r="67">
      <c r="A67" s="76" t="inlineStr">
        <is>
          <t>Oats</t>
        </is>
      </c>
      <c r="B67" t="n">
        <v>205.0625</v>
      </c>
      <c r="E67" t="n">
        <v>6.698770346779898</v>
      </c>
      <c r="F67" s="13" t="n"/>
    </row>
    <row r="68">
      <c r="A68" s="76" t="inlineStr">
        <is>
          <t>Beans</t>
        </is>
      </c>
      <c r="F68" s="13" t="n"/>
    </row>
    <row r="69">
      <c r="A69" s="76" t="inlineStr">
        <is>
          <t>Peas</t>
        </is>
      </c>
      <c r="B69" t="n">
        <v>3.8125</v>
      </c>
      <c r="E69" t="n">
        <v>0.03333333333333333</v>
      </c>
      <c r="F69" s="13" t="n"/>
    </row>
    <row r="70">
      <c r="A70" s="76" t="inlineStr">
        <is>
          <t>Vetches</t>
        </is>
      </c>
      <c r="B70" t="n">
        <v>11.375</v>
      </c>
      <c r="E70" t="n">
        <v>0.225</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3</v>
      </c>
      <c r="C89" s="76" t="n">
        <v>4</v>
      </c>
      <c r="D89" s="76" t="n">
        <v>1</v>
      </c>
      <c r="F89" s="84" t="n">
        <v>1.14</v>
      </c>
      <c r="G89" s="84" t="n">
        <v>0.285</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48</v>
      </c>
      <c r="C94" s="76" t="n">
        <v>54</v>
      </c>
      <c r="D94" s="76" t="n">
        <v>6</v>
      </c>
      <c r="F94" s="84" t="n">
        <v>25.2</v>
      </c>
      <c r="G94" s="84" t="n">
        <v>2.8</v>
      </c>
    </row>
    <row r="95">
      <c r="A95" s="15" t="inlineStr">
        <is>
          <t>Bulls</t>
        </is>
      </c>
      <c r="B95" s="76" t="n">
        <v>1</v>
      </c>
      <c r="C95" s="76" t="n">
        <v>1</v>
      </c>
      <c r="D95" s="76" t="n">
        <v>0</v>
      </c>
      <c r="F95" s="84">
        <f>'Stock'!K13*'Stock'!O13</f>
        <v/>
      </c>
      <c r="G95" s="84">
        <f>D95*'Stock'!O13</f>
        <v/>
      </c>
    </row>
    <row r="96">
      <c r="A96" s="15" t="inlineStr">
        <is>
          <t>Cows</t>
        </is>
      </c>
      <c r="B96" s="76" t="n">
        <v>27</v>
      </c>
      <c r="C96" s="76" t="n">
        <v>40</v>
      </c>
      <c r="D96" s="76" t="n">
        <v>13</v>
      </c>
      <c r="F96" s="84" t="n">
        <v>12</v>
      </c>
      <c r="G96" s="84" t="n">
        <v>3.9</v>
      </c>
    </row>
    <row r="97">
      <c r="A97" s="15" t="inlineStr">
        <is>
          <t>Steers</t>
        </is>
      </c>
      <c r="B97" s="76" t="n">
        <v>12</v>
      </c>
      <c r="C97" s="76" t="n">
        <v>0</v>
      </c>
      <c r="D97" s="76" t="n">
        <v>-12</v>
      </c>
      <c r="F97" s="84">
        <f>'Stock'!K15*'Stock'!O15</f>
        <v/>
      </c>
      <c r="G97" s="84">
        <f>D97*'Stock'!O15</f>
        <v/>
      </c>
    </row>
    <row r="98">
      <c r="A98" s="15" t="inlineStr">
        <is>
          <t>Bullocks</t>
        </is>
      </c>
      <c r="B98" s="76" t="n">
        <v>11</v>
      </c>
      <c r="C98" s="76" t="n">
        <v>8</v>
      </c>
      <c r="D98" s="76" t="n">
        <v>-3</v>
      </c>
      <c r="F98" s="84">
        <f>'Stock'!K16*'Stock'!O16</f>
        <v/>
      </c>
      <c r="G98" s="84">
        <f>D98*'Stock'!O16</f>
        <v/>
      </c>
    </row>
    <row r="99">
      <c r="A99" s="15" t="inlineStr">
        <is>
          <t>Yearlings</t>
        </is>
      </c>
      <c r="B99" s="76" t="n">
        <v>11</v>
      </c>
      <c r="C99" s="76" t="n">
        <v>7</v>
      </c>
      <c r="D99" s="76" t="n">
        <v>-4</v>
      </c>
      <c r="F99" s="84">
        <f>'Stock'!K17*'Stock'!O17</f>
        <v/>
      </c>
      <c r="G99" s="84">
        <f>D99*'Stock'!O17</f>
        <v/>
      </c>
    </row>
    <row r="100">
      <c r="A100" s="15" t="inlineStr">
        <is>
          <t>Calves</t>
        </is>
      </c>
      <c r="B100" s="76" t="n">
        <v>19</v>
      </c>
      <c r="C100" s="76" t="n">
        <v>11</v>
      </c>
      <c r="D100" s="76" t="n">
        <v>-8</v>
      </c>
      <c r="F100" s="84" t="n">
        <v>0.5499999999999999</v>
      </c>
      <c r="G100" s="84" t="n">
        <v>-0.4</v>
      </c>
    </row>
    <row r="101">
      <c r="A101" s="15" t="inlineStr">
        <is>
          <t>Wethers</t>
        </is>
      </c>
      <c r="B101" s="76" t="n">
        <v>249</v>
      </c>
      <c r="C101" s="76" t="n">
        <v>271</v>
      </c>
      <c r="D101" s="76" t="n">
        <v>22</v>
      </c>
      <c r="F101" s="84" t="n">
        <v>13.55</v>
      </c>
      <c r="G101" s="84" t="n">
        <v>1.1</v>
      </c>
    </row>
    <row r="102">
      <c r="A102" s="15" t="inlineStr">
        <is>
          <t>Rams</t>
        </is>
      </c>
      <c r="B102" s="76" t="n">
        <v>2</v>
      </c>
      <c r="C102" s="76" t="n">
        <v>8</v>
      </c>
      <c r="D102" s="76" t="n">
        <v>6</v>
      </c>
      <c r="F102" s="84">
        <f>'Stock'!K20*'Stock'!O20</f>
        <v/>
      </c>
      <c r="G102" s="84">
        <f>D102*'Stock'!O20</f>
        <v/>
      </c>
    </row>
    <row r="103">
      <c r="A103" s="15" t="inlineStr">
        <is>
          <t>Ewes</t>
        </is>
      </c>
      <c r="B103" s="76" t="n">
        <v>226</v>
      </c>
      <c r="C103" s="76" t="n">
        <v>236</v>
      </c>
      <c r="D103" s="76" t="n">
        <v>10</v>
      </c>
      <c r="F103" s="84" t="n">
        <v>9.777142857142856</v>
      </c>
      <c r="G103" s="84" t="n">
        <v>0.4142857142857143</v>
      </c>
    </row>
    <row r="104">
      <c r="A104" s="15" t="inlineStr">
        <is>
          <t>Hoggs</t>
        </is>
      </c>
      <c r="B104" s="76" t="n">
        <v>145</v>
      </c>
      <c r="C104" s="76" t="n">
        <v>0</v>
      </c>
      <c r="D104" s="76" t="n">
        <v>-145</v>
      </c>
      <c r="F104" s="84" t="n">
        <v>0</v>
      </c>
      <c r="G104" s="84" t="n">
        <v>-3.792307692307693</v>
      </c>
    </row>
    <row r="105">
      <c r="A105" s="15" t="inlineStr">
        <is>
          <t>Lambs</t>
        </is>
      </c>
      <c r="B105" s="76" t="n"/>
      <c r="C105" s="76" t="n">
        <v>122</v>
      </c>
      <c r="D105" s="76">
        <f>C105-B105</f>
        <v/>
      </c>
      <c r="F105" s="84" t="n">
        <v>2.236666666666667</v>
      </c>
      <c r="G105" s="84">
        <f>D105*'Stock'!O23</f>
        <v/>
      </c>
    </row>
    <row r="106">
      <c r="A106" s="15" t="inlineStr">
        <is>
          <t>Boars</t>
        </is>
      </c>
      <c r="B106" s="76" t="n">
        <v>1</v>
      </c>
      <c r="C106" s="76" t="n">
        <v>1</v>
      </c>
      <c r="D106" s="76" t="n">
        <v>0</v>
      </c>
      <c r="F106" s="84" t="n">
        <v>0.05</v>
      </c>
      <c r="G106" s="84" t="n">
        <v>0</v>
      </c>
    </row>
    <row r="107">
      <c r="A107" s="15" t="inlineStr">
        <is>
          <t>Sows</t>
        </is>
      </c>
      <c r="B107" s="76" t="n">
        <v>2</v>
      </c>
      <c r="C107" s="76" t="n">
        <v>2</v>
      </c>
      <c r="D107" s="76" t="n">
        <v>0</v>
      </c>
      <c r="F107" s="84">
        <f>'Stock'!K25*'Stock'!O25</f>
        <v/>
      </c>
      <c r="G107" s="84">
        <f>D107*'Stock'!O25</f>
        <v/>
      </c>
    </row>
    <row r="108">
      <c r="A108" s="15" t="inlineStr">
        <is>
          <t>Pigs</t>
        </is>
      </c>
      <c r="B108" s="76" t="n">
        <v>12</v>
      </c>
      <c r="C108" s="76" t="n">
        <v>33</v>
      </c>
      <c r="D108" s="76" t="n">
        <v>21</v>
      </c>
      <c r="F108" s="84" t="n">
        <v>4.092</v>
      </c>
      <c r="G108" s="84" t="n">
        <v>2.604</v>
      </c>
    </row>
    <row r="109">
      <c r="A109" s="15" t="inlineStr">
        <is>
          <t>Hoggets</t>
        </is>
      </c>
      <c r="B109" s="76" t="n">
        <v>37</v>
      </c>
      <c r="C109" s="76" t="n">
        <v>0</v>
      </c>
      <c r="D109" s="76" t="n">
        <v>-37</v>
      </c>
      <c r="F109" s="84">
        <f>'Stock'!K27*'Stock'!O27</f>
        <v/>
      </c>
      <c r="G109" s="84">
        <f>D109*'Stock'!O27</f>
        <v/>
      </c>
    </row>
    <row r="110">
      <c r="A110" s="15" t="inlineStr">
        <is>
          <t>Piglets</t>
        </is>
      </c>
      <c r="B110" s="76" t="n"/>
      <c r="C110" s="76" t="n">
        <v>13</v>
      </c>
      <c r="D110" s="76">
        <f>C110-B110</f>
        <v/>
      </c>
      <c r="F110" s="84">
        <f>'Stock'!K28*'Stock'!O28</f>
        <v/>
      </c>
      <c r="G110" s="84">
        <f>D110*'Stock'!O28</f>
        <v/>
      </c>
    </row>
    <row r="111">
      <c r="A111" s="15" t="inlineStr">
        <is>
          <t>Swans</t>
        </is>
      </c>
      <c r="B111" s="76" t="n">
        <v>13</v>
      </c>
      <c r="C111" s="76" t="n">
        <v>16</v>
      </c>
      <c r="D111" s="76" t="n">
        <v>3</v>
      </c>
      <c r="F111" s="84">
        <f>'Stock'!K29*'Stock'!O29</f>
        <v/>
      </c>
      <c r="G111" s="84">
        <f>D111*'Stock'!O29</f>
        <v/>
      </c>
    </row>
    <row r="112">
      <c r="A112" s="15" t="inlineStr">
        <is>
          <t>Peacocks</t>
        </is>
      </c>
      <c r="B112" s="76" t="n">
        <v>6</v>
      </c>
      <c r="C112" s="76" t="n">
        <v>5</v>
      </c>
      <c r="D112" s="76" t="n">
        <v>-1</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D119" t="n">
        <v>528</v>
      </c>
      <c r="F119">
        <f>C119*'Stock'!O35</f>
        <v/>
      </c>
    </row>
    <row r="120">
      <c r="A120" s="15" t="inlineStr">
        <is>
          <t>Lamb's wool</t>
        </is>
      </c>
      <c r="D120" t="n">
        <v>122</v>
      </c>
      <c r="F120">
        <f>C120*'Stock'!O36</f>
        <v/>
      </c>
    </row>
    <row r="121">
      <c r="A121" s="15" t="inlineStr">
        <is>
          <t>Wool locks</t>
        </is>
      </c>
      <c r="D121" t="n">
        <v>6</v>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C152*'Stock'!O68</f>
        <v/>
      </c>
    </row>
    <row r="153">
      <c r="A153" s="15" t="inlineStr">
        <is>
          <t>Capons (from chickens)</t>
        </is>
      </c>
      <c r="B153" s="76" t="n">
        <v>0</v>
      </c>
      <c r="C153" s="76" t="n">
        <v>0</v>
      </c>
      <c r="D153" s="76" t="n">
        <v>0</v>
      </c>
      <c r="F153" s="76">
        <f>C153*'Stock'!O69</f>
        <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9"/>
  <sheetViews>
    <sheetView topLeftCell="A1" workbookViewId="0">
      <selection activeCell="A1" sqref="A1"/>
    </sheetView>
  </sheetViews>
  <sheetFormatPr baseColWidth="8" defaultRowHeight="15"/>
  <cols>
    <col width="80" customWidth="1" min="1" max="1"/>
    <col width="29.5" customWidth="1" min="2" max="2"/>
    <col width="8.83203125" customWidth="1" min="3" max="3"/>
    <col width="30.83203125" customWidth="1" min="5" max="5"/>
    <col width="29.33203125" customWidth="1" min="6" max="6"/>
  </cols>
  <sheetData>
    <row r="1">
      <c r="A1" s="8" t="inlineStr">
        <is>
          <t>BISHOPS WALTHAM</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127">
        <f>Receipts!F251</f>
        <v/>
      </c>
    </row>
    <row r="24">
      <c r="A24" s="82" t="inlineStr">
        <is>
          <t>Total of all receipts (calculated here) incl arrears</t>
        </is>
      </c>
      <c r="B24" s="127">
        <f>Receipts!F252</f>
        <v/>
      </c>
    </row>
    <row r="25">
      <c r="A25" s="83" t="inlineStr">
        <is>
          <t>Total recorded in the accounts excl. arrears</t>
        </is>
      </c>
      <c r="B25" s="127">
        <f>Receipts!F250</f>
        <v/>
      </c>
      <c r="C25" s="128">
        <f>B25-B23</f>
        <v/>
      </c>
    </row>
    <row r="26">
      <c r="A26" s="83" t="inlineStr">
        <is>
          <t>Total recorded in the accounts incl. arrears</t>
        </is>
      </c>
      <c r="B26" s="70"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127">
        <f>Expenses!F163</f>
        <v/>
      </c>
    </row>
    <row r="45">
      <c r="A45" s="82" t="inlineStr">
        <is>
          <t>Total of all expenses (calculated here)</t>
        </is>
      </c>
      <c r="B45" s="127">
        <f>Expenses!F164</f>
        <v/>
      </c>
    </row>
    <row r="46">
      <c r="A46" s="82" t="inlineStr">
        <is>
          <t>Total fixed investment</t>
        </is>
      </c>
      <c r="B46" s="127">
        <f>Expenses!F165</f>
        <v/>
      </c>
    </row>
    <row r="47">
      <c r="A47" s="82" t="inlineStr">
        <is>
          <t>Total Demesne fixed investment</t>
        </is>
      </c>
      <c r="B47" s="127">
        <f>Expenses!F166</f>
        <v/>
      </c>
    </row>
    <row r="48">
      <c r="A48" s="12" t="n"/>
      <c r="B48" s="7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9" t="inlineStr">
        <is>
          <t>Value of total gross production in £</t>
        </is>
      </c>
      <c r="F61" s="129" t="inlineStr">
        <is>
          <t>Value of total net production in £</t>
        </is>
      </c>
    </row>
    <row r="62" ht="15" customHeight="1">
      <c r="A62" t="inlineStr">
        <is>
          <t>wheat</t>
        </is>
      </c>
      <c r="B62">
        <f>'Issues of the Grange'!B2</f>
        <v/>
      </c>
      <c r="E62" s="72">
        <f>'Issues of the Grange'!I2</f>
        <v/>
      </c>
      <c r="F62" s="72">
        <f>'Issues of the Grange'!O11</f>
        <v/>
      </c>
    </row>
    <row r="63" ht="15" customHeight="1">
      <c r="A63" t="inlineStr">
        <is>
          <t>curall</t>
        </is>
      </c>
      <c r="B63">
        <f>'Issues of the Grange'!B3</f>
        <v/>
      </c>
      <c r="E63" s="72">
        <f>'Issues of the Grange'!I3</f>
        <v/>
      </c>
      <c r="F63" s="72">
        <f>'Issues of the Grange'!O12</f>
        <v/>
      </c>
    </row>
    <row r="64" ht="15" customHeight="1">
      <c r="A64" t="inlineStr">
        <is>
          <t>barley</t>
        </is>
      </c>
      <c r="B64">
        <f>'Issues of the Grange'!B4</f>
        <v/>
      </c>
      <c r="E64" s="72">
        <f>'Issues of the Grange'!I4</f>
        <v/>
      </c>
      <c r="F64" s="72">
        <f>'Issues of the Grange'!O13</f>
        <v/>
      </c>
    </row>
    <row r="65" ht="15" customHeight="1">
      <c r="A65" t="inlineStr">
        <is>
          <t>oats</t>
        </is>
      </c>
      <c r="B65">
        <f>'Issues of the Grange'!B5</f>
        <v/>
      </c>
      <c r="E65" s="72">
        <f>'Issues of the Grange'!I5</f>
        <v/>
      </c>
      <c r="F65" s="72">
        <f>'Issues of the Grange'!O14</f>
        <v/>
      </c>
    </row>
    <row r="66" ht="15" customHeight="1">
      <c r="A66" t="inlineStr">
        <is>
          <t>peas</t>
        </is>
      </c>
      <c r="B66">
        <f>'Issues of the Grange'!B6</f>
        <v/>
      </c>
      <c r="E66" s="72">
        <f>'Issues of the Grange'!I6</f>
        <v/>
      </c>
      <c r="F66" s="72">
        <f>'Issues of the Grange'!O15</f>
        <v/>
      </c>
    </row>
    <row r="67" ht="15" customHeight="1">
      <c r="A67" t="inlineStr">
        <is>
          <t>vetches</t>
        </is>
      </c>
      <c r="B67">
        <f>'Issues of the Grange'!B7</f>
        <v/>
      </c>
      <c r="E67" s="72">
        <f>'Issues of the Grange'!I7</f>
        <v/>
      </c>
      <c r="F67" s="72">
        <f>'Issues of the Grange'!O16</f>
        <v/>
      </c>
    </row>
    <row r="68">
      <c r="A68" s="17" t="inlineStr">
        <is>
          <t>Total value of gross production (sum of the above)</t>
        </is>
      </c>
      <c r="B68" s="70" t="n"/>
      <c r="C68" s="130" t="n"/>
      <c r="D68" s="70" t="n"/>
      <c r="E68" s="127">
        <f>SUM(E62:E67)</f>
        <v/>
      </c>
      <c r="F68" s="70" t="n"/>
    </row>
    <row r="69">
      <c r="A69" s="17" t="inlineStr">
        <is>
          <t>Total value of net production</t>
        </is>
      </c>
      <c r="B69" s="70" t="n"/>
      <c r="C69" s="130" t="n"/>
      <c r="D69" s="70" t="n"/>
      <c r="E69" s="127">
        <f>SUM(F62:F67)</f>
        <v/>
      </c>
      <c r="F69" s="70" t="n"/>
    </row>
    <row r="70">
      <c r="A70" s="17" t="inlineStr">
        <is>
          <t>Value of sales</t>
        </is>
      </c>
      <c r="B70" s="70" t="n"/>
      <c r="C70" s="130" t="n"/>
      <c r="D70" s="70" t="n"/>
      <c r="E70" s="127">
        <f>Receipts!F175+Receipts!F170+Receipts!F184</f>
        <v/>
      </c>
      <c r="F70" s="70" t="n"/>
    </row>
    <row r="71">
      <c r="A71" s="15" t="n"/>
    </row>
    <row r="72">
      <c r="A72" s="16" t="inlineStr">
        <is>
          <t>MILL ACCOUNT</t>
        </is>
      </c>
    </row>
    <row r="73">
      <c r="A73" s="8" t="inlineStr">
        <is>
          <t>Issues of the mill</t>
        </is>
      </c>
    </row>
    <row r="74">
      <c r="A74" s="15" t="inlineStr">
        <is>
          <t>Wheat</t>
        </is>
      </c>
    </row>
    <row r="75">
      <c r="A75" s="15" t="inlineStr">
        <is>
          <t>Oatmeal</t>
        </is>
      </c>
    </row>
    <row r="76">
      <c r="A76" s="15" t="inlineStr">
        <is>
          <t>1st grade malt</t>
        </is>
      </c>
    </row>
    <row r="77">
      <c r="A77" s="15" t="inlineStr">
        <is>
          <t>2nd grade malt</t>
        </is>
      </c>
    </row>
    <row r="78">
      <c r="A78" s="15" t="inlineStr">
        <is>
          <t>Maslin</t>
        </is>
      </c>
    </row>
    <row r="79">
      <c r="A79" s="17" t="inlineStr">
        <is>
          <t>Total value of production (sum of the above)</t>
        </is>
      </c>
    </row>
    <row r="80">
      <c r="A80" s="17" t="inlineStr">
        <is>
          <t>Value of sales</t>
        </is>
      </c>
    </row>
    <row r="81">
      <c r="A81" s="15" t="n"/>
    </row>
    <row r="82">
      <c r="A82" s="92" t="inlineStr">
        <is>
          <t>STOCK ACCOUNT</t>
        </is>
      </c>
      <c r="B82" s="70" t="n"/>
    </row>
    <row r="83">
      <c r="A83" s="21" t="inlineStr">
        <is>
          <t>Livestock</t>
        </is>
      </c>
      <c r="B83" s="131" t="inlineStr">
        <is>
          <t>Sales value in £</t>
        </is>
      </c>
    </row>
    <row r="84" ht="17" customHeight="1">
      <c r="A84" s="22" t="inlineStr">
        <is>
          <t>Cart-horses</t>
        </is>
      </c>
      <c r="B84">
        <f>Stock!R5</f>
        <v/>
      </c>
    </row>
    <row r="85" ht="17" customHeight="1">
      <c r="A85" s="22" t="inlineStr">
        <is>
          <t>Mares</t>
        </is>
      </c>
      <c r="B85">
        <f>Stock!R6</f>
        <v/>
      </c>
    </row>
    <row r="86">
      <c r="A86" s="15" t="inlineStr">
        <is>
          <t>Plough horses</t>
        </is>
      </c>
      <c r="B86">
        <f>Stock!R7</f>
        <v/>
      </c>
    </row>
    <row r="87">
      <c r="A87" s="15" t="inlineStr">
        <is>
          <t>Colts (2 years)</t>
        </is>
      </c>
      <c r="B87">
        <f>Stock!R8</f>
        <v/>
      </c>
    </row>
    <row r="88">
      <c r="A88" s="15" t="inlineStr">
        <is>
          <t>Colts (2 years)</t>
        </is>
      </c>
      <c r="B88">
        <f>Stock!R9</f>
        <v/>
      </c>
    </row>
    <row r="89">
      <c r="A89" s="15" t="inlineStr">
        <is>
          <t>Colts (1 year)</t>
        </is>
      </c>
      <c r="B89">
        <f>Stock!R10</f>
        <v/>
      </c>
    </row>
    <row r="90">
      <c r="A90" s="15" t="inlineStr">
        <is>
          <t>Foals</t>
        </is>
      </c>
      <c r="B90">
        <f>Stock!R11</f>
        <v/>
      </c>
    </row>
    <row r="91">
      <c r="A91" s="15" t="inlineStr">
        <is>
          <t>Oxen</t>
        </is>
      </c>
      <c r="B91">
        <f>Stock!R12</f>
        <v/>
      </c>
    </row>
    <row r="92">
      <c r="A92" s="15" t="inlineStr">
        <is>
          <t>Bulls</t>
        </is>
      </c>
      <c r="B92">
        <f>Stock!R13</f>
        <v/>
      </c>
    </row>
    <row r="93">
      <c r="A93" s="15" t="inlineStr">
        <is>
          <t>Cows</t>
        </is>
      </c>
      <c r="B93">
        <f>Stock!R14</f>
        <v/>
      </c>
    </row>
    <row r="94">
      <c r="A94" s="15" t="inlineStr">
        <is>
          <t>Steers</t>
        </is>
      </c>
      <c r="B94">
        <f>Stock!R15</f>
        <v/>
      </c>
    </row>
    <row r="95">
      <c r="A95" s="15" t="inlineStr">
        <is>
          <t>Bullocks</t>
        </is>
      </c>
      <c r="B95">
        <f>Stock!R16</f>
        <v/>
      </c>
    </row>
    <row r="96">
      <c r="A96" s="15" t="inlineStr">
        <is>
          <t>Yearlings</t>
        </is>
      </c>
      <c r="B96">
        <f>Stock!R17</f>
        <v/>
      </c>
    </row>
    <row r="97">
      <c r="A97" s="15" t="inlineStr">
        <is>
          <t>Calves</t>
        </is>
      </c>
      <c r="B97">
        <f>Stock!R18</f>
        <v/>
      </c>
    </row>
    <row r="98">
      <c r="A98" s="15" t="inlineStr">
        <is>
          <t>Wethers</t>
        </is>
      </c>
      <c r="B98">
        <f>Stock!R19</f>
        <v/>
      </c>
    </row>
    <row r="99">
      <c r="A99" s="15" t="inlineStr">
        <is>
          <t>Rams</t>
        </is>
      </c>
      <c r="B99">
        <f>Stock!R20</f>
        <v/>
      </c>
    </row>
    <row r="100">
      <c r="A100" s="15" t="inlineStr">
        <is>
          <t>Ewes</t>
        </is>
      </c>
      <c r="B100">
        <f>Stock!R21</f>
        <v/>
      </c>
    </row>
    <row r="101">
      <c r="A101" s="15" t="inlineStr">
        <is>
          <t>Hoggs</t>
        </is>
      </c>
      <c r="B101">
        <f>Stock!R22</f>
        <v/>
      </c>
    </row>
    <row r="102">
      <c r="A102" s="15" t="inlineStr">
        <is>
          <t>Lambs</t>
        </is>
      </c>
      <c r="B102">
        <f>Stock!R23</f>
        <v/>
      </c>
    </row>
    <row r="103">
      <c r="A103" s="15" t="inlineStr">
        <is>
          <t>Boars</t>
        </is>
      </c>
      <c r="B103">
        <f>Stock!R24</f>
        <v/>
      </c>
    </row>
    <row r="104">
      <c r="A104" s="15" t="inlineStr">
        <is>
          <t>Sows</t>
        </is>
      </c>
      <c r="B104">
        <f>Stock!R25</f>
        <v/>
      </c>
    </row>
    <row r="105">
      <c r="A105" s="15" t="inlineStr">
        <is>
          <t>Pigs</t>
        </is>
      </c>
      <c r="B105">
        <f>Stock!R26</f>
        <v/>
      </c>
    </row>
    <row r="106">
      <c r="A106" s="15" t="inlineStr">
        <is>
          <t>Hoggets</t>
        </is>
      </c>
      <c r="B106">
        <f>Stock!R27</f>
        <v/>
      </c>
    </row>
    <row r="107">
      <c r="A107" s="15" t="inlineStr">
        <is>
          <t>Piglets</t>
        </is>
      </c>
      <c r="B107">
        <f>Stock!R28</f>
        <v/>
      </c>
    </row>
    <row r="108">
      <c r="A108" s="15" t="inlineStr">
        <is>
          <t>Swans</t>
        </is>
      </c>
      <c r="B108">
        <f>Stock!R29</f>
        <v/>
      </c>
    </row>
    <row r="109">
      <c r="A109" s="15" t="inlineStr">
        <is>
          <t>Peacocks</t>
        </is>
      </c>
      <c r="B109">
        <f>Stock!R30</f>
        <v/>
      </c>
    </row>
    <row r="110">
      <c r="A110" s="17" t="inlineStr">
        <is>
          <t>Total value of stock (sum of the above)</t>
        </is>
      </c>
      <c r="B110" s="70" t="n"/>
    </row>
    <row r="111">
      <c r="A111" s="17" t="inlineStr">
        <is>
          <t>Total value of production</t>
        </is>
      </c>
      <c r="B111" s="70" t="n"/>
    </row>
    <row r="112">
      <c r="A112" s="17" t="inlineStr">
        <is>
          <t>Value of sales</t>
        </is>
      </c>
      <c r="B112" s="70">
        <f>Stock!R31</f>
        <v/>
      </c>
    </row>
    <row r="113">
      <c r="A113" s="15" t="n"/>
    </row>
    <row r="114">
      <c r="A114" s="16" t="inlineStr">
        <is>
          <t>Wool</t>
        </is>
      </c>
      <c r="B114" s="131" t="inlineStr">
        <is>
          <t>Value of production at sales prices £</t>
        </is>
      </c>
    </row>
    <row r="115" ht="15" customHeight="1">
      <c r="A115" t="inlineStr">
        <is>
          <t>Coarse wool</t>
        </is>
      </c>
      <c r="B115">
        <f>Stock!T35</f>
        <v/>
      </c>
    </row>
    <row r="116" ht="15" customHeight="1">
      <c r="A116" t="inlineStr">
        <is>
          <t>Lamb's wool</t>
        </is>
      </c>
      <c r="B116">
        <f>Stock!T36</f>
        <v/>
      </c>
    </row>
    <row r="117" ht="15" customHeight="1">
      <c r="A117" t="inlineStr">
        <is>
          <t>Wool locks</t>
        </is>
      </c>
      <c r="B117">
        <f>Stock!T37</f>
        <v/>
      </c>
    </row>
    <row r="118" ht="15" customHeight="1">
      <c r="A118" t="inlineStr">
        <is>
          <t>Wool sold at shearing</t>
        </is>
      </c>
      <c r="B118">
        <f>Stock!T38</f>
        <v/>
      </c>
    </row>
    <row r="119">
      <c r="A119" s="119" t="inlineStr">
        <is>
          <t>Total value of production (sum of the above)</t>
        </is>
      </c>
      <c r="B119" s="127">
        <f>Stock!T39</f>
        <v/>
      </c>
    </row>
    <row r="120">
      <c r="A120" s="119" t="inlineStr">
        <is>
          <t>Value of sales</t>
        </is>
      </c>
      <c r="B120" s="70" t="n">
        <v>0</v>
      </c>
    </row>
    <row r="121">
      <c r="A121" s="8" t="n"/>
    </row>
    <row r="122">
      <c r="A122" s="16" t="inlineStr">
        <is>
          <t>Hides</t>
        </is>
      </c>
      <c r="B122" s="131" t="inlineStr">
        <is>
          <t>Value of production at sales prices £</t>
        </is>
      </c>
    </row>
    <row r="123">
      <c r="A123" s="15" t="inlineStr">
        <is>
          <t>Ox hides</t>
        </is>
      </c>
      <c r="B123">
        <f>Stock!T43</f>
        <v/>
      </c>
    </row>
    <row r="124">
      <c r="A124" s="15" t="inlineStr">
        <is>
          <t>Cow hides</t>
        </is>
      </c>
      <c r="B124">
        <f>Stock!T44</f>
        <v/>
      </c>
    </row>
    <row r="125">
      <c r="A125" s="15" t="inlineStr">
        <is>
          <t>Mare hides</t>
        </is>
      </c>
      <c r="B125">
        <f>Stock!T45</f>
        <v/>
      </c>
    </row>
    <row r="126">
      <c r="A126" s="15" t="inlineStr">
        <is>
          <t>Steer hides</t>
        </is>
      </c>
      <c r="B126">
        <f>Stock!T46</f>
        <v/>
      </c>
    </row>
    <row r="127">
      <c r="A127" s="15" t="inlineStr">
        <is>
          <t>Yearling Calf hides</t>
        </is>
      </c>
      <c r="B127">
        <f>Stock!T47</f>
        <v/>
      </c>
    </row>
    <row r="128">
      <c r="A128" s="15" t="inlineStr">
        <is>
          <t>Calf hides</t>
        </is>
      </c>
      <c r="B128">
        <f>Stock!T48</f>
        <v/>
      </c>
    </row>
    <row r="129">
      <c r="A129" s="23" t="inlineStr">
        <is>
          <t>Pig hides</t>
        </is>
      </c>
      <c r="B129">
        <f>Stock!T49</f>
        <v/>
      </c>
    </row>
    <row r="130">
      <c r="A130" s="24" t="inlineStr">
        <is>
          <t>Wether woolskins</t>
        </is>
      </c>
      <c r="B130">
        <f>Stock!T50</f>
        <v/>
      </c>
    </row>
    <row r="131">
      <c r="A131" s="24" t="inlineStr">
        <is>
          <t>Ram woolskins</t>
        </is>
      </c>
      <c r="B131">
        <f>Stock!T51</f>
        <v/>
      </c>
    </row>
    <row r="132">
      <c r="A132" s="24" t="inlineStr">
        <is>
          <t>Ewe woolskins</t>
        </is>
      </c>
      <c r="B132">
        <f>Stock!T52</f>
        <v/>
      </c>
    </row>
    <row r="133">
      <c r="A133" s="24" t="inlineStr">
        <is>
          <t>Hogg woolskins</t>
        </is>
      </c>
      <c r="B133">
        <f>Stock!T53</f>
        <v/>
      </c>
    </row>
    <row r="134">
      <c r="A134" s="25" t="inlineStr">
        <is>
          <t>Woolskins (total)</t>
        </is>
      </c>
      <c r="B134">
        <f>Stock!T54</f>
        <v/>
      </c>
    </row>
    <row r="135">
      <c r="A135" s="24" t="inlineStr">
        <is>
          <t>Wether bareskins</t>
        </is>
      </c>
      <c r="B135">
        <f>Stock!T55</f>
        <v/>
      </c>
    </row>
    <row r="136">
      <c r="A136" s="24" t="inlineStr">
        <is>
          <t>Ram bareskins</t>
        </is>
      </c>
      <c r="B136">
        <f>Stock!T56</f>
        <v/>
      </c>
    </row>
    <row r="137">
      <c r="A137" s="24" t="inlineStr">
        <is>
          <t>Ewe bareskins</t>
        </is>
      </c>
      <c r="B137">
        <f>Stock!T57</f>
        <v/>
      </c>
    </row>
    <row r="138">
      <c r="A138" s="24" t="inlineStr">
        <is>
          <t>Hogg bareskins</t>
        </is>
      </c>
      <c r="B138">
        <f>Stock!T58</f>
        <v/>
      </c>
    </row>
    <row r="139">
      <c r="A139" s="25" t="inlineStr">
        <is>
          <t>Bareskins (total)</t>
        </is>
      </c>
      <c r="B139">
        <f>Stock!T59</f>
        <v/>
      </c>
    </row>
    <row r="140">
      <c r="A140" s="15" t="inlineStr">
        <is>
          <t>Lambskins</t>
        </is>
      </c>
      <c r="B140">
        <f>Stock!T60</f>
        <v/>
      </c>
    </row>
    <row r="141">
      <c r="A141" s="15" t="inlineStr">
        <is>
          <t>Rotted skins</t>
        </is>
      </c>
      <c r="B141">
        <f>Stock!T61</f>
        <v/>
      </c>
    </row>
    <row r="142">
      <c r="A142" s="15" t="inlineStr">
        <is>
          <t>Shorn skins</t>
        </is>
      </c>
      <c r="B142">
        <f>Stock!T62</f>
        <v/>
      </c>
    </row>
    <row r="143">
      <c r="A143" s="17" t="inlineStr">
        <is>
          <t>Total value of production (sum of the above)</t>
        </is>
      </c>
      <c r="B143" s="70">
        <f>SUM(B123:B142)</f>
        <v/>
      </c>
    </row>
    <row r="144">
      <c r="A144" s="17" t="inlineStr">
        <is>
          <t>Value of sales</t>
        </is>
      </c>
      <c r="B144" s="70">
        <f>B143</f>
        <v/>
      </c>
    </row>
    <row r="145">
      <c r="A145" s="15" t="n"/>
    </row>
    <row r="146">
      <c r="A146" s="16" t="inlineStr">
        <is>
          <t>Poultry stock</t>
        </is>
      </c>
      <c r="B146" s="131" t="inlineStr">
        <is>
          <t>Value of production at sales prices £</t>
        </is>
      </c>
    </row>
    <row r="147" ht="17" customHeight="1">
      <c r="A147" s="22" t="inlineStr">
        <is>
          <t>Hens</t>
        </is>
      </c>
      <c r="B147">
        <f>Stock!T67</f>
        <v/>
      </c>
    </row>
    <row r="148">
      <c r="A148" s="15" t="inlineStr">
        <is>
          <t>Geese</t>
        </is>
      </c>
      <c r="B148">
        <f>Stock!T68</f>
        <v/>
      </c>
    </row>
    <row r="149">
      <c r="A149" s="15" t="inlineStr">
        <is>
          <t>Capons (from chickens)</t>
        </is>
      </c>
      <c r="B149">
        <f>Stock!T69</f>
        <v/>
      </c>
    </row>
    <row r="150">
      <c r="A150" s="15" t="inlineStr">
        <is>
          <t>Cocks &amp; hens</t>
        </is>
      </c>
      <c r="B150">
        <f>Stock!T70</f>
        <v/>
      </c>
    </row>
    <row r="151">
      <c r="A151" s="119" t="inlineStr">
        <is>
          <t>Total value of production (sum of the above)</t>
        </is>
      </c>
      <c r="B151" s="70" t="n"/>
    </row>
    <row r="152">
      <c r="A152" s="119" t="inlineStr">
        <is>
          <t>Value of sales</t>
        </is>
      </c>
      <c r="B152" s="70" t="n"/>
    </row>
    <row r="153">
      <c r="A153" s="15" t="n"/>
    </row>
    <row r="154">
      <c r="A154" s="16" t="inlineStr">
        <is>
          <t>Poultry production</t>
        </is>
      </c>
      <c r="B154" s="131" t="inlineStr">
        <is>
          <t>Value of production at sales prices £</t>
        </is>
      </c>
    </row>
    <row r="155">
      <c r="A155" s="15" t="inlineStr">
        <is>
          <t>Eggs</t>
        </is>
      </c>
      <c r="B155">
        <f>Stock!T75</f>
        <v/>
      </c>
    </row>
    <row r="156">
      <c r="A156" s="15" t="inlineStr">
        <is>
          <t>Cocks &amp; hens from churchscot of customary tenants</t>
        </is>
      </c>
      <c r="B156">
        <f>Stock!T76</f>
        <v/>
      </c>
    </row>
    <row r="157">
      <c r="A157" s="15" t="inlineStr">
        <is>
          <t>Sum of above</t>
        </is>
      </c>
    </row>
    <row r="158">
      <c r="A158" s="17" t="inlineStr">
        <is>
          <t>Total value of stock</t>
        </is>
      </c>
      <c r="B158" s="70">
        <f>SUM(B155:B156)</f>
        <v/>
      </c>
    </row>
    <row r="159">
      <c r="A159" s="17" t="inlineStr">
        <is>
          <t>Value of sales</t>
        </is>
      </c>
      <c r="B159" s="70">
        <f>Stock!R78</f>
        <v/>
      </c>
    </row>
    <row r="160">
      <c r="A160" s="15" t="n"/>
    </row>
    <row r="161">
      <c r="A161" s="16" t="inlineStr">
        <is>
          <t>Dairy Production</t>
        </is>
      </c>
      <c r="B161" s="131" t="inlineStr">
        <is>
          <t>Value of production at sales prices £</t>
        </is>
      </c>
    </row>
    <row r="162">
      <c r="A162" s="15" t="inlineStr">
        <is>
          <t>Butter</t>
        </is>
      </c>
      <c r="B162">
        <f>Stock!T94</f>
        <v/>
      </c>
    </row>
    <row r="163">
      <c r="A163" s="15" t="inlineStr">
        <is>
          <t>Winter Cheese</t>
        </is>
      </c>
      <c r="B163" s="72">
        <f>Stock!T88</f>
        <v/>
      </c>
    </row>
    <row r="164">
      <c r="A164" s="15" t="inlineStr">
        <is>
          <t>Summer Cheese</t>
        </is>
      </c>
      <c r="B164" s="72">
        <f>Stock!T89</f>
        <v/>
      </c>
    </row>
    <row r="165">
      <c r="A165" s="17" t="inlineStr">
        <is>
          <t>Total value of production (sum of the above)</t>
        </is>
      </c>
      <c r="B165" s="127">
        <f>Stock!T90+B162</f>
        <v/>
      </c>
    </row>
    <row r="166">
      <c r="A166" s="17" t="inlineStr">
        <is>
          <t>Value of sales</t>
        </is>
      </c>
      <c r="B166" s="127">
        <f>Stock!R90+B162</f>
        <v/>
      </c>
    </row>
    <row r="167">
      <c r="A167" s="15" t="n"/>
    </row>
    <row r="168">
      <c r="A168" s="15" t="n"/>
    </row>
    <row r="169" ht="17" customHeight="1"/>
    <row r="170" ht="17" customHeight="1">
      <c r="A170" s="103" t="n"/>
      <c r="B170" s="132" t="n"/>
    </row>
    <row r="171">
      <c r="A171" s="97" t="inlineStr">
        <is>
          <t>Total Production Value of all Output (Grange, Dairy, Livestock Sales, Wools, Skins - NO Mill)</t>
        </is>
      </c>
      <c r="B171" s="133">
        <f>B165+B158+B151+B143+B119+B112+E69</f>
        <v/>
      </c>
    </row>
    <row r="172">
      <c r="A172" s="98" t="inlineStr">
        <is>
          <t>Total Sales Value of all Output as defined above</t>
        </is>
      </c>
      <c r="B172" s="133">
        <f>B166+B159+B152+B144+B120+B112+E70</f>
        <v/>
      </c>
    </row>
    <row r="173">
      <c r="A173" s="98" t="inlineStr">
        <is>
          <t>Total Sales of Corn + Issues of the Manor as recorded in account</t>
        </is>
      </c>
      <c r="B173" s="133">
        <f>Receipts!F170+Receipts!F175+Receipts!F184+Receipts!F161</f>
        <v/>
      </c>
    </row>
    <row r="174">
      <c r="A174" s="98" t="inlineStr">
        <is>
          <t>Production Value + Cash Receipts (excl. Arrears, Issues, Corn and Mill)</t>
        </is>
      </c>
      <c r="B174" s="133">
        <f>B171+Receipts!F39+Receipts!F49+Receipts!F53+Receipts!F67+Receipts!F224+Receipts!F244</f>
        <v/>
      </c>
    </row>
    <row r="175">
      <c r="A175" s="99" t="n"/>
      <c r="B175" s="134" t="n"/>
    </row>
    <row r="176">
      <c r="A176" s="100" t="inlineStr">
        <is>
          <t>% of capital expenses in terms of total production</t>
        </is>
      </c>
      <c r="B176" s="135">
        <f>B47/B171</f>
        <v/>
      </c>
    </row>
    <row r="177">
      <c r="A177" s="98" t="inlineStr">
        <is>
          <t>% of capital expenses in terms of total production + cash receipts</t>
        </is>
      </c>
      <c r="B177" s="135">
        <f>B47/B174</f>
        <v/>
      </c>
    </row>
    <row r="178">
      <c r="A178" s="99" t="n"/>
      <c r="B178" s="134" t="n"/>
    </row>
    <row r="179" ht="17" customHeight="1">
      <c r="A179" s="101" t="inlineStr">
        <is>
          <t>% of capital expenses as calculated previously</t>
        </is>
      </c>
      <c r="B179" s="136"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2"/>
  <sheetViews>
    <sheetView topLeftCell="A1" workbookViewId="0">
      <selection activeCell="A1" sqref="A1"/>
    </sheetView>
  </sheetViews>
  <sheetFormatPr baseColWidth="8" defaultRowHeight="15"/>
  <cols>
    <col width="33.33203125" customWidth="1" min="1" max="1"/>
    <col width="8.83203125" customWidth="1" min="6" max="6"/>
    <col width="8.83203125" customWidth="1" min="7" max="7"/>
  </cols>
  <sheetData>
    <row r="1" ht="16" customHeight="1">
      <c r="A1" s="8" t="inlineStr">
        <is>
          <t>BISHOPS WALTHAM RECEIPT</t>
        </is>
      </c>
    </row>
    <row r="2" ht="16" customHeight="1">
      <c r="A2" s="11" t="inlineStr">
        <is>
          <t>Heading</t>
        </is>
      </c>
      <c r="B2" s="3" t="inlineStr">
        <is>
          <t>£</t>
        </is>
      </c>
      <c r="C2" s="4" t="inlineStr">
        <is>
          <t xml:space="preserve">s </t>
        </is>
      </c>
      <c r="D2" s="4" t="inlineStr">
        <is>
          <t>d</t>
        </is>
      </c>
      <c r="E2" s="4" t="n"/>
      <c r="F2" s="137" t="inlineStr">
        <is>
          <t>Total in £</t>
        </is>
      </c>
      <c r="G2" s="138" t="inlineStr">
        <is>
          <t>Error</t>
        </is>
      </c>
      <c r="H2" s="7" t="inlineStr">
        <is>
          <t>Notes</t>
        </is>
      </c>
    </row>
    <row r="3">
      <c r="A3" t="inlineStr">
        <is>
          <t>Arrears</t>
        </is>
      </c>
      <c r="B3" t="n">
        <v>71</v>
      </c>
      <c r="C3" t="n">
        <v>18</v>
      </c>
      <c r="D3" t="n">
        <v>3.5</v>
      </c>
      <c r="F3" s="72" t="n">
        <v>71.91</v>
      </c>
      <c r="H3" t="inlineStr">
        <is>
          <t>Robert de Froyle, bailiff, and Robert Stretthe, reeve, render account for £71 18 shilling 3.5pence of arrears from the previous year.</t>
        </is>
      </c>
    </row>
    <row r="4">
      <c r="A4" t="inlineStr">
        <is>
          <t>Arrears</t>
        </is>
      </c>
      <c r="B4" t="n">
        <v>0</v>
      </c>
      <c r="C4" t="n">
        <v>0</v>
      </c>
      <c r="D4" t="n">
        <v>0</v>
      </c>
      <c r="F4" s="72" t="n">
        <v>0</v>
      </c>
      <c r="H4" t="inlineStr">
        <is>
          <t>All delivered to Sir Geoffrey, treasurer of Wolvesey, by 1 tally, and they are quit.</t>
        </is>
      </c>
    </row>
    <row r="5">
      <c r="A5" t="inlineStr">
        <is>
          <t>Arrears</t>
        </is>
      </c>
      <c r="F5" s="72" t="n">
        <v>71.91</v>
      </c>
      <c r="G5" s="139">
        <f>F5-F3</f>
        <v/>
      </c>
      <c r="H5" t="inlineStr">
        <is>
          <t>Total</t>
        </is>
      </c>
    </row>
    <row r="6"/>
    <row r="7">
      <c r="A7" t="inlineStr">
        <is>
          <t>Rents</t>
        </is>
      </c>
      <c r="B7" t="n">
        <v>14</v>
      </c>
      <c r="C7" t="n">
        <v>10</v>
      </c>
      <c r="D7" t="n">
        <v>10.75</v>
      </c>
      <c r="F7" s="72" t="n">
        <v>14.54</v>
      </c>
      <c r="H7" t="inlineStr">
        <is>
          <t>The same render account for £14 10 shilling 10.75pence for all rents of assize at Christmas.</t>
        </is>
      </c>
    </row>
    <row r="8">
      <c r="A8" t="inlineStr">
        <is>
          <t>Rents</t>
        </is>
      </c>
      <c r="B8" t="n">
        <v>23</v>
      </c>
      <c r="C8" t="n">
        <v>0</v>
      </c>
      <c r="D8" t="n">
        <v>8.75</v>
      </c>
      <c r="F8" s="72" t="n">
        <v>23.04</v>
      </c>
      <c r="H8" t="inlineStr">
        <is>
          <t>£23 8.75pence at Easter (22 April).</t>
        </is>
      </c>
    </row>
    <row r="9">
      <c r="A9" t="inlineStr">
        <is>
          <t>Rents</t>
        </is>
      </c>
      <c r="B9" t="n">
        <v>14</v>
      </c>
      <c r="C9" t="n">
        <v>10</v>
      </c>
      <c r="D9" t="n">
        <v>10.5</v>
      </c>
      <c r="F9" s="72" t="n">
        <v>14.54</v>
      </c>
      <c r="H9" t="inlineStr">
        <is>
          <t>£14 10 shilling 10.5pence at the Nativity of St John the Baptist (24 June).</t>
        </is>
      </c>
    </row>
    <row r="10">
      <c r="A10" t="inlineStr">
        <is>
          <t>Rents</t>
        </is>
      </c>
      <c r="B10" t="n">
        <v>23</v>
      </c>
      <c r="C10" t="n">
        <v>19</v>
      </c>
      <c r="D10" t="n">
        <v>3.5</v>
      </c>
      <c r="F10" s="72" t="n">
        <v>23.96</v>
      </c>
      <c r="H10" t="inlineStr">
        <is>
          <t>£23 19 shilling 3.5pence at Michaelmas (29 September).</t>
        </is>
      </c>
    </row>
    <row r="11">
      <c r="A11" t="inlineStr">
        <is>
          <t>Rents</t>
        </is>
      </c>
      <c r="B11" t="n">
        <v>76</v>
      </c>
      <c r="C11" t="n">
        <v>1</v>
      </c>
      <c r="D11" t="n">
        <v>9.5</v>
      </c>
      <c r="F11" s="72" t="n">
        <v>76.09</v>
      </c>
      <c r="H11" t="inlineStr">
        <is>
          <t>Total, £76 1 shilling 9.5pence</t>
        </is>
      </c>
    </row>
    <row r="12">
      <c r="A12" t="inlineStr">
        <is>
          <t>Rents</t>
        </is>
      </c>
      <c r="F12" s="72" t="n">
        <v>76.08</v>
      </c>
      <c r="G12" s="139" t="n">
        <v>-0.01000000000000512</v>
      </c>
      <c r="H12" t="inlineStr">
        <is>
          <t>Total</t>
        </is>
      </c>
    </row>
    <row r="13"/>
    <row r="14">
      <c r="A14" t="inlineStr">
        <is>
          <t>Quittances</t>
        </is>
      </c>
      <c r="B14" t="n">
        <v>0</v>
      </c>
      <c r="C14" t="n">
        <v>5</v>
      </c>
      <c r="D14" t="n">
        <v>0</v>
      </c>
      <c r="F14" s="72" t="n">
        <v>0.25</v>
      </c>
      <c r="H14" t="inlineStr">
        <is>
          <t>In quittance of 1 reeve for the year 5 shilling.</t>
        </is>
      </c>
    </row>
    <row r="15">
      <c r="A15" t="inlineStr">
        <is>
          <t>Quittances</t>
        </is>
      </c>
      <c r="B15" t="n">
        <v>0</v>
      </c>
      <c r="C15" t="n">
        <v>5</v>
      </c>
      <c r="D15" t="n">
        <v>0</v>
      </c>
      <c r="F15" s="72" t="n">
        <v>0.25</v>
      </c>
      <c r="H15" t="inlineStr">
        <is>
          <t>1 beadle for the year 5 shilling.</t>
        </is>
      </c>
    </row>
    <row r="16">
      <c r="A16" t="inlineStr">
        <is>
          <t>Quittances</t>
        </is>
      </c>
      <c r="B16" t="n">
        <v>0</v>
      </c>
      <c r="C16" t="n">
        <v>10</v>
      </c>
      <c r="D16" t="n">
        <v>0</v>
      </c>
      <c r="F16" s="72" t="n">
        <v>0.5</v>
      </c>
      <c r="H16" t="inlineStr">
        <is>
          <t>1 swineherd, 1 smith, 1 hayward who kept the lord's corn and pasture and sowed the wheat and barley, 1 shepherd of wethers, and 1 keeper of ewes, 10 shilling, or 2 shilling each.</t>
        </is>
      </c>
    </row>
    <row r="17">
      <c r="A17" t="inlineStr">
        <is>
          <t>Quittances</t>
        </is>
      </c>
      <c r="B17" t="n">
        <v>0</v>
      </c>
      <c r="C17" t="n">
        <v>8</v>
      </c>
      <c r="D17" t="n">
        <v>6</v>
      </c>
      <c r="F17" s="72" t="n">
        <v>0.43</v>
      </c>
      <c r="H17" t="inlineStr">
        <is>
          <t>4 ploughmen for the year, and 1 ploughman for 1 term, 8 shilling 6pence.</t>
        </is>
      </c>
    </row>
    <row r="18">
      <c r="A18" t="inlineStr">
        <is>
          <t>Quittances</t>
        </is>
      </c>
      <c r="B18" t="n">
        <v>0</v>
      </c>
      <c r="C18" t="n">
        <v>18</v>
      </c>
      <c r="D18" t="n">
        <v>0</v>
      </c>
      <c r="F18" s="72" t="n">
        <v>0.9</v>
      </c>
      <c r="H18" t="inlineStr">
        <is>
          <t>9 workers, each of whom are bound to reap everyday at harvest-time 1 acre as it lies and after the harvest are bound to work twice a week, 18 shilling, or 2 shilling each.</t>
        </is>
      </c>
    </row>
    <row r="19">
      <c r="A19" t="inlineStr">
        <is>
          <t>Quittances</t>
        </is>
      </c>
      <c r="B19" t="n">
        <v>0</v>
      </c>
      <c r="C19" t="n">
        <v>3</v>
      </c>
      <c r="D19" t="n">
        <v>0</v>
      </c>
      <c r="F19" s="72" t="n">
        <v>0.15</v>
      </c>
      <c r="H19" t="inlineStr">
        <is>
          <t>3 cottars for the year, each of whom are bound to reap everyday .5 acre as it lies and after the harvest are bound to work once a week, 3 shilling.</t>
        </is>
      </c>
    </row>
    <row r="20">
      <c r="A20" t="inlineStr">
        <is>
          <t>Quittances</t>
        </is>
      </c>
      <c r="B20" t="n">
        <v>0</v>
      </c>
      <c r="C20" t="n">
        <v>6</v>
      </c>
      <c r="D20" t="n">
        <v>0</v>
      </c>
      <c r="F20" s="72" t="n">
        <v>0.3</v>
      </c>
      <c r="H20" t="inlineStr">
        <is>
          <t>2 workers who are bound to reap everyday at harvest-time 1 acre as it lies and after the harvest are bound to work twice a week with their carts, working at the lord's pleasure, besides carrying dung, 6 shilling for the year.</t>
        </is>
      </c>
    </row>
    <row r="21">
      <c r="A21" t="inlineStr">
        <is>
          <t>Quittances</t>
        </is>
      </c>
      <c r="B21" t="n">
        <v>0</v>
      </c>
      <c r="C21" t="n">
        <v>2</v>
      </c>
      <c r="D21" t="n">
        <v>0</v>
      </c>
      <c r="F21" s="72">
        <f>B21+C21/20+D21/240</f>
        <v/>
      </c>
      <c r="H21" t="inlineStr">
        <is>
          <t xml:space="preserve">1 granary-keeper for the year 2 shilling </t>
        </is>
      </c>
    </row>
    <row r="22">
      <c r="A22" t="inlineStr">
        <is>
          <t>Quittances</t>
        </is>
      </c>
      <c r="B22" t="n">
        <v>2</v>
      </c>
      <c r="C22" t="n">
        <v>17</v>
      </c>
      <c r="D22" t="n">
        <v>6</v>
      </c>
      <c r="F22" s="72" t="n">
        <v>2.88</v>
      </c>
      <c r="H22" t="inlineStr">
        <is>
          <t>Total, £2 17 shilling 6pence</t>
        </is>
      </c>
    </row>
    <row r="23">
      <c r="A23" t="inlineStr">
        <is>
          <t>Quittances</t>
        </is>
      </c>
      <c r="F23" s="72">
        <f>SUM(F14:F21)</f>
        <v/>
      </c>
      <c r="G23" s="139">
        <f>F23-F22</f>
        <v/>
      </c>
      <c r="H23" t="inlineStr">
        <is>
          <t>Total</t>
        </is>
      </c>
    </row>
    <row r="24"/>
    <row r="25">
      <c r="A25" t="inlineStr">
        <is>
          <t>Defaults of rent</t>
        </is>
      </c>
      <c r="B25" t="n">
        <v>1</v>
      </c>
      <c r="C25" t="n">
        <v>2</v>
      </c>
      <c r="D25" t="n">
        <v>8</v>
      </c>
      <c r="F25" s="72" t="n">
        <v>1.13</v>
      </c>
      <c r="H25" t="inlineStr">
        <is>
          <t>In default of the land between the Barton and garden drawn into demesne, £1 2 shilling 8pence for the year.</t>
        </is>
      </c>
    </row>
    <row r="26">
      <c r="A26" t="inlineStr">
        <is>
          <t>Defaults of rent</t>
        </is>
      </c>
      <c r="B26" t="n">
        <v>0</v>
      </c>
      <c r="C26" t="n">
        <v>0</v>
      </c>
      <c r="D26" t="n">
        <v>8</v>
      </c>
      <c r="F26" s="72" t="n">
        <v>0.03</v>
      </c>
      <c r="H26" t="inlineStr">
        <is>
          <t>the land of Osbert de Langely, 8pence for the year.</t>
        </is>
      </c>
    </row>
    <row r="27">
      <c r="A27" t="inlineStr">
        <is>
          <t>Defaults of rent</t>
        </is>
      </c>
      <c r="B27" t="n">
        <v>0</v>
      </c>
      <c r="C27" t="n">
        <v>0</v>
      </c>
      <c r="D27" t="n">
        <v>6</v>
      </c>
      <c r="F27" s="72" t="n">
        <v>0.03</v>
      </c>
      <c r="H27" t="inlineStr">
        <is>
          <t>the land of Richard Baton, 6pence for the year.</t>
        </is>
      </c>
    </row>
    <row r="28">
      <c r="A28" t="inlineStr">
        <is>
          <t>Defaults of rent</t>
        </is>
      </c>
      <c r="B28" t="n">
        <v>0</v>
      </c>
      <c r="C28" t="n">
        <v>0</v>
      </c>
      <c r="D28" t="n">
        <v>6</v>
      </c>
      <c r="F28" s="72" t="n">
        <v>0.03</v>
      </c>
      <c r="H28" t="inlineStr">
        <is>
          <t>the land of Hugh son of Agnes, 6pence for the year.</t>
        </is>
      </c>
    </row>
    <row r="29">
      <c r="A29" t="inlineStr">
        <is>
          <t>Defaults of rent</t>
        </is>
      </c>
      <c r="B29" t="n">
        <v>0</v>
      </c>
      <c r="C29" t="n">
        <v>0</v>
      </c>
      <c r="D29" t="n">
        <v>3</v>
      </c>
      <c r="F29" s="72" t="n">
        <v>0.01</v>
      </c>
      <c r="H29" t="inlineStr">
        <is>
          <t>the land of Richard Swanemere, 3pence for the year.</t>
        </is>
      </c>
    </row>
    <row r="30">
      <c r="A30" t="inlineStr">
        <is>
          <t>Defaults of rent</t>
        </is>
      </c>
      <c r="B30" t="n">
        <v>0</v>
      </c>
      <c r="C30" t="n">
        <v>6</v>
      </c>
      <c r="D30" t="n">
        <v>5</v>
      </c>
      <c r="F30" s="72" t="n">
        <v>0.32</v>
      </c>
      <c r="H30" t="inlineStr">
        <is>
          <t>the land of the mill drawn into the park, 6 shilling 5pence for the year.</t>
        </is>
      </c>
    </row>
    <row r="31">
      <c r="A31" t="inlineStr">
        <is>
          <t>Defaults of rent</t>
        </is>
      </c>
      <c r="B31" t="n">
        <v>0</v>
      </c>
      <c r="C31" t="n">
        <v>1</v>
      </c>
      <c r="D31" t="n">
        <v>6</v>
      </c>
      <c r="F31" s="72" t="n">
        <v>0.08</v>
      </c>
      <c r="H31" t="inlineStr">
        <is>
          <t>the rent of Peter Clericus, 1 shilling 6pence for the year.</t>
        </is>
      </c>
    </row>
    <row r="32">
      <c r="A32" t="inlineStr">
        <is>
          <t>Defaults of rent</t>
        </is>
      </c>
      <c r="B32" t="n">
        <v>1</v>
      </c>
      <c r="C32" t="n">
        <v>12</v>
      </c>
      <c r="D32" t="n">
        <v>6</v>
      </c>
      <c r="F32" s="72" t="n">
        <v>1.62</v>
      </c>
      <c r="H32" t="inlineStr">
        <is>
          <t>Total, £1 12 shilling 6pence</t>
        </is>
      </c>
    </row>
    <row r="33">
      <c r="A33" t="inlineStr">
        <is>
          <t>Defaults of rent</t>
        </is>
      </c>
      <c r="F33" s="72" t="n">
        <v>1.63</v>
      </c>
      <c r="G33" s="139" t="n">
        <v>0.009999999999999787</v>
      </c>
      <c r="H33" t="inlineStr">
        <is>
          <t>Total</t>
        </is>
      </c>
    </row>
    <row r="34"/>
    <row r="35">
      <c r="A35" t="inlineStr">
        <is>
          <t>Total of quittances and defaults of rent</t>
        </is>
      </c>
      <c r="B35" t="n">
        <v>4</v>
      </c>
      <c r="C35" t="n">
        <v>10</v>
      </c>
      <c r="D35" t="n">
        <v>0</v>
      </c>
      <c r="F35" s="72" t="n">
        <v>4.5</v>
      </c>
      <c r="H35" t="inlineStr">
        <is>
          <t>Total of quittances and defaults of rent, £4 10 shilling</t>
        </is>
      </c>
    </row>
    <row r="36">
      <c r="A36" t="inlineStr">
        <is>
          <t>Total of quittances and defaults of rent</t>
        </is>
      </c>
      <c r="F36" s="72" t="n">
        <v>4.5</v>
      </c>
      <c r="G36" s="139">
        <f>F36-F35</f>
        <v/>
      </c>
      <c r="H36" t="inlineStr">
        <is>
          <t>Total</t>
        </is>
      </c>
    </row>
    <row r="37"/>
    <row r="38">
      <c r="A38" t="inlineStr">
        <is>
          <t>Total of rents remaining</t>
        </is>
      </c>
      <c r="B38" t="n">
        <v>71</v>
      </c>
      <c r="C38" t="n">
        <v>0</v>
      </c>
      <c r="D38" t="n">
        <v>0</v>
      </c>
      <c r="F38" s="72" t="n">
        <v>71</v>
      </c>
      <c r="H38" t="inlineStr">
        <is>
          <t>Total of rents remaining, £71 11 s. 9.5pence</t>
        </is>
      </c>
    </row>
    <row r="39">
      <c r="A39" t="inlineStr">
        <is>
          <t>Total of rents remaining</t>
        </is>
      </c>
      <c r="F39" s="72" t="n">
        <v>71</v>
      </c>
      <c r="G39" s="139">
        <f>F39-F38</f>
        <v/>
      </c>
      <c r="H39" t="inlineStr">
        <is>
          <t>Total</t>
        </is>
      </c>
    </row>
    <row r="40"/>
    <row r="41">
      <c r="A41" t="inlineStr">
        <is>
          <t>Cumin</t>
        </is>
      </c>
      <c r="B41" t="n">
        <v>0</v>
      </c>
      <c r="C41" t="n">
        <v>0</v>
      </c>
      <c r="D41" t="n">
        <v>0</v>
      </c>
      <c r="F41" s="72" t="n">
        <v>0</v>
      </c>
      <c r="H41" t="inlineStr">
        <is>
          <t>The same render account for 1 lb of cumin from Peter Clericus for a certain messuage.</t>
        </is>
      </c>
    </row>
    <row r="42">
      <c r="A42" t="inlineStr">
        <is>
          <t>Cumin</t>
        </is>
      </c>
      <c r="B42" t="n">
        <v>0</v>
      </c>
      <c r="C42" t="n">
        <v>0</v>
      </c>
      <c r="D42" t="n">
        <v>0</v>
      </c>
      <c r="F42" s="72" t="n">
        <v>0</v>
      </c>
      <c r="H42" t="inlineStr">
        <is>
          <t>1 lb from John Suneburn and Thomas Canon for the same.</t>
        </is>
      </c>
    </row>
    <row r="43">
      <c r="A43" t="inlineStr">
        <is>
          <t>Cumin</t>
        </is>
      </c>
      <c r="B43" t="n">
        <v>0</v>
      </c>
      <c r="C43" t="n">
        <v>0</v>
      </c>
      <c r="D43" t="n">
        <v>0</v>
      </c>
      <c r="F43" s="72" t="n">
        <v>0</v>
      </c>
      <c r="H43" t="inlineStr">
        <is>
          <t>1 lb from Robert Faber to have 1 plot beside the fishpond.</t>
        </is>
      </c>
    </row>
    <row r="44">
      <c r="A44" t="inlineStr">
        <is>
          <t>Cumin</t>
        </is>
      </c>
      <c r="B44" t="n">
        <v>0</v>
      </c>
      <c r="C44" t="n">
        <v>0</v>
      </c>
      <c r="D44" t="n">
        <v>0</v>
      </c>
      <c r="F44" s="72" t="n">
        <v>0</v>
      </c>
      <c r="H44" t="inlineStr">
        <is>
          <t>1 lb from William Burg' for the same.</t>
        </is>
      </c>
    </row>
    <row r="45">
      <c r="A45" t="inlineStr">
        <is>
          <t>Cumin</t>
        </is>
      </c>
      <c r="B45" t="n">
        <v>0</v>
      </c>
      <c r="C45" t="n">
        <v>0</v>
      </c>
      <c r="D45" t="n">
        <v>0</v>
      </c>
      <c r="F45" s="72" t="n">
        <v>0</v>
      </c>
      <c r="H45" t="inlineStr">
        <is>
          <t>1 lb from Robert Ude for the same.</t>
        </is>
      </c>
    </row>
    <row r="46">
      <c r="A46" t="inlineStr">
        <is>
          <t>Cumin</t>
        </is>
      </c>
      <c r="B46" t="n">
        <v>0</v>
      </c>
      <c r="C46" t="n">
        <v>0</v>
      </c>
      <c r="D46" t="n">
        <v>0</v>
      </c>
      <c r="F46" s="72" t="n">
        <v>0</v>
      </c>
      <c r="H46" t="inlineStr">
        <is>
          <t>1 lb from Richard Doggecherl for the same.</t>
        </is>
      </c>
    </row>
    <row r="47">
      <c r="A47" t="inlineStr">
        <is>
          <t>Cumin</t>
        </is>
      </c>
      <c r="B47" t="n">
        <v>0</v>
      </c>
      <c r="C47" t="n">
        <v>0</v>
      </c>
      <c r="D47" t="n">
        <v>0</v>
      </c>
      <c r="F47" s="72" t="n">
        <v>0</v>
      </c>
      <c r="H47" t="inlineStr">
        <is>
          <t>Total, 6 lbs.</t>
        </is>
      </c>
    </row>
    <row r="48">
      <c r="A48" t="inlineStr">
        <is>
          <t>Cumin</t>
        </is>
      </c>
      <c r="B48" t="n">
        <v>0</v>
      </c>
      <c r="C48" t="n">
        <v>0</v>
      </c>
      <c r="D48" t="n">
        <v>0</v>
      </c>
      <c r="F48" s="72" t="n">
        <v>0</v>
      </c>
      <c r="H48" t="inlineStr">
        <is>
          <t>All delivered to Wolvesey.</t>
        </is>
      </c>
    </row>
    <row r="49">
      <c r="A49" t="inlineStr">
        <is>
          <t>Cumin</t>
        </is>
      </c>
      <c r="F49" s="72" t="n">
        <v>0</v>
      </c>
      <c r="G49" s="139" t="n">
        <v>0</v>
      </c>
      <c r="H49" t="inlineStr">
        <is>
          <t>Total</t>
        </is>
      </c>
    </row>
    <row r="50"/>
    <row r="51">
      <c r="A51" t="inlineStr">
        <is>
          <t>Pepper</t>
        </is>
      </c>
      <c r="B51" t="n">
        <v>0</v>
      </c>
      <c r="C51" t="n">
        <v>0</v>
      </c>
      <c r="D51" t="n">
        <v>0</v>
      </c>
      <c r="F51" s="72" t="n">
        <v>0</v>
      </c>
      <c r="H51" t="inlineStr">
        <is>
          <t>The same render account for 0.5 lb of pepper from Roger Everard for certain land which his father bought from Henry Philipp'.</t>
        </is>
      </c>
    </row>
    <row r="52">
      <c r="A52" t="inlineStr">
        <is>
          <t>Pepper</t>
        </is>
      </c>
      <c r="B52" t="n">
        <v>0</v>
      </c>
      <c r="C52" t="n">
        <v>0</v>
      </c>
      <c r="D52" t="n">
        <v>0</v>
      </c>
      <c r="F52" s="72" t="n">
        <v>0</v>
      </c>
      <c r="H52" t="inlineStr">
        <is>
          <t>All delivered to Wolvesey.</t>
        </is>
      </c>
    </row>
    <row r="53">
      <c r="A53" t="inlineStr">
        <is>
          <t>Pepper</t>
        </is>
      </c>
      <c r="F53" s="72" t="n">
        <v>0</v>
      </c>
      <c r="G53" s="139" t="n">
        <v>0</v>
      </c>
      <c r="H53" t="inlineStr">
        <is>
          <t>Total</t>
        </is>
      </c>
    </row>
    <row r="54"/>
    <row r="55">
      <c r="A55" t="inlineStr">
        <is>
          <t>Annual recognizance</t>
        </is>
      </c>
      <c r="B55" t="n">
        <v>0</v>
      </c>
      <c r="C55" t="n">
        <v>0</v>
      </c>
      <c r="D55" t="n">
        <v>6</v>
      </c>
      <c r="F55" s="72" t="n">
        <v>0.03</v>
      </c>
      <c r="H55" t="inlineStr">
        <is>
          <t>The same render account for 6pence from Adam de Marwell' for annual recognizance.</t>
        </is>
      </c>
    </row>
    <row r="56">
      <c r="A56" t="inlineStr">
        <is>
          <t>Annual recognizance</t>
        </is>
      </c>
      <c r="B56" t="n">
        <v>0</v>
      </c>
      <c r="C56" t="n">
        <v>0</v>
      </c>
      <c r="D56" t="n">
        <v>6</v>
      </c>
      <c r="F56" s="72" t="n">
        <v>0.03</v>
      </c>
      <c r="H56" t="inlineStr">
        <is>
          <t>6pence from Geoffrey le Warernyr for the same.</t>
        </is>
      </c>
    </row>
    <row r="57">
      <c r="A57" t="inlineStr">
        <is>
          <t>Annual recognizance</t>
        </is>
      </c>
      <c r="B57" t="n">
        <v>0</v>
      </c>
      <c r="C57" t="n">
        <v>0</v>
      </c>
      <c r="D57" t="n">
        <v>6</v>
      </c>
      <c r="F57" s="72" t="n">
        <v>0.03</v>
      </c>
      <c r="H57" t="inlineStr">
        <is>
          <t>6pence from Richard de Deily, clerk,1 whilst he wishes to remain outside the manor.</t>
        </is>
      </c>
    </row>
    <row r="58">
      <c r="A58" t="inlineStr">
        <is>
          <t>Annual recognizance</t>
        </is>
      </c>
      <c r="B58" t="n">
        <v>0</v>
      </c>
      <c r="C58" t="n">
        <v>0</v>
      </c>
      <c r="D58" t="n">
        <v>6</v>
      </c>
      <c r="F58" s="72" t="n">
        <v>0.03</v>
      </c>
      <c r="H58" t="inlineStr">
        <is>
          <t>6pence from John Pyk for annual recognizance.</t>
        </is>
      </c>
    </row>
    <row r="59">
      <c r="A59" t="inlineStr">
        <is>
          <t>Annual recognizance</t>
        </is>
      </c>
      <c r="B59" t="n">
        <v>0</v>
      </c>
      <c r="C59" t="n">
        <v>0</v>
      </c>
      <c r="D59" t="n">
        <v>6</v>
      </c>
      <c r="F59" s="72" t="n">
        <v>0.03</v>
      </c>
      <c r="H59" t="inlineStr">
        <is>
          <t>6pence from Geoffrey de Ecclesia for the same.</t>
        </is>
      </c>
    </row>
    <row r="60">
      <c r="A60" t="inlineStr">
        <is>
          <t>Annual recognizance</t>
        </is>
      </c>
      <c r="B60" t="n">
        <v>0</v>
      </c>
      <c r="C60" t="n">
        <v>0</v>
      </c>
      <c r="D60" t="n">
        <v>6</v>
      </c>
      <c r="F60" s="72" t="n">
        <v>0.03</v>
      </c>
      <c r="H60" t="inlineStr">
        <is>
          <t>6pence from Henry Wldred' for not being in a tithing.</t>
        </is>
      </c>
    </row>
    <row r="61">
      <c r="A61" t="inlineStr">
        <is>
          <t>Annual recognizance</t>
        </is>
      </c>
      <c r="B61" t="n">
        <v>0</v>
      </c>
      <c r="C61" t="n">
        <v>0</v>
      </c>
      <c r="D61" t="n">
        <v>3</v>
      </c>
      <c r="F61" s="72" t="n">
        <v>0.01</v>
      </c>
      <c r="H61" t="inlineStr">
        <is>
          <t>3pence from John, son of Robert Marescal, for annual recognizance.</t>
        </is>
      </c>
    </row>
    <row r="62">
      <c r="A62" t="inlineStr">
        <is>
          <t>Annual recognizance</t>
        </is>
      </c>
      <c r="B62" t="n">
        <v>0</v>
      </c>
      <c r="C62" t="n">
        <v>0</v>
      </c>
      <c r="D62" t="n">
        <v>3</v>
      </c>
      <c r="F62" s="72" t="n">
        <v>0.01</v>
      </c>
      <c r="H62" t="inlineStr">
        <is>
          <t>3pence from John Gyles for no longer being prosecuted by the tithing.</t>
        </is>
      </c>
    </row>
    <row r="63">
      <c r="A63" t="inlineStr">
        <is>
          <t>Annual recognizance</t>
        </is>
      </c>
      <c r="B63" t="n">
        <v>0</v>
      </c>
      <c r="C63" t="n">
        <v>0</v>
      </c>
      <c r="D63" t="n">
        <v>3</v>
      </c>
      <c r="F63" s="72" t="n">
        <v>0.01</v>
      </c>
      <c r="H63" t="inlineStr">
        <is>
          <t>3pence from John Smermongar' for the same.</t>
        </is>
      </c>
    </row>
    <row r="64">
      <c r="A64" t="inlineStr">
        <is>
          <t>Annual recognizance</t>
        </is>
      </c>
      <c r="B64" t="n">
        <v>0</v>
      </c>
      <c r="C64" t="n">
        <v>0</v>
      </c>
      <c r="D64" t="n">
        <v>6</v>
      </c>
      <c r="F64" s="72" t="n">
        <v>0.03</v>
      </c>
      <c r="H64" t="inlineStr">
        <is>
          <t>6pence from William de Bottely for no longer being prosecuted for tithingpenny, but he will come to court for the two law-days only, and this during the lord's pleasure.</t>
        </is>
      </c>
    </row>
    <row r="65">
      <c r="A65" t="inlineStr">
        <is>
          <t>Annual recognizance</t>
        </is>
      </c>
      <c r="B65" t="n">
        <v>0</v>
      </c>
      <c r="C65" t="n">
        <v>0</v>
      </c>
      <c r="D65" t="n">
        <v>3</v>
      </c>
      <c r="F65" s="72" t="n">
        <v>0.01</v>
      </c>
      <c r="H65" t="inlineStr">
        <is>
          <t>3pence from Henry Burden for annual recognizance.</t>
        </is>
      </c>
    </row>
    <row r="66">
      <c r="A66" t="inlineStr">
        <is>
          <t>Annual recognizance</t>
        </is>
      </c>
      <c r="B66" t="n">
        <v>0</v>
      </c>
      <c r="C66" t="n">
        <v>4</v>
      </c>
      <c r="D66" t="n">
        <v>6</v>
      </c>
      <c r="F66" s="72" t="n">
        <v>0.23</v>
      </c>
      <c r="H66" t="inlineStr">
        <is>
          <t>Total, 4 shilling 6pence</t>
        </is>
      </c>
    </row>
    <row r="67">
      <c r="A67" t="inlineStr">
        <is>
          <t>Annual recognizance</t>
        </is>
      </c>
      <c r="F67" s="72" t="n">
        <v>0.25</v>
      </c>
      <c r="G67" s="139" t="n">
        <v>0.01999999999999999</v>
      </c>
      <c r="H67" t="inlineStr">
        <is>
          <t>Total</t>
        </is>
      </c>
    </row>
    <row r="68"/>
    <row r="69">
      <c r="A69" t="inlineStr">
        <is>
          <t>Issues of the manor</t>
        </is>
      </c>
      <c r="B69" t="n">
        <v>2</v>
      </c>
      <c r="C69" t="n">
        <v>12</v>
      </c>
      <c r="D69" t="n">
        <v>7</v>
      </c>
      <c r="F69" s="72" t="n">
        <v>2.63</v>
      </c>
      <c r="H69" t="inlineStr">
        <is>
          <t>The same render account for £2 12 shilling 7pence from pannage of pigs within this year.</t>
        </is>
      </c>
    </row>
    <row r="70">
      <c r="A70" t="inlineStr">
        <is>
          <t>Issues of the manor</t>
        </is>
      </c>
      <c r="B70" t="n">
        <v>0</v>
      </c>
      <c r="C70" t="n">
        <v>0</v>
      </c>
      <c r="D70" t="n">
        <v>0</v>
      </c>
      <c r="F70" s="72" t="n">
        <v>0</v>
      </c>
      <c r="H70" t="inlineStr">
        <is>
          <t>nothing from foreign pannage of pigs this year.</t>
        </is>
      </c>
    </row>
    <row r="71">
      <c r="A71" t="inlineStr">
        <is>
          <t>Issues of the manor</t>
        </is>
      </c>
      <c r="B71" t="n">
        <v>5</v>
      </c>
      <c r="C71" t="n">
        <v>3</v>
      </c>
      <c r="D71" t="n">
        <v>2</v>
      </c>
      <c r="F71" s="72" t="n">
        <v>5.16</v>
      </c>
      <c r="H71" t="inlineStr">
        <is>
          <t>£5 3 shilling 2pence from pannage of pigs in the park this year.</t>
        </is>
      </c>
    </row>
    <row r="72">
      <c r="A72" t="inlineStr">
        <is>
          <t>Issues of the manor</t>
        </is>
      </c>
      <c r="B72" t="n">
        <v>5</v>
      </c>
      <c r="C72" t="n">
        <v>15</v>
      </c>
      <c r="D72" t="n">
        <v>6</v>
      </c>
      <c r="F72" s="72" t="n">
        <v>5.78</v>
      </c>
      <c r="H72" t="inlineStr">
        <is>
          <t>£5 15 shilling 6pence from the agistment of livestock in the park, as made clear in the details.</t>
        </is>
      </c>
    </row>
    <row r="73">
      <c r="A73" t="inlineStr">
        <is>
          <t>Issues of the manor</t>
        </is>
      </c>
      <c r="B73" t="n">
        <v>0</v>
      </c>
      <c r="C73" t="n">
        <v>8</v>
      </c>
      <c r="D73" t="n">
        <v>0</v>
      </c>
      <c r="F73" s="72" t="n">
        <v>0.4</v>
      </c>
      <c r="H73" t="inlineStr">
        <is>
          <t>8 shilling from 1 old plough-horse sold.</t>
        </is>
      </c>
    </row>
    <row r="74">
      <c r="A74" t="inlineStr">
        <is>
          <t>Issues of the manor</t>
        </is>
      </c>
      <c r="B74" t="n">
        <v>0</v>
      </c>
      <c r="C74" t="n">
        <v>3</v>
      </c>
      <c r="D74" t="n">
        <v>4</v>
      </c>
      <c r="F74" s="72" t="n">
        <v>0.17</v>
      </c>
      <c r="H74" t="inlineStr">
        <is>
          <t>3 shilling 4pence from 1 feeble plough-horse from the heriot of John Schore sold.</t>
        </is>
      </c>
    </row>
    <row r="75">
      <c r="A75" t="inlineStr">
        <is>
          <t>Issues of the manor</t>
        </is>
      </c>
      <c r="B75" t="n">
        <v>2</v>
      </c>
      <c r="C75" t="n">
        <v>16</v>
      </c>
      <c r="D75" t="n">
        <v>0</v>
      </c>
      <c r="F75" s="72" t="n">
        <v>2.8</v>
      </c>
      <c r="H75" t="inlineStr">
        <is>
          <t>£2 16 shilling from 6 old oxen sold, at 8 shilling for 1, 9 shilling each for 2, and 10 shilling each for 3.</t>
        </is>
      </c>
    </row>
    <row r="76">
      <c r="A76" t="inlineStr">
        <is>
          <t>Issues of the manor</t>
        </is>
      </c>
      <c r="B76" t="n">
        <v>1</v>
      </c>
      <c r="C76" t="n">
        <v>16</v>
      </c>
      <c r="D76" t="n">
        <v>0</v>
      </c>
      <c r="F76" s="72" t="n">
        <v>1.8</v>
      </c>
      <c r="H76" t="inlineStr">
        <is>
          <t>£1 16 shilling from 6 feeble cows sold, at 6 shilling each.</t>
        </is>
      </c>
    </row>
    <row r="77">
      <c r="A77" t="inlineStr">
        <is>
          <t>Issues of the manor</t>
        </is>
      </c>
      <c r="B77" t="n">
        <v>0</v>
      </c>
      <c r="C77" t="n">
        <v>6</v>
      </c>
      <c r="D77" t="n">
        <v>0</v>
      </c>
      <c r="F77" s="72" t="n">
        <v>0.3</v>
      </c>
      <c r="H77" t="inlineStr">
        <is>
          <t>6 shilling from 6 late-born calves sold, at 1 shilling each.</t>
        </is>
      </c>
    </row>
    <row r="78">
      <c r="A78" t="inlineStr">
        <is>
          <t>Issues of the manor</t>
        </is>
      </c>
      <c r="B78" t="n">
        <v>0</v>
      </c>
      <c r="C78" t="n">
        <v>7</v>
      </c>
      <c r="D78" t="n">
        <v>0</v>
      </c>
      <c r="F78" s="72" t="n">
        <v>0.35</v>
      </c>
      <c r="H78" t="inlineStr">
        <is>
          <t>7 shilling from 7 old wethers sold at Martinmas.</t>
        </is>
      </c>
    </row>
    <row r="79">
      <c r="A79" t="inlineStr">
        <is>
          <t>Issues of the manor</t>
        </is>
      </c>
      <c r="B79" t="n">
        <v>0</v>
      </c>
      <c r="C79" t="n">
        <v>5</v>
      </c>
      <c r="D79" t="n">
        <v>10</v>
      </c>
      <c r="F79" s="72" t="n">
        <v>0.29</v>
      </c>
      <c r="H79" t="inlineStr">
        <is>
          <t>5 shilling 10pence from 7 old ewes sold at the same feast.</t>
        </is>
      </c>
    </row>
    <row r="80">
      <c r="A80" t="inlineStr">
        <is>
          <t>Issues of the manor</t>
        </is>
      </c>
      <c r="B80" t="n">
        <v>0</v>
      </c>
      <c r="C80" t="n">
        <v>13</v>
      </c>
      <c r="D80" t="n">
        <v>6</v>
      </c>
      <c r="F80" s="72" t="n">
        <v>0.68</v>
      </c>
      <c r="H80" t="inlineStr">
        <is>
          <t>13 shilling from 26 hoggs sold, at 6pence each.</t>
        </is>
      </c>
    </row>
    <row r="81">
      <c r="A81" t="inlineStr">
        <is>
          <t>Issues of the manor</t>
        </is>
      </c>
      <c r="B81" t="n">
        <v>0</v>
      </c>
      <c r="C81" t="n">
        <v>4</v>
      </c>
      <c r="D81" t="n">
        <v>4</v>
      </c>
      <c r="F81" s="72" t="n">
        <v>0.22</v>
      </c>
      <c r="H81" t="inlineStr">
        <is>
          <t>4 shilling from 12 feeble lambs sold, at 4pence each.</t>
        </is>
      </c>
    </row>
    <row r="82">
      <c r="A82" t="inlineStr">
        <is>
          <t>Issues of the manor</t>
        </is>
      </c>
      <c r="B82" t="n">
        <v>0</v>
      </c>
      <c r="C82" t="n">
        <v>1</v>
      </c>
      <c r="D82" t="n">
        <v>0</v>
      </c>
      <c r="F82" s="72" t="n">
        <v>0.05</v>
      </c>
      <c r="H82" t="inlineStr">
        <is>
          <t>1 shilling from the flesh sold of 1 boar which suddenly died.</t>
        </is>
      </c>
    </row>
    <row r="83">
      <c r="A83" t="inlineStr">
        <is>
          <t>Issues of the manor</t>
        </is>
      </c>
      <c r="B83" t="n">
        <v>0</v>
      </c>
      <c r="C83" t="n">
        <v>12</v>
      </c>
      <c r="D83" t="n">
        <v>6</v>
      </c>
      <c r="F83" s="72" t="n">
        <v>0.62</v>
      </c>
      <c r="H83" t="inlineStr">
        <is>
          <t>12 shilling 6pence from 5 pigs sold, at 2 shilling 6pence each.</t>
        </is>
      </c>
    </row>
    <row r="84">
      <c r="A84" t="inlineStr">
        <is>
          <t>Issues of the manor</t>
        </is>
      </c>
      <c r="B84" t="n">
        <v>0</v>
      </c>
      <c r="C84" t="n">
        <v>0</v>
      </c>
      <c r="D84" t="n">
        <v>6</v>
      </c>
      <c r="F84" s="72" t="n">
        <v>0.03</v>
      </c>
      <c r="H84" t="inlineStr">
        <is>
          <t>6pence from the heriot of William Edmund because he did not have 1 beast.</t>
        </is>
      </c>
    </row>
    <row r="85">
      <c r="A85" t="inlineStr">
        <is>
          <t>Issues of the manor</t>
        </is>
      </c>
      <c r="B85" t="n">
        <v>0</v>
      </c>
      <c r="C85" t="n">
        <v>0</v>
      </c>
      <c r="D85" t="n">
        <v>6</v>
      </c>
      <c r="F85" s="72" t="n">
        <v>0.03</v>
      </c>
      <c r="H85" t="inlineStr">
        <is>
          <t>6pence from the heriot of William Faber of Bursledon for the same.</t>
        </is>
      </c>
    </row>
    <row r="86">
      <c r="A86" t="inlineStr">
        <is>
          <t>Issues of the manor</t>
        </is>
      </c>
      <c r="B86" t="n">
        <v>0</v>
      </c>
      <c r="C86" t="n">
        <v>0</v>
      </c>
      <c r="D86" t="n">
        <v>6</v>
      </c>
      <c r="F86" s="72" t="n">
        <v>0.03</v>
      </c>
      <c r="H86" t="inlineStr">
        <is>
          <t>6pence from the heriot of Juliana Brond' for the same.</t>
        </is>
      </c>
    </row>
    <row r="87">
      <c r="A87" t="inlineStr">
        <is>
          <t>Issues of the manor</t>
        </is>
      </c>
      <c r="B87" t="n">
        <v>0</v>
      </c>
      <c r="C87" t="n">
        <v>0</v>
      </c>
      <c r="D87" t="n">
        <v>6</v>
      </c>
      <c r="F87" s="72" t="n">
        <v>0.03</v>
      </c>
      <c r="H87" t="inlineStr">
        <is>
          <t>6pence from the heriot of John ate Fryrth' for the same.</t>
        </is>
      </c>
    </row>
    <row r="88">
      <c r="A88" t="inlineStr">
        <is>
          <t>Issues of the manor</t>
        </is>
      </c>
      <c r="B88" t="n">
        <v>0</v>
      </c>
      <c r="C88" t="n">
        <v>1</v>
      </c>
      <c r="D88" t="n">
        <v>0</v>
      </c>
      <c r="F88" s="72" t="n">
        <v>0.05</v>
      </c>
      <c r="H88" t="inlineStr">
        <is>
          <t>1 shilling from the heriot of Walter Oxenherd' for the same.</t>
        </is>
      </c>
    </row>
    <row r="89">
      <c r="A89" t="inlineStr">
        <is>
          <t>Issues of the manor</t>
        </is>
      </c>
      <c r="B89" t="n">
        <v>0</v>
      </c>
      <c r="C89" t="n">
        <v>4</v>
      </c>
      <c r="D89" t="n">
        <v>0</v>
      </c>
      <c r="F89" s="72" t="n">
        <v>0.2</v>
      </c>
      <c r="H89" t="inlineStr">
        <is>
          <t>4 shilling from the hide and flesh sold of 1 ox dead from murrain in March.</t>
        </is>
      </c>
    </row>
    <row r="90">
      <c r="A90" t="inlineStr">
        <is>
          <t>Issues of the manor</t>
        </is>
      </c>
      <c r="B90" t="n">
        <v>0</v>
      </c>
      <c r="C90" t="n">
        <v>2</v>
      </c>
      <c r="D90" t="n">
        <v>8</v>
      </c>
      <c r="F90" s="72" t="n">
        <v>0.13</v>
      </c>
      <c r="H90" t="inlineStr">
        <is>
          <t>2 shilling 8pence from the hide sold of 1 ox dead from murrain in April.</t>
        </is>
      </c>
    </row>
    <row r="91">
      <c r="A91" t="inlineStr">
        <is>
          <t>Issues of the manor</t>
        </is>
      </c>
      <c r="B91" t="n">
        <v>0</v>
      </c>
      <c r="C91" t="n">
        <v>1</v>
      </c>
      <c r="D91" t="n">
        <v>9</v>
      </c>
      <c r="F91" s="72" t="n">
        <v>0.09</v>
      </c>
      <c r="H91" t="inlineStr">
        <is>
          <t>1 shilling 9pence from the hide of 1 cow dead from murrain in the same month.</t>
        </is>
      </c>
    </row>
    <row r="92">
      <c r="A92" t="inlineStr">
        <is>
          <t>Issues of the manor</t>
        </is>
      </c>
      <c r="B92" t="n">
        <v>0</v>
      </c>
      <c r="C92" t="n">
        <v>0</v>
      </c>
      <c r="D92" t="n">
        <v>8</v>
      </c>
      <c r="F92" s="72" t="n">
        <v>0.03</v>
      </c>
      <c r="H92" t="inlineStr">
        <is>
          <t>8pence from the hides of 2 steers dead from murrain.</t>
        </is>
      </c>
    </row>
    <row r="93">
      <c r="A93" t="inlineStr">
        <is>
          <t>Issues of the manor</t>
        </is>
      </c>
      <c r="B93" t="n">
        <v>0</v>
      </c>
      <c r="C93" t="n">
        <v>0</v>
      </c>
      <c r="D93" t="n">
        <v>9</v>
      </c>
      <c r="F93" s="72" t="n">
        <v>0.04</v>
      </c>
      <c r="H93" t="inlineStr">
        <is>
          <t>9pence from the hides of 3 bullocks in murrain.</t>
        </is>
      </c>
    </row>
    <row r="94">
      <c r="A94" t="inlineStr">
        <is>
          <t>Issues of the manor</t>
        </is>
      </c>
      <c r="B94" t="n">
        <v>0</v>
      </c>
      <c r="C94" t="n">
        <v>0</v>
      </c>
      <c r="D94" t="n">
        <v>10</v>
      </c>
      <c r="F94" s="72" t="n">
        <v>0.04</v>
      </c>
      <c r="H94" t="inlineStr">
        <is>
          <t>10pence from the hides sold of 4 yearlings dead from murrain.</t>
        </is>
      </c>
    </row>
    <row r="95">
      <c r="A95" t="inlineStr">
        <is>
          <t>Issues of the manor</t>
        </is>
      </c>
      <c r="B95" t="n">
        <v>0</v>
      </c>
      <c r="C95" t="n">
        <v>0</v>
      </c>
      <c r="D95" t="n">
        <v>2</v>
      </c>
      <c r="F95" s="72" t="n">
        <v>0.01</v>
      </c>
      <c r="H95" t="inlineStr">
        <is>
          <t>2pence from the hide sold of 1 calf in murrain.</t>
        </is>
      </c>
    </row>
    <row r="96">
      <c r="A96" t="inlineStr">
        <is>
          <t>Issues of the manor</t>
        </is>
      </c>
      <c r="B96" t="n">
        <v>0</v>
      </c>
      <c r="C96" t="n">
        <v>10</v>
      </c>
      <c r="D96" t="n">
        <v>1</v>
      </c>
      <c r="F96" s="72" t="n">
        <v>0.5</v>
      </c>
      <c r="H96" t="inlineStr">
        <is>
          <t>10 shilling 1pence from the skins sold of 18 wethers, 31 ewes and 5 hoggs in murrain before shearing, at 3pence a skin of wethers, 2pence a skin of ewes, and 1pence a skin of hoggs.</t>
        </is>
      </c>
    </row>
    <row r="97">
      <c r="A97" t="inlineStr">
        <is>
          <t>Issues of the manor</t>
        </is>
      </c>
      <c r="B97" t="n">
        <v>0</v>
      </c>
      <c r="C97" t="n">
        <v>1</v>
      </c>
      <c r="D97" t="n">
        <v>2</v>
      </c>
      <c r="F97" s="72" t="n">
        <v>0.06</v>
      </c>
      <c r="H97" t="inlineStr">
        <is>
          <t>1 shilling 2pence from the skins sold of 11 wethers and 3 ewes in murrain after shearing, at 1pence each.</t>
        </is>
      </c>
    </row>
    <row r="98">
      <c r="A98" t="inlineStr">
        <is>
          <t>Issues of the manor</t>
        </is>
      </c>
      <c r="B98" t="n">
        <v>0</v>
      </c>
      <c r="C98" t="n">
        <v>1</v>
      </c>
      <c r="D98" t="n">
        <v>4</v>
      </c>
      <c r="F98" s="72" t="n">
        <v>0.07000000000000001</v>
      </c>
      <c r="H98" t="inlineStr">
        <is>
          <t>1 shilling 4pence from the skins sold of 16 lambs in murrain before weaning, at 1pence a skin.</t>
        </is>
      </c>
    </row>
    <row r="99">
      <c r="A99" t="inlineStr">
        <is>
          <t>Issues of the manor</t>
        </is>
      </c>
      <c r="B99" t="n">
        <v>0</v>
      </c>
      <c r="C99" t="n">
        <v>0</v>
      </c>
      <c r="D99" t="n">
        <v>1.5</v>
      </c>
      <c r="F99" s="72" t="n">
        <v>0.01</v>
      </c>
      <c r="H99" t="inlineStr">
        <is>
          <t>1.5pence from the skins sold of 3 rotted sheep.</t>
        </is>
      </c>
    </row>
    <row r="100">
      <c r="A100" t="inlineStr">
        <is>
          <t>Issues of the manor</t>
        </is>
      </c>
      <c r="B100" t="n">
        <v>0</v>
      </c>
      <c r="C100" t="n">
        <v>0</v>
      </c>
      <c r="D100" t="n">
        <v>0</v>
      </c>
      <c r="F100" s="72" t="n">
        <v>0</v>
      </c>
      <c r="H100" t="inlineStr">
        <is>
          <t>nothing from coarse wool here because it is sent to Wolvesey.</t>
        </is>
      </c>
    </row>
    <row r="101">
      <c r="A101" t="inlineStr">
        <is>
          <t>Issues of the manor</t>
        </is>
      </c>
      <c r="B101" t="n">
        <v>0</v>
      </c>
      <c r="C101" t="n">
        <v>5</v>
      </c>
      <c r="D101" t="n">
        <v>3</v>
      </c>
      <c r="F101" s="72" t="n">
        <v>0.26</v>
      </c>
      <c r="H101" t="inlineStr">
        <is>
          <t>5 shilling 3pence from 6 cloves of wool locks sold, at 10.5pence a clove.</t>
        </is>
      </c>
    </row>
    <row r="102">
      <c r="A102" t="inlineStr">
        <is>
          <t>Issues of the manor</t>
        </is>
      </c>
      <c r="B102" t="n">
        <v>0</v>
      </c>
      <c r="C102" t="n">
        <v>4</v>
      </c>
      <c r="D102" t="n">
        <v>3</v>
      </c>
      <c r="F102" s="72" t="n">
        <v>0.21</v>
      </c>
      <c r="H102" t="inlineStr">
        <is>
          <t>4 shilling 3pence from 0.5 wey of winter cheese sold.</t>
        </is>
      </c>
    </row>
    <row r="103">
      <c r="A103" t="inlineStr">
        <is>
          <t>Issues of the manor</t>
        </is>
      </c>
      <c r="B103" t="n">
        <v>4</v>
      </c>
      <c r="C103" t="n">
        <v>13</v>
      </c>
      <c r="D103" t="n">
        <v>6</v>
      </c>
      <c r="F103" s="72" t="n">
        <v>4.68</v>
      </c>
      <c r="H103" t="inlineStr">
        <is>
          <t>£4 13 shilling 6pence from 11 weys of cheese made in summer sold, at 8 shilling 6pence a wey.</t>
        </is>
      </c>
    </row>
    <row r="104">
      <c r="A104" t="inlineStr">
        <is>
          <t>Issues of the manor</t>
        </is>
      </c>
      <c r="B104" t="n">
        <v>0</v>
      </c>
      <c r="C104" t="n">
        <v>6</v>
      </c>
      <c r="D104" t="n">
        <v>10.5</v>
      </c>
      <c r="F104" s="72" t="n">
        <v>0.34</v>
      </c>
      <c r="H104" t="inlineStr">
        <is>
          <t>6 shilling 10.5pence from 22 cloves of butter sold, at 3.75pence a clove.</t>
        </is>
      </c>
    </row>
    <row r="105">
      <c r="A105" t="inlineStr">
        <is>
          <t>Issues of the manor</t>
        </is>
      </c>
      <c r="B105" t="n">
        <v>1</v>
      </c>
      <c r="C105" t="n">
        <v>18</v>
      </c>
      <c r="D105" t="n">
        <v>0</v>
      </c>
      <c r="F105" s="72" t="n">
        <v>1.9</v>
      </c>
      <c r="H105" t="inlineStr">
        <is>
          <t>£1 18 shilling from the men of Bursledon for 76 sesters of salt sold, at 6pence a sester.</t>
        </is>
      </c>
    </row>
    <row r="106">
      <c r="A106" t="inlineStr">
        <is>
          <t>Issues of the manor</t>
        </is>
      </c>
      <c r="B106" t="n">
        <v>1</v>
      </c>
      <c r="C106" t="n">
        <v>16</v>
      </c>
      <c r="D106" t="n">
        <v>6</v>
      </c>
      <c r="F106" s="72" t="n">
        <v>1.82</v>
      </c>
      <c r="H106" t="inlineStr">
        <is>
          <t>£1 16 shilling 6pence from 73 sesters of salt from rents sold this year.</t>
        </is>
      </c>
    </row>
    <row r="107">
      <c r="A107" t="inlineStr">
        <is>
          <t>Issues of the manor</t>
        </is>
      </c>
      <c r="B107" t="n">
        <v>7</v>
      </c>
      <c r="C107" t="n">
        <v>6</v>
      </c>
      <c r="D107" t="n">
        <v>3</v>
      </c>
      <c r="F107" s="72" t="n">
        <v>7.31</v>
      </c>
      <c r="H107" t="inlineStr">
        <is>
          <t>£7 6 shilling 3pence from 292.5 sesters of salt from the arrears of the last account.</t>
        </is>
      </c>
    </row>
    <row r="108">
      <c r="A108" t="inlineStr">
        <is>
          <t>Issues of the manor</t>
        </is>
      </c>
      <c r="B108" t="n">
        <v>0</v>
      </c>
      <c r="C108" t="n">
        <v>12</v>
      </c>
      <c r="D108" t="n">
        <v>10</v>
      </c>
      <c r="F108" s="72">
        <f>B108+C108/12+D108/20</f>
        <v/>
      </c>
      <c r="H108" t="inlineStr">
        <is>
          <t>12 shilling 10 pence from 154 hens from churchscot sold.</t>
        </is>
      </c>
    </row>
    <row r="109">
      <c r="A109" t="inlineStr">
        <is>
          <t>Issues of the manor</t>
        </is>
      </c>
      <c r="B109" t="n">
        <v>0</v>
      </c>
      <c r="C109" t="n">
        <v>9</v>
      </c>
      <c r="D109" t="n">
        <v>0</v>
      </c>
      <c r="F109" s="72" t="n">
        <v>0.45</v>
      </c>
      <c r="H109" t="inlineStr">
        <is>
          <t>9 shilling from the hundred for the mowing of Cribelescrofte.</t>
        </is>
      </c>
    </row>
    <row r="110">
      <c r="A110" t="inlineStr">
        <is>
          <t>Issues of the manor</t>
        </is>
      </c>
      <c r="B110" t="n">
        <v>0</v>
      </c>
      <c r="C110" t="n">
        <v>6</v>
      </c>
      <c r="D110" t="n">
        <v>4</v>
      </c>
      <c r="F110" s="72" t="n">
        <v>0.32</v>
      </c>
      <c r="H110" t="inlineStr">
        <is>
          <t>6 shilling 4pence from the pasturage sold in various places, that is, 5 shilling from la Worth' and 1 shilling 4pence from various remnants around Orkelestret.</t>
        </is>
      </c>
    </row>
    <row r="111">
      <c r="A111" t="inlineStr">
        <is>
          <t>Issues of the manor</t>
        </is>
      </c>
      <c r="B111" t="n">
        <v>0</v>
      </c>
      <c r="C111" t="n">
        <v>1</v>
      </c>
      <c r="D111" t="n">
        <v>6</v>
      </c>
      <c r="F111" s="72" t="n">
        <v>0.08</v>
      </c>
      <c r="H111" t="inlineStr">
        <is>
          <t>1 shilling 6pence from the hundred for the mowing of the meadow of Bitterne.</t>
        </is>
      </c>
    </row>
    <row r="112">
      <c r="A112" t="inlineStr">
        <is>
          <t>Issues of the manor</t>
        </is>
      </c>
      <c r="B112" t="n">
        <v>0</v>
      </c>
      <c r="C112" t="n">
        <v>6</v>
      </c>
      <c r="D112" t="n">
        <v>8</v>
      </c>
      <c r="F112" s="72" t="n">
        <v>0.33</v>
      </c>
      <c r="H112" t="inlineStr">
        <is>
          <t>6 shilling 8pence from heath in the park sold this year.</t>
        </is>
      </c>
    </row>
    <row r="113">
      <c r="A113" t="inlineStr">
        <is>
          <t>Issues of the manor</t>
        </is>
      </c>
      <c r="B113" t="n">
        <v>0</v>
      </c>
      <c r="C113" t="n">
        <v>0</v>
      </c>
      <c r="D113" t="n">
        <v>0</v>
      </c>
      <c r="F113" s="72" t="n">
        <v>0</v>
      </c>
      <c r="H113" t="inlineStr">
        <is>
          <t>nothing from nuts collected in the park this year.</t>
        </is>
      </c>
    </row>
    <row r="114">
      <c r="A114" t="inlineStr">
        <is>
          <t>Issues of the manor</t>
        </is>
      </c>
      <c r="B114" t="n">
        <v>0</v>
      </c>
      <c r="C114" t="n">
        <v>10</v>
      </c>
      <c r="D114" t="n">
        <v>6</v>
      </c>
      <c r="F114" s="72" t="n">
        <v>0.53</v>
      </c>
      <c r="H114" t="inlineStr">
        <is>
          <t>10 shilling 6pence from the loppings of oaks felled to mend the palisade.</t>
        </is>
      </c>
    </row>
    <row r="115">
      <c r="A115" t="inlineStr">
        <is>
          <t>Issues of the manor</t>
        </is>
      </c>
      <c r="B115" t="n">
        <v>0</v>
      </c>
      <c r="C115" t="n">
        <v>5</v>
      </c>
      <c r="D115" t="n">
        <v>0</v>
      </c>
      <c r="F115" s="72" t="n">
        <v>0.25</v>
      </c>
      <c r="H115" t="inlineStr">
        <is>
          <t>5 shilling from cablish in the park sold this year.</t>
        </is>
      </c>
    </row>
    <row r="116">
      <c r="A116" t="inlineStr">
        <is>
          <t>Issues of the manor</t>
        </is>
      </c>
      <c r="B116" t="n">
        <v>0</v>
      </c>
      <c r="C116" t="n">
        <v>2</v>
      </c>
      <c r="D116" t="n">
        <v>2</v>
      </c>
      <c r="F116" s="72" t="n">
        <v>0.11</v>
      </c>
      <c r="H116" t="inlineStr">
        <is>
          <t>2 shilling 2pence from 2 dead trees sold felled in le Hordareswod' for the bees.</t>
        </is>
      </c>
    </row>
    <row r="117">
      <c r="A117" t="inlineStr">
        <is>
          <t>Issues of the manor</t>
        </is>
      </c>
      <c r="B117" t="n">
        <v>0</v>
      </c>
      <c r="C117" t="n">
        <v>0</v>
      </c>
      <c r="D117" t="n">
        <v>0</v>
      </c>
      <c r="F117" s="72" t="n">
        <v>0</v>
      </c>
      <c r="H117" t="inlineStr">
        <is>
          <t>nothing from dead trees in the wood of Parkhurst this year.</t>
        </is>
      </c>
    </row>
    <row r="118">
      <c r="A118" t="inlineStr">
        <is>
          <t>Issues of the manor</t>
        </is>
      </c>
      <c r="B118" t="n">
        <v>0</v>
      </c>
      <c r="C118" t="n">
        <v>0</v>
      </c>
      <c r="D118" t="n">
        <v>0</v>
      </c>
      <c r="F118" s="72" t="n">
        <v>0</v>
      </c>
      <c r="H118" t="inlineStr">
        <is>
          <t>nothing from wood in Holemor' this year.</t>
        </is>
      </c>
    </row>
    <row r="119">
      <c r="A119" t="inlineStr">
        <is>
          <t>Issues of the manor</t>
        </is>
      </c>
      <c r="B119" t="n">
        <v>0</v>
      </c>
      <c r="C119" t="n">
        <v>1</v>
      </c>
      <c r="D119" t="n">
        <v>3</v>
      </c>
      <c r="F119" s="72" t="n">
        <v>0.06</v>
      </c>
      <c r="H119" t="inlineStr">
        <is>
          <t>1 shilling 3pence from honey sold this year.</t>
        </is>
      </c>
    </row>
    <row r="120">
      <c r="A120" t="inlineStr">
        <is>
          <t>Issues of the manor</t>
        </is>
      </c>
      <c r="B120" t="n">
        <v>0</v>
      </c>
      <c r="C120" t="n">
        <v>3</v>
      </c>
      <c r="D120" t="n">
        <v>0</v>
      </c>
      <c r="F120" s="72" t="n">
        <v>0.15</v>
      </c>
      <c r="H120" t="inlineStr">
        <is>
          <t>3 shilling from plough-services sold this year.</t>
        </is>
      </c>
    </row>
    <row r="121">
      <c r="A121" t="inlineStr">
        <is>
          <t>Issues of the manor</t>
        </is>
      </c>
      <c r="B121" t="n">
        <v>0</v>
      </c>
      <c r="C121" t="n">
        <v>0</v>
      </c>
      <c r="D121" t="n">
        <v>0</v>
      </c>
      <c r="F121" s="72" t="n">
        <v>0</v>
      </c>
      <c r="H121" t="inlineStr">
        <is>
          <t>nothing from the bee-hives (meller') this year.</t>
        </is>
      </c>
    </row>
    <row r="122">
      <c r="A122" t="inlineStr">
        <is>
          <t>Issues of the manor</t>
        </is>
      </c>
      <c r="B122" t="n">
        <v>0</v>
      </c>
      <c r="C122" t="n">
        <v>1</v>
      </c>
      <c r="D122" t="n">
        <v>8</v>
      </c>
      <c r="F122" s="72" t="n">
        <v>0.08</v>
      </c>
      <c r="H122" t="inlineStr">
        <is>
          <t>1 shilling 8pence from Richard Ywon for release from his labour service for a third of 1 virgate of land this year.</t>
        </is>
      </c>
    </row>
    <row r="123">
      <c r="A123" t="inlineStr">
        <is>
          <t>Issues of the manor</t>
        </is>
      </c>
      <c r="B123" t="n">
        <v>0</v>
      </c>
      <c r="C123" t="n">
        <v>4</v>
      </c>
      <c r="D123" t="n">
        <v>0</v>
      </c>
      <c r="F123" s="72" t="n">
        <v>0.2</v>
      </c>
      <c r="H123" t="inlineStr">
        <is>
          <t>4 shilling from Adam de Yulley and Robert de Yulley for the same.</t>
        </is>
      </c>
    </row>
    <row r="124">
      <c r="A124" t="inlineStr">
        <is>
          <t>Issues of the manor</t>
        </is>
      </c>
      <c r="B124" t="n">
        <v>0</v>
      </c>
      <c r="C124" t="n">
        <v>0</v>
      </c>
      <c r="D124" t="n">
        <v>0</v>
      </c>
      <c r="F124" s="72" t="n">
        <v>0</v>
      </c>
      <c r="H124" t="inlineStr">
        <is>
          <t>nothing from Robert de Wodecote because he worked.</t>
        </is>
      </c>
    </row>
    <row r="125">
      <c r="A125" t="inlineStr">
        <is>
          <t>Issues of the manor</t>
        </is>
      </c>
      <c r="B125" t="n">
        <v>0</v>
      </c>
      <c r="C125" t="n">
        <v>3</v>
      </c>
      <c r="D125" t="n">
        <v>4</v>
      </c>
      <c r="F125" s="72" t="n">
        <v>0.17</v>
      </c>
      <c r="H125" t="inlineStr">
        <is>
          <t>3 shilling 4pence from Robert de la Bech for the same.</t>
        </is>
      </c>
    </row>
    <row r="126">
      <c r="A126" t="inlineStr">
        <is>
          <t>Issues of the manor</t>
        </is>
      </c>
      <c r="B126" t="n">
        <v>0</v>
      </c>
      <c r="C126" t="n">
        <v>2</v>
      </c>
      <c r="D126" t="n">
        <v>8</v>
      </c>
      <c r="F126" s="72" t="n">
        <v>0.13</v>
      </c>
      <c r="H126" t="inlineStr">
        <is>
          <t>2 shilling 8pence from John son of Azonis for the same.</t>
        </is>
      </c>
    </row>
    <row r="127">
      <c r="A127" t="inlineStr">
        <is>
          <t>Issues of the manor</t>
        </is>
      </c>
      <c r="B127" t="n">
        <v>0</v>
      </c>
      <c r="C127" t="n">
        <v>1</v>
      </c>
      <c r="D127" t="n">
        <v>8</v>
      </c>
      <c r="F127" s="72" t="n">
        <v>0.08</v>
      </c>
      <c r="H127" t="inlineStr">
        <is>
          <t>1 shilling 8pence from John, son of Robert Clericus of Upham, for the land of Bance.</t>
        </is>
      </c>
    </row>
    <row r="128">
      <c r="A128" t="inlineStr">
        <is>
          <t>Issues of the manor</t>
        </is>
      </c>
      <c r="B128" t="n">
        <v>0</v>
      </c>
      <c r="C128" t="n">
        <v>2</v>
      </c>
      <c r="D128" t="n">
        <v>0</v>
      </c>
      <c r="F128" s="72" t="n">
        <v>0.1</v>
      </c>
      <c r="H128" t="inlineStr">
        <is>
          <t>2 shilling from Walter Bues for release from the labour service for the land of Suuenel'.</t>
        </is>
      </c>
    </row>
    <row r="129">
      <c r="A129" t="inlineStr">
        <is>
          <t>Issues of the manor</t>
        </is>
      </c>
      <c r="B129" t="n">
        <v>0</v>
      </c>
      <c r="C129" t="n">
        <v>1</v>
      </c>
      <c r="D129" t="n">
        <v>0</v>
      </c>
      <c r="F129" s="72" t="n">
        <v>0.05</v>
      </c>
      <c r="H129" t="inlineStr">
        <is>
          <t>1 shilling from Mark de Yully for the same for the land of Godderehele.</t>
        </is>
      </c>
    </row>
    <row r="130">
      <c r="A130" t="inlineStr">
        <is>
          <t>Issues of the manor</t>
        </is>
      </c>
      <c r="B130" t="n">
        <v>0</v>
      </c>
      <c r="C130" t="n">
        <v>1</v>
      </c>
      <c r="D130" t="n">
        <v>0</v>
      </c>
      <c r="F130" s="72" t="n">
        <v>0.05</v>
      </c>
      <c r="H130" t="inlineStr">
        <is>
          <t>1 shilling from Guy ate Ford' for the same for the land of Godderehele.</t>
        </is>
      </c>
    </row>
    <row r="131">
      <c r="A131" t="inlineStr">
        <is>
          <t>Issues of the manor</t>
        </is>
      </c>
      <c r="B131" t="n">
        <v>0</v>
      </c>
      <c r="C131" t="n">
        <v>1</v>
      </c>
      <c r="D131" t="n">
        <v>0</v>
      </c>
      <c r="F131" s="72" t="n">
        <v>0.05</v>
      </c>
      <c r="H131" t="inlineStr">
        <is>
          <t>1 shilling from Thomas Sauser for the same.</t>
        </is>
      </c>
    </row>
    <row r="132">
      <c r="A132" t="inlineStr">
        <is>
          <t>Issues of the manor</t>
        </is>
      </c>
      <c r="B132" t="n">
        <v>0</v>
      </c>
      <c r="C132" t="n">
        <v>3</v>
      </c>
      <c r="D132" t="n">
        <v>0</v>
      </c>
      <c r="F132" s="72" t="n">
        <v>0.15</v>
      </c>
      <c r="H132" t="inlineStr">
        <is>
          <t>3 shilling from Peter le Parker for the same for the land which formerly belonged to Adam Prest.</t>
        </is>
      </c>
    </row>
    <row r="133">
      <c r="A133" t="inlineStr">
        <is>
          <t>Issues of the manor</t>
        </is>
      </c>
      <c r="B133" t="n">
        <v>0</v>
      </c>
      <c r="C133" t="n">
        <v>2</v>
      </c>
      <c r="D133" t="n">
        <v>0</v>
      </c>
      <c r="F133" s="72" t="n">
        <v>0.1</v>
      </c>
      <c r="H133" t="inlineStr">
        <is>
          <t>2 shilling from John ate Broke for the same for the land which belonged to William ate W11'.</t>
        </is>
      </c>
    </row>
    <row r="134">
      <c r="A134" t="inlineStr">
        <is>
          <t>Issues of the manor</t>
        </is>
      </c>
      <c r="B134" t="n">
        <v>0</v>
      </c>
      <c r="C134" t="n">
        <v>9</v>
      </c>
      <c r="D134" t="n">
        <v>0</v>
      </c>
      <c r="F134" s="72" t="n">
        <v>0.45</v>
      </c>
      <c r="H134" t="inlineStr">
        <is>
          <t>9 shilling from John Bance for the labour service of the land which belonged to Richard Bance.</t>
        </is>
      </c>
    </row>
    <row r="135">
      <c r="A135" t="inlineStr">
        <is>
          <t>Issues of the manor</t>
        </is>
      </c>
      <c r="B135" t="n">
        <v>0</v>
      </c>
      <c r="C135" t="n">
        <v>0</v>
      </c>
      <c r="D135" t="n">
        <v>0</v>
      </c>
      <c r="F135" s="72" t="n">
        <v>0</v>
      </c>
      <c r="H135" t="inlineStr">
        <is>
          <t>nothing from Thomas Cangeler and William le Byke this year because they worked.</t>
        </is>
      </c>
    </row>
    <row r="136">
      <c r="A136" t="inlineStr">
        <is>
          <t>Issues of the manor</t>
        </is>
      </c>
      <c r="B136" t="n">
        <v>0</v>
      </c>
      <c r="C136" t="n">
        <v>13</v>
      </c>
      <c r="D136" t="n">
        <v>0</v>
      </c>
      <c r="F136" s="72" t="n">
        <v>0.65</v>
      </c>
      <c r="H136" t="inlineStr">
        <is>
          <t>13 shilling from Margery Moysaut, Robert Faber, William Chubb', Adam Thoremond, William Pyk, Richard Everard', William Bos, William Cantoy, Richard Boll', William Asser, John de Anne, Robert le Cupere and Richard Molendinarius for the same, at 1 shilling each.</t>
        </is>
      </c>
    </row>
    <row r="137">
      <c r="A137" t="inlineStr">
        <is>
          <t>Issues of the manor</t>
        </is>
      </c>
      <c r="B137" t="n">
        <v>0</v>
      </c>
      <c r="C137" t="n">
        <v>1</v>
      </c>
      <c r="D137" t="n">
        <v>6</v>
      </c>
      <c r="F137" s="72" t="n">
        <v>0.08</v>
      </c>
      <c r="H137" t="inlineStr">
        <is>
          <t>1 shilling 6pence from Hugh Balhorn for the same.</t>
        </is>
      </c>
    </row>
    <row r="138">
      <c r="A138" t="inlineStr">
        <is>
          <t>Issues of the manor</t>
        </is>
      </c>
      <c r="B138" t="n">
        <v>0</v>
      </c>
      <c r="C138" t="n">
        <v>4</v>
      </c>
      <c r="D138" t="n">
        <v>0</v>
      </c>
      <c r="F138" s="72" t="n">
        <v>0.2</v>
      </c>
      <c r="H138" t="inlineStr">
        <is>
          <t>4 shilling from William Hudayn for the same.</t>
        </is>
      </c>
    </row>
    <row r="139">
      <c r="A139" t="inlineStr">
        <is>
          <t>Issues of the manor</t>
        </is>
      </c>
      <c r="B139" t="n">
        <v>0</v>
      </c>
      <c r="C139" t="n">
        <v>0</v>
      </c>
      <c r="D139" t="n">
        <v>0</v>
      </c>
      <c r="F139" s="72" t="n">
        <v>0</v>
      </c>
      <c r="H139" t="inlineStr">
        <is>
          <t>nothing from Walter Bues for the land which belonged to Danyl because he worked.</t>
        </is>
      </c>
    </row>
    <row r="140">
      <c r="A140" t="inlineStr">
        <is>
          <t>Issues of the manor</t>
        </is>
      </c>
      <c r="B140" t="n">
        <v>0</v>
      </c>
      <c r="C140" t="n">
        <v>5</v>
      </c>
      <c r="D140" t="n">
        <v>0</v>
      </c>
      <c r="F140" s="72" t="n">
        <v>0.25</v>
      </c>
      <c r="H140" t="inlineStr">
        <is>
          <t>5 shilling from Alice Ram for the same.</t>
        </is>
      </c>
    </row>
    <row r="141">
      <c r="A141" t="inlineStr">
        <is>
          <t>Issues of the manor</t>
        </is>
      </c>
      <c r="B141" t="n">
        <v>0</v>
      </c>
      <c r="C141" t="n">
        <v>1</v>
      </c>
      <c r="D141" t="n">
        <v>0</v>
      </c>
      <c r="F141" s="72" t="n">
        <v>0.05</v>
      </c>
      <c r="H141" t="inlineStr">
        <is>
          <t>1 shilling from Richard Ywon for release from the labour service for the land of le Capon this year.</t>
        </is>
      </c>
    </row>
    <row r="142">
      <c r="A142" t="inlineStr">
        <is>
          <t>Issues of the manor</t>
        </is>
      </c>
      <c r="B142" t="n">
        <v>0</v>
      </c>
      <c r="C142" t="n">
        <v>2</v>
      </c>
      <c r="D142" t="n">
        <v>0</v>
      </c>
      <c r="F142" s="72" t="n">
        <v>0.1</v>
      </c>
      <c r="H142" t="inlineStr">
        <is>
          <t>2 shilling from John Waremond for the same.</t>
        </is>
      </c>
    </row>
    <row r="143">
      <c r="A143" t="inlineStr">
        <is>
          <t>Issues of the manor</t>
        </is>
      </c>
      <c r="B143" t="n">
        <v>0</v>
      </c>
      <c r="C143" t="n">
        <v>2</v>
      </c>
      <c r="D143" t="n">
        <v>0</v>
      </c>
      <c r="F143" s="72" t="n">
        <v>0.1</v>
      </c>
      <c r="H143" t="inlineStr">
        <is>
          <t>2 shilling from Henry le Whyte for the land which belonged to Wrench'.</t>
        </is>
      </c>
    </row>
    <row r="144">
      <c r="A144" t="inlineStr">
        <is>
          <t>Issues of the manor</t>
        </is>
      </c>
      <c r="B144" t="n">
        <v>0</v>
      </c>
      <c r="C144" t="n">
        <v>3</v>
      </c>
      <c r="D144" t="n">
        <v>0</v>
      </c>
      <c r="F144" s="72" t="n">
        <v>0.15</v>
      </c>
      <c r="H144" t="inlineStr">
        <is>
          <t>3 shilling from Henry de Porcestr' for the same for the land of Dulch.</t>
        </is>
      </c>
    </row>
    <row r="145">
      <c r="A145" t="inlineStr">
        <is>
          <t>Issues of the manor</t>
        </is>
      </c>
      <c r="B145" t="n">
        <v>0</v>
      </c>
      <c r="C145" t="n">
        <v>2</v>
      </c>
      <c r="D145" t="n">
        <v>6</v>
      </c>
      <c r="F145" s="72" t="n">
        <v>0.12</v>
      </c>
      <c r="H145" t="inlineStr">
        <is>
          <t>2 shilling 6pence from John Rygou and Gilbert Frogg' for the same.</t>
        </is>
      </c>
    </row>
    <row r="146">
      <c r="A146" t="inlineStr">
        <is>
          <t>Issues of the manor</t>
        </is>
      </c>
      <c r="B146" t="n">
        <v>0</v>
      </c>
      <c r="C146" t="n">
        <v>2</v>
      </c>
      <c r="D146" t="n">
        <v>0</v>
      </c>
      <c r="F146" s="72" t="n">
        <v>0.1</v>
      </c>
      <c r="H146" t="inlineStr">
        <is>
          <t>2 shilling from Henry de Porcestr' for the same.</t>
        </is>
      </c>
    </row>
    <row r="147">
      <c r="A147" t="inlineStr">
        <is>
          <t>Issues of the manor</t>
        </is>
      </c>
      <c r="B147" t="n">
        <v>0</v>
      </c>
      <c r="C147" t="n">
        <v>1</v>
      </c>
      <c r="D147" t="n">
        <v>8</v>
      </c>
      <c r="F147" s="72" t="n">
        <v>0.08</v>
      </c>
      <c r="H147" t="inlineStr">
        <is>
          <t>1 shilling 8pence from John Chop' for the same.</t>
        </is>
      </c>
    </row>
    <row r="148">
      <c r="A148" t="inlineStr">
        <is>
          <t>Issues of the manor</t>
        </is>
      </c>
      <c r="B148" t="n">
        <v>0</v>
      </c>
      <c r="C148" t="n">
        <v>4</v>
      </c>
      <c r="D148" t="n">
        <v>0</v>
      </c>
      <c r="F148" s="72" t="n">
        <v>0.2</v>
      </c>
      <c r="H148" t="inlineStr">
        <is>
          <t>4 shilling from Richard Jacob for the same for the land at la Pund'.</t>
        </is>
      </c>
    </row>
    <row r="149">
      <c r="A149" t="inlineStr">
        <is>
          <t>Issues of the manor</t>
        </is>
      </c>
      <c r="B149" t="n">
        <v>0</v>
      </c>
      <c r="C149" t="n">
        <v>4</v>
      </c>
      <c r="D149" t="n">
        <v>0</v>
      </c>
      <c r="F149" s="72" t="n">
        <v>0.2</v>
      </c>
      <c r="H149" t="inlineStr">
        <is>
          <t>4 shilling from Henry Lypse for the same.</t>
        </is>
      </c>
    </row>
    <row r="150">
      <c r="A150" t="inlineStr">
        <is>
          <t>Issues of the manor</t>
        </is>
      </c>
      <c r="B150" t="n">
        <v>0</v>
      </c>
      <c r="C150" t="n">
        <v>6</v>
      </c>
      <c r="D150" t="n">
        <v>8</v>
      </c>
      <c r="F150" s="72" t="n">
        <v>0.33</v>
      </c>
      <c r="H150" t="inlineStr">
        <is>
          <t>6 shilling 8pence from Matilda ate Forde for release from her labour service at harvest-time.</t>
        </is>
      </c>
    </row>
    <row r="151">
      <c r="A151" t="inlineStr">
        <is>
          <t>Issues of the manor</t>
        </is>
      </c>
      <c r="B151" t="n">
        <v>0</v>
      </c>
      <c r="C151" t="n">
        <v>3</v>
      </c>
      <c r="D151" t="n">
        <v>0</v>
      </c>
      <c r="F151" s="72" t="n">
        <v>0.15</v>
      </c>
      <c r="H151" t="inlineStr">
        <is>
          <t>3 shilling from Thomas ate Ford' for the same.</t>
        </is>
      </c>
    </row>
    <row r="152">
      <c r="A152" t="inlineStr">
        <is>
          <t>Issues of the manor</t>
        </is>
      </c>
      <c r="B152" t="n">
        <v>4</v>
      </c>
      <c r="C152" t="n">
        <v>11</v>
      </c>
      <c r="D152" t="n">
        <v>0</v>
      </c>
      <c r="F152" s="72" t="n">
        <v>4.55</v>
      </c>
      <c r="H152" t="inlineStr">
        <is>
          <t>£4 11 shilling from the labour services of 7 carters sold this year, at 13 shilling 4pence a carter.</t>
        </is>
      </c>
    </row>
    <row r="153">
      <c r="A153" t="inlineStr">
        <is>
          <t>Issues of the manor</t>
        </is>
      </c>
      <c r="B153" t="n">
        <v>0</v>
      </c>
      <c r="C153" t="n">
        <v>0</v>
      </c>
      <c r="D153" t="n">
        <v>0</v>
      </c>
      <c r="F153" s="72" t="n">
        <v>0</v>
      </c>
      <c r="H153" t="inlineStr">
        <is>
          <t>nothing from small labour services before and during harvest-time this year because they were worked.</t>
        </is>
      </c>
    </row>
    <row r="154">
      <c r="A154" t="inlineStr">
        <is>
          <t>Issues of the manor</t>
        </is>
      </c>
      <c r="B154" t="n">
        <v>4</v>
      </c>
      <c r="C154" t="n">
        <v>16</v>
      </c>
      <c r="D154" t="n">
        <v>10.5</v>
      </c>
      <c r="F154" s="72" t="n">
        <v>4.84</v>
      </c>
      <c r="H154" t="inlineStr">
        <is>
          <t>£4 16 shilling 10.5pence from the hundred for release from the labour service for the demesne lands leased for rent, because so many more were accustomed to work, and because 3 shilling 2.5pence are subtracted for the lands which Richard Wodeloc and John Everard hold who are now affirmed free by charter of the lord, that is, for the land of la Fryth' which John Everard holds and the land of Cotehull' which Richard Wodoloc holds.</t>
        </is>
      </c>
    </row>
    <row r="155">
      <c r="A155" t="inlineStr">
        <is>
          <t>Issues of the manor</t>
        </is>
      </c>
      <c r="B155" t="n">
        <v>1</v>
      </c>
      <c r="C155" t="n">
        <v>5</v>
      </c>
      <c r="D155" t="n">
        <v>0</v>
      </c>
      <c r="F155" s="72" t="n">
        <v>1.25</v>
      </c>
      <c r="H155" t="inlineStr">
        <is>
          <t>£1 5 shilling from oaks felled in the park for killing foxes.</t>
        </is>
      </c>
    </row>
    <row r="156">
      <c r="A156" t="inlineStr">
        <is>
          <t>Issues of the manor</t>
        </is>
      </c>
      <c r="B156" t="n">
        <v>0</v>
      </c>
      <c r="C156" t="n">
        <v>16</v>
      </c>
      <c r="D156" t="n">
        <v>8</v>
      </c>
      <c r="F156" s="72" t="n">
        <v>0.83</v>
      </c>
      <c r="H156" t="inlineStr">
        <is>
          <t>16 shilling 8pence from 50 acres of land on Almesholte let at farm this year, at 4pence an acre.</t>
        </is>
      </c>
    </row>
    <row r="157">
      <c r="A157" t="inlineStr">
        <is>
          <t>Issues of the manor</t>
        </is>
      </c>
      <c r="B157" t="n">
        <v>0</v>
      </c>
      <c r="C157" t="n">
        <v>0</v>
      </c>
      <c r="D157" t="n">
        <v>5</v>
      </c>
      <c r="F157" s="72" t="n">
        <v>0.02</v>
      </c>
      <c r="H157" t="inlineStr">
        <is>
          <t>5pence from the tails and feathers of 2 peacocks.</t>
        </is>
      </c>
    </row>
    <row r="158">
      <c r="A158" t="inlineStr">
        <is>
          <t>Issues of the manor</t>
        </is>
      </c>
      <c r="B158" t="n">
        <v>0</v>
      </c>
      <c r="C158" t="n">
        <v>3</v>
      </c>
      <c r="D158" t="n">
        <v>2</v>
      </c>
      <c r="F158" s="72" t="n">
        <v>0.16</v>
      </c>
      <c r="H158" t="inlineStr">
        <is>
          <t>3 shilling 5V2pence from dairy produce sold at the audit.</t>
        </is>
      </c>
    </row>
    <row r="159">
      <c r="A159" t="inlineStr">
        <is>
          <t>Issues of the manor</t>
        </is>
      </c>
      <c r="B159" t="n">
        <v>19</v>
      </c>
      <c r="C159" t="n">
        <v>7</v>
      </c>
      <c r="D159" t="n">
        <v>7</v>
      </c>
      <c r="F159" s="72" t="n">
        <v>19.38</v>
      </c>
      <c r="H159" t="inlineStr">
        <is>
          <t xml:space="preserve">£19 7 shilling 7pence from 50 Yearlings bought and agisted in the park the previous year and afterwards solpence </t>
        </is>
      </c>
    </row>
    <row r="160">
      <c r="A160" t="inlineStr">
        <is>
          <t>Issues of the manor</t>
        </is>
      </c>
      <c r="B160" t="n">
        <v>77</v>
      </c>
      <c r="C160" t="n">
        <v>8</v>
      </c>
      <c r="D160" t="n">
        <v>1</v>
      </c>
      <c r="F160" s="72">
        <f>B160+C160/20+D160/240</f>
        <v/>
      </c>
      <c r="H160" t="inlineStr">
        <is>
          <t>Total, £77 8 shilling 1pence</t>
        </is>
      </c>
    </row>
    <row r="161">
      <c r="A161" t="inlineStr">
        <is>
          <t>Issues of the manor</t>
        </is>
      </c>
      <c r="F161" s="72" t="n">
        <v>77.40000000000001</v>
      </c>
      <c r="G161" s="139">
        <f>F161-F160</f>
        <v/>
      </c>
      <c r="H161" t="inlineStr">
        <is>
          <t>Total</t>
        </is>
      </c>
    </row>
    <row r="162"/>
    <row r="163">
      <c r="A163" t="inlineStr">
        <is>
          <t>Sale of corn</t>
        </is>
      </c>
      <c r="B163" t="n">
        <v>22</v>
      </c>
      <c r="C163" t="n">
        <v>15</v>
      </c>
      <c r="D163" t="n">
        <v>8.5</v>
      </c>
      <c r="F163" s="72" t="n">
        <v>22.79</v>
      </c>
      <c r="H163" t="inlineStr">
        <is>
          <t>The same render account for £22 15 shilling 8.5pence from 73.5 quarters of wheat sold, at 5 shilling a qr for 7.5 quarters 1 bushels, 5 shilling 4pence a qr for 6.5 quarters, 6 shilling a qr for 19 quarters 3 bushels, and 6 shilling 8pence a qr for 40 quarters..</t>
        </is>
      </c>
    </row>
    <row r="164">
      <c r="A164" t="inlineStr">
        <is>
          <t>Sale of corn</t>
        </is>
      </c>
      <c r="B164" t="n">
        <v>0</v>
      </c>
      <c r="C164" t="n">
        <v>17</v>
      </c>
      <c r="D164" t="n">
        <v>5.75</v>
      </c>
      <c r="F164" s="72" t="n">
        <v>0.87</v>
      </c>
      <c r="H164" t="inlineStr">
        <is>
          <t>17 shilling 5.75pence from 8 quarters' bushels of curall sold, at 2 shilling a qr for 4 quarters, and 2 shilling 4pence a qr for 4 quarters .5 bushels.</t>
        </is>
      </c>
    </row>
    <row r="165">
      <c r="A165" t="inlineStr">
        <is>
          <t>Sale of corn</t>
        </is>
      </c>
      <c r="B165" t="n">
        <v>1</v>
      </c>
      <c r="C165" t="n">
        <v>1</v>
      </c>
      <c r="D165" t="n">
        <v>3</v>
      </c>
      <c r="F165" s="72" t="n">
        <v>1.06</v>
      </c>
      <c r="H165" t="inlineStr">
        <is>
          <t>£1 1 shilling 3pence from 5 quarters 2.5 bushels of barley sold, at 4 shilling a qr.</t>
        </is>
      </c>
    </row>
    <row r="166">
      <c r="A166" t="inlineStr">
        <is>
          <t>Sale of corn</t>
        </is>
      </c>
      <c r="B166" t="n">
        <v>6</v>
      </c>
      <c r="C166" t="n">
        <v>13</v>
      </c>
      <c r="D166" t="n">
        <v>10</v>
      </c>
      <c r="F166" s="72" t="n">
        <v>6.69</v>
      </c>
      <c r="H166" t="inlineStr">
        <is>
          <t>£6 13 shilling 10pence from 58.5 quarters 3 bus, of oats sold, at 2 shilling a qr for 31 quarters, 2 shilling 4pence a qr for 7.5 quarters, and 2 shilling 8pence a qr for 20 quarters 3 bushels.</t>
        </is>
      </c>
    </row>
    <row r="167">
      <c r="A167" t="inlineStr">
        <is>
          <t>Sale of corn</t>
        </is>
      </c>
      <c r="B167" t="n">
        <v>0</v>
      </c>
      <c r="C167" t="n">
        <v>0</v>
      </c>
      <c r="D167" t="n">
        <v>8</v>
      </c>
      <c r="F167" s="72" t="n">
        <v>0.03</v>
      </c>
      <c r="H167" t="inlineStr">
        <is>
          <t>8pence from 2 bushels of peas sold.</t>
        </is>
      </c>
    </row>
    <row r="168">
      <c r="A168" t="inlineStr">
        <is>
          <t>Sale of corn</t>
        </is>
      </c>
      <c r="B168" t="n">
        <v>0</v>
      </c>
      <c r="C168" t="n">
        <v>4</v>
      </c>
      <c r="D168" t="n">
        <v>3</v>
      </c>
      <c r="F168" s="72" t="n">
        <v>0.21</v>
      </c>
      <c r="H168" t="inlineStr">
        <is>
          <t>4 shilling 3pence from 2 quarters 1 bushels of vetches sold, at 2 shilling a qr.</t>
        </is>
      </c>
    </row>
    <row r="169">
      <c r="A169" t="inlineStr">
        <is>
          <t>Sale of corn</t>
        </is>
      </c>
      <c r="B169" t="n">
        <v>31</v>
      </c>
      <c r="C169" t="n">
        <v>13</v>
      </c>
      <c r="D169" t="n">
        <v>2.25</v>
      </c>
      <c r="F169" s="72" t="n">
        <v>31.66</v>
      </c>
      <c r="H169" t="inlineStr">
        <is>
          <t>Total, £31 13 shilling 2.25pence</t>
        </is>
      </c>
    </row>
    <row r="170">
      <c r="A170" t="inlineStr">
        <is>
          <t>Sale of corn</t>
        </is>
      </c>
      <c r="F170" s="72">
        <f>+F175+F184</f>
        <v/>
      </c>
      <c r="G170" s="139" t="n">
        <v>-0.01000000000000156</v>
      </c>
      <c r="H170" t="inlineStr">
        <is>
          <t>Total</t>
        </is>
      </c>
    </row>
    <row r="171"/>
    <row r="172">
      <c r="A172" t="inlineStr">
        <is>
          <t>East mill</t>
        </is>
      </c>
      <c r="B172" t="n">
        <v>0</v>
      </c>
      <c r="C172" t="n">
        <v>7</v>
      </c>
      <c r="D172" t="n">
        <v>7</v>
      </c>
      <c r="F172" s="72" t="n">
        <v>0.38</v>
      </c>
      <c r="H172" t="inlineStr">
        <is>
          <t>The same render account for 7 shilling 7pence from 1 qr 3 bushels of wheat sold, at 5 shilling 4pence for 1 qr, and 9pence a bushels for 3 bushels.</t>
        </is>
      </c>
    </row>
    <row r="173">
      <c r="A173" t="inlineStr">
        <is>
          <t>East mill</t>
        </is>
      </c>
      <c r="B173" t="n">
        <v>3</v>
      </c>
      <c r="C173" t="n">
        <v>3</v>
      </c>
      <c r="D173" t="n">
        <v>6</v>
      </c>
      <c r="F173" s="72" t="n">
        <v>3.17</v>
      </c>
      <c r="H173" t="inlineStr">
        <is>
          <t xml:space="preserve">£3 3 shilling 6pence from 18 quarters 1 bushels of maslin sold, at 3 shilling 4pence a qr for 7 quarters, and 4 shilling a qr for 8 quarters 1 bushels </t>
        </is>
      </c>
    </row>
    <row r="174">
      <c r="A174" t="inlineStr">
        <is>
          <t>East mill</t>
        </is>
      </c>
      <c r="B174" t="n">
        <v>3</v>
      </c>
      <c r="C174" t="n">
        <v>11</v>
      </c>
      <c r="D174" t="n">
        <v>1</v>
      </c>
      <c r="F174" s="72">
        <f>B174+C174/20+D174/240</f>
        <v/>
      </c>
      <c r="H174" t="inlineStr">
        <is>
          <t>Total, £3 11 shilling 1pence</t>
        </is>
      </c>
    </row>
    <row r="175">
      <c r="A175" t="inlineStr">
        <is>
          <t>East mill</t>
        </is>
      </c>
      <c r="F175" s="72" t="n">
        <v>3.55</v>
      </c>
      <c r="G175" s="139">
        <f>F175-F174</f>
        <v/>
      </c>
      <c r="H175" t="inlineStr">
        <is>
          <t>Total</t>
        </is>
      </c>
    </row>
    <row r="176"/>
    <row r="177">
      <c r="A177" t="inlineStr">
        <is>
          <t>Mill outside the gate</t>
        </is>
      </c>
      <c r="B177" t="n">
        <v>0</v>
      </c>
      <c r="C177" t="n">
        <v>6</v>
      </c>
      <c r="D177" t="n">
        <v>3</v>
      </c>
      <c r="F177" s="72" t="n">
        <v>0.31</v>
      </c>
      <c r="H177" t="inlineStr">
        <is>
          <t>The same render account for 6 shilling 3pence from 1 qr 1 bushels of wheat sold, at 7pence for 1 bushels, 8pence a bushels for 4 bushels, and 9pence a bushels for 3 bushels.</t>
        </is>
      </c>
    </row>
    <row r="178">
      <c r="A178" t="inlineStr">
        <is>
          <t>Mill outside the gate</t>
        </is>
      </c>
      <c r="B178" t="n">
        <v>0</v>
      </c>
      <c r="C178" t="n">
        <v>9</v>
      </c>
      <c r="D178" t="n">
        <v>1</v>
      </c>
      <c r="F178" s="72" t="n">
        <v>0.45</v>
      </c>
      <c r="H178" t="inlineStr">
        <is>
          <t>9 shilling 2r.5-1pence from 2 quarters 5 bushels of maslin sold, at 4.5pence a bushels for 5 bushels, 3 shilling 4pence for 1 qr, and 4 shilling for 1 qr.</t>
        </is>
      </c>
    </row>
    <row r="179">
      <c r="A179" t="inlineStr">
        <is>
          <t>Mill outside the gate</t>
        </is>
      </c>
      <c r="B179" t="n">
        <v>1</v>
      </c>
      <c r="C179" t="n">
        <v>12</v>
      </c>
      <c r="D179" t="n">
        <v>4</v>
      </c>
      <c r="F179" s="72" t="n">
        <v>1.62</v>
      </c>
      <c r="H179" t="inlineStr">
        <is>
          <t>£1 12 shilling 4pence from 5 quarters 5.5 bushels of coarse-ground corn sold, at 5 shilling 4pence a qr for 2 quarters 5.5 bushels, and 6 shilling a qr for 3 quarters.</t>
        </is>
      </c>
    </row>
    <row r="180">
      <c r="A180" t="inlineStr">
        <is>
          <t>Mill outside the gate</t>
        </is>
      </c>
      <c r="B180" t="n">
        <v>1</v>
      </c>
      <c r="C180" t="n">
        <v>13</v>
      </c>
      <c r="D180" t="n">
        <v>8</v>
      </c>
      <c r="F180" s="72" t="n">
        <v>1.68</v>
      </c>
      <c r="H180" t="inlineStr">
        <is>
          <t>£1 13 shilling 8pence from 13.5 quarters of malt sold, at 2 shilling 4pence a qr for 5 quarters, 2 shilling 6pence a qr for 4 quarters, and 2 shilling 8pence a qr for 4.5 quarters.</t>
        </is>
      </c>
    </row>
    <row r="181">
      <c r="A181" t="inlineStr">
        <is>
          <t>Mill outside the gate</t>
        </is>
      </c>
      <c r="B181" t="n">
        <v>0</v>
      </c>
      <c r="C181" t="n">
        <v>6</v>
      </c>
      <c r="D181" t="n">
        <v>8</v>
      </c>
      <c r="F181">
        <f>B181+C181/20+D181/240</f>
        <v/>
      </c>
      <c r="H181" t="inlineStr">
        <is>
          <t xml:space="preserve">6 shilling 8pence from 1 qr of oatmeal solpence </t>
        </is>
      </c>
    </row>
    <row r="182">
      <c r="A182" t="inlineStr">
        <is>
          <t>Mill outside the gate</t>
        </is>
      </c>
      <c r="B182" t="n">
        <v>4</v>
      </c>
      <c r="C182" t="n">
        <v>8</v>
      </c>
      <c r="D182" t="n">
        <v>1.5</v>
      </c>
      <c r="F182" s="72" t="n">
        <v>4.41</v>
      </c>
      <c r="H182" t="inlineStr">
        <is>
          <t xml:space="preserve">Total, £4 8 shilling 1.5pence </t>
        </is>
      </c>
    </row>
    <row r="183">
      <c r="A183" t="inlineStr">
        <is>
          <t>Mill outside the gate</t>
        </is>
      </c>
      <c r="B183" t="n">
        <v>7</v>
      </c>
      <c r="C183" t="n">
        <v>19</v>
      </c>
      <c r="D183" t="n">
        <v>2.5</v>
      </c>
      <c r="F183" s="72">
        <f>B183+C183/20+D183/240</f>
        <v/>
      </c>
      <c r="H183" t="inlineStr">
        <is>
          <t>Total of both, £7 19 shilling 2.5pence</t>
        </is>
      </c>
    </row>
    <row r="184">
      <c r="A184" t="inlineStr">
        <is>
          <t>Mill outside the gate</t>
        </is>
      </c>
      <c r="F184" s="72">
        <f>F182+F174</f>
        <v/>
      </c>
      <c r="G184" s="139">
        <f>F184-F183</f>
        <v/>
      </c>
      <c r="H184" t="inlineStr">
        <is>
          <t>Total</t>
        </is>
      </c>
    </row>
    <row r="185"/>
    <row r="186"/>
    <row r="187">
      <c r="A187" t="inlineStr">
        <is>
          <t>Entry and marriage fines</t>
        </is>
      </c>
      <c r="B187" t="n">
        <v>0</v>
      </c>
      <c r="C187" t="n">
        <v>10</v>
      </c>
      <c r="D187" t="n">
        <v>0</v>
      </c>
      <c r="F187" s="72" t="n">
        <v>0.5</v>
      </c>
      <c r="H187" t="inlineStr">
        <is>
          <t>The same render account for 10 shilling from the 2 tithings of Bishops Waltham for tithingpenny at the hundred-court of Martinmas (11 November).</t>
        </is>
      </c>
    </row>
    <row r="188">
      <c r="A188" t="inlineStr">
        <is>
          <t>Entry and marriage fines</t>
        </is>
      </c>
      <c r="B188" t="n">
        <v>0</v>
      </c>
      <c r="C188" t="n">
        <v>4</v>
      </c>
      <c r="D188" t="n">
        <v>0</v>
      </c>
      <c r="F188" s="72" t="n">
        <v>0.2</v>
      </c>
      <c r="H188" t="inlineStr">
        <is>
          <t>4 shilling from the tithing of Mensingefeld' for the same.</t>
        </is>
      </c>
    </row>
    <row r="189">
      <c r="A189" t="inlineStr">
        <is>
          <t>Entry and marriage fines</t>
        </is>
      </c>
      <c r="B189" t="n">
        <v>0</v>
      </c>
      <c r="C189" t="n">
        <v>4</v>
      </c>
      <c r="D189" t="n">
        <v>0</v>
      </c>
      <c r="F189" s="72" t="n">
        <v>0.2</v>
      </c>
      <c r="H189" t="inlineStr">
        <is>
          <t>4 shilling from the tithing of Bursledon for the same.</t>
        </is>
      </c>
    </row>
    <row r="190">
      <c r="A190" t="inlineStr">
        <is>
          <t>Entry and marriage fines</t>
        </is>
      </c>
      <c r="B190" t="n">
        <v>0</v>
      </c>
      <c r="C190" t="n">
        <v>1</v>
      </c>
      <c r="D190" t="n">
        <v>6</v>
      </c>
      <c r="F190" s="72" t="n">
        <v>0.08</v>
      </c>
      <c r="H190" t="inlineStr">
        <is>
          <t>1 shilling 6pence from the tithing of Hou for the same.</t>
        </is>
      </c>
    </row>
    <row r="191">
      <c r="A191" t="inlineStr">
        <is>
          <t>Entry and marriage fines</t>
        </is>
      </c>
      <c r="B191" t="n">
        <v>0</v>
      </c>
      <c r="C191" t="n">
        <v>4</v>
      </c>
      <c r="D191" t="n">
        <v>0</v>
      </c>
      <c r="F191" s="72" t="n">
        <v>0.2</v>
      </c>
      <c r="H191" t="inlineStr">
        <is>
          <t>4 shilling from the tithing of Wangefeld' for the same.</t>
        </is>
      </c>
    </row>
    <row r="192">
      <c r="A192" t="inlineStr">
        <is>
          <t>Entry and marriage fines</t>
        </is>
      </c>
      <c r="B192" t="n">
        <v>0</v>
      </c>
      <c r="C192" t="n">
        <v>3</v>
      </c>
      <c r="D192" t="n">
        <v>0</v>
      </c>
      <c r="F192" s="72" t="n">
        <v>0.15</v>
      </c>
      <c r="H192" t="inlineStr">
        <is>
          <t>3 shilling from the tithing of Durley for the same.</t>
        </is>
      </c>
    </row>
    <row r="193">
      <c r="A193" t="inlineStr">
        <is>
          <t>Entry and marriage fines</t>
        </is>
      </c>
      <c r="B193" t="n">
        <v>0</v>
      </c>
      <c r="C193" t="n">
        <v>2</v>
      </c>
      <c r="D193" t="n">
        <v>6</v>
      </c>
      <c r="F193" s="72" t="n">
        <v>0.12</v>
      </c>
      <c r="H193" t="inlineStr">
        <is>
          <t>2 shilling 6pence from the tithing of Wyntershll' for the same.</t>
        </is>
      </c>
    </row>
    <row r="194">
      <c r="A194" t="inlineStr">
        <is>
          <t>Entry and marriage fines</t>
        </is>
      </c>
      <c r="B194" t="n">
        <v>0</v>
      </c>
      <c r="C194" t="n">
        <v>3</v>
      </c>
      <c r="D194" t="n">
        <v>0</v>
      </c>
      <c r="F194" s="72" t="n">
        <v>0.15</v>
      </c>
      <c r="H194" t="inlineStr">
        <is>
          <t>3 shilling from the tithing of Upham for the same.</t>
        </is>
      </c>
    </row>
    <row r="195">
      <c r="A195" t="inlineStr">
        <is>
          <t>Entry and marriage fines</t>
        </is>
      </c>
      <c r="B195" t="n">
        <v>0</v>
      </c>
      <c r="C195" t="n">
        <v>3</v>
      </c>
      <c r="D195" t="n">
        <v>0</v>
      </c>
      <c r="F195" s="72" t="n">
        <v>0.15</v>
      </c>
      <c r="H195" t="inlineStr">
        <is>
          <t>3 shilling from the tithing of Wodekot' for the same.</t>
        </is>
      </c>
    </row>
    <row r="196">
      <c r="A196" t="inlineStr">
        <is>
          <t>Entry and marriage fines</t>
        </is>
      </c>
      <c r="B196" t="n">
        <v>0</v>
      </c>
      <c r="C196" t="n">
        <v>3</v>
      </c>
      <c r="D196" t="n">
        <v>0</v>
      </c>
      <c r="F196" s="72" t="n">
        <v>0.15</v>
      </c>
      <c r="H196" t="inlineStr">
        <is>
          <t>3 shilling from the tithing of Ashton for the same.</t>
        </is>
      </c>
    </row>
    <row r="197">
      <c r="A197" t="inlineStr">
        <is>
          <t>Entry and marriage fines</t>
        </is>
      </c>
      <c r="B197" t="n">
        <v>1</v>
      </c>
      <c r="C197" t="n">
        <v>18</v>
      </c>
      <c r="D197" t="n">
        <v>0</v>
      </c>
      <c r="F197" s="72" t="n">
        <v>1.9</v>
      </c>
      <c r="H197" t="inlineStr">
        <is>
          <t>£1 18 shilling from the same tithings for tithingpenny at the hundred-court of Hockday (1 May).</t>
        </is>
      </c>
    </row>
    <row r="198">
      <c r="A198" t="inlineStr">
        <is>
          <t>Entry and marriage fines</t>
        </is>
      </c>
      <c r="B198" t="n">
        <v>0</v>
      </c>
      <c r="C198" t="n">
        <v>6</v>
      </c>
      <c r="D198" t="n">
        <v>8</v>
      </c>
      <c r="F198" s="72" t="n">
        <v>0.33</v>
      </c>
      <c r="H198" t="inlineStr">
        <is>
          <t>6 shilling 8pence from Mork to have a third of .5 virgate of land which belonged to Agnes his mother.</t>
        </is>
      </c>
    </row>
    <row r="199">
      <c r="A199" t="inlineStr">
        <is>
          <t>Entry and marriage fines</t>
        </is>
      </c>
      <c r="B199" t="n">
        <v>0</v>
      </c>
      <c r="C199" t="n">
        <v>2</v>
      </c>
      <c r="D199" t="n">
        <v>0</v>
      </c>
      <c r="F199" s="72" t="n">
        <v>0.1</v>
      </c>
      <c r="H199" t="inlineStr">
        <is>
          <t>2 shilling from Robert ate Fryth' to have 2 day-works (daywrk') of land by surrender of the said le Cokery, to build and live on the said holding.</t>
        </is>
      </c>
    </row>
    <row r="200">
      <c r="A200" t="inlineStr">
        <is>
          <t>Entry and marriage fines</t>
        </is>
      </c>
      <c r="B200" t="n">
        <v>0</v>
      </c>
      <c r="C200" t="n">
        <v>13</v>
      </c>
      <c r="D200" t="n">
        <v>4</v>
      </c>
      <c r="F200" s="72" t="n">
        <v>0.67</v>
      </c>
      <c r="H200" t="inlineStr">
        <is>
          <t>13 shilling 4pence from Adam ate Brok to have Laura, who was wife of Roger ate Wynd', with her land.</t>
        </is>
      </c>
    </row>
    <row r="201">
      <c r="A201" t="inlineStr">
        <is>
          <t>Entry and marriage fines</t>
        </is>
      </c>
      <c r="B201" t="n">
        <v>0</v>
      </c>
      <c r="C201" t="n">
        <v>2</v>
      </c>
      <c r="D201" t="n">
        <v>0</v>
      </c>
      <c r="F201" s="72" t="n">
        <v>0.1</v>
      </c>
      <c r="H201" t="inlineStr">
        <is>
          <t>2 shilling from Alice, relict of John le Duk', to retain 1 ferling of land which belonged to her husband.</t>
        </is>
      </c>
    </row>
    <row r="202">
      <c r="A202" t="inlineStr">
        <is>
          <t>Entry and marriage fines</t>
        </is>
      </c>
      <c r="B202" t="n">
        <v>0</v>
      </c>
      <c r="C202" t="n">
        <v>1</v>
      </c>
      <c r="D202" t="n">
        <v>0</v>
      </c>
      <c r="F202" s="72" t="n">
        <v>0.05</v>
      </c>
      <c r="H202" t="inlineStr">
        <is>
          <t>1 shilling from Agnes, who was wife of John Shope, to retain 1 cottage and 1 curtilage which belonged to her husband.</t>
        </is>
      </c>
    </row>
    <row r="203">
      <c r="A203" t="inlineStr">
        <is>
          <t>Entry and marriage fines</t>
        </is>
      </c>
      <c r="B203" t="n">
        <v>9</v>
      </c>
      <c r="C203" t="n">
        <v>0</v>
      </c>
      <c r="D203" t="n">
        <v>0</v>
      </c>
      <c r="F203" s="72" t="n">
        <v>9</v>
      </c>
      <c r="H203" t="inlineStr">
        <is>
          <t>£9 from Richard Everard' to have 1 ferling of land by surrender of Walter Ude.</t>
        </is>
      </c>
    </row>
    <row r="204">
      <c r="A204" t="inlineStr">
        <is>
          <t>Entry and marriage fines</t>
        </is>
      </c>
      <c r="B204" t="n">
        <v>0</v>
      </c>
      <c r="C204" t="n">
        <v>2</v>
      </c>
      <c r="D204" t="n">
        <v>0</v>
      </c>
      <c r="F204" s="72" t="n">
        <v>0.1</v>
      </c>
      <c r="H204" t="inlineStr">
        <is>
          <t>2 shilling from Mice, relict of Henry Wygayn, to retain 1 cottage and 1 curtilage which belonged to her husband.</t>
        </is>
      </c>
    </row>
    <row r="205">
      <c r="A205" t="inlineStr">
        <is>
          <t>Entry and marriage fines</t>
        </is>
      </c>
      <c r="B205" t="n">
        <v>0</v>
      </c>
      <c r="C205" t="n">
        <v>6</v>
      </c>
      <c r="D205" t="n">
        <v>8</v>
      </c>
      <c r="F205" s="72" t="n">
        <v>0.33</v>
      </c>
      <c r="H205" t="inlineStr">
        <is>
          <t>6 shilling 8pence from Isabel, who was wife of Henry le French', to retain .5 virgate of land which belonged to her husband.</t>
        </is>
      </c>
    </row>
    <row r="206">
      <c r="A206" t="inlineStr">
        <is>
          <t>Entry and marriage fines</t>
        </is>
      </c>
      <c r="B206" t="n">
        <v>0</v>
      </c>
      <c r="C206" t="n">
        <v>4</v>
      </c>
      <c r="D206" t="n">
        <v>0</v>
      </c>
      <c r="F206" s="72" t="n">
        <v>0.2</v>
      </c>
      <c r="H206" t="inlineStr">
        <is>
          <t>4 shilling from Matilda, relict of Richard Moysent, to retain 1 ferling of land and 2 messuages which belonged to her husband.</t>
        </is>
      </c>
    </row>
    <row r="207">
      <c r="A207" t="inlineStr">
        <is>
          <t>Entry and marriage fines</t>
        </is>
      </c>
      <c r="B207" t="n">
        <v>0</v>
      </c>
      <c r="C207" t="n">
        <v>6</v>
      </c>
      <c r="D207" t="n">
        <v>8</v>
      </c>
      <c r="F207" s="72" t="n">
        <v>0.33</v>
      </c>
      <c r="H207" t="inlineStr">
        <is>
          <t>6 shilling 8pence from Juliana, relict of Richard Boll', to retain 2 messuages 2 acres of land which belonged to her husband.</t>
        </is>
      </c>
    </row>
    <row r="208">
      <c r="A208" t="inlineStr">
        <is>
          <t>Entry and marriage fines</t>
        </is>
      </c>
      <c r="B208" t="n">
        <v>0</v>
      </c>
      <c r="C208" t="n">
        <v>0</v>
      </c>
      <c r="D208" t="n">
        <v>0</v>
      </c>
      <c r="F208" s="72" t="n">
        <v>0</v>
      </c>
      <c r="H208" t="inlineStr">
        <is>
          <t>55. from William Coperych' to have Joan Walot with 1 messuage and 1 curtilage.</t>
        </is>
      </c>
    </row>
    <row r="209">
      <c r="A209" t="inlineStr">
        <is>
          <t>Entry and marriage fines</t>
        </is>
      </c>
      <c r="B209" t="n">
        <v>0</v>
      </c>
      <c r="C209" t="n">
        <v>1</v>
      </c>
      <c r="D209" t="n">
        <v>0</v>
      </c>
      <c r="F209" s="72" t="n">
        <v>0.05</v>
      </c>
      <c r="H209" t="inlineStr">
        <is>
          <t>1 shilling from Sibyl, who was wife of Roger Cutel, to retain 1 ferling of land which belonged to her husband, 2 shilling from Henry le Whyte to have 4 acres of purpresture by surrender of Robert Wydecok in la Lygh'.</t>
        </is>
      </c>
    </row>
    <row r="210">
      <c r="A210" t="inlineStr">
        <is>
          <t>Entry and marriage fines</t>
        </is>
      </c>
      <c r="B210" t="n">
        <v>0</v>
      </c>
      <c r="C210" t="n">
        <v>1</v>
      </c>
      <c r="D210" t="n">
        <v>0</v>
      </c>
      <c r="F210" s="72" t="n">
        <v>0.05</v>
      </c>
      <c r="H210" t="inlineStr">
        <is>
          <t>1 shilling from Lucy, relict of William Edmond, to retain 1 cottage which belonged to her husband.</t>
        </is>
      </c>
    </row>
    <row r="211">
      <c r="A211" t="inlineStr">
        <is>
          <t>Entry and marriage fines</t>
        </is>
      </c>
      <c r="B211" t="n">
        <v>0</v>
      </c>
      <c r="C211" t="n">
        <v>2</v>
      </c>
      <c r="D211" t="n">
        <v>0</v>
      </c>
      <c r="F211" s="72" t="n">
        <v>0.1</v>
      </c>
      <c r="H211" t="inlineStr">
        <is>
          <t>2 shilling from Roger, son of William Faber of Bursledon, to have .5 ferling of land which belonged to his father.</t>
        </is>
      </c>
    </row>
    <row r="212">
      <c r="A212" t="inlineStr">
        <is>
          <t>Entry and marriage fines</t>
        </is>
      </c>
      <c r="B212" t="n">
        <v>0</v>
      </c>
      <c r="C212" t="n">
        <v>1</v>
      </c>
      <c r="D212" t="n">
        <v>0</v>
      </c>
      <c r="F212" s="72" t="n">
        <v>0.05</v>
      </c>
      <c r="H212" t="inlineStr">
        <is>
          <t>1 shilling from Richard de Farnham to have 1 messuage with 1 curtilage by surrender of John Bor.</t>
        </is>
      </c>
    </row>
    <row r="213">
      <c r="A213" t="inlineStr">
        <is>
          <t>Entry and marriage fines</t>
        </is>
      </c>
      <c r="B213" t="n">
        <v>0</v>
      </c>
      <c r="C213" t="n">
        <v>13</v>
      </c>
      <c r="D213" t="n">
        <v>4</v>
      </c>
      <c r="F213" s="72" t="n">
        <v>0.67</v>
      </c>
      <c r="H213" t="inlineStr">
        <is>
          <t>13 shilling 4pence from Alexander Bronyng' to have 0.5 ferling of land by surrender of Juliana Brond.</t>
        </is>
      </c>
    </row>
    <row r="214">
      <c r="A214" t="inlineStr">
        <is>
          <t>Entry and marriage fines</t>
        </is>
      </c>
      <c r="B214" t="n">
        <v>1</v>
      </c>
      <c r="C214" t="n">
        <v>6</v>
      </c>
      <c r="D214" t="n">
        <v>8</v>
      </c>
      <c r="F214" s="72" t="n">
        <v>1.33</v>
      </c>
      <c r="H214" t="inlineStr">
        <is>
          <t>£1 6 shilling 8pence from Adam ate Hull' to have 1 messuage' virgate of land which belonged to his father.</t>
        </is>
      </c>
    </row>
    <row r="215">
      <c r="A215" t="inlineStr">
        <is>
          <t>Entry and marriage fines</t>
        </is>
      </c>
      <c r="B215" t="n">
        <v>1</v>
      </c>
      <c r="C215" t="n">
        <v>0</v>
      </c>
      <c r="D215" t="n">
        <v>0</v>
      </c>
      <c r="F215" s="72" t="n">
        <v>1</v>
      </c>
      <c r="H215" t="inlineStr">
        <is>
          <t>£1 from John le Bor to have .5 ferling of land by surrender of Henry ate Aysse.</t>
        </is>
      </c>
    </row>
    <row r="216">
      <c r="A216" t="inlineStr">
        <is>
          <t>Entry and marriage fines</t>
        </is>
      </c>
      <c r="B216" t="n">
        <v>1</v>
      </c>
      <c r="C216" t="n">
        <v>0</v>
      </c>
      <c r="D216" t="n">
        <v>0</v>
      </c>
      <c r="F216" s="72" t="n">
        <v>1</v>
      </c>
      <c r="H216" t="inlineStr">
        <is>
          <t>£1 from Alice, relict of Roginald de Porteslad', to retain 1 messuage and' ferling of land and various purprestures which belonged to her husband.</t>
        </is>
      </c>
    </row>
    <row r="217">
      <c r="A217" t="inlineStr">
        <is>
          <t>Entry and marriage fines</t>
        </is>
      </c>
      <c r="B217" t="n">
        <v>5</v>
      </c>
      <c r="C217" t="n">
        <v>0</v>
      </c>
      <c r="D217" t="n">
        <v>0</v>
      </c>
      <c r="F217" s="72" t="n">
        <v>5</v>
      </c>
      <c r="H217" t="inlineStr">
        <is>
          <t>£5 from Richard Ywon to have 1 messuage and a third of 1 virgate of land which belonged to martin de Yulley, father of Margaret, wife of the aforesaid Richard, whose heir she is.</t>
        </is>
      </c>
    </row>
    <row r="218">
      <c r="A218" t="inlineStr">
        <is>
          <t>Entry and marriage fines</t>
        </is>
      </c>
      <c r="B218" t="n">
        <v>0</v>
      </c>
      <c r="C218" t="n">
        <v>2</v>
      </c>
      <c r="D218" t="n">
        <v>0</v>
      </c>
      <c r="F218" s="72" t="n">
        <v>0.1</v>
      </c>
      <c r="H218" t="inlineStr">
        <is>
          <t>2 shilling from Henry Walewayn for marrying Christina his daughter outside.</t>
        </is>
      </c>
    </row>
    <row r="219">
      <c r="A219" t="inlineStr">
        <is>
          <t>Entry and marriage fines</t>
        </is>
      </c>
      <c r="B219" t="n">
        <v>0</v>
      </c>
      <c r="C219" t="n">
        <v>2</v>
      </c>
      <c r="D219" t="n">
        <v>0</v>
      </c>
      <c r="F219" s="72" t="n">
        <v>0.1</v>
      </c>
      <c r="H219" t="inlineStr">
        <is>
          <t>2 shilling from Matilda, relict of John ate Fryth', to retain 1 messuage and 1 acre of land which belonged to her husband.</t>
        </is>
      </c>
    </row>
    <row r="220">
      <c r="A220" t="inlineStr">
        <is>
          <t>Entry and marriage fines</t>
        </is>
      </c>
      <c r="B220" t="n">
        <v>0</v>
      </c>
      <c r="C220" t="n">
        <v>2</v>
      </c>
      <c r="D220" t="n">
        <v>0</v>
      </c>
      <c r="F220" s="72" t="n">
        <v>0.1</v>
      </c>
      <c r="H220" t="inlineStr">
        <is>
          <t>2 shilling from Joan, daughter of Hugh Faber, to have 1 messuage and 1 curtilage by surrender of Hugh her father.</t>
        </is>
      </c>
    </row>
    <row r="221">
      <c r="A221" t="inlineStr">
        <is>
          <t>Entry and marriage fines</t>
        </is>
      </c>
      <c r="B221" t="n">
        <v>0</v>
      </c>
      <c r="C221" t="n">
        <v>2</v>
      </c>
      <c r="D221" t="n">
        <v>0</v>
      </c>
      <c r="F221" s="72" t="n">
        <v>0.1</v>
      </c>
      <c r="H221" t="inlineStr">
        <is>
          <t>2 shilling from William Walays to have 1 curtilage by surrender of Hugh Faber.</t>
        </is>
      </c>
    </row>
    <row r="222">
      <c r="A222" t="inlineStr">
        <is>
          <t>Entry and marriage fines</t>
        </is>
      </c>
      <c r="B222" t="n">
        <v>0</v>
      </c>
      <c r="C222" t="n">
        <v>3</v>
      </c>
      <c r="D222" t="n">
        <v>0</v>
      </c>
      <c r="F222" s="72" t="n">
        <v>0.15</v>
      </c>
      <c r="H222" t="inlineStr">
        <is>
          <t>3 shilling from Henry Waterboks to have 1 messuage 1 curtilage by surrender of Walter Oxenherde.</t>
        </is>
      </c>
    </row>
    <row r="223">
      <c r="A223" t="inlineStr">
        <is>
          <t>Entry and marriage fines</t>
        </is>
      </c>
      <c r="B223" t="n">
        <v>25</v>
      </c>
      <c r="C223" t="n">
        <v>3</v>
      </c>
      <c r="D223" t="n">
        <v>4</v>
      </c>
      <c r="F223" s="72" t="n">
        <v>25.17</v>
      </c>
      <c r="H223" t="inlineStr">
        <is>
          <t>Total, £25 3 shilling 4pence</t>
        </is>
      </c>
    </row>
    <row r="224">
      <c r="A224" t="inlineStr">
        <is>
          <t>Entry and marriage fines</t>
        </is>
      </c>
      <c r="F224" s="72" t="n">
        <v>24.81</v>
      </c>
      <c r="G224" s="139" t="n">
        <v>-0.360000000000003</v>
      </c>
      <c r="H224" t="inlineStr">
        <is>
          <t>Total</t>
        </is>
      </c>
    </row>
    <row r="225"/>
    <row r="226">
      <c r="A226" t="inlineStr">
        <is>
          <t>Perquisites</t>
        </is>
      </c>
      <c r="B226" t="n">
        <v>0</v>
      </c>
      <c r="C226" t="n">
        <v>3</v>
      </c>
      <c r="D226" t="n">
        <v>0</v>
      </c>
      <c r="F226" s="72" t="n">
        <v>0.15</v>
      </c>
      <c r="H226" t="inlineStr">
        <is>
          <t>The same render account for 3 shilling from Thomas de Bogestok for keeping the lord's wethers badly.</t>
        </is>
      </c>
    </row>
    <row r="227">
      <c r="A227" t="inlineStr">
        <is>
          <t>Perquisites</t>
        </is>
      </c>
      <c r="B227" t="n">
        <v>2</v>
      </c>
      <c r="C227" t="n">
        <v>0</v>
      </c>
      <c r="D227" t="n">
        <v>0</v>
      </c>
      <c r="F227" s="72" t="n">
        <v>2</v>
      </c>
      <c r="H227" t="inlineStr">
        <is>
          <t>£2 from Adam le Palmere because convicted of transgression of labour service.</t>
        </is>
      </c>
    </row>
    <row r="228">
      <c r="A228" t="inlineStr">
        <is>
          <t>Perquisites</t>
        </is>
      </c>
      <c r="B228" t="n">
        <v>1</v>
      </c>
      <c r="C228" t="n">
        <v>0</v>
      </c>
      <c r="D228" t="n">
        <v>0</v>
      </c>
      <c r="F228" s="72" t="n">
        <v>1</v>
      </c>
      <c r="H228" t="inlineStr">
        <is>
          <t>£1 from Adam Austyn, bartoner, for the same.</t>
        </is>
      </c>
    </row>
    <row r="229">
      <c r="A229" t="inlineStr">
        <is>
          <t>Perquisites</t>
        </is>
      </c>
      <c r="B229" t="n">
        <v>0</v>
      </c>
      <c r="C229" t="n">
        <v>2</v>
      </c>
      <c r="D229" t="n">
        <v>0</v>
      </c>
      <c r="F229" s="72" t="n">
        <v>0.1</v>
      </c>
      <c r="H229" t="inlineStr">
        <is>
          <t>2 shilling from the Prior of Hamble for licence to agree.</t>
        </is>
      </c>
    </row>
    <row r="230">
      <c r="A230" t="inlineStr">
        <is>
          <t>Perquisites</t>
        </is>
      </c>
      <c r="B230" t="n">
        <v>0</v>
      </c>
      <c r="C230" t="n">
        <v>6</v>
      </c>
      <c r="D230" t="n">
        <v>8</v>
      </c>
      <c r="F230" s="72" t="n">
        <v>0.33</v>
      </c>
      <c r="H230" t="inlineStr">
        <is>
          <t>6 shilling 8pence from Richard Ude for false complaint against Richard Everard.</t>
        </is>
      </c>
    </row>
    <row r="231">
      <c r="A231" t="inlineStr">
        <is>
          <t>Perquisites</t>
        </is>
      </c>
      <c r="B231" t="n">
        <v>0</v>
      </c>
      <c r="C231" t="n">
        <v>2</v>
      </c>
      <c r="D231" t="n">
        <v>0</v>
      </c>
      <c r="F231" s="72" t="n">
        <v>0.1</v>
      </c>
      <c r="H231" t="inlineStr">
        <is>
          <t>2 shilling from Geoffrey Frogge because he obstructed a former path to the nuisance of his neighbours.</t>
        </is>
      </c>
    </row>
    <row r="232">
      <c r="A232" t="inlineStr">
        <is>
          <t>Perquisites</t>
        </is>
      </c>
      <c r="B232" t="n">
        <v>0</v>
      </c>
      <c r="C232" t="n">
        <v>2</v>
      </c>
      <c r="D232" t="n">
        <v>0</v>
      </c>
      <c r="F232" s="72" t="n">
        <v>0.1</v>
      </c>
      <c r="H232" t="inlineStr">
        <is>
          <t>2 shilling from the tithing of Bishops Waltham for concealment.</t>
        </is>
      </c>
    </row>
    <row r="233">
      <c r="A233" t="inlineStr">
        <is>
          <t>Perquisites</t>
        </is>
      </c>
      <c r="B233" t="n">
        <v>0</v>
      </c>
      <c r="C233" t="n">
        <v>2</v>
      </c>
      <c r="D233" t="n">
        <v>0</v>
      </c>
      <c r="F233" s="72" t="n">
        <v>0.1</v>
      </c>
      <c r="H233" t="inlineStr">
        <is>
          <t>2 shilling from Thomas ate Ford' for breaking the assize of ale.</t>
        </is>
      </c>
    </row>
    <row r="234">
      <c r="A234" t="inlineStr">
        <is>
          <t>Perquisites</t>
        </is>
      </c>
      <c r="B234" t="n">
        <v>0</v>
      </c>
      <c r="C234" t="n">
        <v>2</v>
      </c>
      <c r="D234" t="n">
        <v>0</v>
      </c>
      <c r="F234" s="72" t="n">
        <v>0.1</v>
      </c>
      <c r="H234" t="inlineStr">
        <is>
          <t>2 shilling from Robert ate Berch' for the assize of bread.</t>
        </is>
      </c>
    </row>
    <row r="235">
      <c r="A235" t="inlineStr">
        <is>
          <t>Perquisites</t>
        </is>
      </c>
      <c r="B235" t="n">
        <v>0</v>
      </c>
      <c r="C235" t="n">
        <v>2</v>
      </c>
      <c r="D235" t="n">
        <v>0</v>
      </c>
      <c r="F235" s="72" t="n">
        <v>0.1</v>
      </c>
      <c r="H235" t="inlineStr">
        <is>
          <t>2 shilling from Joan, relict of Robert Clericus of Upham, because she is not proceeding against Robert ate Bech'.</t>
        </is>
      </c>
    </row>
    <row r="236">
      <c r="A236" t="inlineStr">
        <is>
          <t>Perquisites</t>
        </is>
      </c>
      <c r="B236" t="n">
        <v>0</v>
      </c>
      <c r="C236" t="n">
        <v>2</v>
      </c>
      <c r="D236" t="n">
        <v>0</v>
      </c>
      <c r="F236" s="72" t="n">
        <v>0.1</v>
      </c>
      <c r="H236" t="inlineStr">
        <is>
          <t>2 shilling from Guy ate Ford' to have an inquest.</t>
        </is>
      </c>
    </row>
    <row r="237">
      <c r="A237" t="inlineStr">
        <is>
          <t>Perquisites</t>
        </is>
      </c>
      <c r="B237" t="n">
        <v>0</v>
      </c>
      <c r="C237" t="n">
        <v>2</v>
      </c>
      <c r="D237" t="n">
        <v>0</v>
      </c>
      <c r="F237" s="72" t="n">
        <v>0.1</v>
      </c>
      <c r="H237" t="inlineStr">
        <is>
          <t>2 shilling from Geoffrey Forc' for transgression against Thomas Ban3.</t>
        </is>
      </c>
    </row>
    <row r="238">
      <c r="A238" t="inlineStr">
        <is>
          <t>Perquisites</t>
        </is>
      </c>
      <c r="B238" t="n">
        <v>0</v>
      </c>
      <c r="C238" t="n">
        <v>6</v>
      </c>
      <c r="D238" t="n">
        <v>8</v>
      </c>
      <c r="F238" s="72" t="n">
        <v>0.33</v>
      </c>
      <c r="H238" t="inlineStr">
        <is>
          <t>6 shilling 8pence from Geoffrey Byk' and others because they refused to make a contribution towards the hundred shillings which the hundred paid annually.</t>
        </is>
      </c>
    </row>
    <row r="239">
      <c r="A239" t="inlineStr">
        <is>
          <t>Perquisites</t>
        </is>
      </c>
      <c r="B239" t="n">
        <v>0</v>
      </c>
      <c r="C239" t="n">
        <v>6</v>
      </c>
      <c r="D239" t="n">
        <v>8</v>
      </c>
      <c r="F239" s="72" t="n">
        <v>0.33</v>
      </c>
      <c r="H239" t="inlineStr">
        <is>
          <t>6 shilling 8pence from the tithing of Wynteshull' because of false presentment.</t>
        </is>
      </c>
    </row>
    <row r="240">
      <c r="A240" t="inlineStr">
        <is>
          <t>Perquisites</t>
        </is>
      </c>
      <c r="B240" t="n">
        <v>0</v>
      </c>
      <c r="C240" t="n">
        <v>2</v>
      </c>
      <c r="D240" t="n">
        <v>0</v>
      </c>
      <c r="F240" s="72" t="n">
        <v>0.1</v>
      </c>
      <c r="H240" t="inlineStr">
        <is>
          <t>2 shilling from the tithing of Wodekote for concealment.</t>
        </is>
      </c>
    </row>
    <row r="241">
      <c r="A241" t="inlineStr">
        <is>
          <t>Perquisites</t>
        </is>
      </c>
      <c r="B241" t="n">
        <v>0</v>
      </c>
      <c r="C241" t="n">
        <v>2</v>
      </c>
      <c r="D241" t="n">
        <v>0</v>
      </c>
      <c r="F241" s="72" t="n">
        <v>0.1</v>
      </c>
      <c r="H241" t="inlineStr">
        <is>
          <t>2 shilling from Robert Marescall' for trespass done to pasture in wardship.</t>
        </is>
      </c>
    </row>
    <row r="242">
      <c r="A242" t="inlineStr">
        <is>
          <t>Perquisites</t>
        </is>
      </c>
      <c r="B242" t="n">
        <v>7</v>
      </c>
      <c r="C242" t="n">
        <v>10</v>
      </c>
      <c r="D242" t="n">
        <v>9</v>
      </c>
      <c r="F242" s="72" t="n">
        <v>7.54</v>
      </c>
      <c r="H242" t="inlineStr">
        <is>
          <t>£7 10 shilling 9pence from various men for various transgressions.</t>
        </is>
      </c>
    </row>
    <row r="243">
      <c r="A243" t="inlineStr">
        <is>
          <t>Perquisites</t>
        </is>
      </c>
      <c r="B243" t="n">
        <v>1</v>
      </c>
      <c r="C243" t="n">
        <v>0</v>
      </c>
      <c r="D243" t="n">
        <v>0</v>
      </c>
      <c r="F243" s="72" t="n">
        <v>1</v>
      </c>
      <c r="H243" t="inlineStr">
        <is>
          <t>£1 from Richard le Wyte and John Boefs, park-keepers, for selling wood, which they did for their own use.</t>
        </is>
      </c>
    </row>
    <row r="244">
      <c r="A244" t="inlineStr">
        <is>
          <t>Perquisites</t>
        </is>
      </c>
      <c r="B244" t="n">
        <v>13</v>
      </c>
      <c r="C244" t="n">
        <v>13</v>
      </c>
      <c r="D244" t="n">
        <v>9</v>
      </c>
      <c r="F244" s="72" t="n">
        <v>13.69</v>
      </c>
      <c r="H244" t="inlineStr">
        <is>
          <t>Total, £13 13 shilling 9pence</t>
        </is>
      </c>
    </row>
    <row r="245"/>
    <row r="246">
      <c r="A246" t="inlineStr">
        <is>
          <t>Perquisites and entry fines</t>
        </is>
      </c>
      <c r="B246" t="n">
        <v>38</v>
      </c>
      <c r="C246" t="n">
        <v>17</v>
      </c>
      <c r="D246" t="n">
        <v>1</v>
      </c>
      <c r="F246" s="72" t="n">
        <v>38.85</v>
      </c>
      <c r="H246" t="inlineStr">
        <is>
          <t>Total of both, £38 17 shilling 1pence</t>
        </is>
      </c>
    </row>
    <row r="247">
      <c r="A247" t="inlineStr">
        <is>
          <t>Perquisites and entry fines</t>
        </is>
      </c>
      <c r="F247" s="72">
        <f>F244+F224</f>
        <v/>
      </c>
      <c r="G247" s="139">
        <f>F247-F246</f>
        <v/>
      </c>
      <c r="H247" t="inlineStr">
        <is>
          <t>Total</t>
        </is>
      </c>
    </row>
    <row r="248"/>
    <row r="249"/>
    <row r="250">
      <c r="A250" s="38" t="inlineStr">
        <is>
          <t>Total of all receipts recorded in accounts</t>
        </is>
      </c>
      <c r="B250" t="n">
        <v>230</v>
      </c>
      <c r="C250" t="n">
        <v>3</v>
      </c>
      <c r="D250" t="n">
        <v>10.25</v>
      </c>
      <c r="F250" s="72" t="n">
        <v>230.19</v>
      </c>
      <c r="H250" t="inlineStr">
        <is>
          <t>Total of all receipts, £230 3 shilling 10.25pence</t>
        </is>
      </c>
    </row>
    <row r="251" ht="16" customHeight="1">
      <c r="A251" s="9" t="inlineStr">
        <is>
          <t>Total cross-check without arrears</t>
        </is>
      </c>
      <c r="F251" s="72">
        <f>F244+F224+F184+F175+F170+F161+F67+F53+F49+F39</f>
        <v/>
      </c>
      <c r="G251" s="139">
        <f>F251-F250</f>
        <v/>
      </c>
    </row>
    <row r="252" ht="16" customHeight="1">
      <c r="A252" s="9" t="inlineStr">
        <is>
          <t>Total cross-check with arrears</t>
        </is>
      </c>
      <c r="F252" s="72">
        <f>F251+F5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6"/>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39" customWidth="1" min="8" max="8"/>
    <col width="8.83203125" customWidth="1" min="9" max="9"/>
    <col width="16.6640625" customWidth="1" min="10" max="10"/>
    <col width="21.5" customWidth="1" min="11" max="11"/>
  </cols>
  <sheetData>
    <row r="1" ht="16" customHeight="1">
      <c r="A1" s="2" t="inlineStr">
        <is>
          <t>BISHOPS WALTHAM EXPENSES</t>
        </is>
      </c>
    </row>
    <row r="2" ht="34"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Cost of ploughs</t>
        </is>
      </c>
      <c r="B3" t="n">
        <v>0</v>
      </c>
      <c r="C3" t="n">
        <v>9</v>
      </c>
      <c r="D3" t="n">
        <v>10</v>
      </c>
      <c r="F3" s="72">
        <f>B3+C3/20+D3/240</f>
        <v/>
      </c>
      <c r="H3" t="inlineStr">
        <is>
          <t>In iron and steel bought for 4 ploughs for the year and 1 plough for' year 9 shilling 10pence</t>
        </is>
      </c>
      <c r="J3" s="72">
        <f>F3</f>
        <v/>
      </c>
      <c r="K3" s="72">
        <f>J3</f>
        <v/>
      </c>
    </row>
    <row r="4">
      <c r="A4" t="inlineStr">
        <is>
          <t>Cost of ploughs</t>
        </is>
      </c>
      <c r="B4" t="n">
        <v>0</v>
      </c>
      <c r="C4" t="n">
        <v>0</v>
      </c>
      <c r="D4" t="n">
        <v>8</v>
      </c>
      <c r="F4" s="72" t="n">
        <v>0.03</v>
      </c>
      <c r="H4" t="inlineStr">
        <is>
          <t>4 ploughs made anew 8pence.</t>
        </is>
      </c>
      <c r="J4" s="72">
        <f>F4</f>
        <v/>
      </c>
      <c r="K4" s="72">
        <f>J4</f>
        <v/>
      </c>
    </row>
    <row r="5">
      <c r="A5" t="inlineStr">
        <is>
          <t>Cost of ploughs</t>
        </is>
      </c>
      <c r="B5" t="n">
        <v>0</v>
      </c>
      <c r="C5" t="n">
        <v>1</v>
      </c>
      <c r="D5" t="n">
        <v>4</v>
      </c>
      <c r="F5" s="72" t="n">
        <v>0.07000000000000001</v>
      </c>
      <c r="H5" t="inlineStr">
        <is>
          <t>4 pairs of wheels bought for ploughs 1 shilling 4pence.</t>
        </is>
      </c>
      <c r="J5" s="72">
        <f>F5</f>
        <v/>
      </c>
      <c r="K5" s="72">
        <f>J5</f>
        <v/>
      </c>
    </row>
    <row r="6">
      <c r="A6" t="inlineStr">
        <is>
          <t>Cost of ploughs</t>
        </is>
      </c>
      <c r="B6" t="n">
        <v>0</v>
      </c>
      <c r="C6" t="n">
        <v>0</v>
      </c>
      <c r="D6" t="n">
        <v>5.5</v>
      </c>
      <c r="F6" s="72" t="n">
        <v>0.02</v>
      </c>
      <c r="H6" t="inlineStr">
        <is>
          <t>fitting ploughs with iron tyres 5.5pence.</t>
        </is>
      </c>
      <c r="J6" s="72">
        <f>F6</f>
        <v/>
      </c>
      <c r="K6" s="72">
        <f>J6</f>
        <v/>
      </c>
    </row>
    <row r="7">
      <c r="A7" t="inlineStr">
        <is>
          <t>Cost of ploughs</t>
        </is>
      </c>
      <c r="B7" t="n">
        <v>0</v>
      </c>
      <c r="C7" t="n">
        <v>3</v>
      </c>
      <c r="D7" t="n">
        <v>0</v>
      </c>
      <c r="F7" s="72" t="n">
        <v>0.15</v>
      </c>
      <c r="H7" t="inlineStr">
        <is>
          <t>4 ploughshares bought 3 shilling.</t>
        </is>
      </c>
      <c r="J7" s="72">
        <f>F7</f>
        <v/>
      </c>
      <c r="K7" s="72">
        <f>J7</f>
        <v/>
      </c>
    </row>
    <row r="8">
      <c r="A8" t="inlineStr">
        <is>
          <t>Cost of ploughs</t>
        </is>
      </c>
      <c r="B8" t="n">
        <v>0</v>
      </c>
      <c r="C8" t="n">
        <v>2</v>
      </c>
      <c r="D8" t="n">
        <v>6</v>
      </c>
      <c r="F8" s="72" t="n">
        <v>0.12</v>
      </c>
      <c r="H8" t="inlineStr">
        <is>
          <t>5 plough feet bought 2 shilling 6pence.</t>
        </is>
      </c>
      <c r="J8" s="72">
        <f>F8</f>
        <v/>
      </c>
      <c r="K8" s="72">
        <f>J8</f>
        <v/>
      </c>
    </row>
    <row r="9">
      <c r="A9" t="inlineStr">
        <is>
          <t>Cost of ploughs</t>
        </is>
      </c>
      <c r="B9" t="n">
        <v>0</v>
      </c>
      <c r="C9" t="n">
        <v>1</v>
      </c>
      <c r="D9" t="n">
        <v>4</v>
      </c>
      <c r="F9" s="72" t="n">
        <v>0.07000000000000001</v>
      </c>
      <c r="H9" t="inlineStr">
        <is>
          <t>1 coulter bought for ploughs 1 shilling 4pence.</t>
        </is>
      </c>
      <c r="J9" s="72">
        <f>F9</f>
        <v/>
      </c>
      <c r="K9" s="72">
        <f>J9</f>
        <v/>
      </c>
    </row>
    <row r="10">
      <c r="A10" t="inlineStr">
        <is>
          <t>Cost of ploughs</t>
        </is>
      </c>
      <c r="B10" t="n">
        <v>0</v>
      </c>
      <c r="C10" t="n">
        <v>0</v>
      </c>
      <c r="D10" t="n">
        <v>1.5</v>
      </c>
      <c r="F10" s="72" t="n">
        <v>0.01</v>
      </c>
      <c r="H10" t="inlineStr">
        <is>
          <t>3 halters of hemp bought for the plough-horses 1.5pence.</t>
        </is>
      </c>
      <c r="J10" s="72">
        <f>F10</f>
        <v/>
      </c>
      <c r="K10" s="72">
        <f>J10</f>
        <v/>
      </c>
    </row>
    <row r="11">
      <c r="A11" t="inlineStr">
        <is>
          <t>Cost of ploughs</t>
        </is>
      </c>
      <c r="B11" t="n">
        <v>0</v>
      </c>
      <c r="C11" t="n">
        <v>0</v>
      </c>
      <c r="D11" t="n">
        <v>4</v>
      </c>
      <c r="F11" s="72" t="n">
        <v>0.02</v>
      </c>
      <c r="H11" t="inlineStr">
        <is>
          <t>mending old ploughs 4pence.</t>
        </is>
      </c>
      <c r="J11" s="72">
        <f>F11</f>
        <v/>
      </c>
      <c r="K11" s="72">
        <f>J11</f>
        <v/>
      </c>
    </row>
    <row r="12">
      <c r="A12" t="inlineStr">
        <is>
          <t>Cost of ploughs</t>
        </is>
      </c>
      <c r="B12" t="n">
        <v>0</v>
      </c>
      <c r="C12" t="n">
        <v>3</v>
      </c>
      <c r="D12" t="n">
        <v>0</v>
      </c>
      <c r="F12" s="72" t="n">
        <v>0.15</v>
      </c>
      <c r="H12" t="inlineStr">
        <is>
          <t>shoeing 4 plough-horses for the year 3 shilling, because in between times I when they were not ploughing they carried the dung.</t>
        </is>
      </c>
      <c r="J12" s="72">
        <f>F12</f>
        <v/>
      </c>
      <c r="K12" s="72">
        <f>J12</f>
        <v/>
      </c>
    </row>
    <row r="13">
      <c r="A13" t="inlineStr">
        <is>
          <t>Cost of ploughs</t>
        </is>
      </c>
      <c r="B13" t="n">
        <v>0</v>
      </c>
      <c r="C13" t="n">
        <v>4</v>
      </c>
      <c r="D13" t="n">
        <v>0</v>
      </c>
      <c r="F13" s="72" t="n">
        <v>0.2</v>
      </c>
      <c r="H13" t="inlineStr">
        <is>
          <t>boon-works of 48 ploughmen from within the hundred 4 shilling, and each ploughman will plough 2 acres as they lie.</t>
        </is>
      </c>
    </row>
    <row r="14">
      <c r="A14" t="inlineStr">
        <is>
          <t>Cost of ploughs</t>
        </is>
      </c>
      <c r="B14" t="n">
        <v>0</v>
      </c>
      <c r="C14" t="n">
        <v>0</v>
      </c>
      <c r="D14" t="n">
        <v>0</v>
      </c>
      <c r="F14" s="72" t="n">
        <v>0</v>
      </c>
      <c r="H14" t="inlineStr">
        <is>
          <t>Moreover, within the hundred they are bound to plough 52 acres as they lie for landrighe without the cost of the lorpence.</t>
        </is>
      </c>
    </row>
    <row r="15">
      <c r="A15" t="inlineStr">
        <is>
          <t>Cost of ploughs</t>
        </is>
      </c>
      <c r="B15" t="n">
        <v>0</v>
      </c>
      <c r="C15" t="n">
        <v>1</v>
      </c>
      <c r="D15" t="n">
        <v>11</v>
      </c>
      <c r="F15" s="72" t="n">
        <v>0.1</v>
      </c>
      <c r="H15" t="inlineStr">
        <is>
          <t>winter boon-works of 23 ploughmen from Droxford this year 1 shilling 11pence, or 1pence a ploughman, and each ploughman will plough 2 acres as they lie.</t>
        </is>
      </c>
    </row>
    <row r="16">
      <c r="A16" t="inlineStr">
        <is>
          <t>Cost of ploughs</t>
        </is>
      </c>
      <c r="B16" t="n">
        <v>0</v>
      </c>
      <c r="C16" t="n">
        <v>4</v>
      </c>
      <c r="D16" t="n">
        <v>1</v>
      </c>
      <c r="F16" s="72" t="n">
        <v>0.2</v>
      </c>
      <c r="H16" t="inlineStr">
        <is>
          <t>Lenten boon-works of 48 ploughmen from within the hundred 4 shilling, or 1pence a ploughman, and each ploughman will plough acre as it lies.</t>
        </is>
      </c>
    </row>
    <row r="17">
      <c r="A17" t="inlineStr">
        <is>
          <t>Cost of ploughs</t>
        </is>
      </c>
      <c r="B17" t="n">
        <v>0</v>
      </c>
      <c r="C17" t="n">
        <v>13</v>
      </c>
      <c r="D17" t="n">
        <v>10</v>
      </c>
      <c r="F17" s="72" t="n">
        <v>0.6899999999999999</v>
      </c>
      <c r="H17" t="inlineStr">
        <is>
          <t>stipend of 4 ploughmen for 8 Saturday ploughings at the time of the winter sowing, 11 Saturdays at the summer sowing, and 10 Saturdays at the fallowing, with the stipend of 1 ploughman for 8 Saturday ploughings at the sowing of the barley, 13 shilling 10pence, or 1.5pence each when ploughing for sowing, and 1pence when fallowing.</t>
        </is>
      </c>
    </row>
    <row r="18">
      <c r="A18" t="inlineStr">
        <is>
          <t>Cost of ploughs</t>
        </is>
      </c>
      <c r="B18" t="n">
        <v>0</v>
      </c>
      <c r="C18" t="n">
        <v>13</v>
      </c>
      <c r="D18" t="n">
        <v>6</v>
      </c>
      <c r="F18" s="72" t="n">
        <v>0.68</v>
      </c>
      <c r="H18" t="inlineStr">
        <is>
          <t>stipend of 4 drovers for the year and 1 drover for' year 13 shilling 6pence, or 3 shilling each.</t>
        </is>
      </c>
    </row>
    <row r="19">
      <c r="A19" t="inlineStr">
        <is>
          <t>Cost of ploughs</t>
        </is>
      </c>
      <c r="B19" t="n">
        <v>0</v>
      </c>
      <c r="C19" t="n">
        <v>9</v>
      </c>
      <c r="D19" t="n">
        <v>6</v>
      </c>
      <c r="F19" s="72" t="n">
        <v>0.48</v>
      </c>
      <c r="H19" t="inlineStr">
        <is>
          <t>1 plough-horse bought 9 shilling 6pence.</t>
        </is>
      </c>
    </row>
    <row r="20">
      <c r="A20" t="inlineStr">
        <is>
          <t>Cost of ploughs</t>
        </is>
      </c>
      <c r="B20" t="n">
        <v>5</v>
      </c>
      <c r="C20" t="n">
        <v>0</v>
      </c>
      <c r="D20" t="n">
        <v>8</v>
      </c>
      <c r="F20" s="72" t="n">
        <v>5.03</v>
      </c>
      <c r="H20" t="inlineStr">
        <is>
          <t>9 oxen bought £5 8pence, at 9 shilling 6pence for 1,10 shilling 1pence each for 2, 11 shilling 6pence each for 2, and 12 shilling each for 4..</t>
        </is>
      </c>
    </row>
    <row r="21">
      <c r="A21" t="inlineStr">
        <is>
          <t>Cost of ploughs</t>
        </is>
      </c>
      <c r="B21" t="n">
        <v>0</v>
      </c>
      <c r="C21" t="n">
        <v>1</v>
      </c>
      <c r="D21" t="n">
        <v>4</v>
      </c>
      <c r="F21" s="72" t="n">
        <v>0.07000000000000001</v>
      </c>
      <c r="H21" t="inlineStr">
        <is>
          <t>4 bushels of peas bought for sowing 1 shilling 4pence.</t>
        </is>
      </c>
    </row>
    <row r="22">
      <c r="A22" t="inlineStr">
        <is>
          <t>Cost of ploughs</t>
        </is>
      </c>
      <c r="B22" t="n">
        <v>0</v>
      </c>
      <c r="C22" t="n">
        <v>5</v>
      </c>
      <c r="D22" t="n">
        <v>5</v>
      </c>
      <c r="F22" s="72" t="n">
        <v>0.27</v>
      </c>
      <c r="H22" t="inlineStr">
        <is>
          <t>3 quarters 2 bushels of vetches bought 5 shilling 5pence, at 1 shilling 8pence a qr.</t>
        </is>
      </c>
    </row>
    <row r="23">
      <c r="A23" t="inlineStr">
        <is>
          <t>Cost of ploughs</t>
        </is>
      </c>
      <c r="B23" t="n">
        <v>1</v>
      </c>
      <c r="C23" t="n">
        <v>4</v>
      </c>
      <c r="D23" t="n">
        <v>0</v>
      </c>
      <c r="F23" s="72" t="n">
        <v>1.2</v>
      </c>
      <c r="H23" t="inlineStr">
        <is>
          <t xml:space="preserve">forage bought to support the lord's stock £1 4 shilling </t>
        </is>
      </c>
    </row>
    <row r="24">
      <c r="A24" t="inlineStr">
        <is>
          <t>Cost of ploughs</t>
        </is>
      </c>
      <c r="B24" t="n">
        <v>10</v>
      </c>
      <c r="C24" t="n">
        <v>1</v>
      </c>
      <c r="D24" t="n">
        <v>5</v>
      </c>
      <c r="F24" s="72">
        <f>B24+C24/20+D24/240</f>
        <v/>
      </c>
      <c r="H24" t="inlineStr">
        <is>
          <t>Total, £10 1 shilling 5pence</t>
        </is>
      </c>
    </row>
    <row r="25">
      <c r="A25" t="inlineStr">
        <is>
          <t>Cost of ploughs</t>
        </is>
      </c>
      <c r="F25" s="72">
        <f>SUM(F3:F23)</f>
        <v/>
      </c>
      <c r="G25" s="128">
        <f>F25-F24</f>
        <v/>
      </c>
      <c r="H25" t="inlineStr">
        <is>
          <t>Total</t>
        </is>
      </c>
    </row>
    <row r="26"/>
    <row r="27">
      <c r="A27" t="inlineStr">
        <is>
          <t>Cost of carts</t>
        </is>
      </c>
      <c r="B27" t="n">
        <v>0</v>
      </c>
      <c r="C27" t="n">
        <v>14</v>
      </c>
      <c r="D27" t="n">
        <v>0</v>
      </c>
      <c r="F27" s="72" t="n">
        <v>0.7</v>
      </c>
      <c r="H27" t="inlineStr">
        <is>
          <t>In 1 new cart with iron tyres with all equipment bought 14 shilling.</t>
        </is>
      </c>
      <c r="J27" s="72">
        <f>F27</f>
        <v/>
      </c>
      <c r="K27" s="72">
        <f>J27</f>
        <v/>
      </c>
    </row>
    <row r="28">
      <c r="A28" t="inlineStr">
        <is>
          <t>Cost of carts</t>
        </is>
      </c>
      <c r="B28" t="n">
        <v>0</v>
      </c>
      <c r="C28" t="n">
        <v>0</v>
      </c>
      <c r="D28" t="n">
        <v>0.5</v>
      </c>
      <c r="F28" s="72">
        <f>B28+C28/20+D28/240</f>
        <v/>
      </c>
      <c r="H28" t="inlineStr">
        <is>
          <t>mending the old cart 1 .5pence.</t>
        </is>
      </c>
      <c r="J28" s="72">
        <f>F28</f>
        <v/>
      </c>
      <c r="K28" s="72">
        <f>J28</f>
        <v/>
      </c>
    </row>
    <row r="29">
      <c r="A29" t="inlineStr">
        <is>
          <t>Cost of carts</t>
        </is>
      </c>
      <c r="B29" t="n">
        <v>0</v>
      </c>
      <c r="C29" t="n">
        <v>1</v>
      </c>
      <c r="D29" t="n">
        <v>10</v>
      </c>
      <c r="F29" s="72" t="n">
        <v>0.09</v>
      </c>
      <c r="H29" t="inlineStr">
        <is>
          <t>clouts, nails and grease bought 1 shilling 10pence.</t>
        </is>
      </c>
      <c r="J29" s="72">
        <f>F29</f>
        <v/>
      </c>
      <c r="K29" s="72">
        <f>J29</f>
        <v/>
      </c>
    </row>
    <row r="30">
      <c r="A30" t="inlineStr">
        <is>
          <t>Cost of carts</t>
        </is>
      </c>
      <c r="B30" t="n">
        <v>0</v>
      </c>
      <c r="C30" t="n">
        <v>0</v>
      </c>
      <c r="D30" t="n">
        <v>6.25</v>
      </c>
      <c r="F30" s="72" t="n">
        <v>0.03</v>
      </c>
      <c r="H30" t="inlineStr">
        <is>
          <t>fitting the carts with axles at various times with axles bought for the same 6.25pence.</t>
        </is>
      </c>
      <c r="J30" s="72">
        <f>F30</f>
        <v/>
      </c>
      <c r="K30" s="72">
        <f>J30</f>
        <v/>
      </c>
    </row>
    <row r="31">
      <c r="A31" t="inlineStr">
        <is>
          <t>Cost of carts</t>
        </is>
      </c>
      <c r="B31" t="n">
        <v>0</v>
      </c>
      <c r="C31" t="n">
        <v>0</v>
      </c>
      <c r="D31" t="n">
        <v>3</v>
      </c>
      <c r="F31" s="72" t="n">
        <v>0.01</v>
      </c>
      <c r="H31" t="inlineStr">
        <is>
          <t>1 cart-rail made anew for the cart 3pence.</t>
        </is>
      </c>
      <c r="J31" s="72">
        <f>F31</f>
        <v/>
      </c>
      <c r="K31" s="72">
        <f>J31</f>
        <v/>
      </c>
    </row>
    <row r="32">
      <c r="A32" t="inlineStr">
        <is>
          <t>Cost of carts</t>
        </is>
      </c>
      <c r="B32" t="n">
        <v>0</v>
      </c>
      <c r="C32" t="n">
        <v>0</v>
      </c>
      <c r="D32" t="n">
        <v>5.5</v>
      </c>
      <c r="F32" s="72" t="n">
        <v>0.02</v>
      </c>
      <c r="H32" t="inlineStr">
        <is>
          <t>1 pair of traces bought 5.5pence.</t>
        </is>
      </c>
      <c r="J32" s="72">
        <f>F32</f>
        <v/>
      </c>
      <c r="K32" s="72">
        <f>J32</f>
        <v/>
      </c>
    </row>
    <row r="33">
      <c r="A33" t="inlineStr">
        <is>
          <t>Cost of carts</t>
        </is>
      </c>
      <c r="B33" t="n">
        <v>0</v>
      </c>
      <c r="C33" t="n">
        <v>2</v>
      </c>
      <c r="D33" t="n">
        <v>4</v>
      </c>
      <c r="F33" s="72" t="n">
        <v>0.12</v>
      </c>
      <c r="H33" t="inlineStr">
        <is>
          <t>3 collars and 1 pair of saddle-pads bought 2 shilling 4pence.</t>
        </is>
      </c>
      <c r="J33" s="72">
        <f>F33</f>
        <v/>
      </c>
      <c r="K33" s="72">
        <f>J33</f>
        <v/>
      </c>
    </row>
    <row r="34">
      <c r="A34" t="inlineStr">
        <is>
          <t>Cost of carts</t>
        </is>
      </c>
      <c r="B34" t="n">
        <v>0</v>
      </c>
      <c r="C34" t="n">
        <v>0</v>
      </c>
      <c r="D34" t="n">
        <v>11</v>
      </c>
      <c r="F34" s="72" t="n">
        <v>0.05</v>
      </c>
      <c r="H34" t="inlineStr">
        <is>
          <t>a hemp rope bought 11pence.</t>
        </is>
      </c>
      <c r="J34" s="72">
        <f>F34</f>
        <v/>
      </c>
      <c r="K34" s="72">
        <f>J34</f>
        <v/>
      </c>
    </row>
    <row r="35">
      <c r="A35" t="inlineStr">
        <is>
          <t>Cost of carts</t>
        </is>
      </c>
      <c r="B35" t="n">
        <v>0</v>
      </c>
      <c r="C35" t="n">
        <v>0</v>
      </c>
      <c r="D35" t="n">
        <v>4</v>
      </c>
      <c r="F35" s="72" t="n">
        <v>0.02</v>
      </c>
      <c r="H35" t="inlineStr">
        <is>
          <t>white leather bought 4pence.</t>
        </is>
      </c>
      <c r="J35" s="72">
        <f>F35</f>
        <v/>
      </c>
      <c r="K35" s="72">
        <f>J35</f>
        <v/>
      </c>
    </row>
    <row r="36">
      <c r="A36" t="inlineStr">
        <is>
          <t>Cost of carts</t>
        </is>
      </c>
      <c r="B36" t="n">
        <v>0</v>
      </c>
      <c r="C36" t="n">
        <v>0</v>
      </c>
      <c r="D36" t="n">
        <v>2</v>
      </c>
      <c r="F36" s="72" t="n">
        <v>0.01</v>
      </c>
      <c r="H36" t="inlineStr">
        <is>
          <t>2 pairs of swingletrees 2pence.</t>
        </is>
      </c>
      <c r="J36" s="72">
        <f>F36</f>
        <v/>
      </c>
      <c r="K36" s="72">
        <f>J36</f>
        <v/>
      </c>
    </row>
    <row r="37">
      <c r="A37" t="inlineStr">
        <is>
          <t>Cost of carts</t>
        </is>
      </c>
      <c r="B37" t="n">
        <v>0</v>
      </c>
      <c r="C37" t="n">
        <v>0</v>
      </c>
      <c r="D37" t="n">
        <v>2.5</v>
      </c>
      <c r="F37" s="72" t="n">
        <v>0.01</v>
      </c>
      <c r="H37" t="inlineStr">
        <is>
          <t>1 saddle for the same 2.5pence.</t>
        </is>
      </c>
      <c r="J37" s="72">
        <f>F37</f>
        <v/>
      </c>
      <c r="K37" s="72">
        <f>J37</f>
        <v/>
      </c>
    </row>
    <row r="38">
      <c r="A38" t="inlineStr">
        <is>
          <t>Cost of carts</t>
        </is>
      </c>
      <c r="B38" t="n">
        <v>0</v>
      </c>
      <c r="C38" t="n">
        <v>0</v>
      </c>
      <c r="D38" t="n">
        <v>1.25</v>
      </c>
      <c r="F38" s="72" t="n">
        <v>0.01</v>
      </c>
      <c r="H38" t="inlineStr">
        <is>
          <t>1 thill-rope (tilropt') bought 1.25pence.</t>
        </is>
      </c>
      <c r="J38" s="72">
        <f>F38</f>
        <v/>
      </c>
      <c r="K38" s="72">
        <f>J38</f>
        <v/>
      </c>
    </row>
    <row r="39">
      <c r="A39" t="inlineStr">
        <is>
          <t>Cost of carts</t>
        </is>
      </c>
      <c r="B39" t="n">
        <v>0</v>
      </c>
      <c r="C39" t="n">
        <v>0</v>
      </c>
      <c r="D39" t="n">
        <v>2</v>
      </c>
      <c r="F39" s="72" t="n">
        <v>0.01</v>
      </c>
      <c r="H39" t="inlineStr">
        <is>
          <t>hooping wooden frets to the hubs of the old cart 2pence.</t>
        </is>
      </c>
      <c r="J39" s="72">
        <f>F39</f>
        <v/>
      </c>
      <c r="K39" s="72">
        <f>J39</f>
        <v/>
      </c>
    </row>
    <row r="40">
      <c r="A40" t="inlineStr">
        <is>
          <t>Cost of carts</t>
        </is>
      </c>
      <c r="B40" t="n">
        <v>0</v>
      </c>
      <c r="C40" t="n">
        <v>3</v>
      </c>
      <c r="D40" t="n">
        <v>0</v>
      </c>
      <c r="F40" s="72" t="n">
        <v>0.15</v>
      </c>
      <c r="H40" t="inlineStr">
        <is>
          <t>forage for 2 cart-horses for the year 3 shilling.</t>
        </is>
      </c>
    </row>
    <row r="41">
      <c r="A41" t="inlineStr">
        <is>
          <t>Cost of carts</t>
        </is>
      </c>
      <c r="B41" t="n">
        <v>0</v>
      </c>
      <c r="C41" t="n">
        <v>3</v>
      </c>
      <c r="D41" t="n">
        <v>0</v>
      </c>
      <c r="F41" s="72" t="n">
        <v>0.15</v>
      </c>
      <c r="H41" t="inlineStr">
        <is>
          <t>stipend of 1 carter for the year 3 shilling.</t>
        </is>
      </c>
    </row>
    <row r="42">
      <c r="A42" t="inlineStr">
        <is>
          <t>Cost of carts</t>
        </is>
      </c>
      <c r="B42" t="n">
        <v>0</v>
      </c>
      <c r="C42" t="n">
        <v>1</v>
      </c>
      <c r="D42" t="n">
        <v>6</v>
      </c>
      <c r="F42" s="72" t="n">
        <v>0.08</v>
      </c>
      <c r="H42" t="inlineStr">
        <is>
          <t>stipend of 1 carter leading the other cart to the dung for 0.5 year 1 shilling 6pence, because for the other 0.5 year he held the horse-plough.</t>
        </is>
      </c>
    </row>
    <row r="43">
      <c r="A43" t="inlineStr">
        <is>
          <t>Cost of carts</t>
        </is>
      </c>
      <c r="B43" t="n">
        <v>1</v>
      </c>
      <c r="C43" t="n">
        <v>9</v>
      </c>
      <c r="D43" t="n">
        <v>0</v>
      </c>
      <c r="F43" s="72" t="n">
        <v>1.45</v>
      </c>
      <c r="H43" t="inlineStr">
        <is>
          <t>Total, £1 9 shilling</t>
        </is>
      </c>
    </row>
    <row r="44">
      <c r="A44" t="inlineStr">
        <is>
          <t>Cost of carts</t>
        </is>
      </c>
      <c r="F44" s="72">
        <f>SUM(F27:F42)</f>
        <v/>
      </c>
      <c r="G44" s="128">
        <f>F44-F43</f>
        <v/>
      </c>
      <c r="H44" t="inlineStr">
        <is>
          <t>Total</t>
        </is>
      </c>
    </row>
    <row r="45"/>
    <row r="46">
      <c r="A46" t="inlineStr">
        <is>
          <t>Cost of the dairy</t>
        </is>
      </c>
      <c r="B46" t="n">
        <v>0</v>
      </c>
      <c r="C46" t="n">
        <v>0</v>
      </c>
      <c r="D46" t="n">
        <v>8.5</v>
      </c>
      <c r="F46" s="72" t="n">
        <v>0.04</v>
      </c>
      <c r="H46" t="inlineStr">
        <is>
          <t>In woollen and linen cloth bought for the dairy 8.5pence.</t>
        </is>
      </c>
      <c r="J46" s="72">
        <f>F46</f>
        <v/>
      </c>
      <c r="K46" s="72">
        <f>J46</f>
        <v/>
      </c>
    </row>
    <row r="47">
      <c r="A47" t="inlineStr">
        <is>
          <t>Cost of the dairy</t>
        </is>
      </c>
      <c r="B47" t="n">
        <v>0</v>
      </c>
      <c r="C47" t="n">
        <v>0</v>
      </c>
      <c r="D47" t="n">
        <v>6</v>
      </c>
      <c r="F47" s="72" t="n">
        <v>0.03</v>
      </c>
      <c r="H47" t="inlineStr">
        <is>
          <t>a press bought for the same 6pence.</t>
        </is>
      </c>
      <c r="J47" s="72">
        <f>F47</f>
        <v/>
      </c>
      <c r="K47" s="72">
        <f>J47</f>
        <v/>
      </c>
    </row>
    <row r="48">
      <c r="A48" t="inlineStr">
        <is>
          <t>Cost of the dairy</t>
        </is>
      </c>
      <c r="B48" t="n">
        <v>0</v>
      </c>
      <c r="C48" t="n">
        <v>0</v>
      </c>
      <c r="D48" t="n">
        <v>10.5</v>
      </c>
      <c r="F48" s="72" t="n">
        <v>0.04</v>
      </c>
      <c r="H48" t="inlineStr">
        <is>
          <t>7 bushels of salt bought 10.5pence.</t>
        </is>
      </c>
      <c r="J48" s="72">
        <f>F48</f>
        <v/>
      </c>
      <c r="K48" s="72">
        <f>J48</f>
        <v/>
      </c>
    </row>
    <row r="49">
      <c r="A49" t="inlineStr">
        <is>
          <t>Cost of the dairy</t>
        </is>
      </c>
      <c r="B49" t="n">
        <v>0</v>
      </c>
      <c r="C49" t="n">
        <v>0</v>
      </c>
      <c r="D49" t="n">
        <v>9</v>
      </c>
      <c r="F49" s="72" t="n">
        <v>0.04</v>
      </c>
      <c r="H49" t="inlineStr">
        <is>
          <t>2 buckets and 1 tub bought anew for the same 9pence.</t>
        </is>
      </c>
      <c r="J49" s="72">
        <f>F49</f>
        <v/>
      </c>
      <c r="K49" s="72">
        <f>J49</f>
        <v/>
      </c>
    </row>
    <row r="50">
      <c r="A50" t="inlineStr">
        <is>
          <t>Cost of the dairy</t>
        </is>
      </c>
      <c r="B50" t="n">
        <v>0</v>
      </c>
      <c r="C50" t="n">
        <v>0</v>
      </c>
      <c r="D50" t="n">
        <v>4</v>
      </c>
      <c r="F50" s="72" t="n">
        <v>0.02</v>
      </c>
      <c r="H50" t="inlineStr">
        <is>
          <t>earthenware pots and pans 4pence.</t>
        </is>
      </c>
      <c r="J50" s="72">
        <f>F50</f>
        <v/>
      </c>
      <c r="K50" s="72">
        <f>J50</f>
        <v/>
      </c>
    </row>
    <row r="51">
      <c r="A51" t="inlineStr">
        <is>
          <t>Cost of the dairy</t>
        </is>
      </c>
      <c r="B51" t="n">
        <v>0</v>
      </c>
      <c r="C51" t="n">
        <v>11</v>
      </c>
      <c r="D51" t="n">
        <v>4</v>
      </c>
      <c r="F51" s="72" t="n">
        <v>0.57</v>
      </c>
      <c r="H51" t="inlineStr">
        <is>
          <t>grease bought for greasing sheep 11 shilling 4pence.</t>
        </is>
      </c>
      <c r="J51" s="72">
        <f>F51</f>
        <v/>
      </c>
      <c r="K51" s="72">
        <f>J51</f>
        <v/>
      </c>
    </row>
    <row r="52">
      <c r="A52" t="inlineStr">
        <is>
          <t>Cost of the dairy</t>
        </is>
      </c>
      <c r="B52" t="n">
        <v>0</v>
      </c>
      <c r="C52" t="n">
        <v>2</v>
      </c>
      <c r="D52" t="n">
        <v>11</v>
      </c>
      <c r="F52" s="72" t="n">
        <v>0.15</v>
      </c>
      <c r="H52" t="inlineStr">
        <is>
          <t>10 ells of canvas bought for packing wool 2 shilling 11pence, at 3.5pence an ell.</t>
        </is>
      </c>
      <c r="J52" s="72">
        <f>F52</f>
        <v/>
      </c>
      <c r="K52" s="72">
        <f>J52</f>
        <v/>
      </c>
    </row>
    <row r="53">
      <c r="A53" t="inlineStr">
        <is>
          <t>Cost of the dairy</t>
        </is>
      </c>
      <c r="B53" t="n">
        <v>0</v>
      </c>
      <c r="C53" t="n">
        <v>0</v>
      </c>
      <c r="D53" t="n">
        <v>3</v>
      </c>
      <c r="F53" s="72" t="n">
        <v>0.01</v>
      </c>
      <c r="H53" t="inlineStr">
        <is>
          <t>castrating 9 piglets 3pence.</t>
        </is>
      </c>
      <c r="J53" s="72" t="n"/>
      <c r="K53" s="72">
        <f>J53</f>
        <v/>
      </c>
    </row>
    <row r="54">
      <c r="A54" t="inlineStr">
        <is>
          <t>Cost of the dairy</t>
        </is>
      </c>
      <c r="B54" t="n">
        <v>0</v>
      </c>
      <c r="C54" t="n">
        <v>2</v>
      </c>
      <c r="D54" t="n">
        <v>6</v>
      </c>
      <c r="F54" s="72" t="n">
        <v>0.12</v>
      </c>
      <c r="H54" t="inlineStr">
        <is>
          <t>wattling anew the sheepcote at Langeheg' 2 shilling 6pence.</t>
        </is>
      </c>
      <c r="J54" s="72">
        <f>F54</f>
        <v/>
      </c>
      <c r="K54" s="72">
        <f>J54</f>
        <v/>
      </c>
    </row>
    <row r="55">
      <c r="A55" t="inlineStr">
        <is>
          <t>Cost of the dairy</t>
        </is>
      </c>
      <c r="B55" t="n">
        <v>0</v>
      </c>
      <c r="C55" t="n">
        <v>3</v>
      </c>
      <c r="D55" t="n">
        <v>0</v>
      </c>
      <c r="F55" s="72" t="n">
        <v>0.15</v>
      </c>
      <c r="H55" t="inlineStr">
        <is>
          <t>re-roofing in places the said sheepcote which had been unroofed 3 shilling.</t>
        </is>
      </c>
      <c r="J55" s="72">
        <f>F55</f>
        <v/>
      </c>
      <c r="K55" s="72">
        <f>J55</f>
        <v/>
      </c>
    </row>
    <row r="56">
      <c r="A56" t="inlineStr">
        <is>
          <t>Cost of the dairy</t>
        </is>
      </c>
      <c r="B56" t="n">
        <v>0</v>
      </c>
      <c r="C56" t="n">
        <v>0</v>
      </c>
      <c r="D56" t="n">
        <v>6</v>
      </c>
      <c r="F56" s="72" t="n">
        <v>0.03</v>
      </c>
      <c r="H56" t="inlineStr">
        <is>
          <t>roofing in places the sheepcote at Legsted' 6pence.</t>
        </is>
      </c>
      <c r="J56" s="72">
        <f>F56</f>
        <v/>
      </c>
      <c r="K56" s="72">
        <f>J56</f>
        <v/>
      </c>
    </row>
    <row r="57">
      <c r="A57" t="inlineStr">
        <is>
          <t>Cost of the dairy</t>
        </is>
      </c>
      <c r="B57" t="n">
        <v>3</v>
      </c>
      <c r="C57" t="n">
        <v>13</v>
      </c>
      <c r="D57" t="n">
        <v>6</v>
      </c>
      <c r="F57" s="72" t="n">
        <v>3.67</v>
      </c>
      <c r="H57" t="inlineStr">
        <is>
          <t>8 cows bought after calving £3 13 shilling 6pence, at 8 shilling 10pence each for 3, 9 shilling 4pence each for 3, and 9 shilling 6pence each for 2.</t>
        </is>
      </c>
      <c r="K57" s="72">
        <f>J57</f>
        <v/>
      </c>
    </row>
    <row r="58">
      <c r="A58" t="inlineStr">
        <is>
          <t>Cost of the dairy</t>
        </is>
      </c>
      <c r="B58" t="n">
        <v>0</v>
      </c>
      <c r="C58" t="n">
        <v>0</v>
      </c>
      <c r="D58" t="n">
        <v>8</v>
      </c>
      <c r="F58" s="72" t="n">
        <v>0.03</v>
      </c>
      <c r="H58" t="inlineStr">
        <is>
          <t>a tripod bought 8pence.</t>
        </is>
      </c>
      <c r="J58" s="72">
        <f>F58</f>
        <v/>
      </c>
      <c r="K58" s="72">
        <f>J58</f>
        <v/>
      </c>
    </row>
    <row r="59">
      <c r="A59" t="inlineStr">
        <is>
          <t>Cost of the dairy</t>
        </is>
      </c>
      <c r="B59" t="n">
        <v>0</v>
      </c>
      <c r="C59" t="n">
        <v>3</v>
      </c>
      <c r="D59" t="n">
        <v>0</v>
      </c>
      <c r="F59" s="72" t="n">
        <v>0.15</v>
      </c>
      <c r="H59" t="inlineStr">
        <is>
          <t>stipend of 1 cowherd for the year 3 shilling.</t>
        </is>
      </c>
    </row>
    <row r="60">
      <c r="A60" t="inlineStr">
        <is>
          <t>Cost of the dairy</t>
        </is>
      </c>
      <c r="B60" t="n">
        <v>0</v>
      </c>
      <c r="C60" t="n">
        <v>2</v>
      </c>
      <c r="D60" t="n">
        <v>0</v>
      </c>
      <c r="F60" s="72">
        <f>B60+C60/20+D60/240</f>
        <v/>
      </c>
      <c r="H60" t="inlineStr">
        <is>
          <t xml:space="preserve">stipend of 1 dairymaid for the year 2 shilling </t>
        </is>
      </c>
    </row>
    <row r="61">
      <c r="A61" t="inlineStr">
        <is>
          <t>Cost of the dairy</t>
        </is>
      </c>
      <c r="B61" t="n">
        <v>5</v>
      </c>
      <c r="C61" t="n">
        <v>2</v>
      </c>
      <c r="D61" t="n">
        <v>10</v>
      </c>
      <c r="F61" s="72" t="n">
        <v>5.14</v>
      </c>
      <c r="H61" t="inlineStr">
        <is>
          <t>Total, £5 2 shilling 10pence</t>
        </is>
      </c>
    </row>
    <row r="62">
      <c r="A62" t="inlineStr">
        <is>
          <t>Cost of the dairy</t>
        </is>
      </c>
      <c r="F62" s="72">
        <f>SUM(F46:F60)</f>
        <v/>
      </c>
      <c r="G62" s="128">
        <f>F62-F61</f>
        <v/>
      </c>
      <c r="H62" t="inlineStr">
        <is>
          <t>Total</t>
        </is>
      </c>
    </row>
    <row r="63"/>
    <row r="64">
      <c r="A64" t="inlineStr">
        <is>
          <t>Cost of buildings at Berth'</t>
        </is>
      </c>
      <c r="B64" t="n">
        <v>0</v>
      </c>
      <c r="C64" t="n">
        <v>4</v>
      </c>
      <c r="D64" t="n">
        <v>10</v>
      </c>
      <c r="F64" s="72" t="n">
        <v>0.24</v>
      </c>
      <c r="H64" t="inlineStr">
        <is>
          <t>In re-roofing the barn in places 4 shilling 10pence.</t>
        </is>
      </c>
      <c r="J64" s="72">
        <f>F64</f>
        <v/>
      </c>
      <c r="K64" s="72">
        <f>J64</f>
        <v/>
      </c>
    </row>
    <row r="65">
      <c r="A65" t="inlineStr">
        <is>
          <t>Cost of buildings at Berth'</t>
        </is>
      </c>
      <c r="B65" t="n">
        <v>0</v>
      </c>
      <c r="C65" t="n">
        <v>0</v>
      </c>
      <c r="D65" t="n">
        <v>3</v>
      </c>
      <c r="F65" s="72" t="n">
        <v>0.01</v>
      </c>
      <c r="H65" t="inlineStr">
        <is>
          <t>mending the gate of the same 3pence.</t>
        </is>
      </c>
      <c r="J65" s="72">
        <f>F65</f>
        <v/>
      </c>
      <c r="K65" s="72">
        <f>J65</f>
        <v/>
      </c>
    </row>
    <row r="66">
      <c r="A66" t="inlineStr">
        <is>
          <t>Cost of buildings at Berth'</t>
        </is>
      </c>
      <c r="B66" t="n">
        <v>0</v>
      </c>
      <c r="C66" t="n">
        <v>0</v>
      </c>
      <c r="D66" t="n">
        <v>3.5</v>
      </c>
      <c r="F66" s="72">
        <f>B66+C66/20+D66/240</f>
        <v/>
      </c>
      <c r="H66" t="inlineStr">
        <is>
          <t xml:space="preserve">fencing for the enclosure 3.5pence </t>
        </is>
      </c>
      <c r="J66" s="72">
        <f>F66</f>
        <v/>
      </c>
      <c r="K66" s="72">
        <f>J66</f>
        <v/>
      </c>
    </row>
    <row r="67">
      <c r="A67" t="inlineStr">
        <is>
          <t>Cost of buildings at Berth'</t>
        </is>
      </c>
      <c r="B67" t="n">
        <v>0</v>
      </c>
      <c r="C67" t="n">
        <v>5</v>
      </c>
      <c r="D67" t="n">
        <v>4.5</v>
      </c>
      <c r="F67" s="72">
        <f>B67+C67/20+D67/240</f>
        <v/>
      </c>
      <c r="H67" t="inlineStr">
        <is>
          <t>Total, 5 shilling 4.5pence</t>
        </is>
      </c>
    </row>
    <row r="68">
      <c r="A68" t="inlineStr">
        <is>
          <t>Cost of buildings at Berth'</t>
        </is>
      </c>
      <c r="F68" s="72">
        <f>SUM(F64:F66)</f>
        <v/>
      </c>
      <c r="G68" s="128">
        <f>F68-F67</f>
        <v/>
      </c>
      <c r="H68" t="inlineStr">
        <is>
          <t>Total</t>
        </is>
      </c>
    </row>
    <row r="69"/>
    <row r="70">
      <c r="A70" t="inlineStr">
        <is>
          <t>Cost of buildings in the curia</t>
        </is>
      </c>
      <c r="B70" t="n">
        <v>0</v>
      </c>
      <c r="C70" t="n">
        <v>14</v>
      </c>
      <c r="D70" t="n">
        <v>8</v>
      </c>
      <c r="F70" s="72" t="n">
        <v>0.73</v>
      </c>
      <c r="H70" t="inlineStr">
        <is>
          <t>In rebuilding anew the great barn which had partly collapsed through rotten timber with a carpenter to do this and laths made for the same 14 shilling 8pence.</t>
        </is>
      </c>
      <c r="J70" s="72">
        <f>F70</f>
        <v/>
      </c>
      <c r="K70" s="72">
        <f>J70</f>
        <v/>
      </c>
    </row>
    <row r="71">
      <c r="A71" t="inlineStr">
        <is>
          <t>Cost of buildings in the curia</t>
        </is>
      </c>
      <c r="B71" t="n">
        <v>0</v>
      </c>
      <c r="C71" t="n">
        <v>0</v>
      </c>
      <c r="D71" t="n">
        <v>3</v>
      </c>
      <c r="F71" s="72" t="n">
        <v>0.01</v>
      </c>
      <c r="H71" t="inlineStr">
        <is>
          <t>large nails to fasten the rafters of the barn 3pence.</t>
        </is>
      </c>
      <c r="J71" s="72">
        <f>F71</f>
        <v/>
      </c>
      <c r="K71" s="72">
        <f>J71</f>
        <v/>
      </c>
    </row>
    <row r="72">
      <c r="A72" t="inlineStr">
        <is>
          <t>Cost of buildings in the curia</t>
        </is>
      </c>
      <c r="B72" t="n">
        <v>0</v>
      </c>
      <c r="C72" t="n">
        <v>6</v>
      </c>
      <c r="D72" t="n">
        <v>8</v>
      </c>
      <c r="F72" s="72" t="n">
        <v>0.33</v>
      </c>
      <c r="H72" t="inlineStr">
        <is>
          <t>10,000 nails bought for laths 6 shilling 8pence.</t>
        </is>
      </c>
      <c r="J72" s="72">
        <f>F72</f>
        <v/>
      </c>
      <c r="K72" s="72">
        <f>J72</f>
        <v/>
      </c>
    </row>
    <row r="73">
      <c r="A73" t="inlineStr">
        <is>
          <t>Cost of buildings in the curia</t>
        </is>
      </c>
      <c r="B73" t="n">
        <v>1</v>
      </c>
      <c r="C73" t="n">
        <v>0</v>
      </c>
      <c r="D73" t="n">
        <v>0</v>
      </c>
      <c r="F73" s="72" t="n">
        <v>1</v>
      </c>
      <c r="H73" t="inlineStr">
        <is>
          <t>15,000 large slates bought for the said barn £1, at 1 shilling 4pence a 1,000..</t>
        </is>
      </c>
      <c r="J73" s="72">
        <f>F73</f>
        <v/>
      </c>
      <c r="K73" s="72">
        <f>J73</f>
        <v/>
      </c>
    </row>
    <row r="74">
      <c r="A74" t="inlineStr">
        <is>
          <t>Cost of buildings in the curia</t>
        </is>
      </c>
      <c r="B74" t="n">
        <v>0</v>
      </c>
      <c r="C74" t="n">
        <v>1</v>
      </c>
      <c r="D74" t="n">
        <v>3</v>
      </c>
      <c r="F74" s="72" t="n">
        <v>0.06</v>
      </c>
      <c r="H74" t="inlineStr">
        <is>
          <t>pegs bought for the same 1 shilling 3pence.</t>
        </is>
      </c>
      <c r="J74" s="72">
        <f>F74</f>
        <v/>
      </c>
      <c r="K74" s="72">
        <f>J74</f>
        <v/>
      </c>
    </row>
    <row r="75">
      <c r="A75" t="inlineStr">
        <is>
          <t>Cost of buildings in the curia</t>
        </is>
      </c>
      <c r="B75" t="n">
        <v>0</v>
      </c>
      <c r="C75" t="n">
        <v>18</v>
      </c>
      <c r="D75" t="n">
        <v>1</v>
      </c>
      <c r="F75" s="72" t="n">
        <v>0.9</v>
      </c>
      <c r="H75" t="inlineStr">
        <is>
          <t>re-roofing the said part of the barn anew and roofing the whole of the barn in places 18 shilling 1pence.</t>
        </is>
      </c>
      <c r="J75" s="72">
        <f>F75</f>
        <v/>
      </c>
      <c r="K75" s="72">
        <f>J75</f>
        <v/>
      </c>
    </row>
    <row r="76">
      <c r="A76" t="inlineStr">
        <is>
          <t>Cost of buildings in the curia</t>
        </is>
      </c>
      <c r="B76" t="n">
        <v>0</v>
      </c>
      <c r="C76" t="n">
        <v>6</v>
      </c>
      <c r="D76" t="n">
        <v>6</v>
      </c>
      <c r="F76" s="72" t="n">
        <v>0.33</v>
      </c>
      <c r="H76" t="inlineStr">
        <is>
          <t>13 quarters of lime bought for the same 6 shilling 6pence.</t>
        </is>
      </c>
      <c r="J76" s="72">
        <f>F76</f>
        <v/>
      </c>
      <c r="K76" s="72">
        <f>J76</f>
        <v/>
      </c>
    </row>
    <row r="77">
      <c r="A77" t="inlineStr">
        <is>
          <t>Cost of buildings in the curia</t>
        </is>
      </c>
      <c r="B77" t="n">
        <v>0</v>
      </c>
      <c r="C77" t="n">
        <v>0</v>
      </c>
      <c r="D77" t="n">
        <v>4</v>
      </c>
      <c r="F77" s="72" t="n">
        <v>0.02</v>
      </c>
      <c r="H77" t="inlineStr">
        <is>
          <t>sand bought 4pence.</t>
        </is>
      </c>
      <c r="J77" s="72">
        <f>F77</f>
        <v/>
      </c>
      <c r="K77" s="72">
        <f>J77</f>
        <v/>
      </c>
    </row>
    <row r="78">
      <c r="A78" t="inlineStr">
        <is>
          <t>Cost of buildings in the curia</t>
        </is>
      </c>
      <c r="B78" t="n">
        <v>0</v>
      </c>
      <c r="C78" t="n">
        <v>1</v>
      </c>
      <c r="D78" t="n">
        <v>11</v>
      </c>
      <c r="F78" s="72" t="n">
        <v>0.1</v>
      </c>
      <c r="H78" t="inlineStr">
        <is>
          <t>re-roofing the granary in places and the gate inside and re-roofing the great stable in places 1 shilling 11pence.</t>
        </is>
      </c>
      <c r="J78" s="72">
        <f>F78</f>
        <v/>
      </c>
      <c r="K78" s="72">
        <f>J78</f>
        <v/>
      </c>
    </row>
    <row r="79">
      <c r="A79" t="inlineStr">
        <is>
          <t>Cost of buildings in the curia</t>
        </is>
      </c>
      <c r="B79" t="n">
        <v>0</v>
      </c>
      <c r="C79" t="n">
        <v>4</v>
      </c>
      <c r="D79" t="n">
        <v>0</v>
      </c>
      <c r="F79" s="72" t="n">
        <v>0.2</v>
      </c>
      <c r="H79" t="inlineStr">
        <is>
          <t>3,000 large slates bought for the same 4 shilling.</t>
        </is>
      </c>
      <c r="J79" s="72">
        <f>F79</f>
        <v/>
      </c>
      <c r="K79" s="72">
        <f>J79</f>
        <v/>
      </c>
    </row>
    <row r="80">
      <c r="A80" t="inlineStr">
        <is>
          <t>Cost of buildings in the curia</t>
        </is>
      </c>
      <c r="B80" t="n">
        <v>0</v>
      </c>
      <c r="C80" t="n">
        <v>1</v>
      </c>
      <c r="D80" t="n">
        <v>0</v>
      </c>
      <c r="F80" s="72" t="n">
        <v>0.05</v>
      </c>
      <c r="H80" t="inlineStr">
        <is>
          <t>2 quarters of lime bought for the same 1 shilling.</t>
        </is>
      </c>
      <c r="J80" s="72">
        <f>F80</f>
        <v/>
      </c>
      <c r="K80" s="72">
        <f>J80</f>
        <v/>
      </c>
    </row>
    <row r="81">
      <c r="A81" t="inlineStr">
        <is>
          <t>Cost of buildings in the curia</t>
        </is>
      </c>
      <c r="B81" t="n">
        <v>0</v>
      </c>
      <c r="C81" t="n">
        <v>0</v>
      </c>
      <c r="D81" t="n">
        <v>3.5</v>
      </c>
      <c r="F81" s="72" t="n">
        <v>0.01</v>
      </c>
      <c r="H81" t="inlineStr">
        <is>
          <t>nails bought for laths 3.5pence.</t>
        </is>
      </c>
      <c r="J81" s="72">
        <f>F81</f>
        <v/>
      </c>
      <c r="K81" s="72">
        <f>J81</f>
        <v/>
      </c>
    </row>
    <row r="82">
      <c r="A82" t="inlineStr">
        <is>
          <t>Cost of buildings in the curia</t>
        </is>
      </c>
      <c r="B82" t="n">
        <v>0</v>
      </c>
      <c r="C82" t="n">
        <v>1</v>
      </c>
      <c r="D82" t="n">
        <v>10</v>
      </c>
      <c r="F82" s="72" t="n">
        <v>0.09</v>
      </c>
      <c r="H82" t="inlineStr">
        <is>
          <t>mending the stable outside the gate with a carpenter for the same 1 shilling 10pence.</t>
        </is>
      </c>
      <c r="J82" s="72">
        <f>F82</f>
        <v/>
      </c>
      <c r="K82" s="72">
        <f>J82</f>
        <v/>
      </c>
    </row>
    <row r="83">
      <c r="A83" t="inlineStr">
        <is>
          <t>Cost of buildings in the curia</t>
        </is>
      </c>
      <c r="B83" t="n">
        <v>0</v>
      </c>
      <c r="C83" t="n">
        <v>1</v>
      </c>
      <c r="D83" t="n">
        <v>6.5</v>
      </c>
      <c r="F83" s="72" t="n">
        <v>0.08</v>
      </c>
      <c r="H83" t="inlineStr">
        <is>
          <t>re-roofing the said stable with straw in places 1 shilling 6.5pence.</t>
        </is>
      </c>
      <c r="J83" s="72">
        <f>F83</f>
        <v/>
      </c>
      <c r="K83" s="72">
        <f>J83</f>
        <v/>
      </c>
    </row>
    <row r="84">
      <c r="A84" t="inlineStr">
        <is>
          <t>Cost of buildings in the curia</t>
        </is>
      </c>
      <c r="B84" t="n">
        <v>0</v>
      </c>
      <c r="C84" t="n">
        <v>2</v>
      </c>
      <c r="D84" t="n">
        <v>0</v>
      </c>
      <c r="F84" s="72" t="n">
        <v>0.1</v>
      </c>
      <c r="H84" t="inlineStr">
        <is>
          <t>mending the palisade around the curia in parts 2 shilling.</t>
        </is>
      </c>
      <c r="J84" s="72">
        <f>F84</f>
        <v/>
      </c>
      <c r="K84" s="72">
        <f>J84</f>
        <v/>
      </c>
    </row>
    <row r="85">
      <c r="A85" t="inlineStr">
        <is>
          <t>Cost of buildings in the curia</t>
        </is>
      </c>
      <c r="B85" t="n">
        <v>0</v>
      </c>
      <c r="C85" t="n">
        <v>6</v>
      </c>
      <c r="D85" t="n">
        <v>9</v>
      </c>
      <c r="F85" s="72" t="n">
        <v>0.34</v>
      </c>
      <c r="H85" t="inlineStr">
        <is>
          <t>54 quarters' of charcoal made and sent to Wolvesey 6 shilling 9pence, at 1.5pence a qr.</t>
        </is>
      </c>
    </row>
    <row r="86">
      <c r="A86" t="inlineStr">
        <is>
          <t>Cost of buildings in the curia</t>
        </is>
      </c>
      <c r="B86" t="n">
        <v>4</v>
      </c>
      <c r="C86" t="n">
        <v>7</v>
      </c>
      <c r="D86" t="n">
        <v>1</v>
      </c>
      <c r="F86" s="72" t="n">
        <v>4.35</v>
      </c>
      <c r="H86" t="inlineStr">
        <is>
          <t>Total, £4 7 shilling 1pence</t>
        </is>
      </c>
    </row>
    <row r="87">
      <c r="A87" t="inlineStr">
        <is>
          <t>Cost of buildings in the curia</t>
        </is>
      </c>
      <c r="F87" s="72" t="n">
        <v>4.35</v>
      </c>
      <c r="G87" s="128" t="n">
        <v>0</v>
      </c>
      <c r="H87" t="inlineStr">
        <is>
          <t>Total</t>
        </is>
      </c>
    </row>
    <row r="88"/>
    <row r="89">
      <c r="A89" t="inlineStr">
        <is>
          <t>Cost of the park</t>
        </is>
      </c>
      <c r="B89" t="n">
        <v>1</v>
      </c>
      <c r="C89" t="n">
        <v>8</v>
      </c>
      <c r="D89" t="n">
        <v>10</v>
      </c>
      <c r="F89" s="72" t="n">
        <v>1.44</v>
      </c>
      <c r="H89" t="inlineStr">
        <is>
          <t xml:space="preserve">In making the palisade of the park anew in places and mending it elsewhere £1 8 shilling 10pence </t>
        </is>
      </c>
      <c r="J89" s="72">
        <f>F89</f>
        <v/>
      </c>
      <c r="L89" t="inlineStr">
        <is>
          <t>not agricultural?</t>
        </is>
      </c>
    </row>
    <row r="90">
      <c r="A90" t="inlineStr">
        <is>
          <t>Cost of the park</t>
        </is>
      </c>
      <c r="F90" s="72" t="n">
        <v>1.44</v>
      </c>
      <c r="H90" t="inlineStr">
        <is>
          <t>Total, £1 8 shilling 10pence</t>
        </is>
      </c>
    </row>
    <row r="91">
      <c r="A91" t="inlineStr">
        <is>
          <t>Cost of the park</t>
        </is>
      </c>
      <c r="F91" s="72" t="n">
        <v>1.44</v>
      </c>
      <c r="G91" s="128" t="n">
        <v>0</v>
      </c>
      <c r="H91" t="inlineStr">
        <is>
          <t>Total</t>
        </is>
      </c>
    </row>
    <row r="92"/>
    <row r="93">
      <c r="A93" t="inlineStr">
        <is>
          <t>Threshing</t>
        </is>
      </c>
      <c r="B93" t="n">
        <v>0</v>
      </c>
      <c r="C93" t="n">
        <v>0</v>
      </c>
      <c r="D93" t="n">
        <v>0</v>
      </c>
      <c r="F93" s="72" t="n">
        <v>0</v>
      </c>
      <c r="H93" t="inlineStr">
        <is>
          <t>Nothing for the threshing of peas and vetches because they were threshed by labour service.</t>
        </is>
      </c>
    </row>
    <row r="94">
      <c r="A94" t="inlineStr">
        <is>
          <t>Threshing</t>
        </is>
      </c>
      <c r="B94" t="n">
        <v>0</v>
      </c>
      <c r="C94" t="n">
        <v>1</v>
      </c>
      <c r="D94" t="n">
        <v>1</v>
      </c>
      <c r="F94" s="72" t="n">
        <v>0.05</v>
      </c>
      <c r="H94" t="inlineStr">
        <is>
          <t>2 sacks bought 1 shilling 1pence.</t>
        </is>
      </c>
    </row>
    <row r="95">
      <c r="A95" t="inlineStr">
        <is>
          <t>Threshing</t>
        </is>
      </c>
      <c r="B95" t="n">
        <v>0</v>
      </c>
      <c r="C95" t="n">
        <v>0</v>
      </c>
      <c r="D95" t="n">
        <v>3</v>
      </c>
      <c r="F95" s="72">
        <f>B95+C95/20+D95/240</f>
        <v/>
      </c>
      <c r="H95" t="inlineStr">
        <is>
          <t xml:space="preserve">1 basket for corn bought 3pence </t>
        </is>
      </c>
    </row>
    <row r="96">
      <c r="A96" t="inlineStr">
        <is>
          <t>Threshing</t>
        </is>
      </c>
      <c r="B96" t="n">
        <v>0</v>
      </c>
      <c r="C96" t="n">
        <v>1</v>
      </c>
      <c r="D96" t="n">
        <v>4</v>
      </c>
      <c r="F96" s="72">
        <f>B96+C96/20+D96/240</f>
        <v/>
      </c>
      <c r="H96" t="inlineStr">
        <is>
          <t>Total, 1 shilling 4pence</t>
        </is>
      </c>
    </row>
    <row r="97">
      <c r="A97" t="inlineStr">
        <is>
          <t>Threshing</t>
        </is>
      </c>
      <c r="F97" s="72">
        <f>SUM(F93:F95)</f>
        <v/>
      </c>
      <c r="G97" s="128">
        <f>F97-F96</f>
        <v/>
      </c>
      <c r="H97" t="inlineStr">
        <is>
          <t>Total</t>
        </is>
      </c>
    </row>
    <row r="98"/>
    <row r="99">
      <c r="A99" t="inlineStr">
        <is>
          <t>Hay harvest (Autumpn')</t>
        </is>
      </c>
      <c r="B99" t="n">
        <v>0</v>
      </c>
      <c r="C99" t="n">
        <v>1</v>
      </c>
      <c r="D99" t="n">
        <v>0</v>
      </c>
      <c r="F99" s="72" t="n">
        <v>0.05</v>
      </c>
      <c r="H99" t="inlineStr">
        <is>
          <t>in mowing the meadow of Bitterne according to custom 1 shilling.</t>
        </is>
      </c>
    </row>
    <row r="100">
      <c r="A100" t="inlineStr">
        <is>
          <t>Hay harvest (Autumpn')</t>
        </is>
      </c>
      <c r="B100" t="n">
        <v>0</v>
      </c>
      <c r="C100" t="n">
        <v>1</v>
      </c>
      <c r="D100" t="n">
        <v>6</v>
      </c>
      <c r="F100" s="72" t="n">
        <v>0.08</v>
      </c>
      <c r="H100" t="inlineStr">
        <is>
          <t>tossing the hay of the same 1 shilling 6pence.</t>
        </is>
      </c>
    </row>
    <row r="101">
      <c r="A101" t="inlineStr">
        <is>
          <t>Hay harvest (Autumpn')</t>
        </is>
      </c>
      <c r="B101" t="n">
        <v>0</v>
      </c>
      <c r="C101" t="n">
        <v>2</v>
      </c>
      <c r="D101" t="n">
        <v>6</v>
      </c>
      <c r="F101" s="72" t="n">
        <v>0.12</v>
      </c>
      <c r="H101" t="inlineStr">
        <is>
          <t>mowing the new meadow 2 shilling 6pence.</t>
        </is>
      </c>
    </row>
    <row r="102">
      <c r="A102" t="inlineStr">
        <is>
          <t>Hay harvest (Autumpn')</t>
        </is>
      </c>
      <c r="B102" t="n">
        <v>0</v>
      </c>
      <c r="C102" t="n">
        <v>0</v>
      </c>
      <c r="D102" t="n">
        <v>4</v>
      </c>
      <c r="F102" s="72" t="n">
        <v>0.02</v>
      </c>
      <c r="H102" t="inlineStr">
        <is>
          <t>tossing the hay 4pence.</t>
        </is>
      </c>
    </row>
    <row r="103">
      <c r="A103" t="inlineStr">
        <is>
          <t>Hay harvest (Autumpn')</t>
        </is>
      </c>
      <c r="B103" t="n">
        <v>0</v>
      </c>
      <c r="C103" t="n">
        <v>1</v>
      </c>
      <c r="D103" t="n">
        <v>6</v>
      </c>
      <c r="F103" s="72" t="n">
        <v>0.08</v>
      </c>
      <c r="H103" t="inlineStr">
        <is>
          <t>mowing Ballesmed 1 shilling 6pence.</t>
        </is>
      </c>
    </row>
    <row r="104">
      <c r="A104" t="inlineStr">
        <is>
          <t>Hay harvest (Autumpn')</t>
        </is>
      </c>
      <c r="B104" t="n">
        <v>0</v>
      </c>
      <c r="C104" t="n">
        <v>0</v>
      </c>
      <c r="D104" t="n">
        <v>2</v>
      </c>
      <c r="F104" s="72" t="n">
        <v>0.01</v>
      </c>
      <c r="H104" t="inlineStr">
        <is>
          <t>tossing the hay 2pence.</t>
        </is>
      </c>
    </row>
    <row r="105">
      <c r="A105" t="inlineStr">
        <is>
          <t>Hay harvest (Autumpn')</t>
        </is>
      </c>
      <c r="B105" t="n">
        <v>0</v>
      </c>
      <c r="C105" t="n">
        <v>1</v>
      </c>
      <c r="D105" t="n">
        <v>0</v>
      </c>
      <c r="F105" s="72" t="n">
        <v>0.05</v>
      </c>
      <c r="H105" t="inlineStr">
        <is>
          <t xml:space="preserve">mowing the meadow of la Mere 1 shilling </t>
        </is>
      </c>
    </row>
    <row r="106">
      <c r="A106" t="inlineStr">
        <is>
          <t>Hay harvest (Autumpn')</t>
        </is>
      </c>
      <c r="B106" t="n">
        <v>0</v>
      </c>
      <c r="C106" t="n">
        <v>8</v>
      </c>
      <c r="D106" t="n">
        <v>0</v>
      </c>
      <c r="F106" s="72">
        <f>B106+C106/20+D106/240</f>
        <v/>
      </c>
      <c r="H106" t="inlineStr">
        <is>
          <t>Total, 8 shilling</t>
        </is>
      </c>
    </row>
    <row r="107">
      <c r="A107" t="inlineStr">
        <is>
          <t>Hay harvest (Autumpn')</t>
        </is>
      </c>
      <c r="F107" s="72" t="n">
        <v>0.41</v>
      </c>
      <c r="G107" s="128">
        <f>F107-F106</f>
        <v/>
      </c>
      <c r="H107" t="inlineStr">
        <is>
          <t>Total</t>
        </is>
      </c>
    </row>
    <row r="108"/>
    <row r="109">
      <c r="A109" t="inlineStr">
        <is>
          <t>Corn harvest (Autumpn')</t>
        </is>
      </c>
      <c r="B109" t="n">
        <v>0</v>
      </c>
      <c r="C109" t="n">
        <v>14</v>
      </c>
      <c r="D109" t="n">
        <v>5.5</v>
      </c>
      <c r="F109" s="72" t="n">
        <v>0.72</v>
      </c>
      <c r="H109" t="inlineStr">
        <is>
          <t>In bread bought for 347 men at two harvest boon-works 14 shilling 5.5pence, and each has bread worth .5pence.</t>
        </is>
      </c>
    </row>
    <row r="110">
      <c r="A110" t="inlineStr">
        <is>
          <t>Corn harvest (Autumpn')</t>
        </is>
      </c>
      <c r="B110" t="n">
        <v>0</v>
      </c>
      <c r="C110" t="n">
        <v>6</v>
      </c>
      <c r="D110" t="n">
        <v>1</v>
      </c>
      <c r="F110" s="72" t="n">
        <v>0.3</v>
      </c>
      <c r="H110" t="inlineStr">
        <is>
          <t>1,041 herrings bought for the same 6 shilling 1pence, at 8pence a hundred, and each has 3 herrings.</t>
        </is>
      </c>
    </row>
    <row r="111">
      <c r="A111" t="inlineStr">
        <is>
          <t>Corn harvest (Autumpn')</t>
        </is>
      </c>
      <c r="B111" t="n">
        <v>0</v>
      </c>
      <c r="C111" t="n">
        <v>9</v>
      </c>
      <c r="D111" t="n">
        <v>6</v>
      </c>
      <c r="F111" s="72" t="n">
        <v>0.48</v>
      </c>
      <c r="H111" t="inlineStr">
        <is>
          <t>bread bought for the great boon-work of 228 men 9 shilling 6pence, and they have as before.</t>
        </is>
      </c>
    </row>
    <row r="112">
      <c r="A112" t="inlineStr">
        <is>
          <t>Corn harvest (Autumpn')</t>
        </is>
      </c>
      <c r="B112" t="n">
        <v>0</v>
      </c>
      <c r="C112" t="n">
        <v>9</v>
      </c>
      <c r="D112" t="n">
        <v>6</v>
      </c>
      <c r="F112" s="72" t="n">
        <v>0.48</v>
      </c>
      <c r="H112" t="inlineStr">
        <is>
          <t>meat bought for the same 9 shilling 6pence.</t>
        </is>
      </c>
    </row>
    <row r="113">
      <c r="A113" t="inlineStr">
        <is>
          <t>Corn harvest (Autumpn')</t>
        </is>
      </c>
      <c r="B113" t="n">
        <v>0</v>
      </c>
      <c r="C113" t="n">
        <v>6</v>
      </c>
      <c r="D113" t="n">
        <v>10</v>
      </c>
      <c r="F113" s="72" t="n">
        <v>0.34</v>
      </c>
      <c r="H113" t="inlineStr">
        <is>
          <t>meat bought for the same 6 shilling 10pence And they do 1 boon-work at their own cost without food and drink.</t>
        </is>
      </c>
    </row>
    <row r="114">
      <c r="A114" t="inlineStr">
        <is>
          <t>Corn harvest (Autumpn')</t>
        </is>
      </c>
      <c r="B114" t="n">
        <v>0</v>
      </c>
      <c r="C114" t="n">
        <v>4</v>
      </c>
      <c r="D114" t="n">
        <v>8</v>
      </c>
      <c r="F114" s="72" t="n">
        <v>0.23</v>
      </c>
      <c r="H114" t="inlineStr">
        <is>
          <t>mowing 14 acres of vetches 4 shilling 8pence, at 4pence an acre.</t>
        </is>
      </c>
    </row>
    <row r="115">
      <c r="A115" t="inlineStr">
        <is>
          <t>Corn harvest (Autumpn')</t>
        </is>
      </c>
      <c r="B115" t="n">
        <v>2</v>
      </c>
      <c r="C115" t="n">
        <v>11</v>
      </c>
      <c r="D115" t="n">
        <v>0.5</v>
      </c>
      <c r="F115" s="72" t="n">
        <v>2.55</v>
      </c>
      <c r="H115" t="inlineStr">
        <is>
          <t>Total, £2 11 shilling 0.5pence</t>
        </is>
      </c>
    </row>
    <row r="116">
      <c r="A116" t="inlineStr">
        <is>
          <t>Corn harvest (Autumpn')</t>
        </is>
      </c>
      <c r="F116" s="72" t="n">
        <v>2.55</v>
      </c>
      <c r="G116" s="128" t="n">
        <v>0</v>
      </c>
      <c r="H116" t="inlineStr">
        <is>
          <t>Total</t>
        </is>
      </c>
    </row>
    <row r="117"/>
    <row r="118">
      <c r="A118" t="inlineStr">
        <is>
          <t>Expenses of the steward</t>
        </is>
      </c>
      <c r="B118" t="n">
        <v>1</v>
      </c>
      <c r="C118" t="n">
        <v>2</v>
      </c>
      <c r="D118" t="n">
        <v>11</v>
      </c>
      <c r="F118" s="72">
        <f>B118+C118/20+D118/240</f>
        <v/>
      </c>
      <c r="H118" t="inlineStr">
        <is>
          <t>In expenses of the steward for his visits at 2 tourns by 2 tallies £1 2 shilling 11pence.</t>
        </is>
      </c>
    </row>
    <row r="119">
      <c r="A119" t="inlineStr">
        <is>
          <t>Expenses of the steward</t>
        </is>
      </c>
      <c r="B119" t="n">
        <v>1</v>
      </c>
      <c r="C119" t="n">
        <v>12</v>
      </c>
      <c r="D119" t="n">
        <v>1</v>
      </c>
      <c r="F119" s="72" t="n">
        <v>1.6</v>
      </c>
      <c r="H119" t="inlineStr">
        <is>
          <t>expenses of Roger, bailiff from Michaelmas until Christmas, £1 12 shilling 1pence.</t>
        </is>
      </c>
    </row>
    <row r="120">
      <c r="A120" t="inlineStr">
        <is>
          <t>Expenses of the steward</t>
        </is>
      </c>
      <c r="B120" t="n">
        <v>0</v>
      </c>
      <c r="C120" t="n">
        <v>3</v>
      </c>
      <c r="D120" t="n">
        <v>0</v>
      </c>
      <c r="F120" s="72" t="n">
        <v>0.15</v>
      </c>
      <c r="H120" t="inlineStr">
        <is>
          <t>fur bought for the same bailiff 3 shilling.</t>
        </is>
      </c>
    </row>
    <row r="121">
      <c r="A121" t="inlineStr">
        <is>
          <t>Expenses of the steward</t>
        </is>
      </c>
      <c r="B121" t="n">
        <v>2</v>
      </c>
      <c r="C121" t="n">
        <v>0</v>
      </c>
      <c r="D121" t="n">
        <v>0</v>
      </c>
      <c r="F121" s="72" t="n">
        <v>2</v>
      </c>
      <c r="H121" t="inlineStr">
        <is>
          <t>expenses of Robert, bailiff and clerk, for his visits from Christmas until the following Michaelmas £2.</t>
        </is>
      </c>
    </row>
    <row r="122">
      <c r="A122" t="inlineStr">
        <is>
          <t>Expenses of the steward</t>
        </is>
      </c>
      <c r="B122" t="n">
        <v>0</v>
      </c>
      <c r="C122" t="n">
        <v>3</v>
      </c>
      <c r="D122" t="n">
        <v>0</v>
      </c>
      <c r="F122" s="72">
        <f>B122+C122/20+D122/240</f>
        <v/>
      </c>
      <c r="H122" t="inlineStr">
        <is>
          <t xml:space="preserve">1 fur bought for the summer livery of Robert the bailiff 3 shilling </t>
        </is>
      </c>
    </row>
    <row r="123">
      <c r="A123" t="inlineStr">
        <is>
          <t>Expenses of the steward</t>
        </is>
      </c>
      <c r="B123" t="n">
        <v>5</v>
      </c>
      <c r="C123" t="n">
        <v>1</v>
      </c>
      <c r="D123" t="n">
        <v>0</v>
      </c>
      <c r="F123" s="72" t="n">
        <v>5.05</v>
      </c>
      <c r="H123" t="inlineStr">
        <is>
          <t>Total, £5 1 shilling</t>
        </is>
      </c>
    </row>
    <row r="124">
      <c r="A124" t="inlineStr">
        <is>
          <t>Expenses of the steward</t>
        </is>
      </c>
      <c r="F124" s="72">
        <f>SUM(F118:F122)</f>
        <v/>
      </c>
      <c r="G124" s="128">
        <f>F124-F123</f>
        <v/>
      </c>
      <c r="H124" t="inlineStr">
        <is>
          <t>Total</t>
        </is>
      </c>
    </row>
    <row r="125"/>
    <row r="126">
      <c r="A126" t="inlineStr">
        <is>
          <t>Wages of the door-keeper</t>
        </is>
      </c>
      <c r="B126" t="n">
        <v>1</v>
      </c>
      <c r="C126" t="n">
        <v>10</v>
      </c>
      <c r="D126" t="n">
        <v>5</v>
      </c>
      <c r="F126" s="72" t="n">
        <v>1.52</v>
      </c>
      <c r="H126" t="inlineStr">
        <is>
          <t xml:space="preserve">In wages of the door-keeper for the year £1 10 shilling 5pence </t>
        </is>
      </c>
    </row>
    <row r="127">
      <c r="A127" t="inlineStr">
        <is>
          <t>Wages of the door-keeper</t>
        </is>
      </c>
      <c r="F127" s="72" t="n">
        <v>1.52</v>
      </c>
      <c r="H127" t="inlineStr">
        <is>
          <t>Total, £1 10 shilling 5pence</t>
        </is>
      </c>
    </row>
    <row r="128">
      <c r="A128" t="inlineStr">
        <is>
          <t>Wages of the door-keeper</t>
        </is>
      </c>
      <c r="F128" s="72" t="n">
        <v>1.52</v>
      </c>
      <c r="G128" s="128" t="n">
        <v>0</v>
      </c>
      <c r="H128" t="inlineStr">
        <is>
          <t>Total</t>
        </is>
      </c>
    </row>
    <row r="129"/>
    <row r="130">
      <c r="A130" t="inlineStr">
        <is>
          <t>Purchase of stock</t>
        </is>
      </c>
      <c r="B130" t="n">
        <v>17</v>
      </c>
      <c r="C130" t="n">
        <v>18</v>
      </c>
      <c r="D130" t="n">
        <v>2.25</v>
      </c>
      <c r="F130" s="72" t="n">
        <v>17.91</v>
      </c>
      <c r="H130" t="inlineStr">
        <is>
          <t xml:space="preserve">In 50 yearlings bought and agisted in the park the previous year, because their sale is answered for in this roll, £17 18 shilling 2.25pence </t>
        </is>
      </c>
    </row>
    <row r="131">
      <c r="A131" t="inlineStr">
        <is>
          <t>Purchase of stock</t>
        </is>
      </c>
      <c r="F131" s="72" t="n">
        <v>17.91</v>
      </c>
      <c r="H131" t="inlineStr">
        <is>
          <t>Total, £17 18 shilling 2.25pence</t>
        </is>
      </c>
    </row>
    <row r="132">
      <c r="A132" t="inlineStr">
        <is>
          <t>Purchase of stock</t>
        </is>
      </c>
      <c r="F132" s="72" t="n">
        <v>17.91</v>
      </c>
      <c r="G132" s="128" t="n">
        <v>0</v>
      </c>
      <c r="H132" t="inlineStr">
        <is>
          <t>Total</t>
        </is>
      </c>
    </row>
    <row r="133"/>
    <row r="134">
      <c r="A134" t="inlineStr">
        <is>
          <t>Foreign expenses</t>
        </is>
      </c>
      <c r="B134" t="n">
        <v>0</v>
      </c>
      <c r="C134" t="n">
        <v>10</v>
      </c>
      <c r="D134" t="n">
        <v>1.5</v>
      </c>
      <c r="F134" s="72" t="n">
        <v>0.51</v>
      </c>
      <c r="H134" t="inlineStr">
        <is>
          <t>In allowance of the reeve for 80 perches of ditch around the new meadow in the park 10 shilling, at 1.5pence a perch.</t>
        </is>
      </c>
      <c r="J134" s="72">
        <f>F134</f>
        <v/>
      </c>
    </row>
    <row r="135">
      <c r="A135" t="inlineStr">
        <is>
          <t>Foreign expenses</t>
        </is>
      </c>
      <c r="B135" t="n">
        <v>0</v>
      </c>
      <c r="C135" t="n">
        <v>3</v>
      </c>
      <c r="D135" t="n">
        <v>6</v>
      </c>
      <c r="F135" s="72" t="n">
        <v>0.17</v>
      </c>
      <c r="H135" t="inlineStr">
        <is>
          <t>obstructing the watercourse so that it does not flow beyond the said meadow 3 shilling 6pence.</t>
        </is>
      </c>
      <c r="J135" s="72">
        <f>F135</f>
        <v/>
      </c>
    </row>
    <row r="136">
      <c r="A136" t="inlineStr">
        <is>
          <t>Foreign expenses</t>
        </is>
      </c>
      <c r="B136" t="n">
        <v>0</v>
      </c>
      <c r="C136" t="n">
        <v>2</v>
      </c>
      <c r="D136" t="n">
        <v>0</v>
      </c>
      <c r="F136" s="72" t="n">
        <v>0.1</v>
      </c>
      <c r="H136" t="inlineStr">
        <is>
          <t>enclosing the said meadow 2 shilling.</t>
        </is>
      </c>
      <c r="J136" s="72">
        <f>F136</f>
        <v/>
      </c>
    </row>
    <row r="137">
      <c r="A137" t="inlineStr">
        <is>
          <t>Foreign expenses</t>
        </is>
      </c>
      <c r="B137" t="n">
        <v>0</v>
      </c>
      <c r="C137" t="n">
        <v>1</v>
      </c>
      <c r="D137" t="n">
        <v>8</v>
      </c>
      <c r="F137" s="72" t="n">
        <v>0.08</v>
      </c>
      <c r="H137" t="inlineStr">
        <is>
          <t>seedlings collected for the same ditch 1 shilling 8pence.</t>
        </is>
      </c>
      <c r="J137" s="72">
        <f>F137</f>
        <v/>
      </c>
    </row>
    <row r="138">
      <c r="A138" t="inlineStr">
        <is>
          <t>Foreign expenses</t>
        </is>
      </c>
      <c r="B138" t="n">
        <v>0</v>
      </c>
      <c r="C138" t="n">
        <v>8</v>
      </c>
      <c r="D138" t="n">
        <v>9</v>
      </c>
      <c r="F138" s="72" t="n">
        <v>0.44</v>
      </c>
      <c r="H138" t="inlineStr">
        <is>
          <t>70 perches of new ditch around a certain purpresture beside the cowshed for nurturing calves 8 shilling 9pence, at 1.5pence a perch.</t>
        </is>
      </c>
      <c r="J138" s="72">
        <f>F138</f>
        <v/>
      </c>
    </row>
    <row r="139">
      <c r="A139" t="inlineStr">
        <is>
          <t>Foreign expenses</t>
        </is>
      </c>
      <c r="B139" t="n">
        <v>0</v>
      </c>
      <c r="C139" t="n">
        <v>1</v>
      </c>
      <c r="D139" t="n">
        <v>4</v>
      </c>
      <c r="F139" s="72" t="n">
        <v>0.07000000000000001</v>
      </c>
      <c r="H139" t="inlineStr">
        <is>
          <t>seedlings collected for the same 1 shilling 4pence.</t>
        </is>
      </c>
      <c r="J139" s="72">
        <f>F139</f>
        <v/>
      </c>
    </row>
    <row r="140">
      <c r="A140" t="inlineStr">
        <is>
          <t>Foreign expenses</t>
        </is>
      </c>
      <c r="B140" t="n">
        <v>0</v>
      </c>
      <c r="C140" t="n">
        <v>1</v>
      </c>
      <c r="D140" t="n">
        <v>11</v>
      </c>
      <c r="F140" s="72" t="n">
        <v>0.1</v>
      </c>
      <c r="H140" t="inlineStr">
        <is>
          <t>enclosing the said ditch 1 shilling 11pence.</t>
        </is>
      </c>
      <c r="J140" s="72">
        <f>F140</f>
        <v/>
      </c>
    </row>
    <row r="141">
      <c r="A141" t="inlineStr">
        <is>
          <t>Foreign expenses</t>
        </is>
      </c>
      <c r="B141" t="n">
        <v>0</v>
      </c>
      <c r="C141" t="n">
        <v>8</v>
      </c>
      <c r="D141" t="n">
        <v>0</v>
      </c>
      <c r="F141" s="72" t="n">
        <v>0.4</v>
      </c>
      <c r="H141" t="inlineStr">
        <is>
          <t>a sluice for the small fishpond and a new trough for the same with a carpenter for the same 8 shilling.</t>
        </is>
      </c>
      <c r="J141" s="72">
        <f>F141</f>
        <v/>
      </c>
      <c r="K141" s="72">
        <f>J141</f>
        <v/>
      </c>
    </row>
    <row r="142">
      <c r="A142" t="inlineStr">
        <is>
          <t>Foreign expenses</t>
        </is>
      </c>
      <c r="B142" t="n">
        <v>0</v>
      </c>
      <c r="C142" t="n">
        <v>13</v>
      </c>
      <c r="D142" t="n">
        <v>0</v>
      </c>
      <c r="F142" s="72" t="n">
        <v>0.65</v>
      </c>
      <c r="H142" t="inlineStr">
        <is>
          <t>men hired by the day to dig the foundations of the said sluice, dig and carry earth and turfs, and make and put in stakes for the same, 13 shilling.</t>
        </is>
      </c>
      <c r="J142" s="72">
        <f>F142</f>
        <v/>
      </c>
      <c r="K142" s="72">
        <f>J142</f>
        <v/>
      </c>
    </row>
    <row r="143">
      <c r="A143" t="inlineStr">
        <is>
          <t>Foreign expenses</t>
        </is>
      </c>
      <c r="B143" t="n">
        <v>0</v>
      </c>
      <c r="C143" t="n">
        <v>0</v>
      </c>
      <c r="D143" t="n">
        <v>8</v>
      </c>
      <c r="F143" s="72" t="n">
        <v>0.03</v>
      </c>
      <c r="H143" t="inlineStr">
        <is>
          <t>large nails bought for the same 8pence.</t>
        </is>
      </c>
      <c r="J143" s="72">
        <f>F143</f>
        <v/>
      </c>
      <c r="K143" s="72">
        <f>J143</f>
        <v/>
      </c>
    </row>
    <row r="144">
      <c r="A144" t="inlineStr">
        <is>
          <t>Foreign expenses</t>
        </is>
      </c>
      <c r="B144" t="n">
        <v>0</v>
      </c>
      <c r="C144" t="n">
        <v>0</v>
      </c>
      <c r="D144" t="n">
        <v>3</v>
      </c>
      <c r="F144" s="72" t="n">
        <v>0.01</v>
      </c>
      <c r="H144" t="inlineStr">
        <is>
          <t>hooping 1 cask of wine 3pence.</t>
        </is>
      </c>
      <c r="J144" s="72">
        <f>F144</f>
        <v/>
      </c>
    </row>
    <row r="145">
      <c r="A145" t="inlineStr">
        <is>
          <t>Foreign expenses</t>
        </is>
      </c>
      <c r="B145" t="n">
        <v>1</v>
      </c>
      <c r="C145" t="n">
        <v>3</v>
      </c>
      <c r="D145" t="n">
        <v>8</v>
      </c>
      <c r="F145" s="72" t="n">
        <v>1.18</v>
      </c>
      <c r="H145" t="inlineStr">
        <is>
          <t xml:space="preserve">oaks felled and a ditch made for killing foxes by order of the lord £1 3 shilling 8pence </t>
        </is>
      </c>
      <c r="J145" s="72">
        <f>F145</f>
        <v/>
      </c>
    </row>
    <row r="146">
      <c r="A146" t="inlineStr">
        <is>
          <t>Foreign expenses</t>
        </is>
      </c>
      <c r="B146" t="n">
        <v>3</v>
      </c>
      <c r="C146" t="n">
        <v>14</v>
      </c>
      <c r="D146" t="n">
        <v>9</v>
      </c>
      <c r="F146" s="72">
        <f>B146+C146/20+D146/240</f>
        <v/>
      </c>
      <c r="H146" t="inlineStr">
        <is>
          <t>Total, £3 14 shilling 9pence</t>
        </is>
      </c>
    </row>
    <row r="147">
      <c r="A147" t="inlineStr">
        <is>
          <t>Foreign expenses</t>
        </is>
      </c>
      <c r="F147" s="72" t="n">
        <v>3.739999999999999</v>
      </c>
      <c r="G147" s="128">
        <f>F147-F146</f>
        <v/>
      </c>
      <c r="H147" t="inlineStr">
        <is>
          <t>Total</t>
        </is>
      </c>
    </row>
    <row r="148"/>
    <row r="149">
      <c r="A149" t="inlineStr">
        <is>
          <t>Total of all expenses</t>
        </is>
      </c>
      <c r="B149" t="n">
        <v>54</v>
      </c>
      <c r="C149" t="n">
        <v>9</v>
      </c>
      <c r="D149" t="n">
        <v>0.75</v>
      </c>
      <c r="F149" s="72" t="n">
        <v>54.45</v>
      </c>
      <c r="H149" t="inlineStr">
        <is>
          <t>Total of all expenses, £54 9 shilling 0.75pence</t>
        </is>
      </c>
    </row>
    <row r="150">
      <c r="A150" t="inlineStr">
        <is>
          <t>Total of all expenses</t>
        </is>
      </c>
      <c r="F150" s="72" t="n">
        <v>54.45</v>
      </c>
      <c r="G150" s="128" t="n">
        <v>0</v>
      </c>
      <c r="H150" t="inlineStr">
        <is>
          <t>Total</t>
        </is>
      </c>
    </row>
    <row r="151"/>
    <row r="152"/>
    <row r="153">
      <c r="A153" t="inlineStr">
        <is>
          <t>And he owes</t>
        </is>
      </c>
      <c r="B153" t="n">
        <v>175</v>
      </c>
      <c r="C153" t="n">
        <v>14</v>
      </c>
      <c r="D153" t="n">
        <v>9.5</v>
      </c>
      <c r="F153" s="72" t="n">
        <v>175.74</v>
      </c>
      <c r="H153" t="inlineStr">
        <is>
          <t>And he owes, £175 14 shilling 9.5pence</t>
        </is>
      </c>
    </row>
    <row r="154">
      <c r="A154" t="inlineStr">
        <is>
          <t>And he owes</t>
        </is>
      </c>
      <c r="F154" s="72" t="n">
        <v>175.74</v>
      </c>
      <c r="G154" s="128" t="n">
        <v>0</v>
      </c>
      <c r="H154" t="inlineStr">
        <is>
          <t>Total</t>
        </is>
      </c>
    </row>
    <row r="155"/>
    <row r="156"/>
    <row r="157">
      <c r="A157" t="inlineStr">
        <is>
          <t>Cash deliveries</t>
        </is>
      </c>
      <c r="B157" t="n">
        <v>116</v>
      </c>
      <c r="C157" t="n">
        <v>3</v>
      </c>
      <c r="D157" t="n">
        <v>2</v>
      </c>
      <c r="F157" s="72" t="n">
        <v>116.16</v>
      </c>
      <c r="H157" t="inlineStr">
        <is>
          <t>Delivered to Sir Geoffrey, treasurer of Wolvesey, by 1 tally, £116 3 shilling 2pence</t>
        </is>
      </c>
    </row>
    <row r="158">
      <c r="A158" t="inlineStr">
        <is>
          <t>Cash deliveries</t>
        </is>
      </c>
      <c r="F158" s="72" t="n">
        <v>116.16</v>
      </c>
      <c r="G158" s="128" t="n">
        <v>0</v>
      </c>
      <c r="H158" t="inlineStr">
        <is>
          <t>Total</t>
        </is>
      </c>
    </row>
    <row r="159"/>
    <row r="160"/>
    <row r="161">
      <c r="A161" t="inlineStr">
        <is>
          <t>And thus he owes clear</t>
        </is>
      </c>
      <c r="B161" t="n">
        <v>59</v>
      </c>
      <c r="C161" t="n">
        <v>11</v>
      </c>
      <c r="D161" t="n">
        <v>7.5</v>
      </c>
      <c r="F161" s="72" t="n">
        <v>59.58</v>
      </c>
      <c r="H161" t="inlineStr">
        <is>
          <t>And thus he owes clear, £59 11 shilling 7.5pence</t>
        </is>
      </c>
    </row>
    <row r="162"/>
    <row r="163" ht="16" customHeight="1">
      <c r="A163" s="12" t="inlineStr">
        <is>
          <t>Total of all expenses per account</t>
        </is>
      </c>
      <c r="F163" s="72">
        <f>F149</f>
        <v/>
      </c>
    </row>
    <row r="164" ht="16" customHeight="1">
      <c r="A164" s="12" t="inlineStr">
        <is>
          <t>Total of all expenses (calculated here)</t>
        </is>
      </c>
      <c r="F164" s="72">
        <f>F147+F132+F128+F124+F116+F107+F97+F91+F87+F68+F62+F44+F25</f>
        <v/>
      </c>
      <c r="G164" s="128">
        <f>F164-F163</f>
        <v/>
      </c>
    </row>
    <row r="165" ht="16" customHeight="1">
      <c r="A165" s="12" t="inlineStr">
        <is>
          <t>Total fixed investment</t>
        </is>
      </c>
      <c r="F165" s="72">
        <f>SUM(J3:J147)</f>
        <v/>
      </c>
    </row>
    <row r="166" ht="16" customHeight="1">
      <c r="A166" s="12" t="inlineStr">
        <is>
          <t>Total Demesne fixed investment</t>
        </is>
      </c>
      <c r="F166" s="72">
        <f>SUM(K3:K147)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6"/>
  <sheetViews>
    <sheetView topLeftCell="A1" workbookViewId="0">
      <selection activeCell="A1" sqref="A1"/>
    </sheetView>
  </sheetViews>
  <sheetFormatPr baseColWidth="8" defaultRowHeight="15"/>
  <cols>
    <col width="11.1640625" customWidth="1" min="1" max="1"/>
    <col width="12.1640625" customWidth="1" min="2" max="2"/>
    <col width="19.1640625" customWidth="1" min="3" max="3"/>
    <col width="20" customWidth="1" min="4" max="4"/>
    <col width="21.5" customWidth="1" min="5" max="5"/>
    <col width="15.83203125" customWidth="1" min="6" max="6"/>
    <col width="19" customWidth="1" min="7" max="7"/>
    <col width="20" customWidth="1" min="8" max="8"/>
    <col width="16.83203125" customWidth="1" min="9" max="9"/>
    <col width="16.6640625" customWidth="1" min="10" max="10"/>
    <col width="16.1640625" customWidth="1" min="11" max="11"/>
    <col width="21.5" customWidth="1" min="12" max="12"/>
    <col width="13" customWidth="1" min="13" max="13"/>
    <col width="14.33203125" customWidth="1" min="15" max="15"/>
    <col width="15.33203125" customWidth="1" min="16" max="16"/>
  </cols>
  <sheetData>
    <row r="1" ht="48" customHeight="1">
      <c r="A1" s="37" t="inlineStr">
        <is>
          <t>Gross Output</t>
        </is>
      </c>
      <c r="B1" s="37" t="inlineStr">
        <is>
          <t>Total Quantity</t>
        </is>
      </c>
      <c r="C1" s="37" t="inlineStr">
        <is>
          <t>Account Total Quarters</t>
        </is>
      </c>
      <c r="D1" s="37" t="inlineStr">
        <is>
          <t>Bought in Total Quarters</t>
        </is>
      </c>
      <c r="E1" s="37" t="inlineStr">
        <is>
          <t>Received from churchscot</t>
        </is>
      </c>
      <c r="F1" s="37" t="inlineStr">
        <is>
          <t>Sold Total Quarters</t>
        </is>
      </c>
      <c r="G1" s="140" t="inlineStr">
        <is>
          <t>Difference Produced+Bought-Sold</t>
        </is>
      </c>
      <c r="H1" s="140" t="inlineStr">
        <is>
          <t>Weighted Average Price per Quarter</t>
        </is>
      </c>
      <c r="I1" s="141" t="inlineStr">
        <is>
          <t>Value of Total Production weighted</t>
        </is>
      </c>
    </row>
    <row r="2">
      <c r="A2" t="inlineStr">
        <is>
          <t>wheat</t>
        </is>
      </c>
      <c r="B2" t="n">
        <v>132.25</v>
      </c>
      <c r="D2" t="n">
        <v>0</v>
      </c>
      <c r="F2" t="n">
        <v>73.5</v>
      </c>
      <c r="G2" s="72">
        <f>B2-F2</f>
        <v/>
      </c>
      <c r="H2" s="72" t="n">
        <v>0.3100056689342404</v>
      </c>
      <c r="I2" s="72">
        <f>H2*B2</f>
        <v/>
      </c>
    </row>
    <row r="3">
      <c r="A3" t="inlineStr">
        <is>
          <t>curall</t>
        </is>
      </c>
      <c r="B3" t="n">
        <v>10</v>
      </c>
      <c r="D3" t="n">
        <v>0</v>
      </c>
      <c r="F3" t="n">
        <v>8</v>
      </c>
      <c r="G3" s="72">
        <f>B3-F3</f>
        <v/>
      </c>
      <c r="H3" s="72" t="n">
        <v>0.1089371980676329</v>
      </c>
      <c r="I3" s="72">
        <f>H3*B3</f>
        <v/>
      </c>
    </row>
    <row r="4">
      <c r="A4" t="inlineStr">
        <is>
          <t>barley</t>
        </is>
      </c>
      <c r="B4" t="n">
        <v>83.375</v>
      </c>
      <c r="D4" t="n">
        <v>0</v>
      </c>
      <c r="F4" t="n">
        <v>5.3125</v>
      </c>
      <c r="G4" s="72">
        <f>B4-F4</f>
        <v/>
      </c>
      <c r="H4" s="72" t="n">
        <v>0.2</v>
      </c>
      <c r="I4" s="72">
        <f>H4*B4</f>
        <v/>
      </c>
    </row>
    <row r="5">
      <c r="A5" t="inlineStr">
        <is>
          <t>oats</t>
        </is>
      </c>
      <c r="B5" t="n">
        <v>205.0625</v>
      </c>
      <c r="D5" t="n">
        <v>0</v>
      </c>
      <c r="F5" t="n">
        <v>58.875</v>
      </c>
      <c r="G5" s="72">
        <f>B5-F5</f>
        <v/>
      </c>
      <c r="H5" s="72" t="n">
        <v>0.113658881811748</v>
      </c>
      <c r="I5" s="72">
        <f>H5*B5</f>
        <v/>
      </c>
    </row>
    <row r="6">
      <c r="A6" t="inlineStr">
        <is>
          <t>peas</t>
        </is>
      </c>
      <c r="B6" t="n">
        <v>3.8125</v>
      </c>
      <c r="D6" t="n">
        <v>0.5</v>
      </c>
      <c r="F6" t="n">
        <v>0.25</v>
      </c>
      <c r="G6" s="72">
        <f>B6-F6</f>
        <v/>
      </c>
      <c r="H6" s="72" t="n">
        <v>0.1333333333333333</v>
      </c>
      <c r="I6" s="72">
        <f>H6*B6</f>
        <v/>
      </c>
    </row>
    <row r="7">
      <c r="A7" t="inlineStr">
        <is>
          <t>vetches</t>
        </is>
      </c>
      <c r="B7" t="n">
        <v>11.375</v>
      </c>
      <c r="D7" t="n">
        <v>3.25</v>
      </c>
      <c r="F7" t="n">
        <v>2.125</v>
      </c>
      <c r="G7" s="72">
        <f>B7-F7</f>
        <v/>
      </c>
      <c r="H7" s="72" t="n">
        <v>0.09999999999999999</v>
      </c>
      <c r="I7" s="72">
        <f>H7*B7</f>
        <v/>
      </c>
    </row>
    <row r="8"/>
    <row r="9"/>
    <row r="10" ht="48" customHeight="1">
      <c r="A10" s="38" t="inlineStr">
        <is>
          <t>Net output</t>
        </is>
      </c>
      <c r="B10" s="142" t="inlineStr">
        <is>
          <t>Gross output</t>
        </is>
      </c>
      <c r="C10" s="143" t="inlineStr">
        <is>
          <t>Seed quarters</t>
        </is>
      </c>
      <c r="D10" s="143" t="inlineStr">
        <is>
          <t>Seed bushels</t>
        </is>
      </c>
      <c r="E10" s="143" t="inlineStr">
        <is>
          <t>Seed total quarters</t>
        </is>
      </c>
      <c r="F10" s="38" t="inlineStr">
        <is>
          <t>tithe quarters</t>
        </is>
      </c>
      <c r="G10" s="143" t="inlineStr">
        <is>
          <t>tithe bushels</t>
        </is>
      </c>
      <c r="H10" s="143" t="inlineStr">
        <is>
          <t>tithe total</t>
        </is>
      </c>
      <c r="I10" s="143" t="inlineStr">
        <is>
          <t>manorial servants quarters</t>
        </is>
      </c>
      <c r="J10" s="143" t="inlineStr">
        <is>
          <t>manorial servants bushels</t>
        </is>
      </c>
      <c r="K10" s="144" t="inlineStr">
        <is>
          <t>manorial servants total quarters</t>
        </is>
      </c>
      <c r="L10" s="143" t="inlineStr">
        <is>
          <t>output net of tithe, seed, liveries</t>
        </is>
      </c>
      <c r="M10" s="143" t="inlineStr">
        <is>
          <t>in stock from last year</t>
        </is>
      </c>
      <c r="N10" s="145" t="inlineStr">
        <is>
          <t>Price in £</t>
        </is>
      </c>
      <c r="O10" s="145" t="inlineStr">
        <is>
          <t>Value of net output in £</t>
        </is>
      </c>
      <c r="P10" s="142" t="inlineStr">
        <is>
          <t>Value of sales (in "Sale of Corn") in £</t>
        </is>
      </c>
    </row>
    <row r="11">
      <c r="A11" t="inlineStr">
        <is>
          <t>wheat</t>
        </is>
      </c>
      <c r="B11">
        <f>B2</f>
        <v/>
      </c>
      <c r="C11" t="n">
        <v>47</v>
      </c>
      <c r="D11" t="n">
        <v>1</v>
      </c>
      <c r="E11">
        <f>C11+D11/8</f>
        <v/>
      </c>
      <c r="I11">
        <f>1+4.5+4+2</f>
        <v/>
      </c>
      <c r="J11" t="n">
        <v>1</v>
      </c>
      <c r="K11" s="146">
        <f>I11+J11/8</f>
        <v/>
      </c>
      <c r="L11">
        <f>B11-E11-K11</f>
        <v/>
      </c>
      <c r="N11" s="72">
        <f>H2</f>
        <v/>
      </c>
      <c r="O11" s="72">
        <f>N11*L11</f>
        <v/>
      </c>
    </row>
    <row r="12">
      <c r="A12" t="inlineStr">
        <is>
          <t>curall</t>
        </is>
      </c>
      <c r="B12">
        <f>B3</f>
        <v/>
      </c>
      <c r="E12">
        <f>C12+D12/8</f>
        <v/>
      </c>
      <c r="I12" t="n">
        <v>1</v>
      </c>
      <c r="J12" t="n">
        <v>3</v>
      </c>
      <c r="K12" s="146">
        <f>I12+J12/8</f>
        <v/>
      </c>
      <c r="L12">
        <f>B12-E12-K12</f>
        <v/>
      </c>
      <c r="N12" s="72">
        <f>H3</f>
        <v/>
      </c>
      <c r="O12" s="72">
        <f>N12*L12</f>
        <v/>
      </c>
    </row>
    <row r="13">
      <c r="A13" t="inlineStr">
        <is>
          <t>barley</t>
        </is>
      </c>
      <c r="B13">
        <f>B4</f>
        <v/>
      </c>
      <c r="C13" t="n">
        <v>20</v>
      </c>
      <c r="E13">
        <f>C13+D13/8</f>
        <v/>
      </c>
      <c r="I13">
        <f>26+6.5+6.5+4+5+4+1+2+2</f>
        <v/>
      </c>
      <c r="J13">
        <f>2.5+1.5+1</f>
        <v/>
      </c>
      <c r="K13" s="146">
        <f>I13+J13/8</f>
        <v/>
      </c>
      <c r="L13">
        <f>B13-E13-K13</f>
        <v/>
      </c>
      <c r="N13" s="72">
        <f>H4</f>
        <v/>
      </c>
      <c r="O13" s="72">
        <f>N13*L13</f>
        <v/>
      </c>
    </row>
    <row r="14">
      <c r="A14" t="inlineStr">
        <is>
          <t>oats</t>
        </is>
      </c>
      <c r="B14">
        <f>B5</f>
        <v/>
      </c>
      <c r="C14" t="n">
        <v>88.5</v>
      </c>
      <c r="D14" t="n">
        <v>0.5</v>
      </c>
      <c r="E14">
        <f>C14+D14/8</f>
        <v/>
      </c>
      <c r="I14">
        <f>15.5+5.5+2+4+5+25</f>
        <v/>
      </c>
      <c r="J14">
        <f>2+2.5</f>
        <v/>
      </c>
      <c r="K14" s="146">
        <f>I14+J14/8</f>
        <v/>
      </c>
      <c r="L14">
        <f>B14-E14-K14</f>
        <v/>
      </c>
      <c r="N14" s="72">
        <f>H5</f>
        <v/>
      </c>
      <c r="O14" s="72">
        <f>N14*L14</f>
        <v/>
      </c>
    </row>
    <row r="15">
      <c r="A15" t="inlineStr">
        <is>
          <t>peas</t>
        </is>
      </c>
      <c r="B15">
        <f>B6</f>
        <v/>
      </c>
      <c r="C15" t="n">
        <v>2</v>
      </c>
      <c r="D15" t="n">
        <v>3.5</v>
      </c>
      <c r="E15">
        <f>C15+D15/8</f>
        <v/>
      </c>
      <c r="I15" t="n">
        <v>1</v>
      </c>
      <c r="J15" t="n">
        <v>1</v>
      </c>
      <c r="K15" s="146">
        <f>I15+J15/8</f>
        <v/>
      </c>
      <c r="L15">
        <f>B15-E15-K15</f>
        <v/>
      </c>
      <c r="N15" s="72">
        <f>H6</f>
        <v/>
      </c>
      <c r="O15" s="72">
        <f>N15*L15</f>
        <v/>
      </c>
    </row>
    <row r="16">
      <c r="A16" t="inlineStr">
        <is>
          <t>vetches</t>
        </is>
      </c>
      <c r="B16">
        <f>B7</f>
        <v/>
      </c>
      <c r="C16" t="n">
        <v>5.5</v>
      </c>
      <c r="E16">
        <f>C16+D16/8</f>
        <v/>
      </c>
      <c r="I16">
        <f>2+1.5</f>
        <v/>
      </c>
      <c r="J16" t="n">
        <v>1</v>
      </c>
      <c r="K16" s="146">
        <f>I16+J16/8</f>
        <v/>
      </c>
      <c r="L16">
        <f>B16-E16-K16</f>
        <v/>
      </c>
      <c r="N16" s="72">
        <f>H7</f>
        <v/>
      </c>
      <c r="O16" s="72">
        <f>N16*L16</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3203125" customWidth="1" min="1" max="1"/>
    <col width="20.1640625" customWidth="1" min="10" max="10"/>
    <col width="13.6640625" customWidth="1" min="14" max="14"/>
    <col width="8.83203125" customWidth="1" min="15" max="15"/>
    <col width="16.1640625" customWidth="1" min="16" max="16"/>
    <col width="17.1640625" customWidth="1" min="17" max="17"/>
    <col width="14.1640625" customWidth="1" min="19" max="19"/>
    <col width="16.1640625" customWidth="1" min="20" max="20"/>
  </cols>
  <sheetData>
    <row r="1" ht="16" customHeight="1">
      <c r="A1" s="12" t="inlineStr">
        <is>
          <t>BISHOPS WALTHAM STOCK ACCOUNT</t>
        </is>
      </c>
      <c r="B1" s="37" t="n"/>
      <c r="C1" s="37" t="n"/>
      <c r="D1" s="37" t="n"/>
      <c r="E1" s="37" t="n"/>
      <c r="F1" s="37" t="n"/>
      <c r="G1" s="37" t="n"/>
      <c r="H1" s="37" t="n"/>
      <c r="I1" s="37" t="n"/>
    </row>
    <row r="2" ht="16" customHeight="1">
      <c r="A2" s="12" t="n"/>
    </row>
    <row r="3" ht="17" customHeight="1">
      <c r="A3" s="44" t="n"/>
      <c r="B3" s="44" t="n"/>
      <c r="C3" s="125" t="inlineStr">
        <is>
          <t>added</t>
        </is>
      </c>
      <c r="G3" s="126" t="inlineStr">
        <is>
          <t>subtracted</t>
        </is>
      </c>
      <c r="K3" s="44" t="n"/>
      <c r="L3" s="44" t="n"/>
      <c r="M3" s="44" t="n"/>
      <c r="N3" s="44" t="n"/>
      <c r="O3" s="73" t="n"/>
      <c r="P3" s="73" t="n"/>
      <c r="Q3" s="44" t="n"/>
      <c r="R3" s="44" t="n"/>
      <c r="S3" s="44" t="n"/>
      <c r="T3" s="44" t="n"/>
    </row>
    <row r="4" ht="51" customHeight="1">
      <c r="A4" s="147" t="inlineStr">
        <is>
          <t>Livestock</t>
        </is>
      </c>
      <c r="B4" s="147" t="inlineStr">
        <is>
          <t>Inherited stock</t>
        </is>
      </c>
      <c r="C4" s="147" t="inlineStr">
        <is>
          <t>added</t>
        </is>
      </c>
      <c r="D4" s="148" t="inlineStr">
        <is>
          <t>strays</t>
        </is>
      </c>
      <c r="E4" s="148" t="inlineStr">
        <is>
          <t>herbage</t>
        </is>
      </c>
      <c r="F4" s="148" t="inlineStr">
        <is>
          <t>churchscot</t>
        </is>
      </c>
      <c r="G4" s="148" t="inlineStr">
        <is>
          <t>of which in default</t>
        </is>
      </c>
      <c r="H4" s="147" t="inlineStr">
        <is>
          <t>sold</t>
        </is>
      </c>
      <c r="I4" s="147" t="inlineStr">
        <is>
          <t>in murrain</t>
        </is>
      </c>
      <c r="J4" s="147" t="inlineStr">
        <is>
          <t>accounted for elsewhere</t>
        </is>
      </c>
      <c r="K4" s="147" t="inlineStr">
        <is>
          <t>End-period  stock</t>
        </is>
      </c>
      <c r="L4" s="147" t="inlineStr">
        <is>
          <t>cross-check</t>
        </is>
      </c>
      <c r="M4" s="147" t="inlineStr">
        <is>
          <t>stock building</t>
        </is>
      </c>
      <c r="N4" s="147" t="inlineStr">
        <is>
          <t>raw production</t>
        </is>
      </c>
      <c r="O4" s="149" t="inlineStr">
        <is>
          <t>Unit price (£)</t>
        </is>
      </c>
      <c r="P4" s="149" t="inlineStr">
        <is>
          <t>Value of stock  (£) at given value</t>
        </is>
      </c>
      <c r="Q4" s="147" t="inlineStr">
        <is>
          <t>Value of stock  (£) at sales prices</t>
        </is>
      </c>
      <c r="R4" s="147" t="inlineStr">
        <is>
          <t>Sales in (£)</t>
        </is>
      </c>
      <c r="S4" s="147" t="inlineStr">
        <is>
          <t>Value of stock building (£)</t>
        </is>
      </c>
      <c r="T4" s="118" t="inlineStr">
        <is>
          <t>Value of production (£) at sales prices</t>
        </is>
      </c>
      <c r="U4" s="147" t="inlineStr">
        <is>
          <t>Details</t>
        </is>
      </c>
    </row>
    <row r="5" ht="16" customHeight="1">
      <c r="A5" s="44" t="inlineStr">
        <is>
          <t>Cart-horses</t>
        </is>
      </c>
      <c r="B5" t="n">
        <v>2</v>
      </c>
      <c r="K5" t="n">
        <v>2</v>
      </c>
    </row>
    <row r="6" ht="16" customHeight="1">
      <c r="A6" s="44" t="inlineStr">
        <is>
          <t>Mares</t>
        </is>
      </c>
    </row>
    <row r="7">
      <c r="A7" t="inlineStr">
        <is>
          <t>Plough horses</t>
        </is>
      </c>
      <c r="B7" t="n">
        <v>3</v>
      </c>
      <c r="C7">
        <f>1+1+1</f>
        <v/>
      </c>
      <c r="H7" t="n">
        <v>2</v>
      </c>
      <c r="K7" t="n">
        <v>4</v>
      </c>
      <c r="O7" s="72">
        <f>R7/H7</f>
        <v/>
      </c>
      <c r="R7" s="72">
        <f>Receipts!F73+Receipts!F74</f>
        <v/>
      </c>
    </row>
    <row r="8">
      <c r="A8" t="inlineStr">
        <is>
          <t>Colts (unspecified years)</t>
        </is>
      </c>
    </row>
    <row r="9">
      <c r="A9" t="inlineStr">
        <is>
          <t>Colts (2 years)</t>
        </is>
      </c>
    </row>
    <row r="10">
      <c r="A10" t="inlineStr">
        <is>
          <t>Colts (1 year)</t>
        </is>
      </c>
    </row>
    <row r="11">
      <c r="A11" t="inlineStr">
        <is>
          <t>Foals</t>
        </is>
      </c>
    </row>
    <row r="12">
      <c r="A12" t="inlineStr">
        <is>
          <t>Oxen</t>
        </is>
      </c>
      <c r="B12" t="n">
        <v>48</v>
      </c>
      <c r="C12">
        <f>3+1+1+9</f>
        <v/>
      </c>
      <c r="H12" t="n">
        <v>6</v>
      </c>
      <c r="I12" t="n">
        <v>2</v>
      </c>
      <c r="K12" t="n">
        <v>54</v>
      </c>
      <c r="O12" s="72">
        <f>R12/H12</f>
        <v/>
      </c>
      <c r="R12" s="72">
        <f>Receipts!F75</f>
        <v/>
      </c>
    </row>
    <row r="13">
      <c r="A13" t="inlineStr">
        <is>
          <t>Bulls</t>
        </is>
      </c>
      <c r="B13" t="n">
        <v>1</v>
      </c>
      <c r="K13" t="n">
        <v>1</v>
      </c>
    </row>
    <row r="14">
      <c r="A14" t="inlineStr">
        <is>
          <t>Cows</t>
        </is>
      </c>
      <c r="B14" t="n">
        <v>27</v>
      </c>
      <c r="C14">
        <f>8+8</f>
        <v/>
      </c>
      <c r="H14" t="n">
        <v>6</v>
      </c>
      <c r="I14" t="n">
        <v>1</v>
      </c>
      <c r="K14" t="n">
        <v>40</v>
      </c>
      <c r="O14" s="72">
        <f>R14/H14</f>
        <v/>
      </c>
      <c r="R14" s="72">
        <f>Receipts!F76</f>
        <v/>
      </c>
    </row>
    <row r="15">
      <c r="A15" t="inlineStr">
        <is>
          <t>Steers</t>
        </is>
      </c>
      <c r="B15" t="n">
        <v>12</v>
      </c>
      <c r="C15" t="n">
        <v>1</v>
      </c>
      <c r="I15" t="n">
        <v>2</v>
      </c>
      <c r="J15">
        <f>3+8</f>
        <v/>
      </c>
      <c r="K15" t="n">
        <v>0</v>
      </c>
    </row>
    <row r="16">
      <c r="A16" t="inlineStr">
        <is>
          <t>Bullocks</t>
        </is>
      </c>
      <c r="B16" t="n">
        <v>11</v>
      </c>
      <c r="I16" t="n">
        <v>3</v>
      </c>
      <c r="K16" t="n">
        <v>8</v>
      </c>
    </row>
    <row r="17">
      <c r="A17" t="inlineStr">
        <is>
          <t>Yearlings</t>
        </is>
      </c>
      <c r="B17" t="n">
        <v>11</v>
      </c>
      <c r="I17" t="n">
        <v>4</v>
      </c>
      <c r="K17" t="n">
        <v>7</v>
      </c>
    </row>
    <row r="18">
      <c r="A18" t="inlineStr">
        <is>
          <t>Calves</t>
        </is>
      </c>
      <c r="B18" t="n">
        <v>19</v>
      </c>
      <c r="C18">
        <f>8</f>
        <v/>
      </c>
      <c r="H18" t="n">
        <v>6</v>
      </c>
      <c r="I18" t="n">
        <v>1</v>
      </c>
      <c r="J18">
        <f>2</f>
        <v/>
      </c>
      <c r="K18" t="n">
        <v>11</v>
      </c>
      <c r="O18" s="72">
        <f>R18/H18</f>
        <v/>
      </c>
      <c r="R18" s="72">
        <f>Receipts!F77</f>
        <v/>
      </c>
    </row>
    <row r="19">
      <c r="A19" t="inlineStr">
        <is>
          <t>Wethers</t>
        </is>
      </c>
      <c r="B19" t="n">
        <v>249</v>
      </c>
      <c r="H19" t="n">
        <v>7</v>
      </c>
      <c r="I19">
        <f>18+11</f>
        <v/>
      </c>
      <c r="K19" t="n">
        <v>271</v>
      </c>
      <c r="O19" s="72">
        <f>R19/H19</f>
        <v/>
      </c>
      <c r="R19" s="72">
        <f>Receipts!F78</f>
        <v/>
      </c>
    </row>
    <row r="20">
      <c r="A20" t="inlineStr">
        <is>
          <t>Rams</t>
        </is>
      </c>
      <c r="B20" t="n">
        <v>2</v>
      </c>
      <c r="C20" t="n">
        <v>6</v>
      </c>
      <c r="K20" t="n">
        <v>8</v>
      </c>
    </row>
    <row r="21">
      <c r="A21" t="inlineStr">
        <is>
          <t>Ewes</t>
        </is>
      </c>
      <c r="B21" t="n">
        <v>226</v>
      </c>
      <c r="C21" t="n">
        <v>50</v>
      </c>
      <c r="H21" t="n">
        <v>7</v>
      </c>
      <c r="I21">
        <f>30+1+2</f>
        <v/>
      </c>
      <c r="K21" t="n">
        <v>236</v>
      </c>
      <c r="O21" s="72">
        <f>R21/H21</f>
        <v/>
      </c>
      <c r="R21" s="72">
        <f>Receipts!F79</f>
        <v/>
      </c>
    </row>
    <row r="22">
      <c r="A22" t="inlineStr">
        <is>
          <t>Hoggs</t>
        </is>
      </c>
      <c r="B22" t="n">
        <v>145</v>
      </c>
      <c r="H22" t="n">
        <v>26</v>
      </c>
      <c r="I22" t="n">
        <v>5</v>
      </c>
      <c r="J22">
        <f>58+6+50</f>
        <v/>
      </c>
      <c r="K22" t="n">
        <v>0</v>
      </c>
      <c r="O22" s="72">
        <f>R22/H22</f>
        <v/>
      </c>
      <c r="R22" s="72">
        <f>Receipts!F80</f>
        <v/>
      </c>
    </row>
    <row r="23">
      <c r="A23" t="inlineStr">
        <is>
          <t>Lambs</t>
        </is>
      </c>
      <c r="C23" t="n">
        <v>172</v>
      </c>
      <c r="H23" t="n">
        <v>12</v>
      </c>
      <c r="I23">
        <f>16+3</f>
        <v/>
      </c>
      <c r="J23">
        <f>16+3</f>
        <v/>
      </c>
      <c r="K23" t="n">
        <v>122</v>
      </c>
      <c r="O23" s="72">
        <f>R23/H23</f>
        <v/>
      </c>
      <c r="R23" s="72">
        <f>Receipts!F81</f>
        <v/>
      </c>
    </row>
    <row r="24">
      <c r="A24" t="inlineStr">
        <is>
          <t>Boars</t>
        </is>
      </c>
      <c r="B24" t="n">
        <v>1</v>
      </c>
      <c r="C24" t="n">
        <v>1</v>
      </c>
      <c r="H24" t="n">
        <v>1</v>
      </c>
      <c r="K24" t="n">
        <v>1</v>
      </c>
      <c r="O24" s="72">
        <f>R24/H24</f>
        <v/>
      </c>
      <c r="R24" s="72">
        <f>Receipts!F82</f>
        <v/>
      </c>
    </row>
    <row r="25">
      <c r="A25" t="inlineStr">
        <is>
          <t>Sows</t>
        </is>
      </c>
      <c r="B25" t="n">
        <v>2</v>
      </c>
      <c r="K25" t="n">
        <v>2</v>
      </c>
    </row>
    <row r="26">
      <c r="A26" t="inlineStr">
        <is>
          <t>Pigs</t>
        </is>
      </c>
      <c r="B26" t="n">
        <v>12</v>
      </c>
      <c r="C26">
        <f>30+1</f>
        <v/>
      </c>
      <c r="H26" t="n">
        <v>5</v>
      </c>
      <c r="I26">
        <f>3+2</f>
        <v/>
      </c>
      <c r="K26" t="n">
        <v>33</v>
      </c>
      <c r="O26" s="72">
        <f>R26/H26</f>
        <v/>
      </c>
      <c r="R26" s="72">
        <f>Receipts!F83</f>
        <v/>
      </c>
    </row>
    <row r="27">
      <c r="A27" t="inlineStr">
        <is>
          <t>Hoggets</t>
        </is>
      </c>
      <c r="B27" t="n">
        <v>37</v>
      </c>
      <c r="I27" t="n">
        <v>6</v>
      </c>
      <c r="J27">
        <f>1+30</f>
        <v/>
      </c>
      <c r="K27" t="n">
        <v>0</v>
      </c>
    </row>
    <row r="28">
      <c r="A28" t="inlineStr">
        <is>
          <t>Piglets</t>
        </is>
      </c>
      <c r="C28" t="n">
        <v>17</v>
      </c>
      <c r="I28" t="n">
        <v>3</v>
      </c>
      <c r="J28" t="n">
        <v>1</v>
      </c>
      <c r="K28" t="n">
        <v>13</v>
      </c>
    </row>
    <row r="29">
      <c r="A29" t="inlineStr">
        <is>
          <t>Swans</t>
        </is>
      </c>
      <c r="B29" t="n">
        <v>13</v>
      </c>
      <c r="C29" t="n">
        <v>3</v>
      </c>
      <c r="K29" t="n">
        <v>16</v>
      </c>
    </row>
    <row r="30">
      <c r="A30" t="inlineStr">
        <is>
          <t>Peacocks</t>
        </is>
      </c>
      <c r="B30" t="n">
        <v>6</v>
      </c>
      <c r="C30" t="n">
        <v>1</v>
      </c>
      <c r="I30" t="n">
        <v>5</v>
      </c>
      <c r="K30" t="n">
        <v>5</v>
      </c>
      <c r="U30" t="inlineStr">
        <is>
          <t>accounting doesnt add up</t>
        </is>
      </c>
    </row>
    <row r="31" ht="16" customHeight="1">
      <c r="A31" s="67" t="inlineStr">
        <is>
          <t>Total Value</t>
        </is>
      </c>
      <c r="O31" s="150" t="n"/>
      <c r="R31" s="39">
        <f>SUM(R5:R29)</f>
        <v/>
      </c>
    </row>
    <row r="32"/>
    <row r="33"/>
    <row r="34" ht="17" customHeight="1">
      <c r="A34" s="66" t="inlineStr">
        <is>
          <t>Wool</t>
        </is>
      </c>
    </row>
    <row r="35">
      <c r="A35" t="inlineStr">
        <is>
          <t>Coarse wool</t>
        </is>
      </c>
      <c r="C35" t="n">
        <v>528</v>
      </c>
      <c r="J35">
        <f>53+375</f>
        <v/>
      </c>
      <c r="O35" s="72" t="n">
        <v>0.02</v>
      </c>
      <c r="T35">
        <f>O35*J35</f>
        <v/>
      </c>
    </row>
    <row r="36">
      <c r="A36" t="inlineStr">
        <is>
          <t>Lamb's wool</t>
        </is>
      </c>
      <c r="C36" t="n">
        <v>122</v>
      </c>
      <c r="J36" t="n">
        <v>122</v>
      </c>
      <c r="O36" s="72" t="n">
        <v>0.01</v>
      </c>
      <c r="T36">
        <f>O36*J36</f>
        <v/>
      </c>
    </row>
    <row r="37">
      <c r="A37" t="inlineStr">
        <is>
          <t>Wool locks</t>
        </is>
      </c>
      <c r="C37" t="n">
        <v>6</v>
      </c>
      <c r="H37" t="n">
        <v>6</v>
      </c>
      <c r="O37" s="72">
        <f>10.5/240</f>
        <v/>
      </c>
      <c r="T37">
        <f>O37*H37</f>
        <v/>
      </c>
      <c r="U37" t="inlineStr">
        <is>
          <t>measured in cloves</t>
        </is>
      </c>
    </row>
    <row r="38">
      <c r="A38" t="inlineStr">
        <is>
          <t>Wool sold at shearing</t>
        </is>
      </c>
    </row>
    <row r="39" ht="16" customHeight="1">
      <c r="A39" s="67" t="inlineStr">
        <is>
          <t>Total wool</t>
        </is>
      </c>
      <c r="O39" s="150" t="n"/>
      <c r="T39" s="150">
        <f>SUM(T35:T38)</f>
        <v/>
      </c>
    </row>
    <row r="40"/>
    <row r="41"/>
    <row r="42" ht="17" customHeight="1">
      <c r="A42" s="66" t="inlineStr">
        <is>
          <t>Hides</t>
        </is>
      </c>
    </row>
    <row r="43">
      <c r="A43" t="inlineStr">
        <is>
          <t>Ox hides</t>
        </is>
      </c>
    </row>
    <row r="44">
      <c r="A44" t="inlineStr">
        <is>
          <t>Mare</t>
        </is>
      </c>
    </row>
    <row r="45">
      <c r="A45" t="inlineStr">
        <is>
          <t>Steer</t>
        </is>
      </c>
    </row>
    <row r="46">
      <c r="A46" t="inlineStr">
        <is>
          <t>calves</t>
        </is>
      </c>
    </row>
    <row r="47">
      <c r="A47" s="68" t="inlineStr">
        <is>
          <t>pigs</t>
        </is>
      </c>
    </row>
    <row r="48">
      <c r="A48" t="inlineStr">
        <is>
          <t>Woolskins (incl. 10 in tithe)</t>
        </is>
      </c>
    </row>
    <row r="49">
      <c r="A49" s="28" t="inlineStr">
        <is>
          <t>wethers</t>
        </is>
      </c>
    </row>
    <row r="50">
      <c r="A50" s="28" t="inlineStr">
        <is>
          <t>rams</t>
        </is>
      </c>
    </row>
    <row r="51">
      <c r="A51" s="28" t="inlineStr">
        <is>
          <t>ewes</t>
        </is>
      </c>
    </row>
    <row r="52">
      <c r="A52" s="28" t="inlineStr">
        <is>
          <t>hoggs</t>
        </is>
      </c>
    </row>
    <row r="53">
      <c r="A53" s="69" t="inlineStr">
        <is>
          <t>Woolskins (excl. 10 in tithe)</t>
        </is>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row>
    <row r="60">
      <c r="A60" t="inlineStr">
        <is>
          <t>Lambskins (excl. 8 in tithe)</t>
        </is>
      </c>
    </row>
    <row r="61">
      <c r="A61" t="inlineStr">
        <is>
          <t>Rotted skins</t>
        </is>
      </c>
    </row>
    <row r="62">
      <c r="A62" t="inlineStr">
        <is>
          <t>Shorn skins</t>
        </is>
      </c>
    </row>
    <row r="63">
      <c r="A63" s="39" t="inlineStr">
        <is>
          <t xml:space="preserve">Total </t>
        </is>
      </c>
      <c r="O63" s="150" t="n"/>
    </row>
    <row r="64"/>
    <row r="65"/>
    <row r="66" ht="17" customHeight="1">
      <c r="A66" s="66" t="inlineStr">
        <is>
          <t>Poultry stock</t>
        </is>
      </c>
    </row>
    <row r="67" ht="16" customHeight="1">
      <c r="A67" s="44" t="inlineStr">
        <is>
          <t>Hens</t>
        </is>
      </c>
    </row>
    <row r="68">
      <c r="A68" t="inlineStr">
        <is>
          <t>Geese</t>
        </is>
      </c>
    </row>
    <row r="69">
      <c r="A69" t="inlineStr">
        <is>
          <t>Capons (from chickens)</t>
        </is>
      </c>
    </row>
    <row r="70">
      <c r="A70" t="inlineStr">
        <is>
          <t>Cocks &amp; hens</t>
        </is>
      </c>
    </row>
    <row r="71">
      <c r="A71" s="70" t="inlineStr">
        <is>
          <t>Total poultry stock</t>
        </is>
      </c>
    </row>
    <row r="72">
      <c r="A72" s="71" t="inlineStr">
        <is>
          <t>Total poultry excluding churchscot</t>
        </is>
      </c>
    </row>
    <row r="73"/>
    <row r="74" ht="16" customHeight="1">
      <c r="A74" s="12" t="inlineStr">
        <is>
          <t>Poultry production</t>
        </is>
      </c>
    </row>
    <row r="75">
      <c r="A75" t="inlineStr">
        <is>
          <t>Eggs</t>
        </is>
      </c>
    </row>
    <row r="76">
      <c r="A76" t="inlineStr">
        <is>
          <t>Cocks &amp; hens from churchscot of customary tenants</t>
        </is>
      </c>
      <c r="F76" t="n">
        <v>172</v>
      </c>
      <c r="G76" t="n">
        <v>18</v>
      </c>
      <c r="H76" t="n">
        <v>154</v>
      </c>
      <c r="O76" s="72">
        <f>R76/H76</f>
        <v/>
      </c>
      <c r="R76" s="72">
        <f>Receipts!F108</f>
        <v/>
      </c>
      <c r="T76">
        <f>O76*H76</f>
        <v/>
      </c>
    </row>
    <row r="77">
      <c r="A77" t="inlineStr">
        <is>
          <t>Sum of above</t>
        </is>
      </c>
    </row>
    <row r="78">
      <c r="A78" s="39" t="inlineStr">
        <is>
          <t>Total</t>
        </is>
      </c>
      <c r="O78" s="150" t="n"/>
      <c r="R78" s="39">
        <f>SUM(R75:R77)</f>
        <v/>
      </c>
      <c r="T78" s="39">
        <f>T76</f>
        <v/>
      </c>
    </row>
    <row r="79"/>
    <row r="80"/>
    <row r="81" ht="16" customHeight="1">
      <c r="A81" s="12" t="inlineStr">
        <is>
          <t>Meat</t>
        </is>
      </c>
    </row>
    <row r="82">
      <c r="A82" t="inlineStr">
        <is>
          <t>Beef</t>
        </is>
      </c>
    </row>
    <row r="83">
      <c r="A83" t="inlineStr">
        <is>
          <t>Mutton</t>
        </is>
      </c>
    </row>
    <row r="84">
      <c r="A84" t="inlineStr">
        <is>
          <t>Pork</t>
        </is>
      </c>
    </row>
    <row r="85" ht="16" customHeight="1">
      <c r="A85" s="57" t="inlineStr">
        <is>
          <t xml:space="preserve">Total </t>
        </is>
      </c>
    </row>
    <row r="86"/>
    <row r="87" ht="16" customHeight="1">
      <c r="A87" s="12" t="inlineStr">
        <is>
          <t>Cheese</t>
        </is>
      </c>
    </row>
    <row r="88">
      <c r="A88" t="inlineStr">
        <is>
          <t>Winter cheese</t>
        </is>
      </c>
      <c r="C88" t="n">
        <v>41</v>
      </c>
      <c r="J88" t="n">
        <v>41</v>
      </c>
      <c r="O88" s="72">
        <f>R88/J88</f>
        <v/>
      </c>
      <c r="R88" s="72">
        <f>Receipts!F102</f>
        <v/>
      </c>
      <c r="T88" s="72">
        <f>O88*C88</f>
        <v/>
      </c>
      <c r="U88" t="inlineStr">
        <is>
          <t>not recorded as sold in stock but recorded as sold in issues</t>
        </is>
      </c>
    </row>
    <row r="89">
      <c r="A89" t="inlineStr">
        <is>
          <t>Summer cheese</t>
        </is>
      </c>
      <c r="C89" t="n">
        <v>162</v>
      </c>
      <c r="H89" t="n">
        <v>141</v>
      </c>
      <c r="J89">
        <f>16+3</f>
        <v/>
      </c>
      <c r="O89" s="72">
        <f>R89/H89</f>
        <v/>
      </c>
      <c r="R89" s="72">
        <f>Receipts!F103</f>
        <v/>
      </c>
      <c r="T89" s="72">
        <f>O89*C89</f>
        <v/>
      </c>
    </row>
    <row r="90" ht="16" customHeight="1">
      <c r="A90" s="67" t="inlineStr">
        <is>
          <t>Total</t>
        </is>
      </c>
      <c r="O90" s="150" t="n"/>
      <c r="R90" s="150">
        <f>SUM(R88:R89)</f>
        <v/>
      </c>
      <c r="T90" s="150">
        <f>SUM(T88:T89)</f>
        <v/>
      </c>
    </row>
    <row r="91"/>
    <row r="92" ht="16" customHeight="1">
      <c r="A92" s="12" t="inlineStr">
        <is>
          <t>Butter</t>
        </is>
      </c>
    </row>
    <row r="93">
      <c r="A93" t="inlineStr">
        <is>
          <t>Butter</t>
        </is>
      </c>
      <c r="C93" t="n">
        <v>22</v>
      </c>
      <c r="H93" t="n">
        <v>22</v>
      </c>
      <c r="O93" s="72">
        <f>R93/H93</f>
        <v/>
      </c>
      <c r="R93" s="72">
        <f>Receipts!F104</f>
        <v/>
      </c>
      <c r="T93">
        <f>O93*H93</f>
        <v/>
      </c>
      <c r="U93" t="inlineStr">
        <is>
          <t>measured in cloves</t>
        </is>
      </c>
    </row>
    <row r="94" ht="16" customHeight="1">
      <c r="A94" s="67" t="inlineStr">
        <is>
          <t>Total</t>
        </is>
      </c>
      <c r="O94" s="150" t="n"/>
      <c r="R94" s="150">
        <f>SUM(R93)</f>
        <v/>
      </c>
      <c r="T94" s="39">
        <f>T93</f>
        <v/>
      </c>
    </row>
    <row r="95" ht="16" customHeight="1">
      <c r="A95" s="13" t="n"/>
    </row>
    <row r="96" ht="16" customHeight="1">
      <c r="A96" s="57" t="inlineStr">
        <is>
          <t>Total Dairy Sales</t>
        </is>
      </c>
    </row>
    <row r="97"/>
    <row r="98"/>
    <row r="99" ht="16" customHeight="1">
      <c r="A99" s="12" t="inlineStr">
        <is>
          <t>Cider</t>
        </is>
      </c>
      <c r="B99" t="n">
        <v>60</v>
      </c>
      <c r="C99" t="n">
        <v>2</v>
      </c>
      <c r="J99" t="n">
        <v>60</v>
      </c>
      <c r="K99" t="n">
        <v>2</v>
      </c>
      <c r="U99" t="inlineStr">
        <is>
          <t>measured in casks</t>
        </is>
      </c>
    </row>
    <row r="100"/>
    <row r="101"/>
    <row r="102" ht="16" customHeight="1">
      <c r="A102" s="13" t="inlineStr">
        <is>
          <t>Additional Information (not necessarily useful)</t>
        </is>
      </c>
    </row>
    <row r="103" ht="16"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L99"/>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row>
    <row r="2">
      <c r="A2" t="inlineStr">
        <is>
          <t>And thus he owes clear</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three-fold plus 5 quarters 1.5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5</v>
      </c>
      <c r="Y3" t="n">
        <v>1.5</v>
      </c>
      <c r="Z3" t="n">
        <v>5.1875</v>
      </c>
      <c r="AA3" t="n">
        <v>5.1875</v>
      </c>
      <c r="AB3" t="n">
        <v>0</v>
      </c>
      <c r="AC3" t="n">
        <v>5</v>
      </c>
      <c r="AD3" t="n">
        <v>1.5</v>
      </c>
    </row>
    <row r="4">
      <c r="A4" t="inlineStr">
        <is>
          <t>Wheat</t>
        </is>
      </c>
      <c r="B4" t="inlineStr">
        <is>
          <t>The same render account for 131.5 quarters from the whole issue of wheat by struck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131.5</v>
      </c>
      <c r="U4" t="n">
        <v>0</v>
      </c>
      <c r="V4" t="n">
        <v>131.5</v>
      </c>
      <c r="W4" t="n">
        <v>0</v>
      </c>
      <c r="X4" t="n">
        <v>131.5</v>
      </c>
      <c r="Y4" t="n">
        <v>0</v>
      </c>
      <c r="Z4" t="n">
        <v>131.5</v>
      </c>
      <c r="AA4" t="n">
        <v>131.5</v>
      </c>
      <c r="AB4" t="n">
        <v>0</v>
      </c>
      <c r="AC4" t="n">
        <v>131.5</v>
      </c>
      <c r="AD4" t="n">
        <v>0</v>
      </c>
    </row>
    <row r="5">
      <c r="A5" t="inlineStr">
        <is>
          <t>Wheat</t>
        </is>
      </c>
      <c r="B5" t="inlineStr">
        <is>
          <t>6 bushels from churchscot.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row>
    <row r="6">
      <c r="A6" t="inlineStr">
        <is>
          <t>Wheat</t>
        </is>
      </c>
      <c r="B6" t="inlineStr">
        <is>
          <t>Total, 1.32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1.32</v>
      </c>
      <c r="Y6" t="n">
        <v>2</v>
      </c>
      <c r="Z6" t="n">
        <v>1.57</v>
      </c>
      <c r="AA6" t="n">
        <v>1.57</v>
      </c>
      <c r="AB6" t="n">
        <v>0</v>
      </c>
      <c r="AC6" t="n">
        <v>1.32</v>
      </c>
      <c r="AD6" t="n">
        <v>2</v>
      </c>
    </row>
    <row r="7">
      <c r="A7" t="inlineStr">
        <is>
          <t>Wheat</t>
        </is>
      </c>
      <c r="B7" t="inlineStr">
        <is>
          <t>Sown over 453 acres as they lie in Rouerigg', la Mere and la Woth', 47 quarters 1 bushels.</t>
        </is>
      </c>
      <c r="C7" t="n">
        <v>0</v>
      </c>
      <c r="D7" t="n">
        <v>0</v>
      </c>
      <c r="E7" t="n">
        <v>47</v>
      </c>
      <c r="F7" t="n">
        <v>1</v>
      </c>
      <c r="G7" t="n">
        <v>47.125</v>
      </c>
      <c r="H7" t="n">
        <v>0</v>
      </c>
      <c r="I7" t="n">
        <v>0</v>
      </c>
      <c r="J7" t="n">
        <v>0</v>
      </c>
      <c r="K7" t="n">
        <v>0</v>
      </c>
      <c r="L7" t="n">
        <v>0</v>
      </c>
      <c r="M7" t="n">
        <v>0</v>
      </c>
      <c r="N7" t="n">
        <v>0</v>
      </c>
      <c r="O7" t="n">
        <v>0</v>
      </c>
      <c r="P7" t="n">
        <v>0</v>
      </c>
      <c r="Q7" t="n">
        <v>0</v>
      </c>
      <c r="R7" t="n">
        <v>0</v>
      </c>
      <c r="S7" t="n">
        <v>0</v>
      </c>
      <c r="T7" t="n">
        <v>0</v>
      </c>
      <c r="U7" t="n">
        <v>0</v>
      </c>
      <c r="V7" t="n">
        <v>0</v>
      </c>
      <c r="W7" t="n">
        <v>0</v>
      </c>
      <c r="X7" t="n">
        <v>47</v>
      </c>
      <c r="Y7" t="n">
        <v>1</v>
      </c>
      <c r="Z7" t="n">
        <v>47.125</v>
      </c>
      <c r="AA7" t="n">
        <v>47.125</v>
      </c>
      <c r="AB7" t="n">
        <v>0</v>
      </c>
      <c r="AC7" t="n">
        <v>47</v>
      </c>
      <c r="AD7" t="n">
        <v>1</v>
      </c>
    </row>
    <row r="8">
      <c r="A8" t="inlineStr">
        <is>
          <t>Wheat</t>
        </is>
      </c>
      <c r="B8" t="inlineStr">
        <is>
          <t>that is, 5 bushels over 6 acres, less''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v>
      </c>
      <c r="Z8" t="n">
        <v>0.625</v>
      </c>
      <c r="AA8" t="n">
        <v>0.625</v>
      </c>
      <c r="AB8" t="n">
        <v>0</v>
      </c>
      <c r="AC8" t="n">
        <v>0</v>
      </c>
      <c r="AD8" t="n">
        <v>5</v>
      </c>
    </row>
    <row r="9">
      <c r="A9" t="inlineStr">
        <is>
          <t>Wheat</t>
        </is>
      </c>
      <c r="B9" t="inlineStr">
        <is>
          <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Wheat</t>
        </is>
      </c>
      <c r="B10" t="inlineStr">
        <is>
          <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Wheat</t>
        </is>
      </c>
      <c r="B11" t="inlineStr">
        <is>
          <t>.</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Wheat</t>
        </is>
      </c>
      <c r="B12" t="inlineStr">
        <is>
          <t>provision of the steward for his visits by 2 tallies, 1 qr.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t="inlineStr">
        <is>
          <t>Wheat</t>
        </is>
      </c>
      <c r="B13" t="inlineStr">
        <is>
          <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Wheat</t>
        </is>
      </c>
      <c r="B14" t="inlineStr">
        <is>
          <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Wheat</t>
        </is>
      </c>
      <c r="B15" t="inlineStr">
        <is>
          <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Wheat</t>
        </is>
      </c>
      <c r="B16" t="inlineStr">
        <is>
          <t>provision of Roger, bailiff from Michaelmas until Christmas, 4.5 quarters.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4.5</v>
      </c>
      <c r="Y16" t="n">
        <v>0</v>
      </c>
      <c r="Z16" t="n">
        <v>4.5</v>
      </c>
      <c r="AA16" t="n">
        <v>4.5</v>
      </c>
      <c r="AB16" t="n">
        <v>0</v>
      </c>
      <c r="AC16" t="n">
        <v>4.5</v>
      </c>
      <c r="AD16" t="n">
        <v>0</v>
      </c>
    </row>
    <row r="17">
      <c r="A17" t="inlineStr">
        <is>
          <t>Wheat</t>
        </is>
      </c>
      <c r="B17" t="inlineStr">
        <is>
          <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Wheat</t>
        </is>
      </c>
      <c r="B18" t="inlineStr">
        <is>
          <t>.</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Wheat</t>
        </is>
      </c>
      <c r="B19" t="inlineStr">
        <is>
          <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Wheat</t>
        </is>
      </c>
      <c r="B20" t="inlineStr">
        <is>
          <t>provision of Robert the bailiff for his visits from Christmas until Michaelmas, 4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v>
      </c>
      <c r="Y20" t="n">
        <v>0</v>
      </c>
      <c r="Z20" t="n">
        <v>4</v>
      </c>
      <c r="AA20" t="n">
        <v>4</v>
      </c>
      <c r="AB20" t="n">
        <v>0</v>
      </c>
      <c r="AC20" t="n">
        <v>4</v>
      </c>
      <c r="AD20" t="n">
        <v>0</v>
      </c>
    </row>
    <row r="21">
      <c r="A21" t="inlineStr">
        <is>
          <t>Wheat</t>
        </is>
      </c>
      <c r="B21" t="inlineStr">
        <is>
          <t>Delivered to 1 hayward from the Circumcision (1 January) until Lammas (1 August), for 30 weeks, and from the Decollation of St John (29 August) until Michaelmas (29 September), for 4 weeks, 2 quarters 1 bushels, because he takes the rest in barley.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2</v>
      </c>
      <c r="Y21" t="n">
        <v>1</v>
      </c>
      <c r="Z21" t="n">
        <v>2.125</v>
      </c>
      <c r="AA21" t="n">
        <v>2.125</v>
      </c>
      <c r="AB21" t="n">
        <v>0</v>
      </c>
      <c r="AC21" t="n">
        <v>2</v>
      </c>
      <c r="AD21" t="n">
        <v>1</v>
      </c>
    </row>
    <row r="22">
      <c r="A22" t="inlineStr">
        <is>
          <t>Wheat</t>
        </is>
      </c>
      <c r="B22" t="inlineStr">
        <is>
          <t>he takes a quarter every 8 weeks and in between times sits at table.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Wheat</t>
        </is>
      </c>
      <c r="B23" t="inlineStr">
        <is>
          <t>Sold, 73 quarters 4 bushels It balances.</t>
        </is>
      </c>
      <c r="C23" t="n">
        <v>0</v>
      </c>
      <c r="D23" t="n">
        <v>0</v>
      </c>
      <c r="E23" t="n">
        <v>0</v>
      </c>
      <c r="F23" t="n">
        <v>0</v>
      </c>
      <c r="G23" t="n">
        <v>0</v>
      </c>
      <c r="H23" t="n">
        <v>0</v>
      </c>
      <c r="I23" t="n">
        <v>0</v>
      </c>
      <c r="J23" t="n">
        <v>0</v>
      </c>
      <c r="K23" t="n">
        <v>0</v>
      </c>
      <c r="L23" t="n">
        <v>0</v>
      </c>
      <c r="M23" t="n">
        <v>0</v>
      </c>
      <c r="N23" t="n">
        <v>0</v>
      </c>
      <c r="O23" t="n">
        <v>0</v>
      </c>
      <c r="P23" t="n">
        <v>0</v>
      </c>
      <c r="Q23" t="n">
        <v>73</v>
      </c>
      <c r="R23" t="n">
        <v>4</v>
      </c>
      <c r="S23" t="n">
        <v>73.5</v>
      </c>
      <c r="T23" t="n">
        <v>0</v>
      </c>
      <c r="U23" t="n">
        <v>0</v>
      </c>
      <c r="V23" t="n">
        <v>0</v>
      </c>
      <c r="W23" t="n">
        <v>0</v>
      </c>
      <c r="X23" t="n">
        <v>73</v>
      </c>
      <c r="Y23" t="n">
        <v>4</v>
      </c>
      <c r="Z23" t="n">
        <v>73.5</v>
      </c>
      <c r="AA23" t="n">
        <v>73.5</v>
      </c>
      <c r="AB23" t="n">
        <v>0</v>
      </c>
      <c r="AC23" t="n">
        <v>73</v>
      </c>
      <c r="AD23" t="n">
        <v>4</v>
      </c>
    </row>
    <row r="24">
      <c r="A24" t="inlineStr">
        <is>
          <t>Wheat</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t="inlineStr">
        <is>
          <t>Curall</t>
        </is>
      </c>
      <c r="B25" t="inlineStr">
        <is>
          <t>The same render account for 9 quarters 3.5 bushels from the whole issue of curall by struck measure.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9</v>
      </c>
      <c r="U25" t="n">
        <v>3.5</v>
      </c>
      <c r="V25" t="n">
        <v>9.4375</v>
      </c>
      <c r="W25" t="n">
        <v>0</v>
      </c>
      <c r="X25" t="n">
        <v>9</v>
      </c>
      <c r="Y25" t="n">
        <v>3.5</v>
      </c>
      <c r="Z25" t="n">
        <v>9.4375</v>
      </c>
      <c r="AA25" t="n">
        <v>9.4375</v>
      </c>
      <c r="AB25" t="n">
        <v>0</v>
      </c>
      <c r="AC25" t="n">
        <v>9</v>
      </c>
      <c r="AD25" t="n">
        <v>3.5</v>
      </c>
    </row>
    <row r="26">
      <c r="A26" t="inlineStr">
        <is>
          <t>Curall</t>
        </is>
      </c>
      <c r="B26" t="inlineStr">
        <is>
          <t>Mixed with barley for the liveries of the manorial servants, 1 qr 3 bushels Sold, 8 quarters .5 bushels It balances.</t>
        </is>
      </c>
      <c r="C26" t="n">
        <v>0</v>
      </c>
      <c r="D26" t="n">
        <v>0</v>
      </c>
      <c r="E26" t="n">
        <v>0</v>
      </c>
      <c r="F26" t="n">
        <v>0</v>
      </c>
      <c r="G26" t="n">
        <v>0</v>
      </c>
      <c r="H26" t="n">
        <v>0</v>
      </c>
      <c r="I26" t="n">
        <v>0</v>
      </c>
      <c r="J26" t="n">
        <v>0</v>
      </c>
      <c r="K26" t="n">
        <v>0</v>
      </c>
      <c r="L26" t="n">
        <v>0</v>
      </c>
      <c r="M26" t="n">
        <v>0</v>
      </c>
      <c r="N26" t="n">
        <v>8</v>
      </c>
      <c r="O26" t="n">
        <v>0</v>
      </c>
      <c r="P26" t="n">
        <v>8</v>
      </c>
      <c r="Q26" t="n">
        <v>8</v>
      </c>
      <c r="R26" t="n">
        <v>0</v>
      </c>
      <c r="S26" t="n">
        <v>8</v>
      </c>
      <c r="T26" t="n">
        <v>0</v>
      </c>
      <c r="U26" t="n">
        <v>0</v>
      </c>
      <c r="V26" t="n">
        <v>0</v>
      </c>
      <c r="W26" t="n">
        <v>0</v>
      </c>
    </row>
    <row r="27">
      <c r="A27" t="inlineStr">
        <is>
          <t>Curall</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row>
    <row r="28">
      <c r="A28" t="inlineStr">
        <is>
          <t>Barley</t>
        </is>
      </c>
      <c r="B28" t="inlineStr">
        <is>
          <t>{yield: four-fold less 4 quarters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v>
      </c>
      <c r="Y28" t="n">
        <v>5</v>
      </c>
      <c r="Z28" t="n">
        <v>4.625</v>
      </c>
      <c r="AA28" t="n">
        <v>4.625</v>
      </c>
      <c r="AB28" t="n">
        <v>0</v>
      </c>
      <c r="AC28" t="n">
        <v>4</v>
      </c>
      <c r="AD28" t="n">
        <v>5</v>
      </c>
    </row>
    <row r="29">
      <c r="A29" t="inlineStr">
        <is>
          <t>Barley</t>
        </is>
      </c>
      <c r="B29" t="inlineStr">
        <is>
          <t>The same render account for 77 quarters 3 bushels from the whole issue of barley by struck measure.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77</v>
      </c>
      <c r="U29" t="n">
        <v>3</v>
      </c>
      <c r="V29" t="n">
        <v>77.375</v>
      </c>
      <c r="W29" t="n">
        <v>0</v>
      </c>
      <c r="X29" t="n">
        <v>77</v>
      </c>
      <c r="Y29" t="n">
        <v>3</v>
      </c>
      <c r="Z29" t="n">
        <v>77.375</v>
      </c>
      <c r="AA29" t="n">
        <v>77.375</v>
      </c>
      <c r="AB29" t="n">
        <v>0</v>
      </c>
      <c r="AC29" t="n">
        <v>77</v>
      </c>
      <c r="AD29" t="n">
        <v>3</v>
      </c>
    </row>
    <row r="30">
      <c r="A30" t="inlineStr">
        <is>
          <t>Barley</t>
        </is>
      </c>
      <c r="B30" t="inlineStr">
        <is>
          <t>1 qr 3 bushels received above from curall.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Barley</t>
        </is>
      </c>
      <c r="B31" t="inlineStr">
        <is>
          <t>1 qr 1 bushels received below from peas.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t="inlineStr">
        <is>
          <t>Barley</t>
        </is>
      </c>
      <c r="B32" t="inlineStr">
        <is>
          <t>2 quarters 1 bushels received from vetches.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1</v>
      </c>
      <c r="Z32" t="n">
        <v>2.125</v>
      </c>
      <c r="AA32" t="n">
        <v>2.125</v>
      </c>
      <c r="AB32" t="n">
        <v>0</v>
      </c>
      <c r="AC32" t="n">
        <v>2</v>
      </c>
      <c r="AD32" t="n">
        <v>1</v>
      </c>
    </row>
    <row r="33">
      <c r="A33" t="inlineStr">
        <is>
          <t>Barley</t>
        </is>
      </c>
      <c r="B33" t="inlineStr">
        <is>
          <t>Total, 82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82</v>
      </c>
      <c r="Y33" t="n">
        <v>0</v>
      </c>
      <c r="Z33" t="n">
        <v>82</v>
      </c>
      <c r="AA33" t="n">
        <v>82</v>
      </c>
      <c r="AB33" t="n">
        <v>0</v>
      </c>
      <c r="AC33" t="n">
        <v>82</v>
      </c>
      <c r="AD33" t="n">
        <v>0</v>
      </c>
    </row>
    <row r="34">
      <c r="A34" t="inlineStr">
        <is>
          <t>Barley</t>
        </is>
      </c>
      <c r="B34" t="inlineStr">
        <is>
          <t>Sown over 98 acres as they lie on both sides of la Longehegg' and in Crikelescrofte, 20 quarters.</t>
        </is>
      </c>
      <c r="C34" t="n">
        <v>0</v>
      </c>
      <c r="D34" t="n">
        <v>0</v>
      </c>
      <c r="E34" t="n">
        <v>20</v>
      </c>
      <c r="F34" t="n">
        <v>0</v>
      </c>
      <c r="G34" t="n">
        <v>20</v>
      </c>
      <c r="H34" t="n">
        <v>0</v>
      </c>
      <c r="I34" t="n">
        <v>0</v>
      </c>
      <c r="J34" t="n">
        <v>0</v>
      </c>
      <c r="K34" t="n">
        <v>0</v>
      </c>
      <c r="L34" t="n">
        <v>0</v>
      </c>
      <c r="M34" t="n">
        <v>0</v>
      </c>
      <c r="N34" t="n">
        <v>0</v>
      </c>
      <c r="O34" t="n">
        <v>0</v>
      </c>
      <c r="P34" t="n">
        <v>0</v>
      </c>
      <c r="Q34" t="n">
        <v>0</v>
      </c>
      <c r="R34" t="n">
        <v>0</v>
      </c>
      <c r="S34" t="n">
        <v>0</v>
      </c>
      <c r="T34" t="n">
        <v>0</v>
      </c>
      <c r="U34" t="n">
        <v>0</v>
      </c>
      <c r="V34" t="n">
        <v>0</v>
      </c>
      <c r="W34" t="n">
        <v>0</v>
      </c>
      <c r="X34" t="n">
        <v>20</v>
      </c>
      <c r="Y34" t="n">
        <v>0</v>
      </c>
      <c r="Z34" t="n">
        <v>20</v>
      </c>
      <c r="AA34" t="n">
        <v>20</v>
      </c>
      <c r="AB34" t="n">
        <v>0</v>
      </c>
      <c r="AC34" t="n">
        <v>20</v>
      </c>
      <c r="AD34" t="n">
        <v>0</v>
      </c>
    </row>
    <row r="35">
      <c r="A35" t="inlineStr">
        <is>
          <t>Barley</t>
        </is>
      </c>
      <c r="B35" t="inlineStr">
        <is>
          <t>that is, 3 bushels 1 peck an acre, plus .5 bushels 1 peck in all.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5</v>
      </c>
      <c r="Z35" t="n">
        <v>0.625</v>
      </c>
      <c r="AA35" t="n">
        <v>0.375</v>
      </c>
      <c r="AB35" t="n">
        <v>0.25</v>
      </c>
      <c r="AC35" t="n">
        <v>0</v>
      </c>
      <c r="AD35" t="n">
        <v>3</v>
      </c>
      <c r="AE35" t="n">
        <v>0</v>
      </c>
      <c r="AF35" t="n">
        <v>5</v>
      </c>
    </row>
    <row r="36">
      <c r="A36" t="inlineStr">
        <is>
          <t>Barley</t>
        </is>
      </c>
      <c r="B36" t="inlineStr">
        <is>
          <t>Delivered to 4 drovers for the year, 26 quarters, taking a quarter every 8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26</v>
      </c>
      <c r="Y36" t="n">
        <v>0</v>
      </c>
      <c r="Z36" t="n">
        <v>26</v>
      </c>
      <c r="AA36" t="n">
        <v>26</v>
      </c>
      <c r="AB36" t="n">
        <v>0</v>
      </c>
      <c r="AC36" t="n">
        <v>26</v>
      </c>
      <c r="AD36" t="n">
        <v>0</v>
      </c>
    </row>
    <row r="37">
      <c r="A37" t="inlineStr">
        <is>
          <t>Barley</t>
        </is>
      </c>
      <c r="B37" t="inlineStr">
        <is>
          <t>Delivered to 1 carter for the year, 6.5 quarters, who takes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6.5</v>
      </c>
      <c r="Y37" t="n">
        <v>0</v>
      </c>
      <c r="Z37" t="n">
        <v>6.5</v>
      </c>
      <c r="AA37" t="n">
        <v>6.5</v>
      </c>
      <c r="AB37" t="n">
        <v>0</v>
      </c>
      <c r="AC37" t="n">
        <v>6.5</v>
      </c>
      <c r="AD37" t="n">
        <v>0</v>
      </c>
    </row>
    <row r="38">
      <c r="A38" t="inlineStr">
        <is>
          <t>Barley</t>
        </is>
      </c>
      <c r="B38" t="inlineStr">
        <is>
          <t>Delivered to 1 drover who drove the horse-plough for .5 year and the other cart for the other .5 year, 6.5 quarters, and he takes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6.5</v>
      </c>
      <c r="Y38" t="n">
        <v>0</v>
      </c>
      <c r="Z38" t="n">
        <v>6.5</v>
      </c>
      <c r="AA38" t="n">
        <v>6.5</v>
      </c>
      <c r="AB38" t="n">
        <v>0</v>
      </c>
      <c r="AC38" t="n">
        <v>6.5</v>
      </c>
      <c r="AD38" t="n">
        <v>0</v>
      </c>
    </row>
    <row r="39">
      <c r="A39" t="inlineStr">
        <is>
          <t>Barley</t>
        </is>
      </c>
      <c r="B39" t="inlineStr">
        <is>
          <t>Delivered to 1 cowherd for the year, 4 quarters 2.5 bushels, taking a quarter every 12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v>
      </c>
      <c r="Y39" t="n">
        <v>2.5</v>
      </c>
      <c r="Z39" t="n">
        <v>4.3125</v>
      </c>
      <c r="AA39" t="n">
        <v>4.3125</v>
      </c>
      <c r="AB39" t="n">
        <v>0</v>
      </c>
      <c r="AC39" t="n">
        <v>4</v>
      </c>
      <c r="AD39" t="n">
        <v>2.5</v>
      </c>
    </row>
    <row r="40">
      <c r="A40" t="inlineStr">
        <is>
          <t>Barley</t>
        </is>
      </c>
      <c r="B40" t="inlineStr">
        <is>
          <t>Delivered to to 1 dairymaid for the year, 5 quarters 1.5 bushels, taking a quarter every 10 weeks. {Henceforth the dairymaid should take nothing except a quarter every 12 weeks.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v>
      </c>
      <c r="Y40" t="n">
        <v>1.5</v>
      </c>
      <c r="Z40" t="n">
        <v>5.1875</v>
      </c>
      <c r="AA40" t="n">
        <v>5.1875</v>
      </c>
      <c r="AB40" t="n">
        <v>0</v>
      </c>
      <c r="AC40" t="n">
        <v>5</v>
      </c>
      <c r="AD40" t="n">
        <v>1.5</v>
      </c>
    </row>
    <row r="41">
      <c r="A41" t="inlineStr">
        <is>
          <t>Barley</t>
        </is>
      </c>
      <c r="B41" t="inlineStr">
        <is>
          <t>also hereafter the dairymaid should answer for the offspring of geese and hens}.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Barley</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Barley</t>
        </is>
      </c>
      <c r="B43" t="inlineStr">
        <is>
          <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Barley</t>
        </is>
      </c>
      <c r="B44" t="inlineStr">
        <is>
          <t>corrody of 1 swineherd and 1 shepherd with the ewes, 4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4</v>
      </c>
      <c r="Y44" t="n">
        <v>0</v>
      </c>
      <c r="Z44" t="n">
        <v>4</v>
      </c>
      <c r="AA44" t="n">
        <v>4</v>
      </c>
      <c r="AB44" t="n">
        <v>0</v>
      </c>
      <c r="AC44" t="n">
        <v>4</v>
      </c>
      <c r="AD44" t="n">
        <v>0</v>
      </c>
    </row>
    <row r="45">
      <c r="A45" t="inlineStr">
        <is>
          <t>Barley</t>
        </is>
      </c>
      <c r="B45" t="inlineStr">
        <is>
          <t>.</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Barley</t>
        </is>
      </c>
      <c r="B46" t="inlineStr">
        <is>
          <t>.</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Barley</t>
        </is>
      </c>
      <c r="B47" t="inlineStr">
        <is>
          <t>corrody of 1 keeper of lambs for .5 year, 1 qr.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t="inlineStr">
        <is>
          <t>Barley</t>
        </is>
      </c>
      <c r="B48" t="inlineStr">
        <is>
          <t>Delivered to the same for the other .5 year because he kept the lambs of Bishops Waltham and Droxford, 2 quarters, taking a quarter every 13 weeks.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0</v>
      </c>
      <c r="Z48" t="n">
        <v>2</v>
      </c>
      <c r="AA48" t="n">
        <v>2</v>
      </c>
      <c r="AB48" t="n">
        <v>0</v>
      </c>
      <c r="AC48" t="n">
        <v>2</v>
      </c>
      <c r="AD48" t="n">
        <v>0</v>
      </c>
    </row>
    <row r="49">
      <c r="A49" t="inlineStr">
        <is>
          <t>Barley</t>
        </is>
      </c>
      <c r="B49" t="inlineStr">
        <is>
          <t>Delivered to 1 hayward from the Circumcision until Lammas, for 30 weeks, and from the Decollation of St John the Baptist until Michaelmas, for 4 weeks, 2 quarters 1 bushels, because he takes the rest in wheat.</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1</v>
      </c>
      <c r="Z49" t="n">
        <v>2.125</v>
      </c>
      <c r="AA49" t="n">
        <v>2.125</v>
      </c>
      <c r="AB49" t="n">
        <v>0</v>
      </c>
      <c r="AC49" t="n">
        <v>2</v>
      </c>
      <c r="AD49" t="n">
        <v>1</v>
      </c>
    </row>
    <row r="50">
      <c r="A50" t="inlineStr">
        <is>
          <t>Barley</t>
        </is>
      </c>
      <c r="B50" t="inlineStr">
        <is>
          <t>he takes a quarter every 8 weeks and in between times at harvest-time he sits at table.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Barley</t>
        </is>
      </c>
      <c r="B51" t="inlineStr">
        <is>
          <t>Sold, 5 quarters 2.5 bushels Sold at the audit, 0.5 bushels It balances.</t>
        </is>
      </c>
      <c r="C51" t="n">
        <v>0</v>
      </c>
      <c r="D51" t="n">
        <v>0</v>
      </c>
      <c r="E51" t="n">
        <v>0</v>
      </c>
      <c r="F51" t="n">
        <v>0</v>
      </c>
      <c r="G51" t="n">
        <v>0</v>
      </c>
      <c r="H51" t="n">
        <v>0</v>
      </c>
      <c r="I51" t="n">
        <v>0</v>
      </c>
      <c r="J51" t="n">
        <v>0</v>
      </c>
      <c r="K51" t="n">
        <v>0</v>
      </c>
      <c r="L51" t="n">
        <v>0</v>
      </c>
      <c r="M51" t="n">
        <v>0</v>
      </c>
      <c r="N51" t="n">
        <v>0</v>
      </c>
      <c r="O51" t="n">
        <v>0</v>
      </c>
      <c r="P51" t="n">
        <v>0</v>
      </c>
      <c r="Q51" t="n">
        <v>5</v>
      </c>
      <c r="R51" t="n">
        <v>2.5</v>
      </c>
      <c r="S51" t="n">
        <v>5.3125</v>
      </c>
      <c r="T51" t="n">
        <v>0</v>
      </c>
      <c r="U51" t="n">
        <v>0</v>
      </c>
      <c r="V51" t="n">
        <v>0</v>
      </c>
      <c r="W51" t="n">
        <v>0</v>
      </c>
      <c r="X51" t="n">
        <v>5</v>
      </c>
      <c r="Y51" t="n">
        <v>0.5</v>
      </c>
      <c r="Z51" t="n">
        <v>5.0625</v>
      </c>
      <c r="AA51" t="n">
        <v>5.3125</v>
      </c>
      <c r="AB51" t="n">
        <v>-0.25</v>
      </c>
      <c r="AC51" t="n">
        <v>5</v>
      </c>
      <c r="AD51" t="n">
        <v>2.5</v>
      </c>
      <c r="AE51" t="n">
        <v>0</v>
      </c>
      <c r="AF51" t="n">
        <v>0.5</v>
      </c>
    </row>
    <row r="52">
      <c r="A52" t="inlineStr">
        <is>
          <t>Barley</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row>
    <row r="53">
      <c r="A53" t="inlineStr">
        <is>
          <t>Oats</t>
        </is>
      </c>
      <c r="B53" t="inlineStr">
        <is>
          <t>(yield: two-fold plus 5 quarters .5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5</v>
      </c>
      <c r="Y53" t="n">
        <v>5</v>
      </c>
      <c r="Z53" t="n">
        <v>5.625</v>
      </c>
      <c r="AA53" t="n">
        <v>5</v>
      </c>
      <c r="AB53" t="n">
        <v>0.625</v>
      </c>
      <c r="AC53" t="n">
        <v>5</v>
      </c>
      <c r="AD53" t="n">
        <v>0</v>
      </c>
      <c r="AE53" t="n">
        <v>0</v>
      </c>
      <c r="AF53" t="n">
        <v>5</v>
      </c>
    </row>
    <row r="54">
      <c r="A54" t="inlineStr">
        <is>
          <t>Oats</t>
        </is>
      </c>
      <c r="B54" t="inlineStr">
        <is>
          <t>The same render account for 180 quarters .5 bushels from the whole issue of oats by struck measure.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180</v>
      </c>
      <c r="U54" t="n">
        <v>0</v>
      </c>
      <c r="V54" t="n">
        <v>180</v>
      </c>
      <c r="W54" t="n">
        <v>0</v>
      </c>
      <c r="X54" t="n">
        <v>180</v>
      </c>
      <c r="Y54" t="n">
        <v>5</v>
      </c>
      <c r="Z54" t="n">
        <v>180.625</v>
      </c>
      <c r="AA54" t="n">
        <v>180</v>
      </c>
      <c r="AB54" t="n">
        <v>0.625</v>
      </c>
      <c r="AC54" t="n">
        <v>180</v>
      </c>
      <c r="AD54" t="n">
        <v>0</v>
      </c>
      <c r="AE54" t="n">
        <v>0</v>
      </c>
      <c r="AF54" t="n">
        <v>5</v>
      </c>
    </row>
    <row r="55">
      <c r="A55" t="inlineStr">
        <is>
          <t>Oats</t>
        </is>
      </c>
      <c r="B55" t="inlineStr">
        <is>
          <t>25 quarters by estimation in sheaves.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25</v>
      </c>
      <c r="Y55" t="n">
        <v>0</v>
      </c>
      <c r="Z55" t="n">
        <v>25</v>
      </c>
      <c r="AA55" t="n">
        <v>25</v>
      </c>
      <c r="AB55" t="n">
        <v>0</v>
      </c>
      <c r="AC55" t="n">
        <v>25</v>
      </c>
      <c r="AD55" t="n">
        <v>0</v>
      </c>
    </row>
    <row r="56">
      <c r="A56" t="inlineStr">
        <is>
          <t>Oats</t>
        </is>
      </c>
      <c r="B56" t="inlineStr">
        <is>
          <t>Total, 205 quarters .5 bushels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205</v>
      </c>
      <c r="Y56" t="n">
        <v>5</v>
      </c>
      <c r="Z56" t="n">
        <v>205.625</v>
      </c>
      <c r="AA56" t="n">
        <v>205</v>
      </c>
      <c r="AB56" t="n">
        <v>0.625</v>
      </c>
      <c r="AC56" t="n">
        <v>205</v>
      </c>
      <c r="AD56" t="n">
        <v>0</v>
      </c>
      <c r="AE56" t="n">
        <v>0</v>
      </c>
      <c r="AF56" t="n">
        <v>5</v>
      </c>
    </row>
    <row r="57">
      <c r="A57" t="inlineStr">
        <is>
          <t>Oats</t>
        </is>
      </c>
      <c r="B57" t="inlineStr">
        <is>
          <t>Sown over 405 acres as they lie at Langehegg', Hok', Crikelescrofte and at Legsted', 88.5 quarters bushels.</t>
        </is>
      </c>
      <c r="C57" t="n">
        <v>0</v>
      </c>
      <c r="D57" t="n">
        <v>0</v>
      </c>
      <c r="E57" t="n">
        <v>88.5</v>
      </c>
      <c r="F57" t="n">
        <v>0</v>
      </c>
      <c r="G57" t="n">
        <v>88.5</v>
      </c>
      <c r="H57" t="n">
        <v>0</v>
      </c>
      <c r="I57" t="n">
        <v>0</v>
      </c>
      <c r="J57" t="n">
        <v>0</v>
      </c>
      <c r="K57" t="n">
        <v>0</v>
      </c>
      <c r="L57" t="n">
        <v>0</v>
      </c>
      <c r="M57" t="n">
        <v>0</v>
      </c>
      <c r="N57" t="n">
        <v>0</v>
      </c>
      <c r="O57" t="n">
        <v>0</v>
      </c>
      <c r="P57" t="n">
        <v>0</v>
      </c>
      <c r="Q57" t="n">
        <v>0</v>
      </c>
      <c r="R57" t="n">
        <v>0</v>
      </c>
      <c r="S57" t="n">
        <v>0</v>
      </c>
      <c r="T57" t="n">
        <v>0</v>
      </c>
      <c r="U57" t="n">
        <v>0</v>
      </c>
      <c r="V57" t="n">
        <v>0</v>
      </c>
      <c r="W57" t="n">
        <v>0</v>
      </c>
      <c r="X57" t="n">
        <v>88.5</v>
      </c>
      <c r="Y57" t="n">
        <v>0</v>
      </c>
      <c r="Z57" t="n">
        <v>88.5</v>
      </c>
      <c r="AA57" t="n">
        <v>88.5</v>
      </c>
      <c r="AB57" t="n">
        <v>0</v>
      </c>
      <c r="AC57" t="n">
        <v>88.5</v>
      </c>
      <c r="AD57" t="n">
        <v>0</v>
      </c>
    </row>
    <row r="58">
      <c r="A58" t="inlineStr">
        <is>
          <t>Oats</t>
        </is>
      </c>
      <c r="B58" t="inlineStr">
        <is>
          <t>that is, 1 bushels 1 peck an acre, plus 1 peck in all.</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1</v>
      </c>
      <c r="Z58" t="n">
        <v>0.125</v>
      </c>
      <c r="AA58" t="n">
        <v>0.125</v>
      </c>
      <c r="AB58" t="n">
        <v>0</v>
      </c>
      <c r="AC58" t="n">
        <v>0</v>
      </c>
      <c r="AD58" t="n">
        <v>1</v>
      </c>
    </row>
    <row r="59">
      <c r="A59" t="inlineStr">
        <is>
          <t>Oats</t>
        </is>
      </c>
      <c r="B59" t="inlineStr">
        <is>
          <t>.</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Oats</t>
        </is>
      </c>
      <c r="B60" t="inlineStr">
        <is>
          <t>.</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Oats</t>
        </is>
      </c>
      <c r="B61" t="inlineStr">
        <is>
          <t>.</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Oats</t>
        </is>
      </c>
      <c r="B62" t="inlineStr">
        <is>
          <t>.</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Oats</t>
        </is>
      </c>
      <c r="B63" t="inlineStr">
        <is>
          <t>fodder of 2 cart-horses for the year, 15.5 quarters.</t>
        </is>
      </c>
      <c r="C63" t="n">
        <v>0</v>
      </c>
      <c r="D63" t="n">
        <v>0</v>
      </c>
      <c r="E63" t="n">
        <v>0</v>
      </c>
      <c r="F63" t="n">
        <v>0</v>
      </c>
      <c r="G63" t="n">
        <v>0</v>
      </c>
      <c r="H63" t="n">
        <v>0</v>
      </c>
      <c r="I63" t="n">
        <v>0</v>
      </c>
      <c r="J63" t="n">
        <v>0</v>
      </c>
      <c r="K63" t="n">
        <v>0</v>
      </c>
      <c r="L63" t="n">
        <v>0</v>
      </c>
      <c r="M63" t="n">
        <v>0</v>
      </c>
      <c r="N63" t="n">
        <v>15.5</v>
      </c>
      <c r="O63" t="n">
        <v>0</v>
      </c>
      <c r="P63" t="n">
        <v>15.5</v>
      </c>
      <c r="Q63" t="n">
        <v>0</v>
      </c>
      <c r="R63" t="n">
        <v>0</v>
      </c>
      <c r="S63" t="n">
        <v>0</v>
      </c>
      <c r="T63" t="n">
        <v>0</v>
      </c>
      <c r="U63" t="n">
        <v>0</v>
      </c>
      <c r="V63" t="n">
        <v>0</v>
      </c>
      <c r="W63" t="n">
        <v>0</v>
      </c>
      <c r="X63" t="n">
        <v>15.5</v>
      </c>
      <c r="Y63" t="n">
        <v>0</v>
      </c>
      <c r="Z63" t="n">
        <v>15.5</v>
      </c>
      <c r="AA63" t="n">
        <v>15.5</v>
      </c>
      <c r="AB63" t="n">
        <v>0</v>
      </c>
      <c r="AC63" t="n">
        <v>15.5</v>
      </c>
      <c r="AD63" t="n">
        <v>0</v>
      </c>
    </row>
    <row r="64">
      <c r="A64" t="inlineStr">
        <is>
          <t>Oats</t>
        </is>
      </c>
      <c r="B64" t="inlineStr">
        <is>
          <t>.</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Oats</t>
        </is>
      </c>
      <c r="B65" t="inlineStr">
        <is>
          <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Oats</t>
        </is>
      </c>
      <c r="B66" t="inlineStr">
        <is>
          <t>.</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Oats</t>
        </is>
      </c>
      <c r="B67" t="inlineStr">
        <is>
          <t>.</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Oats</t>
        </is>
      </c>
      <c r="B68" t="inlineStr">
        <is>
          <t>fodder of the plough-horses at sowing time, 5.5 quarters.</t>
        </is>
      </c>
      <c r="C68" t="n">
        <v>0</v>
      </c>
      <c r="D68" t="n">
        <v>0</v>
      </c>
      <c r="E68" t="n">
        <v>0</v>
      </c>
      <c r="F68" t="n">
        <v>0</v>
      </c>
      <c r="G68" t="n">
        <v>0</v>
      </c>
      <c r="H68" t="n">
        <v>0</v>
      </c>
      <c r="I68" t="n">
        <v>0</v>
      </c>
      <c r="J68" t="n">
        <v>0</v>
      </c>
      <c r="K68" t="n">
        <v>0</v>
      </c>
      <c r="L68" t="n">
        <v>0</v>
      </c>
      <c r="M68" t="n">
        <v>0</v>
      </c>
      <c r="N68" t="n">
        <v>5.5</v>
      </c>
      <c r="O68" t="n">
        <v>0</v>
      </c>
      <c r="P68" t="n">
        <v>5.5</v>
      </c>
      <c r="Q68" t="n">
        <v>0</v>
      </c>
      <c r="R68" t="n">
        <v>0</v>
      </c>
      <c r="S68" t="n">
        <v>0</v>
      </c>
      <c r="T68" t="n">
        <v>0</v>
      </c>
      <c r="U68" t="n">
        <v>0</v>
      </c>
      <c r="V68" t="n">
        <v>0</v>
      </c>
      <c r="W68" t="n">
        <v>0</v>
      </c>
      <c r="X68" t="n">
        <v>5.5</v>
      </c>
      <c r="Y68" t="n">
        <v>0</v>
      </c>
      <c r="Z68" t="n">
        <v>5.5</v>
      </c>
      <c r="AA68" t="n">
        <v>5.5</v>
      </c>
      <c r="AB68" t="n">
        <v>0</v>
      </c>
      <c r="AC68" t="n">
        <v>5.5</v>
      </c>
      <c r="AD68" t="n">
        <v>0</v>
      </c>
    </row>
    <row r="69">
      <c r="A69" t="inlineStr">
        <is>
          <t>Oats</t>
        </is>
      </c>
      <c r="B69" t="inlineStr">
        <is>
          <t>.</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Oats</t>
        </is>
      </c>
      <c r="B70" t="inlineStr">
        <is>
          <t>.</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row>
    <row r="71">
      <c r="A71" t="inlineStr">
        <is>
          <t>Oats</t>
        </is>
      </c>
      <c r="B71" t="inlineStr">
        <is>
          <t>.</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Oats</t>
        </is>
      </c>
      <c r="B72" t="inlineStr">
        <is>
          <t>.</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Oats</t>
        </is>
      </c>
      <c r="B73" t="inlineStr">
        <is>
          <t>fodder of the steward's horses for his visits by 2 tallies, 2 quarters 2 bushels.</t>
        </is>
      </c>
      <c r="C73" t="n">
        <v>0</v>
      </c>
      <c r="D73" t="n">
        <v>0</v>
      </c>
      <c r="E73" t="n">
        <v>0</v>
      </c>
      <c r="F73" t="n">
        <v>0</v>
      </c>
      <c r="G73" t="n">
        <v>0</v>
      </c>
      <c r="H73" t="n">
        <v>0</v>
      </c>
      <c r="I73" t="n">
        <v>0</v>
      </c>
      <c r="J73" t="n">
        <v>0</v>
      </c>
      <c r="K73" t="n">
        <v>0</v>
      </c>
      <c r="L73" t="n">
        <v>0</v>
      </c>
      <c r="M73" t="n">
        <v>0</v>
      </c>
      <c r="N73" t="n">
        <v>2</v>
      </c>
      <c r="O73" t="n">
        <v>2</v>
      </c>
      <c r="P73" t="n">
        <v>2.25</v>
      </c>
      <c r="Q73" t="n">
        <v>0</v>
      </c>
      <c r="R73" t="n">
        <v>0</v>
      </c>
      <c r="S73" t="n">
        <v>0</v>
      </c>
      <c r="T73" t="n">
        <v>0</v>
      </c>
      <c r="U73" t="n">
        <v>0</v>
      </c>
      <c r="V73" t="n">
        <v>0</v>
      </c>
      <c r="W73" t="n">
        <v>0</v>
      </c>
      <c r="X73" t="n">
        <v>2</v>
      </c>
      <c r="Y73" t="n">
        <v>2</v>
      </c>
      <c r="Z73" t="n">
        <v>2.25</v>
      </c>
      <c r="AA73" t="n">
        <v>2.25</v>
      </c>
      <c r="AB73" t="n">
        <v>0</v>
      </c>
      <c r="AC73" t="n">
        <v>2</v>
      </c>
      <c r="AD73" t="n">
        <v>2</v>
      </c>
    </row>
    <row r="74">
      <c r="A74" t="inlineStr">
        <is>
          <t>Oats</t>
        </is>
      </c>
      <c r="B74" t="inlineStr">
        <is>
          <t>fodder of the horses of Roger, bailiff from Michaelmas until Christmas, 4 quarters.</t>
        </is>
      </c>
      <c r="C74" t="n">
        <v>0</v>
      </c>
      <c r="D74" t="n">
        <v>0</v>
      </c>
      <c r="E74" t="n">
        <v>0</v>
      </c>
      <c r="F74" t="n">
        <v>0</v>
      </c>
      <c r="G74" t="n">
        <v>0</v>
      </c>
      <c r="H74" t="n">
        <v>0</v>
      </c>
      <c r="I74" t="n">
        <v>0</v>
      </c>
      <c r="J74" t="n">
        <v>0</v>
      </c>
      <c r="K74" t="n">
        <v>0</v>
      </c>
      <c r="L74" t="n">
        <v>0</v>
      </c>
      <c r="M74" t="n">
        <v>0</v>
      </c>
      <c r="N74" t="n">
        <v>4</v>
      </c>
      <c r="O74" t="n">
        <v>0</v>
      </c>
      <c r="P74" t="n">
        <v>4</v>
      </c>
      <c r="Q74" t="n">
        <v>0</v>
      </c>
      <c r="R74" t="n">
        <v>0</v>
      </c>
      <c r="S74" t="n">
        <v>0</v>
      </c>
      <c r="T74" t="n">
        <v>0</v>
      </c>
      <c r="U74" t="n">
        <v>0</v>
      </c>
      <c r="V74" t="n">
        <v>0</v>
      </c>
      <c r="W74" t="n">
        <v>0</v>
      </c>
      <c r="X74" t="n">
        <v>4</v>
      </c>
      <c r="Y74" t="n">
        <v>0</v>
      </c>
      <c r="Z74" t="n">
        <v>4</v>
      </c>
      <c r="AA74" t="n">
        <v>4</v>
      </c>
      <c r="AB74" t="n">
        <v>0</v>
      </c>
      <c r="AC74" t="n">
        <v>4</v>
      </c>
      <c r="AD74" t="n">
        <v>0</v>
      </c>
    </row>
    <row r="75">
      <c r="A75" t="inlineStr">
        <is>
          <t>Oats</t>
        </is>
      </c>
      <c r="B75" t="inlineStr">
        <is>
          <t>.</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row>
    <row r="76">
      <c r="A76" t="inlineStr">
        <is>
          <t>Oats</t>
        </is>
      </c>
      <c r="B76" t="inlineStr">
        <is>
          <t>.</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Oats</t>
        </is>
      </c>
      <c r="B77" t="inlineStr">
        <is>
          <t>.</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Oats</t>
        </is>
      </c>
      <c r="B78" t="inlineStr">
        <is>
          <t>.</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Oats</t>
        </is>
      </c>
      <c r="B79" t="inlineStr">
        <is>
          <t>fodder of the horses of Robert, bailiff and clerk, for his visits from Christmas until Michaelmas, 5 quarters 2.5 bushels.</t>
        </is>
      </c>
      <c r="C79" t="n">
        <v>0</v>
      </c>
      <c r="D79" t="n">
        <v>0</v>
      </c>
      <c r="E79" t="n">
        <v>0</v>
      </c>
      <c r="F79" t="n">
        <v>0</v>
      </c>
      <c r="G79" t="n">
        <v>0</v>
      </c>
      <c r="H79" t="n">
        <v>0</v>
      </c>
      <c r="I79" t="n">
        <v>0</v>
      </c>
      <c r="J79" t="n">
        <v>0</v>
      </c>
      <c r="K79" t="n">
        <v>0</v>
      </c>
      <c r="L79" t="n">
        <v>0</v>
      </c>
      <c r="M79" t="n">
        <v>0</v>
      </c>
      <c r="N79" t="n">
        <v>5</v>
      </c>
      <c r="O79" t="n">
        <v>2.5</v>
      </c>
      <c r="P79" t="n">
        <v>5.3125</v>
      </c>
      <c r="Q79" t="n">
        <v>0</v>
      </c>
      <c r="R79" t="n">
        <v>0</v>
      </c>
      <c r="S79" t="n">
        <v>0</v>
      </c>
      <c r="T79" t="n">
        <v>0</v>
      </c>
      <c r="U79" t="n">
        <v>0</v>
      </c>
      <c r="V79" t="n">
        <v>0</v>
      </c>
      <c r="W79" t="n">
        <v>0</v>
      </c>
      <c r="X79" t="n">
        <v>5</v>
      </c>
      <c r="Y79" t="n">
        <v>2.5</v>
      </c>
      <c r="Z79" t="n">
        <v>5.3125</v>
      </c>
      <c r="AA79" t="n">
        <v>5.3125</v>
      </c>
      <c r="AB79" t="n">
        <v>0</v>
      </c>
      <c r="AC79" t="n">
        <v>5</v>
      </c>
      <c r="AD79" t="n">
        <v>2.5</v>
      </c>
    </row>
    <row r="80">
      <c r="A80" t="inlineStr">
        <is>
          <t>Oats</t>
        </is>
      </c>
      <c r="B80" t="inlineStr">
        <is>
          <t>supporting oxen by estimation in sheaves, 25 quarters.</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25</v>
      </c>
      <c r="Y80" t="n">
        <v>0</v>
      </c>
      <c r="Z80" t="n">
        <v>25</v>
      </c>
      <c r="AA80" t="n">
        <v>25</v>
      </c>
      <c r="AB80" t="n">
        <v>0</v>
      </c>
      <c r="AC80" t="n">
        <v>25</v>
      </c>
      <c r="AD80" t="n">
        <v>0</v>
      </c>
    </row>
    <row r="81">
      <c r="A81" t="inlineStr">
        <is>
          <t>Oats</t>
        </is>
      </c>
      <c r="B81" t="inlineStr">
        <is>
          <t>Sold, 58.5 quarters 3 bushels It balances.</t>
        </is>
      </c>
      <c r="C81" t="n">
        <v>0</v>
      </c>
      <c r="D81" t="n">
        <v>0</v>
      </c>
      <c r="E81" t="n">
        <v>0</v>
      </c>
      <c r="F81" t="n">
        <v>0</v>
      </c>
      <c r="G81" t="n">
        <v>0</v>
      </c>
      <c r="H81" t="n">
        <v>0</v>
      </c>
      <c r="I81" t="n">
        <v>0</v>
      </c>
      <c r="J81" t="n">
        <v>0</v>
      </c>
      <c r="K81" t="n">
        <v>0</v>
      </c>
      <c r="L81" t="n">
        <v>0</v>
      </c>
      <c r="M81" t="n">
        <v>0</v>
      </c>
      <c r="N81" t="n">
        <v>0</v>
      </c>
      <c r="O81" t="n">
        <v>0</v>
      </c>
      <c r="P81" t="n">
        <v>0</v>
      </c>
      <c r="Q81" t="n">
        <v>58.5</v>
      </c>
      <c r="R81" t="n">
        <v>3</v>
      </c>
      <c r="S81" t="n">
        <v>58.875</v>
      </c>
      <c r="T81" t="n">
        <v>0</v>
      </c>
      <c r="U81" t="n">
        <v>0</v>
      </c>
      <c r="V81" t="n">
        <v>0</v>
      </c>
      <c r="W81" t="n">
        <v>0</v>
      </c>
      <c r="X81" t="n">
        <v>58.5</v>
      </c>
      <c r="Y81" t="n">
        <v>3</v>
      </c>
      <c r="Z81" t="n">
        <v>58.875</v>
      </c>
      <c r="AA81" t="n">
        <v>58.875</v>
      </c>
      <c r="AB81" t="n">
        <v>0</v>
      </c>
      <c r="AC81" t="n">
        <v>58.5</v>
      </c>
      <c r="AD81" t="n">
        <v>3</v>
      </c>
    </row>
    <row r="82">
      <c r="A82" t="inlineStr">
        <is>
          <t>Oats</t>
        </is>
      </c>
      <c r="B82" t="inlineStr">
        <is>
          <t>Total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t="inlineStr">
        <is>
          <t>Peas</t>
        </is>
      </c>
      <c r="B83" t="inlineStr">
        <is>
          <t>{yield: three-fold plus 2.5 bushels}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2.5</v>
      </c>
      <c r="Z83" t="n">
        <v>0.3125</v>
      </c>
      <c r="AA83" t="n">
        <v>0.3125</v>
      </c>
      <c r="AB83" t="n">
        <v>0</v>
      </c>
      <c r="AC83" t="n">
        <v>0</v>
      </c>
      <c r="AD83" t="n">
        <v>2.5</v>
      </c>
    </row>
    <row r="84">
      <c r="A84" t="inlineStr">
        <is>
          <t>Peas</t>
        </is>
      </c>
      <c r="B84" t="inlineStr">
        <is>
          <t>The same render account for 3 quarters 2.5 bushels from the whole issue of peas.</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3</v>
      </c>
      <c r="U84" t="n">
        <v>2.5</v>
      </c>
      <c r="V84" t="n">
        <v>3.3125</v>
      </c>
      <c r="W84" t="n">
        <v>0</v>
      </c>
      <c r="X84" t="n">
        <v>3</v>
      </c>
      <c r="Y84" t="n">
        <v>2.5</v>
      </c>
      <c r="Z84" t="n">
        <v>3.3125</v>
      </c>
      <c r="AA84" t="n">
        <v>3.3125</v>
      </c>
      <c r="AB84" t="n">
        <v>0</v>
      </c>
      <c r="AC84" t="n">
        <v>3</v>
      </c>
      <c r="AD84" t="n">
        <v>2.5</v>
      </c>
    </row>
    <row r="85">
      <c r="A85" t="inlineStr">
        <is>
          <t>Peas</t>
        </is>
      </c>
      <c r="B85" t="inlineStr">
        <is>
          <t>4 bushels bought.</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4</v>
      </c>
      <c r="Z85" t="n">
        <v>0.5</v>
      </c>
      <c r="AA85" t="n">
        <v>0.5</v>
      </c>
      <c r="AB85" t="n">
        <v>0</v>
      </c>
      <c r="AC85" t="n">
        <v>0</v>
      </c>
      <c r="AD85" t="n">
        <v>4</v>
      </c>
    </row>
    <row r="86">
      <c r="A86" t="inlineStr">
        <is>
          <t>Peas</t>
        </is>
      </c>
      <c r="B86" t="inlineStr">
        <is>
          <t>Total, 3.5 quarters 2.5 bushels</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3.5</v>
      </c>
      <c r="Y86" t="n">
        <v>2.5</v>
      </c>
      <c r="Z86" t="n">
        <v>3.8125</v>
      </c>
      <c r="AA86" t="n">
        <v>3.8125</v>
      </c>
      <c r="AB86" t="n">
        <v>0</v>
      </c>
      <c r="AC86" t="n">
        <v>3.5</v>
      </c>
      <c r="AD86" t="n">
        <v>2.5</v>
      </c>
    </row>
    <row r="87">
      <c r="A87" t="inlineStr">
        <is>
          <t>Peas</t>
        </is>
      </c>
      <c r="B87" t="inlineStr">
        <is>
          <t>Sown over 20 acres as they lie in la Worth', 2 quarters 3.5 bushels.</t>
        </is>
      </c>
      <c r="C87" t="n">
        <v>0</v>
      </c>
      <c r="D87" t="n">
        <v>0</v>
      </c>
      <c r="E87" t="n">
        <v>2</v>
      </c>
      <c r="F87" t="n">
        <v>3.5</v>
      </c>
      <c r="G87" t="n">
        <v>2.4375</v>
      </c>
      <c r="H87" t="n">
        <v>0</v>
      </c>
      <c r="I87" t="n">
        <v>0</v>
      </c>
      <c r="J87" t="n">
        <v>0</v>
      </c>
      <c r="K87" t="n">
        <v>0</v>
      </c>
      <c r="L87" t="n">
        <v>0</v>
      </c>
      <c r="M87" t="n">
        <v>0</v>
      </c>
      <c r="N87" t="n">
        <v>0</v>
      </c>
      <c r="O87" t="n">
        <v>0</v>
      </c>
      <c r="P87" t="n">
        <v>0</v>
      </c>
      <c r="Q87" t="n">
        <v>0</v>
      </c>
      <c r="R87" t="n">
        <v>0</v>
      </c>
      <c r="S87" t="n">
        <v>0</v>
      </c>
      <c r="T87" t="n">
        <v>0</v>
      </c>
      <c r="U87" t="n">
        <v>0</v>
      </c>
      <c r="V87" t="n">
        <v>0</v>
      </c>
      <c r="W87" t="n">
        <v>0</v>
      </c>
      <c r="X87" t="n">
        <v>2</v>
      </c>
      <c r="Y87" t="n">
        <v>3.5</v>
      </c>
      <c r="Z87" t="n">
        <v>2.4375</v>
      </c>
      <c r="AA87" t="n">
        <v>2.4375</v>
      </c>
      <c r="AB87" t="n">
        <v>0</v>
      </c>
      <c r="AC87" t="n">
        <v>2</v>
      </c>
      <c r="AD87" t="n">
        <v>3.5</v>
      </c>
    </row>
    <row r="88">
      <c r="A88" t="inlineStr">
        <is>
          <t>Peas</t>
        </is>
      </c>
      <c r="B88" t="inlineStr">
        <is>
          <t>that is, 1 bushels an acre, less 0.5 bushels in all.</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0.5</v>
      </c>
      <c r="Z88" t="n">
        <v>0.0625</v>
      </c>
      <c r="AA88" t="n">
        <v>0.125</v>
      </c>
      <c r="AB88" t="n">
        <v>-0.0625</v>
      </c>
      <c r="AC88" t="n">
        <v>0</v>
      </c>
      <c r="AD88" t="n">
        <v>1</v>
      </c>
      <c r="AE88" t="n">
        <v>0</v>
      </c>
      <c r="AF88" t="n">
        <v>0.5</v>
      </c>
    </row>
    <row r="89">
      <c r="A89" t="inlineStr">
        <is>
          <t>Peas</t>
        </is>
      </c>
      <c r="B89" t="inlineStr">
        <is>
          <t>Mixed with barley for the liveries of the manorial servants, 1 qr 1 bushels Sold, 2 bushels It balances.</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row>
    <row r="90">
      <c r="A90" t="inlineStr">
        <is>
          <t>Peas</t>
        </is>
      </c>
      <c r="B90" t="inlineStr">
        <is>
          <t>Total</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row>
    <row r="91">
      <c r="A91" t="inlineStr">
        <is>
          <t>Vetches</t>
        </is>
      </c>
      <c r="B91" t="inlineStr">
        <is>
          <t>(yield: three-and-a-half-fold plus 1 bushels)</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1</v>
      </c>
      <c r="Z91" t="n">
        <v>0.125</v>
      </c>
      <c r="AA91" t="n">
        <v>0.125</v>
      </c>
      <c r="AB91" t="n">
        <v>0</v>
      </c>
      <c r="AC91" t="n">
        <v>0</v>
      </c>
      <c r="AD91" t="n">
        <v>1</v>
      </c>
    </row>
    <row r="92">
      <c r="A92" t="inlineStr">
        <is>
          <t>Vetches</t>
        </is>
      </c>
      <c r="B92" t="inlineStr">
        <is>
          <t>The same render account for 8 quarters from the whole issue of vetches by struck measure.</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8</v>
      </c>
      <c r="U92" t="n">
        <v>0</v>
      </c>
      <c r="V92" t="n">
        <v>8</v>
      </c>
      <c r="W92" t="n">
        <v>0</v>
      </c>
      <c r="X92" t="n">
        <v>8</v>
      </c>
      <c r="Y92" t="n">
        <v>0</v>
      </c>
      <c r="Z92" t="n">
        <v>8</v>
      </c>
      <c r="AA92" t="n">
        <v>8</v>
      </c>
      <c r="AB92" t="n">
        <v>0</v>
      </c>
      <c r="AC92" t="n">
        <v>8</v>
      </c>
      <c r="AD92" t="n">
        <v>0</v>
      </c>
    </row>
    <row r="93">
      <c r="A93" t="inlineStr">
        <is>
          <t>Vetches</t>
        </is>
      </c>
      <c r="B93" t="inlineStr">
        <is>
          <t>3 quarters 2 bushels bought.</t>
        </is>
      </c>
      <c r="C93" t="n">
        <v>0</v>
      </c>
      <c r="D93" t="n">
        <v>0</v>
      </c>
      <c r="E93" t="n">
        <v>0</v>
      </c>
      <c r="F93" t="n">
        <v>0</v>
      </c>
      <c r="G93" t="n">
        <v>0</v>
      </c>
      <c r="H93" t="n">
        <v>3</v>
      </c>
      <c r="I93" t="n">
        <v>2</v>
      </c>
      <c r="J93" t="n">
        <v>3.25</v>
      </c>
      <c r="K93" t="n">
        <v>0</v>
      </c>
      <c r="L93" t="n">
        <v>0</v>
      </c>
      <c r="M93" t="n">
        <v>0</v>
      </c>
      <c r="N93" t="n">
        <v>0</v>
      </c>
      <c r="O93" t="n">
        <v>0</v>
      </c>
      <c r="P93" t="n">
        <v>0</v>
      </c>
      <c r="Q93" t="n">
        <v>0</v>
      </c>
      <c r="R93" t="n">
        <v>0</v>
      </c>
      <c r="S93" t="n">
        <v>0</v>
      </c>
      <c r="T93" t="n">
        <v>0</v>
      </c>
      <c r="U93" t="n">
        <v>0</v>
      </c>
      <c r="V93" t="n">
        <v>0</v>
      </c>
      <c r="W93" t="n">
        <v>0</v>
      </c>
      <c r="X93" t="n">
        <v>3</v>
      </c>
      <c r="Y93" t="n">
        <v>2</v>
      </c>
      <c r="Z93" t="n">
        <v>3.25</v>
      </c>
      <c r="AA93" t="n">
        <v>3.25</v>
      </c>
      <c r="AB93" t="n">
        <v>0</v>
      </c>
      <c r="AC93" t="n">
        <v>3</v>
      </c>
      <c r="AD93" t="n">
        <v>2</v>
      </c>
    </row>
    <row r="94">
      <c r="A94" t="inlineStr">
        <is>
          <t>Vetches</t>
        </is>
      </c>
      <c r="B94" t="inlineStr">
        <is>
          <t>Total, 11 quarters 2 bushels</t>
        </is>
      </c>
      <c r="C94" t="n">
        <v>0</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11</v>
      </c>
      <c r="Y94" t="n">
        <v>2</v>
      </c>
      <c r="Z94" t="n">
        <v>11.25</v>
      </c>
      <c r="AA94" t="n">
        <v>11.25</v>
      </c>
      <c r="AB94" t="n">
        <v>0</v>
      </c>
      <c r="AC94" t="n">
        <v>11</v>
      </c>
      <c r="AD94" t="n">
        <v>2</v>
      </c>
    </row>
    <row r="95">
      <c r="A95" t="inlineStr">
        <is>
          <t>Vetches</t>
        </is>
      </c>
      <c r="B95" t="inlineStr">
        <is>
          <t>Sown over 59 acres as they lie in la Worth' and beside Trtboddestret', 5.5 quarters.</t>
        </is>
      </c>
      <c r="C95" t="n">
        <v>0</v>
      </c>
      <c r="D95" t="n">
        <v>0</v>
      </c>
      <c r="E95" t="n">
        <v>5.5</v>
      </c>
      <c r="F95" t="n">
        <v>0</v>
      </c>
      <c r="G95" t="n">
        <v>5.5</v>
      </c>
      <c r="H95" t="n">
        <v>0</v>
      </c>
      <c r="I95" t="n">
        <v>0</v>
      </c>
      <c r="J95" t="n">
        <v>0</v>
      </c>
      <c r="K95" t="n">
        <v>0</v>
      </c>
      <c r="L95" t="n">
        <v>0</v>
      </c>
      <c r="M95" t="n">
        <v>0</v>
      </c>
      <c r="N95" t="n">
        <v>0</v>
      </c>
      <c r="O95" t="n">
        <v>0</v>
      </c>
      <c r="P95" t="n">
        <v>0</v>
      </c>
      <c r="Q95" t="n">
        <v>0</v>
      </c>
      <c r="R95" t="n">
        <v>0</v>
      </c>
      <c r="S95" t="n">
        <v>0</v>
      </c>
      <c r="T95" t="n">
        <v>0</v>
      </c>
      <c r="U95" t="n">
        <v>0</v>
      </c>
      <c r="V95" t="n">
        <v>0</v>
      </c>
      <c r="W95" t="n">
        <v>0</v>
      </c>
      <c r="X95" t="n">
        <v>5.5</v>
      </c>
      <c r="Y95" t="n">
        <v>0</v>
      </c>
      <c r="Z95" t="n">
        <v>5.5</v>
      </c>
      <c r="AA95" t="n">
        <v>5.5</v>
      </c>
      <c r="AB95" t="n">
        <v>0</v>
      </c>
      <c r="AC95" t="n">
        <v>5.5</v>
      </c>
      <c r="AD95" t="n">
        <v>0</v>
      </c>
    </row>
    <row r="96">
      <c r="A96" t="inlineStr">
        <is>
          <t>Vetches</t>
        </is>
      </c>
      <c r="B96" t="inlineStr">
        <is>
          <t>that is, 1 bushels and 1 peck an acre, less I peck in all.</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1</v>
      </c>
      <c r="Z96" t="n">
        <v>0.125</v>
      </c>
      <c r="AA96" t="n">
        <v>0.125</v>
      </c>
      <c r="AB96" t="n">
        <v>0</v>
      </c>
      <c r="AC96" t="n">
        <v>0</v>
      </c>
      <c r="AD96" t="n">
        <v>1</v>
      </c>
    </row>
    <row r="97">
      <c r="A97" t="inlineStr">
        <is>
          <t>Vetches</t>
        </is>
      </c>
      <c r="B97" t="inlineStr">
        <is>
          <t>Mixed above with barley, 2 quarters 1 bushels.</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2</v>
      </c>
      <c r="Y97" t="n">
        <v>1</v>
      </c>
      <c r="Z97" t="n">
        <v>2.125</v>
      </c>
      <c r="AA97" t="n">
        <v>2.125</v>
      </c>
      <c r="AB97" t="n">
        <v>0</v>
      </c>
      <c r="AC97" t="n">
        <v>2</v>
      </c>
      <c r="AD97" t="n">
        <v>1</v>
      </c>
    </row>
    <row r="98">
      <c r="A98" t="inlineStr">
        <is>
          <t>Vetches</t>
        </is>
      </c>
      <c r="B98" t="inlineStr">
        <is>
          <t>supporting  pigs, 1.5 quarters.</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1.5</v>
      </c>
      <c r="Y98" t="n">
        <v>0</v>
      </c>
      <c r="Z98" t="n">
        <v>1.5</v>
      </c>
      <c r="AA98" t="n">
        <v>1.5</v>
      </c>
      <c r="AB98" t="n">
        <v>0</v>
      </c>
      <c r="AC98" t="n">
        <v>1.5</v>
      </c>
      <c r="AD98" t="n">
        <v>0</v>
      </c>
    </row>
    <row r="99">
      <c r="A99" t="inlineStr">
        <is>
          <t>Vetches</t>
        </is>
      </c>
      <c r="B99" t="inlineStr">
        <is>
          <t>Sold, 2 quarters 1 bushels It balances.</t>
        </is>
      </c>
      <c r="C99" t="n">
        <v>0</v>
      </c>
      <c r="D99" t="n">
        <v>0</v>
      </c>
      <c r="E99" t="n">
        <v>0</v>
      </c>
      <c r="F99" t="n">
        <v>0</v>
      </c>
      <c r="G99" t="n">
        <v>0</v>
      </c>
      <c r="H99" t="n">
        <v>0</v>
      </c>
      <c r="I99" t="n">
        <v>0</v>
      </c>
      <c r="J99" t="n">
        <v>0</v>
      </c>
      <c r="K99" t="n">
        <v>0</v>
      </c>
      <c r="L99" t="n">
        <v>0</v>
      </c>
      <c r="M99" t="n">
        <v>0</v>
      </c>
      <c r="N99" t="n">
        <v>0</v>
      </c>
      <c r="O99" t="n">
        <v>0</v>
      </c>
      <c r="P99" t="n">
        <v>0</v>
      </c>
      <c r="Q99" t="n">
        <v>2</v>
      </c>
      <c r="R99" t="n">
        <v>1</v>
      </c>
      <c r="S99" t="n">
        <v>2.125</v>
      </c>
      <c r="T99" t="n">
        <v>0</v>
      </c>
      <c r="U99" t="n">
        <v>0</v>
      </c>
      <c r="V99" t="n">
        <v>0</v>
      </c>
      <c r="W99" t="n">
        <v>0</v>
      </c>
      <c r="X99" t="n">
        <v>2</v>
      </c>
      <c r="Y99" t="n">
        <v>1</v>
      </c>
      <c r="Z99" t="n">
        <v>2.125</v>
      </c>
      <c r="AA99" t="n">
        <v>2.125</v>
      </c>
      <c r="AB99" t="n">
        <v>0</v>
      </c>
      <c r="AC99" t="n">
        <v>2</v>
      </c>
      <c r="AD99"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8"/>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The same render account for £22 15 shilling 8.5pence from 73.5 quarters of wheat sold, at 5 shilling a quarters for 7.5 quarters 1 bushels, 5 shilling 4pence a quarters for 6.5 quarters, 6 shilling a quarters for 19 quarters 3 bushels, and 6 shilling 8pence a quarters for 40 quarters..</t>
        </is>
      </c>
      <c r="C2" t="n">
        <v>22.79</v>
      </c>
      <c r="D2" t="n">
        <v>22</v>
      </c>
      <c r="E2" t="n">
        <v>15</v>
      </c>
      <c r="F2" t="n">
        <v>8.5</v>
      </c>
      <c r="G2" t="inlineStr">
        <is>
          <t>wheat</t>
        </is>
      </c>
      <c r="H2" t="n">
        <v>73</v>
      </c>
      <c r="I2" t="n">
        <v>4</v>
      </c>
      <c r="J2" t="n">
        <v>73.5</v>
      </c>
      <c r="K2" t="n">
        <v>73.5</v>
      </c>
      <c r="L2" t="n">
        <v>0</v>
      </c>
      <c r="M2" t="n">
        <v>73.5</v>
      </c>
      <c r="N2" t="n">
        <v>0</v>
      </c>
      <c r="O2" t="n">
        <v>5</v>
      </c>
      <c r="P2" t="n">
        <v>0</v>
      </c>
      <c r="Q2" t="n">
        <v>7.5</v>
      </c>
      <c r="R2" t="n">
        <v>1</v>
      </c>
      <c r="S2" t="n">
        <v>5</v>
      </c>
      <c r="T2" t="n">
        <v>4</v>
      </c>
      <c r="U2" t="n">
        <v>6.5</v>
      </c>
      <c r="V2" t="n">
        <v>0</v>
      </c>
      <c r="W2" t="n">
        <v>6</v>
      </c>
      <c r="X2" t="n">
        <v>0</v>
      </c>
      <c r="Y2" t="n">
        <v>19</v>
      </c>
      <c r="Z2" t="n">
        <v>3</v>
      </c>
      <c r="AA2" t="n">
        <v>6</v>
      </c>
      <c r="AB2" t="n">
        <v>8</v>
      </c>
      <c r="AC2" t="n">
        <v>40</v>
      </c>
      <c r="AD2" t="n">
        <v>0</v>
      </c>
      <c r="AE2" t="n">
        <v>0.25</v>
      </c>
      <c r="AF2" t="n">
        <v>0.2666666666666667</v>
      </c>
      <c r="AG2" t="n">
        <v>0.3</v>
      </c>
      <c r="AH2" t="n">
        <v>0.3333333333333333</v>
      </c>
      <c r="AI2" t="n">
        <v>73.5</v>
      </c>
      <c r="AJ2" t="n">
        <v>0.3100056689342404</v>
      </c>
      <c r="AK2" t="n">
        <v>0.2875</v>
      </c>
      <c r="AL2" t="inlineStr">
        <is>
          <t>wheat</t>
        </is>
      </c>
    </row>
    <row r="3">
      <c r="A3" t="inlineStr">
        <is>
          <t>Sale of corn</t>
        </is>
      </c>
      <c r="B3" t="inlineStr">
        <is>
          <t>17 shilling 5.75pence from 8 quarters' bushels of curall sold, at 2 shilling a quarters for 4 quarters, and 2 shilling 4pence a quarters for 4 quarters .5 bushels.</t>
        </is>
      </c>
      <c r="C3" t="n">
        <v>0.87</v>
      </c>
      <c r="D3" t="n">
        <v>0</v>
      </c>
      <c r="E3" t="n">
        <v>17</v>
      </c>
      <c r="F3" t="n">
        <v>5.75</v>
      </c>
      <c r="G3" t="inlineStr">
        <is>
          <t>curall</t>
        </is>
      </c>
      <c r="H3" t="n">
        <v>8</v>
      </c>
      <c r="I3" t="n">
        <v>5</v>
      </c>
      <c r="J3" t="n">
        <v>8.625</v>
      </c>
      <c r="K3" t="n">
        <v>8</v>
      </c>
      <c r="L3" t="n">
        <v>0.625</v>
      </c>
      <c r="M3" t="n">
        <v>8</v>
      </c>
      <c r="N3" t="n">
        <v>0</v>
      </c>
      <c r="O3" t="n">
        <v>2</v>
      </c>
      <c r="P3" t="n">
        <v>0</v>
      </c>
      <c r="Q3" t="n">
        <v>4</v>
      </c>
      <c r="R3" t="n">
        <v>0</v>
      </c>
      <c r="S3" t="n">
        <v>2</v>
      </c>
      <c r="T3" t="n">
        <v>4</v>
      </c>
      <c r="U3" t="n">
        <v>4</v>
      </c>
      <c r="V3" t="n">
        <v>0</v>
      </c>
      <c r="Y3" t="n">
        <v>0</v>
      </c>
      <c r="Z3" t="n">
        <v>5</v>
      </c>
      <c r="AE3" t="n">
        <v>0.1</v>
      </c>
      <c r="AF3" t="n">
        <v>0.1166666666666667</v>
      </c>
      <c r="AI3" t="n">
        <v>8</v>
      </c>
      <c r="AJ3" t="n">
        <v>0.1083333333333333</v>
      </c>
      <c r="AK3" t="n">
        <v>0.1083333333333333</v>
      </c>
      <c r="AL3" t="inlineStr">
        <is>
          <t>curall</t>
        </is>
      </c>
    </row>
    <row r="4">
      <c r="A4" t="inlineStr">
        <is>
          <t>Sale of corn</t>
        </is>
      </c>
      <c r="B4" t="inlineStr">
        <is>
          <t>£1 1 shilling 3pence from 5 quarters 2.5 bushels of barley sold, at 4 shilling a quarters.</t>
        </is>
      </c>
      <c r="C4" t="n">
        <v>1.06</v>
      </c>
      <c r="D4" t="n">
        <v>1</v>
      </c>
      <c r="E4" t="n">
        <v>1</v>
      </c>
      <c r="F4" t="n">
        <v>3</v>
      </c>
      <c r="G4" t="inlineStr">
        <is>
          <t>barley</t>
        </is>
      </c>
      <c r="H4" t="n">
        <v>5</v>
      </c>
      <c r="I4" t="n">
        <v>2.5</v>
      </c>
      <c r="J4" t="n">
        <v>5.3125</v>
      </c>
      <c r="K4" t="n">
        <v>5.3125</v>
      </c>
      <c r="L4" t="n">
        <v>0</v>
      </c>
      <c r="M4" t="n">
        <v>5</v>
      </c>
      <c r="N4" t="n">
        <v>2.5</v>
      </c>
      <c r="O4" t="n">
        <v>4</v>
      </c>
      <c r="P4" t="n">
        <v>0</v>
      </c>
      <c r="AE4" t="n">
        <v>0.2</v>
      </c>
      <c r="AI4" t="n">
        <v>5.3125</v>
      </c>
      <c r="AJ4" t="n">
        <v>0.2</v>
      </c>
      <c r="AK4" t="n">
        <v>0.2</v>
      </c>
      <c r="AL4" t="inlineStr">
        <is>
          <t>barley</t>
        </is>
      </c>
    </row>
    <row r="5">
      <c r="A5" t="inlineStr">
        <is>
          <t>Sale of corn</t>
        </is>
      </c>
      <c r="B5" t="inlineStr">
        <is>
          <t>£6 13 shilling 10pence from 58.5 quarters 3 bushels, of oats sold, at 2 shilling a quarters for 31 quarters, 2 shilling 4pence a quarters for 7.5 quarters, and 2 shilling 8pence a quarters for 20 quarters 3 bushels.</t>
        </is>
      </c>
      <c r="C5" t="n">
        <v>6.69</v>
      </c>
      <c r="D5" t="n">
        <v>6</v>
      </c>
      <c r="E5" t="n">
        <v>13</v>
      </c>
      <c r="F5" t="n">
        <v>10</v>
      </c>
      <c r="G5" t="inlineStr">
        <is>
          <t>oats</t>
        </is>
      </c>
      <c r="H5" t="n">
        <v>58.5</v>
      </c>
      <c r="I5" t="n">
        <v>3</v>
      </c>
      <c r="J5" t="n">
        <v>58.875</v>
      </c>
      <c r="K5" t="n">
        <v>58.875</v>
      </c>
      <c r="L5" t="n">
        <v>0</v>
      </c>
      <c r="M5" t="n">
        <v>58.5</v>
      </c>
      <c r="N5" t="n">
        <v>3</v>
      </c>
      <c r="O5" t="n">
        <v>2</v>
      </c>
      <c r="P5" t="n">
        <v>0</v>
      </c>
      <c r="Q5" t="n">
        <v>31</v>
      </c>
      <c r="R5" t="n">
        <v>0</v>
      </c>
      <c r="S5" t="n">
        <v>2</v>
      </c>
      <c r="T5" t="n">
        <v>4</v>
      </c>
      <c r="U5" t="n">
        <v>7.5</v>
      </c>
      <c r="V5" t="n">
        <v>0</v>
      </c>
      <c r="W5" t="n">
        <v>2</v>
      </c>
      <c r="X5" t="n">
        <v>8</v>
      </c>
      <c r="Y5" t="n">
        <v>20</v>
      </c>
      <c r="Z5" t="n">
        <v>3</v>
      </c>
      <c r="AE5" t="n">
        <v>0.1</v>
      </c>
      <c r="AF5" t="n">
        <v>0.1166666666666667</v>
      </c>
      <c r="AG5" t="n">
        <v>0.1333333333333333</v>
      </c>
      <c r="AI5" t="n">
        <v>58.875</v>
      </c>
      <c r="AJ5" t="n">
        <v>0.113658881811748</v>
      </c>
      <c r="AK5" t="n">
        <v>0.1166666666666667</v>
      </c>
      <c r="AL5" t="inlineStr">
        <is>
          <t>oats</t>
        </is>
      </c>
    </row>
    <row r="6">
      <c r="A6" t="inlineStr">
        <is>
          <t>Sale of corn</t>
        </is>
      </c>
      <c r="B6" t="inlineStr">
        <is>
          <t>8pence from 2 bushels of peas sold.</t>
        </is>
      </c>
      <c r="C6" t="n">
        <v>0.03</v>
      </c>
      <c r="D6" t="n">
        <v>0</v>
      </c>
      <c r="E6" t="n">
        <v>0</v>
      </c>
      <c r="F6" t="n">
        <v>8</v>
      </c>
      <c r="G6" t="inlineStr">
        <is>
          <t>peas</t>
        </is>
      </c>
      <c r="H6" t="n">
        <v>0</v>
      </c>
      <c r="I6" t="n">
        <v>2</v>
      </c>
      <c r="J6" t="n">
        <v>0.25</v>
      </c>
      <c r="K6" t="n">
        <v>0.25</v>
      </c>
      <c r="L6" t="n">
        <v>0</v>
      </c>
      <c r="M6" t="n">
        <v>0</v>
      </c>
      <c r="N6" t="n">
        <v>2</v>
      </c>
      <c r="AE6" t="n">
        <v>0.12</v>
      </c>
      <c r="AI6" t="n">
        <v>0.25</v>
      </c>
      <c r="AJ6" t="n">
        <v>0.12</v>
      </c>
      <c r="AK6" t="n">
        <v>0.12</v>
      </c>
      <c r="AL6" t="inlineStr">
        <is>
          <t>peas</t>
        </is>
      </c>
    </row>
    <row r="7">
      <c r="A7" t="inlineStr">
        <is>
          <t>Sale of corn</t>
        </is>
      </c>
      <c r="B7" t="inlineStr">
        <is>
          <t>4 shilling 3pence from 2 quarters 1 bushels of vetches sold, at 2 shilling a quarters.</t>
        </is>
      </c>
      <c r="C7" t="n">
        <v>0.21</v>
      </c>
      <c r="D7" t="n">
        <v>0</v>
      </c>
      <c r="E7" t="n">
        <v>4</v>
      </c>
      <c r="F7" t="n">
        <v>3</v>
      </c>
      <c r="G7" t="inlineStr">
        <is>
          <t>vetches</t>
        </is>
      </c>
      <c r="H7" t="n">
        <v>2</v>
      </c>
      <c r="I7" t="n">
        <v>1</v>
      </c>
      <c r="J7" t="n">
        <v>2.125</v>
      </c>
      <c r="K7" t="n">
        <v>2.125</v>
      </c>
      <c r="L7" t="n">
        <v>0</v>
      </c>
      <c r="M7" t="n">
        <v>2</v>
      </c>
      <c r="N7" t="n">
        <v>1</v>
      </c>
      <c r="O7" t="n">
        <v>2</v>
      </c>
      <c r="P7" t="n">
        <v>0</v>
      </c>
      <c r="AE7" t="n">
        <v>0.1</v>
      </c>
      <c r="AI7" t="n">
        <v>2.125</v>
      </c>
      <c r="AJ7" t="n">
        <v>0.1</v>
      </c>
      <c r="AK7" t="n">
        <v>0.1</v>
      </c>
      <c r="AL7" t="inlineStr">
        <is>
          <t>vetches</t>
        </is>
      </c>
    </row>
    <row r="8">
      <c r="A8" t="inlineStr">
        <is>
          <t>Sale of corn</t>
        </is>
      </c>
      <c r="B8" t="inlineStr">
        <is>
          <t>Total, £31 13 shilling 2.25pence</t>
        </is>
      </c>
      <c r="C8" t="n">
        <v>31.66</v>
      </c>
      <c r="D8" t="n">
        <v>31</v>
      </c>
      <c r="E8" t="n">
        <v>13</v>
      </c>
      <c r="F8" t="n">
        <v>2.25</v>
      </c>
      <c r="H8" t="n">
        <v>0</v>
      </c>
      <c r="I8" t="n">
        <v>0</v>
      </c>
      <c r="J8" t="n">
        <v>0</v>
      </c>
      <c r="K8" t="n">
        <v>0</v>
      </c>
      <c r="L8" t="n">
        <v>0</v>
      </c>
      <c r="M8" t="n">
        <v>0</v>
      </c>
      <c r="N8" t="n">
        <v>0</v>
      </c>
      <c r="AE8" t="inlineStr">
        <is>
          <t>inf</t>
        </is>
      </c>
      <c r="AI8" t="n">
        <v>0</v>
      </c>
      <c r="AJ8" t="inlineStr">
        <is>
          <t>inf</t>
        </is>
      </c>
      <c r="AK8" t="inlineStr">
        <is>
          <t>inf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581"/>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Arrears</t>
        </is>
      </c>
      <c r="B2" t="inlineStr">
        <is>
          <t>Robert de Froyle, bailiff, and Robert Stretthe, reeve, render account for £71 18 shilling 3.5pence of arrears from the previous year.</t>
        </is>
      </c>
      <c r="C2" t="n">
        <v>71.91</v>
      </c>
      <c r="D2" t="n">
        <v>71</v>
      </c>
      <c r="E2" t="n">
        <v>18</v>
      </c>
      <c r="F2" t="n">
        <v>3.5</v>
      </c>
      <c r="H2" t="n">
        <v>0</v>
      </c>
      <c r="I2" t="n">
        <v>0</v>
      </c>
      <c r="J2" t="n">
        <v>0</v>
      </c>
      <c r="K2" t="n">
        <v>0</v>
      </c>
      <c r="L2" t="n">
        <v>0</v>
      </c>
      <c r="M2" t="n">
        <v>0</v>
      </c>
      <c r="N2" t="n">
        <v>0</v>
      </c>
    </row>
    <row r="3">
      <c r="A3" t="inlineStr">
        <is>
          <t>Arrears</t>
        </is>
      </c>
      <c r="B3" t="inlineStr">
        <is>
          <t>All delivered to Sir Geoffrey, treasurer of Wolvesey, by 1 tally, and they are quit.</t>
        </is>
      </c>
      <c r="C3" t="n">
        <v>0</v>
      </c>
      <c r="D3" t="n">
        <v>0</v>
      </c>
      <c r="E3" t="n">
        <v>0</v>
      </c>
      <c r="F3" t="n">
        <v>0</v>
      </c>
      <c r="H3" t="n">
        <v>0</v>
      </c>
      <c r="I3" t="n">
        <v>0</v>
      </c>
      <c r="J3" t="n">
        <v>0</v>
      </c>
      <c r="K3" t="n">
        <v>0</v>
      </c>
      <c r="L3" t="n">
        <v>0</v>
      </c>
      <c r="M3" t="n">
        <v>0</v>
      </c>
      <c r="N3" t="n">
        <v>0</v>
      </c>
    </row>
    <row r="4">
      <c r="A4" t="inlineStr">
        <is>
          <t>Rents</t>
        </is>
      </c>
      <c r="B4" t="inlineStr">
        <is>
          <t>The same render account for £14 10 shilling 10.75pence for all rents of assize at Christmas.</t>
        </is>
      </c>
      <c r="C4" t="n">
        <v>14.54</v>
      </c>
      <c r="D4" t="n">
        <v>14</v>
      </c>
      <c r="E4" t="n">
        <v>10</v>
      </c>
      <c r="F4" t="n">
        <v>10.75</v>
      </c>
      <c r="H4" t="n">
        <v>0</v>
      </c>
      <c r="I4" t="n">
        <v>0</v>
      </c>
      <c r="J4" t="n">
        <v>0</v>
      </c>
      <c r="K4" t="n">
        <v>0</v>
      </c>
      <c r="L4" t="n">
        <v>0</v>
      </c>
      <c r="M4" t="n">
        <v>0</v>
      </c>
      <c r="N4" t="n">
        <v>0</v>
      </c>
    </row>
    <row r="5">
      <c r="A5" t="inlineStr">
        <is>
          <t>Rents</t>
        </is>
      </c>
      <c r="B5" t="inlineStr">
        <is>
          <t>£23 8.75pence at Easter (22 April).</t>
        </is>
      </c>
      <c r="C5" t="n">
        <v>23.04</v>
      </c>
      <c r="D5" t="n">
        <v>23</v>
      </c>
      <c r="E5" t="n">
        <v>0</v>
      </c>
      <c r="F5" t="n">
        <v>8.75</v>
      </c>
      <c r="H5" t="n">
        <v>0</v>
      </c>
      <c r="I5" t="n">
        <v>0</v>
      </c>
      <c r="J5" t="n">
        <v>0</v>
      </c>
      <c r="K5" t="n">
        <v>0</v>
      </c>
      <c r="L5" t="n">
        <v>0</v>
      </c>
      <c r="M5" t="n">
        <v>0</v>
      </c>
      <c r="N5" t="n">
        <v>0</v>
      </c>
    </row>
    <row r="6">
      <c r="A6" t="inlineStr">
        <is>
          <t>Rents</t>
        </is>
      </c>
      <c r="B6" t="inlineStr">
        <is>
          <t>£14 10 shilling 10.5pence at the Nativity of St John the Baptist (24 June).</t>
        </is>
      </c>
      <c r="C6" t="n">
        <v>14.54</v>
      </c>
      <c r="D6" t="n">
        <v>14</v>
      </c>
      <c r="E6" t="n">
        <v>10</v>
      </c>
      <c r="F6" t="n">
        <v>10.5</v>
      </c>
      <c r="H6" t="n">
        <v>0</v>
      </c>
      <c r="I6" t="n">
        <v>0</v>
      </c>
      <c r="J6" t="n">
        <v>0</v>
      </c>
      <c r="K6" t="n">
        <v>0</v>
      </c>
      <c r="L6" t="n">
        <v>0</v>
      </c>
      <c r="M6" t="n">
        <v>0</v>
      </c>
      <c r="N6" t="n">
        <v>0</v>
      </c>
    </row>
    <row r="7">
      <c r="A7" t="inlineStr">
        <is>
          <t>Rents</t>
        </is>
      </c>
      <c r="B7" t="inlineStr">
        <is>
          <t>£23 19 shilling 3.5pence at Michaelmas (29 September).</t>
        </is>
      </c>
      <c r="C7" t="n">
        <v>23.96</v>
      </c>
      <c r="D7" t="n">
        <v>23</v>
      </c>
      <c r="E7" t="n">
        <v>19</v>
      </c>
      <c r="F7" t="n">
        <v>3.5</v>
      </c>
      <c r="H7" t="n">
        <v>0</v>
      </c>
      <c r="I7" t="n">
        <v>0</v>
      </c>
      <c r="J7" t="n">
        <v>0</v>
      </c>
      <c r="K7" t="n">
        <v>0</v>
      </c>
      <c r="L7" t="n">
        <v>0</v>
      </c>
      <c r="M7" t="n">
        <v>0</v>
      </c>
      <c r="N7" t="n">
        <v>0</v>
      </c>
    </row>
    <row r="8">
      <c r="A8" t="inlineStr">
        <is>
          <t>Rents</t>
        </is>
      </c>
      <c r="B8" t="inlineStr">
        <is>
          <t>Total, £76 1 shilling 9.5pence</t>
        </is>
      </c>
      <c r="C8" t="n">
        <v>76.09</v>
      </c>
      <c r="D8" t="n">
        <v>76</v>
      </c>
      <c r="E8" t="n">
        <v>1</v>
      </c>
      <c r="F8" t="n">
        <v>9.5</v>
      </c>
      <c r="H8" t="n">
        <v>0</v>
      </c>
      <c r="I8" t="n">
        <v>0</v>
      </c>
      <c r="J8" t="n">
        <v>0</v>
      </c>
      <c r="K8" t="n">
        <v>0</v>
      </c>
      <c r="L8" t="n">
        <v>0</v>
      </c>
      <c r="M8" t="n">
        <v>0</v>
      </c>
      <c r="N8" t="n">
        <v>0</v>
      </c>
    </row>
    <row r="9">
      <c r="A9" t="inlineStr">
        <is>
          <t>Quittances</t>
        </is>
      </c>
      <c r="B9" t="inlineStr">
        <is>
          <t>In quittance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beadle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1 swineherd, 1 smith, 1 hayward who kept the lord's corn and pasture and sowed the wheat and barley, 1 shepherd of wethers, and 1 keeper of ewes, 10 shilling, or 2 shilling each.</t>
        </is>
      </c>
      <c r="C11" t="n">
        <v>0.5</v>
      </c>
      <c r="D11" t="n">
        <v>0</v>
      </c>
      <c r="E11" t="n">
        <v>10</v>
      </c>
      <c r="F11" t="n">
        <v>0</v>
      </c>
      <c r="G11" t="inlineStr">
        <is>
          <t>barley, wheat</t>
        </is>
      </c>
      <c r="H11" t="n">
        <v>0</v>
      </c>
      <c r="I11" t="n">
        <v>0</v>
      </c>
      <c r="J11" t="n">
        <v>0</v>
      </c>
      <c r="K11" t="n">
        <v>0</v>
      </c>
      <c r="L11" t="n">
        <v>0</v>
      </c>
      <c r="M11" t="n">
        <v>0</v>
      </c>
      <c r="N11" t="n">
        <v>0</v>
      </c>
    </row>
    <row r="12">
      <c r="A12" t="inlineStr">
        <is>
          <t>Quittances</t>
        </is>
      </c>
      <c r="B12" t="inlineStr">
        <is>
          <t>4 ploughmen for the year, and 1 ploughman for 1 term, 8 shilling 6pence.</t>
        </is>
      </c>
      <c r="C12" t="n">
        <v>0.43</v>
      </c>
      <c r="D12" t="n">
        <v>0</v>
      </c>
      <c r="E12" t="n">
        <v>8</v>
      </c>
      <c r="F12" t="n">
        <v>6</v>
      </c>
      <c r="H12" t="n">
        <v>0</v>
      </c>
      <c r="I12" t="n">
        <v>0</v>
      </c>
      <c r="J12" t="n">
        <v>0</v>
      </c>
      <c r="K12" t="n">
        <v>0</v>
      </c>
      <c r="L12" t="n">
        <v>0</v>
      </c>
      <c r="M12" t="n">
        <v>0</v>
      </c>
      <c r="N12" t="n">
        <v>0</v>
      </c>
    </row>
    <row r="13">
      <c r="A13" t="inlineStr">
        <is>
          <t>Quittances</t>
        </is>
      </c>
      <c r="B13" t="inlineStr">
        <is>
          <t>9 workers, each of whom are bound to reap everyday at harvest-time 1 acre as it lies and after the harvest are bound to work twice a week, 18 shilling, or 2 shilling each.</t>
        </is>
      </c>
      <c r="C13" t="n">
        <v>0.9</v>
      </c>
      <c r="D13" t="n">
        <v>0</v>
      </c>
      <c r="E13" t="n">
        <v>18</v>
      </c>
      <c r="F13" t="n">
        <v>0</v>
      </c>
      <c r="H13" t="n">
        <v>0</v>
      </c>
      <c r="I13" t="n">
        <v>0</v>
      </c>
      <c r="J13" t="n">
        <v>0</v>
      </c>
      <c r="K13" t="n">
        <v>0</v>
      </c>
      <c r="L13" t="n">
        <v>0</v>
      </c>
      <c r="M13" t="n">
        <v>0</v>
      </c>
      <c r="N13" t="n">
        <v>0</v>
      </c>
    </row>
    <row r="14">
      <c r="A14" t="inlineStr">
        <is>
          <t>Quittances</t>
        </is>
      </c>
      <c r="B14" t="inlineStr">
        <is>
          <t>3 cottars for the year, each of whom are bound to reap everyday .5 acre as it lies and after the harvest are bound to work once a week, 3 shilling.</t>
        </is>
      </c>
      <c r="C14" t="n">
        <v>0.15</v>
      </c>
      <c r="D14" t="n">
        <v>0</v>
      </c>
      <c r="E14" t="n">
        <v>3</v>
      </c>
      <c r="F14" t="n">
        <v>0</v>
      </c>
      <c r="H14" t="n">
        <v>0</v>
      </c>
      <c r="I14" t="n">
        <v>0</v>
      </c>
      <c r="J14" t="n">
        <v>0</v>
      </c>
      <c r="K14" t="n">
        <v>0</v>
      </c>
      <c r="L14" t="n">
        <v>0</v>
      </c>
      <c r="M14" t="n">
        <v>0</v>
      </c>
      <c r="N14" t="n">
        <v>0</v>
      </c>
    </row>
    <row r="15">
      <c r="A15" t="inlineStr">
        <is>
          <t>Quittances</t>
        </is>
      </c>
      <c r="B15" t="inlineStr">
        <is>
          <t>2 workers who are bound to reap everyday at harvest-time 1 acre as it lies and after the harvest are bound to work twice a week with their carts, working at the lord's pleasure, besides carrying dung, 6 shilling for the year.</t>
        </is>
      </c>
      <c r="C15" t="n">
        <v>0.3</v>
      </c>
      <c r="D15" t="n">
        <v>0</v>
      </c>
      <c r="E15" t="n">
        <v>6</v>
      </c>
      <c r="F15" t="n">
        <v>0</v>
      </c>
      <c r="H15" t="n">
        <v>0</v>
      </c>
      <c r="I15" t="n">
        <v>0</v>
      </c>
      <c r="J15" t="n">
        <v>0</v>
      </c>
      <c r="K15" t="n">
        <v>0</v>
      </c>
      <c r="L15" t="n">
        <v>0</v>
      </c>
      <c r="M15" t="n">
        <v>0</v>
      </c>
      <c r="N15" t="n">
        <v>0</v>
      </c>
    </row>
    <row r="16">
      <c r="A16" t="inlineStr">
        <is>
          <t>Quittances</t>
        </is>
      </c>
      <c r="B16" t="inlineStr">
        <is>
          <t>1 granary-keeper for the year 2 shilling Total, £2 17 shilling 6pence</t>
        </is>
      </c>
      <c r="C16" t="n">
        <v>2.88</v>
      </c>
      <c r="D16" t="n">
        <v>2</v>
      </c>
      <c r="E16" t="n">
        <v>17</v>
      </c>
      <c r="F16" t="n">
        <v>6</v>
      </c>
      <c r="H16" t="n">
        <v>0</v>
      </c>
      <c r="I16" t="n">
        <v>0</v>
      </c>
      <c r="J16" t="n">
        <v>0</v>
      </c>
      <c r="K16" t="n">
        <v>0</v>
      </c>
      <c r="L16" t="n">
        <v>0</v>
      </c>
      <c r="M16" t="n">
        <v>0</v>
      </c>
      <c r="N16" t="n">
        <v>0</v>
      </c>
    </row>
    <row r="17">
      <c r="A17" t="inlineStr">
        <is>
          <t>Defaults of rent</t>
        </is>
      </c>
      <c r="B17" t="inlineStr">
        <is>
          <t>In default of the land between the Barton and garden drawn into demesne, £1 2 shilling 8pence for the year.</t>
        </is>
      </c>
      <c r="C17" t="n">
        <v>1.13</v>
      </c>
      <c r="D17" t="n">
        <v>1</v>
      </c>
      <c r="E17" t="n">
        <v>2</v>
      </c>
      <c r="F17" t="n">
        <v>8</v>
      </c>
      <c r="H17" t="n">
        <v>0</v>
      </c>
      <c r="I17" t="n">
        <v>0</v>
      </c>
      <c r="J17" t="n">
        <v>0</v>
      </c>
      <c r="K17" t="n">
        <v>0</v>
      </c>
      <c r="L17" t="n">
        <v>0</v>
      </c>
      <c r="M17" t="n">
        <v>0</v>
      </c>
      <c r="N17" t="n">
        <v>0</v>
      </c>
    </row>
    <row r="18">
      <c r="A18" t="inlineStr">
        <is>
          <t>Defaults of rent</t>
        </is>
      </c>
      <c r="B18" t="inlineStr">
        <is>
          <t>the land of Osbert de Langely, 8pence for the year.</t>
        </is>
      </c>
      <c r="C18" t="n">
        <v>0.03</v>
      </c>
      <c r="D18" t="n">
        <v>0</v>
      </c>
      <c r="E18" t="n">
        <v>0</v>
      </c>
      <c r="F18" t="n">
        <v>8</v>
      </c>
      <c r="H18" t="n">
        <v>0</v>
      </c>
      <c r="I18" t="n">
        <v>0</v>
      </c>
      <c r="J18" t="n">
        <v>0</v>
      </c>
      <c r="K18" t="n">
        <v>0</v>
      </c>
      <c r="L18" t="n">
        <v>0</v>
      </c>
      <c r="M18" t="n">
        <v>0</v>
      </c>
      <c r="N18" t="n">
        <v>0</v>
      </c>
    </row>
    <row r="19">
      <c r="A19" t="inlineStr">
        <is>
          <t>Defaults of rent</t>
        </is>
      </c>
      <c r="B19" t="inlineStr">
        <is>
          <t>the land of Richard Baton, 6pence for the year.</t>
        </is>
      </c>
      <c r="C19" t="n">
        <v>0.03</v>
      </c>
      <c r="D19" t="n">
        <v>0</v>
      </c>
      <c r="E19" t="n">
        <v>0</v>
      </c>
      <c r="F19" t="n">
        <v>6</v>
      </c>
      <c r="H19" t="n">
        <v>0</v>
      </c>
      <c r="I19" t="n">
        <v>0</v>
      </c>
      <c r="J19" t="n">
        <v>0</v>
      </c>
      <c r="K19" t="n">
        <v>0</v>
      </c>
      <c r="L19" t="n">
        <v>0</v>
      </c>
      <c r="M19" t="n">
        <v>0</v>
      </c>
      <c r="N19" t="n">
        <v>0</v>
      </c>
    </row>
    <row r="20">
      <c r="A20" t="inlineStr">
        <is>
          <t>Defaults of rent</t>
        </is>
      </c>
      <c r="B20" t="inlineStr">
        <is>
          <t>the land of Hugh son of Agnes, 6pence for the year.</t>
        </is>
      </c>
      <c r="C20" t="n">
        <v>0.03</v>
      </c>
      <c r="D20" t="n">
        <v>0</v>
      </c>
      <c r="E20" t="n">
        <v>0</v>
      </c>
      <c r="F20" t="n">
        <v>6</v>
      </c>
      <c r="H20" t="n">
        <v>0</v>
      </c>
      <c r="I20" t="n">
        <v>0</v>
      </c>
      <c r="J20" t="n">
        <v>0</v>
      </c>
      <c r="K20" t="n">
        <v>0</v>
      </c>
      <c r="L20" t="n">
        <v>0</v>
      </c>
      <c r="M20" t="n">
        <v>0</v>
      </c>
      <c r="N20" t="n">
        <v>0</v>
      </c>
    </row>
    <row r="21">
      <c r="A21" t="inlineStr">
        <is>
          <t>Defaults of rent</t>
        </is>
      </c>
      <c r="B21" t="inlineStr">
        <is>
          <t>the land of Richard Swanemere, 3pence for the year.</t>
        </is>
      </c>
      <c r="C21" t="n">
        <v>0.01</v>
      </c>
      <c r="D21" t="n">
        <v>0</v>
      </c>
      <c r="E21" t="n">
        <v>0</v>
      </c>
      <c r="F21" t="n">
        <v>3</v>
      </c>
      <c r="H21" t="n">
        <v>0</v>
      </c>
      <c r="I21" t="n">
        <v>0</v>
      </c>
      <c r="J21" t="n">
        <v>0</v>
      </c>
      <c r="K21" t="n">
        <v>0</v>
      </c>
      <c r="L21" t="n">
        <v>0</v>
      </c>
      <c r="M21" t="n">
        <v>0</v>
      </c>
      <c r="N21" t="n">
        <v>0</v>
      </c>
    </row>
    <row r="22">
      <c r="A22" t="inlineStr">
        <is>
          <t>Defaults of rent</t>
        </is>
      </c>
      <c r="B22" t="inlineStr">
        <is>
          <t>the land of the mill drawn into the park, 6 shilling 5pence for the year.</t>
        </is>
      </c>
      <c r="C22" t="n">
        <v>0.32</v>
      </c>
      <c r="D22" t="n">
        <v>0</v>
      </c>
      <c r="E22" t="n">
        <v>6</v>
      </c>
      <c r="F22" t="n">
        <v>5</v>
      </c>
      <c r="H22" t="n">
        <v>0</v>
      </c>
      <c r="I22" t="n">
        <v>0</v>
      </c>
      <c r="J22" t="n">
        <v>0</v>
      </c>
      <c r="K22" t="n">
        <v>0</v>
      </c>
      <c r="L22" t="n">
        <v>0</v>
      </c>
      <c r="M22" t="n">
        <v>0</v>
      </c>
      <c r="N22" t="n">
        <v>0</v>
      </c>
    </row>
    <row r="23">
      <c r="A23" t="inlineStr">
        <is>
          <t>Defaults of rent</t>
        </is>
      </c>
      <c r="B23" t="inlineStr">
        <is>
          <t>the rent of Peter Clericus, 1 shilling 6pence for the year.</t>
        </is>
      </c>
      <c r="C23" t="n">
        <v>0.08</v>
      </c>
      <c r="D23" t="n">
        <v>0</v>
      </c>
      <c r="E23" t="n">
        <v>1</v>
      </c>
      <c r="F23" t="n">
        <v>6</v>
      </c>
      <c r="H23" t="n">
        <v>0</v>
      </c>
      <c r="I23" t="n">
        <v>0</v>
      </c>
      <c r="J23" t="n">
        <v>0</v>
      </c>
      <c r="K23" t="n">
        <v>0</v>
      </c>
      <c r="L23" t="n">
        <v>0</v>
      </c>
      <c r="M23" t="n">
        <v>0</v>
      </c>
      <c r="N23" t="n">
        <v>0</v>
      </c>
    </row>
    <row r="24">
      <c r="A24" t="inlineStr">
        <is>
          <t>Defaults of rent</t>
        </is>
      </c>
      <c r="B24" t="inlineStr">
        <is>
          <t>Total, £1 12 shilling 6pence</t>
        </is>
      </c>
      <c r="C24" t="n">
        <v>1.62</v>
      </c>
      <c r="D24" t="n">
        <v>1</v>
      </c>
      <c r="E24" t="n">
        <v>12</v>
      </c>
      <c r="F24" t="n">
        <v>6</v>
      </c>
      <c r="H24" t="n">
        <v>0</v>
      </c>
      <c r="I24" t="n">
        <v>0</v>
      </c>
      <c r="J24" t="n">
        <v>0</v>
      </c>
      <c r="K24" t="n">
        <v>0</v>
      </c>
      <c r="L24" t="n">
        <v>0</v>
      </c>
      <c r="M24" t="n">
        <v>0</v>
      </c>
      <c r="N24" t="n">
        <v>0</v>
      </c>
    </row>
    <row r="25">
      <c r="A25" t="inlineStr">
        <is>
          <t>Total of quittances and defaults of rent</t>
        </is>
      </c>
      <c r="B25" t="inlineStr">
        <is>
          <t>Total of quittances and defaults of rent, £4 10 shilling</t>
        </is>
      </c>
      <c r="C25" t="n">
        <v>4.5</v>
      </c>
      <c r="D25" t="n">
        <v>4</v>
      </c>
      <c r="E25" t="n">
        <v>10</v>
      </c>
      <c r="F25" t="n">
        <v>0</v>
      </c>
      <c r="H25" t="n">
        <v>0</v>
      </c>
      <c r="I25" t="n">
        <v>0</v>
      </c>
      <c r="J25" t="n">
        <v>0</v>
      </c>
      <c r="K25" t="n">
        <v>0</v>
      </c>
      <c r="L25" t="n">
        <v>0</v>
      </c>
      <c r="M25" t="n">
        <v>0</v>
      </c>
      <c r="N25" t="n">
        <v>0</v>
      </c>
    </row>
    <row r="26">
      <c r="A26" t="inlineStr">
        <is>
          <t>Total of rents remaining</t>
        </is>
      </c>
      <c r="B26" t="inlineStr">
        <is>
          <t>Total of rents remaining, £71 11 s. 9.5pence</t>
        </is>
      </c>
      <c r="C26" t="n">
        <v>71</v>
      </c>
      <c r="D26" t="n">
        <v>71</v>
      </c>
      <c r="E26" t="n">
        <v>0</v>
      </c>
      <c r="F26" t="n">
        <v>0</v>
      </c>
      <c r="H26" t="n">
        <v>0</v>
      </c>
      <c r="I26" t="n">
        <v>0</v>
      </c>
      <c r="J26" t="n">
        <v>0</v>
      </c>
      <c r="K26" t="n">
        <v>0</v>
      </c>
      <c r="L26" t="n">
        <v>0</v>
      </c>
      <c r="M26" t="n">
        <v>0</v>
      </c>
      <c r="N26" t="n">
        <v>0</v>
      </c>
    </row>
    <row r="27">
      <c r="A27" t="inlineStr">
        <is>
          <t>Farm of the mills</t>
        </is>
      </c>
      <c r="B27" t="inlineStr">
        <is>
          <t>The same render account for 12 shilling for the farm of the mill of Caldekot' for the year.</t>
        </is>
      </c>
      <c r="C27" t="n">
        <v>0.6</v>
      </c>
      <c r="D27" t="n">
        <v>0</v>
      </c>
      <c r="E27" t="n">
        <v>12</v>
      </c>
      <c r="F27" t="n">
        <v>0</v>
      </c>
      <c r="H27" t="n">
        <v>0</v>
      </c>
      <c r="I27" t="n">
        <v>0</v>
      </c>
      <c r="J27" t="n">
        <v>0</v>
      </c>
      <c r="K27" t="n">
        <v>0</v>
      </c>
      <c r="L27" t="n">
        <v>0</v>
      </c>
      <c r="M27" t="n">
        <v>0</v>
      </c>
      <c r="N27" t="n">
        <v>0</v>
      </c>
    </row>
    <row r="28">
      <c r="A28" t="inlineStr">
        <is>
          <t>Farm of the mills</t>
        </is>
      </c>
      <c r="B28" t="inlineStr">
        <is>
          <t>10 shilling for the farm of the mill of Mattokeford'.</t>
        </is>
      </c>
      <c r="C28" t="n">
        <v>0.5</v>
      </c>
      <c r="D28" t="n">
        <v>0</v>
      </c>
      <c r="E28" t="n">
        <v>10</v>
      </c>
      <c r="F28" t="n">
        <v>0</v>
      </c>
      <c r="H28" t="n">
        <v>0</v>
      </c>
      <c r="I28" t="n">
        <v>0</v>
      </c>
      <c r="J28" t="n">
        <v>0</v>
      </c>
      <c r="K28" t="n">
        <v>0</v>
      </c>
      <c r="L28" t="n">
        <v>0</v>
      </c>
      <c r="M28" t="n">
        <v>0</v>
      </c>
      <c r="N28" t="n">
        <v>0</v>
      </c>
    </row>
    <row r="29">
      <c r="A29" t="inlineStr">
        <is>
          <t>Farm of the mills</t>
        </is>
      </c>
      <c r="B29" t="inlineStr">
        <is>
          <t>8 shilling for the farm of the mill of Frogg' for the year.</t>
        </is>
      </c>
      <c r="C29" t="n">
        <v>0.4</v>
      </c>
      <c r="D29" t="n">
        <v>0</v>
      </c>
      <c r="E29" t="n">
        <v>8</v>
      </c>
      <c r="F29" t="n">
        <v>0</v>
      </c>
      <c r="H29" t="n">
        <v>0</v>
      </c>
      <c r="I29" t="n">
        <v>0</v>
      </c>
      <c r="J29" t="n">
        <v>0</v>
      </c>
      <c r="K29" t="n">
        <v>0</v>
      </c>
      <c r="L29" t="n">
        <v>0</v>
      </c>
      <c r="M29" t="n">
        <v>0</v>
      </c>
      <c r="N29" t="n">
        <v>0</v>
      </c>
    </row>
    <row r="30">
      <c r="A30" t="inlineStr">
        <is>
          <t>Farm of the mills</t>
        </is>
      </c>
      <c r="B30" t="inlineStr">
        <is>
          <t>£1 for the farm of the fulling mill for the year.</t>
        </is>
      </c>
      <c r="C30" t="n">
        <v>1</v>
      </c>
      <c r="D30" t="n">
        <v>1</v>
      </c>
      <c r="E30" t="n">
        <v>0</v>
      </c>
      <c r="F30" t="n">
        <v>0</v>
      </c>
      <c r="H30" t="n">
        <v>0</v>
      </c>
      <c r="I30" t="n">
        <v>0</v>
      </c>
      <c r="J30" t="n">
        <v>0</v>
      </c>
      <c r="K30" t="n">
        <v>0</v>
      </c>
      <c r="L30" t="n">
        <v>0</v>
      </c>
      <c r="M30" t="n">
        <v>0</v>
      </c>
      <c r="N30" t="n">
        <v>0</v>
      </c>
    </row>
    <row r="31">
      <c r="A31" t="inlineStr">
        <is>
          <t>Farm of the mills</t>
        </is>
      </c>
      <c r="B31" t="inlineStr">
        <is>
          <t>Total, £2 10 shilling</t>
        </is>
      </c>
      <c r="C31" t="n">
        <v>2.5</v>
      </c>
      <c r="D31" t="n">
        <v>2</v>
      </c>
      <c r="E31" t="n">
        <v>10</v>
      </c>
      <c r="F31" t="n">
        <v>0</v>
      </c>
      <c r="H31" t="n">
        <v>0</v>
      </c>
      <c r="I31" t="n">
        <v>0</v>
      </c>
      <c r="J31" t="n">
        <v>0</v>
      </c>
      <c r="K31" t="n">
        <v>0</v>
      </c>
      <c r="L31" t="n">
        <v>0</v>
      </c>
      <c r="M31" t="n">
        <v>0</v>
      </c>
      <c r="N31" t="n">
        <v>0</v>
      </c>
    </row>
    <row r="32">
      <c r="A32" t="inlineStr">
        <is>
          <t>Cumin</t>
        </is>
      </c>
      <c r="B32" t="inlineStr">
        <is>
          <t>The same render account for 1 lb of cumin from Peter Clericus for a certain messuage.</t>
        </is>
      </c>
      <c r="C32" t="n">
        <v>0</v>
      </c>
      <c r="D32" t="n">
        <v>0</v>
      </c>
      <c r="E32" t="n">
        <v>0</v>
      </c>
      <c r="F32" t="n">
        <v>0</v>
      </c>
      <c r="H32" t="n">
        <v>0</v>
      </c>
      <c r="I32" t="n">
        <v>0</v>
      </c>
      <c r="J32" t="n">
        <v>0</v>
      </c>
      <c r="K32" t="n">
        <v>0</v>
      </c>
      <c r="L32" t="n">
        <v>0</v>
      </c>
      <c r="M32" t="n">
        <v>0</v>
      </c>
      <c r="N32" t="n">
        <v>0</v>
      </c>
    </row>
    <row r="33">
      <c r="A33" t="inlineStr">
        <is>
          <t>Cumin</t>
        </is>
      </c>
      <c r="B33" t="inlineStr">
        <is>
          <t>1 lb from John Suneburn and Thomas Canon for the same.</t>
        </is>
      </c>
      <c r="C33" t="n">
        <v>0</v>
      </c>
      <c r="D33" t="n">
        <v>0</v>
      </c>
      <c r="E33" t="n">
        <v>0</v>
      </c>
      <c r="F33" t="n">
        <v>0</v>
      </c>
      <c r="H33" t="n">
        <v>0</v>
      </c>
      <c r="I33" t="n">
        <v>0</v>
      </c>
      <c r="J33" t="n">
        <v>0</v>
      </c>
      <c r="K33" t="n">
        <v>0</v>
      </c>
      <c r="L33" t="n">
        <v>0</v>
      </c>
      <c r="M33" t="n">
        <v>0</v>
      </c>
      <c r="N33" t="n">
        <v>0</v>
      </c>
    </row>
    <row r="34">
      <c r="A34" t="inlineStr">
        <is>
          <t>Cumin</t>
        </is>
      </c>
      <c r="B34" t="inlineStr">
        <is>
          <t>1 lb from Robert Faber to have 1 plot beside the fishpond.</t>
        </is>
      </c>
      <c r="C34" t="n">
        <v>0</v>
      </c>
      <c r="D34" t="n">
        <v>0</v>
      </c>
      <c r="E34" t="n">
        <v>0</v>
      </c>
      <c r="F34" t="n">
        <v>0</v>
      </c>
      <c r="H34" t="n">
        <v>0</v>
      </c>
      <c r="I34" t="n">
        <v>0</v>
      </c>
      <c r="J34" t="n">
        <v>0</v>
      </c>
      <c r="K34" t="n">
        <v>0</v>
      </c>
      <c r="L34" t="n">
        <v>0</v>
      </c>
      <c r="M34" t="n">
        <v>0</v>
      </c>
      <c r="N34" t="n">
        <v>0</v>
      </c>
    </row>
    <row r="35">
      <c r="A35" t="inlineStr">
        <is>
          <t>Cumin</t>
        </is>
      </c>
      <c r="B35" t="inlineStr">
        <is>
          <t>1 lb from William Burg' for the same.</t>
        </is>
      </c>
      <c r="C35" t="n">
        <v>0</v>
      </c>
      <c r="D35" t="n">
        <v>0</v>
      </c>
      <c r="E35" t="n">
        <v>0</v>
      </c>
      <c r="F35" t="n">
        <v>0</v>
      </c>
      <c r="H35" t="n">
        <v>0</v>
      </c>
      <c r="I35" t="n">
        <v>0</v>
      </c>
      <c r="J35" t="n">
        <v>0</v>
      </c>
      <c r="K35" t="n">
        <v>0</v>
      </c>
      <c r="L35" t="n">
        <v>0</v>
      </c>
      <c r="M35" t="n">
        <v>0</v>
      </c>
      <c r="N35" t="n">
        <v>0</v>
      </c>
    </row>
    <row r="36">
      <c r="A36" t="inlineStr">
        <is>
          <t>Cumin</t>
        </is>
      </c>
      <c r="B36" t="inlineStr">
        <is>
          <t>1 lb from Robert Ude for the same.</t>
        </is>
      </c>
      <c r="C36" t="n">
        <v>0</v>
      </c>
      <c r="D36" t="n">
        <v>0</v>
      </c>
      <c r="E36" t="n">
        <v>0</v>
      </c>
      <c r="F36" t="n">
        <v>0</v>
      </c>
      <c r="H36" t="n">
        <v>0</v>
      </c>
      <c r="I36" t="n">
        <v>0</v>
      </c>
      <c r="J36" t="n">
        <v>0</v>
      </c>
      <c r="K36" t="n">
        <v>0</v>
      </c>
      <c r="L36" t="n">
        <v>0</v>
      </c>
      <c r="M36" t="n">
        <v>0</v>
      </c>
      <c r="N36" t="n">
        <v>0</v>
      </c>
    </row>
    <row r="37">
      <c r="A37" t="inlineStr">
        <is>
          <t>Cumin</t>
        </is>
      </c>
      <c r="B37" t="inlineStr">
        <is>
          <t>1 lb from Richard Doggecherl for the same.</t>
        </is>
      </c>
      <c r="C37" t="n">
        <v>0</v>
      </c>
      <c r="D37" t="n">
        <v>0</v>
      </c>
      <c r="E37" t="n">
        <v>0</v>
      </c>
      <c r="F37" t="n">
        <v>0</v>
      </c>
      <c r="H37" t="n">
        <v>0</v>
      </c>
      <c r="I37" t="n">
        <v>0</v>
      </c>
      <c r="J37" t="n">
        <v>0</v>
      </c>
      <c r="K37" t="n">
        <v>0</v>
      </c>
      <c r="L37" t="n">
        <v>0</v>
      </c>
      <c r="M37" t="n">
        <v>0</v>
      </c>
      <c r="N37" t="n">
        <v>0</v>
      </c>
    </row>
    <row r="38">
      <c r="A38" t="inlineStr">
        <is>
          <t>Cumin</t>
        </is>
      </c>
      <c r="B38" t="inlineStr">
        <is>
          <t>Total, 6 lbs.</t>
        </is>
      </c>
      <c r="C38" t="n">
        <v>0</v>
      </c>
      <c r="D38" t="n">
        <v>0</v>
      </c>
      <c r="E38" t="n">
        <v>0</v>
      </c>
      <c r="F38" t="n">
        <v>0</v>
      </c>
      <c r="H38" t="n">
        <v>0</v>
      </c>
      <c r="I38" t="n">
        <v>0</v>
      </c>
      <c r="J38" t="n">
        <v>0</v>
      </c>
      <c r="K38" t="n">
        <v>0</v>
      </c>
      <c r="L38" t="n">
        <v>0</v>
      </c>
      <c r="M38" t="n">
        <v>0</v>
      </c>
      <c r="N38" t="n">
        <v>0</v>
      </c>
    </row>
    <row r="39">
      <c r="A39" t="inlineStr">
        <is>
          <t>Cumin</t>
        </is>
      </c>
      <c r="B39" t="inlineStr">
        <is>
          <t>All delivered to Wolvesey.</t>
        </is>
      </c>
      <c r="C39" t="n">
        <v>0</v>
      </c>
      <c r="D39" t="n">
        <v>0</v>
      </c>
      <c r="E39" t="n">
        <v>0</v>
      </c>
      <c r="F39" t="n">
        <v>0</v>
      </c>
      <c r="H39" t="n">
        <v>0</v>
      </c>
      <c r="I39" t="n">
        <v>0</v>
      </c>
      <c r="J39" t="n">
        <v>0</v>
      </c>
      <c r="K39" t="n">
        <v>0</v>
      </c>
      <c r="L39" t="n">
        <v>0</v>
      </c>
      <c r="M39" t="n">
        <v>0</v>
      </c>
      <c r="N39" t="n">
        <v>0</v>
      </c>
    </row>
    <row r="40">
      <c r="A40" t="inlineStr">
        <is>
          <t>Pepper</t>
        </is>
      </c>
      <c r="B40" t="inlineStr">
        <is>
          <t>The same render account for 0.5 lb of pepper from Roger Everard for certain land which his father bought from Henry Philipp'.</t>
        </is>
      </c>
      <c r="C40" t="n">
        <v>0</v>
      </c>
      <c r="D40" t="n">
        <v>0</v>
      </c>
      <c r="E40" t="n">
        <v>0</v>
      </c>
      <c r="F40" t="n">
        <v>0</v>
      </c>
      <c r="H40" t="n">
        <v>0</v>
      </c>
      <c r="I40" t="n">
        <v>0</v>
      </c>
      <c r="J40" t="n">
        <v>0</v>
      </c>
      <c r="K40" t="n">
        <v>0</v>
      </c>
      <c r="L40" t="n">
        <v>0</v>
      </c>
      <c r="M40" t="n">
        <v>0</v>
      </c>
      <c r="N40" t="n">
        <v>0</v>
      </c>
    </row>
    <row r="41">
      <c r="A41" t="inlineStr">
        <is>
          <t>Pepper</t>
        </is>
      </c>
      <c r="B41" t="inlineStr">
        <is>
          <t>All delivered to Wolvesey.</t>
        </is>
      </c>
      <c r="C41" t="n">
        <v>0</v>
      </c>
      <c r="D41" t="n">
        <v>0</v>
      </c>
      <c r="E41" t="n">
        <v>0</v>
      </c>
      <c r="F41" t="n">
        <v>0</v>
      </c>
      <c r="H41" t="n">
        <v>0</v>
      </c>
      <c r="I41" t="n">
        <v>0</v>
      </c>
      <c r="J41" t="n">
        <v>0</v>
      </c>
      <c r="K41" t="n">
        <v>0</v>
      </c>
      <c r="L41" t="n">
        <v>0</v>
      </c>
      <c r="M41" t="n">
        <v>0</v>
      </c>
      <c r="N41" t="n">
        <v>0</v>
      </c>
    </row>
    <row r="42">
      <c r="A42" t="inlineStr">
        <is>
          <t>Annual recognizance</t>
        </is>
      </c>
      <c r="B42" t="inlineStr">
        <is>
          <t>The same render account for 6pence from Adam de Marwell' for annual recognizance.</t>
        </is>
      </c>
      <c r="C42" t="n">
        <v>0.03</v>
      </c>
      <c r="D42" t="n">
        <v>0</v>
      </c>
      <c r="E42" t="n">
        <v>0</v>
      </c>
      <c r="F42" t="n">
        <v>6</v>
      </c>
      <c r="H42" t="n">
        <v>0</v>
      </c>
      <c r="I42" t="n">
        <v>0</v>
      </c>
      <c r="J42" t="n">
        <v>0</v>
      </c>
      <c r="K42" t="n">
        <v>0</v>
      </c>
      <c r="L42" t="n">
        <v>0</v>
      </c>
      <c r="M42" t="n">
        <v>0</v>
      </c>
      <c r="N42" t="n">
        <v>0</v>
      </c>
    </row>
    <row r="43">
      <c r="A43" t="inlineStr">
        <is>
          <t>Annual recognizance</t>
        </is>
      </c>
      <c r="B43" t="inlineStr">
        <is>
          <t>6pence from Geoffrey le Warernyr for the same.</t>
        </is>
      </c>
      <c r="C43" t="n">
        <v>0.03</v>
      </c>
      <c r="D43" t="n">
        <v>0</v>
      </c>
      <c r="E43" t="n">
        <v>0</v>
      </c>
      <c r="F43" t="n">
        <v>6</v>
      </c>
      <c r="H43" t="n">
        <v>0</v>
      </c>
      <c r="I43" t="n">
        <v>0</v>
      </c>
      <c r="J43" t="n">
        <v>0</v>
      </c>
      <c r="K43" t="n">
        <v>0</v>
      </c>
      <c r="L43" t="n">
        <v>0</v>
      </c>
      <c r="M43" t="n">
        <v>0</v>
      </c>
      <c r="N43" t="n">
        <v>0</v>
      </c>
    </row>
    <row r="44">
      <c r="A44" t="inlineStr">
        <is>
          <t>Annual recognizance</t>
        </is>
      </c>
      <c r="B44" t="inlineStr">
        <is>
          <t>6pence from Richard de Deily, clerk,1 whilst he wishes to remain outside the manor.</t>
        </is>
      </c>
      <c r="C44" t="n">
        <v>0.03</v>
      </c>
      <c r="D44" t="n">
        <v>0</v>
      </c>
      <c r="E44" t="n">
        <v>0</v>
      </c>
      <c r="F44" t="n">
        <v>6</v>
      </c>
      <c r="H44" t="n">
        <v>0</v>
      </c>
      <c r="I44" t="n">
        <v>0</v>
      </c>
      <c r="J44" t="n">
        <v>0</v>
      </c>
      <c r="K44" t="n">
        <v>0</v>
      </c>
      <c r="L44" t="n">
        <v>0</v>
      </c>
      <c r="M44" t="n">
        <v>0</v>
      </c>
      <c r="N44" t="n">
        <v>0</v>
      </c>
    </row>
    <row r="45">
      <c r="A45" t="inlineStr">
        <is>
          <t>Annual recognizance</t>
        </is>
      </c>
      <c r="B45" t="inlineStr">
        <is>
          <t>6pence from John Pyk for annual recognizance.</t>
        </is>
      </c>
      <c r="C45" t="n">
        <v>0.03</v>
      </c>
      <c r="D45" t="n">
        <v>0</v>
      </c>
      <c r="E45" t="n">
        <v>0</v>
      </c>
      <c r="F45" t="n">
        <v>6</v>
      </c>
      <c r="H45" t="n">
        <v>0</v>
      </c>
      <c r="I45" t="n">
        <v>0</v>
      </c>
      <c r="J45" t="n">
        <v>0</v>
      </c>
      <c r="K45" t="n">
        <v>0</v>
      </c>
      <c r="L45" t="n">
        <v>0</v>
      </c>
      <c r="M45" t="n">
        <v>0</v>
      </c>
      <c r="N45" t="n">
        <v>0</v>
      </c>
    </row>
    <row r="46">
      <c r="A46" t="inlineStr">
        <is>
          <t>Annual recognizance</t>
        </is>
      </c>
      <c r="B46" t="inlineStr">
        <is>
          <t>6pence from Geoffrey de Ecclesia for the same.</t>
        </is>
      </c>
      <c r="C46" t="n">
        <v>0.03</v>
      </c>
      <c r="D46" t="n">
        <v>0</v>
      </c>
      <c r="E46" t="n">
        <v>0</v>
      </c>
      <c r="F46" t="n">
        <v>6</v>
      </c>
      <c r="H46" t="n">
        <v>0</v>
      </c>
      <c r="I46" t="n">
        <v>0</v>
      </c>
      <c r="J46" t="n">
        <v>0</v>
      </c>
      <c r="K46" t="n">
        <v>0</v>
      </c>
      <c r="L46" t="n">
        <v>0</v>
      </c>
      <c r="M46" t="n">
        <v>0</v>
      </c>
      <c r="N46" t="n">
        <v>0</v>
      </c>
    </row>
    <row r="47">
      <c r="A47" t="inlineStr">
        <is>
          <t>Annual recognizance</t>
        </is>
      </c>
      <c r="B47" t="inlineStr">
        <is>
          <t>6pence from Henry Wldred' for not being in a tithing.</t>
        </is>
      </c>
      <c r="C47" t="n">
        <v>0.03</v>
      </c>
      <c r="D47" t="n">
        <v>0</v>
      </c>
      <c r="E47" t="n">
        <v>0</v>
      </c>
      <c r="F47" t="n">
        <v>6</v>
      </c>
      <c r="H47" t="n">
        <v>0</v>
      </c>
      <c r="I47" t="n">
        <v>0</v>
      </c>
      <c r="J47" t="n">
        <v>0</v>
      </c>
      <c r="K47" t="n">
        <v>0</v>
      </c>
      <c r="L47" t="n">
        <v>0</v>
      </c>
      <c r="M47" t="n">
        <v>0</v>
      </c>
      <c r="N47" t="n">
        <v>0</v>
      </c>
    </row>
    <row r="48">
      <c r="A48" t="inlineStr">
        <is>
          <t>Annual recognizance</t>
        </is>
      </c>
      <c r="B48" t="inlineStr">
        <is>
          <t>3pence from John, son of Robert Marescal, for annual recognizance.</t>
        </is>
      </c>
      <c r="C48" t="n">
        <v>0.01</v>
      </c>
      <c r="D48" t="n">
        <v>0</v>
      </c>
      <c r="E48" t="n">
        <v>0</v>
      </c>
      <c r="F48" t="n">
        <v>3</v>
      </c>
      <c r="H48" t="n">
        <v>0</v>
      </c>
      <c r="I48" t="n">
        <v>0</v>
      </c>
      <c r="J48" t="n">
        <v>0</v>
      </c>
      <c r="K48" t="n">
        <v>0</v>
      </c>
      <c r="L48" t="n">
        <v>0</v>
      </c>
      <c r="M48" t="n">
        <v>0</v>
      </c>
      <c r="N48" t="n">
        <v>0</v>
      </c>
    </row>
    <row r="49">
      <c r="A49" t="inlineStr">
        <is>
          <t>Annual recognizance</t>
        </is>
      </c>
      <c r="B49" t="inlineStr">
        <is>
          <t>3pence from John Gyles for no longer being prosecuted by the tithing.</t>
        </is>
      </c>
      <c r="C49" t="n">
        <v>0.01</v>
      </c>
      <c r="D49" t="n">
        <v>0</v>
      </c>
      <c r="E49" t="n">
        <v>0</v>
      </c>
      <c r="F49" t="n">
        <v>3</v>
      </c>
      <c r="H49" t="n">
        <v>0</v>
      </c>
      <c r="I49" t="n">
        <v>0</v>
      </c>
      <c r="J49" t="n">
        <v>0</v>
      </c>
      <c r="K49" t="n">
        <v>0</v>
      </c>
      <c r="L49" t="n">
        <v>0</v>
      </c>
      <c r="M49" t="n">
        <v>0</v>
      </c>
      <c r="N49" t="n">
        <v>0</v>
      </c>
    </row>
    <row r="50">
      <c r="A50" t="inlineStr">
        <is>
          <t>Annual recognizance</t>
        </is>
      </c>
      <c r="B50" t="inlineStr">
        <is>
          <t>3pence from John Smermongar' for the same.</t>
        </is>
      </c>
      <c r="C50" t="n">
        <v>0.01</v>
      </c>
      <c r="D50" t="n">
        <v>0</v>
      </c>
      <c r="E50" t="n">
        <v>0</v>
      </c>
      <c r="F50" t="n">
        <v>3</v>
      </c>
      <c r="H50" t="n">
        <v>0</v>
      </c>
      <c r="I50" t="n">
        <v>0</v>
      </c>
      <c r="J50" t="n">
        <v>0</v>
      </c>
      <c r="K50" t="n">
        <v>0</v>
      </c>
      <c r="L50" t="n">
        <v>0</v>
      </c>
      <c r="M50" t="n">
        <v>0</v>
      </c>
      <c r="N50" t="n">
        <v>0</v>
      </c>
    </row>
    <row r="51">
      <c r="A51" t="inlineStr">
        <is>
          <t>Annual recognizance</t>
        </is>
      </c>
      <c r="B51" t="inlineStr">
        <is>
          <t>6pence from William de Bottely for no longer being prosecuted for tithingpenny, but he will come to court for the two law-days only, and this during the lord's pleasure.</t>
        </is>
      </c>
      <c r="C51" t="n">
        <v>0.03</v>
      </c>
      <c r="D51" t="n">
        <v>0</v>
      </c>
      <c r="E51" t="n">
        <v>0</v>
      </c>
      <c r="F51" t="n">
        <v>6</v>
      </c>
      <c r="H51" t="n">
        <v>0</v>
      </c>
      <c r="I51" t="n">
        <v>0</v>
      </c>
      <c r="J51" t="n">
        <v>0</v>
      </c>
      <c r="K51" t="n">
        <v>0</v>
      </c>
      <c r="L51" t="n">
        <v>0</v>
      </c>
      <c r="M51" t="n">
        <v>0</v>
      </c>
      <c r="N51" t="n">
        <v>0</v>
      </c>
    </row>
    <row r="52">
      <c r="A52" t="inlineStr">
        <is>
          <t>Annual recognizance</t>
        </is>
      </c>
      <c r="B52" t="inlineStr">
        <is>
          <t>3pence from Henry Burden for annual recognizance.</t>
        </is>
      </c>
      <c r="C52" t="n">
        <v>0.01</v>
      </c>
      <c r="D52" t="n">
        <v>0</v>
      </c>
      <c r="E52" t="n">
        <v>0</v>
      </c>
      <c r="F52" t="n">
        <v>3</v>
      </c>
      <c r="H52" t="n">
        <v>0</v>
      </c>
      <c r="I52" t="n">
        <v>0</v>
      </c>
      <c r="J52" t="n">
        <v>0</v>
      </c>
      <c r="K52" t="n">
        <v>0</v>
      </c>
      <c r="L52" t="n">
        <v>0</v>
      </c>
      <c r="M52" t="n">
        <v>0</v>
      </c>
      <c r="N52" t="n">
        <v>0</v>
      </c>
    </row>
    <row r="53">
      <c r="A53" t="inlineStr">
        <is>
          <t>Annual recognizance</t>
        </is>
      </c>
      <c r="B53" t="inlineStr">
        <is>
          <t>Total, 4 shilling 6pence</t>
        </is>
      </c>
      <c r="C53" t="n">
        <v>0.23</v>
      </c>
      <c r="D53" t="n">
        <v>0</v>
      </c>
      <c r="E53" t="n">
        <v>4</v>
      </c>
      <c r="F53" t="n">
        <v>6</v>
      </c>
      <c r="H53" t="n">
        <v>0</v>
      </c>
      <c r="I53" t="n">
        <v>0</v>
      </c>
      <c r="J53" t="n">
        <v>0</v>
      </c>
      <c r="K53" t="n">
        <v>0</v>
      </c>
      <c r="L53" t="n">
        <v>0</v>
      </c>
      <c r="M53" t="n">
        <v>0</v>
      </c>
      <c r="N53" t="n">
        <v>0</v>
      </c>
    </row>
    <row r="54">
      <c r="A54" t="inlineStr">
        <is>
          <t>Issues of the manor</t>
        </is>
      </c>
      <c r="B54" t="inlineStr">
        <is>
          <t>The same render account for £2 12 shilling 7pence from pannage of pigs within this year.</t>
        </is>
      </c>
      <c r="C54" t="n">
        <v>2.63</v>
      </c>
      <c r="D54" t="n">
        <v>2</v>
      </c>
      <c r="E54" t="n">
        <v>12</v>
      </c>
      <c r="F54" t="n">
        <v>7</v>
      </c>
      <c r="H54" t="n">
        <v>0</v>
      </c>
      <c r="I54" t="n">
        <v>0</v>
      </c>
      <c r="J54" t="n">
        <v>0</v>
      </c>
      <c r="K54" t="n">
        <v>0</v>
      </c>
      <c r="L54" t="n">
        <v>0</v>
      </c>
      <c r="M54" t="n">
        <v>0</v>
      </c>
      <c r="N54" t="n">
        <v>0</v>
      </c>
    </row>
    <row r="55">
      <c r="A55" t="inlineStr">
        <is>
          <t>Issues of the manor</t>
        </is>
      </c>
      <c r="B55" t="inlineStr">
        <is>
          <t>nothing from foreign pannage of pigs this year.</t>
        </is>
      </c>
      <c r="C55" t="n">
        <v>0</v>
      </c>
      <c r="D55" t="n">
        <v>0</v>
      </c>
      <c r="E55" t="n">
        <v>0</v>
      </c>
      <c r="F55" t="n">
        <v>0</v>
      </c>
      <c r="H55" t="n">
        <v>0</v>
      </c>
      <c r="I55" t="n">
        <v>0</v>
      </c>
      <c r="J55" t="n">
        <v>0</v>
      </c>
      <c r="K55" t="n">
        <v>0</v>
      </c>
      <c r="L55" t="n">
        <v>0</v>
      </c>
      <c r="M55" t="n">
        <v>0</v>
      </c>
      <c r="N55" t="n">
        <v>0</v>
      </c>
    </row>
    <row r="56">
      <c r="A56" t="inlineStr">
        <is>
          <t>Issues of the manor</t>
        </is>
      </c>
      <c r="B56" t="inlineStr">
        <is>
          <t>£5 3 shilling 2pence from pannage of pigs in the park this year.</t>
        </is>
      </c>
      <c r="C56" t="n">
        <v>5.16</v>
      </c>
      <c r="D56" t="n">
        <v>5</v>
      </c>
      <c r="E56" t="n">
        <v>3</v>
      </c>
      <c r="F56" t="n">
        <v>2</v>
      </c>
      <c r="H56" t="n">
        <v>0</v>
      </c>
      <c r="I56" t="n">
        <v>0</v>
      </c>
      <c r="J56" t="n">
        <v>0</v>
      </c>
      <c r="K56" t="n">
        <v>0</v>
      </c>
      <c r="L56" t="n">
        <v>0</v>
      </c>
      <c r="M56" t="n">
        <v>0</v>
      </c>
      <c r="N56" t="n">
        <v>0</v>
      </c>
    </row>
    <row r="57">
      <c r="A57" t="inlineStr">
        <is>
          <t>Issues of the manor</t>
        </is>
      </c>
      <c r="B57" t="inlineStr">
        <is>
          <t>£5 15 shilling 6pence from the agistment of livestock in the park, as made clear in the details.</t>
        </is>
      </c>
      <c r="C57" t="n">
        <v>5.78</v>
      </c>
      <c r="D57" t="n">
        <v>5</v>
      </c>
      <c r="E57" t="n">
        <v>15</v>
      </c>
      <c r="F57" t="n">
        <v>6</v>
      </c>
      <c r="H57" t="n">
        <v>0</v>
      </c>
      <c r="I57" t="n">
        <v>0</v>
      </c>
      <c r="J57" t="n">
        <v>0</v>
      </c>
      <c r="K57" t="n">
        <v>0</v>
      </c>
      <c r="L57" t="n">
        <v>0</v>
      </c>
      <c r="M57" t="n">
        <v>0</v>
      </c>
      <c r="N57" t="n">
        <v>0</v>
      </c>
    </row>
    <row r="58">
      <c r="A58" t="inlineStr">
        <is>
          <t>Issues of the manor</t>
        </is>
      </c>
      <c r="B58" t="inlineStr">
        <is>
          <t>8 shilling from 1 old plough-horse sold.</t>
        </is>
      </c>
      <c r="C58" t="n">
        <v>0.4</v>
      </c>
      <c r="D58" t="n">
        <v>0</v>
      </c>
      <c r="E58" t="n">
        <v>8</v>
      </c>
      <c r="F58" t="n">
        <v>0</v>
      </c>
      <c r="H58" t="n">
        <v>0</v>
      </c>
      <c r="I58" t="n">
        <v>0</v>
      </c>
      <c r="J58" t="n">
        <v>0</v>
      </c>
      <c r="K58" t="n">
        <v>0</v>
      </c>
      <c r="L58" t="n">
        <v>0</v>
      </c>
      <c r="M58" t="n">
        <v>0</v>
      </c>
      <c r="N58" t="n">
        <v>0</v>
      </c>
    </row>
    <row r="59">
      <c r="A59" t="inlineStr">
        <is>
          <t>Issues of the manor</t>
        </is>
      </c>
      <c r="B59" t="inlineStr">
        <is>
          <t>3 shilling 4pence from 1 feeble plough-horse from the heriot of John Schore sold.</t>
        </is>
      </c>
      <c r="C59" t="n">
        <v>0.17</v>
      </c>
      <c r="D59" t="n">
        <v>0</v>
      </c>
      <c r="E59" t="n">
        <v>3</v>
      </c>
      <c r="F59" t="n">
        <v>4</v>
      </c>
      <c r="H59" t="n">
        <v>0</v>
      </c>
      <c r="I59" t="n">
        <v>0</v>
      </c>
      <c r="J59" t="n">
        <v>0</v>
      </c>
      <c r="K59" t="n">
        <v>0</v>
      </c>
      <c r="L59" t="n">
        <v>0</v>
      </c>
      <c r="M59" t="n">
        <v>0</v>
      </c>
      <c r="N59" t="n">
        <v>0</v>
      </c>
    </row>
    <row r="60">
      <c r="A60" t="inlineStr">
        <is>
          <t>Issues of the manor</t>
        </is>
      </c>
      <c r="B60" t="inlineStr">
        <is>
          <t>£2 16 shilling from 6 old oxen sold, at 8 shilling for 1, 9 shilling each for 2, and 10 shilling each for 3.</t>
        </is>
      </c>
      <c r="C60" t="n">
        <v>2.8</v>
      </c>
      <c r="D60" t="n">
        <v>2</v>
      </c>
      <c r="E60" t="n">
        <v>16</v>
      </c>
      <c r="F60" t="n">
        <v>0</v>
      </c>
      <c r="H60" t="n">
        <v>0</v>
      </c>
      <c r="I60" t="n">
        <v>0</v>
      </c>
      <c r="J60" t="n">
        <v>0</v>
      </c>
      <c r="K60" t="n">
        <v>0</v>
      </c>
      <c r="L60" t="n">
        <v>0</v>
      </c>
      <c r="M60" t="n">
        <v>0</v>
      </c>
      <c r="N60" t="n">
        <v>0</v>
      </c>
    </row>
    <row r="61">
      <c r="A61" t="inlineStr">
        <is>
          <t>Issues of the manor</t>
        </is>
      </c>
      <c r="B61" t="inlineStr">
        <is>
          <t>£1 16 shilling from 6 feeble cows sold, at 6 shilling each.</t>
        </is>
      </c>
      <c r="C61" t="n">
        <v>1.8</v>
      </c>
      <c r="D61" t="n">
        <v>1</v>
      </c>
      <c r="E61" t="n">
        <v>16</v>
      </c>
      <c r="F61" t="n">
        <v>0</v>
      </c>
      <c r="H61" t="n">
        <v>0</v>
      </c>
      <c r="I61" t="n">
        <v>0</v>
      </c>
      <c r="J61" t="n">
        <v>0</v>
      </c>
      <c r="K61" t="n">
        <v>0</v>
      </c>
      <c r="L61" t="n">
        <v>0</v>
      </c>
      <c r="M61" t="n">
        <v>0</v>
      </c>
      <c r="N61" t="n">
        <v>0</v>
      </c>
    </row>
    <row r="62">
      <c r="A62" t="inlineStr">
        <is>
          <t>Issues of the manor</t>
        </is>
      </c>
      <c r="B62" t="inlineStr">
        <is>
          <t>6 shilling from 6 late-born calves sold, at 1 shilling each.</t>
        </is>
      </c>
      <c r="C62" t="n">
        <v>0.3</v>
      </c>
      <c r="D62" t="n">
        <v>0</v>
      </c>
      <c r="E62" t="n">
        <v>6</v>
      </c>
      <c r="F62" t="n">
        <v>0</v>
      </c>
      <c r="H62" t="n">
        <v>0</v>
      </c>
      <c r="I62" t="n">
        <v>0</v>
      </c>
      <c r="J62" t="n">
        <v>0</v>
      </c>
      <c r="K62" t="n">
        <v>0</v>
      </c>
      <c r="L62" t="n">
        <v>0</v>
      </c>
      <c r="M62" t="n">
        <v>0</v>
      </c>
      <c r="N62" t="n">
        <v>0</v>
      </c>
    </row>
    <row r="63">
      <c r="A63" t="inlineStr">
        <is>
          <t>Issues of the manor</t>
        </is>
      </c>
      <c r="B63" t="inlineStr">
        <is>
          <t>7 shilling from 7 old wethers sold at Martinmas.</t>
        </is>
      </c>
      <c r="C63" t="n">
        <v>0.35</v>
      </c>
      <c r="D63" t="n">
        <v>0</v>
      </c>
      <c r="E63" t="n">
        <v>7</v>
      </c>
      <c r="F63" t="n">
        <v>0</v>
      </c>
      <c r="H63" t="n">
        <v>0</v>
      </c>
      <c r="I63" t="n">
        <v>0</v>
      </c>
      <c r="J63" t="n">
        <v>0</v>
      </c>
      <c r="K63" t="n">
        <v>0</v>
      </c>
      <c r="L63" t="n">
        <v>0</v>
      </c>
      <c r="M63" t="n">
        <v>0</v>
      </c>
      <c r="N63" t="n">
        <v>0</v>
      </c>
    </row>
    <row r="64">
      <c r="A64" t="inlineStr">
        <is>
          <t>Issues of the manor</t>
        </is>
      </c>
      <c r="B64" t="inlineStr">
        <is>
          <t>5 shilling 10pence from 7 old ewes sold at the same feast.</t>
        </is>
      </c>
      <c r="C64" t="n">
        <v>0.29</v>
      </c>
      <c r="D64" t="n">
        <v>0</v>
      </c>
      <c r="E64" t="n">
        <v>5</v>
      </c>
      <c r="F64" t="n">
        <v>10</v>
      </c>
      <c r="H64" t="n">
        <v>0</v>
      </c>
      <c r="I64" t="n">
        <v>0</v>
      </c>
      <c r="J64" t="n">
        <v>0</v>
      </c>
      <c r="K64" t="n">
        <v>0</v>
      </c>
      <c r="L64" t="n">
        <v>0</v>
      </c>
      <c r="M64" t="n">
        <v>0</v>
      </c>
      <c r="N64" t="n">
        <v>0</v>
      </c>
    </row>
    <row r="65">
      <c r="A65" t="inlineStr">
        <is>
          <t>Issues of the manor</t>
        </is>
      </c>
      <c r="B65" t="inlineStr">
        <is>
          <t>13 shilling from 26 hoggs sold, at 6pence each.</t>
        </is>
      </c>
      <c r="C65" t="n">
        <v>0.68</v>
      </c>
      <c r="D65" t="n">
        <v>0</v>
      </c>
      <c r="E65" t="n">
        <v>13</v>
      </c>
      <c r="F65" t="n">
        <v>6</v>
      </c>
      <c r="H65" t="n">
        <v>0</v>
      </c>
      <c r="I65" t="n">
        <v>0</v>
      </c>
      <c r="J65" t="n">
        <v>0</v>
      </c>
      <c r="K65" t="n">
        <v>0</v>
      </c>
      <c r="L65" t="n">
        <v>0</v>
      </c>
      <c r="M65" t="n">
        <v>0</v>
      </c>
      <c r="N65" t="n">
        <v>0</v>
      </c>
    </row>
    <row r="66">
      <c r="A66" t="inlineStr">
        <is>
          <t>Issues of the manor</t>
        </is>
      </c>
      <c r="B66" t="inlineStr">
        <is>
          <t>4 shilling from 12 feeble lambs sold, at 4pence each.</t>
        </is>
      </c>
      <c r="C66" t="n">
        <v>0.22</v>
      </c>
      <c r="D66" t="n">
        <v>0</v>
      </c>
      <c r="E66" t="n">
        <v>4</v>
      </c>
      <c r="F66" t="n">
        <v>4</v>
      </c>
      <c r="H66" t="n">
        <v>0</v>
      </c>
      <c r="I66" t="n">
        <v>0</v>
      </c>
      <c r="J66" t="n">
        <v>0</v>
      </c>
      <c r="K66" t="n">
        <v>0</v>
      </c>
      <c r="L66" t="n">
        <v>0</v>
      </c>
      <c r="M66" t="n">
        <v>0</v>
      </c>
      <c r="N66" t="n">
        <v>0</v>
      </c>
    </row>
    <row r="67">
      <c r="A67" t="inlineStr">
        <is>
          <t>Issues of the manor</t>
        </is>
      </c>
      <c r="B67" t="inlineStr">
        <is>
          <t>1 shilling from the flesh sold of 1 boar which suddenly died.</t>
        </is>
      </c>
      <c r="C67" t="n">
        <v>0.05</v>
      </c>
      <c r="D67" t="n">
        <v>0</v>
      </c>
      <c r="E67" t="n">
        <v>1</v>
      </c>
      <c r="F67" t="n">
        <v>0</v>
      </c>
      <c r="H67" t="n">
        <v>0</v>
      </c>
      <c r="I67" t="n">
        <v>0</v>
      </c>
      <c r="J67" t="n">
        <v>0</v>
      </c>
      <c r="K67" t="n">
        <v>0</v>
      </c>
      <c r="L67" t="n">
        <v>0</v>
      </c>
      <c r="M67" t="n">
        <v>0</v>
      </c>
      <c r="N67" t="n">
        <v>0</v>
      </c>
    </row>
    <row r="68">
      <c r="A68" t="inlineStr">
        <is>
          <t>Issues of the manor</t>
        </is>
      </c>
      <c r="B68" t="inlineStr">
        <is>
          <t>12 shilling 6pence from 5 pigs sold, at 2 shilling 6pence each.</t>
        </is>
      </c>
      <c r="C68" t="n">
        <v>0.62</v>
      </c>
      <c r="D68" t="n">
        <v>0</v>
      </c>
      <c r="E68" t="n">
        <v>12</v>
      </c>
      <c r="F68" t="n">
        <v>6</v>
      </c>
      <c r="H68" t="n">
        <v>0</v>
      </c>
      <c r="I68" t="n">
        <v>0</v>
      </c>
      <c r="J68" t="n">
        <v>0</v>
      </c>
      <c r="K68" t="n">
        <v>0</v>
      </c>
      <c r="L68" t="n">
        <v>0</v>
      </c>
      <c r="M68" t="n">
        <v>0</v>
      </c>
      <c r="N68" t="n">
        <v>0</v>
      </c>
    </row>
    <row r="69">
      <c r="A69" t="inlineStr">
        <is>
          <t>Issues of the manor</t>
        </is>
      </c>
      <c r="B69" t="inlineStr">
        <is>
          <t>6pence from the heriot of William Edmund because he did not have 1 beast.</t>
        </is>
      </c>
      <c r="C69" t="n">
        <v>0.03</v>
      </c>
      <c r="D69" t="n">
        <v>0</v>
      </c>
      <c r="E69" t="n">
        <v>0</v>
      </c>
      <c r="F69" t="n">
        <v>6</v>
      </c>
      <c r="H69" t="n">
        <v>0</v>
      </c>
      <c r="I69" t="n">
        <v>0</v>
      </c>
      <c r="J69" t="n">
        <v>0</v>
      </c>
      <c r="K69" t="n">
        <v>0</v>
      </c>
      <c r="L69" t="n">
        <v>0</v>
      </c>
      <c r="M69" t="n">
        <v>0</v>
      </c>
      <c r="N69" t="n">
        <v>0</v>
      </c>
    </row>
    <row r="70">
      <c r="A70" t="inlineStr">
        <is>
          <t>Issues of the manor</t>
        </is>
      </c>
      <c r="B70" t="inlineStr">
        <is>
          <t>6pence from the heriot of William Faber of Bursledon for the same.</t>
        </is>
      </c>
      <c r="C70" t="n">
        <v>0.03</v>
      </c>
      <c r="D70" t="n">
        <v>0</v>
      </c>
      <c r="E70" t="n">
        <v>0</v>
      </c>
      <c r="F70" t="n">
        <v>6</v>
      </c>
      <c r="H70" t="n">
        <v>0</v>
      </c>
      <c r="I70" t="n">
        <v>0</v>
      </c>
      <c r="J70" t="n">
        <v>0</v>
      </c>
      <c r="K70" t="n">
        <v>0</v>
      </c>
      <c r="L70" t="n">
        <v>0</v>
      </c>
      <c r="M70" t="n">
        <v>0</v>
      </c>
      <c r="N70" t="n">
        <v>0</v>
      </c>
    </row>
    <row r="71">
      <c r="A71" t="inlineStr">
        <is>
          <t>Issues of the manor</t>
        </is>
      </c>
      <c r="B71" t="inlineStr">
        <is>
          <t>6pence from the heriot of Juliana Brond' for the same.</t>
        </is>
      </c>
      <c r="C71" t="n">
        <v>0.03</v>
      </c>
      <c r="D71" t="n">
        <v>0</v>
      </c>
      <c r="E71" t="n">
        <v>0</v>
      </c>
      <c r="F71" t="n">
        <v>6</v>
      </c>
      <c r="H71" t="n">
        <v>0</v>
      </c>
      <c r="I71" t="n">
        <v>0</v>
      </c>
      <c r="J71" t="n">
        <v>0</v>
      </c>
      <c r="K71" t="n">
        <v>0</v>
      </c>
      <c r="L71" t="n">
        <v>0</v>
      </c>
      <c r="M71" t="n">
        <v>0</v>
      </c>
      <c r="N71" t="n">
        <v>0</v>
      </c>
    </row>
    <row r="72">
      <c r="A72" t="inlineStr">
        <is>
          <t>Issues of the manor</t>
        </is>
      </c>
      <c r="B72" t="inlineStr">
        <is>
          <t>6pence from the heriot of John ate Fryrth' for the same.</t>
        </is>
      </c>
      <c r="C72" t="n">
        <v>0.03</v>
      </c>
      <c r="D72" t="n">
        <v>0</v>
      </c>
      <c r="E72" t="n">
        <v>0</v>
      </c>
      <c r="F72" t="n">
        <v>6</v>
      </c>
      <c r="H72" t="n">
        <v>0</v>
      </c>
      <c r="I72" t="n">
        <v>0</v>
      </c>
      <c r="J72" t="n">
        <v>0</v>
      </c>
      <c r="K72" t="n">
        <v>0</v>
      </c>
      <c r="L72" t="n">
        <v>0</v>
      </c>
      <c r="M72" t="n">
        <v>0</v>
      </c>
      <c r="N72" t="n">
        <v>0</v>
      </c>
    </row>
    <row r="73">
      <c r="A73" t="inlineStr">
        <is>
          <t>Issues of the manor</t>
        </is>
      </c>
      <c r="B73" t="inlineStr">
        <is>
          <t>1 shilling from the heriot of Walter Oxenherd' for the same.</t>
        </is>
      </c>
      <c r="C73" t="n">
        <v>0.05</v>
      </c>
      <c r="D73" t="n">
        <v>0</v>
      </c>
      <c r="E73" t="n">
        <v>1</v>
      </c>
      <c r="F73" t="n">
        <v>0</v>
      </c>
      <c r="H73" t="n">
        <v>0</v>
      </c>
      <c r="I73" t="n">
        <v>0</v>
      </c>
      <c r="J73" t="n">
        <v>0</v>
      </c>
      <c r="K73" t="n">
        <v>0</v>
      </c>
      <c r="L73" t="n">
        <v>0</v>
      </c>
      <c r="M73" t="n">
        <v>0</v>
      </c>
      <c r="N73" t="n">
        <v>0</v>
      </c>
    </row>
    <row r="74">
      <c r="A74" t="inlineStr">
        <is>
          <t>Issues of the manor</t>
        </is>
      </c>
      <c r="B74" t="inlineStr">
        <is>
          <t>4 shilling from the hide and flesh sold of 1 ox dead from murrain in March.</t>
        </is>
      </c>
      <c r="C74" t="n">
        <v>0.2</v>
      </c>
      <c r="D74" t="n">
        <v>0</v>
      </c>
      <c r="E74" t="n">
        <v>4</v>
      </c>
      <c r="F74" t="n">
        <v>0</v>
      </c>
      <c r="H74" t="n">
        <v>0</v>
      </c>
      <c r="I74" t="n">
        <v>0</v>
      </c>
      <c r="J74" t="n">
        <v>0</v>
      </c>
      <c r="K74" t="n">
        <v>0</v>
      </c>
      <c r="L74" t="n">
        <v>0</v>
      </c>
      <c r="M74" t="n">
        <v>0</v>
      </c>
      <c r="N74" t="n">
        <v>0</v>
      </c>
    </row>
    <row r="75">
      <c r="A75" t="inlineStr">
        <is>
          <t>Issues of the manor</t>
        </is>
      </c>
      <c r="B75" t="inlineStr">
        <is>
          <t>2 shilling 8pence from the hide sold of 1 ox dead from murrain in April.</t>
        </is>
      </c>
      <c r="C75" t="n">
        <v>0.13</v>
      </c>
      <c r="D75" t="n">
        <v>0</v>
      </c>
      <c r="E75" t="n">
        <v>2</v>
      </c>
      <c r="F75" t="n">
        <v>8</v>
      </c>
      <c r="H75" t="n">
        <v>0</v>
      </c>
      <c r="I75" t="n">
        <v>0</v>
      </c>
      <c r="J75" t="n">
        <v>0</v>
      </c>
      <c r="K75" t="n">
        <v>0</v>
      </c>
      <c r="L75" t="n">
        <v>0</v>
      </c>
      <c r="M75" t="n">
        <v>0</v>
      </c>
      <c r="N75" t="n">
        <v>0</v>
      </c>
    </row>
    <row r="76">
      <c r="A76" t="inlineStr">
        <is>
          <t>Issues of the manor</t>
        </is>
      </c>
      <c r="B76" t="inlineStr">
        <is>
          <t>1 shilling 9pence from the hide of 1 cow dead from murrain in the same month.</t>
        </is>
      </c>
      <c r="C76" t="n">
        <v>0.09</v>
      </c>
      <c r="D76" t="n">
        <v>0</v>
      </c>
      <c r="E76" t="n">
        <v>1</v>
      </c>
      <c r="F76" t="n">
        <v>9</v>
      </c>
      <c r="H76" t="n">
        <v>0</v>
      </c>
      <c r="I76" t="n">
        <v>0</v>
      </c>
      <c r="J76" t="n">
        <v>0</v>
      </c>
      <c r="K76" t="n">
        <v>0</v>
      </c>
      <c r="L76" t="n">
        <v>0</v>
      </c>
      <c r="M76" t="n">
        <v>0</v>
      </c>
      <c r="N76" t="n">
        <v>0</v>
      </c>
    </row>
    <row r="77">
      <c r="A77" t="inlineStr">
        <is>
          <t>Issues of the manor</t>
        </is>
      </c>
      <c r="B77" t="inlineStr">
        <is>
          <t>8pence from the hides of 2 steers dead from murrain.</t>
        </is>
      </c>
      <c r="C77" t="n">
        <v>0.03</v>
      </c>
      <c r="D77" t="n">
        <v>0</v>
      </c>
      <c r="E77" t="n">
        <v>0</v>
      </c>
      <c r="F77" t="n">
        <v>8</v>
      </c>
      <c r="H77" t="n">
        <v>0</v>
      </c>
      <c r="I77" t="n">
        <v>0</v>
      </c>
      <c r="J77" t="n">
        <v>0</v>
      </c>
      <c r="K77" t="n">
        <v>0</v>
      </c>
      <c r="L77" t="n">
        <v>0</v>
      </c>
      <c r="M77" t="n">
        <v>0</v>
      </c>
      <c r="N77" t="n">
        <v>0</v>
      </c>
    </row>
    <row r="78">
      <c r="A78" t="inlineStr">
        <is>
          <t>Issues of the manor</t>
        </is>
      </c>
      <c r="B78" t="inlineStr">
        <is>
          <t>9pence from the hides of 3 bullocks in murrain.</t>
        </is>
      </c>
      <c r="C78" t="n">
        <v>0.04</v>
      </c>
      <c r="D78" t="n">
        <v>0</v>
      </c>
      <c r="E78" t="n">
        <v>0</v>
      </c>
      <c r="F78" t="n">
        <v>9</v>
      </c>
      <c r="H78" t="n">
        <v>0</v>
      </c>
      <c r="I78" t="n">
        <v>0</v>
      </c>
      <c r="J78" t="n">
        <v>0</v>
      </c>
      <c r="K78" t="n">
        <v>0</v>
      </c>
      <c r="L78" t="n">
        <v>0</v>
      </c>
      <c r="M78" t="n">
        <v>0</v>
      </c>
      <c r="N78" t="n">
        <v>0</v>
      </c>
    </row>
    <row r="79">
      <c r="A79" t="inlineStr">
        <is>
          <t>Issues of the manor</t>
        </is>
      </c>
      <c r="B79" t="inlineStr">
        <is>
          <t>10pence from the hides sold of 4 yearlings dead from murrain.</t>
        </is>
      </c>
      <c r="C79" t="n">
        <v>0.04</v>
      </c>
      <c r="D79" t="n">
        <v>0</v>
      </c>
      <c r="E79" t="n">
        <v>0</v>
      </c>
      <c r="F79" t="n">
        <v>10</v>
      </c>
      <c r="H79" t="n">
        <v>0</v>
      </c>
      <c r="I79" t="n">
        <v>0</v>
      </c>
      <c r="J79" t="n">
        <v>0</v>
      </c>
      <c r="K79" t="n">
        <v>0</v>
      </c>
      <c r="L79" t="n">
        <v>0</v>
      </c>
      <c r="M79" t="n">
        <v>0</v>
      </c>
      <c r="N79" t="n">
        <v>0</v>
      </c>
    </row>
    <row r="80">
      <c r="A80" t="inlineStr">
        <is>
          <t>Issues of the manor</t>
        </is>
      </c>
      <c r="B80" t="inlineStr">
        <is>
          <t>2pence from the hide sold of 1 calf in murrain.</t>
        </is>
      </c>
      <c r="C80" t="n">
        <v>0.01</v>
      </c>
      <c r="D80" t="n">
        <v>0</v>
      </c>
      <c r="E80" t="n">
        <v>0</v>
      </c>
      <c r="F80" t="n">
        <v>2</v>
      </c>
      <c r="H80" t="n">
        <v>0</v>
      </c>
      <c r="I80" t="n">
        <v>0</v>
      </c>
      <c r="J80" t="n">
        <v>0</v>
      </c>
      <c r="K80" t="n">
        <v>0</v>
      </c>
      <c r="L80" t="n">
        <v>0</v>
      </c>
      <c r="M80" t="n">
        <v>0</v>
      </c>
      <c r="N80" t="n">
        <v>0</v>
      </c>
    </row>
    <row r="81">
      <c r="A81" t="inlineStr">
        <is>
          <t>Issues of the manor</t>
        </is>
      </c>
      <c r="B81" t="inlineStr">
        <is>
          <t>10 shilling 1pence from the skins sold of 18 wethers, 31 ewes and 5 hoggs in murrain before shearing, at 3pence a skin of wethers, 2pence a skin of ewes, and 1pence a skin of hoggs.</t>
        </is>
      </c>
      <c r="C81" t="n">
        <v>0.5</v>
      </c>
      <c r="D81" t="n">
        <v>0</v>
      </c>
      <c r="E81" t="n">
        <v>10</v>
      </c>
      <c r="F81" t="n">
        <v>1</v>
      </c>
      <c r="H81" t="n">
        <v>0</v>
      </c>
      <c r="I81" t="n">
        <v>0</v>
      </c>
      <c r="J81" t="n">
        <v>0</v>
      </c>
      <c r="K81" t="n">
        <v>0</v>
      </c>
      <c r="L81" t="n">
        <v>0</v>
      </c>
      <c r="M81" t="n">
        <v>0</v>
      </c>
      <c r="N81" t="n">
        <v>0</v>
      </c>
    </row>
    <row r="82">
      <c r="A82" t="inlineStr">
        <is>
          <t>Issues of the manor</t>
        </is>
      </c>
      <c r="B82" t="inlineStr">
        <is>
          <t>1 shilling 2pence from the skins sold of 11 wethers and 3 ewes in murrain after shearing, at 1pence each.</t>
        </is>
      </c>
      <c r="C82" t="n">
        <v>0.06</v>
      </c>
      <c r="D82" t="n">
        <v>0</v>
      </c>
      <c r="E82" t="n">
        <v>1</v>
      </c>
      <c r="F82" t="n">
        <v>2</v>
      </c>
      <c r="H82" t="n">
        <v>0</v>
      </c>
      <c r="I82" t="n">
        <v>0</v>
      </c>
      <c r="J82" t="n">
        <v>0</v>
      </c>
      <c r="K82" t="n">
        <v>0</v>
      </c>
      <c r="L82" t="n">
        <v>0</v>
      </c>
      <c r="M82" t="n">
        <v>0</v>
      </c>
      <c r="N82" t="n">
        <v>0</v>
      </c>
    </row>
    <row r="83">
      <c r="A83" t="inlineStr">
        <is>
          <t>Issues of the manor</t>
        </is>
      </c>
      <c r="B83" t="inlineStr">
        <is>
          <t>1 shilling 4pence from the skins sold of 16 lambs in murrain before weaning, at 1pence a skin.</t>
        </is>
      </c>
      <c r="C83" t="n">
        <v>0.07000000000000001</v>
      </c>
      <c r="D83" t="n">
        <v>0</v>
      </c>
      <c r="E83" t="n">
        <v>1</v>
      </c>
      <c r="F83" t="n">
        <v>4</v>
      </c>
      <c r="H83" t="n">
        <v>0</v>
      </c>
      <c r="I83" t="n">
        <v>0</v>
      </c>
      <c r="J83" t="n">
        <v>0</v>
      </c>
      <c r="K83" t="n">
        <v>0</v>
      </c>
      <c r="L83" t="n">
        <v>0</v>
      </c>
      <c r="M83" t="n">
        <v>0</v>
      </c>
      <c r="N83" t="n">
        <v>0</v>
      </c>
    </row>
    <row r="84">
      <c r="A84" t="inlineStr">
        <is>
          <t>Issues of the manor</t>
        </is>
      </c>
      <c r="B84" t="inlineStr">
        <is>
          <t>1.5pence from the skins sold of 3 rotted sheep.</t>
        </is>
      </c>
      <c r="C84" t="n">
        <v>0.01</v>
      </c>
      <c r="D84" t="n">
        <v>0</v>
      </c>
      <c r="E84" t="n">
        <v>0</v>
      </c>
      <c r="F84" t="n">
        <v>1.5</v>
      </c>
      <c r="H84" t="n">
        <v>0</v>
      </c>
      <c r="I84" t="n">
        <v>0</v>
      </c>
      <c r="J84" t="n">
        <v>0</v>
      </c>
      <c r="K84" t="n">
        <v>0</v>
      </c>
      <c r="L84" t="n">
        <v>0</v>
      </c>
      <c r="M84" t="n">
        <v>0</v>
      </c>
      <c r="N84" t="n">
        <v>0</v>
      </c>
    </row>
    <row r="85">
      <c r="A85" t="inlineStr">
        <is>
          <t>Issues of the manor</t>
        </is>
      </c>
      <c r="B85" t="inlineStr">
        <is>
          <t>nothing from coarse wool here because it is sent toi Wolvesey.</t>
        </is>
      </c>
      <c r="C85" t="n">
        <v>0</v>
      </c>
      <c r="D85" t="n">
        <v>0</v>
      </c>
      <c r="E85" t="n">
        <v>0</v>
      </c>
      <c r="F85" t="n">
        <v>0</v>
      </c>
      <c r="H85" t="n">
        <v>0</v>
      </c>
      <c r="I85" t="n">
        <v>0</v>
      </c>
      <c r="J85" t="n">
        <v>0</v>
      </c>
      <c r="K85" t="n">
        <v>0</v>
      </c>
      <c r="L85" t="n">
        <v>0</v>
      </c>
      <c r="M85" t="n">
        <v>0</v>
      </c>
      <c r="N85" t="n">
        <v>0</v>
      </c>
    </row>
    <row r="86">
      <c r="A86" t="inlineStr">
        <is>
          <t>Issues of the manor</t>
        </is>
      </c>
      <c r="B86" t="inlineStr">
        <is>
          <t>5 shilling 3pence from 6 cloves of wool locks sold, at 10.5pence a clove.</t>
        </is>
      </c>
      <c r="C86" t="n">
        <v>0.26</v>
      </c>
      <c r="D86" t="n">
        <v>0</v>
      </c>
      <c r="E86" t="n">
        <v>5</v>
      </c>
      <c r="F86" t="n">
        <v>3</v>
      </c>
      <c r="H86" t="n">
        <v>0</v>
      </c>
      <c r="I86" t="n">
        <v>0</v>
      </c>
      <c r="J86" t="n">
        <v>0</v>
      </c>
      <c r="K86" t="n">
        <v>0</v>
      </c>
      <c r="L86" t="n">
        <v>0</v>
      </c>
      <c r="M86" t="n">
        <v>0</v>
      </c>
      <c r="N86" t="n">
        <v>0</v>
      </c>
    </row>
    <row r="87">
      <c r="A87" t="inlineStr">
        <is>
          <t>Issues of the manor</t>
        </is>
      </c>
      <c r="B87" t="inlineStr">
        <is>
          <t>4 shilling 3pence from /2 wey of winter cheese sold.</t>
        </is>
      </c>
      <c r="C87" t="n">
        <v>0.21</v>
      </c>
      <c r="D87" t="n">
        <v>0</v>
      </c>
      <c r="E87" t="n">
        <v>4</v>
      </c>
      <c r="F87" t="n">
        <v>3</v>
      </c>
      <c r="H87" t="n">
        <v>0</v>
      </c>
      <c r="I87" t="n">
        <v>0</v>
      </c>
      <c r="J87" t="n">
        <v>0</v>
      </c>
      <c r="K87" t="n">
        <v>0</v>
      </c>
      <c r="L87" t="n">
        <v>0</v>
      </c>
      <c r="M87" t="n">
        <v>0</v>
      </c>
      <c r="N87" t="n">
        <v>0</v>
      </c>
    </row>
    <row r="88">
      <c r="A88" t="inlineStr">
        <is>
          <t>Issues of the manor</t>
        </is>
      </c>
      <c r="B88" t="inlineStr">
        <is>
          <t>£4 13 shilling 6pence from 11 weys of cheese made in summer sold, at 8 shilling 6pence a wey.</t>
        </is>
      </c>
      <c r="C88" t="n">
        <v>4.68</v>
      </c>
      <c r="D88" t="n">
        <v>4</v>
      </c>
      <c r="E88" t="n">
        <v>13</v>
      </c>
      <c r="F88" t="n">
        <v>6</v>
      </c>
      <c r="H88" t="n">
        <v>0</v>
      </c>
      <c r="I88" t="n">
        <v>0</v>
      </c>
      <c r="J88" t="n">
        <v>0</v>
      </c>
      <c r="K88" t="n">
        <v>0</v>
      </c>
      <c r="L88" t="n">
        <v>0</v>
      </c>
      <c r="M88" t="n">
        <v>0</v>
      </c>
      <c r="N88" t="n">
        <v>0</v>
      </c>
    </row>
    <row r="89">
      <c r="A89" t="inlineStr">
        <is>
          <t>Issues of the manor</t>
        </is>
      </c>
      <c r="B89" t="inlineStr">
        <is>
          <t>6 shilling 10.5pence from 22 cloves of butter sold, at 3.75pence a clove.</t>
        </is>
      </c>
      <c r="C89" t="n">
        <v>0.34</v>
      </c>
      <c r="D89" t="n">
        <v>0</v>
      </c>
      <c r="E89" t="n">
        <v>6</v>
      </c>
      <c r="F89" t="n">
        <v>10.5</v>
      </c>
      <c r="H89" t="n">
        <v>0</v>
      </c>
      <c r="I89" t="n">
        <v>0</v>
      </c>
      <c r="J89" t="n">
        <v>0</v>
      </c>
      <c r="K89" t="n">
        <v>0</v>
      </c>
      <c r="L89" t="n">
        <v>0</v>
      </c>
      <c r="M89" t="n">
        <v>0</v>
      </c>
      <c r="N89" t="n">
        <v>0</v>
      </c>
    </row>
    <row r="90">
      <c r="A90" t="inlineStr">
        <is>
          <t>Issues of the manor</t>
        </is>
      </c>
      <c r="B90" t="inlineStr">
        <is>
          <t>£1 18 shilling from the men of Bursledon for 76 sesters of salt sold, at 6pence a sester.</t>
        </is>
      </c>
      <c r="C90" t="n">
        <v>1.9</v>
      </c>
      <c r="D90" t="n">
        <v>1</v>
      </c>
      <c r="E90" t="n">
        <v>18</v>
      </c>
      <c r="F90" t="n">
        <v>0</v>
      </c>
      <c r="H90" t="n">
        <v>0</v>
      </c>
      <c r="I90" t="n">
        <v>0</v>
      </c>
      <c r="J90" t="n">
        <v>0</v>
      </c>
      <c r="K90" t="n">
        <v>0</v>
      </c>
      <c r="L90" t="n">
        <v>0</v>
      </c>
      <c r="M90" t="n">
        <v>0</v>
      </c>
      <c r="N90" t="n">
        <v>0</v>
      </c>
    </row>
    <row r="91">
      <c r="A91" t="inlineStr">
        <is>
          <t>Issues of the manor</t>
        </is>
      </c>
      <c r="B91" t="inlineStr">
        <is>
          <t>£1 16 shilling 6pence from 73 sesters of salt from rents sold this year.</t>
        </is>
      </c>
      <c r="C91" t="n">
        <v>1.82</v>
      </c>
      <c r="D91" t="n">
        <v>1</v>
      </c>
      <c r="E91" t="n">
        <v>16</v>
      </c>
      <c r="F91" t="n">
        <v>6</v>
      </c>
      <c r="H91" t="n">
        <v>0</v>
      </c>
      <c r="I91" t="n">
        <v>0</v>
      </c>
      <c r="J91" t="n">
        <v>0</v>
      </c>
      <c r="K91" t="n">
        <v>0</v>
      </c>
      <c r="L91" t="n">
        <v>0</v>
      </c>
      <c r="M91" t="n">
        <v>0</v>
      </c>
      <c r="N91" t="n">
        <v>0</v>
      </c>
    </row>
    <row r="92">
      <c r="A92" t="inlineStr">
        <is>
          <t>Issues of the manor</t>
        </is>
      </c>
      <c r="B92" t="inlineStr">
        <is>
          <t>£7 6 shilling 3pence from 292.5 sesters of salt from the arrears of the last account.</t>
        </is>
      </c>
      <c r="C92" t="n">
        <v>7.31</v>
      </c>
      <c r="D92" t="n">
        <v>7</v>
      </c>
      <c r="E92" t="n">
        <v>6</v>
      </c>
      <c r="F92" t="n">
        <v>3</v>
      </c>
      <c r="H92" t="n">
        <v>0</v>
      </c>
      <c r="I92" t="n">
        <v>0</v>
      </c>
      <c r="J92" t="n">
        <v>0</v>
      </c>
      <c r="K92" t="n">
        <v>0</v>
      </c>
      <c r="L92" t="n">
        <v>0</v>
      </c>
      <c r="M92" t="n">
        <v>0</v>
      </c>
      <c r="N92" t="n">
        <v>0</v>
      </c>
    </row>
    <row r="93">
      <c r="A93" t="inlineStr">
        <is>
          <t>Issues of the manor</t>
        </is>
      </c>
      <c r="B93" t="inlineStr">
        <is>
          <t>12 shilling 1Opence from 154 hens from churchscot sold.</t>
        </is>
      </c>
      <c r="C93" t="n">
        <v>0.6</v>
      </c>
      <c r="D93" t="n">
        <v>0</v>
      </c>
      <c r="E93" t="n">
        <v>12</v>
      </c>
      <c r="F93" t="n">
        <v>0</v>
      </c>
      <c r="H93" t="n">
        <v>0</v>
      </c>
      <c r="I93" t="n">
        <v>0</v>
      </c>
      <c r="J93" t="n">
        <v>0</v>
      </c>
      <c r="K93" t="n">
        <v>0</v>
      </c>
      <c r="L93" t="n">
        <v>0</v>
      </c>
      <c r="M93" t="n">
        <v>0</v>
      </c>
      <c r="N93" t="n">
        <v>0</v>
      </c>
    </row>
    <row r="94">
      <c r="A94" t="inlineStr">
        <is>
          <t>Issues of the manor</t>
        </is>
      </c>
      <c r="B94" t="inlineStr">
        <is>
          <t>9 shilling from the hundred for the mowing of Cribelescrofte.</t>
        </is>
      </c>
      <c r="C94" t="n">
        <v>0.45</v>
      </c>
      <c r="D94" t="n">
        <v>0</v>
      </c>
      <c r="E94" t="n">
        <v>9</v>
      </c>
      <c r="F94" t="n">
        <v>0</v>
      </c>
      <c r="H94" t="n">
        <v>0</v>
      </c>
      <c r="I94" t="n">
        <v>0</v>
      </c>
      <c r="J94" t="n">
        <v>0</v>
      </c>
      <c r="K94" t="n">
        <v>0</v>
      </c>
      <c r="L94" t="n">
        <v>0</v>
      </c>
      <c r="M94" t="n">
        <v>0</v>
      </c>
      <c r="N94" t="n">
        <v>0</v>
      </c>
    </row>
    <row r="95">
      <c r="A95" t="inlineStr">
        <is>
          <t>Issues of the manor</t>
        </is>
      </c>
      <c r="B95" t="inlineStr">
        <is>
          <t>6 shilling 4pence from the pasturage sold in various places, that is, 5 shilling from la Worth' and 1 shilling 4pence from various remnants around Orkelestret.</t>
        </is>
      </c>
      <c r="C95" t="n">
        <v>0.32</v>
      </c>
      <c r="D95" t="n">
        <v>0</v>
      </c>
      <c r="E95" t="n">
        <v>6</v>
      </c>
      <c r="F95" t="n">
        <v>4</v>
      </c>
      <c r="H95" t="n">
        <v>0</v>
      </c>
      <c r="I95" t="n">
        <v>0</v>
      </c>
      <c r="J95" t="n">
        <v>0</v>
      </c>
      <c r="K95" t="n">
        <v>0</v>
      </c>
      <c r="L95" t="n">
        <v>0</v>
      </c>
      <c r="M95" t="n">
        <v>0</v>
      </c>
      <c r="N95" t="n">
        <v>0</v>
      </c>
    </row>
    <row r="96">
      <c r="A96" t="inlineStr">
        <is>
          <t>Issues of the manor</t>
        </is>
      </c>
      <c r="B96" t="inlineStr">
        <is>
          <t>1 shilling 6pence from the hundred for the mowing of the meadow of Bitterne.</t>
        </is>
      </c>
      <c r="C96" t="n">
        <v>0.08</v>
      </c>
      <c r="D96" t="n">
        <v>0</v>
      </c>
      <c r="E96" t="n">
        <v>1</v>
      </c>
      <c r="F96" t="n">
        <v>6</v>
      </c>
      <c r="H96" t="n">
        <v>0</v>
      </c>
      <c r="I96" t="n">
        <v>0</v>
      </c>
      <c r="J96" t="n">
        <v>0</v>
      </c>
      <c r="K96" t="n">
        <v>0</v>
      </c>
      <c r="L96" t="n">
        <v>0</v>
      </c>
      <c r="M96" t="n">
        <v>0</v>
      </c>
      <c r="N96" t="n">
        <v>0</v>
      </c>
    </row>
    <row r="97">
      <c r="A97" t="inlineStr">
        <is>
          <t>Issues of the manor</t>
        </is>
      </c>
      <c r="B97" t="inlineStr">
        <is>
          <t>6 shilling 8pence from heath in the park sold this year.</t>
        </is>
      </c>
      <c r="C97" t="n">
        <v>0.33</v>
      </c>
      <c r="D97" t="n">
        <v>0</v>
      </c>
      <c r="E97" t="n">
        <v>6</v>
      </c>
      <c r="F97" t="n">
        <v>8</v>
      </c>
      <c r="H97" t="n">
        <v>0</v>
      </c>
      <c r="I97" t="n">
        <v>0</v>
      </c>
      <c r="J97" t="n">
        <v>0</v>
      </c>
      <c r="K97" t="n">
        <v>0</v>
      </c>
      <c r="L97" t="n">
        <v>0</v>
      </c>
      <c r="M97" t="n">
        <v>0</v>
      </c>
      <c r="N97" t="n">
        <v>0</v>
      </c>
    </row>
    <row r="98">
      <c r="A98" t="inlineStr">
        <is>
          <t>Issues of the manor</t>
        </is>
      </c>
      <c r="B98" t="inlineStr">
        <is>
          <t>nothing from nuts collected in the park this year.</t>
        </is>
      </c>
      <c r="C98" t="n">
        <v>0</v>
      </c>
      <c r="D98" t="n">
        <v>0</v>
      </c>
      <c r="E98" t="n">
        <v>0</v>
      </c>
      <c r="F98" t="n">
        <v>0</v>
      </c>
      <c r="H98" t="n">
        <v>0</v>
      </c>
      <c r="I98" t="n">
        <v>0</v>
      </c>
      <c r="J98" t="n">
        <v>0</v>
      </c>
      <c r="K98" t="n">
        <v>0</v>
      </c>
      <c r="L98" t="n">
        <v>0</v>
      </c>
      <c r="M98" t="n">
        <v>0</v>
      </c>
      <c r="N98" t="n">
        <v>0</v>
      </c>
    </row>
    <row r="99">
      <c r="A99" t="inlineStr">
        <is>
          <t>Issues of the manor</t>
        </is>
      </c>
      <c r="B99" t="inlineStr">
        <is>
          <t>10 shilling 6pence from the loppings of oaks felled to mend the palisade.</t>
        </is>
      </c>
      <c r="C99" t="n">
        <v>0.53</v>
      </c>
      <c r="D99" t="n">
        <v>0</v>
      </c>
      <c r="E99" t="n">
        <v>10</v>
      </c>
      <c r="F99" t="n">
        <v>6</v>
      </c>
      <c r="H99" t="n">
        <v>0</v>
      </c>
      <c r="I99" t="n">
        <v>0</v>
      </c>
      <c r="J99" t="n">
        <v>0</v>
      </c>
      <c r="K99" t="n">
        <v>0</v>
      </c>
      <c r="L99" t="n">
        <v>0</v>
      </c>
      <c r="M99" t="n">
        <v>0</v>
      </c>
      <c r="N99" t="n">
        <v>0</v>
      </c>
    </row>
    <row r="100">
      <c r="A100" t="inlineStr">
        <is>
          <t>Issues of the manor</t>
        </is>
      </c>
      <c r="B100" t="inlineStr">
        <is>
          <t>5 shilling from cablish in the park sold this year.</t>
        </is>
      </c>
      <c r="C100" t="n">
        <v>0.25</v>
      </c>
      <c r="D100" t="n">
        <v>0</v>
      </c>
      <c r="E100" t="n">
        <v>5</v>
      </c>
      <c r="F100" t="n">
        <v>0</v>
      </c>
      <c r="H100" t="n">
        <v>0</v>
      </c>
      <c r="I100" t="n">
        <v>0</v>
      </c>
      <c r="J100" t="n">
        <v>0</v>
      </c>
      <c r="K100" t="n">
        <v>0</v>
      </c>
      <c r="L100" t="n">
        <v>0</v>
      </c>
      <c r="M100" t="n">
        <v>0</v>
      </c>
      <c r="N100" t="n">
        <v>0</v>
      </c>
    </row>
    <row r="101">
      <c r="A101" t="inlineStr">
        <is>
          <t>Issues of the manor</t>
        </is>
      </c>
      <c r="B101" t="inlineStr">
        <is>
          <t>2 shilling 2pence from 2 dead trees sold felled in le Hordareswod' for the bees.</t>
        </is>
      </c>
      <c r="C101" t="n">
        <v>0.11</v>
      </c>
      <c r="D101" t="n">
        <v>0</v>
      </c>
      <c r="E101" t="n">
        <v>2</v>
      </c>
      <c r="F101" t="n">
        <v>2</v>
      </c>
      <c r="H101" t="n">
        <v>0</v>
      </c>
      <c r="I101" t="n">
        <v>0</v>
      </c>
      <c r="J101" t="n">
        <v>0</v>
      </c>
      <c r="K101" t="n">
        <v>0</v>
      </c>
      <c r="L101" t="n">
        <v>0</v>
      </c>
      <c r="M101" t="n">
        <v>0</v>
      </c>
      <c r="N101" t="n">
        <v>0</v>
      </c>
    </row>
    <row r="102">
      <c r="A102" t="inlineStr">
        <is>
          <t>Issues of the manor</t>
        </is>
      </c>
      <c r="B102" t="inlineStr">
        <is>
          <t>nothing from dead trees in the wood of Parkhurst this year.</t>
        </is>
      </c>
      <c r="C102" t="n">
        <v>0</v>
      </c>
      <c r="D102" t="n">
        <v>0</v>
      </c>
      <c r="E102" t="n">
        <v>0</v>
      </c>
      <c r="F102" t="n">
        <v>0</v>
      </c>
      <c r="H102" t="n">
        <v>0</v>
      </c>
      <c r="I102" t="n">
        <v>0</v>
      </c>
      <c r="J102" t="n">
        <v>0</v>
      </c>
      <c r="K102" t="n">
        <v>0</v>
      </c>
      <c r="L102" t="n">
        <v>0</v>
      </c>
      <c r="M102" t="n">
        <v>0</v>
      </c>
      <c r="N102" t="n">
        <v>0</v>
      </c>
    </row>
    <row r="103">
      <c r="A103" t="inlineStr">
        <is>
          <t>Issues of the manor</t>
        </is>
      </c>
      <c r="B103" t="inlineStr">
        <is>
          <t>nothing from wood in Holemor' this year.</t>
        </is>
      </c>
      <c r="C103" t="n">
        <v>0</v>
      </c>
      <c r="D103" t="n">
        <v>0</v>
      </c>
      <c r="E103" t="n">
        <v>0</v>
      </c>
      <c r="F103" t="n">
        <v>0</v>
      </c>
      <c r="H103" t="n">
        <v>0</v>
      </c>
      <c r="I103" t="n">
        <v>0</v>
      </c>
      <c r="J103" t="n">
        <v>0</v>
      </c>
      <c r="K103" t="n">
        <v>0</v>
      </c>
      <c r="L103" t="n">
        <v>0</v>
      </c>
      <c r="M103" t="n">
        <v>0</v>
      </c>
      <c r="N103" t="n">
        <v>0</v>
      </c>
    </row>
    <row r="104">
      <c r="A104" t="inlineStr">
        <is>
          <t>Issues of the manor</t>
        </is>
      </c>
      <c r="B104" t="inlineStr">
        <is>
          <t>1 shilling 3pence from honey sold this year.</t>
        </is>
      </c>
      <c r="C104" t="n">
        <v>0.06</v>
      </c>
      <c r="D104" t="n">
        <v>0</v>
      </c>
      <c r="E104" t="n">
        <v>1</v>
      </c>
      <c r="F104" t="n">
        <v>3</v>
      </c>
      <c r="H104" t="n">
        <v>0</v>
      </c>
      <c r="I104" t="n">
        <v>0</v>
      </c>
      <c r="J104" t="n">
        <v>0</v>
      </c>
      <c r="K104" t="n">
        <v>0</v>
      </c>
      <c r="L104" t="n">
        <v>0</v>
      </c>
      <c r="M104" t="n">
        <v>0</v>
      </c>
      <c r="N104" t="n">
        <v>0</v>
      </c>
    </row>
    <row r="105">
      <c r="A105" t="inlineStr">
        <is>
          <t>Issues of the manor</t>
        </is>
      </c>
      <c r="B105" t="inlineStr">
        <is>
          <t>3 shilling from plough-services sold this year.</t>
        </is>
      </c>
      <c r="C105" t="n">
        <v>0.15</v>
      </c>
      <c r="D105" t="n">
        <v>0</v>
      </c>
      <c r="E105" t="n">
        <v>3</v>
      </c>
      <c r="F105" t="n">
        <v>0</v>
      </c>
      <c r="H105" t="n">
        <v>0</v>
      </c>
      <c r="I105" t="n">
        <v>0</v>
      </c>
      <c r="J105" t="n">
        <v>0</v>
      </c>
      <c r="K105" t="n">
        <v>0</v>
      </c>
      <c r="L105" t="n">
        <v>0</v>
      </c>
      <c r="M105" t="n">
        <v>0</v>
      </c>
      <c r="N105" t="n">
        <v>0</v>
      </c>
    </row>
    <row r="106">
      <c r="A106" t="inlineStr">
        <is>
          <t>Issues of the manor</t>
        </is>
      </c>
      <c r="B106" t="inlineStr">
        <is>
          <t>nothing from the bee-hives (meller') this year.</t>
        </is>
      </c>
      <c r="C106" t="n">
        <v>0</v>
      </c>
      <c r="D106" t="n">
        <v>0</v>
      </c>
      <c r="E106" t="n">
        <v>0</v>
      </c>
      <c r="F106" t="n">
        <v>0</v>
      </c>
      <c r="H106" t="n">
        <v>0</v>
      </c>
      <c r="I106" t="n">
        <v>0</v>
      </c>
      <c r="J106" t="n">
        <v>0</v>
      </c>
      <c r="K106" t="n">
        <v>0</v>
      </c>
      <c r="L106" t="n">
        <v>0</v>
      </c>
      <c r="M106" t="n">
        <v>0</v>
      </c>
      <c r="N106" t="n">
        <v>0</v>
      </c>
    </row>
    <row r="107">
      <c r="A107" t="inlineStr">
        <is>
          <t>Issues of the manor</t>
        </is>
      </c>
      <c r="B107" t="inlineStr">
        <is>
          <t>1 shilling 8pence from Richard Ywon for release from his labour service for a third of 1 virgate of land this year.</t>
        </is>
      </c>
      <c r="C107" t="n">
        <v>0.08</v>
      </c>
      <c r="D107" t="n">
        <v>0</v>
      </c>
      <c r="E107" t="n">
        <v>1</v>
      </c>
      <c r="F107" t="n">
        <v>8</v>
      </c>
      <c r="H107" t="n">
        <v>0</v>
      </c>
      <c r="I107" t="n">
        <v>0</v>
      </c>
      <c r="J107" t="n">
        <v>0</v>
      </c>
      <c r="K107" t="n">
        <v>0</v>
      </c>
      <c r="L107" t="n">
        <v>0</v>
      </c>
      <c r="M107" t="n">
        <v>0</v>
      </c>
      <c r="N107" t="n">
        <v>0</v>
      </c>
    </row>
    <row r="108">
      <c r="A108" t="inlineStr">
        <is>
          <t>Issues of the manor</t>
        </is>
      </c>
      <c r="B108" t="inlineStr">
        <is>
          <t>4 shilling from Adam de Yulley and Robert de Yulley for the same.</t>
        </is>
      </c>
      <c r="C108" t="n">
        <v>0.2</v>
      </c>
      <c r="D108" t="n">
        <v>0</v>
      </c>
      <c r="E108" t="n">
        <v>4</v>
      </c>
      <c r="F108" t="n">
        <v>0</v>
      </c>
      <c r="H108" t="n">
        <v>0</v>
      </c>
      <c r="I108" t="n">
        <v>0</v>
      </c>
      <c r="J108" t="n">
        <v>0</v>
      </c>
      <c r="K108" t="n">
        <v>0</v>
      </c>
      <c r="L108" t="n">
        <v>0</v>
      </c>
      <c r="M108" t="n">
        <v>0</v>
      </c>
      <c r="N108" t="n">
        <v>0</v>
      </c>
    </row>
    <row r="109">
      <c r="A109" t="inlineStr">
        <is>
          <t>Issues of the manor</t>
        </is>
      </c>
      <c r="B109" t="inlineStr">
        <is>
          <t>nothing from Robert de Wodecote because he worked.</t>
        </is>
      </c>
      <c r="C109" t="n">
        <v>0</v>
      </c>
      <c r="D109" t="n">
        <v>0</v>
      </c>
      <c r="E109" t="n">
        <v>0</v>
      </c>
      <c r="F109" t="n">
        <v>0</v>
      </c>
      <c r="H109" t="n">
        <v>0</v>
      </c>
      <c r="I109" t="n">
        <v>0</v>
      </c>
      <c r="J109" t="n">
        <v>0</v>
      </c>
      <c r="K109" t="n">
        <v>0</v>
      </c>
      <c r="L109" t="n">
        <v>0</v>
      </c>
      <c r="M109" t="n">
        <v>0</v>
      </c>
      <c r="N109" t="n">
        <v>0</v>
      </c>
    </row>
    <row r="110">
      <c r="A110" t="inlineStr">
        <is>
          <t>Issues of the manor</t>
        </is>
      </c>
      <c r="B110" t="inlineStr">
        <is>
          <t>3 shilling 4pence from Robert de la Bech for the same.</t>
        </is>
      </c>
      <c r="C110" t="n">
        <v>0.17</v>
      </c>
      <c r="D110" t="n">
        <v>0</v>
      </c>
      <c r="E110" t="n">
        <v>3</v>
      </c>
      <c r="F110" t="n">
        <v>4</v>
      </c>
      <c r="H110" t="n">
        <v>0</v>
      </c>
      <c r="I110" t="n">
        <v>0</v>
      </c>
      <c r="J110" t="n">
        <v>0</v>
      </c>
      <c r="K110" t="n">
        <v>0</v>
      </c>
      <c r="L110" t="n">
        <v>0</v>
      </c>
      <c r="M110" t="n">
        <v>0</v>
      </c>
      <c r="N110" t="n">
        <v>0</v>
      </c>
    </row>
    <row r="111">
      <c r="A111" t="inlineStr">
        <is>
          <t>Issues of the manor</t>
        </is>
      </c>
      <c r="B111" t="inlineStr">
        <is>
          <t>2 shilling 8pence from John son of Azonis for the same.</t>
        </is>
      </c>
      <c r="C111" t="n">
        <v>0.13</v>
      </c>
      <c r="D111" t="n">
        <v>0</v>
      </c>
      <c r="E111" t="n">
        <v>2</v>
      </c>
      <c r="F111" t="n">
        <v>8</v>
      </c>
      <c r="H111" t="n">
        <v>0</v>
      </c>
      <c r="I111" t="n">
        <v>0</v>
      </c>
      <c r="J111" t="n">
        <v>0</v>
      </c>
      <c r="K111" t="n">
        <v>0</v>
      </c>
      <c r="L111" t="n">
        <v>0</v>
      </c>
      <c r="M111" t="n">
        <v>0</v>
      </c>
      <c r="N111" t="n">
        <v>0</v>
      </c>
    </row>
    <row r="112">
      <c r="A112" t="inlineStr">
        <is>
          <t>Issues of the manor</t>
        </is>
      </c>
      <c r="B112" t="inlineStr">
        <is>
          <t>1 shilling 8pence from John, son of Robert Clericus of Upham, for the land of Bance.</t>
        </is>
      </c>
      <c r="C112" t="n">
        <v>0.08</v>
      </c>
      <c r="D112" t="n">
        <v>0</v>
      </c>
      <c r="E112" t="n">
        <v>1</v>
      </c>
      <c r="F112" t="n">
        <v>8</v>
      </c>
      <c r="H112" t="n">
        <v>0</v>
      </c>
      <c r="I112" t="n">
        <v>0</v>
      </c>
      <c r="J112" t="n">
        <v>0</v>
      </c>
      <c r="K112" t="n">
        <v>0</v>
      </c>
      <c r="L112" t="n">
        <v>0</v>
      </c>
      <c r="M112" t="n">
        <v>0</v>
      </c>
      <c r="N112" t="n">
        <v>0</v>
      </c>
    </row>
    <row r="113">
      <c r="A113" t="inlineStr">
        <is>
          <t>Issues of the manor</t>
        </is>
      </c>
      <c r="B113" t="inlineStr">
        <is>
          <t>2 shilling from Walter Bues for release from the labour service for the land of Suuenel'.</t>
        </is>
      </c>
      <c r="C113" t="n">
        <v>0.1</v>
      </c>
      <c r="D113" t="n">
        <v>0</v>
      </c>
      <c r="E113" t="n">
        <v>2</v>
      </c>
      <c r="F113" t="n">
        <v>0</v>
      </c>
      <c r="H113" t="n">
        <v>0</v>
      </c>
      <c r="I113" t="n">
        <v>0</v>
      </c>
      <c r="J113" t="n">
        <v>0</v>
      </c>
      <c r="K113" t="n">
        <v>0</v>
      </c>
      <c r="L113" t="n">
        <v>0</v>
      </c>
      <c r="M113" t="n">
        <v>0</v>
      </c>
      <c r="N113" t="n">
        <v>0</v>
      </c>
    </row>
    <row r="114">
      <c r="A114" t="inlineStr">
        <is>
          <t>Issues of the manor</t>
        </is>
      </c>
      <c r="B114" t="inlineStr">
        <is>
          <t>1 shilling from Mark de Yully for the same for the land of Godderehele.</t>
        </is>
      </c>
      <c r="C114" t="n">
        <v>0.05</v>
      </c>
      <c r="D114" t="n">
        <v>0</v>
      </c>
      <c r="E114" t="n">
        <v>1</v>
      </c>
      <c r="F114" t="n">
        <v>0</v>
      </c>
      <c r="H114" t="n">
        <v>0</v>
      </c>
      <c r="I114" t="n">
        <v>0</v>
      </c>
      <c r="J114" t="n">
        <v>0</v>
      </c>
      <c r="K114" t="n">
        <v>0</v>
      </c>
      <c r="L114" t="n">
        <v>0</v>
      </c>
      <c r="M114" t="n">
        <v>0</v>
      </c>
      <c r="N114" t="n">
        <v>0</v>
      </c>
    </row>
    <row r="115">
      <c r="A115" t="inlineStr">
        <is>
          <t>Issues of the manor</t>
        </is>
      </c>
      <c r="B115" t="inlineStr">
        <is>
          <t>1 shilling from Guy ate Ford' for the same for the land of Godderehele.</t>
        </is>
      </c>
      <c r="C115" t="n">
        <v>0.05</v>
      </c>
      <c r="D115" t="n">
        <v>0</v>
      </c>
      <c r="E115" t="n">
        <v>1</v>
      </c>
      <c r="F115" t="n">
        <v>0</v>
      </c>
      <c r="H115" t="n">
        <v>0</v>
      </c>
      <c r="I115" t="n">
        <v>0</v>
      </c>
      <c r="J115" t="n">
        <v>0</v>
      </c>
      <c r="K115" t="n">
        <v>0</v>
      </c>
      <c r="L115" t="n">
        <v>0</v>
      </c>
      <c r="M115" t="n">
        <v>0</v>
      </c>
      <c r="N115" t="n">
        <v>0</v>
      </c>
    </row>
    <row r="116">
      <c r="A116" t="inlineStr">
        <is>
          <t>Issues of the manor</t>
        </is>
      </c>
      <c r="B116" t="inlineStr">
        <is>
          <t>1 shilling from Thomas Sauser for the same.</t>
        </is>
      </c>
      <c r="C116" t="n">
        <v>0.05</v>
      </c>
      <c r="D116" t="n">
        <v>0</v>
      </c>
      <c r="E116" t="n">
        <v>1</v>
      </c>
      <c r="F116" t="n">
        <v>0</v>
      </c>
      <c r="H116" t="n">
        <v>0</v>
      </c>
      <c r="I116" t="n">
        <v>0</v>
      </c>
      <c r="J116" t="n">
        <v>0</v>
      </c>
      <c r="K116" t="n">
        <v>0</v>
      </c>
      <c r="L116" t="n">
        <v>0</v>
      </c>
      <c r="M116" t="n">
        <v>0</v>
      </c>
      <c r="N116" t="n">
        <v>0</v>
      </c>
    </row>
    <row r="117">
      <c r="A117" t="inlineStr">
        <is>
          <t>Issues of the manor</t>
        </is>
      </c>
      <c r="B117" t="inlineStr">
        <is>
          <t>3 shilling from Peter le Parker for the same for the land which formerly belonged to Adam Prest.</t>
        </is>
      </c>
      <c r="C117" t="n">
        <v>0.15</v>
      </c>
      <c r="D117" t="n">
        <v>0</v>
      </c>
      <c r="E117" t="n">
        <v>3</v>
      </c>
      <c r="F117" t="n">
        <v>0</v>
      </c>
      <c r="H117" t="n">
        <v>0</v>
      </c>
      <c r="I117" t="n">
        <v>0</v>
      </c>
      <c r="J117" t="n">
        <v>0</v>
      </c>
      <c r="K117" t="n">
        <v>0</v>
      </c>
      <c r="L117" t="n">
        <v>0</v>
      </c>
      <c r="M117" t="n">
        <v>0</v>
      </c>
      <c r="N117" t="n">
        <v>0</v>
      </c>
    </row>
    <row r="118">
      <c r="A118" t="inlineStr">
        <is>
          <t>Issues of the manor</t>
        </is>
      </c>
      <c r="B118" t="inlineStr">
        <is>
          <t>2 shilling from John ate Broke for the same for the land which belonged to William ate W11'.</t>
        </is>
      </c>
      <c r="C118" t="n">
        <v>0.1</v>
      </c>
      <c r="D118" t="n">
        <v>0</v>
      </c>
      <c r="E118" t="n">
        <v>2</v>
      </c>
      <c r="F118" t="n">
        <v>0</v>
      </c>
      <c r="H118" t="n">
        <v>0</v>
      </c>
      <c r="I118" t="n">
        <v>0</v>
      </c>
      <c r="J118" t="n">
        <v>0</v>
      </c>
      <c r="K118" t="n">
        <v>0</v>
      </c>
      <c r="L118" t="n">
        <v>0</v>
      </c>
      <c r="M118" t="n">
        <v>0</v>
      </c>
      <c r="N118" t="n">
        <v>0</v>
      </c>
    </row>
    <row r="119">
      <c r="A119" t="inlineStr">
        <is>
          <t>Issues of the manor</t>
        </is>
      </c>
      <c r="B119" t="inlineStr">
        <is>
          <t>9 shilling from John Bance for the labour service of the land which belonged to Richard Bance.</t>
        </is>
      </c>
      <c r="C119" t="n">
        <v>0.45</v>
      </c>
      <c r="D119" t="n">
        <v>0</v>
      </c>
      <c r="E119" t="n">
        <v>9</v>
      </c>
      <c r="F119" t="n">
        <v>0</v>
      </c>
      <c r="H119" t="n">
        <v>0</v>
      </c>
      <c r="I119" t="n">
        <v>0</v>
      </c>
      <c r="J119" t="n">
        <v>0</v>
      </c>
      <c r="K119" t="n">
        <v>0</v>
      </c>
      <c r="L119" t="n">
        <v>0</v>
      </c>
      <c r="M119" t="n">
        <v>0</v>
      </c>
      <c r="N119" t="n">
        <v>0</v>
      </c>
    </row>
    <row r="120">
      <c r="A120" t="inlineStr">
        <is>
          <t>Issues of the manor</t>
        </is>
      </c>
      <c r="B120" t="inlineStr">
        <is>
          <t>nothing from Thomas Cangeler and William le Byke this year because they worked.</t>
        </is>
      </c>
      <c r="C120" t="n">
        <v>0</v>
      </c>
      <c r="D120" t="n">
        <v>0</v>
      </c>
      <c r="E120" t="n">
        <v>0</v>
      </c>
      <c r="F120" t="n">
        <v>0</v>
      </c>
      <c r="H120" t="n">
        <v>0</v>
      </c>
      <c r="I120" t="n">
        <v>0</v>
      </c>
      <c r="J120" t="n">
        <v>0</v>
      </c>
      <c r="K120" t="n">
        <v>0</v>
      </c>
      <c r="L120" t="n">
        <v>0</v>
      </c>
      <c r="M120" t="n">
        <v>0</v>
      </c>
      <c r="N120" t="n">
        <v>0</v>
      </c>
    </row>
    <row r="121">
      <c r="A121" t="inlineStr">
        <is>
          <t>Issues of the manor</t>
        </is>
      </c>
      <c r="B121" t="inlineStr">
        <is>
          <t>13 shilling from Margery Moysaut, Robert Faber, William Chubb', Adam Thoremond, William Pyk, Richard Everard', William Bos, William Cantoy, Richard Boll', William Asser, John de Anne, Robert le Cupere and Richard Molendinarius for the same, at 1 shilling each.</t>
        </is>
      </c>
      <c r="C121" t="n">
        <v>0.65</v>
      </c>
      <c r="D121" t="n">
        <v>0</v>
      </c>
      <c r="E121" t="n">
        <v>13</v>
      </c>
      <c r="F121" t="n">
        <v>0</v>
      </c>
      <c r="H121" t="n">
        <v>0</v>
      </c>
      <c r="I121" t="n">
        <v>0</v>
      </c>
      <c r="J121" t="n">
        <v>0</v>
      </c>
      <c r="K121" t="n">
        <v>0</v>
      </c>
      <c r="L121" t="n">
        <v>0</v>
      </c>
      <c r="M121" t="n">
        <v>0</v>
      </c>
      <c r="N121" t="n">
        <v>0</v>
      </c>
    </row>
    <row r="122">
      <c r="A122" t="inlineStr">
        <is>
          <t>Issues of the manor</t>
        </is>
      </c>
      <c r="B122" t="inlineStr">
        <is>
          <t>1 shilling 6pence from Hugh Balhorn for the same.</t>
        </is>
      </c>
      <c r="C122" t="n">
        <v>0.08</v>
      </c>
      <c r="D122" t="n">
        <v>0</v>
      </c>
      <c r="E122" t="n">
        <v>1</v>
      </c>
      <c r="F122" t="n">
        <v>6</v>
      </c>
      <c r="H122" t="n">
        <v>0</v>
      </c>
      <c r="I122" t="n">
        <v>0</v>
      </c>
      <c r="J122" t="n">
        <v>0</v>
      </c>
      <c r="K122" t="n">
        <v>0</v>
      </c>
      <c r="L122" t="n">
        <v>0</v>
      </c>
      <c r="M122" t="n">
        <v>0</v>
      </c>
      <c r="N122" t="n">
        <v>0</v>
      </c>
    </row>
    <row r="123">
      <c r="A123" t="inlineStr">
        <is>
          <t>Issues of the manor</t>
        </is>
      </c>
      <c r="B123" t="inlineStr">
        <is>
          <t>4 shilling from William Hudayn for the same.</t>
        </is>
      </c>
      <c r="C123" t="n">
        <v>0.2</v>
      </c>
      <c r="D123" t="n">
        <v>0</v>
      </c>
      <c r="E123" t="n">
        <v>4</v>
      </c>
      <c r="F123" t="n">
        <v>0</v>
      </c>
      <c r="H123" t="n">
        <v>0</v>
      </c>
      <c r="I123" t="n">
        <v>0</v>
      </c>
      <c r="J123" t="n">
        <v>0</v>
      </c>
      <c r="K123" t="n">
        <v>0</v>
      </c>
      <c r="L123" t="n">
        <v>0</v>
      </c>
      <c r="M123" t="n">
        <v>0</v>
      </c>
      <c r="N123" t="n">
        <v>0</v>
      </c>
    </row>
    <row r="124">
      <c r="A124" t="inlineStr">
        <is>
          <t>Issues of the manor</t>
        </is>
      </c>
      <c r="B124" t="inlineStr">
        <is>
          <t>nothing from Walter Bues for the land which belonged to Danyl because he worked.</t>
        </is>
      </c>
      <c r="C124" t="n">
        <v>0</v>
      </c>
      <c r="D124" t="n">
        <v>0</v>
      </c>
      <c r="E124" t="n">
        <v>0</v>
      </c>
      <c r="F124" t="n">
        <v>0</v>
      </c>
      <c r="H124" t="n">
        <v>0</v>
      </c>
      <c r="I124" t="n">
        <v>0</v>
      </c>
      <c r="J124" t="n">
        <v>0</v>
      </c>
      <c r="K124" t="n">
        <v>0</v>
      </c>
      <c r="L124" t="n">
        <v>0</v>
      </c>
      <c r="M124" t="n">
        <v>0</v>
      </c>
      <c r="N124" t="n">
        <v>0</v>
      </c>
    </row>
    <row r="125">
      <c r="A125" t="inlineStr">
        <is>
          <t>Issues of the manor</t>
        </is>
      </c>
      <c r="B125" t="inlineStr">
        <is>
          <t>5 shilling from Alice Ram for the same.</t>
        </is>
      </c>
      <c r="C125" t="n">
        <v>0.25</v>
      </c>
      <c r="D125" t="n">
        <v>0</v>
      </c>
      <c r="E125" t="n">
        <v>5</v>
      </c>
      <c r="F125" t="n">
        <v>0</v>
      </c>
      <c r="H125" t="n">
        <v>0</v>
      </c>
      <c r="I125" t="n">
        <v>0</v>
      </c>
      <c r="J125" t="n">
        <v>0</v>
      </c>
      <c r="K125" t="n">
        <v>0</v>
      </c>
      <c r="L125" t="n">
        <v>0</v>
      </c>
      <c r="M125" t="n">
        <v>0</v>
      </c>
      <c r="N125" t="n">
        <v>0</v>
      </c>
    </row>
    <row r="126">
      <c r="A126" t="inlineStr">
        <is>
          <t>Issues of the manor</t>
        </is>
      </c>
      <c r="B126" t="inlineStr">
        <is>
          <t>1 shilling from Richard Ywon for release from the labour service for the land of le Capon this year.</t>
        </is>
      </c>
      <c r="C126" t="n">
        <v>0.05</v>
      </c>
      <c r="D126" t="n">
        <v>0</v>
      </c>
      <c r="E126" t="n">
        <v>1</v>
      </c>
      <c r="F126" t="n">
        <v>0</v>
      </c>
      <c r="H126" t="n">
        <v>0</v>
      </c>
      <c r="I126" t="n">
        <v>0</v>
      </c>
      <c r="J126" t="n">
        <v>0</v>
      </c>
      <c r="K126" t="n">
        <v>0</v>
      </c>
      <c r="L126" t="n">
        <v>0</v>
      </c>
      <c r="M126" t="n">
        <v>0</v>
      </c>
      <c r="N126" t="n">
        <v>0</v>
      </c>
    </row>
    <row r="127">
      <c r="A127" t="inlineStr">
        <is>
          <t>Issues of the manor</t>
        </is>
      </c>
      <c r="B127" t="inlineStr">
        <is>
          <t>2 shilling from John Waremond for the same.</t>
        </is>
      </c>
      <c r="C127" t="n">
        <v>0.1</v>
      </c>
      <c r="D127" t="n">
        <v>0</v>
      </c>
      <c r="E127" t="n">
        <v>2</v>
      </c>
      <c r="F127" t="n">
        <v>0</v>
      </c>
      <c r="H127" t="n">
        <v>0</v>
      </c>
      <c r="I127" t="n">
        <v>0</v>
      </c>
      <c r="J127" t="n">
        <v>0</v>
      </c>
      <c r="K127" t="n">
        <v>0</v>
      </c>
      <c r="L127" t="n">
        <v>0</v>
      </c>
      <c r="M127" t="n">
        <v>0</v>
      </c>
      <c r="N127" t="n">
        <v>0</v>
      </c>
    </row>
    <row r="128">
      <c r="A128" t="inlineStr">
        <is>
          <t>Issues of the manor</t>
        </is>
      </c>
      <c r="B128" t="inlineStr">
        <is>
          <t>2 shilling from Henry le Whyte for the land which belonged to Wrench'.</t>
        </is>
      </c>
      <c r="C128" t="n">
        <v>0.1</v>
      </c>
      <c r="D128" t="n">
        <v>0</v>
      </c>
      <c r="E128" t="n">
        <v>2</v>
      </c>
      <c r="F128" t="n">
        <v>0</v>
      </c>
      <c r="H128" t="n">
        <v>0</v>
      </c>
      <c r="I128" t="n">
        <v>0</v>
      </c>
      <c r="J128" t="n">
        <v>0</v>
      </c>
      <c r="K128" t="n">
        <v>0</v>
      </c>
      <c r="L128" t="n">
        <v>0</v>
      </c>
      <c r="M128" t="n">
        <v>0</v>
      </c>
      <c r="N128" t="n">
        <v>0</v>
      </c>
    </row>
    <row r="129">
      <c r="A129" t="inlineStr">
        <is>
          <t>Issues of the manor</t>
        </is>
      </c>
      <c r="B129" t="inlineStr">
        <is>
          <t>3 shilling from Henry de Porcestr' for the same for the land of Dulch.</t>
        </is>
      </c>
      <c r="C129" t="n">
        <v>0.15</v>
      </c>
      <c r="D129" t="n">
        <v>0</v>
      </c>
      <c r="E129" t="n">
        <v>3</v>
      </c>
      <c r="F129" t="n">
        <v>0</v>
      </c>
      <c r="H129" t="n">
        <v>0</v>
      </c>
      <c r="I129" t="n">
        <v>0</v>
      </c>
      <c r="J129" t="n">
        <v>0</v>
      </c>
      <c r="K129" t="n">
        <v>0</v>
      </c>
      <c r="L129" t="n">
        <v>0</v>
      </c>
      <c r="M129" t="n">
        <v>0</v>
      </c>
      <c r="N129" t="n">
        <v>0</v>
      </c>
    </row>
    <row r="130">
      <c r="A130" t="inlineStr">
        <is>
          <t>Issues of the manor</t>
        </is>
      </c>
      <c r="B130" t="inlineStr">
        <is>
          <t>2 shilling 6pence from John Rygou and Gilbert Frogg' for the same.</t>
        </is>
      </c>
      <c r="C130" t="n">
        <v>0.12</v>
      </c>
      <c r="D130" t="n">
        <v>0</v>
      </c>
      <c r="E130" t="n">
        <v>2</v>
      </c>
      <c r="F130" t="n">
        <v>6</v>
      </c>
      <c r="H130" t="n">
        <v>0</v>
      </c>
      <c r="I130" t="n">
        <v>0</v>
      </c>
      <c r="J130" t="n">
        <v>0</v>
      </c>
      <c r="K130" t="n">
        <v>0</v>
      </c>
      <c r="L130" t="n">
        <v>0</v>
      </c>
      <c r="M130" t="n">
        <v>0</v>
      </c>
      <c r="N130" t="n">
        <v>0</v>
      </c>
    </row>
    <row r="131">
      <c r="A131" t="inlineStr">
        <is>
          <t>Issues of the manor</t>
        </is>
      </c>
      <c r="B131" t="inlineStr">
        <is>
          <t>2 shilling from Henry de Porcestr' for the same.</t>
        </is>
      </c>
      <c r="C131" t="n">
        <v>0.1</v>
      </c>
      <c r="D131" t="n">
        <v>0</v>
      </c>
      <c r="E131" t="n">
        <v>2</v>
      </c>
      <c r="F131" t="n">
        <v>0</v>
      </c>
      <c r="H131" t="n">
        <v>0</v>
      </c>
      <c r="I131" t="n">
        <v>0</v>
      </c>
      <c r="J131" t="n">
        <v>0</v>
      </c>
      <c r="K131" t="n">
        <v>0</v>
      </c>
      <c r="L131" t="n">
        <v>0</v>
      </c>
      <c r="M131" t="n">
        <v>0</v>
      </c>
      <c r="N131" t="n">
        <v>0</v>
      </c>
    </row>
    <row r="132">
      <c r="A132" t="inlineStr">
        <is>
          <t>Issues of the manor</t>
        </is>
      </c>
      <c r="B132" t="inlineStr">
        <is>
          <t>1 shilling 8pence from John Chop' for the same.</t>
        </is>
      </c>
      <c r="C132" t="n">
        <v>0.08</v>
      </c>
      <c r="D132" t="n">
        <v>0</v>
      </c>
      <c r="E132" t="n">
        <v>1</v>
      </c>
      <c r="F132" t="n">
        <v>8</v>
      </c>
      <c r="H132" t="n">
        <v>0</v>
      </c>
      <c r="I132" t="n">
        <v>0</v>
      </c>
      <c r="J132" t="n">
        <v>0</v>
      </c>
      <c r="K132" t="n">
        <v>0</v>
      </c>
      <c r="L132" t="n">
        <v>0</v>
      </c>
      <c r="M132" t="n">
        <v>0</v>
      </c>
      <c r="N132" t="n">
        <v>0</v>
      </c>
    </row>
    <row r="133">
      <c r="A133" t="inlineStr">
        <is>
          <t>Issues of the manor</t>
        </is>
      </c>
      <c r="B133" t="inlineStr">
        <is>
          <t>4 shilling from Richard Jacob for the same for the land at la Pund'.</t>
        </is>
      </c>
      <c r="C133" t="n">
        <v>0.2</v>
      </c>
      <c r="D133" t="n">
        <v>0</v>
      </c>
      <c r="E133" t="n">
        <v>4</v>
      </c>
      <c r="F133" t="n">
        <v>0</v>
      </c>
      <c r="H133" t="n">
        <v>0</v>
      </c>
      <c r="I133" t="n">
        <v>0</v>
      </c>
      <c r="J133" t="n">
        <v>0</v>
      </c>
      <c r="K133" t="n">
        <v>0</v>
      </c>
      <c r="L133" t="n">
        <v>0</v>
      </c>
      <c r="M133" t="n">
        <v>0</v>
      </c>
      <c r="N133" t="n">
        <v>0</v>
      </c>
    </row>
    <row r="134">
      <c r="A134" t="inlineStr">
        <is>
          <t>Issues of the manor</t>
        </is>
      </c>
      <c r="B134" t="inlineStr">
        <is>
          <t>4 shilling from Henry Lypse for the same.</t>
        </is>
      </c>
      <c r="C134" t="n">
        <v>0.2</v>
      </c>
      <c r="D134" t="n">
        <v>0</v>
      </c>
      <c r="E134" t="n">
        <v>4</v>
      </c>
      <c r="F134" t="n">
        <v>0</v>
      </c>
      <c r="H134" t="n">
        <v>0</v>
      </c>
      <c r="I134" t="n">
        <v>0</v>
      </c>
      <c r="J134" t="n">
        <v>0</v>
      </c>
      <c r="K134" t="n">
        <v>0</v>
      </c>
      <c r="L134" t="n">
        <v>0</v>
      </c>
      <c r="M134" t="n">
        <v>0</v>
      </c>
      <c r="N134" t="n">
        <v>0</v>
      </c>
    </row>
    <row r="135">
      <c r="A135" t="inlineStr">
        <is>
          <t>Issues of the manor</t>
        </is>
      </c>
      <c r="B135" t="inlineStr">
        <is>
          <t>6 shilling 8pence from Matilda ate Forde for release from her labour service at harvest-time.</t>
        </is>
      </c>
      <c r="C135" t="n">
        <v>0.33</v>
      </c>
      <c r="D135" t="n">
        <v>0</v>
      </c>
      <c r="E135" t="n">
        <v>6</v>
      </c>
      <c r="F135" t="n">
        <v>8</v>
      </c>
      <c r="H135" t="n">
        <v>0</v>
      </c>
      <c r="I135" t="n">
        <v>0</v>
      </c>
      <c r="J135" t="n">
        <v>0</v>
      </c>
      <c r="K135" t="n">
        <v>0</v>
      </c>
      <c r="L135" t="n">
        <v>0</v>
      </c>
      <c r="M135" t="n">
        <v>0</v>
      </c>
      <c r="N135" t="n">
        <v>0</v>
      </c>
    </row>
    <row r="136">
      <c r="A136" t="inlineStr">
        <is>
          <t>Issues of the manor</t>
        </is>
      </c>
      <c r="B136" t="inlineStr">
        <is>
          <t>3 shilling from Thomas ate Ford' for the same.</t>
        </is>
      </c>
      <c r="C136" t="n">
        <v>0.15</v>
      </c>
      <c r="D136" t="n">
        <v>0</v>
      </c>
      <c r="E136" t="n">
        <v>3</v>
      </c>
      <c r="F136" t="n">
        <v>0</v>
      </c>
      <c r="H136" t="n">
        <v>0</v>
      </c>
      <c r="I136" t="n">
        <v>0</v>
      </c>
      <c r="J136" t="n">
        <v>0</v>
      </c>
      <c r="K136" t="n">
        <v>0</v>
      </c>
      <c r="L136" t="n">
        <v>0</v>
      </c>
      <c r="M136" t="n">
        <v>0</v>
      </c>
      <c r="N136" t="n">
        <v>0</v>
      </c>
    </row>
    <row r="137">
      <c r="A137" t="inlineStr">
        <is>
          <t>Issues of the manor</t>
        </is>
      </c>
      <c r="B137" t="inlineStr">
        <is>
          <t>£4 11 shilling from the labour services of 7 carters sold this year, at 13 shilling 4pence a carter.</t>
        </is>
      </c>
      <c r="C137" t="n">
        <v>4.55</v>
      </c>
      <c r="D137" t="n">
        <v>4</v>
      </c>
      <c r="E137" t="n">
        <v>11</v>
      </c>
      <c r="F137" t="n">
        <v>0</v>
      </c>
      <c r="H137" t="n">
        <v>0</v>
      </c>
      <c r="I137" t="n">
        <v>0</v>
      </c>
      <c r="J137" t="n">
        <v>0</v>
      </c>
      <c r="K137" t="n">
        <v>0</v>
      </c>
      <c r="L137" t="n">
        <v>0</v>
      </c>
      <c r="M137" t="n">
        <v>0</v>
      </c>
      <c r="N137" t="n">
        <v>0</v>
      </c>
    </row>
    <row r="138">
      <c r="A138" t="inlineStr">
        <is>
          <t>Issues of the manor</t>
        </is>
      </c>
      <c r="B138" t="inlineStr">
        <is>
          <t>nothing from small labour services before and during harvest-time this year because they were worked.</t>
        </is>
      </c>
      <c r="C138" t="n">
        <v>0</v>
      </c>
      <c r="D138" t="n">
        <v>0</v>
      </c>
      <c r="E138" t="n">
        <v>0</v>
      </c>
      <c r="F138" t="n">
        <v>0</v>
      </c>
      <c r="H138" t="n">
        <v>0</v>
      </c>
      <c r="I138" t="n">
        <v>0</v>
      </c>
      <c r="J138" t="n">
        <v>0</v>
      </c>
      <c r="K138" t="n">
        <v>0</v>
      </c>
      <c r="L138" t="n">
        <v>0</v>
      </c>
      <c r="M138" t="n">
        <v>0</v>
      </c>
      <c r="N138" t="n">
        <v>0</v>
      </c>
    </row>
    <row r="139">
      <c r="A139" t="inlineStr">
        <is>
          <t>Issues of the manor</t>
        </is>
      </c>
      <c r="B139" t="inlineStr">
        <is>
          <t>£4 16 shilling 10.5pence from the hundred for release from the labour service for the demesne lands leased for rent, because so many more were accustomed to work, and because 3 shilling 2.5pence are subtracted for the lands which Richard Wodeloc and John Everard hold who are now affirmed free by charter of the lord, that is, for the land of la Fryth' which John Everard holds and the land of Cotehull' which Richard Wodoloc holds.</t>
        </is>
      </c>
      <c r="C139" t="n">
        <v>4.84</v>
      </c>
      <c r="D139" t="n">
        <v>4</v>
      </c>
      <c r="E139" t="n">
        <v>16</v>
      </c>
      <c r="F139" t="n">
        <v>10.5</v>
      </c>
      <c r="H139" t="n">
        <v>0</v>
      </c>
      <c r="I139" t="n">
        <v>0</v>
      </c>
      <c r="J139" t="n">
        <v>0</v>
      </c>
      <c r="K139" t="n">
        <v>0</v>
      </c>
      <c r="L139" t="n">
        <v>0</v>
      </c>
      <c r="M139" t="n">
        <v>0</v>
      </c>
      <c r="N139" t="n">
        <v>0</v>
      </c>
    </row>
    <row r="140">
      <c r="A140" t="inlineStr">
        <is>
          <t>Issues of the manor</t>
        </is>
      </c>
      <c r="B140" t="inlineStr">
        <is>
          <t>£1 5 shilling from oaks felled in the park for killing foxes.</t>
        </is>
      </c>
      <c r="C140" t="n">
        <v>1.25</v>
      </c>
      <c r="D140" t="n">
        <v>1</v>
      </c>
      <c r="E140" t="n">
        <v>5</v>
      </c>
      <c r="F140" t="n">
        <v>0</v>
      </c>
      <c r="H140" t="n">
        <v>0</v>
      </c>
      <c r="I140" t="n">
        <v>0</v>
      </c>
      <c r="J140" t="n">
        <v>0</v>
      </c>
      <c r="K140" t="n">
        <v>0</v>
      </c>
      <c r="L140" t="n">
        <v>0</v>
      </c>
      <c r="M140" t="n">
        <v>0</v>
      </c>
      <c r="N140" t="n">
        <v>0</v>
      </c>
    </row>
    <row r="141">
      <c r="A141" t="inlineStr">
        <is>
          <t>Issues of the manor</t>
        </is>
      </c>
      <c r="B141" t="inlineStr">
        <is>
          <t>16 shilling 8pence from 50 acres of land on Almesholte let at farm this year, at 4pence an acre.</t>
        </is>
      </c>
      <c r="C141" t="n">
        <v>0.83</v>
      </c>
      <c r="D141" t="n">
        <v>0</v>
      </c>
      <c r="E141" t="n">
        <v>16</v>
      </c>
      <c r="F141" t="n">
        <v>8</v>
      </c>
      <c r="H141" t="n">
        <v>0</v>
      </c>
      <c r="I141" t="n">
        <v>0</v>
      </c>
      <c r="J141" t="n">
        <v>0</v>
      </c>
      <c r="K141" t="n">
        <v>0</v>
      </c>
      <c r="L141" t="n">
        <v>0</v>
      </c>
      <c r="M141" t="n">
        <v>0</v>
      </c>
      <c r="N141" t="n">
        <v>0</v>
      </c>
    </row>
    <row r="142">
      <c r="A142" t="inlineStr">
        <is>
          <t>Issues of the manor</t>
        </is>
      </c>
      <c r="B142" t="inlineStr">
        <is>
          <t>5pence from the tails and feathers of 2 peacocks.</t>
        </is>
      </c>
      <c r="C142" t="n">
        <v>0.02</v>
      </c>
      <c r="D142" t="n">
        <v>0</v>
      </c>
      <c r="E142" t="n">
        <v>0</v>
      </c>
      <c r="F142" t="n">
        <v>5</v>
      </c>
      <c r="H142" t="n">
        <v>0</v>
      </c>
      <c r="I142" t="n">
        <v>0</v>
      </c>
      <c r="J142" t="n">
        <v>0</v>
      </c>
      <c r="K142" t="n">
        <v>0</v>
      </c>
      <c r="L142" t="n">
        <v>0</v>
      </c>
      <c r="M142" t="n">
        <v>0</v>
      </c>
      <c r="N142" t="n">
        <v>0</v>
      </c>
    </row>
    <row r="143">
      <c r="A143" t="inlineStr">
        <is>
          <t>Issues of the manor</t>
        </is>
      </c>
      <c r="B143" t="inlineStr">
        <is>
          <t>3 shilling 5V2pence from dairy produce sold at the audit.</t>
        </is>
      </c>
      <c r="C143" t="n">
        <v>0.16</v>
      </c>
      <c r="D143" t="n">
        <v>0</v>
      </c>
      <c r="E143" t="n">
        <v>3</v>
      </c>
      <c r="F143" t="n">
        <v>2</v>
      </c>
      <c r="H143" t="n">
        <v>0</v>
      </c>
      <c r="I143" t="n">
        <v>0</v>
      </c>
      <c r="J143" t="n">
        <v>0</v>
      </c>
      <c r="K143" t="n">
        <v>0</v>
      </c>
      <c r="L143" t="n">
        <v>0</v>
      </c>
      <c r="M143" t="n">
        <v>0</v>
      </c>
      <c r="N143" t="n">
        <v>0</v>
      </c>
    </row>
    <row r="144">
      <c r="A144" t="inlineStr">
        <is>
          <t>Issues of the manor</t>
        </is>
      </c>
      <c r="B144" t="inlineStr">
        <is>
          <t>£19 7 shilling 7pence from 50 Yearlings bought and agisted in the park the previous year and afterwards solpence Total, £77 8 shilling 1pence</t>
        </is>
      </c>
      <c r="C144" t="n">
        <v>19.38</v>
      </c>
      <c r="D144" t="n">
        <v>19</v>
      </c>
      <c r="E144" t="n">
        <v>7</v>
      </c>
      <c r="F144" t="n">
        <v>7</v>
      </c>
      <c r="H144" t="n">
        <v>0</v>
      </c>
      <c r="I144" t="n">
        <v>0</v>
      </c>
      <c r="J144" t="n">
        <v>0</v>
      </c>
      <c r="K144" t="n">
        <v>0</v>
      </c>
      <c r="L144" t="n">
        <v>0</v>
      </c>
      <c r="M144" t="n">
        <v>0</v>
      </c>
      <c r="N144" t="n">
        <v>0</v>
      </c>
    </row>
    <row r="145">
      <c r="A145" t="inlineStr">
        <is>
          <t>Sale of corn</t>
        </is>
      </c>
      <c r="B145" t="inlineStr">
        <is>
          <t>The same render account for £22 15 shilling 8.5pence from 73.5 quarters of wheat sold, at 5 shilling a quarters for 7.5 quarters 1 bushels, 5 shilling 4pence a quarters for 6.5 quarters, 6 shilling a quarters for 19 quarters 3 bushels, and 6 shilling 8pence a quarters for 40 quarters..</t>
        </is>
      </c>
      <c r="C145" t="n">
        <v>22.79</v>
      </c>
      <c r="D145" t="n">
        <v>22</v>
      </c>
      <c r="E145" t="n">
        <v>15</v>
      </c>
      <c r="F145" t="n">
        <v>8.5</v>
      </c>
      <c r="G145" t="inlineStr">
        <is>
          <t>wheat</t>
        </is>
      </c>
      <c r="H145" t="n">
        <v>73</v>
      </c>
      <c r="I145" t="n">
        <v>4</v>
      </c>
      <c r="J145" t="n">
        <v>73.5</v>
      </c>
      <c r="K145" t="n">
        <v>73.5</v>
      </c>
      <c r="L145" t="n">
        <v>0</v>
      </c>
      <c r="M145" t="n">
        <v>73.5</v>
      </c>
      <c r="N145" t="n">
        <v>0</v>
      </c>
      <c r="O145" t="n">
        <v>7.5</v>
      </c>
      <c r="P145" t="n">
        <v>1</v>
      </c>
      <c r="Q145" t="n">
        <v>6.5</v>
      </c>
      <c r="R145" t="n">
        <v>0</v>
      </c>
      <c r="S145" t="n">
        <v>19</v>
      </c>
      <c r="T145" t="n">
        <v>3</v>
      </c>
      <c r="U145" t="n">
        <v>40</v>
      </c>
      <c r="V145" t="n">
        <v>0</v>
      </c>
      <c r="W145" t="n">
        <v>5</v>
      </c>
      <c r="X145" t="n">
        <v>0</v>
      </c>
      <c r="Y145" t="n">
        <v>5</v>
      </c>
      <c r="Z145" t="n">
        <v>4</v>
      </c>
      <c r="AA145" t="n">
        <v>6</v>
      </c>
      <c r="AB145" t="n">
        <v>0</v>
      </c>
      <c r="AC145" t="n">
        <v>6</v>
      </c>
      <c r="AD145" t="n">
        <v>8</v>
      </c>
    </row>
    <row r="146">
      <c r="A146" t="inlineStr">
        <is>
          <t>Sale of corn</t>
        </is>
      </c>
      <c r="B146" t="inlineStr">
        <is>
          <t>17 shilling 5.75pence from 8 quarters' bushels of curall sold, at 2 shilling a quarters for 4 quarters, and 2 shilling 4pence a quarters for 4 quarters .5 bushels.</t>
        </is>
      </c>
      <c r="C146" t="n">
        <v>0.87</v>
      </c>
      <c r="D146" t="n">
        <v>0</v>
      </c>
      <c r="E146" t="n">
        <v>17</v>
      </c>
      <c r="F146" t="n">
        <v>5.75</v>
      </c>
      <c r="G146" t="inlineStr">
        <is>
          <t>curall</t>
        </is>
      </c>
      <c r="H146" t="n">
        <v>8</v>
      </c>
      <c r="I146" t="n">
        <v>5</v>
      </c>
      <c r="J146" t="n">
        <v>8.625</v>
      </c>
      <c r="K146" t="n">
        <v>8</v>
      </c>
      <c r="L146" t="n">
        <v>0.625</v>
      </c>
      <c r="M146" t="n">
        <v>8</v>
      </c>
      <c r="N146" t="n">
        <v>0</v>
      </c>
      <c r="O146" t="n">
        <v>4</v>
      </c>
      <c r="P146" t="n">
        <v>0</v>
      </c>
      <c r="Q146" t="n">
        <v>4</v>
      </c>
      <c r="R146" t="n">
        <v>0</v>
      </c>
      <c r="S146" t="n">
        <v>0</v>
      </c>
      <c r="T146" t="n">
        <v>5</v>
      </c>
      <c r="W146" t="n">
        <v>2</v>
      </c>
      <c r="X146" t="n">
        <v>0</v>
      </c>
      <c r="Y146" t="n">
        <v>2</v>
      </c>
      <c r="Z146" t="n">
        <v>4</v>
      </c>
    </row>
    <row r="147">
      <c r="A147" t="inlineStr">
        <is>
          <t>Sale of corn</t>
        </is>
      </c>
      <c r="B147" t="inlineStr">
        <is>
          <t>£1 1 shilling 3pence from 5 quarters 2.5 bushels of barley sold, at 4 shilling a quarters.</t>
        </is>
      </c>
      <c r="C147" t="n">
        <v>1.06</v>
      </c>
      <c r="D147" t="n">
        <v>1</v>
      </c>
      <c r="E147" t="n">
        <v>1</v>
      </c>
      <c r="F147" t="n">
        <v>3</v>
      </c>
      <c r="G147" t="inlineStr">
        <is>
          <t>barley</t>
        </is>
      </c>
      <c r="H147" t="n">
        <v>5</v>
      </c>
      <c r="I147" t="n">
        <v>2.5</v>
      </c>
      <c r="J147" t="n">
        <v>5.3125</v>
      </c>
      <c r="K147" t="n">
        <v>5.3125</v>
      </c>
      <c r="L147" t="n">
        <v>0</v>
      </c>
      <c r="M147" t="n">
        <v>5</v>
      </c>
      <c r="N147" t="n">
        <v>2.5</v>
      </c>
      <c r="W147" t="n">
        <v>4</v>
      </c>
      <c r="X147" t="n">
        <v>0</v>
      </c>
    </row>
    <row r="148">
      <c r="A148" t="inlineStr">
        <is>
          <t>Sale of corn</t>
        </is>
      </c>
      <c r="B148" t="inlineStr">
        <is>
          <t>£6 13 shilling 10pence from 58.5 quarters 3 bushels, of oats sold, at 2 shilling a quarters for 31 quarters, 2 shilling 4pence a quarters for 7.5 quarters, and 2 shilling 8pence a quarters for 20 quarters 3 bushels.</t>
        </is>
      </c>
      <c r="C148" t="n">
        <v>6.69</v>
      </c>
      <c r="D148" t="n">
        <v>6</v>
      </c>
      <c r="E148" t="n">
        <v>13</v>
      </c>
      <c r="F148" t="n">
        <v>10</v>
      </c>
      <c r="G148" t="inlineStr">
        <is>
          <t>oats</t>
        </is>
      </c>
      <c r="H148" t="n">
        <v>58.5</v>
      </c>
      <c r="I148" t="n">
        <v>3</v>
      </c>
      <c r="J148" t="n">
        <v>58.875</v>
      </c>
      <c r="K148" t="n">
        <v>58.875</v>
      </c>
      <c r="L148" t="n">
        <v>0</v>
      </c>
      <c r="M148" t="n">
        <v>58.5</v>
      </c>
      <c r="N148" t="n">
        <v>3</v>
      </c>
      <c r="O148" t="n">
        <v>31</v>
      </c>
      <c r="P148" t="n">
        <v>0</v>
      </c>
      <c r="Q148" t="n">
        <v>7.5</v>
      </c>
      <c r="R148" t="n">
        <v>0</v>
      </c>
      <c r="S148" t="n">
        <v>20</v>
      </c>
      <c r="T148" t="n">
        <v>3</v>
      </c>
      <c r="W148" t="n">
        <v>2</v>
      </c>
      <c r="X148" t="n">
        <v>0</v>
      </c>
      <c r="Y148" t="n">
        <v>2</v>
      </c>
      <c r="Z148" t="n">
        <v>4</v>
      </c>
      <c r="AA148" t="n">
        <v>2</v>
      </c>
      <c r="AB148" t="n">
        <v>8</v>
      </c>
    </row>
    <row r="149">
      <c r="A149" t="inlineStr">
        <is>
          <t>Sale of corn</t>
        </is>
      </c>
      <c r="B149" t="inlineStr">
        <is>
          <t>8pence from 2 bushels of peas sold.</t>
        </is>
      </c>
      <c r="C149" t="n">
        <v>0.03</v>
      </c>
      <c r="D149" t="n">
        <v>0</v>
      </c>
      <c r="E149" t="n">
        <v>0</v>
      </c>
      <c r="F149" t="n">
        <v>8</v>
      </c>
      <c r="G149" t="inlineStr">
        <is>
          <t>peas</t>
        </is>
      </c>
      <c r="H149" t="n">
        <v>0</v>
      </c>
      <c r="I149" t="n">
        <v>2</v>
      </c>
      <c r="J149" t="n">
        <v>0.25</v>
      </c>
      <c r="K149" t="n">
        <v>0.25</v>
      </c>
      <c r="L149" t="n">
        <v>0</v>
      </c>
      <c r="M149" t="n">
        <v>0</v>
      </c>
      <c r="N149" t="n">
        <v>2</v>
      </c>
    </row>
    <row r="150">
      <c r="A150" t="inlineStr">
        <is>
          <t>Sale of corn</t>
        </is>
      </c>
      <c r="B150" t="inlineStr">
        <is>
          <t>4 shilling 3pence from 2 quarters 1 bushels of vetches sold, at 2 shilling a quarters.</t>
        </is>
      </c>
      <c r="C150" t="n">
        <v>0.21</v>
      </c>
      <c r="D150" t="n">
        <v>0</v>
      </c>
      <c r="E150" t="n">
        <v>4</v>
      </c>
      <c r="F150" t="n">
        <v>3</v>
      </c>
      <c r="G150" t="inlineStr">
        <is>
          <t>vetches</t>
        </is>
      </c>
      <c r="H150" t="n">
        <v>2</v>
      </c>
      <c r="I150" t="n">
        <v>1</v>
      </c>
      <c r="J150" t="n">
        <v>2.125</v>
      </c>
      <c r="K150" t="n">
        <v>2.125</v>
      </c>
      <c r="L150" t="n">
        <v>0</v>
      </c>
      <c r="M150" t="n">
        <v>2</v>
      </c>
      <c r="N150" t="n">
        <v>1</v>
      </c>
      <c r="W150" t="n">
        <v>2</v>
      </c>
      <c r="X150" t="n">
        <v>0</v>
      </c>
    </row>
    <row r="151">
      <c r="A151" t="inlineStr">
        <is>
          <t>Sale of corn</t>
        </is>
      </c>
      <c r="B151" t="inlineStr">
        <is>
          <t>Total, £31 13 shilling 2.25pence</t>
        </is>
      </c>
      <c r="C151" t="n">
        <v>31.66</v>
      </c>
      <c r="D151" t="n">
        <v>31</v>
      </c>
      <c r="E151" t="n">
        <v>13</v>
      </c>
      <c r="F151" t="n">
        <v>2.25</v>
      </c>
      <c r="H151" t="n">
        <v>0</v>
      </c>
      <c r="I151" t="n">
        <v>0</v>
      </c>
      <c r="J151" t="n">
        <v>0</v>
      </c>
      <c r="K151" t="n">
        <v>0</v>
      </c>
      <c r="L151" t="n">
        <v>0</v>
      </c>
      <c r="M151" t="n">
        <v>0</v>
      </c>
      <c r="N151" t="n">
        <v>0</v>
      </c>
    </row>
    <row r="152">
      <c r="A152" t="inlineStr">
        <is>
          <t>East mill</t>
        </is>
      </c>
      <c r="B152" t="inlineStr">
        <is>
          <t>The same render account for 7 shilling 7pence from 1 quarters 3 bushels of wheat sold, at 5 shilling 4pence for 1 quarters, and 9pence a bushels for 3 bushels.</t>
        </is>
      </c>
      <c r="C152" t="n">
        <v>0.38</v>
      </c>
      <c r="D152" t="n">
        <v>0</v>
      </c>
      <c r="E152" t="n">
        <v>7</v>
      </c>
      <c r="F152" t="n">
        <v>7</v>
      </c>
      <c r="G152" t="inlineStr">
        <is>
          <t>wheat</t>
        </is>
      </c>
      <c r="H152" t="n">
        <v>1</v>
      </c>
      <c r="I152" t="n">
        <v>3</v>
      </c>
      <c r="J152" t="n">
        <v>1.375</v>
      </c>
      <c r="K152" t="n">
        <v>1.375</v>
      </c>
      <c r="L152" t="n">
        <v>0</v>
      </c>
      <c r="M152" t="n">
        <v>1</v>
      </c>
      <c r="N152" t="n">
        <v>3</v>
      </c>
      <c r="O152" t="n">
        <v>1</v>
      </c>
      <c r="P152" t="n">
        <v>0</v>
      </c>
      <c r="Q152" t="n">
        <v>0</v>
      </c>
      <c r="R152" t="n">
        <v>3</v>
      </c>
      <c r="AE152" t="n">
        <v>0</v>
      </c>
      <c r="AF152" t="n">
        <v>9</v>
      </c>
    </row>
    <row r="153">
      <c r="A153" t="inlineStr">
        <is>
          <t>East mill</t>
        </is>
      </c>
      <c r="B153" t="inlineStr">
        <is>
          <t>£3 3 shilling 6pence from 18 quarters 1 bushels of maslin sold, at 3 shilling 4pence a quarters for 7 quarters, and 4 shilling a quarters for 8 quarters 1 bushels Total, £3 11 shilling 1pence</t>
        </is>
      </c>
      <c r="C153" t="n">
        <v>3.17</v>
      </c>
      <c r="D153" t="n">
        <v>3</v>
      </c>
      <c r="E153" t="n">
        <v>3</v>
      </c>
      <c r="F153" t="n">
        <v>6</v>
      </c>
      <c r="G153" t="inlineStr">
        <is>
          <t>maslin</t>
        </is>
      </c>
      <c r="H153" t="n">
        <v>15</v>
      </c>
      <c r="I153" t="n">
        <v>1</v>
      </c>
      <c r="J153" t="n">
        <v>15.125</v>
      </c>
      <c r="K153" t="n">
        <v>18.125</v>
      </c>
      <c r="L153" t="n">
        <v>-3</v>
      </c>
      <c r="M153" t="n">
        <v>18</v>
      </c>
      <c r="N153" t="n">
        <v>1</v>
      </c>
      <c r="O153" t="n">
        <v>7</v>
      </c>
      <c r="P153" t="n">
        <v>0</v>
      </c>
      <c r="Q153" t="n">
        <v>8</v>
      </c>
      <c r="R153" t="n">
        <v>1</v>
      </c>
      <c r="W153" t="n">
        <v>3</v>
      </c>
      <c r="X153" t="n">
        <v>4</v>
      </c>
      <c r="Y153" t="n">
        <v>4</v>
      </c>
      <c r="Z153" t="n">
        <v>0</v>
      </c>
    </row>
    <row r="154">
      <c r="A154" t="inlineStr">
        <is>
          <t>Mill outside the gate</t>
        </is>
      </c>
      <c r="B154" t="inlineStr">
        <is>
          <t>The same render account for 6 shilling 3pence from 1 quarters 1 bushels of wheat sold, at 7pence for 1 bushels, 8pence a bushels for 4 bushels, and 9pence a bushels for 3 bushels.</t>
        </is>
      </c>
      <c r="C154" t="n">
        <v>0.31</v>
      </c>
      <c r="D154" t="n">
        <v>0</v>
      </c>
      <c r="E154" t="n">
        <v>6</v>
      </c>
      <c r="F154" t="n">
        <v>3</v>
      </c>
      <c r="G154" t="inlineStr">
        <is>
          <t>wheat</t>
        </is>
      </c>
      <c r="H154" t="n">
        <v>1</v>
      </c>
      <c r="I154" t="n">
        <v>8</v>
      </c>
      <c r="J154" t="n">
        <v>2</v>
      </c>
      <c r="K154" t="n">
        <v>1.125</v>
      </c>
      <c r="L154" t="n">
        <v>0.875</v>
      </c>
      <c r="M154" t="n">
        <v>1</v>
      </c>
      <c r="N154" t="n">
        <v>1</v>
      </c>
      <c r="O154" t="n">
        <v>0</v>
      </c>
      <c r="P154" t="n">
        <v>1</v>
      </c>
      <c r="Q154" t="n">
        <v>0</v>
      </c>
      <c r="R154" t="n">
        <v>4</v>
      </c>
      <c r="S154" t="n">
        <v>0</v>
      </c>
      <c r="T154" t="n">
        <v>3</v>
      </c>
      <c r="AE154" t="n">
        <v>0</v>
      </c>
      <c r="AF154" t="n">
        <v>8</v>
      </c>
      <c r="AG154" t="n">
        <v>0</v>
      </c>
      <c r="AH154" t="n">
        <v>9</v>
      </c>
    </row>
    <row r="155">
      <c r="A155" t="inlineStr">
        <is>
          <t>Mill outside the gate</t>
        </is>
      </c>
      <c r="B155" t="inlineStr">
        <is>
          <t>9 shilling 2r.5-1pence from 2 quarters 5 bushels of maslin sold, at 4.5pence a bushels for 5 bushels, 3 shilling 4pence for 1 quarters, and 4 shilling for 1 quarters.</t>
        </is>
      </c>
      <c r="C155" t="n">
        <v>0.45</v>
      </c>
      <c r="D155" t="n">
        <v>0</v>
      </c>
      <c r="E155" t="n">
        <v>9</v>
      </c>
      <c r="F155" t="n">
        <v>1</v>
      </c>
      <c r="G155" t="inlineStr">
        <is>
          <t>maslin</t>
        </is>
      </c>
      <c r="H155" t="n">
        <v>2</v>
      </c>
      <c r="I155" t="n">
        <v>5</v>
      </c>
      <c r="J155" t="n">
        <v>2.625</v>
      </c>
      <c r="K155" t="n">
        <v>2.625</v>
      </c>
      <c r="L155" t="n">
        <v>0</v>
      </c>
      <c r="M155" t="n">
        <v>2</v>
      </c>
      <c r="N155" t="n">
        <v>5</v>
      </c>
      <c r="O155" t="n">
        <v>0</v>
      </c>
      <c r="P155" t="n">
        <v>5</v>
      </c>
      <c r="Q155" t="n">
        <v>1</v>
      </c>
      <c r="R155" t="n">
        <v>0</v>
      </c>
      <c r="S155" t="n">
        <v>1</v>
      </c>
      <c r="T155" t="n">
        <v>0</v>
      </c>
      <c r="AE155" t="n">
        <v>0</v>
      </c>
      <c r="AF155" t="n">
        <v>4.5</v>
      </c>
    </row>
    <row r="156">
      <c r="A156" t="inlineStr">
        <is>
          <t>Mill outside the gate</t>
        </is>
      </c>
      <c r="B156" t="inlineStr">
        <is>
          <t>£1 12 shilling 4pence from 5 quarters 5.5 bushels of coarse-ground corn sold, at 5 shilling 4pence a quarters for 2 quarters 5.5 bushels, and 6 shilling a quarters for 3 quarters.</t>
        </is>
      </c>
      <c r="C156" t="n">
        <v>1.62</v>
      </c>
      <c r="D156" t="n">
        <v>1</v>
      </c>
      <c r="E156" t="n">
        <v>12</v>
      </c>
      <c r="F156" t="n">
        <v>4</v>
      </c>
      <c r="H156" t="n">
        <v>5</v>
      </c>
      <c r="I156" t="n">
        <v>5.5</v>
      </c>
      <c r="J156" t="n">
        <v>5.6875</v>
      </c>
      <c r="K156" t="n">
        <v>5.6875</v>
      </c>
      <c r="L156" t="n">
        <v>0</v>
      </c>
      <c r="M156" t="n">
        <v>5</v>
      </c>
      <c r="N156" t="n">
        <v>5.5</v>
      </c>
      <c r="O156" t="n">
        <v>2</v>
      </c>
      <c r="P156" t="n">
        <v>5.5</v>
      </c>
      <c r="Q156" t="n">
        <v>3</v>
      </c>
      <c r="R156" t="n">
        <v>0</v>
      </c>
      <c r="W156" t="n">
        <v>5</v>
      </c>
      <c r="X156" t="n">
        <v>4</v>
      </c>
      <c r="Y156" t="n">
        <v>6</v>
      </c>
      <c r="Z156" t="n">
        <v>0</v>
      </c>
    </row>
    <row r="157">
      <c r="A157" t="inlineStr">
        <is>
          <t>Mill outside the gate</t>
        </is>
      </c>
      <c r="B157" t="inlineStr">
        <is>
          <t>£1 13 shilling 8pence from 13.5 quarters of malt sold, at 2 shilling 4pence a quarters for 5 quarters, 2 shilling 6pence a quarters for 4 quarters, and 2 shilling 8pence a quarters for 4.5 quarters.</t>
        </is>
      </c>
      <c r="C157" t="n">
        <v>1.68</v>
      </c>
      <c r="D157" t="n">
        <v>1</v>
      </c>
      <c r="E157" t="n">
        <v>13</v>
      </c>
      <c r="F157" t="n">
        <v>8</v>
      </c>
      <c r="H157" t="n">
        <v>13.5</v>
      </c>
      <c r="I157" t="n">
        <v>0</v>
      </c>
      <c r="J157" t="n">
        <v>13.5</v>
      </c>
      <c r="K157" t="n">
        <v>13.5</v>
      </c>
      <c r="L157" t="n">
        <v>0</v>
      </c>
      <c r="M157" t="n">
        <v>13.5</v>
      </c>
      <c r="N157" t="n">
        <v>0</v>
      </c>
      <c r="O157" t="n">
        <v>5</v>
      </c>
      <c r="P157" t="n">
        <v>0</v>
      </c>
      <c r="Q157" t="n">
        <v>4</v>
      </c>
      <c r="R157" t="n">
        <v>0</v>
      </c>
      <c r="S157" t="n">
        <v>4.5</v>
      </c>
      <c r="T157" t="n">
        <v>0</v>
      </c>
      <c r="W157" t="n">
        <v>2</v>
      </c>
      <c r="X157" t="n">
        <v>4</v>
      </c>
      <c r="Y157" t="n">
        <v>2</v>
      </c>
      <c r="Z157" t="n">
        <v>6</v>
      </c>
      <c r="AA157" t="n">
        <v>2</v>
      </c>
      <c r="AB157" t="n">
        <v>8</v>
      </c>
    </row>
    <row r="158">
      <c r="A158" t="inlineStr">
        <is>
          <t>Mill outside the gate</t>
        </is>
      </c>
      <c r="B158" t="inlineStr">
        <is>
          <t>6 shilling 8pence from 1 quarters of oatmeal solpence Total, £4 8 shilling 1.5pence Total of both, £7 19 shilling 2.5pence</t>
        </is>
      </c>
      <c r="C158" t="n">
        <v>4.41</v>
      </c>
      <c r="D158" t="n">
        <v>4</v>
      </c>
      <c r="E158" t="n">
        <v>8</v>
      </c>
      <c r="F158" t="n">
        <v>1.5</v>
      </c>
      <c r="G158" t="inlineStr">
        <is>
          <t>oatmeal</t>
        </is>
      </c>
      <c r="H158" t="n">
        <v>1</v>
      </c>
      <c r="I158" t="n">
        <v>0</v>
      </c>
      <c r="J158" t="n">
        <v>1</v>
      </c>
      <c r="K158" t="n">
        <v>1</v>
      </c>
      <c r="L158" t="n">
        <v>0</v>
      </c>
      <c r="M158" t="n">
        <v>1</v>
      </c>
      <c r="N158" t="n">
        <v>0</v>
      </c>
    </row>
    <row r="159">
      <c r="A159" t="inlineStr">
        <is>
          <t>Entry and marriage fines</t>
        </is>
      </c>
      <c r="B159" t="inlineStr">
        <is>
          <t>The same render account for 10 shilling from the 2 tithings of Bishops Waltham for tithingpenny at the hundred-court of Martinmas (11 November).</t>
        </is>
      </c>
      <c r="C159" t="n">
        <v>0.5</v>
      </c>
      <c r="D159" t="n">
        <v>0</v>
      </c>
      <c r="E159" t="n">
        <v>10</v>
      </c>
      <c r="F159" t="n">
        <v>0</v>
      </c>
      <c r="H159" t="n">
        <v>0</v>
      </c>
      <c r="I159" t="n">
        <v>0</v>
      </c>
      <c r="J159" t="n">
        <v>0</v>
      </c>
      <c r="K159" t="n">
        <v>0</v>
      </c>
      <c r="L159" t="n">
        <v>0</v>
      </c>
      <c r="M159" t="n">
        <v>0</v>
      </c>
      <c r="N159" t="n">
        <v>0</v>
      </c>
    </row>
    <row r="160">
      <c r="A160" t="inlineStr">
        <is>
          <t>Entry and marriage fines</t>
        </is>
      </c>
      <c r="B160" t="inlineStr">
        <is>
          <t>4 shilling from the tithing of Mensingefeld' for the same.</t>
        </is>
      </c>
      <c r="C160" t="n">
        <v>0.2</v>
      </c>
      <c r="D160" t="n">
        <v>0</v>
      </c>
      <c r="E160" t="n">
        <v>4</v>
      </c>
      <c r="F160" t="n">
        <v>0</v>
      </c>
      <c r="H160" t="n">
        <v>0</v>
      </c>
      <c r="I160" t="n">
        <v>0</v>
      </c>
      <c r="J160" t="n">
        <v>0</v>
      </c>
      <c r="K160" t="n">
        <v>0</v>
      </c>
      <c r="L160" t="n">
        <v>0</v>
      </c>
      <c r="M160" t="n">
        <v>0</v>
      </c>
      <c r="N160" t="n">
        <v>0</v>
      </c>
    </row>
    <row r="161">
      <c r="A161" t="inlineStr">
        <is>
          <t>Entry and marriage fines</t>
        </is>
      </c>
      <c r="B161" t="inlineStr">
        <is>
          <t>4 shilling from the tithing of Bursledon for the same.</t>
        </is>
      </c>
      <c r="C161" t="n">
        <v>0.2</v>
      </c>
      <c r="D161" t="n">
        <v>0</v>
      </c>
      <c r="E161" t="n">
        <v>4</v>
      </c>
      <c r="F161" t="n">
        <v>0</v>
      </c>
      <c r="H161" t="n">
        <v>0</v>
      </c>
      <c r="I161" t="n">
        <v>0</v>
      </c>
      <c r="J161" t="n">
        <v>0</v>
      </c>
      <c r="K161" t="n">
        <v>0</v>
      </c>
      <c r="L161" t="n">
        <v>0</v>
      </c>
      <c r="M161" t="n">
        <v>0</v>
      </c>
      <c r="N161" t="n">
        <v>0</v>
      </c>
    </row>
    <row r="162">
      <c r="A162" t="inlineStr">
        <is>
          <t>Entry and marriage fines</t>
        </is>
      </c>
      <c r="B162" t="inlineStr">
        <is>
          <t>1 shilling 6pence from the tithing of Hou for the same.</t>
        </is>
      </c>
      <c r="C162" t="n">
        <v>0.08</v>
      </c>
      <c r="D162" t="n">
        <v>0</v>
      </c>
      <c r="E162" t="n">
        <v>1</v>
      </c>
      <c r="F162" t="n">
        <v>6</v>
      </c>
      <c r="H162" t="n">
        <v>0</v>
      </c>
      <c r="I162" t="n">
        <v>0</v>
      </c>
      <c r="J162" t="n">
        <v>0</v>
      </c>
      <c r="K162" t="n">
        <v>0</v>
      </c>
      <c r="L162" t="n">
        <v>0</v>
      </c>
      <c r="M162" t="n">
        <v>0</v>
      </c>
      <c r="N162" t="n">
        <v>0</v>
      </c>
    </row>
    <row r="163">
      <c r="A163" t="inlineStr">
        <is>
          <t>Entry and marriage fines</t>
        </is>
      </c>
      <c r="B163" t="inlineStr">
        <is>
          <t>4 shilling from the tithing of Wangefeld' for the same.</t>
        </is>
      </c>
      <c r="C163" t="n">
        <v>0.2</v>
      </c>
      <c r="D163" t="n">
        <v>0</v>
      </c>
      <c r="E163" t="n">
        <v>4</v>
      </c>
      <c r="F163" t="n">
        <v>0</v>
      </c>
      <c r="H163" t="n">
        <v>0</v>
      </c>
      <c r="I163" t="n">
        <v>0</v>
      </c>
      <c r="J163" t="n">
        <v>0</v>
      </c>
      <c r="K163" t="n">
        <v>0</v>
      </c>
      <c r="L163" t="n">
        <v>0</v>
      </c>
      <c r="M163" t="n">
        <v>0</v>
      </c>
      <c r="N163" t="n">
        <v>0</v>
      </c>
    </row>
    <row r="164">
      <c r="A164" t="inlineStr">
        <is>
          <t>Entry and marriage fines</t>
        </is>
      </c>
      <c r="B164" t="inlineStr">
        <is>
          <t>3 shilling from the tithing of Durley for the same.</t>
        </is>
      </c>
      <c r="C164" t="n">
        <v>0.15</v>
      </c>
      <c r="D164" t="n">
        <v>0</v>
      </c>
      <c r="E164" t="n">
        <v>3</v>
      </c>
      <c r="F164" t="n">
        <v>0</v>
      </c>
      <c r="H164" t="n">
        <v>0</v>
      </c>
      <c r="I164" t="n">
        <v>0</v>
      </c>
      <c r="J164" t="n">
        <v>0</v>
      </c>
      <c r="K164" t="n">
        <v>0</v>
      </c>
      <c r="L164" t="n">
        <v>0</v>
      </c>
      <c r="M164" t="n">
        <v>0</v>
      </c>
      <c r="N164" t="n">
        <v>0</v>
      </c>
    </row>
    <row r="165">
      <c r="A165" t="inlineStr">
        <is>
          <t>Entry and marriage fines</t>
        </is>
      </c>
      <c r="B165" t="inlineStr">
        <is>
          <t>2 shilling 6pence from the tithing of Wyntershll' for the same.</t>
        </is>
      </c>
      <c r="C165" t="n">
        <v>0.12</v>
      </c>
      <c r="D165" t="n">
        <v>0</v>
      </c>
      <c r="E165" t="n">
        <v>2</v>
      </c>
      <c r="F165" t="n">
        <v>6</v>
      </c>
      <c r="H165" t="n">
        <v>0</v>
      </c>
      <c r="I165" t="n">
        <v>0</v>
      </c>
      <c r="J165" t="n">
        <v>0</v>
      </c>
      <c r="K165" t="n">
        <v>0</v>
      </c>
      <c r="L165" t="n">
        <v>0</v>
      </c>
      <c r="M165" t="n">
        <v>0</v>
      </c>
      <c r="N165" t="n">
        <v>0</v>
      </c>
    </row>
    <row r="166">
      <c r="A166" t="inlineStr">
        <is>
          <t>Entry and marriage fines</t>
        </is>
      </c>
      <c r="B166" t="inlineStr">
        <is>
          <t>3 shilling from the tithing of Upham for the same.</t>
        </is>
      </c>
      <c r="C166" t="n">
        <v>0.15</v>
      </c>
      <c r="D166" t="n">
        <v>0</v>
      </c>
      <c r="E166" t="n">
        <v>3</v>
      </c>
      <c r="F166" t="n">
        <v>0</v>
      </c>
      <c r="H166" t="n">
        <v>0</v>
      </c>
      <c r="I166" t="n">
        <v>0</v>
      </c>
      <c r="J166" t="n">
        <v>0</v>
      </c>
      <c r="K166" t="n">
        <v>0</v>
      </c>
      <c r="L166" t="n">
        <v>0</v>
      </c>
      <c r="M166" t="n">
        <v>0</v>
      </c>
      <c r="N166" t="n">
        <v>0</v>
      </c>
    </row>
    <row r="167">
      <c r="A167" t="inlineStr">
        <is>
          <t>Entry and marriage fines</t>
        </is>
      </c>
      <c r="B167" t="inlineStr">
        <is>
          <t>3 shilling from the tithing of Wodekot' for the same.</t>
        </is>
      </c>
      <c r="C167" t="n">
        <v>0.15</v>
      </c>
      <c r="D167" t="n">
        <v>0</v>
      </c>
      <c r="E167" t="n">
        <v>3</v>
      </c>
      <c r="F167" t="n">
        <v>0</v>
      </c>
      <c r="H167" t="n">
        <v>0</v>
      </c>
      <c r="I167" t="n">
        <v>0</v>
      </c>
      <c r="J167" t="n">
        <v>0</v>
      </c>
      <c r="K167" t="n">
        <v>0</v>
      </c>
      <c r="L167" t="n">
        <v>0</v>
      </c>
      <c r="M167" t="n">
        <v>0</v>
      </c>
      <c r="N167" t="n">
        <v>0</v>
      </c>
    </row>
    <row r="168">
      <c r="A168" t="inlineStr">
        <is>
          <t>Entry and marriage fines</t>
        </is>
      </c>
      <c r="B168" t="inlineStr">
        <is>
          <t>3 shilling from the tithing of Ashton for the same.</t>
        </is>
      </c>
      <c r="C168" t="n">
        <v>0.15</v>
      </c>
      <c r="D168" t="n">
        <v>0</v>
      </c>
      <c r="E168" t="n">
        <v>3</v>
      </c>
      <c r="F168" t="n">
        <v>0</v>
      </c>
      <c r="H168" t="n">
        <v>0</v>
      </c>
      <c r="I168" t="n">
        <v>0</v>
      </c>
      <c r="J168" t="n">
        <v>0</v>
      </c>
      <c r="K168" t="n">
        <v>0</v>
      </c>
      <c r="L168" t="n">
        <v>0</v>
      </c>
      <c r="M168" t="n">
        <v>0</v>
      </c>
      <c r="N168" t="n">
        <v>0</v>
      </c>
    </row>
    <row r="169">
      <c r="A169" t="inlineStr">
        <is>
          <t>Entry and marriage fines</t>
        </is>
      </c>
      <c r="B169" t="inlineStr">
        <is>
          <t>£1 18 shilling from the same tithings for tithingpenny at the hundred-court of Hockday (1 May).</t>
        </is>
      </c>
      <c r="C169" t="n">
        <v>1.9</v>
      </c>
      <c r="D169" t="n">
        <v>1</v>
      </c>
      <c r="E169" t="n">
        <v>18</v>
      </c>
      <c r="F169" t="n">
        <v>0</v>
      </c>
      <c r="H169" t="n">
        <v>0</v>
      </c>
      <c r="I169" t="n">
        <v>0</v>
      </c>
      <c r="J169" t="n">
        <v>0</v>
      </c>
      <c r="K169" t="n">
        <v>0</v>
      </c>
      <c r="L169" t="n">
        <v>0</v>
      </c>
      <c r="M169" t="n">
        <v>0</v>
      </c>
      <c r="N169" t="n">
        <v>0</v>
      </c>
    </row>
    <row r="170">
      <c r="A170" t="inlineStr">
        <is>
          <t>Entry and marriage fines</t>
        </is>
      </c>
      <c r="B170" t="inlineStr">
        <is>
          <t>6 shilling 8pence from Mork to have a third of .5 virgate of land which belonged to Agnes his mother.</t>
        </is>
      </c>
      <c r="C170" t="n">
        <v>0.33</v>
      </c>
      <c r="D170" t="n">
        <v>0</v>
      </c>
      <c r="E170" t="n">
        <v>6</v>
      </c>
      <c r="F170" t="n">
        <v>8</v>
      </c>
      <c r="H170" t="n">
        <v>0</v>
      </c>
      <c r="I170" t="n">
        <v>0</v>
      </c>
      <c r="J170" t="n">
        <v>0</v>
      </c>
      <c r="K170" t="n">
        <v>0</v>
      </c>
      <c r="L170" t="n">
        <v>0</v>
      </c>
      <c r="M170" t="n">
        <v>0</v>
      </c>
      <c r="N170" t="n">
        <v>0</v>
      </c>
    </row>
    <row r="171">
      <c r="A171" t="inlineStr">
        <is>
          <t>Entry and marriage fines</t>
        </is>
      </c>
      <c r="B171" t="inlineStr">
        <is>
          <t>2 shilling from Robert ate Fryth' to have 2 day-works (daywrk') of land by surrender of the said le Cokery, to build and live on the said holding.</t>
        </is>
      </c>
      <c r="C171" t="n">
        <v>0.1</v>
      </c>
      <c r="D171" t="n">
        <v>0</v>
      </c>
      <c r="E171" t="n">
        <v>2</v>
      </c>
      <c r="F171" t="n">
        <v>0</v>
      </c>
      <c r="H171" t="n">
        <v>0</v>
      </c>
      <c r="I171" t="n">
        <v>0</v>
      </c>
      <c r="J171" t="n">
        <v>0</v>
      </c>
      <c r="K171" t="n">
        <v>0</v>
      </c>
      <c r="L171" t="n">
        <v>0</v>
      </c>
      <c r="M171" t="n">
        <v>0</v>
      </c>
      <c r="N171" t="n">
        <v>0</v>
      </c>
    </row>
    <row r="172">
      <c r="A172" t="inlineStr">
        <is>
          <t>Entry and marriage fines</t>
        </is>
      </c>
      <c r="B172" t="inlineStr">
        <is>
          <t>13 shilling 4pence from Adam ate Brok to have Laura, who was wife of Roger ate Wynd', with her land.</t>
        </is>
      </c>
      <c r="C172" t="n">
        <v>0.67</v>
      </c>
      <c r="D172" t="n">
        <v>0</v>
      </c>
      <c r="E172" t="n">
        <v>13</v>
      </c>
      <c r="F172" t="n">
        <v>4</v>
      </c>
      <c r="H172" t="n">
        <v>0</v>
      </c>
      <c r="I172" t="n">
        <v>0</v>
      </c>
      <c r="J172" t="n">
        <v>0</v>
      </c>
      <c r="K172" t="n">
        <v>0</v>
      </c>
      <c r="L172" t="n">
        <v>0</v>
      </c>
      <c r="M172" t="n">
        <v>0</v>
      </c>
      <c r="N172" t="n">
        <v>0</v>
      </c>
    </row>
    <row r="173">
      <c r="A173" t="inlineStr">
        <is>
          <t>Entry and marriage fines</t>
        </is>
      </c>
      <c r="B173" t="inlineStr">
        <is>
          <t>2 shilling from Alice, relict of John le Duk', to retain 1 ferling of land which belonged to her husband.</t>
        </is>
      </c>
      <c r="C173" t="n">
        <v>0.1</v>
      </c>
      <c r="D173" t="n">
        <v>0</v>
      </c>
      <c r="E173" t="n">
        <v>2</v>
      </c>
      <c r="F173" t="n">
        <v>0</v>
      </c>
      <c r="H173" t="n">
        <v>0</v>
      </c>
      <c r="I173" t="n">
        <v>0</v>
      </c>
      <c r="J173" t="n">
        <v>0</v>
      </c>
      <c r="K173" t="n">
        <v>0</v>
      </c>
      <c r="L173" t="n">
        <v>0</v>
      </c>
      <c r="M173" t="n">
        <v>0</v>
      </c>
      <c r="N173" t="n">
        <v>0</v>
      </c>
    </row>
    <row r="174">
      <c r="A174" t="inlineStr">
        <is>
          <t>Entry and marriage fines</t>
        </is>
      </c>
      <c r="B174" t="inlineStr">
        <is>
          <t>1 shilling from Agnes, who was wife of John Shope, to retain 1 cottage and 1 curtilage which belonged to her husband.</t>
        </is>
      </c>
      <c r="C174" t="n">
        <v>0.05</v>
      </c>
      <c r="D174" t="n">
        <v>0</v>
      </c>
      <c r="E174" t="n">
        <v>1</v>
      </c>
      <c r="F174" t="n">
        <v>0</v>
      </c>
      <c r="H174" t="n">
        <v>0</v>
      </c>
      <c r="I174" t="n">
        <v>0</v>
      </c>
      <c r="J174" t="n">
        <v>0</v>
      </c>
      <c r="K174" t="n">
        <v>0</v>
      </c>
      <c r="L174" t="n">
        <v>0</v>
      </c>
      <c r="M174" t="n">
        <v>0</v>
      </c>
      <c r="N174" t="n">
        <v>0</v>
      </c>
    </row>
    <row r="175">
      <c r="A175" t="inlineStr">
        <is>
          <t>Entry and marriage fines</t>
        </is>
      </c>
      <c r="B175" t="inlineStr">
        <is>
          <t>£9 from Richard Everard' to have 1 ferling of land by surrender of Walter Ude.</t>
        </is>
      </c>
      <c r="C175" t="n">
        <v>9</v>
      </c>
      <c r="D175" t="n">
        <v>9</v>
      </c>
      <c r="E175" t="n">
        <v>0</v>
      </c>
      <c r="F175" t="n">
        <v>0</v>
      </c>
      <c r="H175" t="n">
        <v>0</v>
      </c>
      <c r="I175" t="n">
        <v>0</v>
      </c>
      <c r="J175" t="n">
        <v>0</v>
      </c>
      <c r="K175" t="n">
        <v>0</v>
      </c>
      <c r="L175" t="n">
        <v>0</v>
      </c>
      <c r="M175" t="n">
        <v>0</v>
      </c>
      <c r="N175" t="n">
        <v>0</v>
      </c>
    </row>
    <row r="176">
      <c r="A176" t="inlineStr">
        <is>
          <t>Entry and marriage fines</t>
        </is>
      </c>
      <c r="B176" t="inlineStr">
        <is>
          <t>2 shilling from Mice, relict of Henry Wygayn, to retain 1 cottage and 1 curtilage which belonged to her husband.</t>
        </is>
      </c>
      <c r="C176" t="n">
        <v>0.1</v>
      </c>
      <c r="D176" t="n">
        <v>0</v>
      </c>
      <c r="E176" t="n">
        <v>2</v>
      </c>
      <c r="F176" t="n">
        <v>0</v>
      </c>
      <c r="H176" t="n">
        <v>0</v>
      </c>
      <c r="I176" t="n">
        <v>0</v>
      </c>
      <c r="J176" t="n">
        <v>0</v>
      </c>
      <c r="K176" t="n">
        <v>0</v>
      </c>
      <c r="L176" t="n">
        <v>0</v>
      </c>
      <c r="M176" t="n">
        <v>0</v>
      </c>
      <c r="N176" t="n">
        <v>0</v>
      </c>
    </row>
    <row r="177">
      <c r="A177" t="inlineStr">
        <is>
          <t>Entry and marriage fines</t>
        </is>
      </c>
      <c r="B177" t="inlineStr">
        <is>
          <t>6 shilling 8pence from Isabel, who was wife of Henry le French', to retain .5 virgate of land which belonged to her husband.</t>
        </is>
      </c>
      <c r="C177" t="n">
        <v>0.33</v>
      </c>
      <c r="D177" t="n">
        <v>0</v>
      </c>
      <c r="E177" t="n">
        <v>6</v>
      </c>
      <c r="F177" t="n">
        <v>8</v>
      </c>
      <c r="H177" t="n">
        <v>0</v>
      </c>
      <c r="I177" t="n">
        <v>0</v>
      </c>
      <c r="J177" t="n">
        <v>0</v>
      </c>
      <c r="K177" t="n">
        <v>0</v>
      </c>
      <c r="L177" t="n">
        <v>0</v>
      </c>
      <c r="M177" t="n">
        <v>0</v>
      </c>
      <c r="N177" t="n">
        <v>0</v>
      </c>
    </row>
    <row r="178">
      <c r="A178" t="inlineStr">
        <is>
          <t>Entry and marriage fines</t>
        </is>
      </c>
      <c r="B178" t="inlineStr">
        <is>
          <t>4 shilling from Matilda, relict of Richard Moysent, to retain 1 ferling of land and 2 messuages which belonged to her husband.</t>
        </is>
      </c>
      <c r="C178" t="n">
        <v>0.2</v>
      </c>
      <c r="D178" t="n">
        <v>0</v>
      </c>
      <c r="E178" t="n">
        <v>4</v>
      </c>
      <c r="F178" t="n">
        <v>0</v>
      </c>
      <c r="H178" t="n">
        <v>0</v>
      </c>
      <c r="I178" t="n">
        <v>0</v>
      </c>
      <c r="J178" t="n">
        <v>0</v>
      </c>
      <c r="K178" t="n">
        <v>0</v>
      </c>
      <c r="L178" t="n">
        <v>0</v>
      </c>
      <c r="M178" t="n">
        <v>0</v>
      </c>
      <c r="N178" t="n">
        <v>0</v>
      </c>
    </row>
    <row r="179">
      <c r="A179" t="inlineStr">
        <is>
          <t>Entry and marriage fines</t>
        </is>
      </c>
      <c r="B179" t="inlineStr">
        <is>
          <t>6 shilling 8pence from Juliana, relict of Richard Boll', to retain 2 messuages 2 acres of land which belonged to her husband.</t>
        </is>
      </c>
      <c r="C179" t="n">
        <v>0.33</v>
      </c>
      <c r="D179" t="n">
        <v>0</v>
      </c>
      <c r="E179" t="n">
        <v>6</v>
      </c>
      <c r="F179" t="n">
        <v>8</v>
      </c>
      <c r="H179" t="n">
        <v>0</v>
      </c>
      <c r="I179" t="n">
        <v>0</v>
      </c>
      <c r="J179" t="n">
        <v>0</v>
      </c>
      <c r="K179" t="n">
        <v>0</v>
      </c>
      <c r="L179" t="n">
        <v>0</v>
      </c>
      <c r="M179" t="n">
        <v>0</v>
      </c>
      <c r="N179" t="n">
        <v>0</v>
      </c>
    </row>
    <row r="180">
      <c r="A180" t="inlineStr">
        <is>
          <t>Entry and marriage fines</t>
        </is>
      </c>
      <c r="B180" t="inlineStr">
        <is>
          <t>55. from William Coperych' to have Joan Walot with 1 messuage and 1 curtilage.</t>
        </is>
      </c>
      <c r="C180" t="n">
        <v>0</v>
      </c>
      <c r="D180" t="n">
        <v>0</v>
      </c>
      <c r="E180" t="n">
        <v>0</v>
      </c>
      <c r="F180" t="n">
        <v>0</v>
      </c>
      <c r="H180" t="n">
        <v>0</v>
      </c>
      <c r="I180" t="n">
        <v>0</v>
      </c>
      <c r="J180" t="n">
        <v>0</v>
      </c>
      <c r="K180" t="n">
        <v>0</v>
      </c>
      <c r="L180" t="n">
        <v>0</v>
      </c>
      <c r="M180" t="n">
        <v>0</v>
      </c>
      <c r="N180" t="n">
        <v>0</v>
      </c>
    </row>
    <row r="181">
      <c r="A181" t="inlineStr">
        <is>
          <t>Entry and marriage fines</t>
        </is>
      </c>
      <c r="B181" t="inlineStr">
        <is>
          <t>1 shilling from Sibyl, who was wife of Roger Cutel, to retain 1 ferling of land which belonged to her husband, 2 shilling from Henry le Whyte to have 4 acres of purpresture by surrender of Robert Wydecok in la Lygh'.</t>
        </is>
      </c>
      <c r="C181" t="n">
        <v>0.05</v>
      </c>
      <c r="D181" t="n">
        <v>0</v>
      </c>
      <c r="E181" t="n">
        <v>1</v>
      </c>
      <c r="F181" t="n">
        <v>0</v>
      </c>
      <c r="H181" t="n">
        <v>0</v>
      </c>
      <c r="I181" t="n">
        <v>0</v>
      </c>
      <c r="J181" t="n">
        <v>0</v>
      </c>
      <c r="K181" t="n">
        <v>0</v>
      </c>
      <c r="L181" t="n">
        <v>0</v>
      </c>
      <c r="M181" t="n">
        <v>0</v>
      </c>
      <c r="N181" t="n">
        <v>0</v>
      </c>
    </row>
    <row r="182">
      <c r="A182" t="inlineStr">
        <is>
          <t>Entry and marriage fines</t>
        </is>
      </c>
      <c r="B182" t="inlineStr">
        <is>
          <t>1 shilling from Lucy, relict of William Edmond, to retain 1 cottage which belonged to her husband.</t>
        </is>
      </c>
      <c r="C182" t="n">
        <v>0.05</v>
      </c>
      <c r="D182" t="n">
        <v>0</v>
      </c>
      <c r="E182" t="n">
        <v>1</v>
      </c>
      <c r="F182" t="n">
        <v>0</v>
      </c>
      <c r="H182" t="n">
        <v>0</v>
      </c>
      <c r="I182" t="n">
        <v>0</v>
      </c>
      <c r="J182" t="n">
        <v>0</v>
      </c>
      <c r="K182" t="n">
        <v>0</v>
      </c>
      <c r="L182" t="n">
        <v>0</v>
      </c>
      <c r="M182" t="n">
        <v>0</v>
      </c>
      <c r="N182" t="n">
        <v>0</v>
      </c>
    </row>
    <row r="183">
      <c r="A183" t="inlineStr">
        <is>
          <t>Entry and marriage fines</t>
        </is>
      </c>
      <c r="B183" t="inlineStr">
        <is>
          <t>2 shilling from Roger, son of William Faber of Bursledon, to have .5 ferling of land which belonged to his father.</t>
        </is>
      </c>
      <c r="C183" t="n">
        <v>0.1</v>
      </c>
      <c r="D183" t="n">
        <v>0</v>
      </c>
      <c r="E183" t="n">
        <v>2</v>
      </c>
      <c r="F183" t="n">
        <v>0</v>
      </c>
      <c r="H183" t="n">
        <v>0</v>
      </c>
      <c r="I183" t="n">
        <v>0</v>
      </c>
      <c r="J183" t="n">
        <v>0</v>
      </c>
      <c r="K183" t="n">
        <v>0</v>
      </c>
      <c r="L183" t="n">
        <v>0</v>
      </c>
      <c r="M183" t="n">
        <v>0</v>
      </c>
      <c r="N183" t="n">
        <v>0</v>
      </c>
    </row>
    <row r="184">
      <c r="A184" t="inlineStr">
        <is>
          <t>Entry and marriage fines</t>
        </is>
      </c>
      <c r="B184" t="inlineStr">
        <is>
          <t>1 shilling from Richard de Farnham to have 1 messuage with 1 curtilage by surrender of John Bor.</t>
        </is>
      </c>
      <c r="C184" t="n">
        <v>0.05</v>
      </c>
      <c r="D184" t="n">
        <v>0</v>
      </c>
      <c r="E184" t="n">
        <v>1</v>
      </c>
      <c r="F184" t="n">
        <v>0</v>
      </c>
      <c r="H184" t="n">
        <v>0</v>
      </c>
      <c r="I184" t="n">
        <v>0</v>
      </c>
      <c r="J184" t="n">
        <v>0</v>
      </c>
      <c r="K184" t="n">
        <v>0</v>
      </c>
      <c r="L184" t="n">
        <v>0</v>
      </c>
      <c r="M184" t="n">
        <v>0</v>
      </c>
      <c r="N184" t="n">
        <v>0</v>
      </c>
    </row>
    <row r="185">
      <c r="A185" t="inlineStr">
        <is>
          <t>Entry and marriage fines</t>
        </is>
      </c>
      <c r="B185" t="inlineStr">
        <is>
          <t>13 shilling 4pence from Alexander Bronyng' to have 0.5 ferling of land by surrender of Juliana Brond.</t>
        </is>
      </c>
      <c r="C185" t="n">
        <v>0.67</v>
      </c>
      <c r="D185" t="n">
        <v>0</v>
      </c>
      <c r="E185" t="n">
        <v>13</v>
      </c>
      <c r="F185" t="n">
        <v>4</v>
      </c>
      <c r="H185" t="n">
        <v>0</v>
      </c>
      <c r="I185" t="n">
        <v>0</v>
      </c>
      <c r="J185" t="n">
        <v>0</v>
      </c>
      <c r="K185" t="n">
        <v>0</v>
      </c>
      <c r="L185" t="n">
        <v>0</v>
      </c>
      <c r="M185" t="n">
        <v>0</v>
      </c>
      <c r="N185" t="n">
        <v>0</v>
      </c>
    </row>
    <row r="186">
      <c r="A186" t="inlineStr">
        <is>
          <t>Entry and marriage fines</t>
        </is>
      </c>
      <c r="B186" t="inlineStr">
        <is>
          <t>£1 6 shilling 8pence from Adam ate Hull' to have 1 messuage' virgate of land which belonged to his father.</t>
        </is>
      </c>
      <c r="C186" t="n">
        <v>1.33</v>
      </c>
      <c r="D186" t="n">
        <v>1</v>
      </c>
      <c r="E186" t="n">
        <v>6</v>
      </c>
      <c r="F186" t="n">
        <v>8</v>
      </c>
      <c r="H186" t="n">
        <v>0</v>
      </c>
      <c r="I186" t="n">
        <v>0</v>
      </c>
      <c r="J186" t="n">
        <v>0</v>
      </c>
      <c r="K186" t="n">
        <v>0</v>
      </c>
      <c r="L186" t="n">
        <v>0</v>
      </c>
      <c r="M186" t="n">
        <v>0</v>
      </c>
      <c r="N186" t="n">
        <v>0</v>
      </c>
    </row>
    <row r="187">
      <c r="A187" t="inlineStr">
        <is>
          <t>Entry and marriage fines</t>
        </is>
      </c>
      <c r="B187" t="inlineStr">
        <is>
          <t>£1 from John le Bor to have .5 ferling of land by surrender of Henry ate Aysse.</t>
        </is>
      </c>
      <c r="C187" t="n">
        <v>1</v>
      </c>
      <c r="D187" t="n">
        <v>1</v>
      </c>
      <c r="E187" t="n">
        <v>0</v>
      </c>
      <c r="F187" t="n">
        <v>0</v>
      </c>
      <c r="H187" t="n">
        <v>0</v>
      </c>
      <c r="I187" t="n">
        <v>0</v>
      </c>
      <c r="J187" t="n">
        <v>0</v>
      </c>
      <c r="K187" t="n">
        <v>0</v>
      </c>
      <c r="L187" t="n">
        <v>0</v>
      </c>
      <c r="M187" t="n">
        <v>0</v>
      </c>
      <c r="N187" t="n">
        <v>0</v>
      </c>
    </row>
    <row r="188">
      <c r="A188" t="inlineStr">
        <is>
          <t>Entry and marriage fines</t>
        </is>
      </c>
      <c r="B188" t="inlineStr">
        <is>
          <t>£1 from Alice, relict of Roginald de Porteslad', to retain 1 messuage and' ferling of land and various purprestures which belonged to her husband.</t>
        </is>
      </c>
      <c r="C188" t="n">
        <v>1</v>
      </c>
      <c r="D188" t="n">
        <v>1</v>
      </c>
      <c r="E188" t="n">
        <v>0</v>
      </c>
      <c r="F188" t="n">
        <v>0</v>
      </c>
      <c r="H188" t="n">
        <v>0</v>
      </c>
      <c r="I188" t="n">
        <v>0</v>
      </c>
      <c r="J188" t="n">
        <v>0</v>
      </c>
      <c r="K188" t="n">
        <v>0</v>
      </c>
      <c r="L188" t="n">
        <v>0</v>
      </c>
      <c r="M188" t="n">
        <v>0</v>
      </c>
      <c r="N188" t="n">
        <v>0</v>
      </c>
    </row>
    <row r="189">
      <c r="A189" t="inlineStr">
        <is>
          <t>Entry and marriage fines</t>
        </is>
      </c>
      <c r="B189" t="inlineStr">
        <is>
          <t>£5 from Richard Ywon to have 1 messuage and a third of 1 virgate of land which belonged to martin de Yulley, father of Margaret, wife of the aforesaid Richard, whose heir she is.</t>
        </is>
      </c>
      <c r="C189" t="n">
        <v>5</v>
      </c>
      <c r="D189" t="n">
        <v>5</v>
      </c>
      <c r="E189" t="n">
        <v>0</v>
      </c>
      <c r="F189" t="n">
        <v>0</v>
      </c>
      <c r="H189" t="n">
        <v>0</v>
      </c>
      <c r="I189" t="n">
        <v>0</v>
      </c>
      <c r="J189" t="n">
        <v>0</v>
      </c>
      <c r="K189" t="n">
        <v>0</v>
      </c>
      <c r="L189" t="n">
        <v>0</v>
      </c>
      <c r="M189" t="n">
        <v>0</v>
      </c>
      <c r="N189" t="n">
        <v>0</v>
      </c>
    </row>
    <row r="190">
      <c r="A190" t="inlineStr">
        <is>
          <t>Entry and marriage fines</t>
        </is>
      </c>
      <c r="B190" t="inlineStr">
        <is>
          <t>2 shilling from Henry Walewayn for marrying Christina his daughter outside.</t>
        </is>
      </c>
      <c r="C190" t="n">
        <v>0.1</v>
      </c>
      <c r="D190" t="n">
        <v>0</v>
      </c>
      <c r="E190" t="n">
        <v>2</v>
      </c>
      <c r="F190" t="n">
        <v>0</v>
      </c>
      <c r="H190" t="n">
        <v>0</v>
      </c>
      <c r="I190" t="n">
        <v>0</v>
      </c>
      <c r="J190" t="n">
        <v>0</v>
      </c>
      <c r="K190" t="n">
        <v>0</v>
      </c>
      <c r="L190" t="n">
        <v>0</v>
      </c>
      <c r="M190" t="n">
        <v>0</v>
      </c>
      <c r="N190" t="n">
        <v>0</v>
      </c>
    </row>
    <row r="191">
      <c r="A191" t="inlineStr">
        <is>
          <t>Entry and marriage fines</t>
        </is>
      </c>
      <c r="B191" t="inlineStr">
        <is>
          <t>2 shilling from Matilda, relict of John ate Fryth', to retain 1 messuage and 1 acre of land which belonged to her husband.</t>
        </is>
      </c>
      <c r="C191" t="n">
        <v>0.1</v>
      </c>
      <c r="D191" t="n">
        <v>0</v>
      </c>
      <c r="E191" t="n">
        <v>2</v>
      </c>
      <c r="F191" t="n">
        <v>0</v>
      </c>
      <c r="H191" t="n">
        <v>0</v>
      </c>
      <c r="I191" t="n">
        <v>0</v>
      </c>
      <c r="J191" t="n">
        <v>0</v>
      </c>
      <c r="K191" t="n">
        <v>0</v>
      </c>
      <c r="L191" t="n">
        <v>0</v>
      </c>
      <c r="M191" t="n">
        <v>0</v>
      </c>
      <c r="N191" t="n">
        <v>0</v>
      </c>
    </row>
    <row r="192">
      <c r="A192" t="inlineStr">
        <is>
          <t>Entry and marriage fines</t>
        </is>
      </c>
      <c r="B192" t="inlineStr">
        <is>
          <t>2 shilling from Joan, daughter of Hugh Faber, to have 1 messuage and 1 curtilage by surrender of Hugh her father.</t>
        </is>
      </c>
      <c r="C192" t="n">
        <v>0.1</v>
      </c>
      <c r="D192" t="n">
        <v>0</v>
      </c>
      <c r="E192" t="n">
        <v>2</v>
      </c>
      <c r="F192" t="n">
        <v>0</v>
      </c>
      <c r="H192" t="n">
        <v>0</v>
      </c>
      <c r="I192" t="n">
        <v>0</v>
      </c>
      <c r="J192" t="n">
        <v>0</v>
      </c>
      <c r="K192" t="n">
        <v>0</v>
      </c>
      <c r="L192" t="n">
        <v>0</v>
      </c>
      <c r="M192" t="n">
        <v>0</v>
      </c>
      <c r="N192" t="n">
        <v>0</v>
      </c>
    </row>
    <row r="193">
      <c r="A193" t="inlineStr">
        <is>
          <t>Entry and marriage fines</t>
        </is>
      </c>
      <c r="B193" t="inlineStr">
        <is>
          <t>2 shilling from William Walays to have 1 curtilage by surrender of Hugh Faber.</t>
        </is>
      </c>
      <c r="C193" t="n">
        <v>0.1</v>
      </c>
      <c r="D193" t="n">
        <v>0</v>
      </c>
      <c r="E193" t="n">
        <v>2</v>
      </c>
      <c r="F193" t="n">
        <v>0</v>
      </c>
      <c r="H193" t="n">
        <v>0</v>
      </c>
      <c r="I193" t="n">
        <v>0</v>
      </c>
      <c r="J193" t="n">
        <v>0</v>
      </c>
      <c r="K193" t="n">
        <v>0</v>
      </c>
      <c r="L193" t="n">
        <v>0</v>
      </c>
      <c r="M193" t="n">
        <v>0</v>
      </c>
      <c r="N193" t="n">
        <v>0</v>
      </c>
    </row>
    <row r="194">
      <c r="A194" t="inlineStr">
        <is>
          <t>Entry and marriage fines</t>
        </is>
      </c>
      <c r="B194" t="inlineStr">
        <is>
          <t>3 shilling from Henry Waterboks to have 1 messuage 1 curtilage by surrender of Walter Oxenherde.</t>
        </is>
      </c>
      <c r="C194" t="n">
        <v>0.15</v>
      </c>
      <c r="D194" t="n">
        <v>0</v>
      </c>
      <c r="E194" t="n">
        <v>3</v>
      </c>
      <c r="F194" t="n">
        <v>0</v>
      </c>
      <c r="H194" t="n">
        <v>0</v>
      </c>
      <c r="I194" t="n">
        <v>0</v>
      </c>
      <c r="J194" t="n">
        <v>0</v>
      </c>
      <c r="K194" t="n">
        <v>0</v>
      </c>
      <c r="L194" t="n">
        <v>0</v>
      </c>
      <c r="M194" t="n">
        <v>0</v>
      </c>
      <c r="N194" t="n">
        <v>0</v>
      </c>
    </row>
    <row r="195">
      <c r="A195" t="inlineStr">
        <is>
          <t>Entry and marriage fines</t>
        </is>
      </c>
      <c r="B195" t="inlineStr">
        <is>
          <t>Total, £25 3 shilling 4pence</t>
        </is>
      </c>
      <c r="C195" t="n">
        <v>25.17</v>
      </c>
      <c r="D195" t="n">
        <v>25</v>
      </c>
      <c r="E195" t="n">
        <v>3</v>
      </c>
      <c r="F195" t="n">
        <v>4</v>
      </c>
      <c r="H195" t="n">
        <v>0</v>
      </c>
      <c r="I195" t="n">
        <v>0</v>
      </c>
      <c r="J195" t="n">
        <v>0</v>
      </c>
      <c r="K195" t="n">
        <v>0</v>
      </c>
      <c r="L195" t="n">
        <v>0</v>
      </c>
      <c r="M195" t="n">
        <v>0</v>
      </c>
      <c r="N195" t="n">
        <v>0</v>
      </c>
    </row>
    <row r="196">
      <c r="A196" t="inlineStr">
        <is>
          <t>Perquisites</t>
        </is>
      </c>
      <c r="B196" t="inlineStr">
        <is>
          <t>The same render account for 3 shilling from Thomas de Bogestok for keeping the lord's wethers badly.</t>
        </is>
      </c>
      <c r="C196" t="n">
        <v>0.15</v>
      </c>
      <c r="D196" t="n">
        <v>0</v>
      </c>
      <c r="E196" t="n">
        <v>3</v>
      </c>
      <c r="F196" t="n">
        <v>0</v>
      </c>
      <c r="H196" t="n">
        <v>0</v>
      </c>
      <c r="I196" t="n">
        <v>0</v>
      </c>
      <c r="J196" t="n">
        <v>0</v>
      </c>
      <c r="K196" t="n">
        <v>0</v>
      </c>
      <c r="L196" t="n">
        <v>0</v>
      </c>
      <c r="M196" t="n">
        <v>0</v>
      </c>
      <c r="N196" t="n">
        <v>0</v>
      </c>
    </row>
    <row r="197">
      <c r="A197" t="inlineStr">
        <is>
          <t>Perquisites</t>
        </is>
      </c>
      <c r="B197" t="inlineStr">
        <is>
          <t>£2 from Adam le Palmere because convicted of transgression of labour service.</t>
        </is>
      </c>
      <c r="C197" t="n">
        <v>2</v>
      </c>
      <c r="D197" t="n">
        <v>2</v>
      </c>
      <c r="E197" t="n">
        <v>0</v>
      </c>
      <c r="F197" t="n">
        <v>0</v>
      </c>
      <c r="H197" t="n">
        <v>0</v>
      </c>
      <c r="I197" t="n">
        <v>0</v>
      </c>
      <c r="J197" t="n">
        <v>0</v>
      </c>
      <c r="K197" t="n">
        <v>0</v>
      </c>
      <c r="L197" t="n">
        <v>0</v>
      </c>
      <c r="M197" t="n">
        <v>0</v>
      </c>
      <c r="N197" t="n">
        <v>0</v>
      </c>
    </row>
    <row r="198">
      <c r="A198" t="inlineStr">
        <is>
          <t>Perquisites</t>
        </is>
      </c>
      <c r="B198" t="inlineStr">
        <is>
          <t>£1 from Adam Austyn, bartoner, for the same.</t>
        </is>
      </c>
      <c r="C198" t="n">
        <v>1</v>
      </c>
      <c r="D198" t="n">
        <v>1</v>
      </c>
      <c r="E198" t="n">
        <v>0</v>
      </c>
      <c r="F198" t="n">
        <v>0</v>
      </c>
      <c r="H198" t="n">
        <v>0</v>
      </c>
      <c r="I198" t="n">
        <v>0</v>
      </c>
      <c r="J198" t="n">
        <v>0</v>
      </c>
      <c r="K198" t="n">
        <v>0</v>
      </c>
      <c r="L198" t="n">
        <v>0</v>
      </c>
      <c r="M198" t="n">
        <v>0</v>
      </c>
      <c r="N198" t="n">
        <v>0</v>
      </c>
    </row>
    <row r="199">
      <c r="A199" t="inlineStr">
        <is>
          <t>Perquisites</t>
        </is>
      </c>
      <c r="B199" t="inlineStr">
        <is>
          <t>2 shilling from the Prior of Hamble for licence to agree.</t>
        </is>
      </c>
      <c r="C199" t="n">
        <v>0.1</v>
      </c>
      <c r="D199" t="n">
        <v>0</v>
      </c>
      <c r="E199" t="n">
        <v>2</v>
      </c>
      <c r="F199" t="n">
        <v>0</v>
      </c>
      <c r="H199" t="n">
        <v>0</v>
      </c>
      <c r="I199" t="n">
        <v>0</v>
      </c>
      <c r="J199" t="n">
        <v>0</v>
      </c>
      <c r="K199" t="n">
        <v>0</v>
      </c>
      <c r="L199" t="n">
        <v>0</v>
      </c>
      <c r="M199" t="n">
        <v>0</v>
      </c>
      <c r="N199" t="n">
        <v>0</v>
      </c>
    </row>
    <row r="200">
      <c r="A200" t="inlineStr">
        <is>
          <t>Perquisites</t>
        </is>
      </c>
      <c r="B200" t="inlineStr">
        <is>
          <t>6 shilling 8pence from Richard Ude for false complaint against Richard Everard.</t>
        </is>
      </c>
      <c r="C200" t="n">
        <v>0.33</v>
      </c>
      <c r="D200" t="n">
        <v>0</v>
      </c>
      <c r="E200" t="n">
        <v>6</v>
      </c>
      <c r="F200" t="n">
        <v>8</v>
      </c>
      <c r="H200" t="n">
        <v>0</v>
      </c>
      <c r="I200" t="n">
        <v>0</v>
      </c>
      <c r="J200" t="n">
        <v>0</v>
      </c>
      <c r="K200" t="n">
        <v>0</v>
      </c>
      <c r="L200" t="n">
        <v>0</v>
      </c>
      <c r="M200" t="n">
        <v>0</v>
      </c>
      <c r="N200" t="n">
        <v>0</v>
      </c>
    </row>
    <row r="201">
      <c r="A201" t="inlineStr">
        <is>
          <t>Perquisites</t>
        </is>
      </c>
      <c r="B201" t="inlineStr">
        <is>
          <t>2 shilling from Geoffrey Frogge because he obstructed a former path to the nuisance of his neighbours.</t>
        </is>
      </c>
      <c r="C201" t="n">
        <v>0.1</v>
      </c>
      <c r="D201" t="n">
        <v>0</v>
      </c>
      <c r="E201" t="n">
        <v>2</v>
      </c>
      <c r="F201" t="n">
        <v>0</v>
      </c>
      <c r="H201" t="n">
        <v>0</v>
      </c>
      <c r="I201" t="n">
        <v>0</v>
      </c>
      <c r="J201" t="n">
        <v>0</v>
      </c>
      <c r="K201" t="n">
        <v>0</v>
      </c>
      <c r="L201" t="n">
        <v>0</v>
      </c>
      <c r="M201" t="n">
        <v>0</v>
      </c>
      <c r="N201" t="n">
        <v>0</v>
      </c>
    </row>
    <row r="202">
      <c r="A202" t="inlineStr">
        <is>
          <t>Perquisites</t>
        </is>
      </c>
      <c r="B202" t="inlineStr">
        <is>
          <t>2 shilling from the tithing of Bishops Waltham for concealment.</t>
        </is>
      </c>
      <c r="C202" t="n">
        <v>0.1</v>
      </c>
      <c r="D202" t="n">
        <v>0</v>
      </c>
      <c r="E202" t="n">
        <v>2</v>
      </c>
      <c r="F202" t="n">
        <v>0</v>
      </c>
      <c r="H202" t="n">
        <v>0</v>
      </c>
      <c r="I202" t="n">
        <v>0</v>
      </c>
      <c r="J202" t="n">
        <v>0</v>
      </c>
      <c r="K202" t="n">
        <v>0</v>
      </c>
      <c r="L202" t="n">
        <v>0</v>
      </c>
      <c r="M202" t="n">
        <v>0</v>
      </c>
      <c r="N202" t="n">
        <v>0</v>
      </c>
    </row>
    <row r="203">
      <c r="A203" t="inlineStr">
        <is>
          <t>Perquisites</t>
        </is>
      </c>
      <c r="B203" t="inlineStr">
        <is>
          <t>2 shilling from Thomas ate Ford' for breaking the assize of ale.</t>
        </is>
      </c>
      <c r="C203" t="n">
        <v>0.1</v>
      </c>
      <c r="D203" t="n">
        <v>0</v>
      </c>
      <c r="E203" t="n">
        <v>2</v>
      </c>
      <c r="F203" t="n">
        <v>0</v>
      </c>
      <c r="H203" t="n">
        <v>0</v>
      </c>
      <c r="I203" t="n">
        <v>0</v>
      </c>
      <c r="J203" t="n">
        <v>0</v>
      </c>
      <c r="K203" t="n">
        <v>0</v>
      </c>
      <c r="L203" t="n">
        <v>0</v>
      </c>
      <c r="M203" t="n">
        <v>0</v>
      </c>
      <c r="N203" t="n">
        <v>0</v>
      </c>
    </row>
    <row r="204">
      <c r="A204" t="inlineStr">
        <is>
          <t>Perquisites</t>
        </is>
      </c>
      <c r="B204" t="inlineStr">
        <is>
          <t>2 shilling from Robert ate Berch' for the assize of bread.</t>
        </is>
      </c>
      <c r="C204" t="n">
        <v>0.1</v>
      </c>
      <c r="D204" t="n">
        <v>0</v>
      </c>
      <c r="E204" t="n">
        <v>2</v>
      </c>
      <c r="F204" t="n">
        <v>0</v>
      </c>
      <c r="H204" t="n">
        <v>0</v>
      </c>
      <c r="I204" t="n">
        <v>0</v>
      </c>
      <c r="J204" t="n">
        <v>0</v>
      </c>
      <c r="K204" t="n">
        <v>0</v>
      </c>
      <c r="L204" t="n">
        <v>0</v>
      </c>
      <c r="M204" t="n">
        <v>0</v>
      </c>
      <c r="N204" t="n">
        <v>0</v>
      </c>
    </row>
    <row r="205">
      <c r="A205" t="inlineStr">
        <is>
          <t>Perquisites</t>
        </is>
      </c>
      <c r="B205" t="inlineStr">
        <is>
          <t>2 shilling from Joan, relict of Robert Clericus of Upham, because she is not proceeding against Robert ate Bech'.</t>
        </is>
      </c>
      <c r="C205" t="n">
        <v>0.1</v>
      </c>
      <c r="D205" t="n">
        <v>0</v>
      </c>
      <c r="E205" t="n">
        <v>2</v>
      </c>
      <c r="F205" t="n">
        <v>0</v>
      </c>
      <c r="H205" t="n">
        <v>0</v>
      </c>
      <c r="I205" t="n">
        <v>0</v>
      </c>
      <c r="J205" t="n">
        <v>0</v>
      </c>
      <c r="K205" t="n">
        <v>0</v>
      </c>
      <c r="L205" t="n">
        <v>0</v>
      </c>
      <c r="M205" t="n">
        <v>0</v>
      </c>
      <c r="N205" t="n">
        <v>0</v>
      </c>
    </row>
    <row r="206">
      <c r="A206" t="inlineStr">
        <is>
          <t>Perquisites</t>
        </is>
      </c>
      <c r="B206" t="inlineStr">
        <is>
          <t>2 shilling from Guy ate Ford' to have an inquest.</t>
        </is>
      </c>
      <c r="C206" t="n">
        <v>0.1</v>
      </c>
      <c r="D206" t="n">
        <v>0</v>
      </c>
      <c r="E206" t="n">
        <v>2</v>
      </c>
      <c r="F206" t="n">
        <v>0</v>
      </c>
      <c r="H206" t="n">
        <v>0</v>
      </c>
      <c r="I206" t="n">
        <v>0</v>
      </c>
      <c r="J206" t="n">
        <v>0</v>
      </c>
      <c r="K206" t="n">
        <v>0</v>
      </c>
      <c r="L206" t="n">
        <v>0</v>
      </c>
      <c r="M206" t="n">
        <v>0</v>
      </c>
      <c r="N206" t="n">
        <v>0</v>
      </c>
    </row>
    <row r="207">
      <c r="A207" t="inlineStr">
        <is>
          <t>Perquisites</t>
        </is>
      </c>
      <c r="B207" t="inlineStr">
        <is>
          <t>2 shilling from Geoffrey Forc' for transgression against Thomas Ban3.</t>
        </is>
      </c>
      <c r="C207" t="n">
        <v>0.1</v>
      </c>
      <c r="D207" t="n">
        <v>0</v>
      </c>
      <c r="E207" t="n">
        <v>2</v>
      </c>
      <c r="F207" t="n">
        <v>0</v>
      </c>
      <c r="H207" t="n">
        <v>0</v>
      </c>
      <c r="I207" t="n">
        <v>0</v>
      </c>
      <c r="J207" t="n">
        <v>0</v>
      </c>
      <c r="K207" t="n">
        <v>0</v>
      </c>
      <c r="L207" t="n">
        <v>0</v>
      </c>
      <c r="M207" t="n">
        <v>0</v>
      </c>
      <c r="N207" t="n">
        <v>0</v>
      </c>
    </row>
    <row r="208">
      <c r="A208" t="inlineStr">
        <is>
          <t>Perquisites</t>
        </is>
      </c>
      <c r="B208" t="inlineStr">
        <is>
          <t>6 shilling 8pence from Geoffrey Byk' and others because they refused to make a contribution towards the hundred shillings which the hundred paid annually.</t>
        </is>
      </c>
      <c r="C208" t="n">
        <v>0.33</v>
      </c>
      <c r="D208" t="n">
        <v>0</v>
      </c>
      <c r="E208" t="n">
        <v>6</v>
      </c>
      <c r="F208" t="n">
        <v>8</v>
      </c>
      <c r="H208" t="n">
        <v>0</v>
      </c>
      <c r="I208" t="n">
        <v>0</v>
      </c>
      <c r="J208" t="n">
        <v>0</v>
      </c>
      <c r="K208" t="n">
        <v>0</v>
      </c>
      <c r="L208" t="n">
        <v>0</v>
      </c>
      <c r="M208" t="n">
        <v>0</v>
      </c>
      <c r="N208" t="n">
        <v>0</v>
      </c>
    </row>
    <row r="209">
      <c r="A209" t="inlineStr">
        <is>
          <t>Perquisites</t>
        </is>
      </c>
      <c r="B209" t="inlineStr">
        <is>
          <t>6 shilling 8pence from the tithing of Wynteshull' because of false presentment.</t>
        </is>
      </c>
      <c r="C209" t="n">
        <v>0.33</v>
      </c>
      <c r="D209" t="n">
        <v>0</v>
      </c>
      <c r="E209" t="n">
        <v>6</v>
      </c>
      <c r="F209" t="n">
        <v>8</v>
      </c>
      <c r="H209" t="n">
        <v>0</v>
      </c>
      <c r="I209" t="n">
        <v>0</v>
      </c>
      <c r="J209" t="n">
        <v>0</v>
      </c>
      <c r="K209" t="n">
        <v>0</v>
      </c>
      <c r="L209" t="n">
        <v>0</v>
      </c>
      <c r="M209" t="n">
        <v>0</v>
      </c>
      <c r="N209" t="n">
        <v>0</v>
      </c>
    </row>
    <row r="210">
      <c r="A210" t="inlineStr">
        <is>
          <t>Perquisites</t>
        </is>
      </c>
      <c r="B210" t="inlineStr">
        <is>
          <t>2 shilling from the tithing of Wodekote for concealment.</t>
        </is>
      </c>
      <c r="C210" t="n">
        <v>0.1</v>
      </c>
      <c r="D210" t="n">
        <v>0</v>
      </c>
      <c r="E210" t="n">
        <v>2</v>
      </c>
      <c r="F210" t="n">
        <v>0</v>
      </c>
      <c r="H210" t="n">
        <v>0</v>
      </c>
      <c r="I210" t="n">
        <v>0</v>
      </c>
      <c r="J210" t="n">
        <v>0</v>
      </c>
      <c r="K210" t="n">
        <v>0</v>
      </c>
      <c r="L210" t="n">
        <v>0</v>
      </c>
      <c r="M210" t="n">
        <v>0</v>
      </c>
      <c r="N210" t="n">
        <v>0</v>
      </c>
    </row>
    <row r="211">
      <c r="A211" t="inlineStr">
        <is>
          <t>Perquisites</t>
        </is>
      </c>
      <c r="B211" t="inlineStr">
        <is>
          <t>2 shilling from Robert Marescall' for trespass done to pasture in wardship.</t>
        </is>
      </c>
      <c r="C211" t="n">
        <v>0.1</v>
      </c>
      <c r="D211" t="n">
        <v>0</v>
      </c>
      <c r="E211" t="n">
        <v>2</v>
      </c>
      <c r="F211" t="n">
        <v>0</v>
      </c>
      <c r="H211" t="n">
        <v>0</v>
      </c>
      <c r="I211" t="n">
        <v>0</v>
      </c>
      <c r="J211" t="n">
        <v>0</v>
      </c>
      <c r="K211" t="n">
        <v>0</v>
      </c>
      <c r="L211" t="n">
        <v>0</v>
      </c>
      <c r="M211" t="n">
        <v>0</v>
      </c>
      <c r="N211" t="n">
        <v>0</v>
      </c>
    </row>
    <row r="212">
      <c r="A212" t="inlineStr">
        <is>
          <t>Perquisites</t>
        </is>
      </c>
      <c r="B212" t="inlineStr">
        <is>
          <t>£7 10 shilling 9pence from various men for various transgressions.</t>
        </is>
      </c>
      <c r="C212" t="n">
        <v>7.54</v>
      </c>
      <c r="D212" t="n">
        <v>7</v>
      </c>
      <c r="E212" t="n">
        <v>10</v>
      </c>
      <c r="F212" t="n">
        <v>9</v>
      </c>
      <c r="H212" t="n">
        <v>0</v>
      </c>
      <c r="I212" t="n">
        <v>0</v>
      </c>
      <c r="J212" t="n">
        <v>0</v>
      </c>
      <c r="K212" t="n">
        <v>0</v>
      </c>
      <c r="L212" t="n">
        <v>0</v>
      </c>
      <c r="M212" t="n">
        <v>0</v>
      </c>
      <c r="N212" t="n">
        <v>0</v>
      </c>
    </row>
    <row r="213">
      <c r="A213" t="inlineStr">
        <is>
          <t>Perquisites</t>
        </is>
      </c>
      <c r="B213" t="inlineStr">
        <is>
          <t>£1 from Richard le Wyte and John Boefs, park-keepers, for selling wood, which they did for their own use.</t>
        </is>
      </c>
      <c r="C213" t="n">
        <v>1</v>
      </c>
      <c r="D213" t="n">
        <v>1</v>
      </c>
      <c r="E213" t="n">
        <v>0</v>
      </c>
      <c r="F213" t="n">
        <v>0</v>
      </c>
      <c r="H213" t="n">
        <v>0</v>
      </c>
      <c r="I213" t="n">
        <v>0</v>
      </c>
      <c r="J213" t="n">
        <v>0</v>
      </c>
      <c r="K213" t="n">
        <v>0</v>
      </c>
      <c r="L213" t="n">
        <v>0</v>
      </c>
      <c r="M213" t="n">
        <v>0</v>
      </c>
      <c r="N213" t="n">
        <v>0</v>
      </c>
    </row>
    <row r="214">
      <c r="A214" t="inlineStr">
        <is>
          <t>Perquisites</t>
        </is>
      </c>
      <c r="B214" t="inlineStr">
        <is>
          <t>Total, £13 13 shilling 9pence</t>
        </is>
      </c>
      <c r="C214" t="n">
        <v>13.69</v>
      </c>
      <c r="D214" t="n">
        <v>13</v>
      </c>
      <c r="E214" t="n">
        <v>13</v>
      </c>
      <c r="F214" t="n">
        <v>9</v>
      </c>
      <c r="H214" t="n">
        <v>0</v>
      </c>
      <c r="I214" t="n">
        <v>0</v>
      </c>
      <c r="J214" t="n">
        <v>0</v>
      </c>
      <c r="K214" t="n">
        <v>0</v>
      </c>
      <c r="L214" t="n">
        <v>0</v>
      </c>
      <c r="M214" t="n">
        <v>0</v>
      </c>
      <c r="N214" t="n">
        <v>0</v>
      </c>
    </row>
    <row r="215">
      <c r="A215" t="inlineStr">
        <is>
          <t>Perquisites</t>
        </is>
      </c>
      <c r="B215" t="inlineStr">
        <is>
          <t>Total of both, £38 17 shilling 1pence</t>
        </is>
      </c>
      <c r="C215" t="n">
        <v>38.85</v>
      </c>
      <c r="D215" t="n">
        <v>38</v>
      </c>
      <c r="E215" t="n">
        <v>17</v>
      </c>
      <c r="F215" t="n">
        <v>1</v>
      </c>
      <c r="H215" t="n">
        <v>0</v>
      </c>
      <c r="I215" t="n">
        <v>0</v>
      </c>
      <c r="J215" t="n">
        <v>0</v>
      </c>
      <c r="K215" t="n">
        <v>0</v>
      </c>
      <c r="L215" t="n">
        <v>0</v>
      </c>
      <c r="M215" t="n">
        <v>0</v>
      </c>
      <c r="N215" t="n">
        <v>0</v>
      </c>
    </row>
    <row r="216">
      <c r="A216" t="inlineStr">
        <is>
          <t>Total of all receipts</t>
        </is>
      </c>
      <c r="B216" t="inlineStr">
        <is>
          <t>Total of all receipts, £230 3 shilling 10.25pence</t>
        </is>
      </c>
      <c r="C216" t="n">
        <v>230.19</v>
      </c>
      <c r="D216" t="n">
        <v>230</v>
      </c>
      <c r="E216" t="n">
        <v>3</v>
      </c>
      <c r="F216" t="n">
        <v>10.25</v>
      </c>
      <c r="H216" t="n">
        <v>0</v>
      </c>
      <c r="I216" t="n">
        <v>0</v>
      </c>
      <c r="J216" t="n">
        <v>0</v>
      </c>
      <c r="K216" t="n">
        <v>0</v>
      </c>
      <c r="L216" t="n">
        <v>0</v>
      </c>
      <c r="M216" t="n">
        <v>0</v>
      </c>
      <c r="N216" t="n">
        <v>0</v>
      </c>
    </row>
    <row r="217">
      <c r="A217" t="inlineStr">
        <is>
          <t>Cost of ploughs</t>
        </is>
      </c>
      <c r="B217" t="inlineStr">
        <is>
          <t>In iron and steel bought for 4 ploughs for the year and 1 plough for' year 9 shilling 10d:.</t>
        </is>
      </c>
      <c r="C217" t="n">
        <v>0.45</v>
      </c>
      <c r="D217" t="n">
        <v>0</v>
      </c>
      <c r="E217" t="n">
        <v>9</v>
      </c>
      <c r="F217" t="n">
        <v>0</v>
      </c>
      <c r="H217" t="n">
        <v>0</v>
      </c>
      <c r="I217" t="n">
        <v>0</v>
      </c>
      <c r="J217" t="n">
        <v>0</v>
      </c>
      <c r="K217" t="n">
        <v>0</v>
      </c>
      <c r="L217" t="n">
        <v>0</v>
      </c>
      <c r="M217" t="n">
        <v>0</v>
      </c>
      <c r="N217" t="n">
        <v>0</v>
      </c>
    </row>
    <row r="218">
      <c r="A218" t="inlineStr">
        <is>
          <t>Cost of ploughs</t>
        </is>
      </c>
      <c r="B218" t="inlineStr">
        <is>
          <t>4 ploughs made anew 8pence.</t>
        </is>
      </c>
      <c r="C218" t="n">
        <v>0.03</v>
      </c>
      <c r="D218" t="n">
        <v>0</v>
      </c>
      <c r="E218" t="n">
        <v>0</v>
      </c>
      <c r="F218" t="n">
        <v>8</v>
      </c>
      <c r="H218" t="n">
        <v>0</v>
      </c>
      <c r="I218" t="n">
        <v>0</v>
      </c>
      <c r="J218" t="n">
        <v>0</v>
      </c>
      <c r="K218" t="n">
        <v>0</v>
      </c>
      <c r="L218" t="n">
        <v>0</v>
      </c>
      <c r="M218" t="n">
        <v>0</v>
      </c>
      <c r="N218" t="n">
        <v>0</v>
      </c>
    </row>
    <row r="219">
      <c r="A219" t="inlineStr">
        <is>
          <t>Cost of ploughs</t>
        </is>
      </c>
      <c r="B219" t="inlineStr">
        <is>
          <t>4 pairs of wheels bought for ploughs 1 shilling 4pence.</t>
        </is>
      </c>
      <c r="C219" t="n">
        <v>0.07000000000000001</v>
      </c>
      <c r="D219" t="n">
        <v>0</v>
      </c>
      <c r="E219" t="n">
        <v>1</v>
      </c>
      <c r="F219" t="n">
        <v>4</v>
      </c>
      <c r="H219" t="n">
        <v>0</v>
      </c>
      <c r="I219" t="n">
        <v>0</v>
      </c>
      <c r="J219" t="n">
        <v>0</v>
      </c>
      <c r="K219" t="n">
        <v>0</v>
      </c>
      <c r="L219" t="n">
        <v>0</v>
      </c>
      <c r="M219" t="n">
        <v>0</v>
      </c>
      <c r="N219" t="n">
        <v>0</v>
      </c>
    </row>
    <row r="220">
      <c r="A220" t="inlineStr">
        <is>
          <t>Cost of ploughs</t>
        </is>
      </c>
      <c r="B220" t="inlineStr">
        <is>
          <t>fitting ploughs with iron tyres 5.5pence.</t>
        </is>
      </c>
      <c r="C220" t="n">
        <v>0.02</v>
      </c>
      <c r="D220" t="n">
        <v>0</v>
      </c>
      <c r="E220" t="n">
        <v>0</v>
      </c>
      <c r="F220" t="n">
        <v>5.5</v>
      </c>
      <c r="H220" t="n">
        <v>0</v>
      </c>
      <c r="I220" t="n">
        <v>0</v>
      </c>
      <c r="J220" t="n">
        <v>0</v>
      </c>
      <c r="K220" t="n">
        <v>0</v>
      </c>
      <c r="L220" t="n">
        <v>0</v>
      </c>
      <c r="M220" t="n">
        <v>0</v>
      </c>
      <c r="N220" t="n">
        <v>0</v>
      </c>
    </row>
    <row r="221">
      <c r="A221" t="inlineStr">
        <is>
          <t>Cost of ploughs</t>
        </is>
      </c>
      <c r="B221" t="inlineStr">
        <is>
          <t>4 ploughshares bought 3 shilling.</t>
        </is>
      </c>
      <c r="C221" t="n">
        <v>0.15</v>
      </c>
      <c r="D221" t="n">
        <v>0</v>
      </c>
      <c r="E221" t="n">
        <v>3</v>
      </c>
      <c r="F221" t="n">
        <v>0</v>
      </c>
      <c r="H221" t="n">
        <v>0</v>
      </c>
      <c r="I221" t="n">
        <v>0</v>
      </c>
      <c r="J221" t="n">
        <v>0</v>
      </c>
      <c r="K221" t="n">
        <v>0</v>
      </c>
      <c r="L221" t="n">
        <v>0</v>
      </c>
      <c r="M221" t="n">
        <v>0</v>
      </c>
      <c r="N221" t="n">
        <v>0</v>
      </c>
    </row>
    <row r="222">
      <c r="A222" t="inlineStr">
        <is>
          <t>Cost of ploughs</t>
        </is>
      </c>
      <c r="B222" t="inlineStr">
        <is>
          <t>5 plough feet bought 2 shilling 6pence.</t>
        </is>
      </c>
      <c r="C222" t="n">
        <v>0.12</v>
      </c>
      <c r="D222" t="n">
        <v>0</v>
      </c>
      <c r="E222" t="n">
        <v>2</v>
      </c>
      <c r="F222" t="n">
        <v>6</v>
      </c>
      <c r="H222" t="n">
        <v>0</v>
      </c>
      <c r="I222" t="n">
        <v>0</v>
      </c>
      <c r="J222" t="n">
        <v>0</v>
      </c>
      <c r="K222" t="n">
        <v>0</v>
      </c>
      <c r="L222" t="n">
        <v>0</v>
      </c>
      <c r="M222" t="n">
        <v>0</v>
      </c>
      <c r="N222" t="n">
        <v>0</v>
      </c>
    </row>
    <row r="223">
      <c r="A223" t="inlineStr">
        <is>
          <t>Cost of ploughs</t>
        </is>
      </c>
      <c r="B223" t="inlineStr">
        <is>
          <t>1 coulter bought for ploughs 1 shilling 4pence.</t>
        </is>
      </c>
      <c r="C223" t="n">
        <v>0.07000000000000001</v>
      </c>
      <c r="D223" t="n">
        <v>0</v>
      </c>
      <c r="E223" t="n">
        <v>1</v>
      </c>
      <c r="F223" t="n">
        <v>4</v>
      </c>
      <c r="H223" t="n">
        <v>0</v>
      </c>
      <c r="I223" t="n">
        <v>0</v>
      </c>
      <c r="J223" t="n">
        <v>0</v>
      </c>
      <c r="K223" t="n">
        <v>0</v>
      </c>
      <c r="L223" t="n">
        <v>0</v>
      </c>
      <c r="M223" t="n">
        <v>0</v>
      </c>
      <c r="N223" t="n">
        <v>0</v>
      </c>
    </row>
    <row r="224">
      <c r="A224" t="inlineStr">
        <is>
          <t>Cost of ploughs</t>
        </is>
      </c>
      <c r="B224" t="inlineStr">
        <is>
          <t>3 halters of hemp bought for the plough-horses 1.5pence.</t>
        </is>
      </c>
      <c r="C224" t="n">
        <v>0.01</v>
      </c>
      <c r="D224" t="n">
        <v>0</v>
      </c>
      <c r="E224" t="n">
        <v>0</v>
      </c>
      <c r="F224" t="n">
        <v>1.5</v>
      </c>
      <c r="H224" t="n">
        <v>0</v>
      </c>
      <c r="I224" t="n">
        <v>0</v>
      </c>
      <c r="J224" t="n">
        <v>0</v>
      </c>
      <c r="K224" t="n">
        <v>0</v>
      </c>
      <c r="L224" t="n">
        <v>0</v>
      </c>
      <c r="M224" t="n">
        <v>0</v>
      </c>
      <c r="N224" t="n">
        <v>0</v>
      </c>
    </row>
    <row r="225">
      <c r="A225" t="inlineStr">
        <is>
          <t>Cost of ploughs</t>
        </is>
      </c>
      <c r="B225" t="inlineStr">
        <is>
          <t>mending old ploughs 4pence.</t>
        </is>
      </c>
      <c r="C225" t="n">
        <v>0.02</v>
      </c>
      <c r="D225" t="n">
        <v>0</v>
      </c>
      <c r="E225" t="n">
        <v>0</v>
      </c>
      <c r="F225" t="n">
        <v>4</v>
      </c>
      <c r="H225" t="n">
        <v>0</v>
      </c>
      <c r="I225" t="n">
        <v>0</v>
      </c>
      <c r="J225" t="n">
        <v>0</v>
      </c>
      <c r="K225" t="n">
        <v>0</v>
      </c>
      <c r="L225" t="n">
        <v>0</v>
      </c>
      <c r="M225" t="n">
        <v>0</v>
      </c>
      <c r="N225" t="n">
        <v>0</v>
      </c>
    </row>
    <row r="226">
      <c r="A226" t="inlineStr">
        <is>
          <t>Cost of ploughs</t>
        </is>
      </c>
      <c r="B226" t="inlineStr">
        <is>
          <t>shoeing 4 plough-horses for the year 3 shilling, because in between times I when they were not ploughing they carried the dung.</t>
        </is>
      </c>
      <c r="C226" t="n">
        <v>0.15</v>
      </c>
      <c r="D226" t="n">
        <v>0</v>
      </c>
      <c r="E226" t="n">
        <v>3</v>
      </c>
      <c r="F226" t="n">
        <v>0</v>
      </c>
      <c r="H226" t="n">
        <v>0</v>
      </c>
      <c r="I226" t="n">
        <v>0</v>
      </c>
      <c r="J226" t="n">
        <v>0</v>
      </c>
      <c r="K226" t="n">
        <v>0</v>
      </c>
      <c r="L226" t="n">
        <v>0</v>
      </c>
      <c r="M226" t="n">
        <v>0</v>
      </c>
      <c r="N226" t="n">
        <v>0</v>
      </c>
    </row>
    <row r="227">
      <c r="A227" t="inlineStr">
        <is>
          <t>Cost of ploughs</t>
        </is>
      </c>
      <c r="B227" t="inlineStr">
        <is>
          <t>.</t>
        </is>
      </c>
      <c r="C227" t="n">
        <v>0</v>
      </c>
      <c r="D227" t="n">
        <v>0</v>
      </c>
      <c r="E227" t="n">
        <v>0</v>
      </c>
      <c r="F227" t="n">
        <v>0</v>
      </c>
      <c r="H227" t="n">
        <v>0</v>
      </c>
      <c r="I227" t="n">
        <v>0</v>
      </c>
      <c r="J227" t="n">
        <v>0</v>
      </c>
      <c r="K227" t="n">
        <v>0</v>
      </c>
      <c r="L227" t="n">
        <v>0</v>
      </c>
      <c r="M227" t="n">
        <v>0</v>
      </c>
      <c r="N227" t="n">
        <v>0</v>
      </c>
    </row>
    <row r="228">
      <c r="A228" t="inlineStr">
        <is>
          <t>Cost of ploughs</t>
        </is>
      </c>
      <c r="B228" t="inlineStr">
        <is>
          <t>boon-works of 48 ploughmen from within the hundred 4 shilling, and each ploughman will plough 2 acres as they lie.</t>
        </is>
      </c>
      <c r="C228" t="n">
        <v>0.2</v>
      </c>
      <c r="D228" t="n">
        <v>0</v>
      </c>
      <c r="E228" t="n">
        <v>4</v>
      </c>
      <c r="F228" t="n">
        <v>0</v>
      </c>
      <c r="H228" t="n">
        <v>0</v>
      </c>
      <c r="I228" t="n">
        <v>0</v>
      </c>
      <c r="J228" t="n">
        <v>0</v>
      </c>
      <c r="K228" t="n">
        <v>0</v>
      </c>
      <c r="L228" t="n">
        <v>0</v>
      </c>
      <c r="M228" t="n">
        <v>0</v>
      </c>
      <c r="N228" t="n">
        <v>0</v>
      </c>
    </row>
    <row r="229">
      <c r="A229" t="inlineStr">
        <is>
          <t>Cost of ploughs</t>
        </is>
      </c>
      <c r="B229" t="inlineStr">
        <is>
          <t>Moreover, within the hundred they are bound to plough 52 acres as they lie for landrighe without the cost of the lorpence.</t>
        </is>
      </c>
      <c r="C229" t="n">
        <v>0</v>
      </c>
      <c r="D229" t="n">
        <v>0</v>
      </c>
      <c r="E229" t="n">
        <v>0</v>
      </c>
      <c r="F229" t="n">
        <v>0</v>
      </c>
      <c r="H229" t="n">
        <v>0</v>
      </c>
      <c r="I229" t="n">
        <v>0</v>
      </c>
      <c r="J229" t="n">
        <v>0</v>
      </c>
      <c r="K229" t="n">
        <v>0</v>
      </c>
      <c r="L229" t="n">
        <v>0</v>
      </c>
      <c r="M229" t="n">
        <v>0</v>
      </c>
      <c r="N229" t="n">
        <v>0</v>
      </c>
    </row>
    <row r="230">
      <c r="A230" t="inlineStr">
        <is>
          <t>Cost of ploughs</t>
        </is>
      </c>
      <c r="B230" t="inlineStr">
        <is>
          <t>winter boon-works of 23 ploughmen from Droxford this year 1 shilling 11pence, or 1pence a ploughman, and each ploughman will plough 2 acres as they lie.</t>
        </is>
      </c>
      <c r="C230" t="n">
        <v>0.1</v>
      </c>
      <c r="D230" t="n">
        <v>0</v>
      </c>
      <c r="E230" t="n">
        <v>1</v>
      </c>
      <c r="F230" t="n">
        <v>11</v>
      </c>
      <c r="H230" t="n">
        <v>0</v>
      </c>
      <c r="I230" t="n">
        <v>0</v>
      </c>
      <c r="J230" t="n">
        <v>0</v>
      </c>
      <c r="K230" t="n">
        <v>0</v>
      </c>
      <c r="L230" t="n">
        <v>0</v>
      </c>
      <c r="M230" t="n">
        <v>0</v>
      </c>
      <c r="N230" t="n">
        <v>0</v>
      </c>
    </row>
    <row r="231">
      <c r="A231" t="inlineStr">
        <is>
          <t>Cost of ploughs</t>
        </is>
      </c>
      <c r="B231" t="inlineStr">
        <is>
          <t>.</t>
        </is>
      </c>
      <c r="C231" t="n">
        <v>0</v>
      </c>
      <c r="D231" t="n">
        <v>0</v>
      </c>
      <c r="E231" t="n">
        <v>0</v>
      </c>
      <c r="F231" t="n">
        <v>0</v>
      </c>
      <c r="H231" t="n">
        <v>0</v>
      </c>
      <c r="I231" t="n">
        <v>0</v>
      </c>
      <c r="J231" t="n">
        <v>0</v>
      </c>
      <c r="K231" t="n">
        <v>0</v>
      </c>
      <c r="L231" t="n">
        <v>0</v>
      </c>
      <c r="M231" t="n">
        <v>0</v>
      </c>
      <c r="N231" t="n">
        <v>0</v>
      </c>
    </row>
    <row r="232">
      <c r="A232" t="inlineStr">
        <is>
          <t>Cost of ploughs</t>
        </is>
      </c>
      <c r="B232" t="inlineStr">
        <is>
          <t>Lenten boon-works of 48 ploughmen from within the hundred 4 shilling, or 1pence a ploughman, and each ploughman will plough acre as it lies.</t>
        </is>
      </c>
      <c r="C232" t="n">
        <v>0.2</v>
      </c>
      <c r="D232" t="n">
        <v>0</v>
      </c>
      <c r="E232" t="n">
        <v>4</v>
      </c>
      <c r="F232" t="n">
        <v>1</v>
      </c>
      <c r="H232" t="n">
        <v>0</v>
      </c>
      <c r="I232" t="n">
        <v>0</v>
      </c>
      <c r="J232" t="n">
        <v>0</v>
      </c>
      <c r="K232" t="n">
        <v>0</v>
      </c>
      <c r="L232" t="n">
        <v>0</v>
      </c>
      <c r="M232" t="n">
        <v>0</v>
      </c>
      <c r="N232" t="n">
        <v>0</v>
      </c>
    </row>
    <row r="233">
      <c r="A233" t="inlineStr">
        <is>
          <t>Cost of ploughs</t>
        </is>
      </c>
      <c r="B233" t="inlineStr">
        <is>
          <t>.</t>
        </is>
      </c>
      <c r="C233" t="n">
        <v>0</v>
      </c>
      <c r="D233" t="n">
        <v>0</v>
      </c>
      <c r="E233" t="n">
        <v>0</v>
      </c>
      <c r="F233" t="n">
        <v>0</v>
      </c>
      <c r="H233" t="n">
        <v>0</v>
      </c>
      <c r="I233" t="n">
        <v>0</v>
      </c>
      <c r="J233" t="n">
        <v>0</v>
      </c>
      <c r="K233" t="n">
        <v>0</v>
      </c>
      <c r="L233" t="n">
        <v>0</v>
      </c>
      <c r="M233" t="n">
        <v>0</v>
      </c>
      <c r="N233" t="n">
        <v>0</v>
      </c>
    </row>
    <row r="234">
      <c r="A234" t="inlineStr">
        <is>
          <t>Cost of ploughs</t>
        </is>
      </c>
      <c r="B234" t="inlineStr">
        <is>
          <t>stipend of 4 ploughmen for 8 Saturday ploughings at the time of the winter sowing, 11 Saturdays at the summer sowing, and 10 Saturdays at the fallowing, with the stipend of 1 ploughman for 8 Saturday ploughings at the sowing of the barley, 13 shilling 10pence, or 1.5pence each when ploughing for sowing, and 1pence when fallowing.</t>
        </is>
      </c>
      <c r="C234" t="n">
        <v>0.6899999999999999</v>
      </c>
      <c r="D234" t="n">
        <v>0</v>
      </c>
      <c r="E234" t="n">
        <v>13</v>
      </c>
      <c r="F234" t="n">
        <v>10</v>
      </c>
      <c r="G234" t="inlineStr">
        <is>
          <t>barley</t>
        </is>
      </c>
      <c r="H234" t="n">
        <v>0</v>
      </c>
      <c r="I234" t="n">
        <v>0</v>
      </c>
      <c r="J234" t="n">
        <v>0</v>
      </c>
      <c r="K234" t="n">
        <v>0</v>
      </c>
      <c r="L234" t="n">
        <v>0</v>
      </c>
      <c r="M234" t="n">
        <v>0</v>
      </c>
      <c r="N234" t="n">
        <v>0</v>
      </c>
    </row>
    <row r="235">
      <c r="A235" t="inlineStr">
        <is>
          <t>Cost of ploughs</t>
        </is>
      </c>
      <c r="B235" t="inlineStr">
        <is>
          <t>.</t>
        </is>
      </c>
      <c r="C235" t="n">
        <v>0</v>
      </c>
      <c r="D235" t="n">
        <v>0</v>
      </c>
      <c r="E235" t="n">
        <v>0</v>
      </c>
      <c r="F235" t="n">
        <v>0</v>
      </c>
      <c r="H235" t="n">
        <v>0</v>
      </c>
      <c r="I235" t="n">
        <v>0</v>
      </c>
      <c r="J235" t="n">
        <v>0</v>
      </c>
      <c r="K235" t="n">
        <v>0</v>
      </c>
      <c r="L235" t="n">
        <v>0</v>
      </c>
      <c r="M235" t="n">
        <v>0</v>
      </c>
      <c r="N235" t="n">
        <v>0</v>
      </c>
    </row>
    <row r="236">
      <c r="A236" t="inlineStr">
        <is>
          <t>Cost of ploughs</t>
        </is>
      </c>
      <c r="B236" t="inlineStr">
        <is>
          <t>stipend of 4 drovers for the year and 1 drover for' year 13 shilling 6pence, or 3 shilling each.</t>
        </is>
      </c>
      <c r="C236" t="n">
        <v>0.68</v>
      </c>
      <c r="D236" t="n">
        <v>0</v>
      </c>
      <c r="E236" t="n">
        <v>13</v>
      </c>
      <c r="F236" t="n">
        <v>6</v>
      </c>
      <c r="H236" t="n">
        <v>0</v>
      </c>
      <c r="I236" t="n">
        <v>0</v>
      </c>
      <c r="J236" t="n">
        <v>0</v>
      </c>
      <c r="K236" t="n">
        <v>0</v>
      </c>
      <c r="L236" t="n">
        <v>0</v>
      </c>
      <c r="M236" t="n">
        <v>0</v>
      </c>
      <c r="N236" t="n">
        <v>0</v>
      </c>
    </row>
    <row r="237">
      <c r="A237" t="inlineStr">
        <is>
          <t>Cost of ploughs</t>
        </is>
      </c>
      <c r="B237" t="inlineStr">
        <is>
          <t>.</t>
        </is>
      </c>
      <c r="C237" t="n">
        <v>0</v>
      </c>
      <c r="D237" t="n">
        <v>0</v>
      </c>
      <c r="E237" t="n">
        <v>0</v>
      </c>
      <c r="F237" t="n">
        <v>0</v>
      </c>
      <c r="H237" t="n">
        <v>0</v>
      </c>
      <c r="I237" t="n">
        <v>0</v>
      </c>
      <c r="J237" t="n">
        <v>0</v>
      </c>
      <c r="K237" t="n">
        <v>0</v>
      </c>
      <c r="L237" t="n">
        <v>0</v>
      </c>
      <c r="M237" t="n">
        <v>0</v>
      </c>
      <c r="N237" t="n">
        <v>0</v>
      </c>
    </row>
    <row r="238">
      <c r="A238" t="inlineStr">
        <is>
          <t>Cost of ploughs</t>
        </is>
      </c>
      <c r="B238" t="inlineStr">
        <is>
          <t>1 plough-horse bought 9 shilling 6pence.</t>
        </is>
      </c>
      <c r="C238" t="n">
        <v>0.48</v>
      </c>
      <c r="D238" t="n">
        <v>0</v>
      </c>
      <c r="E238" t="n">
        <v>9</v>
      </c>
      <c r="F238" t="n">
        <v>6</v>
      </c>
      <c r="H238" t="n">
        <v>0</v>
      </c>
      <c r="I238" t="n">
        <v>0</v>
      </c>
      <c r="J238" t="n">
        <v>0</v>
      </c>
      <c r="K238" t="n">
        <v>0</v>
      </c>
      <c r="L238" t="n">
        <v>0</v>
      </c>
      <c r="M238" t="n">
        <v>0</v>
      </c>
      <c r="N238" t="n">
        <v>0</v>
      </c>
    </row>
    <row r="239">
      <c r="A239" t="inlineStr">
        <is>
          <t>Cost of ploughs</t>
        </is>
      </c>
      <c r="B239" t="inlineStr">
        <is>
          <t>9 oxen bought £5 8pence, at 9 shilling 6pence for 1,10 shilling 1pence each for 2, 11 shilling 6pence each for 2, and 12 shilling each for 4..</t>
        </is>
      </c>
      <c r="C239" t="n">
        <v>5.03</v>
      </c>
      <c r="D239" t="n">
        <v>5</v>
      </c>
      <c r="E239" t="n">
        <v>0</v>
      </c>
      <c r="F239" t="n">
        <v>8</v>
      </c>
      <c r="H239" t="n">
        <v>0</v>
      </c>
      <c r="I239" t="n">
        <v>0</v>
      </c>
      <c r="J239" t="n">
        <v>0</v>
      </c>
      <c r="K239" t="n">
        <v>0</v>
      </c>
      <c r="L239" t="n">
        <v>0</v>
      </c>
      <c r="M239" t="n">
        <v>0</v>
      </c>
      <c r="N239" t="n">
        <v>0</v>
      </c>
    </row>
    <row r="240">
      <c r="A240" t="inlineStr">
        <is>
          <t>Cost of ploughs</t>
        </is>
      </c>
      <c r="B240" t="inlineStr">
        <is>
          <t>4 bushels of peas bought for sowing 1 shilling 4pence.</t>
        </is>
      </c>
      <c r="C240" t="n">
        <v>0.07000000000000001</v>
      </c>
      <c r="D240" t="n">
        <v>0</v>
      </c>
      <c r="E240" t="n">
        <v>1</v>
      </c>
      <c r="F240" t="n">
        <v>4</v>
      </c>
      <c r="G240" t="inlineStr">
        <is>
          <t>peas</t>
        </is>
      </c>
      <c r="H240" t="n">
        <v>0</v>
      </c>
      <c r="I240" t="n">
        <v>4</v>
      </c>
      <c r="J240" t="n">
        <v>0.5</v>
      </c>
      <c r="K240" t="n">
        <v>0.5</v>
      </c>
      <c r="L240" t="n">
        <v>0</v>
      </c>
      <c r="M240" t="n">
        <v>0</v>
      </c>
      <c r="N240" t="n">
        <v>4</v>
      </c>
    </row>
    <row r="241">
      <c r="A241" t="inlineStr">
        <is>
          <t>Cost of ploughs</t>
        </is>
      </c>
      <c r="B241" t="inlineStr">
        <is>
          <t>3 quarters 2 bushels of vetches bought 5 shilling 5pence, at 1 shilling 8pence a quarters.</t>
        </is>
      </c>
      <c r="C241" t="n">
        <v>0.27</v>
      </c>
      <c r="D241" t="n">
        <v>0</v>
      </c>
      <c r="E241" t="n">
        <v>5</v>
      </c>
      <c r="F241" t="n">
        <v>5</v>
      </c>
      <c r="G241" t="inlineStr">
        <is>
          <t>vetches</t>
        </is>
      </c>
      <c r="H241" t="n">
        <v>3</v>
      </c>
      <c r="I241" t="n">
        <v>2</v>
      </c>
      <c r="J241" t="n">
        <v>3.25</v>
      </c>
      <c r="K241" t="n">
        <v>3.25</v>
      </c>
      <c r="L241" t="n">
        <v>0</v>
      </c>
      <c r="M241" t="n">
        <v>3</v>
      </c>
      <c r="N241" t="n">
        <v>2</v>
      </c>
      <c r="W241" t="n">
        <v>1</v>
      </c>
      <c r="X241" t="n">
        <v>8</v>
      </c>
    </row>
    <row r="242">
      <c r="A242" t="inlineStr">
        <is>
          <t>Cost of ploughs</t>
        </is>
      </c>
      <c r="B242" t="inlineStr">
        <is>
          <t>.</t>
        </is>
      </c>
      <c r="C242" t="n">
        <v>0</v>
      </c>
      <c r="D242" t="n">
        <v>0</v>
      </c>
      <c r="E242" t="n">
        <v>0</v>
      </c>
      <c r="F242" t="n">
        <v>0</v>
      </c>
      <c r="H242" t="n">
        <v>0</v>
      </c>
      <c r="I242" t="n">
        <v>0</v>
      </c>
      <c r="J242" t="n">
        <v>0</v>
      </c>
      <c r="K242" t="n">
        <v>0</v>
      </c>
      <c r="L242" t="n">
        <v>0</v>
      </c>
      <c r="M242" t="n">
        <v>0</v>
      </c>
      <c r="N242" t="n">
        <v>0</v>
      </c>
    </row>
    <row r="243">
      <c r="A243" t="inlineStr">
        <is>
          <t>Cost of ploughs</t>
        </is>
      </c>
      <c r="B243" t="inlineStr">
        <is>
          <t>forage bought to support the lord's stock £1 4 shilling Total, £10 1 shilling 5pence</t>
        </is>
      </c>
      <c r="C243" t="n">
        <v>1.2</v>
      </c>
      <c r="D243" t="n">
        <v>1</v>
      </c>
      <c r="E243" t="n">
        <v>4</v>
      </c>
      <c r="F243" t="n">
        <v>0</v>
      </c>
      <c r="H243" t="n">
        <v>0</v>
      </c>
      <c r="I243" t="n">
        <v>0</v>
      </c>
      <c r="J243" t="n">
        <v>0</v>
      </c>
      <c r="K243" t="n">
        <v>0</v>
      </c>
      <c r="L243" t="n">
        <v>0</v>
      </c>
      <c r="M243" t="n">
        <v>0</v>
      </c>
      <c r="N243" t="n">
        <v>0</v>
      </c>
    </row>
    <row r="244">
      <c r="A244" t="inlineStr">
        <is>
          <t>Cost of carts</t>
        </is>
      </c>
      <c r="B244" t="inlineStr">
        <is>
          <t>In 1 new cart with iron tyres with all equipment bought 14 shilling.</t>
        </is>
      </c>
      <c r="C244" t="n">
        <v>0.7</v>
      </c>
      <c r="D244" t="n">
        <v>0</v>
      </c>
      <c r="E244" t="n">
        <v>14</v>
      </c>
      <c r="F244" t="n">
        <v>0</v>
      </c>
      <c r="H244" t="n">
        <v>0</v>
      </c>
      <c r="I244" t="n">
        <v>0</v>
      </c>
      <c r="J244" t="n">
        <v>0</v>
      </c>
      <c r="K244" t="n">
        <v>0</v>
      </c>
      <c r="L244" t="n">
        <v>0</v>
      </c>
      <c r="M244" t="n">
        <v>0</v>
      </c>
      <c r="N244" t="n">
        <v>0</v>
      </c>
    </row>
    <row r="245">
      <c r="A245" t="inlineStr">
        <is>
          <t>Cost of carts</t>
        </is>
      </c>
      <c r="B245" t="inlineStr">
        <is>
          <t>mending the old cart 1 .5pence.</t>
        </is>
      </c>
      <c r="C245" t="n">
        <v>0.02</v>
      </c>
      <c r="D245" t="n">
        <v>0</v>
      </c>
      <c r="E245" t="n">
        <v>0</v>
      </c>
      <c r="F245" t="n">
        <v>5</v>
      </c>
      <c r="H245" t="n">
        <v>0</v>
      </c>
      <c r="I245" t="n">
        <v>0</v>
      </c>
      <c r="J245" t="n">
        <v>0</v>
      </c>
      <c r="K245" t="n">
        <v>0</v>
      </c>
      <c r="L245" t="n">
        <v>0</v>
      </c>
      <c r="M245" t="n">
        <v>0</v>
      </c>
      <c r="N245" t="n">
        <v>0</v>
      </c>
    </row>
    <row r="246">
      <c r="A246" t="inlineStr">
        <is>
          <t>Cost of carts</t>
        </is>
      </c>
      <c r="B246" t="inlineStr">
        <is>
          <t>clouts, nails and grease bought 1 shilling 10pence.</t>
        </is>
      </c>
      <c r="C246" t="n">
        <v>0.09</v>
      </c>
      <c r="D246" t="n">
        <v>0</v>
      </c>
      <c r="E246" t="n">
        <v>1</v>
      </c>
      <c r="F246" t="n">
        <v>10</v>
      </c>
      <c r="H246" t="n">
        <v>0</v>
      </c>
      <c r="I246" t="n">
        <v>0</v>
      </c>
      <c r="J246" t="n">
        <v>0</v>
      </c>
      <c r="K246" t="n">
        <v>0</v>
      </c>
      <c r="L246" t="n">
        <v>0</v>
      </c>
      <c r="M246" t="n">
        <v>0</v>
      </c>
      <c r="N246" t="n">
        <v>0</v>
      </c>
    </row>
    <row r="247">
      <c r="A247" t="inlineStr">
        <is>
          <t>Cost of carts</t>
        </is>
      </c>
      <c r="B247" t="inlineStr">
        <is>
          <t>fitting the carts with axles at various times with axles bought for the same 6.25pence.</t>
        </is>
      </c>
      <c r="C247" t="n">
        <v>0.03</v>
      </c>
      <c r="D247" t="n">
        <v>0</v>
      </c>
      <c r="E247" t="n">
        <v>0</v>
      </c>
      <c r="F247" t="n">
        <v>6.25</v>
      </c>
      <c r="H247" t="n">
        <v>0</v>
      </c>
      <c r="I247" t="n">
        <v>0</v>
      </c>
      <c r="J247" t="n">
        <v>0</v>
      </c>
      <c r="K247" t="n">
        <v>0</v>
      </c>
      <c r="L247" t="n">
        <v>0</v>
      </c>
      <c r="M247" t="n">
        <v>0</v>
      </c>
      <c r="N247" t="n">
        <v>0</v>
      </c>
    </row>
    <row r="248">
      <c r="A248" t="inlineStr">
        <is>
          <t>Cost of carts</t>
        </is>
      </c>
      <c r="B248" t="inlineStr">
        <is>
          <t>1 cart-rail made anew for the cart 3pence.</t>
        </is>
      </c>
      <c r="C248" t="n">
        <v>0.01</v>
      </c>
      <c r="D248" t="n">
        <v>0</v>
      </c>
      <c r="E248" t="n">
        <v>0</v>
      </c>
      <c r="F248" t="n">
        <v>3</v>
      </c>
      <c r="H248" t="n">
        <v>0</v>
      </c>
      <c r="I248" t="n">
        <v>0</v>
      </c>
      <c r="J248" t="n">
        <v>0</v>
      </c>
      <c r="K248" t="n">
        <v>0</v>
      </c>
      <c r="L248" t="n">
        <v>0</v>
      </c>
      <c r="M248" t="n">
        <v>0</v>
      </c>
      <c r="N248" t="n">
        <v>0</v>
      </c>
    </row>
    <row r="249">
      <c r="A249" t="inlineStr">
        <is>
          <t>Cost of carts</t>
        </is>
      </c>
      <c r="B249" t="inlineStr">
        <is>
          <t>1 pair of traces bought 5.5pence.</t>
        </is>
      </c>
      <c r="C249" t="n">
        <v>0.02</v>
      </c>
      <c r="D249" t="n">
        <v>0</v>
      </c>
      <c r="E249" t="n">
        <v>0</v>
      </c>
      <c r="F249" t="n">
        <v>5.5</v>
      </c>
      <c r="H249" t="n">
        <v>0</v>
      </c>
      <c r="I249" t="n">
        <v>0</v>
      </c>
      <c r="J249" t="n">
        <v>0</v>
      </c>
      <c r="K249" t="n">
        <v>0</v>
      </c>
      <c r="L249" t="n">
        <v>0</v>
      </c>
      <c r="M249" t="n">
        <v>0</v>
      </c>
      <c r="N249" t="n">
        <v>0</v>
      </c>
    </row>
    <row r="250">
      <c r="A250" t="inlineStr">
        <is>
          <t>Cost of carts</t>
        </is>
      </c>
      <c r="B250" t="inlineStr">
        <is>
          <t>3 collars and 1 pair of saddle-pads bought 2 shilling 4pence.</t>
        </is>
      </c>
      <c r="C250" t="n">
        <v>0.12</v>
      </c>
      <c r="D250" t="n">
        <v>0</v>
      </c>
      <c r="E250" t="n">
        <v>2</v>
      </c>
      <c r="F250" t="n">
        <v>4</v>
      </c>
      <c r="H250" t="n">
        <v>0</v>
      </c>
      <c r="I250" t="n">
        <v>0</v>
      </c>
      <c r="J250" t="n">
        <v>0</v>
      </c>
      <c r="K250" t="n">
        <v>0</v>
      </c>
      <c r="L250" t="n">
        <v>0</v>
      </c>
      <c r="M250" t="n">
        <v>0</v>
      </c>
      <c r="N250" t="n">
        <v>0</v>
      </c>
    </row>
    <row r="251">
      <c r="A251" t="inlineStr">
        <is>
          <t>Cost of carts</t>
        </is>
      </c>
      <c r="B251" t="inlineStr">
        <is>
          <t>a hemp rope bought 11pence.</t>
        </is>
      </c>
      <c r="C251" t="n">
        <v>0.05</v>
      </c>
      <c r="D251" t="n">
        <v>0</v>
      </c>
      <c r="E251" t="n">
        <v>0</v>
      </c>
      <c r="F251" t="n">
        <v>11</v>
      </c>
      <c r="H251" t="n">
        <v>0</v>
      </c>
      <c r="I251" t="n">
        <v>0</v>
      </c>
      <c r="J251" t="n">
        <v>0</v>
      </c>
      <c r="K251" t="n">
        <v>0</v>
      </c>
      <c r="L251" t="n">
        <v>0</v>
      </c>
      <c r="M251" t="n">
        <v>0</v>
      </c>
      <c r="N251" t="n">
        <v>0</v>
      </c>
    </row>
    <row r="252">
      <c r="A252" t="inlineStr">
        <is>
          <t>Cost of carts</t>
        </is>
      </c>
      <c r="B252" t="inlineStr">
        <is>
          <t>white leather bought 4pence.</t>
        </is>
      </c>
      <c r="C252" t="n">
        <v>0.02</v>
      </c>
      <c r="D252" t="n">
        <v>0</v>
      </c>
      <c r="E252" t="n">
        <v>0</v>
      </c>
      <c r="F252" t="n">
        <v>4</v>
      </c>
      <c r="H252" t="n">
        <v>0</v>
      </c>
      <c r="I252" t="n">
        <v>0</v>
      </c>
      <c r="J252" t="n">
        <v>0</v>
      </c>
      <c r="K252" t="n">
        <v>0</v>
      </c>
      <c r="L252" t="n">
        <v>0</v>
      </c>
      <c r="M252" t="n">
        <v>0</v>
      </c>
      <c r="N252" t="n">
        <v>0</v>
      </c>
    </row>
    <row r="253">
      <c r="A253" t="inlineStr">
        <is>
          <t>Cost of carts</t>
        </is>
      </c>
      <c r="B253" t="inlineStr">
        <is>
          <t>2 pairs of swingletrees 2pence.</t>
        </is>
      </c>
      <c r="C253" t="n">
        <v>0.01</v>
      </c>
      <c r="D253" t="n">
        <v>0</v>
      </c>
      <c r="E253" t="n">
        <v>0</v>
      </c>
      <c r="F253" t="n">
        <v>2</v>
      </c>
      <c r="H253" t="n">
        <v>0</v>
      </c>
      <c r="I253" t="n">
        <v>0</v>
      </c>
      <c r="J253" t="n">
        <v>0</v>
      </c>
      <c r="K253" t="n">
        <v>0</v>
      </c>
      <c r="L253" t="n">
        <v>0</v>
      </c>
      <c r="M253" t="n">
        <v>0</v>
      </c>
      <c r="N253" t="n">
        <v>0</v>
      </c>
    </row>
    <row r="254">
      <c r="A254" t="inlineStr">
        <is>
          <t>Cost of carts</t>
        </is>
      </c>
      <c r="B254" t="inlineStr">
        <is>
          <t>1 saddle for the same 2.5pence.</t>
        </is>
      </c>
      <c r="C254" t="n">
        <v>0.01</v>
      </c>
      <c r="D254" t="n">
        <v>0</v>
      </c>
      <c r="E254" t="n">
        <v>0</v>
      </c>
      <c r="F254" t="n">
        <v>2.5</v>
      </c>
      <c r="H254" t="n">
        <v>0</v>
      </c>
      <c r="I254" t="n">
        <v>0</v>
      </c>
      <c r="J254" t="n">
        <v>0</v>
      </c>
      <c r="K254" t="n">
        <v>0</v>
      </c>
      <c r="L254" t="n">
        <v>0</v>
      </c>
      <c r="M254" t="n">
        <v>0</v>
      </c>
      <c r="N254" t="n">
        <v>0</v>
      </c>
    </row>
    <row r="255">
      <c r="A255" t="inlineStr">
        <is>
          <t>Cost of carts</t>
        </is>
      </c>
      <c r="B255" t="inlineStr">
        <is>
          <t>1 thill-rope (tilropt') bought 1.25pence.</t>
        </is>
      </c>
      <c r="C255" t="n">
        <v>0.01</v>
      </c>
      <c r="D255" t="n">
        <v>0</v>
      </c>
      <c r="E255" t="n">
        <v>0</v>
      </c>
      <c r="F255" t="n">
        <v>1.25</v>
      </c>
      <c r="H255" t="n">
        <v>0</v>
      </c>
      <c r="I255" t="n">
        <v>0</v>
      </c>
      <c r="J255" t="n">
        <v>0</v>
      </c>
      <c r="K255" t="n">
        <v>0</v>
      </c>
      <c r="L255" t="n">
        <v>0</v>
      </c>
      <c r="M255" t="n">
        <v>0</v>
      </c>
      <c r="N255" t="n">
        <v>0</v>
      </c>
    </row>
    <row r="256">
      <c r="A256" t="inlineStr">
        <is>
          <t>Cost of carts</t>
        </is>
      </c>
      <c r="B256" t="inlineStr">
        <is>
          <t>hooping wooden frets to the hubs of the old cart 2pence.</t>
        </is>
      </c>
      <c r="C256" t="n">
        <v>0.01</v>
      </c>
      <c r="D256" t="n">
        <v>0</v>
      </c>
      <c r="E256" t="n">
        <v>0</v>
      </c>
      <c r="F256" t="n">
        <v>2</v>
      </c>
      <c r="H256" t="n">
        <v>0</v>
      </c>
      <c r="I256" t="n">
        <v>0</v>
      </c>
      <c r="J256" t="n">
        <v>0</v>
      </c>
      <c r="K256" t="n">
        <v>0</v>
      </c>
      <c r="L256" t="n">
        <v>0</v>
      </c>
      <c r="M256" t="n">
        <v>0</v>
      </c>
      <c r="N256" t="n">
        <v>0</v>
      </c>
    </row>
    <row r="257">
      <c r="A257" t="inlineStr">
        <is>
          <t>Cost of carts</t>
        </is>
      </c>
      <c r="B257" t="inlineStr">
        <is>
          <t>forage for 2 cart-horses for the year 3 shilling.</t>
        </is>
      </c>
      <c r="C257" t="n">
        <v>0.15</v>
      </c>
      <c r="D257" t="n">
        <v>0</v>
      </c>
      <c r="E257" t="n">
        <v>3</v>
      </c>
      <c r="F257" t="n">
        <v>0</v>
      </c>
      <c r="H257" t="n">
        <v>0</v>
      </c>
      <c r="I257" t="n">
        <v>0</v>
      </c>
      <c r="J257" t="n">
        <v>0</v>
      </c>
      <c r="K257" t="n">
        <v>0</v>
      </c>
      <c r="L257" t="n">
        <v>0</v>
      </c>
      <c r="M257" t="n">
        <v>0</v>
      </c>
      <c r="N257" t="n">
        <v>0</v>
      </c>
    </row>
    <row r="258">
      <c r="A258" t="inlineStr">
        <is>
          <t>Cost of carts</t>
        </is>
      </c>
      <c r="B258" t="inlineStr">
        <is>
          <t>stipend of 1 carter for the year 3 shilling.</t>
        </is>
      </c>
      <c r="C258" t="n">
        <v>0.15</v>
      </c>
      <c r="D258" t="n">
        <v>0</v>
      </c>
      <c r="E258" t="n">
        <v>3</v>
      </c>
      <c r="F258" t="n">
        <v>0</v>
      </c>
      <c r="H258" t="n">
        <v>0</v>
      </c>
      <c r="I258" t="n">
        <v>0</v>
      </c>
      <c r="J258" t="n">
        <v>0</v>
      </c>
      <c r="K258" t="n">
        <v>0</v>
      </c>
      <c r="L258" t="n">
        <v>0</v>
      </c>
      <c r="M258" t="n">
        <v>0</v>
      </c>
      <c r="N258" t="n">
        <v>0</v>
      </c>
    </row>
    <row r="259">
      <c r="A259" t="inlineStr">
        <is>
          <t>Cost of carts</t>
        </is>
      </c>
      <c r="B259" t="inlineStr">
        <is>
          <t>stipend of 1 carter leading the other cart to the dung for 0.5 year 1 shilling 6pence, because for the other 0.5 year he held the horse-plough.</t>
        </is>
      </c>
      <c r="C259" t="n">
        <v>0.08</v>
      </c>
      <c r="D259" t="n">
        <v>0</v>
      </c>
      <c r="E259" t="n">
        <v>1</v>
      </c>
      <c r="F259" t="n">
        <v>6</v>
      </c>
      <c r="H259" t="n">
        <v>0</v>
      </c>
      <c r="I259" t="n">
        <v>0</v>
      </c>
      <c r="J259" t="n">
        <v>0</v>
      </c>
      <c r="K259" t="n">
        <v>0</v>
      </c>
      <c r="L259" t="n">
        <v>0</v>
      </c>
      <c r="M259" t="n">
        <v>0</v>
      </c>
      <c r="N259" t="n">
        <v>0</v>
      </c>
    </row>
    <row r="260">
      <c r="A260" t="inlineStr">
        <is>
          <t>Cost of carts</t>
        </is>
      </c>
      <c r="B260" t="inlineStr">
        <is>
          <t>Total, £1 9 shilling</t>
        </is>
      </c>
      <c r="C260" t="n">
        <v>1.45</v>
      </c>
      <c r="D260" t="n">
        <v>1</v>
      </c>
      <c r="E260" t="n">
        <v>9</v>
      </c>
      <c r="F260" t="n">
        <v>0</v>
      </c>
      <c r="H260" t="n">
        <v>0</v>
      </c>
      <c r="I260" t="n">
        <v>0</v>
      </c>
      <c r="J260" t="n">
        <v>0</v>
      </c>
      <c r="K260" t="n">
        <v>0</v>
      </c>
      <c r="L260" t="n">
        <v>0</v>
      </c>
      <c r="M260" t="n">
        <v>0</v>
      </c>
      <c r="N260" t="n">
        <v>0</v>
      </c>
    </row>
    <row r="261">
      <c r="A261" t="inlineStr">
        <is>
          <t>Cost of the dairy</t>
        </is>
      </c>
      <c r="B261" t="inlineStr">
        <is>
          <t>In woollen and linen cloth bought for the dairy 8.5pence.</t>
        </is>
      </c>
      <c r="C261" t="n">
        <v>0.04</v>
      </c>
      <c r="D261" t="n">
        <v>0</v>
      </c>
      <c r="E261" t="n">
        <v>0</v>
      </c>
      <c r="F261" t="n">
        <v>8.5</v>
      </c>
      <c r="H261" t="n">
        <v>0</v>
      </c>
      <c r="I261" t="n">
        <v>0</v>
      </c>
      <c r="J261" t="n">
        <v>0</v>
      </c>
      <c r="K261" t="n">
        <v>0</v>
      </c>
      <c r="L261" t="n">
        <v>0</v>
      </c>
      <c r="M261" t="n">
        <v>0</v>
      </c>
      <c r="N261" t="n">
        <v>0</v>
      </c>
    </row>
    <row r="262">
      <c r="A262" t="inlineStr">
        <is>
          <t>Cost of the dairy</t>
        </is>
      </c>
      <c r="B262" t="inlineStr">
        <is>
          <t>a press bought for the same 6pence.</t>
        </is>
      </c>
      <c r="C262" t="n">
        <v>0.03</v>
      </c>
      <c r="D262" t="n">
        <v>0</v>
      </c>
      <c r="E262" t="n">
        <v>0</v>
      </c>
      <c r="F262" t="n">
        <v>6</v>
      </c>
      <c r="H262" t="n">
        <v>0</v>
      </c>
      <c r="I262" t="n">
        <v>0</v>
      </c>
      <c r="J262" t="n">
        <v>0</v>
      </c>
      <c r="K262" t="n">
        <v>0</v>
      </c>
      <c r="L262" t="n">
        <v>0</v>
      </c>
      <c r="M262" t="n">
        <v>0</v>
      </c>
      <c r="N262" t="n">
        <v>0</v>
      </c>
    </row>
    <row r="263">
      <c r="A263" t="inlineStr">
        <is>
          <t>Cost of the dairy</t>
        </is>
      </c>
      <c r="B263" t="inlineStr">
        <is>
          <t>7 bushels of salt bought 10.5pence.</t>
        </is>
      </c>
      <c r="C263" t="n">
        <v>0.04</v>
      </c>
      <c r="D263" t="n">
        <v>0</v>
      </c>
      <c r="E263" t="n">
        <v>0</v>
      </c>
      <c r="F263" t="n">
        <v>10.5</v>
      </c>
      <c r="H263" t="n">
        <v>0</v>
      </c>
      <c r="I263" t="n">
        <v>7</v>
      </c>
      <c r="J263" t="n">
        <v>0.875</v>
      </c>
      <c r="K263" t="n">
        <v>0.875</v>
      </c>
      <c r="L263" t="n">
        <v>0</v>
      </c>
      <c r="M263" t="n">
        <v>0</v>
      </c>
      <c r="N263" t="n">
        <v>7</v>
      </c>
    </row>
    <row r="264">
      <c r="A264" t="inlineStr">
        <is>
          <t>Cost of the dairy</t>
        </is>
      </c>
      <c r="B264" t="inlineStr">
        <is>
          <t>2 buckets and 1 tub bought anew for the same 9pence.</t>
        </is>
      </c>
      <c r="C264" t="n">
        <v>0.04</v>
      </c>
      <c r="D264" t="n">
        <v>0</v>
      </c>
      <c r="E264" t="n">
        <v>0</v>
      </c>
      <c r="F264" t="n">
        <v>9</v>
      </c>
      <c r="H264" t="n">
        <v>0</v>
      </c>
      <c r="I264" t="n">
        <v>0</v>
      </c>
      <c r="J264" t="n">
        <v>0</v>
      </c>
      <c r="K264" t="n">
        <v>0</v>
      </c>
      <c r="L264" t="n">
        <v>0</v>
      </c>
      <c r="M264" t="n">
        <v>0</v>
      </c>
      <c r="N264" t="n">
        <v>0</v>
      </c>
    </row>
    <row r="265">
      <c r="A265" t="inlineStr">
        <is>
          <t>Cost of the dairy</t>
        </is>
      </c>
      <c r="B265" t="inlineStr">
        <is>
          <t>earthenware pots and pans 4pence.</t>
        </is>
      </c>
      <c r="C265" t="n">
        <v>0.02</v>
      </c>
      <c r="D265" t="n">
        <v>0</v>
      </c>
      <c r="E265" t="n">
        <v>0</v>
      </c>
      <c r="F265" t="n">
        <v>4</v>
      </c>
      <c r="H265" t="n">
        <v>0</v>
      </c>
      <c r="I265" t="n">
        <v>0</v>
      </c>
      <c r="J265" t="n">
        <v>0</v>
      </c>
      <c r="K265" t="n">
        <v>0</v>
      </c>
      <c r="L265" t="n">
        <v>0</v>
      </c>
      <c r="M265" t="n">
        <v>0</v>
      </c>
      <c r="N265" t="n">
        <v>0</v>
      </c>
    </row>
    <row r="266">
      <c r="A266" t="inlineStr">
        <is>
          <t>Cost of the dairy</t>
        </is>
      </c>
      <c r="B266" t="inlineStr">
        <is>
          <t>grease bought for greasing sheep 11 shilling 4pence.</t>
        </is>
      </c>
      <c r="C266" t="n">
        <v>0.57</v>
      </c>
      <c r="D266" t="n">
        <v>0</v>
      </c>
      <c r="E266" t="n">
        <v>11</v>
      </c>
      <c r="F266" t="n">
        <v>4</v>
      </c>
      <c r="H266" t="n">
        <v>0</v>
      </c>
      <c r="I266" t="n">
        <v>0</v>
      </c>
      <c r="J266" t="n">
        <v>0</v>
      </c>
      <c r="K266" t="n">
        <v>0</v>
      </c>
      <c r="L266" t="n">
        <v>0</v>
      </c>
      <c r="M266" t="n">
        <v>0</v>
      </c>
      <c r="N266" t="n">
        <v>0</v>
      </c>
    </row>
    <row r="267">
      <c r="A267" t="inlineStr">
        <is>
          <t>Cost of the dairy</t>
        </is>
      </c>
      <c r="B267" t="inlineStr">
        <is>
          <t>10 ells of canvas bought for packing wool 2 shilling 11pence, at 3.5pence an ell.</t>
        </is>
      </c>
      <c r="C267" t="n">
        <v>0.15</v>
      </c>
      <c r="D267" t="n">
        <v>0</v>
      </c>
      <c r="E267" t="n">
        <v>2</v>
      </c>
      <c r="F267" t="n">
        <v>11</v>
      </c>
      <c r="H267" t="n">
        <v>0</v>
      </c>
      <c r="I267" t="n">
        <v>0</v>
      </c>
      <c r="J267" t="n">
        <v>0</v>
      </c>
      <c r="K267" t="n">
        <v>0</v>
      </c>
      <c r="L267" t="n">
        <v>0</v>
      </c>
      <c r="M267" t="n">
        <v>0</v>
      </c>
      <c r="N267" t="n">
        <v>0</v>
      </c>
    </row>
    <row r="268">
      <c r="A268" t="inlineStr">
        <is>
          <t>Cost of the dairy</t>
        </is>
      </c>
      <c r="B268" t="inlineStr">
        <is>
          <t>.</t>
        </is>
      </c>
      <c r="C268" t="n">
        <v>0</v>
      </c>
      <c r="D268" t="n">
        <v>0</v>
      </c>
      <c r="E268" t="n">
        <v>0</v>
      </c>
      <c r="F268" t="n">
        <v>0</v>
      </c>
      <c r="H268" t="n">
        <v>0</v>
      </c>
      <c r="I268" t="n">
        <v>0</v>
      </c>
      <c r="J268" t="n">
        <v>0</v>
      </c>
      <c r="K268" t="n">
        <v>0</v>
      </c>
      <c r="L268" t="n">
        <v>0</v>
      </c>
      <c r="M268" t="n">
        <v>0</v>
      </c>
      <c r="N268" t="n">
        <v>0</v>
      </c>
    </row>
    <row r="269">
      <c r="A269" t="inlineStr">
        <is>
          <t>Cost of the dairy</t>
        </is>
      </c>
      <c r="B269" t="inlineStr">
        <is>
          <t>castrating 9 piglets 3pence.</t>
        </is>
      </c>
      <c r="C269" t="n">
        <v>0.01</v>
      </c>
      <c r="D269" t="n">
        <v>0</v>
      </c>
      <c r="E269" t="n">
        <v>0</v>
      </c>
      <c r="F269" t="n">
        <v>3</v>
      </c>
      <c r="H269" t="n">
        <v>0</v>
      </c>
      <c r="I269" t="n">
        <v>0</v>
      </c>
      <c r="J269" t="n">
        <v>0</v>
      </c>
      <c r="K269" t="n">
        <v>0</v>
      </c>
      <c r="L269" t="n">
        <v>0</v>
      </c>
      <c r="M269" t="n">
        <v>0</v>
      </c>
      <c r="N269" t="n">
        <v>0</v>
      </c>
    </row>
    <row r="270">
      <c r="A270" t="inlineStr">
        <is>
          <t>Cost of the dairy</t>
        </is>
      </c>
      <c r="B270" t="inlineStr">
        <is>
          <t>wattling anew the sheepcote at Langeheg' 2 shilling 6pence.</t>
        </is>
      </c>
      <c r="C270" t="n">
        <v>0.12</v>
      </c>
      <c r="D270" t="n">
        <v>0</v>
      </c>
      <c r="E270" t="n">
        <v>2</v>
      </c>
      <c r="F270" t="n">
        <v>6</v>
      </c>
      <c r="H270" t="n">
        <v>0</v>
      </c>
      <c r="I270" t="n">
        <v>0</v>
      </c>
      <c r="J270" t="n">
        <v>0</v>
      </c>
      <c r="K270" t="n">
        <v>0</v>
      </c>
      <c r="L270" t="n">
        <v>0</v>
      </c>
      <c r="M270" t="n">
        <v>0</v>
      </c>
      <c r="N270" t="n">
        <v>0</v>
      </c>
    </row>
    <row r="271">
      <c r="A271" t="inlineStr">
        <is>
          <t>Cost of the dairy</t>
        </is>
      </c>
      <c r="B271" t="inlineStr">
        <is>
          <t>re-roofing in places the said sheepcote which had been unroofed 3 shilling.</t>
        </is>
      </c>
      <c r="C271" t="n">
        <v>0.15</v>
      </c>
      <c r="D271" t="n">
        <v>0</v>
      </c>
      <c r="E271" t="n">
        <v>3</v>
      </c>
      <c r="F271" t="n">
        <v>0</v>
      </c>
      <c r="H271" t="n">
        <v>0</v>
      </c>
      <c r="I271" t="n">
        <v>0</v>
      </c>
      <c r="J271" t="n">
        <v>0</v>
      </c>
      <c r="K271" t="n">
        <v>0</v>
      </c>
      <c r="L271" t="n">
        <v>0</v>
      </c>
      <c r="M271" t="n">
        <v>0</v>
      </c>
      <c r="N271" t="n">
        <v>0</v>
      </c>
    </row>
    <row r="272">
      <c r="A272" t="inlineStr">
        <is>
          <t>Cost of the dairy</t>
        </is>
      </c>
      <c r="B272" t="inlineStr">
        <is>
          <t>roofing in places the sheepcote at Legsted' 6pence.</t>
        </is>
      </c>
      <c r="C272" t="n">
        <v>0.03</v>
      </c>
      <c r="D272" t="n">
        <v>0</v>
      </c>
      <c r="E272" t="n">
        <v>0</v>
      </c>
      <c r="F272" t="n">
        <v>6</v>
      </c>
      <c r="H272" t="n">
        <v>0</v>
      </c>
      <c r="I272" t="n">
        <v>0</v>
      </c>
      <c r="J272" t="n">
        <v>0</v>
      </c>
      <c r="K272" t="n">
        <v>0</v>
      </c>
      <c r="L272" t="n">
        <v>0</v>
      </c>
      <c r="M272" t="n">
        <v>0</v>
      </c>
      <c r="N272" t="n">
        <v>0</v>
      </c>
    </row>
    <row r="273">
      <c r="A273" t="inlineStr">
        <is>
          <t>Cost of the dairy</t>
        </is>
      </c>
      <c r="B273" t="inlineStr">
        <is>
          <t>8 cows bought after calving £3 13 shilling 6pence, at 8 shilling 10pence each for 3, 9 shilling 4pence each for 3, and 9 shilling 6pence each for 2..</t>
        </is>
      </c>
      <c r="C273" t="n">
        <v>3.67</v>
      </c>
      <c r="D273" t="n">
        <v>3</v>
      </c>
      <c r="E273" t="n">
        <v>13</v>
      </c>
      <c r="F273" t="n">
        <v>6</v>
      </c>
      <c r="H273" t="n">
        <v>0</v>
      </c>
      <c r="I273" t="n">
        <v>0</v>
      </c>
      <c r="J273" t="n">
        <v>0</v>
      </c>
      <c r="K273" t="n">
        <v>0</v>
      </c>
      <c r="L273" t="n">
        <v>0</v>
      </c>
      <c r="M273" t="n">
        <v>0</v>
      </c>
      <c r="N273" t="n">
        <v>0</v>
      </c>
    </row>
    <row r="274">
      <c r="A274" t="inlineStr">
        <is>
          <t>Cost of the dairy</t>
        </is>
      </c>
      <c r="B274" t="inlineStr">
        <is>
          <t>a tripod bought 8pence.</t>
        </is>
      </c>
      <c r="C274" t="n">
        <v>0.03</v>
      </c>
      <c r="D274" t="n">
        <v>0</v>
      </c>
      <c r="E274" t="n">
        <v>0</v>
      </c>
      <c r="F274" t="n">
        <v>8</v>
      </c>
      <c r="H274" t="n">
        <v>0</v>
      </c>
      <c r="I274" t="n">
        <v>0</v>
      </c>
      <c r="J274" t="n">
        <v>0</v>
      </c>
      <c r="K274" t="n">
        <v>0</v>
      </c>
      <c r="L274" t="n">
        <v>0</v>
      </c>
      <c r="M274" t="n">
        <v>0</v>
      </c>
      <c r="N274" t="n">
        <v>0</v>
      </c>
    </row>
    <row r="275">
      <c r="A275" t="inlineStr">
        <is>
          <t>Cost of the dairy</t>
        </is>
      </c>
      <c r="B275" t="inlineStr">
        <is>
          <t>stipend of 1 cowherd for the year 3 shilling.</t>
        </is>
      </c>
      <c r="C275" t="n">
        <v>0.15</v>
      </c>
      <c r="D275" t="n">
        <v>0</v>
      </c>
      <c r="E275" t="n">
        <v>3</v>
      </c>
      <c r="F275" t="n">
        <v>0</v>
      </c>
      <c r="H275" t="n">
        <v>0</v>
      </c>
      <c r="I275" t="n">
        <v>0</v>
      </c>
      <c r="J275" t="n">
        <v>0</v>
      </c>
      <c r="K275" t="n">
        <v>0</v>
      </c>
      <c r="L275" t="n">
        <v>0</v>
      </c>
      <c r="M275" t="n">
        <v>0</v>
      </c>
      <c r="N275" t="n">
        <v>0</v>
      </c>
    </row>
    <row r="276">
      <c r="A276" t="inlineStr">
        <is>
          <t>Cost of the dairy</t>
        </is>
      </c>
      <c r="B276" t="inlineStr">
        <is>
          <t>stipend of 1 dairymaid for the year 2 shilling Total, £5 2 shilling 10pence</t>
        </is>
      </c>
      <c r="C276" t="n">
        <v>5.14</v>
      </c>
      <c r="D276" t="n">
        <v>5</v>
      </c>
      <c r="E276" t="n">
        <v>2</v>
      </c>
      <c r="F276" t="n">
        <v>10</v>
      </c>
      <c r="H276" t="n">
        <v>0</v>
      </c>
      <c r="I276" t="n">
        <v>0</v>
      </c>
      <c r="J276" t="n">
        <v>0</v>
      </c>
      <c r="K276" t="n">
        <v>0</v>
      </c>
      <c r="L276" t="n">
        <v>0</v>
      </c>
      <c r="M276" t="n">
        <v>0</v>
      </c>
      <c r="N276" t="n">
        <v>0</v>
      </c>
    </row>
    <row r="277">
      <c r="A277" t="inlineStr">
        <is>
          <t>Cost of buildings at Berth'</t>
        </is>
      </c>
      <c r="B277" t="inlineStr">
        <is>
          <t>In re-roofing the barn in places 4 shilling 10pence.</t>
        </is>
      </c>
      <c r="C277" t="n">
        <v>0.24</v>
      </c>
      <c r="D277" t="n">
        <v>0</v>
      </c>
      <c r="E277" t="n">
        <v>4</v>
      </c>
      <c r="F277" t="n">
        <v>10</v>
      </c>
      <c r="H277" t="n">
        <v>0</v>
      </c>
      <c r="I277" t="n">
        <v>0</v>
      </c>
      <c r="J277" t="n">
        <v>0</v>
      </c>
      <c r="K277" t="n">
        <v>0</v>
      </c>
      <c r="L277" t="n">
        <v>0</v>
      </c>
      <c r="M277" t="n">
        <v>0</v>
      </c>
      <c r="N277" t="n">
        <v>0</v>
      </c>
    </row>
    <row r="278">
      <c r="A278" t="inlineStr">
        <is>
          <t>Cost of buildings at Berth'</t>
        </is>
      </c>
      <c r="B278" t="inlineStr">
        <is>
          <t>mending the gate of the same 3pence.</t>
        </is>
      </c>
      <c r="C278" t="n">
        <v>0.01</v>
      </c>
      <c r="D278" t="n">
        <v>0</v>
      </c>
      <c r="E278" t="n">
        <v>0</v>
      </c>
      <c r="F278" t="n">
        <v>3</v>
      </c>
      <c r="H278" t="n">
        <v>0</v>
      </c>
      <c r="I278" t="n">
        <v>0</v>
      </c>
      <c r="J278" t="n">
        <v>0</v>
      </c>
      <c r="K278" t="n">
        <v>0</v>
      </c>
      <c r="L278" t="n">
        <v>0</v>
      </c>
      <c r="M278" t="n">
        <v>0</v>
      </c>
      <c r="N278" t="n">
        <v>0</v>
      </c>
    </row>
    <row r="279">
      <c r="A279" t="inlineStr">
        <is>
          <t>Cost of buildings at Berth'</t>
        </is>
      </c>
      <c r="B279" t="inlineStr">
        <is>
          <t>fencing for the enclosure 3.5pence Total, 5 shilling 4.5pence</t>
        </is>
      </c>
      <c r="C279" t="n">
        <v>0.26</v>
      </c>
      <c r="D279" t="n">
        <v>0</v>
      </c>
      <c r="E279" t="n">
        <v>5</v>
      </c>
      <c r="F279" t="n">
        <v>3.5</v>
      </c>
      <c r="H279" t="n">
        <v>0</v>
      </c>
      <c r="I279" t="n">
        <v>0</v>
      </c>
      <c r="J279" t="n">
        <v>0</v>
      </c>
      <c r="K279" t="n">
        <v>0</v>
      </c>
      <c r="L279" t="n">
        <v>0</v>
      </c>
      <c r="M279" t="n">
        <v>0</v>
      </c>
      <c r="N279" t="n">
        <v>0</v>
      </c>
    </row>
    <row r="280">
      <c r="A280" t="inlineStr">
        <is>
          <t>Cost of buildings in the curia</t>
        </is>
      </c>
      <c r="B280" t="inlineStr">
        <is>
          <t>In rebuilding anew the great barn which had partly collapsed through rotten timber with a carpenter to do this and laths made for the same 14 shilling 8pence.</t>
        </is>
      </c>
      <c r="C280" t="n">
        <v>0.73</v>
      </c>
      <c r="D280" t="n">
        <v>0</v>
      </c>
      <c r="E280" t="n">
        <v>14</v>
      </c>
      <c r="F280" t="n">
        <v>8</v>
      </c>
      <c r="H280" t="n">
        <v>0</v>
      </c>
      <c r="I280" t="n">
        <v>0</v>
      </c>
      <c r="J280" t="n">
        <v>0</v>
      </c>
      <c r="K280" t="n">
        <v>0</v>
      </c>
      <c r="L280" t="n">
        <v>0</v>
      </c>
      <c r="M280" t="n">
        <v>0</v>
      </c>
      <c r="N280" t="n">
        <v>0</v>
      </c>
    </row>
    <row r="281">
      <c r="A281" t="inlineStr">
        <is>
          <t>Cost of buildings in the curia</t>
        </is>
      </c>
      <c r="B281" t="inlineStr">
        <is>
          <t>large nails to fasten the rafters of the barn 3pence.</t>
        </is>
      </c>
      <c r="C281" t="n">
        <v>0.01</v>
      </c>
      <c r="D281" t="n">
        <v>0</v>
      </c>
      <c r="E281" t="n">
        <v>0</v>
      </c>
      <c r="F281" t="n">
        <v>3</v>
      </c>
      <c r="H281" t="n">
        <v>0</v>
      </c>
      <c r="I281" t="n">
        <v>0</v>
      </c>
      <c r="J281" t="n">
        <v>0</v>
      </c>
      <c r="K281" t="n">
        <v>0</v>
      </c>
      <c r="L281" t="n">
        <v>0</v>
      </c>
      <c r="M281" t="n">
        <v>0</v>
      </c>
      <c r="N281" t="n">
        <v>0</v>
      </c>
    </row>
    <row r="282">
      <c r="A282" t="inlineStr">
        <is>
          <t>Cost of buildings in the curia</t>
        </is>
      </c>
      <c r="B282" t="inlineStr">
        <is>
          <t>10,000 nails bought for laths 6 shilling 8pence.</t>
        </is>
      </c>
      <c r="C282" t="n">
        <v>0.33</v>
      </c>
      <c r="D282" t="n">
        <v>0</v>
      </c>
      <c r="E282" t="n">
        <v>6</v>
      </c>
      <c r="F282" t="n">
        <v>8</v>
      </c>
      <c r="H282" t="n">
        <v>0</v>
      </c>
      <c r="I282" t="n">
        <v>0</v>
      </c>
      <c r="J282" t="n">
        <v>0</v>
      </c>
      <c r="K282" t="n">
        <v>0</v>
      </c>
      <c r="L282" t="n">
        <v>0</v>
      </c>
      <c r="M282" t="n">
        <v>0</v>
      </c>
      <c r="N282" t="n">
        <v>0</v>
      </c>
    </row>
    <row r="283">
      <c r="A283" t="inlineStr">
        <is>
          <t>Cost of buildings in the curia</t>
        </is>
      </c>
      <c r="B283" t="inlineStr">
        <is>
          <t>15,000 large slates bought for the said barn £1, at 1 shilling 4pence a 1,000..</t>
        </is>
      </c>
      <c r="C283" t="n">
        <v>1</v>
      </c>
      <c r="D283" t="n">
        <v>1</v>
      </c>
      <c r="E283" t="n">
        <v>0</v>
      </c>
      <c r="F283" t="n">
        <v>0</v>
      </c>
      <c r="H283" t="n">
        <v>0</v>
      </c>
      <c r="I283" t="n">
        <v>0</v>
      </c>
      <c r="J283" t="n">
        <v>0</v>
      </c>
      <c r="K283" t="n">
        <v>0</v>
      </c>
      <c r="L283" t="n">
        <v>0</v>
      </c>
      <c r="M283" t="n">
        <v>0</v>
      </c>
      <c r="N283" t="n">
        <v>0</v>
      </c>
    </row>
    <row r="284">
      <c r="A284" t="inlineStr">
        <is>
          <t>Cost of buildings in the curia</t>
        </is>
      </c>
      <c r="B284" t="inlineStr">
        <is>
          <t>pegs bought for the same 1 shilling 3pence.</t>
        </is>
      </c>
      <c r="C284" t="n">
        <v>0.06</v>
      </c>
      <c r="D284" t="n">
        <v>0</v>
      </c>
      <c r="E284" t="n">
        <v>1</v>
      </c>
      <c r="F284" t="n">
        <v>3</v>
      </c>
      <c r="H284" t="n">
        <v>0</v>
      </c>
      <c r="I284" t="n">
        <v>0</v>
      </c>
      <c r="J284" t="n">
        <v>0</v>
      </c>
      <c r="K284" t="n">
        <v>0</v>
      </c>
      <c r="L284" t="n">
        <v>0</v>
      </c>
      <c r="M284" t="n">
        <v>0</v>
      </c>
      <c r="N284" t="n">
        <v>0</v>
      </c>
    </row>
    <row r="285">
      <c r="A285" t="inlineStr">
        <is>
          <t>Cost of buildings in the curia</t>
        </is>
      </c>
      <c r="B285" t="inlineStr">
        <is>
          <t>re-roofing the said part of the barn anew and roofing the whole of the barn in places 18 shilling 1pence.</t>
        </is>
      </c>
      <c r="C285" t="n">
        <v>0.9</v>
      </c>
      <c r="D285" t="n">
        <v>0</v>
      </c>
      <c r="E285" t="n">
        <v>18</v>
      </c>
      <c r="F285" t="n">
        <v>1</v>
      </c>
      <c r="H285" t="n">
        <v>0</v>
      </c>
      <c r="I285" t="n">
        <v>0</v>
      </c>
      <c r="J285" t="n">
        <v>0</v>
      </c>
      <c r="K285" t="n">
        <v>0</v>
      </c>
      <c r="L285" t="n">
        <v>0</v>
      </c>
      <c r="M285" t="n">
        <v>0</v>
      </c>
      <c r="N285" t="n">
        <v>0</v>
      </c>
    </row>
    <row r="286">
      <c r="A286" t="inlineStr">
        <is>
          <t>Cost of buildings in the curia</t>
        </is>
      </c>
      <c r="B286" t="inlineStr">
        <is>
          <t>13 quarters of lime bought for the same 6 shilling 6pence.</t>
        </is>
      </c>
      <c r="C286" t="n">
        <v>0.33</v>
      </c>
      <c r="D286" t="n">
        <v>0</v>
      </c>
      <c r="E286" t="n">
        <v>6</v>
      </c>
      <c r="F286" t="n">
        <v>6</v>
      </c>
      <c r="H286" t="n">
        <v>13</v>
      </c>
      <c r="I286" t="n">
        <v>0</v>
      </c>
      <c r="J286" t="n">
        <v>13</v>
      </c>
      <c r="K286" t="n">
        <v>13</v>
      </c>
      <c r="L286" t="n">
        <v>0</v>
      </c>
      <c r="M286" t="n">
        <v>13</v>
      </c>
      <c r="N286" t="n">
        <v>0</v>
      </c>
    </row>
    <row r="287">
      <c r="A287" t="inlineStr">
        <is>
          <t>Cost of buildings in the curia</t>
        </is>
      </c>
      <c r="B287" t="inlineStr">
        <is>
          <t>sand bought 4pence.</t>
        </is>
      </c>
      <c r="C287" t="n">
        <v>0.02</v>
      </c>
      <c r="D287" t="n">
        <v>0</v>
      </c>
      <c r="E287" t="n">
        <v>0</v>
      </c>
      <c r="F287" t="n">
        <v>4</v>
      </c>
      <c r="H287" t="n">
        <v>0</v>
      </c>
      <c r="I287" t="n">
        <v>0</v>
      </c>
      <c r="J287" t="n">
        <v>0</v>
      </c>
      <c r="K287" t="n">
        <v>0</v>
      </c>
      <c r="L287" t="n">
        <v>0</v>
      </c>
      <c r="M287" t="n">
        <v>0</v>
      </c>
      <c r="N287" t="n">
        <v>0</v>
      </c>
    </row>
    <row r="288">
      <c r="A288" t="inlineStr">
        <is>
          <t>Cost of buildings in the curia</t>
        </is>
      </c>
      <c r="B288" t="inlineStr">
        <is>
          <t>re-roofing the granary in places and the gate inside and re-roofing the great stable in places 1 shilling 11pence.</t>
        </is>
      </c>
      <c r="C288" t="n">
        <v>0.1</v>
      </c>
      <c r="D288" t="n">
        <v>0</v>
      </c>
      <c r="E288" t="n">
        <v>1</v>
      </c>
      <c r="F288" t="n">
        <v>11</v>
      </c>
      <c r="H288" t="n">
        <v>0</v>
      </c>
      <c r="I288" t="n">
        <v>0</v>
      </c>
      <c r="J288" t="n">
        <v>0</v>
      </c>
      <c r="K288" t="n">
        <v>0</v>
      </c>
      <c r="L288" t="n">
        <v>0</v>
      </c>
      <c r="M288" t="n">
        <v>0</v>
      </c>
      <c r="N288" t="n">
        <v>0</v>
      </c>
    </row>
    <row r="289">
      <c r="A289" t="inlineStr">
        <is>
          <t>Cost of buildings in the curia</t>
        </is>
      </c>
      <c r="B289" t="inlineStr">
        <is>
          <t>3,000 large slates bought for the same 4 shilling.</t>
        </is>
      </c>
      <c r="C289" t="n">
        <v>0.2</v>
      </c>
      <c r="D289" t="n">
        <v>0</v>
      </c>
      <c r="E289" t="n">
        <v>4</v>
      </c>
      <c r="F289" t="n">
        <v>0</v>
      </c>
      <c r="H289" t="n">
        <v>0</v>
      </c>
      <c r="I289" t="n">
        <v>0</v>
      </c>
      <c r="J289" t="n">
        <v>0</v>
      </c>
      <c r="K289" t="n">
        <v>0</v>
      </c>
      <c r="L289" t="n">
        <v>0</v>
      </c>
      <c r="M289" t="n">
        <v>0</v>
      </c>
      <c r="N289" t="n">
        <v>0</v>
      </c>
    </row>
    <row r="290">
      <c r="A290" t="inlineStr">
        <is>
          <t>Cost of buildings in the curia</t>
        </is>
      </c>
      <c r="B290" t="inlineStr">
        <is>
          <t>2 quarters of lime bought for the same 1 shilling.</t>
        </is>
      </c>
      <c r="C290" t="n">
        <v>0.05</v>
      </c>
      <c r="D290" t="n">
        <v>0</v>
      </c>
      <c r="E290" t="n">
        <v>1</v>
      </c>
      <c r="F290" t="n">
        <v>0</v>
      </c>
      <c r="H290" t="n">
        <v>2</v>
      </c>
      <c r="I290" t="n">
        <v>0</v>
      </c>
      <c r="J290" t="n">
        <v>2</v>
      </c>
      <c r="K290" t="n">
        <v>2</v>
      </c>
      <c r="L290" t="n">
        <v>0</v>
      </c>
      <c r="M290" t="n">
        <v>2</v>
      </c>
      <c r="N290" t="n">
        <v>0</v>
      </c>
    </row>
    <row r="291">
      <c r="A291" t="inlineStr">
        <is>
          <t>Cost of buildings in the curia</t>
        </is>
      </c>
      <c r="B291" t="inlineStr">
        <is>
          <t>nails bought for laths 3.5pence.</t>
        </is>
      </c>
      <c r="C291" t="n">
        <v>0.01</v>
      </c>
      <c r="D291" t="n">
        <v>0</v>
      </c>
      <c r="E291" t="n">
        <v>0</v>
      </c>
      <c r="F291" t="n">
        <v>3.5</v>
      </c>
      <c r="H291" t="n">
        <v>0</v>
      </c>
      <c r="I291" t="n">
        <v>0</v>
      </c>
      <c r="J291" t="n">
        <v>0</v>
      </c>
      <c r="K291" t="n">
        <v>0</v>
      </c>
      <c r="L291" t="n">
        <v>0</v>
      </c>
      <c r="M291" t="n">
        <v>0</v>
      </c>
      <c r="N291" t="n">
        <v>0</v>
      </c>
    </row>
    <row r="292">
      <c r="A292" t="inlineStr">
        <is>
          <t>Cost of buildings in the curia</t>
        </is>
      </c>
      <c r="B292" t="inlineStr">
        <is>
          <t>mending the stable outside the gate with a carpenter for the same 1 shilling 10pence.</t>
        </is>
      </c>
      <c r="C292" t="n">
        <v>0.09</v>
      </c>
      <c r="D292" t="n">
        <v>0</v>
      </c>
      <c r="E292" t="n">
        <v>1</v>
      </c>
      <c r="F292" t="n">
        <v>10</v>
      </c>
      <c r="H292" t="n">
        <v>0</v>
      </c>
      <c r="I292" t="n">
        <v>0</v>
      </c>
      <c r="J292" t="n">
        <v>0</v>
      </c>
      <c r="K292" t="n">
        <v>0</v>
      </c>
      <c r="L292" t="n">
        <v>0</v>
      </c>
      <c r="M292" t="n">
        <v>0</v>
      </c>
      <c r="N292" t="n">
        <v>0</v>
      </c>
    </row>
    <row r="293">
      <c r="A293" t="inlineStr">
        <is>
          <t>Cost of buildings in the curia</t>
        </is>
      </c>
      <c r="B293" t="inlineStr">
        <is>
          <t>re-roofing the said stable with straw in places 1 shilling 6.5pence.</t>
        </is>
      </c>
      <c r="C293" t="n">
        <v>0.08</v>
      </c>
      <c r="D293" t="n">
        <v>0</v>
      </c>
      <c r="E293" t="n">
        <v>1</v>
      </c>
      <c r="F293" t="n">
        <v>6.5</v>
      </c>
      <c r="H293" t="n">
        <v>0</v>
      </c>
      <c r="I293" t="n">
        <v>0</v>
      </c>
      <c r="J293" t="n">
        <v>0</v>
      </c>
      <c r="K293" t="n">
        <v>0</v>
      </c>
      <c r="L293" t="n">
        <v>0</v>
      </c>
      <c r="M293" t="n">
        <v>0</v>
      </c>
      <c r="N293" t="n">
        <v>0</v>
      </c>
    </row>
    <row r="294">
      <c r="A294" t="inlineStr">
        <is>
          <t>Cost of buildings in the curia</t>
        </is>
      </c>
      <c r="B294" t="inlineStr">
        <is>
          <t>mending the palisade around the curia in parts 2 shilling.</t>
        </is>
      </c>
      <c r="C294" t="n">
        <v>0.1</v>
      </c>
      <c r="D294" t="n">
        <v>0</v>
      </c>
      <c r="E294" t="n">
        <v>2</v>
      </c>
      <c r="F294" t="n">
        <v>0</v>
      </c>
      <c r="H294" t="n">
        <v>0</v>
      </c>
      <c r="I294" t="n">
        <v>0</v>
      </c>
      <c r="J294" t="n">
        <v>0</v>
      </c>
      <c r="K294" t="n">
        <v>0</v>
      </c>
      <c r="L294" t="n">
        <v>0</v>
      </c>
      <c r="M294" t="n">
        <v>0</v>
      </c>
      <c r="N294" t="n">
        <v>0</v>
      </c>
    </row>
    <row r="295">
      <c r="A295" t="inlineStr">
        <is>
          <t>Cost of buildings in the curia</t>
        </is>
      </c>
      <c r="B295" t="inlineStr">
        <is>
          <t>54 quarters' of charcoal made and sent to Wolvesey 6 shilling 9pence, at 1.5pence a quarters.</t>
        </is>
      </c>
      <c r="C295" t="n">
        <v>0.34</v>
      </c>
      <c r="D295" t="n">
        <v>0</v>
      </c>
      <c r="E295" t="n">
        <v>6</v>
      </c>
      <c r="F295" t="n">
        <v>9</v>
      </c>
      <c r="H295" t="n">
        <v>54</v>
      </c>
      <c r="I295" t="n">
        <v>0</v>
      </c>
      <c r="J295" t="n">
        <v>54</v>
      </c>
      <c r="K295" t="n">
        <v>54</v>
      </c>
      <c r="L295" t="n">
        <v>0</v>
      </c>
      <c r="M295" t="n">
        <v>54</v>
      </c>
      <c r="N295" t="n">
        <v>0</v>
      </c>
    </row>
    <row r="296">
      <c r="A296" t="inlineStr">
        <is>
          <t>Cost of buildings in the curia</t>
        </is>
      </c>
      <c r="B296" t="inlineStr">
        <is>
          <t>Total, £4 7 shilling 1pence</t>
        </is>
      </c>
      <c r="C296" t="n">
        <v>4.35</v>
      </c>
      <c r="D296" t="n">
        <v>4</v>
      </c>
      <c r="E296" t="n">
        <v>7</v>
      </c>
      <c r="F296" t="n">
        <v>1</v>
      </c>
      <c r="H296" t="n">
        <v>0</v>
      </c>
      <c r="I296" t="n">
        <v>0</v>
      </c>
      <c r="J296" t="n">
        <v>0</v>
      </c>
      <c r="K296" t="n">
        <v>0</v>
      </c>
      <c r="L296" t="n">
        <v>0</v>
      </c>
      <c r="M296" t="n">
        <v>0</v>
      </c>
      <c r="N296" t="n">
        <v>0</v>
      </c>
    </row>
    <row r="297">
      <c r="A297" t="inlineStr">
        <is>
          <t>Cost of the park</t>
        </is>
      </c>
      <c r="B297" t="inlineStr">
        <is>
          <t>In making the palisade of the park anew in places and mending it elsewhere £1 8 shilling 10pence Total, £1 8 shilling 10pence</t>
        </is>
      </c>
      <c r="C297" t="n">
        <v>1.44</v>
      </c>
      <c r="D297" t="n">
        <v>1</v>
      </c>
      <c r="E297" t="n">
        <v>8</v>
      </c>
      <c r="F297" t="n">
        <v>10</v>
      </c>
      <c r="H297" t="n">
        <v>0</v>
      </c>
      <c r="I297" t="n">
        <v>0</v>
      </c>
      <c r="J297" t="n">
        <v>0</v>
      </c>
      <c r="K297" t="n">
        <v>0</v>
      </c>
      <c r="L297" t="n">
        <v>0</v>
      </c>
      <c r="M297" t="n">
        <v>0</v>
      </c>
      <c r="N297" t="n">
        <v>0</v>
      </c>
    </row>
    <row r="298">
      <c r="A298" t="inlineStr">
        <is>
          <t>Threshing</t>
        </is>
      </c>
      <c r="B298" t="inlineStr">
        <is>
          <t>Nothing for the threshing of peas and vetches because they were threshed by labour service.</t>
        </is>
      </c>
      <c r="C298" t="n">
        <v>0</v>
      </c>
      <c r="D298" t="n">
        <v>0</v>
      </c>
      <c r="E298" t="n">
        <v>0</v>
      </c>
      <c r="F298" t="n">
        <v>0</v>
      </c>
      <c r="G298" t="inlineStr">
        <is>
          <t>vetches, peas</t>
        </is>
      </c>
      <c r="H298" t="n">
        <v>0</v>
      </c>
      <c r="I298" t="n">
        <v>0</v>
      </c>
      <c r="J298" t="n">
        <v>0</v>
      </c>
      <c r="K298" t="n">
        <v>0</v>
      </c>
      <c r="L298" t="n">
        <v>0</v>
      </c>
      <c r="M298" t="n">
        <v>0</v>
      </c>
      <c r="N298" t="n">
        <v>0</v>
      </c>
    </row>
    <row r="299">
      <c r="A299" t="inlineStr">
        <is>
          <t>Threshing</t>
        </is>
      </c>
      <c r="B299" t="inlineStr">
        <is>
          <t>.</t>
        </is>
      </c>
      <c r="C299" t="n">
        <v>0</v>
      </c>
      <c r="D299" t="n">
        <v>0</v>
      </c>
      <c r="E299" t="n">
        <v>0</v>
      </c>
      <c r="F299" t="n">
        <v>0</v>
      </c>
      <c r="H299" t="n">
        <v>0</v>
      </c>
      <c r="I299" t="n">
        <v>0</v>
      </c>
      <c r="J299" t="n">
        <v>0</v>
      </c>
      <c r="K299" t="n">
        <v>0</v>
      </c>
      <c r="L299" t="n">
        <v>0</v>
      </c>
      <c r="M299" t="n">
        <v>0</v>
      </c>
      <c r="N299" t="n">
        <v>0</v>
      </c>
    </row>
    <row r="300">
      <c r="A300" t="inlineStr">
        <is>
          <t>Threshing</t>
        </is>
      </c>
      <c r="B300" t="inlineStr">
        <is>
          <t>2 sacks bought 1 shilling 1pence.</t>
        </is>
      </c>
      <c r="C300" t="n">
        <v>0.05</v>
      </c>
      <c r="D300" t="n">
        <v>0</v>
      </c>
      <c r="E300" t="n">
        <v>1</v>
      </c>
      <c r="F300" t="n">
        <v>1</v>
      </c>
      <c r="H300" t="n">
        <v>0</v>
      </c>
      <c r="I300" t="n">
        <v>0</v>
      </c>
      <c r="J300" t="n">
        <v>0</v>
      </c>
      <c r="K300" t="n">
        <v>0</v>
      </c>
      <c r="L300" t="n">
        <v>0</v>
      </c>
      <c r="M300" t="n">
        <v>0</v>
      </c>
      <c r="N300" t="n">
        <v>0</v>
      </c>
    </row>
    <row r="301">
      <c r="A301" t="inlineStr">
        <is>
          <t>Threshing</t>
        </is>
      </c>
      <c r="B301" t="inlineStr">
        <is>
          <t>1 basket for corn bought 3pence Total, 1 shilling 4pence</t>
        </is>
      </c>
      <c r="C301" t="n">
        <v>0.06</v>
      </c>
      <c r="D301" t="n">
        <v>0</v>
      </c>
      <c r="E301" t="n">
        <v>1</v>
      </c>
      <c r="F301" t="n">
        <v>3</v>
      </c>
      <c r="H301" t="n">
        <v>0</v>
      </c>
      <c r="I301" t="n">
        <v>0</v>
      </c>
      <c r="J301" t="n">
        <v>0</v>
      </c>
      <c r="K301" t="n">
        <v>0</v>
      </c>
      <c r="L301" t="n">
        <v>0</v>
      </c>
      <c r="M301" t="n">
        <v>0</v>
      </c>
      <c r="N301" t="n">
        <v>0</v>
      </c>
    </row>
    <row r="302">
      <c r="A302" t="inlineStr">
        <is>
          <t>Hay harvest (Autumpn')</t>
        </is>
      </c>
      <c r="B302" t="inlineStr">
        <is>
          <t>in mowing the meadow of Bitterne according to custom 1 shilling.</t>
        </is>
      </c>
      <c r="C302" t="n">
        <v>0.05</v>
      </c>
      <c r="D302" t="n">
        <v>0</v>
      </c>
      <c r="E302" t="n">
        <v>1</v>
      </c>
      <c r="F302" t="n">
        <v>0</v>
      </c>
      <c r="H302" t="n">
        <v>0</v>
      </c>
      <c r="I302" t="n">
        <v>0</v>
      </c>
      <c r="J302" t="n">
        <v>0</v>
      </c>
      <c r="K302" t="n">
        <v>0</v>
      </c>
      <c r="L302" t="n">
        <v>0</v>
      </c>
      <c r="M302" t="n">
        <v>0</v>
      </c>
      <c r="N302" t="n">
        <v>0</v>
      </c>
    </row>
    <row r="303">
      <c r="A303" t="inlineStr">
        <is>
          <t>Hay harvest (Autumpn')</t>
        </is>
      </c>
      <c r="B303" t="inlineStr">
        <is>
          <t>tossing the hay of the same 1 shilling 6pence.</t>
        </is>
      </c>
      <c r="C303" t="n">
        <v>0.08</v>
      </c>
      <c r="D303" t="n">
        <v>0</v>
      </c>
      <c r="E303" t="n">
        <v>1</v>
      </c>
      <c r="F303" t="n">
        <v>6</v>
      </c>
      <c r="H303" t="n">
        <v>0</v>
      </c>
      <c r="I303" t="n">
        <v>0</v>
      </c>
      <c r="J303" t="n">
        <v>0</v>
      </c>
      <c r="K303" t="n">
        <v>0</v>
      </c>
      <c r="L303" t="n">
        <v>0</v>
      </c>
      <c r="M303" t="n">
        <v>0</v>
      </c>
      <c r="N303" t="n">
        <v>0</v>
      </c>
    </row>
    <row r="304">
      <c r="A304" t="inlineStr">
        <is>
          <t>Hay harvest (Autumpn')</t>
        </is>
      </c>
      <c r="B304" t="inlineStr">
        <is>
          <t>mowing the new meadow 2 shilling 6pence.</t>
        </is>
      </c>
      <c r="C304" t="n">
        <v>0.12</v>
      </c>
      <c r="D304" t="n">
        <v>0</v>
      </c>
      <c r="E304" t="n">
        <v>2</v>
      </c>
      <c r="F304" t="n">
        <v>6</v>
      </c>
      <c r="H304" t="n">
        <v>0</v>
      </c>
      <c r="I304" t="n">
        <v>0</v>
      </c>
      <c r="J304" t="n">
        <v>0</v>
      </c>
      <c r="K304" t="n">
        <v>0</v>
      </c>
      <c r="L304" t="n">
        <v>0</v>
      </c>
      <c r="M304" t="n">
        <v>0</v>
      </c>
      <c r="N304" t="n">
        <v>0</v>
      </c>
    </row>
    <row r="305">
      <c r="A305" t="inlineStr">
        <is>
          <t>Hay harvest (Autumpn')</t>
        </is>
      </c>
      <c r="B305" t="inlineStr">
        <is>
          <t>tossing the hay 4pence.</t>
        </is>
      </c>
      <c r="C305" t="n">
        <v>0.02</v>
      </c>
      <c r="D305" t="n">
        <v>0</v>
      </c>
      <c r="E305" t="n">
        <v>0</v>
      </c>
      <c r="F305" t="n">
        <v>4</v>
      </c>
      <c r="H305" t="n">
        <v>0</v>
      </c>
      <c r="I305" t="n">
        <v>0</v>
      </c>
      <c r="J305" t="n">
        <v>0</v>
      </c>
      <c r="K305" t="n">
        <v>0</v>
      </c>
      <c r="L305" t="n">
        <v>0</v>
      </c>
      <c r="M305" t="n">
        <v>0</v>
      </c>
      <c r="N305" t="n">
        <v>0</v>
      </c>
    </row>
    <row r="306">
      <c r="A306" t="inlineStr">
        <is>
          <t>Hay harvest (Autumpn')</t>
        </is>
      </c>
      <c r="B306" t="inlineStr">
        <is>
          <t>mowing Ballesmed 1 shilling 6pence.</t>
        </is>
      </c>
      <c r="C306" t="n">
        <v>0.08</v>
      </c>
      <c r="D306" t="n">
        <v>0</v>
      </c>
      <c r="E306" t="n">
        <v>1</v>
      </c>
      <c r="F306" t="n">
        <v>6</v>
      </c>
      <c r="H306" t="n">
        <v>0</v>
      </c>
      <c r="I306" t="n">
        <v>0</v>
      </c>
      <c r="J306" t="n">
        <v>0</v>
      </c>
      <c r="K306" t="n">
        <v>0</v>
      </c>
      <c r="L306" t="n">
        <v>0</v>
      </c>
      <c r="M306" t="n">
        <v>0</v>
      </c>
      <c r="N306" t="n">
        <v>0</v>
      </c>
    </row>
    <row r="307">
      <c r="A307" t="inlineStr">
        <is>
          <t>Hay harvest (Autumpn')</t>
        </is>
      </c>
      <c r="B307" t="inlineStr">
        <is>
          <t>tossing the hay 2pence.</t>
        </is>
      </c>
      <c r="C307" t="n">
        <v>0.01</v>
      </c>
      <c r="D307" t="n">
        <v>0</v>
      </c>
      <c r="E307" t="n">
        <v>0</v>
      </c>
      <c r="F307" t="n">
        <v>2</v>
      </c>
      <c r="H307" t="n">
        <v>0</v>
      </c>
      <c r="I307" t="n">
        <v>0</v>
      </c>
      <c r="J307" t="n">
        <v>0</v>
      </c>
      <c r="K307" t="n">
        <v>0</v>
      </c>
      <c r="L307" t="n">
        <v>0</v>
      </c>
      <c r="M307" t="n">
        <v>0</v>
      </c>
      <c r="N307" t="n">
        <v>0</v>
      </c>
    </row>
    <row r="308">
      <c r="A308" t="inlineStr">
        <is>
          <t>Hay harvest (Autumpn')</t>
        </is>
      </c>
      <c r="B308" t="inlineStr">
        <is>
          <t>mowing the meadow of la Mere 1 shilling Total, 8 shilling</t>
        </is>
      </c>
      <c r="C308" t="n">
        <v>0.05</v>
      </c>
      <c r="D308" t="n">
        <v>0</v>
      </c>
      <c r="E308" t="n">
        <v>1</v>
      </c>
      <c r="F308" t="n">
        <v>0</v>
      </c>
      <c r="H308" t="n">
        <v>0</v>
      </c>
      <c r="I308" t="n">
        <v>0</v>
      </c>
      <c r="J308" t="n">
        <v>0</v>
      </c>
      <c r="K308" t="n">
        <v>0</v>
      </c>
      <c r="L308" t="n">
        <v>0</v>
      </c>
      <c r="M308" t="n">
        <v>0</v>
      </c>
      <c r="N308" t="n">
        <v>0</v>
      </c>
    </row>
    <row r="309">
      <c r="A309" t="inlineStr">
        <is>
          <t>Corn harvest (Autumpn')</t>
        </is>
      </c>
      <c r="B309" t="inlineStr">
        <is>
          <t>In bread bought for 347 men at two harvest boon-works 14 shilling 5.5pence, and each has bread worth .5pence.</t>
        </is>
      </c>
      <c r="C309" t="n">
        <v>0.72</v>
      </c>
      <c r="D309" t="n">
        <v>0</v>
      </c>
      <c r="E309" t="n">
        <v>14</v>
      </c>
      <c r="F309" t="n">
        <v>5.5</v>
      </c>
      <c r="H309" t="n">
        <v>0</v>
      </c>
      <c r="I309" t="n">
        <v>0</v>
      </c>
      <c r="J309" t="n">
        <v>0</v>
      </c>
      <c r="K309" t="n">
        <v>0</v>
      </c>
      <c r="L309" t="n">
        <v>0</v>
      </c>
      <c r="M309" t="n">
        <v>0</v>
      </c>
      <c r="N309" t="n">
        <v>0</v>
      </c>
    </row>
    <row r="310">
      <c r="A310" t="inlineStr">
        <is>
          <t>Corn harvest (Autumpn')</t>
        </is>
      </c>
      <c r="B310" t="inlineStr">
        <is>
          <t>1,041 herrings bought for the same 6 shilling 1pence, at 8pence a hundred, and each has 3 herrings.</t>
        </is>
      </c>
      <c r="C310" t="n">
        <v>0.3</v>
      </c>
      <c r="D310" t="n">
        <v>0</v>
      </c>
      <c r="E310" t="n">
        <v>6</v>
      </c>
      <c r="F310" t="n">
        <v>1</v>
      </c>
      <c r="H310" t="n">
        <v>0</v>
      </c>
      <c r="I310" t="n">
        <v>0</v>
      </c>
      <c r="J310" t="n">
        <v>0</v>
      </c>
      <c r="K310" t="n">
        <v>0</v>
      </c>
      <c r="L310" t="n">
        <v>0</v>
      </c>
      <c r="M310" t="n">
        <v>0</v>
      </c>
      <c r="N310" t="n">
        <v>0</v>
      </c>
    </row>
    <row r="311">
      <c r="A311" t="inlineStr">
        <is>
          <t>Corn harvest (Autumpn')</t>
        </is>
      </c>
      <c r="B311" t="inlineStr">
        <is>
          <t>.</t>
        </is>
      </c>
      <c r="C311" t="n">
        <v>0</v>
      </c>
      <c r="D311" t="n">
        <v>0</v>
      </c>
      <c r="E311" t="n">
        <v>0</v>
      </c>
      <c r="F311" t="n">
        <v>0</v>
      </c>
      <c r="H311" t="n">
        <v>0</v>
      </c>
      <c r="I311" t="n">
        <v>0</v>
      </c>
      <c r="J311" t="n">
        <v>0</v>
      </c>
      <c r="K311" t="n">
        <v>0</v>
      </c>
      <c r="L311" t="n">
        <v>0</v>
      </c>
      <c r="M311" t="n">
        <v>0</v>
      </c>
      <c r="N311" t="n">
        <v>0</v>
      </c>
    </row>
    <row r="312">
      <c r="A312" t="inlineStr">
        <is>
          <t>Corn harvest (Autumpn')</t>
        </is>
      </c>
      <c r="B312" t="inlineStr">
        <is>
          <t>bread bought for the great boon-work of 228 men 9 shilling 6pence, and they have as before.</t>
        </is>
      </c>
      <c r="C312" t="n">
        <v>0.48</v>
      </c>
      <c r="D312" t="n">
        <v>0</v>
      </c>
      <c r="E312" t="n">
        <v>9</v>
      </c>
      <c r="F312" t="n">
        <v>6</v>
      </c>
      <c r="H312" t="n">
        <v>0</v>
      </c>
      <c r="I312" t="n">
        <v>0</v>
      </c>
      <c r="J312" t="n">
        <v>0</v>
      </c>
      <c r="K312" t="n">
        <v>0</v>
      </c>
      <c r="L312" t="n">
        <v>0</v>
      </c>
      <c r="M312" t="n">
        <v>0</v>
      </c>
      <c r="N312" t="n">
        <v>0</v>
      </c>
    </row>
    <row r="313">
      <c r="A313" t="inlineStr">
        <is>
          <t>Corn harvest (Autumpn')</t>
        </is>
      </c>
      <c r="B313" t="inlineStr">
        <is>
          <t>.</t>
        </is>
      </c>
      <c r="C313" t="n">
        <v>0</v>
      </c>
      <c r="D313" t="n">
        <v>0</v>
      </c>
      <c r="E313" t="n">
        <v>0</v>
      </c>
      <c r="F313" t="n">
        <v>0</v>
      </c>
      <c r="H313" t="n">
        <v>0</v>
      </c>
      <c r="I313" t="n">
        <v>0</v>
      </c>
      <c r="J313" t="n">
        <v>0</v>
      </c>
      <c r="K313" t="n">
        <v>0</v>
      </c>
      <c r="L313" t="n">
        <v>0</v>
      </c>
      <c r="M313" t="n">
        <v>0</v>
      </c>
      <c r="N313" t="n">
        <v>0</v>
      </c>
    </row>
    <row r="314">
      <c r="A314" t="inlineStr">
        <is>
          <t>Corn harvest (Autumpn')</t>
        </is>
      </c>
      <c r="B314" t="inlineStr">
        <is>
          <t>meat bought for the same 9 shilling 6pence.</t>
        </is>
      </c>
      <c r="C314" t="n">
        <v>0.48</v>
      </c>
      <c r="D314" t="n">
        <v>0</v>
      </c>
      <c r="E314" t="n">
        <v>9</v>
      </c>
      <c r="F314" t="n">
        <v>6</v>
      </c>
      <c r="H314" t="n">
        <v>0</v>
      </c>
      <c r="I314" t="n">
        <v>0</v>
      </c>
      <c r="J314" t="n">
        <v>0</v>
      </c>
      <c r="K314" t="n">
        <v>0</v>
      </c>
      <c r="L314" t="n">
        <v>0</v>
      </c>
      <c r="M314" t="n">
        <v>0</v>
      </c>
      <c r="N314" t="n">
        <v>0</v>
      </c>
    </row>
    <row r="315">
      <c r="A315" t="inlineStr">
        <is>
          <t>Corn harvest (Autumpn')</t>
        </is>
      </c>
      <c r="B315" t="inlineStr">
        <is>
          <t>meat bought for the same 6 shilling 10pence And they do 1 boon-work at their own cost without food and drink.</t>
        </is>
      </c>
      <c r="C315" t="n">
        <v>0.34</v>
      </c>
      <c r="D315" t="n">
        <v>0</v>
      </c>
      <c r="E315" t="n">
        <v>6</v>
      </c>
      <c r="F315" t="n">
        <v>10</v>
      </c>
      <c r="H315" t="n">
        <v>0</v>
      </c>
      <c r="I315" t="n">
        <v>0</v>
      </c>
      <c r="J315" t="n">
        <v>0</v>
      </c>
      <c r="K315" t="n">
        <v>0</v>
      </c>
      <c r="L315" t="n">
        <v>0</v>
      </c>
      <c r="M315" t="n">
        <v>0</v>
      </c>
      <c r="N315" t="n">
        <v>0</v>
      </c>
    </row>
    <row r="316">
      <c r="A316" t="inlineStr">
        <is>
          <t>Corn harvest (Autumpn')</t>
        </is>
      </c>
      <c r="B316" t="inlineStr">
        <is>
          <t>.</t>
        </is>
      </c>
      <c r="C316" t="n">
        <v>0</v>
      </c>
      <c r="D316" t="n">
        <v>0</v>
      </c>
      <c r="E316" t="n">
        <v>0</v>
      </c>
      <c r="F316" t="n">
        <v>0</v>
      </c>
      <c r="H316" t="n">
        <v>0</v>
      </c>
      <c r="I316" t="n">
        <v>0</v>
      </c>
      <c r="J316" t="n">
        <v>0</v>
      </c>
      <c r="K316" t="n">
        <v>0</v>
      </c>
      <c r="L316" t="n">
        <v>0</v>
      </c>
      <c r="M316" t="n">
        <v>0</v>
      </c>
      <c r="N316" t="n">
        <v>0</v>
      </c>
    </row>
    <row r="317">
      <c r="A317" t="inlineStr">
        <is>
          <t>Corn harvest (Autumpn')</t>
        </is>
      </c>
      <c r="B317" t="inlineStr">
        <is>
          <t>mowing 14 acres of vetches 4 shilling 8pence, at 4pence an acre.</t>
        </is>
      </c>
      <c r="C317" t="n">
        <v>0.23</v>
      </c>
      <c r="D317" t="n">
        <v>0</v>
      </c>
      <c r="E317" t="n">
        <v>4</v>
      </c>
      <c r="F317" t="n">
        <v>8</v>
      </c>
      <c r="G317" t="inlineStr">
        <is>
          <t>vetches</t>
        </is>
      </c>
      <c r="H317" t="n">
        <v>0</v>
      </c>
      <c r="I317" t="n">
        <v>0</v>
      </c>
      <c r="J317" t="n">
        <v>0</v>
      </c>
      <c r="K317" t="n">
        <v>0</v>
      </c>
      <c r="L317" t="n">
        <v>0</v>
      </c>
      <c r="M317" t="n">
        <v>0</v>
      </c>
      <c r="N317" t="n">
        <v>0</v>
      </c>
    </row>
    <row r="318">
      <c r="A318" t="inlineStr">
        <is>
          <t>Corn harvest (Autumpn')</t>
        </is>
      </c>
      <c r="B318" t="inlineStr">
        <is>
          <t>Total, £2 11 shilling 0.5pence</t>
        </is>
      </c>
      <c r="C318" t="n">
        <v>2.55</v>
      </c>
      <c r="D318" t="n">
        <v>2</v>
      </c>
      <c r="E318" t="n">
        <v>11</v>
      </c>
      <c r="F318" t="n">
        <v>0.5</v>
      </c>
      <c r="H318" t="n">
        <v>0</v>
      </c>
      <c r="I318" t="n">
        <v>0</v>
      </c>
      <c r="J318" t="n">
        <v>0</v>
      </c>
      <c r="K318" t="n">
        <v>0</v>
      </c>
      <c r="L318" t="n">
        <v>0</v>
      </c>
      <c r="M318" t="n">
        <v>0</v>
      </c>
      <c r="N318" t="n">
        <v>0</v>
      </c>
    </row>
    <row r="319">
      <c r="A319" t="inlineStr">
        <is>
          <t>Cost of mills</t>
        </is>
      </c>
      <c r="B319" t="inlineStr">
        <is>
          <t>In iron bought for mending and lengthening the spindle of the mill outside the gate 5pence.</t>
        </is>
      </c>
      <c r="C319" t="n">
        <v>0.02</v>
      </c>
      <c r="D319" t="n">
        <v>0</v>
      </c>
      <c r="E319" t="n">
        <v>0</v>
      </c>
      <c r="F319" t="n">
        <v>5</v>
      </c>
      <c r="H319" t="n">
        <v>0</v>
      </c>
      <c r="I319" t="n">
        <v>0</v>
      </c>
      <c r="J319" t="n">
        <v>0</v>
      </c>
      <c r="K319" t="n">
        <v>0</v>
      </c>
      <c r="L319" t="n">
        <v>0</v>
      </c>
      <c r="M319" t="n">
        <v>0</v>
      </c>
      <c r="N319" t="n">
        <v>0</v>
      </c>
    </row>
    <row r="320">
      <c r="A320" t="inlineStr">
        <is>
          <t>Cost of mills</t>
        </is>
      </c>
      <c r="B320" t="inlineStr">
        <is>
          <t>steel bought for the bills of both mills 5pence.</t>
        </is>
      </c>
      <c r="C320" t="n">
        <v>0.02</v>
      </c>
      <c r="D320" t="n">
        <v>0</v>
      </c>
      <c r="E320" t="n">
        <v>0</v>
      </c>
      <c r="F320" t="n">
        <v>5</v>
      </c>
      <c r="H320" t="n">
        <v>0</v>
      </c>
      <c r="I320" t="n">
        <v>0</v>
      </c>
      <c r="J320" t="n">
        <v>0</v>
      </c>
      <c r="K320" t="n">
        <v>0</v>
      </c>
      <c r="L320" t="n">
        <v>0</v>
      </c>
      <c r="M320" t="n">
        <v>0</v>
      </c>
      <c r="N320" t="n">
        <v>0</v>
      </c>
    </row>
    <row r="321">
      <c r="A321" t="inlineStr">
        <is>
          <t>Cost of mills</t>
        </is>
      </c>
      <c r="B321" t="inlineStr">
        <is>
          <t>making anew the outer wheel and trough of the east mill 2 shilling 6pence.</t>
        </is>
      </c>
      <c r="C321" t="n">
        <v>0.12</v>
      </c>
      <c r="D321" t="n">
        <v>0</v>
      </c>
      <c r="E321" t="n">
        <v>2</v>
      </c>
      <c r="F321" t="n">
        <v>6</v>
      </c>
      <c r="H321" t="n">
        <v>0</v>
      </c>
      <c r="I321" t="n">
        <v>0</v>
      </c>
      <c r="J321" t="n">
        <v>0</v>
      </c>
      <c r="K321" t="n">
        <v>0</v>
      </c>
      <c r="L321" t="n">
        <v>0</v>
      </c>
      <c r="M321" t="n">
        <v>0</v>
      </c>
      <c r="N321" t="n">
        <v>0</v>
      </c>
    </row>
    <row r="322">
      <c r="A322" t="inlineStr">
        <is>
          <t>Cost of mills</t>
        </is>
      </c>
      <c r="B322" t="inlineStr">
        <is>
          <t>timber sawn for the same 2 shilling 6pence.</t>
        </is>
      </c>
      <c r="C322" t="n">
        <v>0.12</v>
      </c>
      <c r="D322" t="n">
        <v>0</v>
      </c>
      <c r="E322" t="n">
        <v>2</v>
      </c>
      <c r="F322" t="n">
        <v>6</v>
      </c>
      <c r="H322" t="n">
        <v>0</v>
      </c>
      <c r="I322" t="n">
        <v>0</v>
      </c>
      <c r="J322" t="n">
        <v>0</v>
      </c>
      <c r="K322" t="n">
        <v>0</v>
      </c>
      <c r="L322" t="n">
        <v>0</v>
      </c>
      <c r="M322" t="n">
        <v>0</v>
      </c>
      <c r="N322" t="n">
        <v>0</v>
      </c>
    </row>
    <row r="323">
      <c r="A323" t="inlineStr">
        <is>
          <t>Cost of mills</t>
        </is>
      </c>
      <c r="B323" t="inlineStr">
        <is>
          <t>nails bought for the same 8.5pence.</t>
        </is>
      </c>
      <c r="C323" t="n">
        <v>0.04</v>
      </c>
      <c r="D323" t="n">
        <v>0</v>
      </c>
      <c r="E323" t="n">
        <v>0</v>
      </c>
      <c r="F323" t="n">
        <v>8.5</v>
      </c>
      <c r="H323" t="n">
        <v>0</v>
      </c>
      <c r="I323" t="n">
        <v>0</v>
      </c>
      <c r="J323" t="n">
        <v>0</v>
      </c>
      <c r="K323" t="n">
        <v>0</v>
      </c>
      <c r="L323" t="n">
        <v>0</v>
      </c>
      <c r="M323" t="n">
        <v>0</v>
      </c>
      <c r="N323" t="n">
        <v>0</v>
      </c>
    </row>
    <row r="324">
      <c r="A324" t="inlineStr">
        <is>
          <t>Cost of mills</t>
        </is>
      </c>
      <c r="B324" t="inlineStr">
        <is>
          <t>mending the sluice beside the east mill with the digging of earth and carrying of turf for the same and making stakes for the same 3 shilling 4pence Total, 9 shilling 9.5pence</t>
        </is>
      </c>
      <c r="C324" t="n">
        <v>0.17</v>
      </c>
      <c r="D324" t="n">
        <v>0</v>
      </c>
      <c r="E324" t="n">
        <v>3</v>
      </c>
      <c r="F324" t="n">
        <v>4</v>
      </c>
      <c r="H324" t="n">
        <v>0</v>
      </c>
      <c r="I324" t="n">
        <v>0</v>
      </c>
      <c r="J324" t="n">
        <v>0</v>
      </c>
      <c r="K324" t="n">
        <v>0</v>
      </c>
      <c r="L324" t="n">
        <v>0</v>
      </c>
      <c r="M324" t="n">
        <v>0</v>
      </c>
      <c r="N324" t="n">
        <v>0</v>
      </c>
    </row>
    <row r="325">
      <c r="A325" t="inlineStr">
        <is>
          <t>Expenses of the steward</t>
        </is>
      </c>
      <c r="B325" t="inlineStr">
        <is>
          <t>In expenses of the steward for his visits at 2 tourns by 2 tallies £1 2 shilling l1pence.</t>
        </is>
      </c>
      <c r="C325" t="n">
        <v>1.1</v>
      </c>
      <c r="D325" t="n">
        <v>1</v>
      </c>
      <c r="E325" t="n">
        <v>2</v>
      </c>
      <c r="F325" t="n">
        <v>0</v>
      </c>
      <c r="H325" t="n">
        <v>0</v>
      </c>
      <c r="I325" t="n">
        <v>0</v>
      </c>
      <c r="J325" t="n">
        <v>0</v>
      </c>
      <c r="K325" t="n">
        <v>0</v>
      </c>
      <c r="L325" t="n">
        <v>0</v>
      </c>
      <c r="M325" t="n">
        <v>0</v>
      </c>
      <c r="N325" t="n">
        <v>0</v>
      </c>
    </row>
    <row r="326">
      <c r="A326" t="inlineStr">
        <is>
          <t>Expenses of the steward</t>
        </is>
      </c>
      <c r="B326" t="inlineStr">
        <is>
          <t>expenses of Roger, bailiff from Michaelmas until Christmas, £1 12 shilling 1pence.</t>
        </is>
      </c>
      <c r="C326" t="n">
        <v>1.6</v>
      </c>
      <c r="D326" t="n">
        <v>1</v>
      </c>
      <c r="E326" t="n">
        <v>12</v>
      </c>
      <c r="F326" t="n">
        <v>1</v>
      </c>
      <c r="H326" t="n">
        <v>0</v>
      </c>
      <c r="I326" t="n">
        <v>0</v>
      </c>
      <c r="J326" t="n">
        <v>0</v>
      </c>
      <c r="K326" t="n">
        <v>0</v>
      </c>
      <c r="L326" t="n">
        <v>0</v>
      </c>
      <c r="M326" t="n">
        <v>0</v>
      </c>
      <c r="N326" t="n">
        <v>0</v>
      </c>
    </row>
    <row r="327">
      <c r="A327" t="inlineStr">
        <is>
          <t>Expenses of the steward</t>
        </is>
      </c>
      <c r="B327" t="inlineStr">
        <is>
          <t>fur bought for the same bailiff 3 shilling.</t>
        </is>
      </c>
      <c r="C327" t="n">
        <v>0.15</v>
      </c>
      <c r="D327" t="n">
        <v>0</v>
      </c>
      <c r="E327" t="n">
        <v>3</v>
      </c>
      <c r="F327" t="n">
        <v>0</v>
      </c>
      <c r="H327" t="n">
        <v>0</v>
      </c>
      <c r="I327" t="n">
        <v>0</v>
      </c>
      <c r="J327" t="n">
        <v>0</v>
      </c>
      <c r="K327" t="n">
        <v>0</v>
      </c>
      <c r="L327" t="n">
        <v>0</v>
      </c>
      <c r="M327" t="n">
        <v>0</v>
      </c>
      <c r="N327" t="n">
        <v>0</v>
      </c>
    </row>
    <row r="328">
      <c r="A328" t="inlineStr">
        <is>
          <t>Expenses of the steward</t>
        </is>
      </c>
      <c r="B328" t="inlineStr">
        <is>
          <t>expenses of Robert, bailiff and clerk, for his visits from Christmas until the following Michaelmas £2..</t>
        </is>
      </c>
      <c r="C328" t="n">
        <v>2</v>
      </c>
      <c r="D328" t="n">
        <v>2</v>
      </c>
      <c r="E328" t="n">
        <v>0</v>
      </c>
      <c r="F328" t="n">
        <v>0</v>
      </c>
      <c r="H328" t="n">
        <v>0</v>
      </c>
      <c r="I328" t="n">
        <v>0</v>
      </c>
      <c r="J328" t="n">
        <v>0</v>
      </c>
      <c r="K328" t="n">
        <v>0</v>
      </c>
      <c r="L328" t="n">
        <v>0</v>
      </c>
      <c r="M328" t="n">
        <v>0</v>
      </c>
      <c r="N328" t="n">
        <v>0</v>
      </c>
    </row>
    <row r="329">
      <c r="A329" t="inlineStr">
        <is>
          <t>Expenses of the steward</t>
        </is>
      </c>
      <c r="B329" t="inlineStr">
        <is>
          <t>1 fur bought for the summer livery of Robert the bailiff 3 shilling Total, £5 1 shilling</t>
        </is>
      </c>
      <c r="C329" t="n">
        <v>5.05</v>
      </c>
      <c r="D329" t="n">
        <v>5</v>
      </c>
      <c r="E329" t="n">
        <v>1</v>
      </c>
      <c r="F329" t="n">
        <v>0</v>
      </c>
      <c r="H329" t="n">
        <v>0</v>
      </c>
      <c r="I329" t="n">
        <v>0</v>
      </c>
      <c r="J329" t="n">
        <v>0</v>
      </c>
      <c r="K329" t="n">
        <v>0</v>
      </c>
      <c r="L329" t="n">
        <v>0</v>
      </c>
      <c r="M329" t="n">
        <v>0</v>
      </c>
      <c r="N329" t="n">
        <v>0</v>
      </c>
    </row>
    <row r="330">
      <c r="A330" t="inlineStr">
        <is>
          <t>Wages of the door-keeper</t>
        </is>
      </c>
      <c r="B330" t="inlineStr">
        <is>
          <t>In wages of the door-keeper for the year £1 10 shilling 5pence Total, £1 10 shilling 5pence</t>
        </is>
      </c>
      <c r="C330" t="n">
        <v>1.52</v>
      </c>
      <c r="D330" t="n">
        <v>1</v>
      </c>
      <c r="E330" t="n">
        <v>10</v>
      </c>
      <c r="F330" t="n">
        <v>5</v>
      </c>
      <c r="H330" t="n">
        <v>0</v>
      </c>
      <c r="I330" t="n">
        <v>0</v>
      </c>
      <c r="J330" t="n">
        <v>0</v>
      </c>
      <c r="K330" t="n">
        <v>0</v>
      </c>
      <c r="L330" t="n">
        <v>0</v>
      </c>
      <c r="M330" t="n">
        <v>0</v>
      </c>
      <c r="N330" t="n">
        <v>0</v>
      </c>
    </row>
    <row r="331">
      <c r="A331" t="inlineStr">
        <is>
          <t>Purchase of stock</t>
        </is>
      </c>
      <c r="B331" t="inlineStr">
        <is>
          <t>In 50 yearlings bought and agisted in the park the previous year, because their sale is answered for in this roll, £17 18 shilling 2.25pence Total, £17 18 shilling 2.25pence</t>
        </is>
      </c>
      <c r="C331" t="n">
        <v>17.91</v>
      </c>
      <c r="D331" t="n">
        <v>17</v>
      </c>
      <c r="E331" t="n">
        <v>18</v>
      </c>
      <c r="F331" t="n">
        <v>2.25</v>
      </c>
      <c r="H331" t="n">
        <v>0</v>
      </c>
      <c r="I331" t="n">
        <v>0</v>
      </c>
      <c r="J331" t="n">
        <v>0</v>
      </c>
      <c r="K331" t="n">
        <v>0</v>
      </c>
      <c r="L331" t="n">
        <v>0</v>
      </c>
      <c r="M331" t="n">
        <v>0</v>
      </c>
      <c r="N331" t="n">
        <v>0</v>
      </c>
    </row>
    <row r="332">
      <c r="A332" t="inlineStr">
        <is>
          <t>Foreign expenses</t>
        </is>
      </c>
      <c r="B332" t="inlineStr">
        <is>
          <t>In allowance of the reeve for 80 perches of ditch around the new meadow in the park 10 shilling, at 1.5pence a perch.</t>
        </is>
      </c>
      <c r="C332" t="n">
        <v>0.51</v>
      </c>
      <c r="D332" t="n">
        <v>0</v>
      </c>
      <c r="E332" t="n">
        <v>10</v>
      </c>
      <c r="F332" t="n">
        <v>1.5</v>
      </c>
      <c r="H332" t="n">
        <v>0</v>
      </c>
      <c r="I332" t="n">
        <v>0</v>
      </c>
      <c r="J332" t="n">
        <v>0</v>
      </c>
      <c r="K332" t="n">
        <v>0</v>
      </c>
      <c r="L332" t="n">
        <v>0</v>
      </c>
      <c r="M332" t="n">
        <v>0</v>
      </c>
      <c r="N332" t="n">
        <v>0</v>
      </c>
    </row>
    <row r="333">
      <c r="A333" t="inlineStr">
        <is>
          <t>Foreign expenses</t>
        </is>
      </c>
      <c r="B333" t="inlineStr">
        <is>
          <t>.</t>
        </is>
      </c>
      <c r="C333" t="n">
        <v>0</v>
      </c>
      <c r="D333" t="n">
        <v>0</v>
      </c>
      <c r="E333" t="n">
        <v>0</v>
      </c>
      <c r="F333" t="n">
        <v>0</v>
      </c>
      <c r="H333" t="n">
        <v>0</v>
      </c>
      <c r="I333" t="n">
        <v>0</v>
      </c>
      <c r="J333" t="n">
        <v>0</v>
      </c>
      <c r="K333" t="n">
        <v>0</v>
      </c>
      <c r="L333" t="n">
        <v>0</v>
      </c>
      <c r="M333" t="n">
        <v>0</v>
      </c>
      <c r="N333" t="n">
        <v>0</v>
      </c>
    </row>
    <row r="334">
      <c r="A334" t="inlineStr">
        <is>
          <t>Foreign expenses</t>
        </is>
      </c>
      <c r="B334" t="inlineStr">
        <is>
          <t>obstructing the watercourse so that it does not flow beyond the said meadow 3 shilling 6pence.</t>
        </is>
      </c>
      <c r="C334" t="n">
        <v>0.17</v>
      </c>
      <c r="D334" t="n">
        <v>0</v>
      </c>
      <c r="E334" t="n">
        <v>3</v>
      </c>
      <c r="F334" t="n">
        <v>6</v>
      </c>
      <c r="H334" t="n">
        <v>0</v>
      </c>
      <c r="I334" t="n">
        <v>0</v>
      </c>
      <c r="J334" t="n">
        <v>0</v>
      </c>
      <c r="K334" t="n">
        <v>0</v>
      </c>
      <c r="L334" t="n">
        <v>0</v>
      </c>
      <c r="M334" t="n">
        <v>0</v>
      </c>
      <c r="N334" t="n">
        <v>0</v>
      </c>
    </row>
    <row r="335">
      <c r="A335" t="inlineStr">
        <is>
          <t>Foreign expenses</t>
        </is>
      </c>
      <c r="B335" t="inlineStr">
        <is>
          <t>enclosing the said meadow 2 shilling.</t>
        </is>
      </c>
      <c r="C335" t="n">
        <v>0.1</v>
      </c>
      <c r="D335" t="n">
        <v>0</v>
      </c>
      <c r="E335" t="n">
        <v>2</v>
      </c>
      <c r="F335" t="n">
        <v>0</v>
      </c>
      <c r="H335" t="n">
        <v>0</v>
      </c>
      <c r="I335" t="n">
        <v>0</v>
      </c>
      <c r="J335" t="n">
        <v>0</v>
      </c>
      <c r="K335" t="n">
        <v>0</v>
      </c>
      <c r="L335" t="n">
        <v>0</v>
      </c>
      <c r="M335" t="n">
        <v>0</v>
      </c>
      <c r="N335" t="n">
        <v>0</v>
      </c>
    </row>
    <row r="336">
      <c r="A336" t="inlineStr">
        <is>
          <t>Foreign expenses</t>
        </is>
      </c>
      <c r="B336" t="inlineStr">
        <is>
          <t>seedlings collected for the same ditch 1 shilling 8pence.</t>
        </is>
      </c>
      <c r="C336" t="n">
        <v>0.08</v>
      </c>
      <c r="D336" t="n">
        <v>0</v>
      </c>
      <c r="E336" t="n">
        <v>1</v>
      </c>
      <c r="F336" t="n">
        <v>8</v>
      </c>
      <c r="H336" t="n">
        <v>0</v>
      </c>
      <c r="I336" t="n">
        <v>0</v>
      </c>
      <c r="J336" t="n">
        <v>0</v>
      </c>
      <c r="K336" t="n">
        <v>0</v>
      </c>
      <c r="L336" t="n">
        <v>0</v>
      </c>
      <c r="M336" t="n">
        <v>0</v>
      </c>
      <c r="N336" t="n">
        <v>0</v>
      </c>
    </row>
    <row r="337">
      <c r="A337" t="inlineStr">
        <is>
          <t>Foreign expenses</t>
        </is>
      </c>
      <c r="B337" t="inlineStr">
        <is>
          <t>70 perches of new ditch around a certain purpresture beside the cowshed for nurturing calves 8 shilling 9pence, at 1.5pence a perch.</t>
        </is>
      </c>
      <c r="C337" t="n">
        <v>0.44</v>
      </c>
      <c r="D337" t="n">
        <v>0</v>
      </c>
      <c r="E337" t="n">
        <v>8</v>
      </c>
      <c r="F337" t="n">
        <v>9</v>
      </c>
      <c r="H337" t="n">
        <v>0</v>
      </c>
      <c r="I337" t="n">
        <v>0</v>
      </c>
      <c r="J337" t="n">
        <v>0</v>
      </c>
      <c r="K337" t="n">
        <v>0</v>
      </c>
      <c r="L337" t="n">
        <v>0</v>
      </c>
      <c r="M337" t="n">
        <v>0</v>
      </c>
      <c r="N337" t="n">
        <v>0</v>
      </c>
    </row>
    <row r="338">
      <c r="A338" t="inlineStr">
        <is>
          <t>Foreign expenses</t>
        </is>
      </c>
      <c r="B338" t="inlineStr">
        <is>
          <t>.</t>
        </is>
      </c>
      <c r="C338" t="n">
        <v>0</v>
      </c>
      <c r="D338" t="n">
        <v>0</v>
      </c>
      <c r="E338" t="n">
        <v>0</v>
      </c>
      <c r="F338" t="n">
        <v>0</v>
      </c>
      <c r="H338" t="n">
        <v>0</v>
      </c>
      <c r="I338" t="n">
        <v>0</v>
      </c>
      <c r="J338" t="n">
        <v>0</v>
      </c>
      <c r="K338" t="n">
        <v>0</v>
      </c>
      <c r="L338" t="n">
        <v>0</v>
      </c>
      <c r="M338" t="n">
        <v>0</v>
      </c>
      <c r="N338" t="n">
        <v>0</v>
      </c>
    </row>
    <row r="339">
      <c r="A339" t="inlineStr">
        <is>
          <t>Foreign expenses</t>
        </is>
      </c>
      <c r="B339" t="inlineStr">
        <is>
          <t>seedlings collected for the same 1 shilling 4pence.</t>
        </is>
      </c>
      <c r="C339" t="n">
        <v>0.07000000000000001</v>
      </c>
      <c r="D339" t="n">
        <v>0</v>
      </c>
      <c r="E339" t="n">
        <v>1</v>
      </c>
      <c r="F339" t="n">
        <v>4</v>
      </c>
      <c r="H339" t="n">
        <v>0</v>
      </c>
      <c r="I339" t="n">
        <v>0</v>
      </c>
      <c r="J339" t="n">
        <v>0</v>
      </c>
      <c r="K339" t="n">
        <v>0</v>
      </c>
      <c r="L339" t="n">
        <v>0</v>
      </c>
      <c r="M339" t="n">
        <v>0</v>
      </c>
      <c r="N339" t="n">
        <v>0</v>
      </c>
    </row>
    <row r="340">
      <c r="A340" t="inlineStr">
        <is>
          <t>Foreign expenses</t>
        </is>
      </c>
      <c r="B340" t="inlineStr">
        <is>
          <t>enclosing the said ditch 1 shilling 11pence.</t>
        </is>
      </c>
      <c r="C340" t="n">
        <v>0.1</v>
      </c>
      <c r="D340" t="n">
        <v>0</v>
      </c>
      <c r="E340" t="n">
        <v>1</v>
      </c>
      <c r="F340" t="n">
        <v>11</v>
      </c>
      <c r="H340" t="n">
        <v>0</v>
      </c>
      <c r="I340" t="n">
        <v>0</v>
      </c>
      <c r="J340" t="n">
        <v>0</v>
      </c>
      <c r="K340" t="n">
        <v>0</v>
      </c>
      <c r="L340" t="n">
        <v>0</v>
      </c>
      <c r="M340" t="n">
        <v>0</v>
      </c>
      <c r="N340" t="n">
        <v>0</v>
      </c>
    </row>
    <row r="341">
      <c r="A341" t="inlineStr">
        <is>
          <t>Foreign expenses</t>
        </is>
      </c>
      <c r="B341" t="inlineStr">
        <is>
          <t>a sluice for the small fishpond and a new trough for the same with a carpenter for the same 8 shilling.</t>
        </is>
      </c>
      <c r="C341" t="n">
        <v>0.4</v>
      </c>
      <c r="D341" t="n">
        <v>0</v>
      </c>
      <c r="E341" t="n">
        <v>8</v>
      </c>
      <c r="F341" t="n">
        <v>0</v>
      </c>
      <c r="H341" t="n">
        <v>0</v>
      </c>
      <c r="I341" t="n">
        <v>0</v>
      </c>
      <c r="J341" t="n">
        <v>0</v>
      </c>
      <c r="K341" t="n">
        <v>0</v>
      </c>
      <c r="L341" t="n">
        <v>0</v>
      </c>
      <c r="M341" t="n">
        <v>0</v>
      </c>
      <c r="N341" t="n">
        <v>0</v>
      </c>
    </row>
    <row r="342">
      <c r="A342" t="inlineStr">
        <is>
          <t>Foreign expenses</t>
        </is>
      </c>
      <c r="B342" t="inlineStr">
        <is>
          <t>men hired by the day to dig the foundations of the said sluice, dig and carry earth and turfs, and make and put in stakes for the same, 13 shilling.</t>
        </is>
      </c>
      <c r="C342" t="n">
        <v>0.65</v>
      </c>
      <c r="D342" t="n">
        <v>0</v>
      </c>
      <c r="E342" t="n">
        <v>13</v>
      </c>
      <c r="F342" t="n">
        <v>0</v>
      </c>
      <c r="H342" t="n">
        <v>0</v>
      </c>
      <c r="I342" t="n">
        <v>0</v>
      </c>
      <c r="J342" t="n">
        <v>0</v>
      </c>
      <c r="K342" t="n">
        <v>0</v>
      </c>
      <c r="L342" t="n">
        <v>0</v>
      </c>
      <c r="M342" t="n">
        <v>0</v>
      </c>
      <c r="N342" t="n">
        <v>0</v>
      </c>
    </row>
    <row r="343">
      <c r="A343" t="inlineStr">
        <is>
          <t>Foreign expenses</t>
        </is>
      </c>
      <c r="B343" t="inlineStr">
        <is>
          <t>large nails bought for the same 8pence.</t>
        </is>
      </c>
      <c r="C343" t="n">
        <v>0.03</v>
      </c>
      <c r="D343" t="n">
        <v>0</v>
      </c>
      <c r="E343" t="n">
        <v>0</v>
      </c>
      <c r="F343" t="n">
        <v>8</v>
      </c>
      <c r="H343" t="n">
        <v>0</v>
      </c>
      <c r="I343" t="n">
        <v>0</v>
      </c>
      <c r="J343" t="n">
        <v>0</v>
      </c>
      <c r="K343" t="n">
        <v>0</v>
      </c>
      <c r="L343" t="n">
        <v>0</v>
      </c>
      <c r="M343" t="n">
        <v>0</v>
      </c>
      <c r="N343" t="n">
        <v>0</v>
      </c>
    </row>
    <row r="344">
      <c r="A344" t="inlineStr">
        <is>
          <t>Foreign expenses</t>
        </is>
      </c>
      <c r="B344" t="inlineStr">
        <is>
          <t>hooping 1 cask of wine 3pence.</t>
        </is>
      </c>
      <c r="C344" t="n">
        <v>0.01</v>
      </c>
      <c r="D344" t="n">
        <v>0</v>
      </c>
      <c r="E344" t="n">
        <v>0</v>
      </c>
      <c r="F344" t="n">
        <v>3</v>
      </c>
      <c r="H344" t="n">
        <v>0</v>
      </c>
      <c r="I344" t="n">
        <v>0</v>
      </c>
      <c r="J344" t="n">
        <v>0</v>
      </c>
      <c r="K344" t="n">
        <v>0</v>
      </c>
      <c r="L344" t="n">
        <v>0</v>
      </c>
      <c r="M344" t="n">
        <v>0</v>
      </c>
      <c r="N344" t="n">
        <v>0</v>
      </c>
    </row>
    <row r="345">
      <c r="A345" t="inlineStr">
        <is>
          <t>Foreign expenses</t>
        </is>
      </c>
      <c r="B345" t="inlineStr">
        <is>
          <t>oaks felled and a ditch made for killing foxes by order of the lord £1 3 shilling 8pence Total, £3 14 shilling 9pence</t>
        </is>
      </c>
      <c r="C345" t="n">
        <v>1.18</v>
      </c>
      <c r="D345" t="n">
        <v>1</v>
      </c>
      <c r="E345" t="n">
        <v>3</v>
      </c>
      <c r="F345" t="n">
        <v>8</v>
      </c>
      <c r="H345" t="n">
        <v>0</v>
      </c>
      <c r="I345" t="n">
        <v>0</v>
      </c>
      <c r="J345" t="n">
        <v>0</v>
      </c>
      <c r="K345" t="n">
        <v>0</v>
      </c>
      <c r="L345" t="n">
        <v>0</v>
      </c>
      <c r="M345" t="n">
        <v>0</v>
      </c>
      <c r="N345" t="n">
        <v>0</v>
      </c>
    </row>
    <row r="346">
      <c r="A346" t="inlineStr">
        <is>
          <t>Total of all expenses</t>
        </is>
      </c>
      <c r="B346" t="inlineStr">
        <is>
          <t>Total of all expenses, £54 9 shilling 0.75pence</t>
        </is>
      </c>
      <c r="C346" t="n">
        <v>54.45</v>
      </c>
      <c r="D346" t="n">
        <v>54</v>
      </c>
      <c r="E346" t="n">
        <v>9</v>
      </c>
      <c r="F346" t="n">
        <v>0.75</v>
      </c>
      <c r="H346" t="n">
        <v>0</v>
      </c>
      <c r="I346" t="n">
        <v>0</v>
      </c>
      <c r="J346" t="n">
        <v>0</v>
      </c>
      <c r="K346" t="n">
        <v>0</v>
      </c>
      <c r="L346" t="n">
        <v>0</v>
      </c>
      <c r="M346" t="n">
        <v>0</v>
      </c>
      <c r="N346" t="n">
        <v>0</v>
      </c>
    </row>
    <row r="347">
      <c r="A347" t="inlineStr">
        <is>
          <t>And he owes</t>
        </is>
      </c>
      <c r="B347" t="inlineStr">
        <is>
          <t>And he owes, £175 14 shilling 9.5pence</t>
        </is>
      </c>
      <c r="C347" t="n">
        <v>175.74</v>
      </c>
      <c r="D347" t="n">
        <v>175</v>
      </c>
      <c r="E347" t="n">
        <v>14</v>
      </c>
      <c r="F347" t="n">
        <v>9.5</v>
      </c>
      <c r="H347" t="n">
        <v>0</v>
      </c>
      <c r="I347" t="n">
        <v>0</v>
      </c>
      <c r="J347" t="n">
        <v>0</v>
      </c>
      <c r="K347" t="n">
        <v>0</v>
      </c>
      <c r="L347" t="n">
        <v>0</v>
      </c>
      <c r="M347" t="n">
        <v>0</v>
      </c>
      <c r="N347" t="n">
        <v>0</v>
      </c>
    </row>
    <row r="348">
      <c r="A348" t="inlineStr">
        <is>
          <t>Cash deliveries</t>
        </is>
      </c>
      <c r="B348" t="inlineStr">
        <is>
          <t>Delivered to Sir Geoffrey, treasurer of Wolvesey, by 1 tally, £116 3 shilling 2pence</t>
        </is>
      </c>
      <c r="C348" t="n">
        <v>116.16</v>
      </c>
      <c r="D348" t="n">
        <v>116</v>
      </c>
      <c r="E348" t="n">
        <v>3</v>
      </c>
      <c r="F348" t="n">
        <v>2</v>
      </c>
      <c r="H348" t="n">
        <v>0</v>
      </c>
      <c r="I348" t="n">
        <v>0</v>
      </c>
      <c r="J348" t="n">
        <v>0</v>
      </c>
      <c r="K348" t="n">
        <v>0</v>
      </c>
      <c r="L348" t="n">
        <v>0</v>
      </c>
      <c r="M348" t="n">
        <v>0</v>
      </c>
      <c r="N348" t="n">
        <v>0</v>
      </c>
    </row>
    <row r="349">
      <c r="A349" t="inlineStr">
        <is>
          <t>And thus he owes clear</t>
        </is>
      </c>
      <c r="B349" t="inlineStr">
        <is>
          <t>And thus he owes clear, £59 11 shilling 7.5pence</t>
        </is>
      </c>
      <c r="C349" t="n">
        <v>59.58</v>
      </c>
      <c r="D349" t="n">
        <v>59</v>
      </c>
      <c r="E349" t="n">
        <v>11</v>
      </c>
      <c r="F349" t="n">
        <v>7.5</v>
      </c>
      <c r="H349" t="n">
        <v>0</v>
      </c>
      <c r="I349" t="n">
        <v>0</v>
      </c>
      <c r="J349" t="n">
        <v>0</v>
      </c>
      <c r="K349" t="n">
        <v>0</v>
      </c>
      <c r="L349" t="n">
        <v>0</v>
      </c>
      <c r="M349" t="n">
        <v>0</v>
      </c>
      <c r="N349" t="n">
        <v>0</v>
      </c>
    </row>
    <row r="350">
      <c r="A350" t="inlineStr">
        <is>
          <t>Wheat</t>
        </is>
      </c>
      <c r="B350" t="inlineStr">
        <is>
          <t>{yield: three-fold plus 5 quarters 1.5 bushels}</t>
        </is>
      </c>
      <c r="C350" t="n">
        <v>0</v>
      </c>
      <c r="D350" t="n">
        <v>0</v>
      </c>
      <c r="E350" t="n">
        <v>0</v>
      </c>
      <c r="F350" t="n">
        <v>0</v>
      </c>
      <c r="H350" t="n">
        <v>5</v>
      </c>
      <c r="I350" t="n">
        <v>1.5</v>
      </c>
      <c r="J350" t="n">
        <v>5.1875</v>
      </c>
      <c r="K350" t="n">
        <v>5.1875</v>
      </c>
      <c r="L350" t="n">
        <v>0</v>
      </c>
      <c r="M350" t="n">
        <v>5</v>
      </c>
      <c r="N350" t="n">
        <v>1.5</v>
      </c>
    </row>
    <row r="351">
      <c r="A351" t="inlineStr">
        <is>
          <t>Wheat</t>
        </is>
      </c>
      <c r="B351" t="inlineStr">
        <is>
          <t>The same render account for 131.5 quarters from the whole issue of wheat by struck measure.</t>
        </is>
      </c>
      <c r="C351" t="n">
        <v>0</v>
      </c>
      <c r="D351" t="n">
        <v>0</v>
      </c>
      <c r="E351" t="n">
        <v>0</v>
      </c>
      <c r="F351" t="n">
        <v>0</v>
      </c>
      <c r="G351" t="inlineStr">
        <is>
          <t>wheat</t>
        </is>
      </c>
      <c r="H351" t="n">
        <v>131.5</v>
      </c>
      <c r="I351" t="n">
        <v>0</v>
      </c>
      <c r="J351" t="n">
        <v>131.5</v>
      </c>
      <c r="K351" t="n">
        <v>131.5</v>
      </c>
      <c r="L351" t="n">
        <v>0</v>
      </c>
      <c r="M351" t="n">
        <v>131.5</v>
      </c>
      <c r="N351" t="n">
        <v>0</v>
      </c>
    </row>
    <row r="352">
      <c r="A352" t="inlineStr">
        <is>
          <t>Wheat</t>
        </is>
      </c>
      <c r="B352" t="inlineStr">
        <is>
          <t>6 bushels from churchscot.</t>
        </is>
      </c>
      <c r="C352" t="n">
        <v>0</v>
      </c>
      <c r="D352" t="n">
        <v>0</v>
      </c>
      <c r="E352" t="n">
        <v>0</v>
      </c>
      <c r="F352" t="n">
        <v>0</v>
      </c>
      <c r="H352" t="n">
        <v>0</v>
      </c>
      <c r="I352" t="n">
        <v>6</v>
      </c>
      <c r="J352" t="n">
        <v>0.75</v>
      </c>
      <c r="K352" t="n">
        <v>0.75</v>
      </c>
      <c r="L352" t="n">
        <v>0</v>
      </c>
      <c r="M352" t="n">
        <v>0</v>
      </c>
      <c r="N352" t="n">
        <v>6</v>
      </c>
    </row>
    <row r="353">
      <c r="A353" t="inlineStr">
        <is>
          <t>Wheat</t>
        </is>
      </c>
      <c r="B353" t="inlineStr">
        <is>
          <t>Total, 1.32 quarters 2 bushels</t>
        </is>
      </c>
      <c r="C353" t="n">
        <v>0</v>
      </c>
      <c r="D353" t="n">
        <v>0</v>
      </c>
      <c r="E353" t="n">
        <v>0</v>
      </c>
      <c r="F353" t="n">
        <v>0</v>
      </c>
      <c r="H353" t="n">
        <v>1.32</v>
      </c>
      <c r="I353" t="n">
        <v>2</v>
      </c>
      <c r="J353" t="n">
        <v>1.57</v>
      </c>
      <c r="K353" t="n">
        <v>1.57</v>
      </c>
      <c r="L353" t="n">
        <v>0</v>
      </c>
      <c r="M353" t="n">
        <v>1.32</v>
      </c>
      <c r="N353" t="n">
        <v>2</v>
      </c>
    </row>
    <row r="354">
      <c r="A354" t="inlineStr">
        <is>
          <t>Wheat</t>
        </is>
      </c>
      <c r="B354" t="inlineStr">
        <is>
          <t>Sown over 453 acres as they lie in Rouerigg', la Mere and la Woth', 47 quarters 1 bushels.</t>
        </is>
      </c>
      <c r="C354" t="n">
        <v>0</v>
      </c>
      <c r="D354" t="n">
        <v>0</v>
      </c>
      <c r="E354" t="n">
        <v>0</v>
      </c>
      <c r="F354" t="n">
        <v>0</v>
      </c>
      <c r="H354" t="n">
        <v>47</v>
      </c>
      <c r="I354" t="n">
        <v>1</v>
      </c>
      <c r="J354" t="n">
        <v>47.125</v>
      </c>
      <c r="K354" t="n">
        <v>47.125</v>
      </c>
      <c r="L354" t="n">
        <v>0</v>
      </c>
      <c r="M354" t="n">
        <v>47</v>
      </c>
      <c r="N354" t="n">
        <v>1</v>
      </c>
    </row>
    <row r="355">
      <c r="A355" t="inlineStr">
        <is>
          <t>Wheat</t>
        </is>
      </c>
      <c r="B355" t="inlineStr">
        <is>
          <t>that is, 5 bushels over 6 acres, less'' bushels in all.</t>
        </is>
      </c>
      <c r="C355" t="n">
        <v>0</v>
      </c>
      <c r="D355" t="n">
        <v>0</v>
      </c>
      <c r="E355" t="n">
        <v>0</v>
      </c>
      <c r="F355" t="n">
        <v>0</v>
      </c>
      <c r="H355" t="n">
        <v>0</v>
      </c>
      <c r="I355" t="n">
        <v>5</v>
      </c>
      <c r="J355" t="n">
        <v>0.625</v>
      </c>
      <c r="K355" t="n">
        <v>0.625</v>
      </c>
      <c r="L355" t="n">
        <v>0</v>
      </c>
      <c r="M355" t="n">
        <v>0</v>
      </c>
      <c r="N355" t="n">
        <v>5</v>
      </c>
    </row>
    <row r="356">
      <c r="A356" t="inlineStr">
        <is>
          <t>Wheat</t>
        </is>
      </c>
      <c r="B356" t="inlineStr">
        <is>
          <t>.</t>
        </is>
      </c>
      <c r="C356" t="n">
        <v>0</v>
      </c>
      <c r="D356" t="n">
        <v>0</v>
      </c>
      <c r="E356" t="n">
        <v>0</v>
      </c>
      <c r="F356" t="n">
        <v>0</v>
      </c>
      <c r="H356" t="n">
        <v>0</v>
      </c>
      <c r="I356" t="n">
        <v>0</v>
      </c>
      <c r="J356" t="n">
        <v>0</v>
      </c>
      <c r="K356" t="n">
        <v>0</v>
      </c>
      <c r="L356" t="n">
        <v>0</v>
      </c>
      <c r="M356" t="n">
        <v>0</v>
      </c>
      <c r="N356" t="n">
        <v>0</v>
      </c>
    </row>
    <row r="357">
      <c r="A357" t="inlineStr">
        <is>
          <t>Wheat</t>
        </is>
      </c>
      <c r="B357" t="inlineStr">
        <is>
          <t>provision of the steward for his visits by 2 tallies, 1 quarters.</t>
        </is>
      </c>
      <c r="C357" t="n">
        <v>0</v>
      </c>
      <c r="D357" t="n">
        <v>0</v>
      </c>
      <c r="E357" t="n">
        <v>0</v>
      </c>
      <c r="F357" t="n">
        <v>0</v>
      </c>
      <c r="H357" t="n">
        <v>1</v>
      </c>
      <c r="I357" t="n">
        <v>0</v>
      </c>
      <c r="J357" t="n">
        <v>1</v>
      </c>
      <c r="K357" t="n">
        <v>1</v>
      </c>
      <c r="L357" t="n">
        <v>0</v>
      </c>
      <c r="M357" t="n">
        <v>1</v>
      </c>
      <c r="N357" t="n">
        <v>0</v>
      </c>
    </row>
    <row r="358">
      <c r="A358" t="inlineStr">
        <is>
          <t>Wheat</t>
        </is>
      </c>
      <c r="B358" t="inlineStr">
        <is>
          <t>.</t>
        </is>
      </c>
      <c r="C358" t="n">
        <v>0</v>
      </c>
      <c r="D358" t="n">
        <v>0</v>
      </c>
      <c r="E358" t="n">
        <v>0</v>
      </c>
      <c r="F358" t="n">
        <v>0</v>
      </c>
      <c r="H358" t="n">
        <v>0</v>
      </c>
      <c r="I358" t="n">
        <v>0</v>
      </c>
      <c r="J358" t="n">
        <v>0</v>
      </c>
      <c r="K358" t="n">
        <v>0</v>
      </c>
      <c r="L358" t="n">
        <v>0</v>
      </c>
      <c r="M358" t="n">
        <v>0</v>
      </c>
      <c r="N358" t="n">
        <v>0</v>
      </c>
    </row>
    <row r="359">
      <c r="A359" t="inlineStr">
        <is>
          <t>Wheat</t>
        </is>
      </c>
      <c r="B359" t="inlineStr">
        <is>
          <t>provision of Roger, bailiff from Michaelmas until Christmas, 4.5 quarters.</t>
        </is>
      </c>
      <c r="C359" t="n">
        <v>0</v>
      </c>
      <c r="D359" t="n">
        <v>0</v>
      </c>
      <c r="E359" t="n">
        <v>0</v>
      </c>
      <c r="F359" t="n">
        <v>0</v>
      </c>
      <c r="H359" t="n">
        <v>4.5</v>
      </c>
      <c r="I359" t="n">
        <v>0</v>
      </c>
      <c r="J359" t="n">
        <v>4.5</v>
      </c>
      <c r="K359" t="n">
        <v>4.5</v>
      </c>
      <c r="L359" t="n">
        <v>0</v>
      </c>
      <c r="M359" t="n">
        <v>4.5</v>
      </c>
      <c r="N359" t="n">
        <v>0</v>
      </c>
    </row>
    <row r="360">
      <c r="A360" t="inlineStr">
        <is>
          <t>Wheat</t>
        </is>
      </c>
      <c r="B360" t="inlineStr">
        <is>
          <t>.</t>
        </is>
      </c>
      <c r="C360" t="n">
        <v>0</v>
      </c>
      <c r="D360" t="n">
        <v>0</v>
      </c>
      <c r="E360" t="n">
        <v>0</v>
      </c>
      <c r="F360" t="n">
        <v>0</v>
      </c>
      <c r="H360" t="n">
        <v>0</v>
      </c>
      <c r="I360" t="n">
        <v>0</v>
      </c>
      <c r="J360" t="n">
        <v>0</v>
      </c>
      <c r="K360" t="n">
        <v>0</v>
      </c>
      <c r="L360" t="n">
        <v>0</v>
      </c>
      <c r="M360" t="n">
        <v>0</v>
      </c>
      <c r="N360" t="n">
        <v>0</v>
      </c>
    </row>
    <row r="361">
      <c r="A361" t="inlineStr">
        <is>
          <t>Wheat</t>
        </is>
      </c>
      <c r="B361" t="inlineStr">
        <is>
          <t>provision of Robert the bailiff for his visits from Christmas until Michaelmas, 4 quarters.</t>
        </is>
      </c>
      <c r="C361" t="n">
        <v>0</v>
      </c>
      <c r="D361" t="n">
        <v>0</v>
      </c>
      <c r="E361" t="n">
        <v>0</v>
      </c>
      <c r="F361" t="n">
        <v>0</v>
      </c>
      <c r="H361" t="n">
        <v>4</v>
      </c>
      <c r="I361" t="n">
        <v>0</v>
      </c>
      <c r="J361" t="n">
        <v>4</v>
      </c>
      <c r="K361" t="n">
        <v>4</v>
      </c>
      <c r="L361" t="n">
        <v>0</v>
      </c>
      <c r="M361" t="n">
        <v>4</v>
      </c>
      <c r="N361" t="n">
        <v>0</v>
      </c>
    </row>
    <row r="362">
      <c r="A362" t="inlineStr">
        <is>
          <t>Wheat</t>
        </is>
      </c>
      <c r="B362" t="inlineStr">
        <is>
          <t>Delivered to 1 hayward from the Circumcision (1 January) until Lammas (1 August), for 30 weeks, and from the Decollation of St John (29 August) until Michaelmas (29 September), for 4 weeks, 2 quarters 1 bushels, because he takes the rest in barley.</t>
        </is>
      </c>
      <c r="C362" t="n">
        <v>0</v>
      </c>
      <c r="D362" t="n">
        <v>0</v>
      </c>
      <c r="E362" t="n">
        <v>0</v>
      </c>
      <c r="F362" t="n">
        <v>0</v>
      </c>
      <c r="G362" t="inlineStr">
        <is>
          <t>barley</t>
        </is>
      </c>
      <c r="H362" t="n">
        <v>2</v>
      </c>
      <c r="I362" t="n">
        <v>1</v>
      </c>
      <c r="J362" t="n">
        <v>2.125</v>
      </c>
      <c r="K362" t="n">
        <v>2.125</v>
      </c>
      <c r="L362" t="n">
        <v>0</v>
      </c>
      <c r="M362" t="n">
        <v>2</v>
      </c>
      <c r="N362" t="n">
        <v>1</v>
      </c>
    </row>
    <row r="363">
      <c r="A363" t="inlineStr">
        <is>
          <t>Wheat</t>
        </is>
      </c>
      <c r="B363" t="inlineStr">
        <is>
          <t>he takes a quarter every 8 weeks and in between times sits at table.</t>
        </is>
      </c>
      <c r="C363" t="n">
        <v>0</v>
      </c>
      <c r="D363" t="n">
        <v>0</v>
      </c>
      <c r="E363" t="n">
        <v>0</v>
      </c>
      <c r="F363" t="n">
        <v>0</v>
      </c>
      <c r="H363" t="n">
        <v>0</v>
      </c>
      <c r="I363" t="n">
        <v>0</v>
      </c>
      <c r="J363" t="n">
        <v>0</v>
      </c>
      <c r="K363" t="n">
        <v>0</v>
      </c>
      <c r="L363" t="n">
        <v>0</v>
      </c>
      <c r="M363" t="n">
        <v>0</v>
      </c>
      <c r="N363" t="n">
        <v>0</v>
      </c>
    </row>
    <row r="364">
      <c r="A364" t="inlineStr">
        <is>
          <t>Wheat</t>
        </is>
      </c>
      <c r="B364" t="inlineStr">
        <is>
          <t>Sold, 73 quarters 4 bushels It balances.</t>
        </is>
      </c>
      <c r="C364" t="n">
        <v>0</v>
      </c>
      <c r="D364" t="n">
        <v>0</v>
      </c>
      <c r="E364" t="n">
        <v>0</v>
      </c>
      <c r="F364" t="n">
        <v>0</v>
      </c>
      <c r="H364" t="n">
        <v>73</v>
      </c>
      <c r="I364" t="n">
        <v>4</v>
      </c>
      <c r="J364" t="n">
        <v>73.5</v>
      </c>
      <c r="K364" t="n">
        <v>73.5</v>
      </c>
      <c r="L364" t="n">
        <v>0</v>
      </c>
      <c r="M364" t="n">
        <v>73</v>
      </c>
      <c r="N364" t="n">
        <v>4</v>
      </c>
    </row>
    <row r="365">
      <c r="A365" t="inlineStr">
        <is>
          <t>Curall</t>
        </is>
      </c>
      <c r="B365" t="inlineStr">
        <is>
          <t>The same render account for 9 quarters 3.5 bushels from the whole issue of curall by struck measure.</t>
        </is>
      </c>
      <c r="C365" t="n">
        <v>0</v>
      </c>
      <c r="D365" t="n">
        <v>0</v>
      </c>
      <c r="E365" t="n">
        <v>0</v>
      </c>
      <c r="F365" t="n">
        <v>0</v>
      </c>
      <c r="G365" t="inlineStr">
        <is>
          <t>curall</t>
        </is>
      </c>
      <c r="H365" t="n">
        <v>9</v>
      </c>
      <c r="I365" t="n">
        <v>3.5</v>
      </c>
      <c r="J365" t="n">
        <v>9.4375</v>
      </c>
      <c r="K365" t="n">
        <v>9.4375</v>
      </c>
      <c r="L365" t="n">
        <v>0</v>
      </c>
      <c r="M365" t="n">
        <v>9</v>
      </c>
      <c r="N365" t="n">
        <v>3.5</v>
      </c>
    </row>
    <row r="366">
      <c r="A366" t="inlineStr">
        <is>
          <t>Curall</t>
        </is>
      </c>
      <c r="B366" t="inlineStr">
        <is>
          <t>Mixed with barley for the liveries of the manorial servants, 1 quarters 3 bushels Sold, 8 quarters .5 bushels It balances.</t>
        </is>
      </c>
      <c r="C366" t="n">
        <v>0</v>
      </c>
      <c r="D366" t="n">
        <v>0</v>
      </c>
      <c r="E366" t="n">
        <v>0</v>
      </c>
      <c r="F366" t="n">
        <v>0</v>
      </c>
      <c r="G366" t="inlineStr">
        <is>
          <t>barley</t>
        </is>
      </c>
      <c r="H366" t="n">
        <v>8</v>
      </c>
      <c r="I366" t="n">
        <v>5</v>
      </c>
      <c r="J366" t="n">
        <v>8.625</v>
      </c>
      <c r="K366" t="n">
        <v>1.375</v>
      </c>
      <c r="L366" t="n">
        <v>7.25</v>
      </c>
      <c r="M366" t="n">
        <v>1</v>
      </c>
      <c r="N366" t="n">
        <v>3</v>
      </c>
      <c r="O366" t="n">
        <v>8</v>
      </c>
      <c r="P366" t="n">
        <v>0</v>
      </c>
      <c r="Q366" t="n">
        <v>0</v>
      </c>
      <c r="R366" t="n">
        <v>5</v>
      </c>
    </row>
    <row r="367">
      <c r="A367" t="inlineStr">
        <is>
          <t>Barley</t>
        </is>
      </c>
      <c r="B367" t="inlineStr">
        <is>
          <t>{yield: four-fold less 4 quarters 5 bushels}</t>
        </is>
      </c>
      <c r="C367" t="n">
        <v>0</v>
      </c>
      <c r="D367" t="n">
        <v>0</v>
      </c>
      <c r="E367" t="n">
        <v>0</v>
      </c>
      <c r="F367" t="n">
        <v>0</v>
      </c>
      <c r="H367" t="n">
        <v>4</v>
      </c>
      <c r="I367" t="n">
        <v>5</v>
      </c>
      <c r="J367" t="n">
        <v>4.625</v>
      </c>
      <c r="K367" t="n">
        <v>4.625</v>
      </c>
      <c r="L367" t="n">
        <v>0</v>
      </c>
      <c r="M367" t="n">
        <v>4</v>
      </c>
      <c r="N367" t="n">
        <v>5</v>
      </c>
    </row>
    <row r="368">
      <c r="A368" t="inlineStr">
        <is>
          <t>Barley</t>
        </is>
      </c>
      <c r="B368" t="inlineStr">
        <is>
          <t>The same render account for 77 quarters 3 bushels from the whole issue of barley by struck measure.</t>
        </is>
      </c>
      <c r="C368" t="n">
        <v>0</v>
      </c>
      <c r="D368" t="n">
        <v>0</v>
      </c>
      <c r="E368" t="n">
        <v>0</v>
      </c>
      <c r="F368" t="n">
        <v>0</v>
      </c>
      <c r="G368" t="inlineStr">
        <is>
          <t>barley</t>
        </is>
      </c>
      <c r="H368" t="n">
        <v>77</v>
      </c>
      <c r="I368" t="n">
        <v>3</v>
      </c>
      <c r="J368" t="n">
        <v>77.375</v>
      </c>
      <c r="K368" t="n">
        <v>77.375</v>
      </c>
      <c r="L368" t="n">
        <v>0</v>
      </c>
      <c r="M368" t="n">
        <v>77</v>
      </c>
      <c r="N368" t="n">
        <v>3</v>
      </c>
    </row>
    <row r="369">
      <c r="A369" t="inlineStr">
        <is>
          <t>Barley</t>
        </is>
      </c>
      <c r="B369" t="inlineStr">
        <is>
          <t>1 quarters 3 bushels received above from curall.</t>
        </is>
      </c>
      <c r="C369" t="n">
        <v>0</v>
      </c>
      <c r="D369" t="n">
        <v>0</v>
      </c>
      <c r="E369" t="n">
        <v>0</v>
      </c>
      <c r="F369" t="n">
        <v>0</v>
      </c>
      <c r="G369" t="inlineStr">
        <is>
          <t>curall</t>
        </is>
      </c>
      <c r="H369" t="n">
        <v>1</v>
      </c>
      <c r="I369" t="n">
        <v>3</v>
      </c>
      <c r="J369" t="n">
        <v>1.375</v>
      </c>
      <c r="K369" t="n">
        <v>1.375</v>
      </c>
      <c r="L369" t="n">
        <v>0</v>
      </c>
      <c r="M369" t="n">
        <v>1</v>
      </c>
      <c r="N369" t="n">
        <v>3</v>
      </c>
    </row>
    <row r="370">
      <c r="A370" t="inlineStr">
        <is>
          <t>Barley</t>
        </is>
      </c>
      <c r="B370" t="inlineStr">
        <is>
          <t>1 quarters 1 bushels received below from peas.</t>
        </is>
      </c>
      <c r="C370" t="n">
        <v>0</v>
      </c>
      <c r="D370" t="n">
        <v>0</v>
      </c>
      <c r="E370" t="n">
        <v>0</v>
      </c>
      <c r="F370" t="n">
        <v>0</v>
      </c>
      <c r="G370" t="inlineStr">
        <is>
          <t>peas</t>
        </is>
      </c>
      <c r="H370" t="n">
        <v>1</v>
      </c>
      <c r="I370" t="n">
        <v>1</v>
      </c>
      <c r="J370" t="n">
        <v>1.125</v>
      </c>
      <c r="K370" t="n">
        <v>1.125</v>
      </c>
      <c r="L370" t="n">
        <v>0</v>
      </c>
      <c r="M370" t="n">
        <v>1</v>
      </c>
      <c r="N370" t="n">
        <v>1</v>
      </c>
    </row>
    <row r="371">
      <c r="A371" t="inlineStr">
        <is>
          <t>Barley</t>
        </is>
      </c>
      <c r="B371" t="inlineStr">
        <is>
          <t>2 quarters 1 bushels received from vetches.</t>
        </is>
      </c>
      <c r="C371" t="n">
        <v>0</v>
      </c>
      <c r="D371" t="n">
        <v>0</v>
      </c>
      <c r="E371" t="n">
        <v>0</v>
      </c>
      <c r="F371" t="n">
        <v>0</v>
      </c>
      <c r="G371" t="inlineStr">
        <is>
          <t>vetches</t>
        </is>
      </c>
      <c r="H371" t="n">
        <v>2</v>
      </c>
      <c r="I371" t="n">
        <v>1</v>
      </c>
      <c r="J371" t="n">
        <v>2.125</v>
      </c>
      <c r="K371" t="n">
        <v>2.125</v>
      </c>
      <c r="L371" t="n">
        <v>0</v>
      </c>
      <c r="M371" t="n">
        <v>2</v>
      </c>
      <c r="N371" t="n">
        <v>1</v>
      </c>
    </row>
    <row r="372">
      <c r="A372" t="inlineStr">
        <is>
          <t>Barley</t>
        </is>
      </c>
      <c r="B372" t="inlineStr">
        <is>
          <t>Total, 82 quarters.</t>
        </is>
      </c>
      <c r="C372" t="n">
        <v>0</v>
      </c>
      <c r="D372" t="n">
        <v>0</v>
      </c>
      <c r="E372" t="n">
        <v>0</v>
      </c>
      <c r="F372" t="n">
        <v>0</v>
      </c>
      <c r="H372" t="n">
        <v>82</v>
      </c>
      <c r="I372" t="n">
        <v>0</v>
      </c>
      <c r="J372" t="n">
        <v>82</v>
      </c>
      <c r="K372" t="n">
        <v>82</v>
      </c>
      <c r="L372" t="n">
        <v>0</v>
      </c>
      <c r="M372" t="n">
        <v>82</v>
      </c>
      <c r="N372" t="n">
        <v>0</v>
      </c>
    </row>
    <row r="373">
      <c r="A373" t="inlineStr">
        <is>
          <t>Barley</t>
        </is>
      </c>
      <c r="B373" t="inlineStr">
        <is>
          <t>Sown over 98 acres as they lie on both sides of la Longehegg' and in Crikelescrofte, 20 quarters.</t>
        </is>
      </c>
      <c r="C373" t="n">
        <v>0</v>
      </c>
      <c r="D373" t="n">
        <v>0</v>
      </c>
      <c r="E373" t="n">
        <v>0</v>
      </c>
      <c r="F373" t="n">
        <v>0</v>
      </c>
      <c r="H373" t="n">
        <v>20</v>
      </c>
      <c r="I373" t="n">
        <v>0</v>
      </c>
      <c r="J373" t="n">
        <v>20</v>
      </c>
      <c r="K373" t="n">
        <v>20</v>
      </c>
      <c r="L373" t="n">
        <v>0</v>
      </c>
      <c r="M373" t="n">
        <v>20</v>
      </c>
      <c r="N373" t="n">
        <v>0</v>
      </c>
    </row>
    <row r="374">
      <c r="A374" t="inlineStr">
        <is>
          <t>Barley</t>
        </is>
      </c>
      <c r="B374" t="inlineStr">
        <is>
          <t>that is, 3 bushels 1 peck an acre, plus .5 bushels 1 peck in all.</t>
        </is>
      </c>
      <c r="C374" t="n">
        <v>0</v>
      </c>
      <c r="D374" t="n">
        <v>0</v>
      </c>
      <c r="E374" t="n">
        <v>0</v>
      </c>
      <c r="F374" t="n">
        <v>0</v>
      </c>
      <c r="H374" t="n">
        <v>0</v>
      </c>
      <c r="I374" t="n">
        <v>5</v>
      </c>
      <c r="J374" t="n">
        <v>0.625</v>
      </c>
      <c r="K374" t="n">
        <v>0.375</v>
      </c>
      <c r="L374" t="n">
        <v>0.25</v>
      </c>
      <c r="M374" t="n">
        <v>0</v>
      </c>
      <c r="N374" t="n">
        <v>3</v>
      </c>
      <c r="O374" t="n">
        <v>0</v>
      </c>
      <c r="P374" t="n">
        <v>5</v>
      </c>
    </row>
    <row r="375">
      <c r="A375" t="inlineStr">
        <is>
          <t>Barley</t>
        </is>
      </c>
      <c r="B375" t="inlineStr">
        <is>
          <t>Delivered to 4 drovers for the year, 26 quarters, taking a quarter every 8 weeks.</t>
        </is>
      </c>
      <c r="C375" t="n">
        <v>0</v>
      </c>
      <c r="D375" t="n">
        <v>0</v>
      </c>
      <c r="E375" t="n">
        <v>0</v>
      </c>
      <c r="F375" t="n">
        <v>0</v>
      </c>
      <c r="H375" t="n">
        <v>26</v>
      </c>
      <c r="I375" t="n">
        <v>0</v>
      </c>
      <c r="J375" t="n">
        <v>26</v>
      </c>
      <c r="K375" t="n">
        <v>26</v>
      </c>
      <c r="L375" t="n">
        <v>0</v>
      </c>
      <c r="M375" t="n">
        <v>26</v>
      </c>
      <c r="N375" t="n">
        <v>0</v>
      </c>
    </row>
    <row r="376">
      <c r="A376" t="inlineStr">
        <is>
          <t>Barley</t>
        </is>
      </c>
      <c r="B376" t="inlineStr">
        <is>
          <t>Delivered to 1 carter for the year, 6.5 quarters, who takes as before.</t>
        </is>
      </c>
      <c r="C376" t="n">
        <v>0</v>
      </c>
      <c r="D376" t="n">
        <v>0</v>
      </c>
      <c r="E376" t="n">
        <v>0</v>
      </c>
      <c r="F376" t="n">
        <v>0</v>
      </c>
      <c r="H376" t="n">
        <v>6.5</v>
      </c>
      <c r="I376" t="n">
        <v>0</v>
      </c>
      <c r="J376" t="n">
        <v>6.5</v>
      </c>
      <c r="K376" t="n">
        <v>6.5</v>
      </c>
      <c r="L376" t="n">
        <v>0</v>
      </c>
      <c r="M376" t="n">
        <v>6.5</v>
      </c>
      <c r="N376" t="n">
        <v>0</v>
      </c>
    </row>
    <row r="377">
      <c r="A377" t="inlineStr">
        <is>
          <t>Barley</t>
        </is>
      </c>
      <c r="B377" t="inlineStr">
        <is>
          <t>Delivered to 1 drover who drove the horse-plough for .5 year and the other cart for the other .5 year, 6.5 quarters, and he takes as before.</t>
        </is>
      </c>
      <c r="C377" t="n">
        <v>0</v>
      </c>
      <c r="D377" t="n">
        <v>0</v>
      </c>
      <c r="E377" t="n">
        <v>0</v>
      </c>
      <c r="F377" t="n">
        <v>0</v>
      </c>
      <c r="H377" t="n">
        <v>6.5</v>
      </c>
      <c r="I377" t="n">
        <v>0</v>
      </c>
      <c r="J377" t="n">
        <v>6.5</v>
      </c>
      <c r="K377" t="n">
        <v>6.5</v>
      </c>
      <c r="L377" t="n">
        <v>0</v>
      </c>
      <c r="M377" t="n">
        <v>6.5</v>
      </c>
      <c r="N377" t="n">
        <v>0</v>
      </c>
    </row>
    <row r="378">
      <c r="A378" t="inlineStr">
        <is>
          <t>Barley</t>
        </is>
      </c>
      <c r="B378" t="inlineStr">
        <is>
          <t>Delivered to 1 cowherd for the year, 4 quarters 2.5 bushels, taking a quarter every 12 weeks.</t>
        </is>
      </c>
      <c r="C378" t="n">
        <v>0</v>
      </c>
      <c r="D378" t="n">
        <v>0</v>
      </c>
      <c r="E378" t="n">
        <v>0</v>
      </c>
      <c r="F378" t="n">
        <v>0</v>
      </c>
      <c r="H378" t="n">
        <v>4</v>
      </c>
      <c r="I378" t="n">
        <v>2.5</v>
      </c>
      <c r="J378" t="n">
        <v>4.3125</v>
      </c>
      <c r="K378" t="n">
        <v>4.3125</v>
      </c>
      <c r="L378" t="n">
        <v>0</v>
      </c>
      <c r="M378" t="n">
        <v>4</v>
      </c>
      <c r="N378" t="n">
        <v>2.5</v>
      </c>
    </row>
    <row r="379">
      <c r="A379" t="inlineStr">
        <is>
          <t>Barley</t>
        </is>
      </c>
      <c r="B379" t="inlineStr">
        <is>
          <t>Delivered to to 1 dairymaid for the year, 5 quarters 1.5 bushels, taking a quarter every 10 weeks. {Henceforth the dairymaid should take nothing except a quarter every 12 weeks.</t>
        </is>
      </c>
      <c r="C379" t="n">
        <v>0</v>
      </c>
      <c r="D379" t="n">
        <v>0</v>
      </c>
      <c r="E379" t="n">
        <v>0</v>
      </c>
      <c r="F379" t="n">
        <v>0</v>
      </c>
      <c r="H379" t="n">
        <v>5</v>
      </c>
      <c r="I379" t="n">
        <v>1.5</v>
      </c>
      <c r="J379" t="n">
        <v>5.1875</v>
      </c>
      <c r="K379" t="n">
        <v>5.1875</v>
      </c>
      <c r="L379" t="n">
        <v>0</v>
      </c>
      <c r="M379" t="n">
        <v>5</v>
      </c>
      <c r="N379" t="n">
        <v>1.5</v>
      </c>
    </row>
    <row r="380">
      <c r="A380" t="inlineStr">
        <is>
          <t>Barley</t>
        </is>
      </c>
      <c r="B380" t="inlineStr">
        <is>
          <t>also hereafter the dairymaid should answer for the offspring of geese and hens}.</t>
        </is>
      </c>
      <c r="C380" t="n">
        <v>0</v>
      </c>
      <c r="D380" t="n">
        <v>0</v>
      </c>
      <c r="E380" t="n">
        <v>0</v>
      </c>
      <c r="F380" t="n">
        <v>0</v>
      </c>
      <c r="H380" t="n">
        <v>0</v>
      </c>
      <c r="I380" t="n">
        <v>0</v>
      </c>
      <c r="J380" t="n">
        <v>0</v>
      </c>
      <c r="K380" t="n">
        <v>0</v>
      </c>
      <c r="L380" t="n">
        <v>0</v>
      </c>
      <c r="M380" t="n">
        <v>0</v>
      </c>
      <c r="N380" t="n">
        <v>0</v>
      </c>
    </row>
    <row r="381">
      <c r="A381" t="inlineStr">
        <is>
          <t>Barley</t>
        </is>
      </c>
      <c r="B381" t="inlineStr">
        <is>
          <t>.</t>
        </is>
      </c>
      <c r="C381" t="n">
        <v>0</v>
      </c>
      <c r="D381" t="n">
        <v>0</v>
      </c>
      <c r="E381" t="n">
        <v>0</v>
      </c>
      <c r="F381" t="n">
        <v>0</v>
      </c>
      <c r="H381" t="n">
        <v>0</v>
      </c>
      <c r="I381" t="n">
        <v>0</v>
      </c>
      <c r="J381" t="n">
        <v>0</v>
      </c>
      <c r="K381" t="n">
        <v>0</v>
      </c>
      <c r="L381" t="n">
        <v>0</v>
      </c>
      <c r="M381" t="n">
        <v>0</v>
      </c>
      <c r="N381" t="n">
        <v>0</v>
      </c>
    </row>
    <row r="382">
      <c r="A382" t="inlineStr">
        <is>
          <t>Barley</t>
        </is>
      </c>
      <c r="B382" t="inlineStr">
        <is>
          <t>corrody of 1 swineherd and 1 shepherd with the ewes, 4 quarters.</t>
        </is>
      </c>
      <c r="C382" t="n">
        <v>0</v>
      </c>
      <c r="D382" t="n">
        <v>0</v>
      </c>
      <c r="E382" t="n">
        <v>0</v>
      </c>
      <c r="F382" t="n">
        <v>0</v>
      </c>
      <c r="H382" t="n">
        <v>4</v>
      </c>
      <c r="I382" t="n">
        <v>0</v>
      </c>
      <c r="J382" t="n">
        <v>4</v>
      </c>
      <c r="K382" t="n">
        <v>4</v>
      </c>
      <c r="L382" t="n">
        <v>0</v>
      </c>
      <c r="M382" t="n">
        <v>4</v>
      </c>
      <c r="N382" t="n">
        <v>0</v>
      </c>
    </row>
    <row r="383">
      <c r="A383" t="inlineStr">
        <is>
          <t>Barley</t>
        </is>
      </c>
      <c r="B383" t="inlineStr">
        <is>
          <t>.</t>
        </is>
      </c>
      <c r="C383" t="n">
        <v>0</v>
      </c>
      <c r="D383" t="n">
        <v>0</v>
      </c>
      <c r="E383" t="n">
        <v>0</v>
      </c>
      <c r="F383" t="n">
        <v>0</v>
      </c>
      <c r="H383" t="n">
        <v>0</v>
      </c>
      <c r="I383" t="n">
        <v>0</v>
      </c>
      <c r="J383" t="n">
        <v>0</v>
      </c>
      <c r="K383" t="n">
        <v>0</v>
      </c>
      <c r="L383" t="n">
        <v>0</v>
      </c>
      <c r="M383" t="n">
        <v>0</v>
      </c>
      <c r="N383" t="n">
        <v>0</v>
      </c>
    </row>
    <row r="384">
      <c r="A384" t="inlineStr">
        <is>
          <t>Barley</t>
        </is>
      </c>
      <c r="B384" t="inlineStr">
        <is>
          <t>corrody of 1 keeper of lambs for .5 year, 1 quarters.</t>
        </is>
      </c>
      <c r="C384" t="n">
        <v>0</v>
      </c>
      <c r="D384" t="n">
        <v>0</v>
      </c>
      <c r="E384" t="n">
        <v>0</v>
      </c>
      <c r="F384" t="n">
        <v>0</v>
      </c>
      <c r="H384" t="n">
        <v>1</v>
      </c>
      <c r="I384" t="n">
        <v>0</v>
      </c>
      <c r="J384" t="n">
        <v>1</v>
      </c>
      <c r="K384" t="n">
        <v>1</v>
      </c>
      <c r="L384" t="n">
        <v>0</v>
      </c>
      <c r="M384" t="n">
        <v>1</v>
      </c>
      <c r="N384" t="n">
        <v>0</v>
      </c>
    </row>
    <row r="385">
      <c r="A385" t="inlineStr">
        <is>
          <t>Barley</t>
        </is>
      </c>
      <c r="B385" t="inlineStr">
        <is>
          <t>Delivered to the same for the other .5 year because he kept the lambs of Bishops Waltham and Droxford, 2 quarters, taking a quarter every 13 weeks.</t>
        </is>
      </c>
      <c r="C385" t="n">
        <v>0</v>
      </c>
      <c r="D385" t="n">
        <v>0</v>
      </c>
      <c r="E385" t="n">
        <v>0</v>
      </c>
      <c r="F385" t="n">
        <v>0</v>
      </c>
      <c r="H385" t="n">
        <v>2</v>
      </c>
      <c r="I385" t="n">
        <v>0</v>
      </c>
      <c r="J385" t="n">
        <v>2</v>
      </c>
      <c r="K385" t="n">
        <v>2</v>
      </c>
      <c r="L385" t="n">
        <v>0</v>
      </c>
      <c r="M385" t="n">
        <v>2</v>
      </c>
      <c r="N385" t="n">
        <v>0</v>
      </c>
    </row>
    <row r="386">
      <c r="A386" t="inlineStr">
        <is>
          <t>Barley</t>
        </is>
      </c>
      <c r="B386" t="inlineStr">
        <is>
          <t>Delivered to 1 hayward from the Circumcision until Lammas, for 30 weeks, and from the Decollation of St John the Baptist until Michaelmas, for 4 weeks, 2 quarters 1 bushels, because he takes the rest in wheat.</t>
        </is>
      </c>
      <c r="C386" t="n">
        <v>0</v>
      </c>
      <c r="D386" t="n">
        <v>0</v>
      </c>
      <c r="E386" t="n">
        <v>0</v>
      </c>
      <c r="F386" t="n">
        <v>0</v>
      </c>
      <c r="G386" t="inlineStr">
        <is>
          <t>wheat</t>
        </is>
      </c>
      <c r="H386" t="n">
        <v>2</v>
      </c>
      <c r="I386" t="n">
        <v>1</v>
      </c>
      <c r="J386" t="n">
        <v>2.125</v>
      </c>
      <c r="K386" t="n">
        <v>2.125</v>
      </c>
      <c r="L386" t="n">
        <v>0</v>
      </c>
      <c r="M386" t="n">
        <v>2</v>
      </c>
      <c r="N386" t="n">
        <v>1</v>
      </c>
    </row>
    <row r="387">
      <c r="A387" t="inlineStr">
        <is>
          <t>Barley</t>
        </is>
      </c>
      <c r="B387" t="inlineStr">
        <is>
          <t>he takes a quarter every 8 weeks and in between times at harvest-time he sits at table.</t>
        </is>
      </c>
      <c r="C387" t="n">
        <v>0</v>
      </c>
      <c r="D387" t="n">
        <v>0</v>
      </c>
      <c r="E387" t="n">
        <v>0</v>
      </c>
      <c r="F387" t="n">
        <v>0</v>
      </c>
      <c r="H387" t="n">
        <v>0</v>
      </c>
      <c r="I387" t="n">
        <v>0</v>
      </c>
      <c r="J387" t="n">
        <v>0</v>
      </c>
      <c r="K387" t="n">
        <v>0</v>
      </c>
      <c r="L387" t="n">
        <v>0</v>
      </c>
      <c r="M387" t="n">
        <v>0</v>
      </c>
      <c r="N387" t="n">
        <v>0</v>
      </c>
    </row>
    <row r="388">
      <c r="A388" t="inlineStr">
        <is>
          <t>Barley</t>
        </is>
      </c>
      <c r="B388" t="inlineStr">
        <is>
          <t>Sold, 5 quarters 2.5 bushels Sold at the audit, 0.5 bushels It balances.</t>
        </is>
      </c>
      <c r="C388" t="n">
        <v>0</v>
      </c>
      <c r="D388" t="n">
        <v>0</v>
      </c>
      <c r="E388" t="n">
        <v>0</v>
      </c>
      <c r="F388" t="n">
        <v>0</v>
      </c>
      <c r="H388" t="n">
        <v>5</v>
      </c>
      <c r="I388" t="n">
        <v>0.5</v>
      </c>
      <c r="J388" t="n">
        <v>5.0625</v>
      </c>
      <c r="K388" t="n">
        <v>5.3125</v>
      </c>
      <c r="L388" t="n">
        <v>-0.25</v>
      </c>
      <c r="M388" t="n">
        <v>5</v>
      </c>
      <c r="N388" t="n">
        <v>2.5</v>
      </c>
      <c r="O388" t="n">
        <v>0</v>
      </c>
      <c r="P388" t="n">
        <v>0.5</v>
      </c>
    </row>
    <row r="389">
      <c r="A389" t="inlineStr">
        <is>
          <t>Oats</t>
        </is>
      </c>
      <c r="B389" t="inlineStr">
        <is>
          <t>(yield: two-fold plus 5 quarters .5 bushels)</t>
        </is>
      </c>
      <c r="C389" t="n">
        <v>0</v>
      </c>
      <c r="D389" t="n">
        <v>0</v>
      </c>
      <c r="E389" t="n">
        <v>0</v>
      </c>
      <c r="F389" t="n">
        <v>0</v>
      </c>
      <c r="H389" t="n">
        <v>5</v>
      </c>
      <c r="I389" t="n">
        <v>5</v>
      </c>
      <c r="J389" t="n">
        <v>5.625</v>
      </c>
      <c r="K389" t="n">
        <v>5</v>
      </c>
      <c r="L389" t="n">
        <v>0.625</v>
      </c>
      <c r="M389" t="n">
        <v>5</v>
      </c>
      <c r="N389" t="n">
        <v>0</v>
      </c>
      <c r="O389" t="n">
        <v>0</v>
      </c>
      <c r="P389" t="n">
        <v>5</v>
      </c>
    </row>
    <row r="390">
      <c r="A390" t="inlineStr">
        <is>
          <t>Oats</t>
        </is>
      </c>
      <c r="B390" t="inlineStr">
        <is>
          <t>The same render account for 180 quarters .5 bushels from the whole issue of oats by struck measure.</t>
        </is>
      </c>
      <c r="C390" t="n">
        <v>0</v>
      </c>
      <c r="D390" t="n">
        <v>0</v>
      </c>
      <c r="E390" t="n">
        <v>0</v>
      </c>
      <c r="F390" t="n">
        <v>0</v>
      </c>
      <c r="G390" t="inlineStr">
        <is>
          <t>oats</t>
        </is>
      </c>
      <c r="H390" t="n">
        <v>180</v>
      </c>
      <c r="I390" t="n">
        <v>5</v>
      </c>
      <c r="J390" t="n">
        <v>180.625</v>
      </c>
      <c r="K390" t="n">
        <v>180</v>
      </c>
      <c r="L390" t="n">
        <v>0.625</v>
      </c>
      <c r="M390" t="n">
        <v>180</v>
      </c>
      <c r="N390" t="n">
        <v>0</v>
      </c>
      <c r="O390" t="n">
        <v>0</v>
      </c>
      <c r="P390" t="n">
        <v>5</v>
      </c>
    </row>
    <row r="391">
      <c r="A391" t="inlineStr">
        <is>
          <t>Oats</t>
        </is>
      </c>
      <c r="B391" t="inlineStr">
        <is>
          <t>25 quarters by estimation in sheaves.</t>
        </is>
      </c>
      <c r="C391" t="n">
        <v>0</v>
      </c>
      <c r="D391" t="n">
        <v>0</v>
      </c>
      <c r="E391" t="n">
        <v>0</v>
      </c>
      <c r="F391" t="n">
        <v>0</v>
      </c>
      <c r="H391" t="n">
        <v>25</v>
      </c>
      <c r="I391" t="n">
        <v>0</v>
      </c>
      <c r="J391" t="n">
        <v>25</v>
      </c>
      <c r="K391" t="n">
        <v>25</v>
      </c>
      <c r="L391" t="n">
        <v>0</v>
      </c>
      <c r="M391" t="n">
        <v>25</v>
      </c>
      <c r="N391" t="n">
        <v>0</v>
      </c>
    </row>
    <row r="392">
      <c r="A392" t="inlineStr">
        <is>
          <t>Oats</t>
        </is>
      </c>
      <c r="B392" t="inlineStr">
        <is>
          <t>Total, 205 quarters .5 bushels</t>
        </is>
      </c>
      <c r="C392" t="n">
        <v>0</v>
      </c>
      <c r="D392" t="n">
        <v>0</v>
      </c>
      <c r="E392" t="n">
        <v>0</v>
      </c>
      <c r="F392" t="n">
        <v>0</v>
      </c>
      <c r="H392" t="n">
        <v>205</v>
      </c>
      <c r="I392" t="n">
        <v>5</v>
      </c>
      <c r="J392" t="n">
        <v>205.625</v>
      </c>
      <c r="K392" t="n">
        <v>205</v>
      </c>
      <c r="L392" t="n">
        <v>0.625</v>
      </c>
      <c r="M392" t="n">
        <v>205</v>
      </c>
      <c r="N392" t="n">
        <v>0</v>
      </c>
      <c r="O392" t="n">
        <v>0</v>
      </c>
      <c r="P392" t="n">
        <v>5</v>
      </c>
    </row>
    <row r="393">
      <c r="A393" t="inlineStr">
        <is>
          <t>Oats</t>
        </is>
      </c>
      <c r="B393" t="inlineStr">
        <is>
          <t>Sown over 405 acres as they lie at Langehegg', Hok', Crikelescrofte and at Legsted', 88.5 quarters bushels.</t>
        </is>
      </c>
      <c r="C393" t="n">
        <v>0</v>
      </c>
      <c r="D393" t="n">
        <v>0</v>
      </c>
      <c r="E393" t="n">
        <v>0</v>
      </c>
      <c r="F393" t="n">
        <v>0</v>
      </c>
      <c r="H393" t="n">
        <v>88.5</v>
      </c>
      <c r="I393" t="n">
        <v>0</v>
      </c>
      <c r="J393" t="n">
        <v>88.5</v>
      </c>
      <c r="K393" t="n">
        <v>88.5</v>
      </c>
      <c r="L393" t="n">
        <v>0</v>
      </c>
      <c r="M393" t="n">
        <v>88.5</v>
      </c>
      <c r="N393" t="n">
        <v>0</v>
      </c>
    </row>
    <row r="394">
      <c r="A394" t="inlineStr">
        <is>
          <t>Oats</t>
        </is>
      </c>
      <c r="B394" t="inlineStr">
        <is>
          <t>that is, 1 bushels 1 peck an acre, plus 1 peck in all.</t>
        </is>
      </c>
      <c r="C394" t="n">
        <v>0</v>
      </c>
      <c r="D394" t="n">
        <v>0</v>
      </c>
      <c r="E394" t="n">
        <v>0</v>
      </c>
      <c r="F394" t="n">
        <v>0</v>
      </c>
      <c r="H394" t="n">
        <v>0</v>
      </c>
      <c r="I394" t="n">
        <v>1</v>
      </c>
      <c r="J394" t="n">
        <v>0.125</v>
      </c>
      <c r="K394" t="n">
        <v>0.125</v>
      </c>
      <c r="L394" t="n">
        <v>0</v>
      </c>
      <c r="M394" t="n">
        <v>0</v>
      </c>
      <c r="N394" t="n">
        <v>1</v>
      </c>
    </row>
    <row r="395">
      <c r="A395" t="inlineStr">
        <is>
          <t>Oats</t>
        </is>
      </c>
      <c r="B395" t="inlineStr">
        <is>
          <t>.</t>
        </is>
      </c>
      <c r="C395" t="n">
        <v>0</v>
      </c>
      <c r="D395" t="n">
        <v>0</v>
      </c>
      <c r="E395" t="n">
        <v>0</v>
      </c>
      <c r="F395" t="n">
        <v>0</v>
      </c>
      <c r="H395" t="n">
        <v>0</v>
      </c>
      <c r="I395" t="n">
        <v>0</v>
      </c>
      <c r="J395" t="n">
        <v>0</v>
      </c>
      <c r="K395" t="n">
        <v>0</v>
      </c>
      <c r="L395" t="n">
        <v>0</v>
      </c>
      <c r="M395" t="n">
        <v>0</v>
      </c>
      <c r="N395" t="n">
        <v>0</v>
      </c>
    </row>
    <row r="396">
      <c r="A396" t="inlineStr">
        <is>
          <t>Oats</t>
        </is>
      </c>
      <c r="B396" t="inlineStr">
        <is>
          <t>fodder of 2 cart-horses for the year, 15.5 quarters.</t>
        </is>
      </c>
      <c r="C396" t="n">
        <v>0</v>
      </c>
      <c r="D396" t="n">
        <v>0</v>
      </c>
      <c r="E396" t="n">
        <v>0</v>
      </c>
      <c r="F396" t="n">
        <v>0</v>
      </c>
      <c r="H396" t="n">
        <v>15.5</v>
      </c>
      <c r="I396" t="n">
        <v>0</v>
      </c>
      <c r="J396" t="n">
        <v>15.5</v>
      </c>
      <c r="K396" t="n">
        <v>15.5</v>
      </c>
      <c r="L396" t="n">
        <v>0</v>
      </c>
      <c r="M396" t="n">
        <v>15.5</v>
      </c>
      <c r="N396" t="n">
        <v>0</v>
      </c>
    </row>
    <row r="397">
      <c r="A397" t="inlineStr">
        <is>
          <t>Oats</t>
        </is>
      </c>
      <c r="B397" t="inlineStr">
        <is>
          <t>.</t>
        </is>
      </c>
      <c r="C397" t="n">
        <v>0</v>
      </c>
      <c r="D397" t="n">
        <v>0</v>
      </c>
      <c r="E397" t="n">
        <v>0</v>
      </c>
      <c r="F397" t="n">
        <v>0</v>
      </c>
      <c r="H397" t="n">
        <v>0</v>
      </c>
      <c r="I397" t="n">
        <v>0</v>
      </c>
      <c r="J397" t="n">
        <v>0</v>
      </c>
      <c r="K397" t="n">
        <v>0</v>
      </c>
      <c r="L397" t="n">
        <v>0</v>
      </c>
      <c r="M397" t="n">
        <v>0</v>
      </c>
      <c r="N397" t="n">
        <v>0</v>
      </c>
    </row>
    <row r="398">
      <c r="A398" t="inlineStr">
        <is>
          <t>Oats</t>
        </is>
      </c>
      <c r="B398" t="inlineStr">
        <is>
          <t>fodder of the plough-horses at sowing time, 5.5 quarters.</t>
        </is>
      </c>
      <c r="C398" t="n">
        <v>0</v>
      </c>
      <c r="D398" t="n">
        <v>0</v>
      </c>
      <c r="E398" t="n">
        <v>0</v>
      </c>
      <c r="F398" t="n">
        <v>0</v>
      </c>
      <c r="H398" t="n">
        <v>5.5</v>
      </c>
      <c r="I398" t="n">
        <v>0</v>
      </c>
      <c r="J398" t="n">
        <v>5.5</v>
      </c>
      <c r="K398" t="n">
        <v>5.5</v>
      </c>
      <c r="L398" t="n">
        <v>0</v>
      </c>
      <c r="M398" t="n">
        <v>5.5</v>
      </c>
      <c r="N398" t="n">
        <v>0</v>
      </c>
    </row>
    <row r="399">
      <c r="A399" t="inlineStr">
        <is>
          <t>Oats</t>
        </is>
      </c>
      <c r="B399" t="inlineStr">
        <is>
          <t>.</t>
        </is>
      </c>
      <c r="C399" t="n">
        <v>0</v>
      </c>
      <c r="D399" t="n">
        <v>0</v>
      </c>
      <c r="E399" t="n">
        <v>0</v>
      </c>
      <c r="F399" t="n">
        <v>0</v>
      </c>
      <c r="H399" t="n">
        <v>0</v>
      </c>
      <c r="I399" t="n">
        <v>0</v>
      </c>
      <c r="J399" t="n">
        <v>0</v>
      </c>
      <c r="K399" t="n">
        <v>0</v>
      </c>
      <c r="L399" t="n">
        <v>0</v>
      </c>
      <c r="M399" t="n">
        <v>0</v>
      </c>
      <c r="N399" t="n">
        <v>0</v>
      </c>
    </row>
    <row r="400">
      <c r="A400" t="inlineStr">
        <is>
          <t>Oats</t>
        </is>
      </c>
      <c r="B400" t="inlineStr">
        <is>
          <t>fodder of the steward's horses for his visits by 2 tallies, 2 quarters 2 bushels.</t>
        </is>
      </c>
      <c r="C400" t="n">
        <v>0</v>
      </c>
      <c r="D400" t="n">
        <v>0</v>
      </c>
      <c r="E400" t="n">
        <v>0</v>
      </c>
      <c r="F400" t="n">
        <v>0</v>
      </c>
      <c r="H400" t="n">
        <v>2</v>
      </c>
      <c r="I400" t="n">
        <v>2</v>
      </c>
      <c r="J400" t="n">
        <v>2.25</v>
      </c>
      <c r="K400" t="n">
        <v>2.25</v>
      </c>
      <c r="L400" t="n">
        <v>0</v>
      </c>
      <c r="M400" t="n">
        <v>2</v>
      </c>
      <c r="N400" t="n">
        <v>2</v>
      </c>
    </row>
    <row r="401">
      <c r="A401" t="inlineStr">
        <is>
          <t>Oats</t>
        </is>
      </c>
      <c r="B401" t="inlineStr">
        <is>
          <t>fodder of the horses of Roger, bailiff from Michaelmas until Christmas, 4 quarters.</t>
        </is>
      </c>
      <c r="C401" t="n">
        <v>0</v>
      </c>
      <c r="D401" t="n">
        <v>0</v>
      </c>
      <c r="E401" t="n">
        <v>0</v>
      </c>
      <c r="F401" t="n">
        <v>0</v>
      </c>
      <c r="H401" t="n">
        <v>4</v>
      </c>
      <c r="I401" t="n">
        <v>0</v>
      </c>
      <c r="J401" t="n">
        <v>4</v>
      </c>
      <c r="K401" t="n">
        <v>4</v>
      </c>
      <c r="L401" t="n">
        <v>0</v>
      </c>
      <c r="M401" t="n">
        <v>4</v>
      </c>
      <c r="N401" t="n">
        <v>0</v>
      </c>
    </row>
    <row r="402">
      <c r="A402" t="inlineStr">
        <is>
          <t>Oats</t>
        </is>
      </c>
      <c r="B402" t="inlineStr">
        <is>
          <t>.</t>
        </is>
      </c>
      <c r="C402" t="n">
        <v>0</v>
      </c>
      <c r="D402" t="n">
        <v>0</v>
      </c>
      <c r="E402" t="n">
        <v>0</v>
      </c>
      <c r="F402" t="n">
        <v>0</v>
      </c>
      <c r="H402" t="n">
        <v>0</v>
      </c>
      <c r="I402" t="n">
        <v>0</v>
      </c>
      <c r="J402" t="n">
        <v>0</v>
      </c>
      <c r="K402" t="n">
        <v>0</v>
      </c>
      <c r="L402" t="n">
        <v>0</v>
      </c>
      <c r="M402" t="n">
        <v>0</v>
      </c>
      <c r="N402" t="n">
        <v>0</v>
      </c>
    </row>
    <row r="403">
      <c r="A403" t="inlineStr">
        <is>
          <t>Oats</t>
        </is>
      </c>
      <c r="B403" t="inlineStr">
        <is>
          <t>fodder of the horses of Robert, bailiff and clerk, for his visits from Christmas until Michaelmas, 5 quarters 2.5 bushels.</t>
        </is>
      </c>
      <c r="C403" t="n">
        <v>0</v>
      </c>
      <c r="D403" t="n">
        <v>0</v>
      </c>
      <c r="E403" t="n">
        <v>0</v>
      </c>
      <c r="F403" t="n">
        <v>0</v>
      </c>
      <c r="H403" t="n">
        <v>5</v>
      </c>
      <c r="I403" t="n">
        <v>2.5</v>
      </c>
      <c r="J403" t="n">
        <v>5.3125</v>
      </c>
      <c r="K403" t="n">
        <v>5.3125</v>
      </c>
      <c r="L403" t="n">
        <v>0</v>
      </c>
      <c r="M403" t="n">
        <v>5</v>
      </c>
      <c r="N403" t="n">
        <v>2.5</v>
      </c>
    </row>
    <row r="404">
      <c r="A404" t="inlineStr">
        <is>
          <t>Oats</t>
        </is>
      </c>
      <c r="B404" t="inlineStr">
        <is>
          <t>supporting oxen by estimation in sheaves, 25 quarters.</t>
        </is>
      </c>
      <c r="C404" t="n">
        <v>0</v>
      </c>
      <c r="D404" t="n">
        <v>0</v>
      </c>
      <c r="E404" t="n">
        <v>0</v>
      </c>
      <c r="F404" t="n">
        <v>0</v>
      </c>
      <c r="H404" t="n">
        <v>25</v>
      </c>
      <c r="I404" t="n">
        <v>0</v>
      </c>
      <c r="J404" t="n">
        <v>25</v>
      </c>
      <c r="K404" t="n">
        <v>25</v>
      </c>
      <c r="L404" t="n">
        <v>0</v>
      </c>
      <c r="M404" t="n">
        <v>25</v>
      </c>
      <c r="N404" t="n">
        <v>0</v>
      </c>
    </row>
    <row r="405">
      <c r="A405" t="inlineStr">
        <is>
          <t>Oats</t>
        </is>
      </c>
      <c r="B405" t="inlineStr">
        <is>
          <t>Sold, 58.5 quarters 3 bushels It balances.</t>
        </is>
      </c>
      <c r="C405" t="n">
        <v>0</v>
      </c>
      <c r="D405" t="n">
        <v>0</v>
      </c>
      <c r="E405" t="n">
        <v>0</v>
      </c>
      <c r="F405" t="n">
        <v>0</v>
      </c>
      <c r="H405" t="n">
        <v>58.5</v>
      </c>
      <c r="I405" t="n">
        <v>3</v>
      </c>
      <c r="J405" t="n">
        <v>58.875</v>
      </c>
      <c r="K405" t="n">
        <v>58.875</v>
      </c>
      <c r="L405" t="n">
        <v>0</v>
      </c>
      <c r="M405" t="n">
        <v>58.5</v>
      </c>
      <c r="N405" t="n">
        <v>3</v>
      </c>
    </row>
    <row r="406">
      <c r="A406" t="inlineStr">
        <is>
          <t>Peas</t>
        </is>
      </c>
      <c r="B406" t="inlineStr">
        <is>
          <t>{yield: three-fold plus 2.5 bushels}</t>
        </is>
      </c>
      <c r="C406" t="n">
        <v>0</v>
      </c>
      <c r="D406" t="n">
        <v>0</v>
      </c>
      <c r="E406" t="n">
        <v>0</v>
      </c>
      <c r="F406" t="n">
        <v>0</v>
      </c>
      <c r="H406" t="n">
        <v>0</v>
      </c>
      <c r="I406" t="n">
        <v>2.5</v>
      </c>
      <c r="J406" t="n">
        <v>0.3125</v>
      </c>
      <c r="K406" t="n">
        <v>0.3125</v>
      </c>
      <c r="L406" t="n">
        <v>0</v>
      </c>
      <c r="M406" t="n">
        <v>0</v>
      </c>
      <c r="N406" t="n">
        <v>2.5</v>
      </c>
    </row>
    <row r="407">
      <c r="A407" t="inlineStr">
        <is>
          <t>Peas</t>
        </is>
      </c>
      <c r="B407" t="inlineStr">
        <is>
          <t>The same render account for 3 quarters 2.5 bushels from the whole issue of peas.</t>
        </is>
      </c>
      <c r="C407" t="n">
        <v>0</v>
      </c>
      <c r="D407" t="n">
        <v>0</v>
      </c>
      <c r="E407" t="n">
        <v>0</v>
      </c>
      <c r="F407" t="n">
        <v>0</v>
      </c>
      <c r="G407" t="inlineStr">
        <is>
          <t>peas</t>
        </is>
      </c>
      <c r="H407" t="n">
        <v>3</v>
      </c>
      <c r="I407" t="n">
        <v>2.5</v>
      </c>
      <c r="J407" t="n">
        <v>3.3125</v>
      </c>
      <c r="K407" t="n">
        <v>3.3125</v>
      </c>
      <c r="L407" t="n">
        <v>0</v>
      </c>
      <c r="M407" t="n">
        <v>3</v>
      </c>
      <c r="N407" t="n">
        <v>2.5</v>
      </c>
    </row>
    <row r="408">
      <c r="A408" t="inlineStr">
        <is>
          <t>Peas</t>
        </is>
      </c>
      <c r="B408" t="inlineStr">
        <is>
          <t>4 bushels bought.</t>
        </is>
      </c>
      <c r="C408" t="n">
        <v>0</v>
      </c>
      <c r="D408" t="n">
        <v>0</v>
      </c>
      <c r="E408" t="n">
        <v>0</v>
      </c>
      <c r="F408" t="n">
        <v>0</v>
      </c>
      <c r="H408" t="n">
        <v>0</v>
      </c>
      <c r="I408" t="n">
        <v>4</v>
      </c>
      <c r="J408" t="n">
        <v>0.5</v>
      </c>
      <c r="K408" t="n">
        <v>0.5</v>
      </c>
      <c r="L408" t="n">
        <v>0</v>
      </c>
      <c r="M408" t="n">
        <v>0</v>
      </c>
      <c r="N408" t="n">
        <v>4</v>
      </c>
    </row>
    <row r="409">
      <c r="A409" t="inlineStr">
        <is>
          <t>Peas</t>
        </is>
      </c>
      <c r="B409" t="inlineStr">
        <is>
          <t>Total, 3.5 quarters 2.5 bushels</t>
        </is>
      </c>
      <c r="C409" t="n">
        <v>0</v>
      </c>
      <c r="D409" t="n">
        <v>0</v>
      </c>
      <c r="E409" t="n">
        <v>0</v>
      </c>
      <c r="F409" t="n">
        <v>0</v>
      </c>
      <c r="H409" t="n">
        <v>3.5</v>
      </c>
      <c r="I409" t="n">
        <v>2.5</v>
      </c>
      <c r="J409" t="n">
        <v>3.8125</v>
      </c>
      <c r="K409" t="n">
        <v>3.8125</v>
      </c>
      <c r="L409" t="n">
        <v>0</v>
      </c>
      <c r="M409" t="n">
        <v>3.5</v>
      </c>
      <c r="N409" t="n">
        <v>2.5</v>
      </c>
    </row>
    <row r="410">
      <c r="A410" t="inlineStr">
        <is>
          <t>Peas</t>
        </is>
      </c>
      <c r="B410" t="inlineStr">
        <is>
          <t>Sown over 20 acres as they lie in la Worth', 2 quarters 3.5 bushels.</t>
        </is>
      </c>
      <c r="C410" t="n">
        <v>0</v>
      </c>
      <c r="D410" t="n">
        <v>0</v>
      </c>
      <c r="E410" t="n">
        <v>0</v>
      </c>
      <c r="F410" t="n">
        <v>0</v>
      </c>
      <c r="H410" t="n">
        <v>2</v>
      </c>
      <c r="I410" t="n">
        <v>3.5</v>
      </c>
      <c r="J410" t="n">
        <v>2.4375</v>
      </c>
      <c r="K410" t="n">
        <v>2.4375</v>
      </c>
      <c r="L410" t="n">
        <v>0</v>
      </c>
      <c r="M410" t="n">
        <v>2</v>
      </c>
      <c r="N410" t="n">
        <v>3.5</v>
      </c>
    </row>
    <row r="411">
      <c r="A411" t="inlineStr">
        <is>
          <t>Peas</t>
        </is>
      </c>
      <c r="B411" t="inlineStr">
        <is>
          <t>that is, 1 bushels an acre, less 0.5 bushels in all.</t>
        </is>
      </c>
      <c r="C411" t="n">
        <v>0</v>
      </c>
      <c r="D411" t="n">
        <v>0</v>
      </c>
      <c r="E411" t="n">
        <v>0</v>
      </c>
      <c r="F411" t="n">
        <v>0</v>
      </c>
      <c r="H411" t="n">
        <v>0</v>
      </c>
      <c r="I411" t="n">
        <v>0.5</v>
      </c>
      <c r="J411" t="n">
        <v>0.0625</v>
      </c>
      <c r="K411" t="n">
        <v>0.125</v>
      </c>
      <c r="L411" t="n">
        <v>-0.0625</v>
      </c>
      <c r="M411" t="n">
        <v>0</v>
      </c>
      <c r="N411" t="n">
        <v>1</v>
      </c>
      <c r="O411" t="n">
        <v>0</v>
      </c>
      <c r="P411" t="n">
        <v>0.5</v>
      </c>
    </row>
    <row r="412">
      <c r="A412" t="inlineStr">
        <is>
          <t>Peas</t>
        </is>
      </c>
      <c r="B412" t="inlineStr">
        <is>
          <t>Mixed with barley for the liveries of the manorial servants, 1 quarters 1 bushels Sold, 2 bushels It balances.</t>
        </is>
      </c>
      <c r="C412" t="n">
        <v>0</v>
      </c>
      <c r="D412" t="n">
        <v>0</v>
      </c>
      <c r="E412" t="n">
        <v>0</v>
      </c>
      <c r="F412" t="n">
        <v>0</v>
      </c>
      <c r="G412" t="inlineStr">
        <is>
          <t>barley</t>
        </is>
      </c>
      <c r="H412" t="n">
        <v>1</v>
      </c>
      <c r="I412" t="n">
        <v>2</v>
      </c>
      <c r="J412" t="n">
        <v>1.25</v>
      </c>
      <c r="K412" t="n">
        <v>1.125</v>
      </c>
      <c r="L412" t="n">
        <v>0.125</v>
      </c>
      <c r="M412" t="n">
        <v>1</v>
      </c>
      <c r="N412" t="n">
        <v>1</v>
      </c>
      <c r="O412" t="n">
        <v>0</v>
      </c>
      <c r="P412" t="n">
        <v>2</v>
      </c>
    </row>
    <row r="413">
      <c r="A413" t="inlineStr">
        <is>
          <t>Vetches</t>
        </is>
      </c>
      <c r="B413" t="inlineStr">
        <is>
          <t>(yield: three-and-a-half-fold plus 1 bushels)</t>
        </is>
      </c>
      <c r="C413" t="n">
        <v>0</v>
      </c>
      <c r="D413" t="n">
        <v>0</v>
      </c>
      <c r="E413" t="n">
        <v>0</v>
      </c>
      <c r="F413" t="n">
        <v>0</v>
      </c>
      <c r="H413" t="n">
        <v>0</v>
      </c>
      <c r="I413" t="n">
        <v>1</v>
      </c>
      <c r="J413" t="n">
        <v>0.125</v>
      </c>
      <c r="K413" t="n">
        <v>0.125</v>
      </c>
      <c r="L413" t="n">
        <v>0</v>
      </c>
      <c r="M413" t="n">
        <v>0</v>
      </c>
      <c r="N413" t="n">
        <v>1</v>
      </c>
    </row>
    <row r="414">
      <c r="A414" t="inlineStr">
        <is>
          <t>Vetches</t>
        </is>
      </c>
      <c r="B414" t="inlineStr">
        <is>
          <t>The same render account for 8 quarters from the whole issue of vetches by struck measure.</t>
        </is>
      </c>
      <c r="C414" t="n">
        <v>0</v>
      </c>
      <c r="D414" t="n">
        <v>0</v>
      </c>
      <c r="E414" t="n">
        <v>0</v>
      </c>
      <c r="F414" t="n">
        <v>0</v>
      </c>
      <c r="G414" t="inlineStr">
        <is>
          <t>vetches</t>
        </is>
      </c>
      <c r="H414" t="n">
        <v>8</v>
      </c>
      <c r="I414" t="n">
        <v>0</v>
      </c>
      <c r="J414" t="n">
        <v>8</v>
      </c>
      <c r="K414" t="n">
        <v>8</v>
      </c>
      <c r="L414" t="n">
        <v>0</v>
      </c>
      <c r="M414" t="n">
        <v>8</v>
      </c>
      <c r="N414" t="n">
        <v>0</v>
      </c>
    </row>
    <row r="415">
      <c r="A415" t="inlineStr">
        <is>
          <t>Vetches</t>
        </is>
      </c>
      <c r="B415" t="inlineStr">
        <is>
          <t>3 quarters 2 bushels bought.</t>
        </is>
      </c>
      <c r="C415" t="n">
        <v>0</v>
      </c>
      <c r="D415" t="n">
        <v>0</v>
      </c>
      <c r="E415" t="n">
        <v>0</v>
      </c>
      <c r="F415" t="n">
        <v>0</v>
      </c>
      <c r="H415" t="n">
        <v>3</v>
      </c>
      <c r="I415" t="n">
        <v>2</v>
      </c>
      <c r="J415" t="n">
        <v>3.25</v>
      </c>
      <c r="K415" t="n">
        <v>3.25</v>
      </c>
      <c r="L415" t="n">
        <v>0</v>
      </c>
      <c r="M415" t="n">
        <v>3</v>
      </c>
      <c r="N415" t="n">
        <v>2</v>
      </c>
    </row>
    <row r="416">
      <c r="A416" t="inlineStr">
        <is>
          <t>Vetches</t>
        </is>
      </c>
      <c r="B416" t="inlineStr">
        <is>
          <t>Total, 11 quarters 2 bushels</t>
        </is>
      </c>
      <c r="C416" t="n">
        <v>0</v>
      </c>
      <c r="D416" t="n">
        <v>0</v>
      </c>
      <c r="E416" t="n">
        <v>0</v>
      </c>
      <c r="F416" t="n">
        <v>0</v>
      </c>
      <c r="H416" t="n">
        <v>11</v>
      </c>
      <c r="I416" t="n">
        <v>2</v>
      </c>
      <c r="J416" t="n">
        <v>11.25</v>
      </c>
      <c r="K416" t="n">
        <v>11.25</v>
      </c>
      <c r="L416" t="n">
        <v>0</v>
      </c>
      <c r="M416" t="n">
        <v>11</v>
      </c>
      <c r="N416" t="n">
        <v>2</v>
      </c>
    </row>
    <row r="417">
      <c r="A417" t="inlineStr">
        <is>
          <t>Vetches</t>
        </is>
      </c>
      <c r="B417" t="inlineStr">
        <is>
          <t>Sown over 59 acres as they lie in la Worth' and beside Trtboddestret', 5.5 quarters.</t>
        </is>
      </c>
      <c r="C417" t="n">
        <v>0</v>
      </c>
      <c r="D417" t="n">
        <v>0</v>
      </c>
      <c r="E417" t="n">
        <v>0</v>
      </c>
      <c r="F417" t="n">
        <v>0</v>
      </c>
      <c r="H417" t="n">
        <v>5.5</v>
      </c>
      <c r="I417" t="n">
        <v>0</v>
      </c>
      <c r="J417" t="n">
        <v>5.5</v>
      </c>
      <c r="K417" t="n">
        <v>5.5</v>
      </c>
      <c r="L417" t="n">
        <v>0</v>
      </c>
      <c r="M417" t="n">
        <v>5.5</v>
      </c>
      <c r="N417" t="n">
        <v>0</v>
      </c>
    </row>
    <row r="418">
      <c r="A418" t="inlineStr">
        <is>
          <t>Vetches</t>
        </is>
      </c>
      <c r="B418" t="inlineStr">
        <is>
          <t>that is, 1 bushels and 1 peck an acre, less I peck in all.</t>
        </is>
      </c>
      <c r="C418" t="n">
        <v>0</v>
      </c>
      <c r="D418" t="n">
        <v>0</v>
      </c>
      <c r="E418" t="n">
        <v>0</v>
      </c>
      <c r="F418" t="n">
        <v>0</v>
      </c>
      <c r="H418" t="n">
        <v>0</v>
      </c>
      <c r="I418" t="n">
        <v>1</v>
      </c>
      <c r="J418" t="n">
        <v>0.125</v>
      </c>
      <c r="K418" t="n">
        <v>0.125</v>
      </c>
      <c r="L418" t="n">
        <v>0</v>
      </c>
      <c r="M418" t="n">
        <v>0</v>
      </c>
      <c r="N418" t="n">
        <v>1</v>
      </c>
    </row>
    <row r="419">
      <c r="A419" t="inlineStr">
        <is>
          <t>Vetches</t>
        </is>
      </c>
      <c r="B419" t="inlineStr">
        <is>
          <t>Mixed above with barley, 2 quarters 1 bushels.</t>
        </is>
      </c>
      <c r="C419" t="n">
        <v>0</v>
      </c>
      <c r="D419" t="n">
        <v>0</v>
      </c>
      <c r="E419" t="n">
        <v>0</v>
      </c>
      <c r="F419" t="n">
        <v>0</v>
      </c>
      <c r="G419" t="inlineStr">
        <is>
          <t>barley</t>
        </is>
      </c>
      <c r="H419" t="n">
        <v>2</v>
      </c>
      <c r="I419" t="n">
        <v>1</v>
      </c>
      <c r="J419" t="n">
        <v>2.125</v>
      </c>
      <c r="K419" t="n">
        <v>2.125</v>
      </c>
      <c r="L419" t="n">
        <v>0</v>
      </c>
      <c r="M419" t="n">
        <v>2</v>
      </c>
      <c r="N419" t="n">
        <v>1</v>
      </c>
    </row>
    <row r="420">
      <c r="A420" t="inlineStr">
        <is>
          <t>Vetches</t>
        </is>
      </c>
      <c r="B420" t="inlineStr">
        <is>
          <t>supporting  pigs, 1.5 quarters.</t>
        </is>
      </c>
      <c r="C420" t="n">
        <v>0</v>
      </c>
      <c r="D420" t="n">
        <v>0</v>
      </c>
      <c r="E420" t="n">
        <v>0</v>
      </c>
      <c r="F420" t="n">
        <v>0</v>
      </c>
      <c r="H420" t="n">
        <v>1.5</v>
      </c>
      <c r="I420" t="n">
        <v>0</v>
      </c>
      <c r="J420" t="n">
        <v>1.5</v>
      </c>
      <c r="K420" t="n">
        <v>1.5</v>
      </c>
      <c r="L420" t="n">
        <v>0</v>
      </c>
      <c r="M420" t="n">
        <v>1.5</v>
      </c>
      <c r="N420" t="n">
        <v>0</v>
      </c>
    </row>
    <row r="421">
      <c r="A421" t="inlineStr">
        <is>
          <t>Vetches</t>
        </is>
      </c>
      <c r="B421" t="inlineStr">
        <is>
          <t>Sold, 2 quarters 1 bushels It balances.</t>
        </is>
      </c>
      <c r="C421" t="n">
        <v>0</v>
      </c>
      <c r="D421" t="n">
        <v>0</v>
      </c>
      <c r="E421" t="n">
        <v>0</v>
      </c>
      <c r="F421" t="n">
        <v>0</v>
      </c>
      <c r="H421" t="n">
        <v>2</v>
      </c>
      <c r="I421" t="n">
        <v>1</v>
      </c>
      <c r="J421" t="n">
        <v>2.125</v>
      </c>
      <c r="K421" t="n">
        <v>2.125</v>
      </c>
      <c r="L421" t="n">
        <v>0</v>
      </c>
      <c r="M421" t="n">
        <v>2</v>
      </c>
      <c r="N421" t="n">
        <v>1</v>
      </c>
    </row>
    <row r="422">
      <c r="A422" t="inlineStr">
        <is>
          <t>Issues of the mills</t>
        </is>
      </c>
      <c r="B422" t="inlineStr">
        <is>
          <t>Wheat: 1 quarters 3 bushels from the whole issue of the east mill.</t>
        </is>
      </c>
      <c r="C422" t="n">
        <v>0</v>
      </c>
      <c r="D422" t="n">
        <v>0</v>
      </c>
      <c r="E422" t="n">
        <v>0</v>
      </c>
      <c r="F422" t="n">
        <v>0</v>
      </c>
      <c r="G422" t="inlineStr">
        <is>
          <t>wheat</t>
        </is>
      </c>
      <c r="H422" t="n">
        <v>1</v>
      </c>
      <c r="I422" t="n">
        <v>3</v>
      </c>
      <c r="J422" t="n">
        <v>1.375</v>
      </c>
      <c r="K422" t="n">
        <v>1.375</v>
      </c>
      <c r="L422" t="n">
        <v>0</v>
      </c>
      <c r="M422" t="n">
        <v>1</v>
      </c>
      <c r="N422" t="n">
        <v>3</v>
      </c>
    </row>
    <row r="423">
      <c r="A423" t="inlineStr">
        <is>
          <t>Issues of the mills</t>
        </is>
      </c>
      <c r="B423" t="inlineStr">
        <is>
          <t>all solpence</t>
        </is>
      </c>
      <c r="C423" t="n">
        <v>0</v>
      </c>
      <c r="D423" t="n">
        <v>0</v>
      </c>
      <c r="E423" t="n">
        <v>0</v>
      </c>
      <c r="F423" t="n">
        <v>0</v>
      </c>
      <c r="H423" t="n">
        <v>0</v>
      </c>
      <c r="I423" t="n">
        <v>0</v>
      </c>
      <c r="J423" t="n">
        <v>0</v>
      </c>
      <c r="K423" t="n">
        <v>0</v>
      </c>
      <c r="L423" t="n">
        <v>0</v>
      </c>
      <c r="M423" t="n">
        <v>0</v>
      </c>
      <c r="N423" t="n">
        <v>0</v>
      </c>
    </row>
    <row r="424">
      <c r="A424" t="inlineStr">
        <is>
          <t>Issues of the mills</t>
        </is>
      </c>
      <c r="B424" t="inlineStr">
        <is>
          <t>Maslin: 18 quarters 1 bushels from the whole issue of the same mill.</t>
        </is>
      </c>
      <c r="C424" t="n">
        <v>0</v>
      </c>
      <c r="D424" t="n">
        <v>0</v>
      </c>
      <c r="E424" t="n">
        <v>0</v>
      </c>
      <c r="F424" t="n">
        <v>0</v>
      </c>
      <c r="G424" t="inlineStr">
        <is>
          <t>maslin</t>
        </is>
      </c>
      <c r="H424" t="n">
        <v>18</v>
      </c>
      <c r="I424" t="n">
        <v>1</v>
      </c>
      <c r="J424" t="n">
        <v>18.125</v>
      </c>
      <c r="K424" t="n">
        <v>18.125</v>
      </c>
      <c r="L424" t="n">
        <v>0</v>
      </c>
      <c r="M424" t="n">
        <v>18</v>
      </c>
      <c r="N424" t="n">
        <v>1</v>
      </c>
    </row>
    <row r="425">
      <c r="A425" t="inlineStr">
        <is>
          <t>Issues of the mills</t>
        </is>
      </c>
      <c r="B425" t="inlineStr">
        <is>
          <t>all solpence</t>
        </is>
      </c>
      <c r="C425" t="n">
        <v>0</v>
      </c>
      <c r="D425" t="n">
        <v>0</v>
      </c>
      <c r="E425" t="n">
        <v>0</v>
      </c>
      <c r="F425" t="n">
        <v>0</v>
      </c>
      <c r="H425" t="n">
        <v>0</v>
      </c>
      <c r="I425" t="n">
        <v>0</v>
      </c>
      <c r="J425" t="n">
        <v>0</v>
      </c>
      <c r="K425" t="n">
        <v>0</v>
      </c>
      <c r="L425" t="n">
        <v>0</v>
      </c>
      <c r="M425" t="n">
        <v>0</v>
      </c>
      <c r="N425" t="n">
        <v>0</v>
      </c>
    </row>
    <row r="426">
      <c r="A426" t="inlineStr">
        <is>
          <t>Issues of the mills</t>
        </is>
      </c>
      <c r="B426" t="inlineStr">
        <is>
          <t>Mill outside the gate</t>
        </is>
      </c>
      <c r="C426" t="n">
        <v>0</v>
      </c>
      <c r="D426" t="n">
        <v>0</v>
      </c>
      <c r="E426" t="n">
        <v>0</v>
      </c>
      <c r="F426" t="n">
        <v>0</v>
      </c>
      <c r="H426" t="n">
        <v>0</v>
      </c>
      <c r="I426" t="n">
        <v>0</v>
      </c>
      <c r="J426" t="n">
        <v>0</v>
      </c>
      <c r="K426" t="n">
        <v>0</v>
      </c>
      <c r="L426" t="n">
        <v>0</v>
      </c>
      <c r="M426" t="n">
        <v>0</v>
      </c>
      <c r="N426" t="n">
        <v>0</v>
      </c>
    </row>
    <row r="427">
      <c r="A427" t="inlineStr">
        <is>
          <t>Issues of the mills</t>
        </is>
      </c>
      <c r="B427" t="inlineStr">
        <is>
          <t>Wheat: 1 quarters 1 bushels from the whole issue of the mill.</t>
        </is>
      </c>
      <c r="C427" t="n">
        <v>0</v>
      </c>
      <c r="D427" t="n">
        <v>0</v>
      </c>
      <c r="E427" t="n">
        <v>0</v>
      </c>
      <c r="F427" t="n">
        <v>0</v>
      </c>
      <c r="G427" t="inlineStr">
        <is>
          <t>wheat</t>
        </is>
      </c>
      <c r="H427" t="n">
        <v>1</v>
      </c>
      <c r="I427" t="n">
        <v>1</v>
      </c>
      <c r="J427" t="n">
        <v>1.125</v>
      </c>
      <c r="K427" t="n">
        <v>1.125</v>
      </c>
      <c r="L427" t="n">
        <v>0</v>
      </c>
      <c r="M427" t="n">
        <v>1</v>
      </c>
      <c r="N427" t="n">
        <v>1</v>
      </c>
    </row>
    <row r="428">
      <c r="A428" t="inlineStr">
        <is>
          <t>Issues of the mills</t>
        </is>
      </c>
      <c r="B428" t="inlineStr">
        <is>
          <t>all solpence</t>
        </is>
      </c>
      <c r="C428" t="n">
        <v>0</v>
      </c>
      <c r="D428" t="n">
        <v>0</v>
      </c>
      <c r="E428" t="n">
        <v>0</v>
      </c>
      <c r="F428" t="n">
        <v>0</v>
      </c>
      <c r="H428" t="n">
        <v>0</v>
      </c>
      <c r="I428" t="n">
        <v>0</v>
      </c>
      <c r="J428" t="n">
        <v>0</v>
      </c>
      <c r="K428" t="n">
        <v>0</v>
      </c>
      <c r="L428" t="n">
        <v>0</v>
      </c>
      <c r="M428" t="n">
        <v>0</v>
      </c>
      <c r="N428" t="n">
        <v>0</v>
      </c>
    </row>
    <row r="429">
      <c r="A429" t="inlineStr">
        <is>
          <t>Issues of the mills</t>
        </is>
      </c>
      <c r="B429" t="inlineStr">
        <is>
          <t>Maslin: 2.5 quarters 1 bushels from the whole issue of the mill.</t>
        </is>
      </c>
      <c r="C429" t="n">
        <v>0</v>
      </c>
      <c r="D429" t="n">
        <v>0</v>
      </c>
      <c r="E429" t="n">
        <v>0</v>
      </c>
      <c r="F429" t="n">
        <v>0</v>
      </c>
      <c r="G429" t="inlineStr">
        <is>
          <t>maslin</t>
        </is>
      </c>
      <c r="H429" t="n">
        <v>2.5</v>
      </c>
      <c r="I429" t="n">
        <v>1</v>
      </c>
      <c r="J429" t="n">
        <v>2.625</v>
      </c>
      <c r="K429" t="n">
        <v>2.625</v>
      </c>
      <c r="L429" t="n">
        <v>0</v>
      </c>
      <c r="M429" t="n">
        <v>2.5</v>
      </c>
      <c r="N429" t="n">
        <v>1</v>
      </c>
    </row>
    <row r="430">
      <c r="A430" t="inlineStr">
        <is>
          <t>Issues of the mills</t>
        </is>
      </c>
      <c r="B430" t="inlineStr">
        <is>
          <t>all solpence</t>
        </is>
      </c>
      <c r="C430" t="n">
        <v>0</v>
      </c>
      <c r="D430" t="n">
        <v>0</v>
      </c>
      <c r="E430" t="n">
        <v>0</v>
      </c>
      <c r="F430" t="n">
        <v>0</v>
      </c>
      <c r="H430" t="n">
        <v>0</v>
      </c>
      <c r="I430" t="n">
        <v>0</v>
      </c>
      <c r="J430" t="n">
        <v>0</v>
      </c>
      <c r="K430" t="n">
        <v>0</v>
      </c>
      <c r="L430" t="n">
        <v>0</v>
      </c>
      <c r="M430" t="n">
        <v>0</v>
      </c>
      <c r="N430" t="n">
        <v>0</v>
      </c>
    </row>
    <row r="431">
      <c r="A431" t="inlineStr">
        <is>
          <t>Issues of the mills</t>
        </is>
      </c>
      <c r="B431" t="inlineStr">
        <is>
          <t>Coarse-ground corn: 5.5 quarters 1.5 bushels from the issue of the mill.</t>
        </is>
      </c>
      <c r="C431" t="n">
        <v>0</v>
      </c>
      <c r="D431" t="n">
        <v>0</v>
      </c>
      <c r="E431" t="n">
        <v>0</v>
      </c>
      <c r="F431" t="n">
        <v>0</v>
      </c>
      <c r="H431" t="n">
        <v>5.5</v>
      </c>
      <c r="I431" t="n">
        <v>1.5</v>
      </c>
      <c r="J431" t="n">
        <v>5.6875</v>
      </c>
      <c r="K431" t="n">
        <v>5.6875</v>
      </c>
      <c r="L431" t="n">
        <v>0</v>
      </c>
      <c r="M431" t="n">
        <v>5.5</v>
      </c>
      <c r="N431" t="n">
        <v>1.5</v>
      </c>
    </row>
    <row r="432">
      <c r="A432" t="inlineStr">
        <is>
          <t>Issues of the mills</t>
        </is>
      </c>
      <c r="B432" t="inlineStr">
        <is>
          <t>all solpence</t>
        </is>
      </c>
      <c r="C432" t="n">
        <v>0</v>
      </c>
      <c r="D432" t="n">
        <v>0</v>
      </c>
      <c r="E432" t="n">
        <v>0</v>
      </c>
      <c r="F432" t="n">
        <v>0</v>
      </c>
      <c r="H432" t="n">
        <v>0</v>
      </c>
      <c r="I432" t="n">
        <v>0</v>
      </c>
      <c r="J432" t="n">
        <v>0</v>
      </c>
      <c r="K432" t="n">
        <v>0</v>
      </c>
      <c r="L432" t="n">
        <v>0</v>
      </c>
      <c r="M432" t="n">
        <v>0</v>
      </c>
      <c r="N432" t="n">
        <v>0</v>
      </c>
    </row>
    <row r="433">
      <c r="A433" t="inlineStr">
        <is>
          <t>Issues of the mills</t>
        </is>
      </c>
      <c r="B433" t="inlineStr">
        <is>
          <t>Malt: 13.5 quarters from the issue of the mill.</t>
        </is>
      </c>
      <c r="C433" t="n">
        <v>0</v>
      </c>
      <c r="D433" t="n">
        <v>0</v>
      </c>
      <c r="E433" t="n">
        <v>0</v>
      </c>
      <c r="F433" t="n">
        <v>0</v>
      </c>
      <c r="H433" t="n">
        <v>13.5</v>
      </c>
      <c r="I433" t="n">
        <v>0</v>
      </c>
      <c r="J433" t="n">
        <v>13.5</v>
      </c>
      <c r="K433" t="n">
        <v>13.5</v>
      </c>
      <c r="L433" t="n">
        <v>0</v>
      </c>
      <c r="M433" t="n">
        <v>13.5</v>
      </c>
      <c r="N433" t="n">
        <v>0</v>
      </c>
    </row>
    <row r="434">
      <c r="A434" t="inlineStr">
        <is>
          <t>Issues of the mills</t>
        </is>
      </c>
      <c r="B434" t="inlineStr">
        <is>
          <t>all solpence</t>
        </is>
      </c>
      <c r="C434" t="n">
        <v>0</v>
      </c>
      <c r="D434" t="n">
        <v>0</v>
      </c>
      <c r="E434" t="n">
        <v>0</v>
      </c>
      <c r="F434" t="n">
        <v>0</v>
      </c>
      <c r="H434" t="n">
        <v>0</v>
      </c>
      <c r="I434" t="n">
        <v>0</v>
      </c>
      <c r="J434" t="n">
        <v>0</v>
      </c>
      <c r="K434" t="n">
        <v>0</v>
      </c>
      <c r="L434" t="n">
        <v>0</v>
      </c>
      <c r="M434" t="n">
        <v>0</v>
      </c>
      <c r="N434" t="n">
        <v>0</v>
      </c>
    </row>
    <row r="435">
      <c r="A435" t="inlineStr">
        <is>
          <t>Issues of the mills</t>
        </is>
      </c>
      <c r="B435" t="inlineStr">
        <is>
          <t>Oatmeal:' 1 quarters of oatmeal (gruel!) from the issue of the mill.</t>
        </is>
      </c>
      <c r="C435" t="n">
        <v>0</v>
      </c>
      <c r="D435" t="n">
        <v>0</v>
      </c>
      <c r="E435" t="n">
        <v>0</v>
      </c>
      <c r="F435" t="n">
        <v>0</v>
      </c>
      <c r="G435" t="inlineStr">
        <is>
          <t>oatmeal</t>
        </is>
      </c>
      <c r="H435" t="n">
        <v>1</v>
      </c>
      <c r="I435" t="n">
        <v>0</v>
      </c>
      <c r="J435" t="n">
        <v>1</v>
      </c>
      <c r="K435" t="n">
        <v>1</v>
      </c>
      <c r="L435" t="n">
        <v>0</v>
      </c>
      <c r="M435" t="n">
        <v>1</v>
      </c>
      <c r="N435" t="n">
        <v>0</v>
      </c>
    </row>
    <row r="436">
      <c r="A436" t="inlineStr">
        <is>
          <t>Issues of the mills</t>
        </is>
      </c>
      <c r="B436" t="inlineStr">
        <is>
          <t>all solpence</t>
        </is>
      </c>
      <c r="C436" t="n">
        <v>0</v>
      </c>
      <c r="D436" t="n">
        <v>0</v>
      </c>
      <c r="E436" t="n">
        <v>0</v>
      </c>
      <c r="F436" t="n">
        <v>0</v>
      </c>
      <c r="H436" t="n">
        <v>0</v>
      </c>
      <c r="I436" t="n">
        <v>0</v>
      </c>
      <c r="J436" t="n">
        <v>0</v>
      </c>
      <c r="K436" t="n">
        <v>0</v>
      </c>
      <c r="L436" t="n">
        <v>0</v>
      </c>
      <c r="M436" t="n">
        <v>0</v>
      </c>
      <c r="N436" t="n">
        <v>0</v>
      </c>
    </row>
    <row r="437">
      <c r="A437" t="inlineStr">
        <is>
          <t>Stock</t>
        </is>
      </c>
      <c r="B437" t="inlineStr">
        <is>
          <t>Cart-horses: 2 remain from the previous year.</t>
        </is>
      </c>
      <c r="C437" t="n">
        <v>0</v>
      </c>
      <c r="D437" t="n">
        <v>0</v>
      </c>
      <c r="E437" t="n">
        <v>0</v>
      </c>
      <c r="F437" t="n">
        <v>0</v>
      </c>
      <c r="H437" t="n">
        <v>0</v>
      </c>
      <c r="I437" t="n">
        <v>0</v>
      </c>
      <c r="J437" t="n">
        <v>0</v>
      </c>
      <c r="K437" t="n">
        <v>0</v>
      </c>
      <c r="L437" t="n">
        <v>0</v>
      </c>
      <c r="M437" t="n">
        <v>0</v>
      </c>
      <c r="N437" t="n">
        <v>0</v>
      </c>
    </row>
    <row r="438">
      <c r="A438" t="inlineStr">
        <is>
          <t>Stock</t>
        </is>
      </c>
      <c r="B438" t="inlineStr">
        <is>
          <t>2 remain.</t>
        </is>
      </c>
      <c r="C438" t="n">
        <v>0</v>
      </c>
      <c r="D438" t="n">
        <v>0</v>
      </c>
      <c r="E438" t="n">
        <v>0</v>
      </c>
      <c r="F438" t="n">
        <v>0</v>
      </c>
      <c r="H438" t="n">
        <v>0</v>
      </c>
      <c r="I438" t="n">
        <v>0</v>
      </c>
      <c r="J438" t="n">
        <v>0</v>
      </c>
      <c r="K438" t="n">
        <v>0</v>
      </c>
      <c r="L438" t="n">
        <v>0</v>
      </c>
      <c r="M438" t="n">
        <v>0</v>
      </c>
      <c r="N438" t="n">
        <v>0</v>
      </c>
    </row>
    <row r="439">
      <c r="A439" t="inlineStr">
        <is>
          <t>Stock</t>
        </is>
      </c>
      <c r="B439" t="inlineStr">
        <is>
          <t>Plough-horses: 3 remain from the previous year.</t>
        </is>
      </c>
      <c r="C439" t="n">
        <v>0</v>
      </c>
      <c r="D439" t="n">
        <v>0</v>
      </c>
      <c r="E439" t="n">
        <v>0</v>
      </c>
      <c r="F439" t="n">
        <v>0</v>
      </c>
      <c r="H439" t="n">
        <v>0</v>
      </c>
      <c r="I439" t="n">
        <v>0</v>
      </c>
      <c r="J439" t="n">
        <v>0</v>
      </c>
      <c r="K439" t="n">
        <v>0</v>
      </c>
      <c r="L439" t="n">
        <v>0</v>
      </c>
      <c r="M439" t="n">
        <v>0</v>
      </c>
      <c r="N439" t="n">
        <v>0</v>
      </c>
    </row>
    <row r="440">
      <c r="A440" t="inlineStr">
        <is>
          <t>Stock</t>
        </is>
      </c>
      <c r="B440" t="inlineStr">
        <is>
          <t>1 from the heriot of John Thore.</t>
        </is>
      </c>
      <c r="C440" t="n">
        <v>0</v>
      </c>
      <c r="D440" t="n">
        <v>0</v>
      </c>
      <c r="E440" t="n">
        <v>0</v>
      </c>
      <c r="F440" t="n">
        <v>0</v>
      </c>
      <c r="H440" t="n">
        <v>0</v>
      </c>
      <c r="I440" t="n">
        <v>0</v>
      </c>
      <c r="J440" t="n">
        <v>0</v>
      </c>
      <c r="K440" t="n">
        <v>0</v>
      </c>
      <c r="L440" t="n">
        <v>0</v>
      </c>
      <c r="M440" t="n">
        <v>0</v>
      </c>
      <c r="N440" t="n">
        <v>0</v>
      </c>
    </row>
    <row r="441">
      <c r="A441" t="inlineStr">
        <is>
          <t>Stock</t>
        </is>
      </c>
      <c r="B441" t="inlineStr">
        <is>
          <t>1 from the heriot of Roginald de Porteslad'.</t>
        </is>
      </c>
      <c r="C441" t="n">
        <v>0</v>
      </c>
      <c r="D441" t="n">
        <v>0</v>
      </c>
      <c r="E441" t="n">
        <v>0</v>
      </c>
      <c r="F441" t="n">
        <v>0</v>
      </c>
      <c r="H441" t="n">
        <v>0</v>
      </c>
      <c r="I441" t="n">
        <v>0</v>
      </c>
      <c r="J441" t="n">
        <v>0</v>
      </c>
      <c r="K441" t="n">
        <v>0</v>
      </c>
      <c r="L441" t="n">
        <v>0</v>
      </c>
      <c r="M441" t="n">
        <v>0</v>
      </c>
      <c r="N441" t="n">
        <v>0</v>
      </c>
    </row>
    <row r="442">
      <c r="A442" t="inlineStr">
        <is>
          <t>Stock</t>
        </is>
      </c>
      <c r="B442" t="inlineStr">
        <is>
          <t>1 bought.</t>
        </is>
      </c>
      <c r="C442" t="n">
        <v>0</v>
      </c>
      <c r="D442" t="n">
        <v>0</v>
      </c>
      <c r="E442" t="n">
        <v>0</v>
      </c>
      <c r="F442" t="n">
        <v>0</v>
      </c>
      <c r="H442" t="n">
        <v>0</v>
      </c>
      <c r="I442" t="n">
        <v>0</v>
      </c>
      <c r="J442" t="n">
        <v>0</v>
      </c>
      <c r="K442" t="n">
        <v>0</v>
      </c>
      <c r="L442" t="n">
        <v>0</v>
      </c>
      <c r="M442" t="n">
        <v>0</v>
      </c>
      <c r="N442" t="n">
        <v>0</v>
      </c>
    </row>
    <row r="443">
      <c r="A443" t="inlineStr">
        <is>
          <t>Stock</t>
        </is>
      </c>
      <c r="B443" t="inlineStr">
        <is>
          <t>Total, 6. 2 sold.</t>
        </is>
      </c>
      <c r="C443" t="n">
        <v>0</v>
      </c>
      <c r="D443" t="n">
        <v>0</v>
      </c>
      <c r="E443" t="n">
        <v>0</v>
      </c>
      <c r="F443" t="n">
        <v>0</v>
      </c>
      <c r="H443" t="n">
        <v>0</v>
      </c>
      <c r="I443" t="n">
        <v>0</v>
      </c>
      <c r="J443" t="n">
        <v>0</v>
      </c>
      <c r="K443" t="n">
        <v>0</v>
      </c>
      <c r="L443" t="n">
        <v>0</v>
      </c>
      <c r="M443" t="n">
        <v>0</v>
      </c>
      <c r="N443" t="n">
        <v>0</v>
      </c>
    </row>
    <row r="444">
      <c r="A444" t="inlineStr">
        <is>
          <t>Stock</t>
        </is>
      </c>
      <c r="B444" t="inlineStr">
        <is>
          <t>4 remain.</t>
        </is>
      </c>
      <c r="C444" t="n">
        <v>0</v>
      </c>
      <c r="D444" t="n">
        <v>0</v>
      </c>
      <c r="E444" t="n">
        <v>0</v>
      </c>
      <c r="F444" t="n">
        <v>0</v>
      </c>
      <c r="H444" t="n">
        <v>0</v>
      </c>
      <c r="I444" t="n">
        <v>0</v>
      </c>
      <c r="J444" t="n">
        <v>0</v>
      </c>
      <c r="K444" t="n">
        <v>0</v>
      </c>
      <c r="L444" t="n">
        <v>0</v>
      </c>
      <c r="M444" t="n">
        <v>0</v>
      </c>
      <c r="N444" t="n">
        <v>0</v>
      </c>
    </row>
    <row r="445">
      <c r="A445" t="inlineStr">
        <is>
          <t>Stock</t>
        </is>
      </c>
      <c r="B445" t="inlineStr">
        <is>
          <t>Oxen: 48 remain from the previous year.</t>
        </is>
      </c>
      <c r="C445" t="n">
        <v>0</v>
      </c>
      <c r="D445" t="n">
        <v>0</v>
      </c>
      <c r="E445" t="n">
        <v>0</v>
      </c>
      <c r="F445" t="n">
        <v>0</v>
      </c>
      <c r="H445" t="n">
        <v>0</v>
      </c>
      <c r="I445" t="n">
        <v>0</v>
      </c>
      <c r="J445" t="n">
        <v>0</v>
      </c>
      <c r="K445" t="n">
        <v>0</v>
      </c>
      <c r="L445" t="n">
        <v>0</v>
      </c>
      <c r="M445" t="n">
        <v>0</v>
      </c>
      <c r="N445" t="n">
        <v>0</v>
      </c>
    </row>
    <row r="446">
      <c r="A446" t="inlineStr">
        <is>
          <t>Stock</t>
        </is>
      </c>
      <c r="B446" t="inlineStr">
        <is>
          <t>3 additions.</t>
        </is>
      </c>
      <c r="C446" t="n">
        <v>0</v>
      </c>
      <c r="D446" t="n">
        <v>0</v>
      </c>
      <c r="E446" t="n">
        <v>0</v>
      </c>
      <c r="F446" t="n">
        <v>0</v>
      </c>
      <c r="H446" t="n">
        <v>0</v>
      </c>
      <c r="I446" t="n">
        <v>0</v>
      </c>
      <c r="J446" t="n">
        <v>0</v>
      </c>
      <c r="K446" t="n">
        <v>0</v>
      </c>
      <c r="L446" t="n">
        <v>0</v>
      </c>
      <c r="M446" t="n">
        <v>0</v>
      </c>
      <c r="N446" t="n">
        <v>0</v>
      </c>
    </row>
    <row r="447">
      <c r="A447" t="inlineStr">
        <is>
          <t>Stock</t>
        </is>
      </c>
      <c r="B447" t="inlineStr">
        <is>
          <t>1 from the heriot of Henry Frth'.</t>
        </is>
      </c>
      <c r="C447" t="n">
        <v>0</v>
      </c>
      <c r="D447" t="n">
        <v>0</v>
      </c>
      <c r="E447" t="n">
        <v>0</v>
      </c>
      <c r="F447" t="n">
        <v>0</v>
      </c>
      <c r="H447" t="n">
        <v>0</v>
      </c>
      <c r="I447" t="n">
        <v>0</v>
      </c>
      <c r="J447" t="n">
        <v>0</v>
      </c>
      <c r="K447" t="n">
        <v>0</v>
      </c>
      <c r="L447" t="n">
        <v>0</v>
      </c>
      <c r="M447" t="n">
        <v>0</v>
      </c>
      <c r="N447" t="n">
        <v>0</v>
      </c>
    </row>
    <row r="448">
      <c r="A448" t="inlineStr">
        <is>
          <t>Stock</t>
        </is>
      </c>
      <c r="B448" t="inlineStr">
        <is>
          <t>1 from the heriot of Martin de Yully.</t>
        </is>
      </c>
      <c r="C448" t="n">
        <v>0</v>
      </c>
      <c r="D448" t="n">
        <v>0</v>
      </c>
      <c r="E448" t="n">
        <v>0</v>
      </c>
      <c r="F448" t="n">
        <v>0</v>
      </c>
      <c r="H448" t="n">
        <v>0</v>
      </c>
      <c r="I448" t="n">
        <v>0</v>
      </c>
      <c r="J448" t="n">
        <v>0</v>
      </c>
      <c r="K448" t="n">
        <v>0</v>
      </c>
      <c r="L448" t="n">
        <v>0</v>
      </c>
      <c r="M448" t="n">
        <v>0</v>
      </c>
      <c r="N448" t="n">
        <v>0</v>
      </c>
    </row>
    <row r="449">
      <c r="A449" t="inlineStr">
        <is>
          <t>Stock</t>
        </is>
      </c>
      <c r="B449" t="inlineStr">
        <is>
          <t>9 bought.</t>
        </is>
      </c>
      <c r="C449" t="n">
        <v>0</v>
      </c>
      <c r="D449" t="n">
        <v>0</v>
      </c>
      <c r="E449" t="n">
        <v>0</v>
      </c>
      <c r="F449" t="n">
        <v>0</v>
      </c>
      <c r="H449" t="n">
        <v>0</v>
      </c>
      <c r="I449" t="n">
        <v>0</v>
      </c>
      <c r="J449" t="n">
        <v>0</v>
      </c>
      <c r="K449" t="n">
        <v>0</v>
      </c>
      <c r="L449" t="n">
        <v>0</v>
      </c>
      <c r="M449" t="n">
        <v>0</v>
      </c>
      <c r="N449" t="n">
        <v>0</v>
      </c>
    </row>
    <row r="450">
      <c r="A450" t="inlineStr">
        <is>
          <t>Stock</t>
        </is>
      </c>
      <c r="B450" t="inlineStr">
        <is>
          <t>Total, 62. 2 in murrain.</t>
        </is>
      </c>
      <c r="C450" t="n">
        <v>0</v>
      </c>
      <c r="D450" t="n">
        <v>0</v>
      </c>
      <c r="E450" t="n">
        <v>0</v>
      </c>
      <c r="F450" t="n">
        <v>0</v>
      </c>
      <c r="H450" t="n">
        <v>0</v>
      </c>
      <c r="I450" t="n">
        <v>0</v>
      </c>
      <c r="J450" t="n">
        <v>0</v>
      </c>
      <c r="K450" t="n">
        <v>0</v>
      </c>
      <c r="L450" t="n">
        <v>0</v>
      </c>
      <c r="M450" t="n">
        <v>0</v>
      </c>
      <c r="N450" t="n">
        <v>0</v>
      </c>
    </row>
    <row r="451">
      <c r="A451" t="inlineStr">
        <is>
          <t>Stock</t>
        </is>
      </c>
      <c r="B451" t="inlineStr">
        <is>
          <t>6 solpence Total, 8. 54 remain.</t>
        </is>
      </c>
      <c r="C451" t="n">
        <v>0</v>
      </c>
      <c r="D451" t="n">
        <v>0</v>
      </c>
      <c r="E451" t="n">
        <v>0</v>
      </c>
      <c r="F451" t="n">
        <v>0</v>
      </c>
      <c r="H451" t="n">
        <v>0</v>
      </c>
      <c r="I451" t="n">
        <v>0</v>
      </c>
      <c r="J451" t="n">
        <v>0</v>
      </c>
      <c r="K451" t="n">
        <v>0</v>
      </c>
      <c r="L451" t="n">
        <v>0</v>
      </c>
      <c r="M451" t="n">
        <v>0</v>
      </c>
      <c r="N451" t="n">
        <v>0</v>
      </c>
    </row>
    <row r="452">
      <c r="A452" t="inlineStr">
        <is>
          <t>Stock</t>
        </is>
      </c>
      <c r="B452" t="inlineStr">
        <is>
          <t>Bulls: 1 remains from the previous year.</t>
        </is>
      </c>
      <c r="C452" t="n">
        <v>0</v>
      </c>
      <c r="D452" t="n">
        <v>0</v>
      </c>
      <c r="E452" t="n">
        <v>0</v>
      </c>
      <c r="F452" t="n">
        <v>0</v>
      </c>
      <c r="H452" t="n">
        <v>0</v>
      </c>
      <c r="I452" t="n">
        <v>0</v>
      </c>
      <c r="J452" t="n">
        <v>0</v>
      </c>
      <c r="K452" t="n">
        <v>0</v>
      </c>
      <c r="L452" t="n">
        <v>0</v>
      </c>
      <c r="M452" t="n">
        <v>0</v>
      </c>
      <c r="N452" t="n">
        <v>0</v>
      </c>
    </row>
    <row r="453">
      <c r="A453" t="inlineStr">
        <is>
          <t>Stock</t>
        </is>
      </c>
      <c r="B453" t="inlineStr">
        <is>
          <t>1 remains.</t>
        </is>
      </c>
      <c r="C453" t="n">
        <v>0</v>
      </c>
      <c r="D453" t="n">
        <v>0</v>
      </c>
      <c r="E453" t="n">
        <v>0</v>
      </c>
      <c r="F453" t="n">
        <v>0</v>
      </c>
      <c r="H453" t="n">
        <v>0</v>
      </c>
      <c r="I453" t="n">
        <v>0</v>
      </c>
      <c r="J453" t="n">
        <v>0</v>
      </c>
      <c r="K453" t="n">
        <v>0</v>
      </c>
      <c r="L453" t="n">
        <v>0</v>
      </c>
      <c r="M453" t="n">
        <v>0</v>
      </c>
      <c r="N453" t="n">
        <v>0</v>
      </c>
    </row>
    <row r="454">
      <c r="A454" t="inlineStr">
        <is>
          <t>Stock</t>
        </is>
      </c>
      <c r="B454" t="inlineStr">
        <is>
          <t>Cows: 27 remain from the previous year.</t>
        </is>
      </c>
      <c r="C454" t="n">
        <v>0</v>
      </c>
      <c r="D454" t="n">
        <v>0</v>
      </c>
      <c r="E454" t="n">
        <v>0</v>
      </c>
      <c r="F454" t="n">
        <v>0</v>
      </c>
      <c r="H454" t="n">
        <v>0</v>
      </c>
      <c r="I454" t="n">
        <v>0</v>
      </c>
      <c r="J454" t="n">
        <v>0</v>
      </c>
      <c r="K454" t="n">
        <v>0</v>
      </c>
      <c r="L454" t="n">
        <v>0</v>
      </c>
      <c r="M454" t="n">
        <v>0</v>
      </c>
      <c r="N454" t="n">
        <v>0</v>
      </c>
    </row>
    <row r="455">
      <c r="A455" t="inlineStr">
        <is>
          <t>Stock</t>
        </is>
      </c>
      <c r="B455" t="inlineStr">
        <is>
          <t>8 additions.</t>
        </is>
      </c>
      <c r="C455" t="n">
        <v>0</v>
      </c>
      <c r="D455" t="n">
        <v>0</v>
      </c>
      <c r="E455" t="n">
        <v>0</v>
      </c>
      <c r="F455" t="n">
        <v>0</v>
      </c>
      <c r="H455" t="n">
        <v>0</v>
      </c>
      <c r="I455" t="n">
        <v>0</v>
      </c>
      <c r="J455" t="n">
        <v>0</v>
      </c>
      <c r="K455" t="n">
        <v>0</v>
      </c>
      <c r="L455" t="n">
        <v>0</v>
      </c>
      <c r="M455" t="n">
        <v>0</v>
      </c>
      <c r="N455" t="n">
        <v>0</v>
      </c>
    </row>
    <row r="456">
      <c r="A456" t="inlineStr">
        <is>
          <t>Stock</t>
        </is>
      </c>
      <c r="B456" t="inlineStr">
        <is>
          <t>12 from the heriot of Agnes ate Frith' before calving.</t>
        </is>
      </c>
      <c r="C456" t="n">
        <v>0</v>
      </c>
      <c r="D456" t="n">
        <v>0</v>
      </c>
      <c r="E456" t="n">
        <v>0</v>
      </c>
      <c r="F456" t="n">
        <v>0</v>
      </c>
      <c r="H456" t="n">
        <v>0</v>
      </c>
      <c r="I456" t="n">
        <v>0</v>
      </c>
      <c r="J456" t="n">
        <v>0</v>
      </c>
      <c r="K456" t="n">
        <v>0</v>
      </c>
      <c r="L456" t="n">
        <v>0</v>
      </c>
      <c r="M456" t="n">
        <v>0</v>
      </c>
      <c r="N456" t="n">
        <v>0</v>
      </c>
    </row>
    <row r="457">
      <c r="A457" t="inlineStr">
        <is>
          <t>Stock</t>
        </is>
      </c>
      <c r="B457" t="inlineStr">
        <is>
          <t>1 from the heriot of Richard Moysent before calving.</t>
        </is>
      </c>
      <c r="C457" t="n">
        <v>0</v>
      </c>
      <c r="D457" t="n">
        <v>0</v>
      </c>
      <c r="E457" t="n">
        <v>0</v>
      </c>
      <c r="F457" t="n">
        <v>0</v>
      </c>
      <c r="H457" t="n">
        <v>0</v>
      </c>
      <c r="I457" t="n">
        <v>0</v>
      </c>
      <c r="J457" t="n">
        <v>0</v>
      </c>
      <c r="K457" t="n">
        <v>0</v>
      </c>
      <c r="L457" t="n">
        <v>0</v>
      </c>
      <c r="M457" t="n">
        <v>0</v>
      </c>
      <c r="N457" t="n">
        <v>0</v>
      </c>
    </row>
    <row r="458">
      <c r="A458" t="inlineStr">
        <is>
          <t>Stock</t>
        </is>
      </c>
      <c r="B458" t="inlineStr">
        <is>
          <t>1 from the heriot of Richard Boll' before calving.</t>
        </is>
      </c>
      <c r="C458" t="n">
        <v>0</v>
      </c>
      <c r="D458" t="n">
        <v>0</v>
      </c>
      <c r="E458" t="n">
        <v>0</v>
      </c>
      <c r="F458" t="n">
        <v>0</v>
      </c>
      <c r="H458" t="n">
        <v>0</v>
      </c>
      <c r="I458" t="n">
        <v>0</v>
      </c>
      <c r="J458" t="n">
        <v>0</v>
      </c>
      <c r="K458" t="n">
        <v>0</v>
      </c>
      <c r="L458" t="n">
        <v>0</v>
      </c>
      <c r="M458" t="n">
        <v>0</v>
      </c>
      <c r="N458" t="n">
        <v>0</v>
      </c>
    </row>
    <row r="459">
      <c r="A459" t="inlineStr">
        <is>
          <t>Stock</t>
        </is>
      </c>
      <c r="B459" t="inlineStr">
        <is>
          <t>1 from the heriot of Adam ate Hull' before calving.</t>
        </is>
      </c>
      <c r="C459" t="n">
        <v>0</v>
      </c>
      <c r="D459" t="n">
        <v>0</v>
      </c>
      <c r="E459" t="n">
        <v>0</v>
      </c>
      <c r="F459" t="n">
        <v>0</v>
      </c>
      <c r="H459" t="n">
        <v>0</v>
      </c>
      <c r="I459" t="n">
        <v>0</v>
      </c>
      <c r="J459" t="n">
        <v>0</v>
      </c>
      <c r="K459" t="n">
        <v>0</v>
      </c>
      <c r="L459" t="n">
        <v>0</v>
      </c>
      <c r="M459" t="n">
        <v>0</v>
      </c>
      <c r="N459" t="n">
        <v>0</v>
      </c>
    </row>
    <row r="460">
      <c r="A460" t="inlineStr">
        <is>
          <t>Stock</t>
        </is>
      </c>
      <c r="B460" t="inlineStr">
        <is>
          <t>8 bought after calving about the feast of St John the Baptist (24 June).</t>
        </is>
      </c>
      <c r="C460" t="n">
        <v>0</v>
      </c>
      <c r="D460" t="n">
        <v>0</v>
      </c>
      <c r="E460" t="n">
        <v>0</v>
      </c>
      <c r="F460" t="n">
        <v>0</v>
      </c>
      <c r="H460" t="n">
        <v>0</v>
      </c>
      <c r="I460" t="n">
        <v>0</v>
      </c>
      <c r="J460" t="n">
        <v>0</v>
      </c>
      <c r="K460" t="n">
        <v>0</v>
      </c>
      <c r="L460" t="n">
        <v>0</v>
      </c>
      <c r="M460" t="n">
        <v>0</v>
      </c>
      <c r="N460" t="n">
        <v>0</v>
      </c>
    </row>
    <row r="461">
      <c r="A461" t="inlineStr">
        <is>
          <t>Stock</t>
        </is>
      </c>
      <c r="B461" t="inlineStr">
        <is>
          <t>Total, 47. 1 in murrain before calving.</t>
        </is>
      </c>
      <c r="C461" t="n">
        <v>0</v>
      </c>
      <c r="D461" t="n">
        <v>0</v>
      </c>
      <c r="E461" t="n">
        <v>0</v>
      </c>
      <c r="F461" t="n">
        <v>0</v>
      </c>
      <c r="H461" t="n">
        <v>0</v>
      </c>
      <c r="I461" t="n">
        <v>0</v>
      </c>
      <c r="J461" t="n">
        <v>0</v>
      </c>
      <c r="K461" t="n">
        <v>0</v>
      </c>
      <c r="L461" t="n">
        <v>0</v>
      </c>
      <c r="M461" t="n">
        <v>0</v>
      </c>
      <c r="N461" t="n">
        <v>0</v>
      </c>
    </row>
    <row r="462">
      <c r="A462" t="inlineStr">
        <is>
          <t>Stock</t>
        </is>
      </c>
      <c r="B462" t="inlineStr">
        <is>
          <t>6 sold before calving.</t>
        </is>
      </c>
      <c r="C462" t="n">
        <v>0</v>
      </c>
      <c r="D462" t="n">
        <v>0</v>
      </c>
      <c r="E462" t="n">
        <v>0</v>
      </c>
      <c r="F462" t="n">
        <v>0</v>
      </c>
      <c r="H462" t="n">
        <v>0</v>
      </c>
      <c r="I462" t="n">
        <v>0</v>
      </c>
      <c r="J462" t="n">
        <v>0</v>
      </c>
      <c r="K462" t="n">
        <v>0</v>
      </c>
      <c r="L462" t="n">
        <v>0</v>
      </c>
      <c r="M462" t="n">
        <v>0</v>
      </c>
      <c r="N462" t="n">
        <v>0</v>
      </c>
    </row>
    <row r="463">
      <c r="A463" t="inlineStr">
        <is>
          <t>Stock</t>
        </is>
      </c>
      <c r="B463" t="inlineStr">
        <is>
          <t>Total, 7. 40 remain.</t>
        </is>
      </c>
      <c r="C463" t="n">
        <v>0</v>
      </c>
      <c r="D463" t="n">
        <v>0</v>
      </c>
      <c r="E463" t="n">
        <v>0</v>
      </c>
      <c r="F463" t="n">
        <v>0</v>
      </c>
      <c r="H463" t="n">
        <v>0</v>
      </c>
      <c r="I463" t="n">
        <v>0</v>
      </c>
      <c r="J463" t="n">
        <v>0</v>
      </c>
      <c r="K463" t="n">
        <v>0</v>
      </c>
      <c r="L463" t="n">
        <v>0</v>
      </c>
      <c r="M463" t="n">
        <v>0</v>
      </c>
      <c r="N463" t="n">
        <v>0</v>
      </c>
    </row>
    <row r="464">
      <c r="A464" t="inlineStr">
        <is>
          <t>Stock</t>
        </is>
      </c>
      <c r="B464" t="inlineStr">
        <is>
          <t>Steers: 12 remain from the previous year's bullocks.</t>
        </is>
      </c>
      <c r="C464" t="n">
        <v>0</v>
      </c>
      <c r="D464" t="n">
        <v>0</v>
      </c>
      <c r="E464" t="n">
        <v>0</v>
      </c>
      <c r="F464" t="n">
        <v>0</v>
      </c>
      <c r="H464" t="n">
        <v>0</v>
      </c>
      <c r="I464" t="n">
        <v>0</v>
      </c>
      <c r="J464" t="n">
        <v>0</v>
      </c>
      <c r="K464" t="n">
        <v>0</v>
      </c>
      <c r="L464" t="n">
        <v>0</v>
      </c>
      <c r="M464" t="n">
        <v>0</v>
      </c>
      <c r="N464" t="n">
        <v>0</v>
      </c>
    </row>
    <row r="465">
      <c r="A465" t="inlineStr">
        <is>
          <t>Stock</t>
        </is>
      </c>
      <c r="B465" t="inlineStr">
        <is>
          <t>1 from the heriot of Roger Kutel.</t>
        </is>
      </c>
      <c r="C465" t="n">
        <v>0</v>
      </c>
      <c r="D465" t="n">
        <v>0</v>
      </c>
      <c r="E465" t="n">
        <v>0</v>
      </c>
      <c r="F465" t="n">
        <v>0</v>
      </c>
      <c r="H465" t="n">
        <v>0</v>
      </c>
      <c r="I465" t="n">
        <v>0</v>
      </c>
      <c r="J465" t="n">
        <v>0</v>
      </c>
      <c r="K465" t="n">
        <v>0</v>
      </c>
      <c r="L465" t="n">
        <v>0</v>
      </c>
      <c r="M465" t="n">
        <v>0</v>
      </c>
      <c r="N465" t="n">
        <v>0</v>
      </c>
    </row>
    <row r="466">
      <c r="A466" t="inlineStr">
        <is>
          <t>Stock</t>
        </is>
      </c>
      <c r="B466" t="inlineStr">
        <is>
          <t>Total, 13. 2 in murrain.</t>
        </is>
      </c>
      <c r="C466" t="n">
        <v>0</v>
      </c>
      <c r="D466" t="n">
        <v>0</v>
      </c>
      <c r="E466" t="n">
        <v>0</v>
      </c>
      <c r="F466" t="n">
        <v>0</v>
      </c>
      <c r="H466" t="n">
        <v>0</v>
      </c>
      <c r="I466" t="n">
        <v>0</v>
      </c>
      <c r="J466" t="n">
        <v>0</v>
      </c>
      <c r="K466" t="n">
        <v>0</v>
      </c>
      <c r="L466" t="n">
        <v>0</v>
      </c>
      <c r="M466" t="n">
        <v>0</v>
      </c>
      <c r="N466" t="n">
        <v>0</v>
      </c>
    </row>
    <row r="467">
      <c r="A467" t="inlineStr">
        <is>
          <t>Stock</t>
        </is>
      </c>
      <c r="B467" t="inlineStr">
        <is>
          <t>3 added to oxen, 8 to cows.</t>
        </is>
      </c>
      <c r="C467" t="n">
        <v>0</v>
      </c>
      <c r="D467" t="n">
        <v>0</v>
      </c>
      <c r="E467" t="n">
        <v>0</v>
      </c>
      <c r="F467" t="n">
        <v>0</v>
      </c>
      <c r="H467" t="n">
        <v>0</v>
      </c>
      <c r="I467" t="n">
        <v>0</v>
      </c>
      <c r="J467" t="n">
        <v>0</v>
      </c>
      <c r="K467" t="n">
        <v>0</v>
      </c>
      <c r="L467" t="n">
        <v>0</v>
      </c>
      <c r="M467" t="n">
        <v>0</v>
      </c>
      <c r="N467" t="n">
        <v>0</v>
      </c>
    </row>
    <row r="468">
      <c r="A468" t="inlineStr">
        <is>
          <t>Stock</t>
        </is>
      </c>
      <c r="B468" t="inlineStr">
        <is>
          <t>Total, 13. None remain.</t>
        </is>
      </c>
      <c r="C468" t="n">
        <v>0</v>
      </c>
      <c r="D468" t="n">
        <v>0</v>
      </c>
      <c r="E468" t="n">
        <v>0</v>
      </c>
      <c r="F468" t="n">
        <v>0</v>
      </c>
      <c r="H468" t="n">
        <v>0</v>
      </c>
      <c r="I468" t="n">
        <v>0</v>
      </c>
      <c r="J468" t="n">
        <v>0</v>
      </c>
      <c r="K468" t="n">
        <v>0</v>
      </c>
      <c r="L468" t="n">
        <v>0</v>
      </c>
      <c r="M468" t="n">
        <v>0</v>
      </c>
      <c r="N468" t="n">
        <v>0</v>
      </c>
    </row>
    <row r="469">
      <c r="A469" t="inlineStr">
        <is>
          <t>Stock</t>
        </is>
      </c>
      <c r="B469" t="inlineStr">
        <is>
          <t>Bullocks: 11 remain from the previous year's yearlings.</t>
        </is>
      </c>
      <c r="C469" t="n">
        <v>0</v>
      </c>
      <c r="D469" t="n">
        <v>0</v>
      </c>
      <c r="E469" t="n">
        <v>0</v>
      </c>
      <c r="F469" t="n">
        <v>0</v>
      </c>
      <c r="H469" t="n">
        <v>0</v>
      </c>
      <c r="I469" t="n">
        <v>0</v>
      </c>
      <c r="J469" t="n">
        <v>0</v>
      </c>
      <c r="K469" t="n">
        <v>0</v>
      </c>
      <c r="L469" t="n">
        <v>0</v>
      </c>
      <c r="M469" t="n">
        <v>0</v>
      </c>
      <c r="N469" t="n">
        <v>0</v>
      </c>
    </row>
    <row r="470">
      <c r="A470" t="inlineStr">
        <is>
          <t>Stock</t>
        </is>
      </c>
      <c r="B470" t="inlineStr">
        <is>
          <t>3 in murrain.</t>
        </is>
      </c>
      <c r="C470" t="n">
        <v>0</v>
      </c>
      <c r="D470" t="n">
        <v>0</v>
      </c>
      <c r="E470" t="n">
        <v>0</v>
      </c>
      <c r="F470" t="n">
        <v>0</v>
      </c>
      <c r="H470" t="n">
        <v>0</v>
      </c>
      <c r="I470" t="n">
        <v>0</v>
      </c>
      <c r="J470" t="n">
        <v>0</v>
      </c>
      <c r="K470" t="n">
        <v>0</v>
      </c>
      <c r="L470" t="n">
        <v>0</v>
      </c>
      <c r="M470" t="n">
        <v>0</v>
      </c>
      <c r="N470" t="n">
        <v>0</v>
      </c>
    </row>
    <row r="471">
      <c r="A471" t="inlineStr">
        <is>
          <t>Stock</t>
        </is>
      </c>
      <c r="B471" t="inlineStr">
        <is>
          <t>8 remain.</t>
        </is>
      </c>
      <c r="C471" t="n">
        <v>0</v>
      </c>
      <c r="D471" t="n">
        <v>0</v>
      </c>
      <c r="E471" t="n">
        <v>0</v>
      </c>
      <c r="F471" t="n">
        <v>0</v>
      </c>
      <c r="H471" t="n">
        <v>0</v>
      </c>
      <c r="I471" t="n">
        <v>0</v>
      </c>
      <c r="J471" t="n">
        <v>0</v>
      </c>
      <c r="K471" t="n">
        <v>0</v>
      </c>
      <c r="L471" t="n">
        <v>0</v>
      </c>
      <c r="M471" t="n">
        <v>0</v>
      </c>
      <c r="N471" t="n">
        <v>0</v>
      </c>
    </row>
    <row r="472">
      <c r="A472" t="inlineStr">
        <is>
          <t>Stock</t>
        </is>
      </c>
      <c r="B472" t="inlineStr">
        <is>
          <t>Yearlings: 11 remain from the previous year's calves.</t>
        </is>
      </c>
      <c r="C472" t="n">
        <v>0</v>
      </c>
      <c r="D472" t="n">
        <v>0</v>
      </c>
      <c r="E472" t="n">
        <v>0</v>
      </c>
      <c r="F472" t="n">
        <v>0</v>
      </c>
      <c r="H472" t="n">
        <v>0</v>
      </c>
      <c r="I472" t="n">
        <v>0</v>
      </c>
      <c r="J472" t="n">
        <v>0</v>
      </c>
      <c r="K472" t="n">
        <v>0</v>
      </c>
      <c r="L472" t="n">
        <v>0</v>
      </c>
      <c r="M472" t="n">
        <v>0</v>
      </c>
      <c r="N472" t="n">
        <v>0</v>
      </c>
    </row>
    <row r="473">
      <c r="A473" t="inlineStr">
        <is>
          <t>Stock</t>
        </is>
      </c>
      <c r="B473" t="inlineStr">
        <is>
          <t>4 in murrain.</t>
        </is>
      </c>
      <c r="C473" t="n">
        <v>0</v>
      </c>
      <c r="D473" t="n">
        <v>0</v>
      </c>
      <c r="E473" t="n">
        <v>0</v>
      </c>
      <c r="F473" t="n">
        <v>0</v>
      </c>
      <c r="H473" t="n">
        <v>0</v>
      </c>
      <c r="I473" t="n">
        <v>0</v>
      </c>
      <c r="J473" t="n">
        <v>0</v>
      </c>
      <c r="K473" t="n">
        <v>0</v>
      </c>
      <c r="L473" t="n">
        <v>0</v>
      </c>
      <c r="M473" t="n">
        <v>0</v>
      </c>
      <c r="N473" t="n">
        <v>0</v>
      </c>
    </row>
    <row r="474">
      <c r="A474" t="inlineStr">
        <is>
          <t>Stock</t>
        </is>
      </c>
      <c r="B474" t="inlineStr">
        <is>
          <t>7 remain, 3 of them male.</t>
        </is>
      </c>
      <c r="C474" t="n">
        <v>0</v>
      </c>
      <c r="D474" t="n">
        <v>0</v>
      </c>
      <c r="E474" t="n">
        <v>0</v>
      </c>
      <c r="F474" t="n">
        <v>0</v>
      </c>
      <c r="H474" t="n">
        <v>0</v>
      </c>
      <c r="I474" t="n">
        <v>0</v>
      </c>
      <c r="J474" t="n">
        <v>0</v>
      </c>
      <c r="K474" t="n">
        <v>0</v>
      </c>
      <c r="L474" t="n">
        <v>0</v>
      </c>
      <c r="M474" t="n">
        <v>0</v>
      </c>
      <c r="N474" t="n">
        <v>0</v>
      </c>
    </row>
    <row r="475">
      <c r="A475" t="inlineStr">
        <is>
          <t>Stock</t>
        </is>
      </c>
      <c r="B475" t="inlineStr">
        <is>
          <t>Calves: 19 from the offspring of the said cows because 3 were sterile, 8 bought after calving, 6 sold before calving, and 1 in murrain before calving. 2 in3 tithe.</t>
        </is>
      </c>
      <c r="C475" t="n">
        <v>0</v>
      </c>
      <c r="D475" t="n">
        <v>0</v>
      </c>
      <c r="E475" t="n">
        <v>0</v>
      </c>
      <c r="F475" t="n">
        <v>0</v>
      </c>
      <c r="H475" t="n">
        <v>0</v>
      </c>
      <c r="I475" t="n">
        <v>0</v>
      </c>
      <c r="J475" t="n">
        <v>0</v>
      </c>
      <c r="K475" t="n">
        <v>0</v>
      </c>
      <c r="L475" t="n">
        <v>0</v>
      </c>
      <c r="M475" t="n">
        <v>0</v>
      </c>
      <c r="N475" t="n">
        <v>0</v>
      </c>
    </row>
    <row r="476">
      <c r="A476" t="inlineStr">
        <is>
          <t>Stock</t>
        </is>
      </c>
      <c r="B476" t="inlineStr">
        <is>
          <t>6 sold.</t>
        </is>
      </c>
      <c r="C476" t="n">
        <v>0</v>
      </c>
      <c r="D476" t="n">
        <v>0</v>
      </c>
      <c r="E476" t="n">
        <v>0</v>
      </c>
      <c r="F476" t="n">
        <v>0</v>
      </c>
      <c r="H476" t="n">
        <v>0</v>
      </c>
      <c r="I476" t="n">
        <v>0</v>
      </c>
      <c r="J476" t="n">
        <v>0</v>
      </c>
      <c r="K476" t="n">
        <v>0</v>
      </c>
      <c r="L476" t="n">
        <v>0</v>
      </c>
      <c r="M476" t="n">
        <v>0</v>
      </c>
      <c r="N476" t="n">
        <v>0</v>
      </c>
    </row>
    <row r="477">
      <c r="A477" t="inlineStr">
        <is>
          <t>Stock</t>
        </is>
      </c>
      <c r="B477" t="inlineStr">
        <is>
          <t>11 remain, 6 of them male.</t>
        </is>
      </c>
      <c r="C477" t="n">
        <v>0</v>
      </c>
      <c r="D477" t="n">
        <v>0</v>
      </c>
      <c r="E477" t="n">
        <v>0</v>
      </c>
      <c r="F477" t="n">
        <v>0</v>
      </c>
      <c r="H477" t="n">
        <v>0</v>
      </c>
      <c r="I477" t="n">
        <v>0</v>
      </c>
      <c r="J477" t="n">
        <v>0</v>
      </c>
      <c r="K477" t="n">
        <v>0</v>
      </c>
      <c r="L477" t="n">
        <v>0</v>
      </c>
      <c r="M477" t="n">
        <v>0</v>
      </c>
      <c r="N477" t="n">
        <v>0</v>
      </c>
    </row>
    <row r="478">
      <c r="A478" t="inlineStr">
        <is>
          <t>Stock</t>
        </is>
      </c>
      <c r="B478" t="inlineStr">
        <is>
          <t>Wethers: 249 remain from the previous year.</t>
        </is>
      </c>
      <c r="C478" t="n">
        <v>0</v>
      </c>
      <c r="D478" t="n">
        <v>0</v>
      </c>
      <c r="E478" t="n">
        <v>0</v>
      </c>
      <c r="F478" t="n">
        <v>0</v>
      </c>
      <c r="H478" t="n">
        <v>0</v>
      </c>
      <c r="I478" t="n">
        <v>0</v>
      </c>
      <c r="J478" t="n">
        <v>0</v>
      </c>
      <c r="K478" t="n">
        <v>0</v>
      </c>
      <c r="L478" t="n">
        <v>0</v>
      </c>
      <c r="M478" t="n">
        <v>0</v>
      </c>
      <c r="N478" t="n">
        <v>0</v>
      </c>
    </row>
    <row r="479">
      <c r="A479" t="inlineStr">
        <is>
          <t>Stock</t>
        </is>
      </c>
      <c r="B479" t="inlineStr">
        <is>
          <t>58 additions.</t>
        </is>
      </c>
      <c r="C479" t="n">
        <v>0</v>
      </c>
      <c r="D479" t="n">
        <v>0</v>
      </c>
      <c r="E479" t="n">
        <v>0</v>
      </c>
      <c r="F479" t="n">
        <v>0</v>
      </c>
      <c r="H479" t="n">
        <v>0</v>
      </c>
      <c r="I479" t="n">
        <v>0</v>
      </c>
      <c r="J479" t="n">
        <v>0</v>
      </c>
      <c r="K479" t="n">
        <v>0</v>
      </c>
      <c r="L479" t="n">
        <v>0</v>
      </c>
      <c r="M479" t="n">
        <v>0</v>
      </c>
      <c r="N479" t="n">
        <v>0</v>
      </c>
    </row>
    <row r="480">
      <c r="A480" t="inlineStr">
        <is>
          <t>Stock</t>
        </is>
      </c>
      <c r="B480" t="inlineStr">
        <is>
          <t>Total, 307. 7 sold at Martinmas.</t>
        </is>
      </c>
      <c r="C480" t="n">
        <v>0</v>
      </c>
      <c r="D480" t="n">
        <v>0</v>
      </c>
      <c r="E480" t="n">
        <v>0</v>
      </c>
      <c r="F480" t="n">
        <v>0</v>
      </c>
      <c r="H480" t="n">
        <v>0</v>
      </c>
      <c r="I480" t="n">
        <v>0</v>
      </c>
      <c r="J480" t="n">
        <v>0</v>
      </c>
      <c r="K480" t="n">
        <v>0</v>
      </c>
      <c r="L480" t="n">
        <v>0</v>
      </c>
      <c r="M480" t="n">
        <v>0</v>
      </c>
      <c r="N480" t="n">
        <v>0</v>
      </c>
    </row>
    <row r="481">
      <c r="A481" t="inlineStr">
        <is>
          <t>Stock</t>
        </is>
      </c>
      <c r="B481" t="inlineStr">
        <is>
          <t>18 in murrain before shearing, 11 after shearing.</t>
        </is>
      </c>
      <c r="C481" t="n">
        <v>0</v>
      </c>
      <c r="D481" t="n">
        <v>0</v>
      </c>
      <c r="E481" t="n">
        <v>0</v>
      </c>
      <c r="F481" t="n">
        <v>0</v>
      </c>
      <c r="H481" t="n">
        <v>0</v>
      </c>
      <c r="I481" t="n">
        <v>0</v>
      </c>
      <c r="J481" t="n">
        <v>0</v>
      </c>
      <c r="K481" t="n">
        <v>0</v>
      </c>
      <c r="L481" t="n">
        <v>0</v>
      </c>
      <c r="M481" t="n">
        <v>0</v>
      </c>
      <c r="N481" t="n">
        <v>0</v>
      </c>
    </row>
    <row r="482">
      <c r="A482" t="inlineStr">
        <is>
          <t>Stock</t>
        </is>
      </c>
      <c r="B482" t="inlineStr">
        <is>
          <t>Total, 36. 271 remain.</t>
        </is>
      </c>
      <c r="C482" t="n">
        <v>0</v>
      </c>
      <c r="D482" t="n">
        <v>0</v>
      </c>
      <c r="E482" t="n">
        <v>0</v>
      </c>
      <c r="F482" t="n">
        <v>0</v>
      </c>
      <c r="H482" t="n">
        <v>0</v>
      </c>
      <c r="I482" t="n">
        <v>0</v>
      </c>
      <c r="J482" t="n">
        <v>0</v>
      </c>
      <c r="K482" t="n">
        <v>0</v>
      </c>
      <c r="L482" t="n">
        <v>0</v>
      </c>
      <c r="M482" t="n">
        <v>0</v>
      </c>
      <c r="N482" t="n">
        <v>0</v>
      </c>
    </row>
    <row r="483">
      <c r="A483" t="inlineStr">
        <is>
          <t>Stock</t>
        </is>
      </c>
      <c r="B483" t="inlineStr">
        <is>
          <t>Rams: 2 remain from the previous year.</t>
        </is>
      </c>
      <c r="C483" t="n">
        <v>0</v>
      </c>
      <c r="D483" t="n">
        <v>0</v>
      </c>
      <c r="E483" t="n">
        <v>0</v>
      </c>
      <c r="F483" t="n">
        <v>0</v>
      </c>
      <c r="H483" t="n">
        <v>0</v>
      </c>
      <c r="I483" t="n">
        <v>0</v>
      </c>
      <c r="J483" t="n">
        <v>0</v>
      </c>
      <c r="K483" t="n">
        <v>0</v>
      </c>
      <c r="L483" t="n">
        <v>0</v>
      </c>
      <c r="M483" t="n">
        <v>0</v>
      </c>
      <c r="N483" t="n">
        <v>0</v>
      </c>
    </row>
    <row r="484">
      <c r="A484" t="inlineStr">
        <is>
          <t>Stock</t>
        </is>
      </c>
      <c r="B484" t="inlineStr">
        <is>
          <t>6 added from hoggs.</t>
        </is>
      </c>
      <c r="C484" t="n">
        <v>0</v>
      </c>
      <c r="D484" t="n">
        <v>0</v>
      </c>
      <c r="E484" t="n">
        <v>0</v>
      </c>
      <c r="F484" t="n">
        <v>0</v>
      </c>
      <c r="H484" t="n">
        <v>0</v>
      </c>
      <c r="I484" t="n">
        <v>0</v>
      </c>
      <c r="J484" t="n">
        <v>0</v>
      </c>
      <c r="K484" t="n">
        <v>0</v>
      </c>
      <c r="L484" t="n">
        <v>0</v>
      </c>
      <c r="M484" t="n">
        <v>0</v>
      </c>
      <c r="N484" t="n">
        <v>0</v>
      </c>
    </row>
    <row r="485">
      <c r="A485" t="inlineStr">
        <is>
          <t>Stock</t>
        </is>
      </c>
      <c r="B485" t="inlineStr">
        <is>
          <t>Total, 8. 8 remain.</t>
        </is>
      </c>
      <c r="C485" t="n">
        <v>0</v>
      </c>
      <c r="D485" t="n">
        <v>0</v>
      </c>
      <c r="E485" t="n">
        <v>0</v>
      </c>
      <c r="F485" t="n">
        <v>0</v>
      </c>
      <c r="H485" t="n">
        <v>0</v>
      </c>
      <c r="I485" t="n">
        <v>0</v>
      </c>
      <c r="J485" t="n">
        <v>0</v>
      </c>
      <c r="K485" t="n">
        <v>0</v>
      </c>
      <c r="L485" t="n">
        <v>0</v>
      </c>
      <c r="M485" t="n">
        <v>0</v>
      </c>
      <c r="N485" t="n">
        <v>0</v>
      </c>
    </row>
    <row r="486">
      <c r="A486" t="inlineStr">
        <is>
          <t>Stock</t>
        </is>
      </c>
      <c r="B486" t="inlineStr">
        <is>
          <t>Ewes: 226 remain from the previous year.</t>
        </is>
      </c>
      <c r="C486" t="n">
        <v>0</v>
      </c>
      <c r="D486" t="n">
        <v>0</v>
      </c>
      <c r="E486" t="n">
        <v>0</v>
      </c>
      <c r="F486" t="n">
        <v>0</v>
      </c>
      <c r="H486" t="n">
        <v>0</v>
      </c>
      <c r="I486" t="n">
        <v>0</v>
      </c>
      <c r="J486" t="n">
        <v>0</v>
      </c>
      <c r="K486" t="n">
        <v>0</v>
      </c>
      <c r="L486" t="n">
        <v>0</v>
      </c>
      <c r="M486" t="n">
        <v>0</v>
      </c>
      <c r="N486" t="n">
        <v>0</v>
      </c>
    </row>
    <row r="487">
      <c r="A487" t="inlineStr">
        <is>
          <t>Stock</t>
        </is>
      </c>
      <c r="B487" t="inlineStr">
        <is>
          <t>50 added from hoggs.</t>
        </is>
      </c>
      <c r="C487" t="n">
        <v>0</v>
      </c>
      <c r="D487" t="n">
        <v>0</v>
      </c>
      <c r="E487" t="n">
        <v>0</v>
      </c>
      <c r="F487" t="n">
        <v>0</v>
      </c>
      <c r="H487" t="n">
        <v>0</v>
      </c>
      <c r="I487" t="n">
        <v>0</v>
      </c>
      <c r="J487" t="n">
        <v>0</v>
      </c>
      <c r="K487" t="n">
        <v>0</v>
      </c>
      <c r="L487" t="n">
        <v>0</v>
      </c>
      <c r="M487" t="n">
        <v>0</v>
      </c>
      <c r="N487" t="n">
        <v>0</v>
      </c>
    </row>
    <row r="488">
      <c r="A488" t="inlineStr">
        <is>
          <t>Stock</t>
        </is>
      </c>
      <c r="B488" t="inlineStr">
        <is>
          <t>Total, 276.7 sold at Martinmas.</t>
        </is>
      </c>
      <c r="C488" t="n">
        <v>0</v>
      </c>
      <c r="D488" t="n">
        <v>0</v>
      </c>
      <c r="E488" t="n">
        <v>0</v>
      </c>
      <c r="F488" t="n">
        <v>0</v>
      </c>
      <c r="H488" t="n">
        <v>0</v>
      </c>
      <c r="I488" t="n">
        <v>0</v>
      </c>
      <c r="J488" t="n">
        <v>0</v>
      </c>
      <c r="K488" t="n">
        <v>0</v>
      </c>
      <c r="L488" t="n">
        <v>0</v>
      </c>
      <c r="M488" t="n">
        <v>0</v>
      </c>
      <c r="N488" t="n">
        <v>0</v>
      </c>
    </row>
    <row r="489">
      <c r="A489" t="inlineStr">
        <is>
          <t>Stock</t>
        </is>
      </c>
      <c r="B489" t="inlineStr">
        <is>
          <t>30 in murrain before breeding and shearing, 1 after breeding and before shearing, and 2 after shearing.</t>
        </is>
      </c>
      <c r="C489" t="n">
        <v>0</v>
      </c>
      <c r="D489" t="n">
        <v>0</v>
      </c>
      <c r="E489" t="n">
        <v>0</v>
      </c>
      <c r="F489" t="n">
        <v>0</v>
      </c>
      <c r="H489" t="n">
        <v>0</v>
      </c>
      <c r="I489" t="n">
        <v>0</v>
      </c>
      <c r="J489" t="n">
        <v>0</v>
      </c>
      <c r="K489" t="n">
        <v>0</v>
      </c>
      <c r="L489" t="n">
        <v>0</v>
      </c>
      <c r="M489" t="n">
        <v>0</v>
      </c>
      <c r="N489" t="n">
        <v>0</v>
      </c>
    </row>
    <row r="490">
      <c r="A490" t="inlineStr">
        <is>
          <t>Stock</t>
        </is>
      </c>
      <c r="B490" t="inlineStr">
        <is>
          <t>Total, 40. 236 remain.</t>
        </is>
      </c>
      <c r="C490" t="n">
        <v>0</v>
      </c>
      <c r="D490" t="n">
        <v>0</v>
      </c>
      <c r="E490" t="n">
        <v>0</v>
      </c>
      <c r="F490" t="n">
        <v>0</v>
      </c>
      <c r="H490" t="n">
        <v>0</v>
      </c>
      <c r="I490" t="n">
        <v>0</v>
      </c>
      <c r="J490" t="n">
        <v>0</v>
      </c>
      <c r="K490" t="n">
        <v>0</v>
      </c>
      <c r="L490" t="n">
        <v>0</v>
      </c>
      <c r="M490" t="n">
        <v>0</v>
      </c>
      <c r="N490" t="n">
        <v>0</v>
      </c>
    </row>
    <row r="491">
      <c r="A491" t="inlineStr">
        <is>
          <t>Stock</t>
        </is>
      </c>
      <c r="B491" t="inlineStr">
        <is>
          <t>Hoggs: 145 remain from the previous year's lambs.</t>
        </is>
      </c>
      <c r="C491" t="n">
        <v>0</v>
      </c>
      <c r="D491" t="n">
        <v>0</v>
      </c>
      <c r="E491" t="n">
        <v>0</v>
      </c>
      <c r="F491" t="n">
        <v>0</v>
      </c>
      <c r="H491" t="n">
        <v>0</v>
      </c>
      <c r="I491" t="n">
        <v>0</v>
      </c>
      <c r="J491" t="n">
        <v>0</v>
      </c>
      <c r="K491" t="n">
        <v>0</v>
      </c>
      <c r="L491" t="n">
        <v>0</v>
      </c>
      <c r="M491" t="n">
        <v>0</v>
      </c>
      <c r="N491" t="n">
        <v>0</v>
      </c>
    </row>
    <row r="492">
      <c r="A492" t="inlineStr">
        <is>
          <t>Stock</t>
        </is>
      </c>
      <c r="B492" t="inlineStr">
        <is>
          <t>26 sold because feeble.</t>
        </is>
      </c>
      <c r="C492" t="n">
        <v>0</v>
      </c>
      <c r="D492" t="n">
        <v>0</v>
      </c>
      <c r="E492" t="n">
        <v>0</v>
      </c>
      <c r="F492" t="n">
        <v>0</v>
      </c>
      <c r="H492" t="n">
        <v>0</v>
      </c>
      <c r="I492" t="n">
        <v>0</v>
      </c>
      <c r="J492" t="n">
        <v>0</v>
      </c>
      <c r="K492" t="n">
        <v>0</v>
      </c>
      <c r="L492" t="n">
        <v>0</v>
      </c>
      <c r="M492" t="n">
        <v>0</v>
      </c>
      <c r="N492" t="n">
        <v>0</v>
      </c>
    </row>
    <row r="493">
      <c r="A493" t="inlineStr">
        <is>
          <t>Stock</t>
        </is>
      </c>
      <c r="B493" t="inlineStr">
        <is>
          <t>5 in murrain before shearing.</t>
        </is>
      </c>
      <c r="C493" t="n">
        <v>0</v>
      </c>
      <c r="D493" t="n">
        <v>0</v>
      </c>
      <c r="E493" t="n">
        <v>0</v>
      </c>
      <c r="F493" t="n">
        <v>0</v>
      </c>
      <c r="H493" t="n">
        <v>0</v>
      </c>
      <c r="I493" t="n">
        <v>0</v>
      </c>
      <c r="J493" t="n">
        <v>0</v>
      </c>
      <c r="K493" t="n">
        <v>0</v>
      </c>
      <c r="L493" t="n">
        <v>0</v>
      </c>
      <c r="M493" t="n">
        <v>0</v>
      </c>
      <c r="N493" t="n">
        <v>0</v>
      </c>
    </row>
    <row r="494">
      <c r="A494" t="inlineStr">
        <is>
          <t>Stock</t>
        </is>
      </c>
      <c r="B494" t="inlineStr">
        <is>
          <t>58 added to wethers, 6 to rams, and 50 to ewes.</t>
        </is>
      </c>
      <c r="C494" t="n">
        <v>0</v>
      </c>
      <c r="D494" t="n">
        <v>0</v>
      </c>
      <c r="E494" t="n">
        <v>0</v>
      </c>
      <c r="F494" t="n">
        <v>0</v>
      </c>
      <c r="H494" t="n">
        <v>0</v>
      </c>
      <c r="I494" t="n">
        <v>0</v>
      </c>
      <c r="J494" t="n">
        <v>0</v>
      </c>
      <c r="K494" t="n">
        <v>0</v>
      </c>
      <c r="L494" t="n">
        <v>0</v>
      </c>
      <c r="M494" t="n">
        <v>0</v>
      </c>
      <c r="N494" t="n">
        <v>0</v>
      </c>
    </row>
    <row r="495">
      <c r="A495" t="inlineStr">
        <is>
          <t>Stock</t>
        </is>
      </c>
      <c r="B495" t="inlineStr">
        <is>
          <t>None remain.</t>
        </is>
      </c>
      <c r="C495" t="n">
        <v>0</v>
      </c>
      <c r="D495" t="n">
        <v>0</v>
      </c>
      <c r="E495" t="n">
        <v>0</v>
      </c>
      <c r="F495" t="n">
        <v>0</v>
      </c>
      <c r="H495" t="n">
        <v>0</v>
      </c>
      <c r="I495" t="n">
        <v>0</v>
      </c>
      <c r="J495" t="n">
        <v>0</v>
      </c>
      <c r="K495" t="n">
        <v>0</v>
      </c>
      <c r="L495" t="n">
        <v>0</v>
      </c>
      <c r="M495" t="n">
        <v>0</v>
      </c>
      <c r="N495" t="n">
        <v>0</v>
      </c>
    </row>
    <row r="496">
      <c r="A496" t="inlineStr">
        <is>
          <t>Stock</t>
        </is>
      </c>
      <c r="B496" t="inlineStr">
        <is>
          <t>Lambs: 172 produced by the said ewes this year because 17 were sterile. 16 in murrain before weaning, 3 after weaning and before shearing.</t>
        </is>
      </c>
      <c r="C496" t="n">
        <v>0</v>
      </c>
      <c r="D496" t="n">
        <v>0</v>
      </c>
      <c r="E496" t="n">
        <v>0</v>
      </c>
      <c r="F496" t="n">
        <v>0</v>
      </c>
      <c r="H496" t="n">
        <v>0</v>
      </c>
      <c r="I496" t="n">
        <v>0</v>
      </c>
      <c r="J496" t="n">
        <v>0</v>
      </c>
      <c r="K496" t="n">
        <v>0</v>
      </c>
      <c r="L496" t="n">
        <v>0</v>
      </c>
      <c r="M496" t="n">
        <v>0</v>
      </c>
      <c r="N496" t="n">
        <v>0</v>
      </c>
    </row>
    <row r="497">
      <c r="A497" t="inlineStr">
        <is>
          <t>Stock</t>
        </is>
      </c>
      <c r="B497" t="inlineStr">
        <is>
          <t>16 in tithe.</t>
        </is>
      </c>
      <c r="C497" t="n">
        <v>0</v>
      </c>
      <c r="D497" t="n">
        <v>0</v>
      </c>
      <c r="E497" t="n">
        <v>0</v>
      </c>
      <c r="F497" t="n">
        <v>0</v>
      </c>
      <c r="H497" t="n">
        <v>0</v>
      </c>
      <c r="I497" t="n">
        <v>0</v>
      </c>
      <c r="J497" t="n">
        <v>0</v>
      </c>
      <c r="K497" t="n">
        <v>0</v>
      </c>
      <c r="L497" t="n">
        <v>0</v>
      </c>
      <c r="M497" t="n">
        <v>0</v>
      </c>
      <c r="N497" t="n">
        <v>0</v>
      </c>
    </row>
    <row r="498">
      <c r="A498" t="inlineStr">
        <is>
          <t>Stock</t>
        </is>
      </c>
      <c r="B498" t="inlineStr">
        <is>
          <t>3 in customary payment to 1 beadle, 1 smith and 1 shepherd.</t>
        </is>
      </c>
      <c r="C498" t="n">
        <v>0</v>
      </c>
      <c r="D498" t="n">
        <v>0</v>
      </c>
      <c r="E498" t="n">
        <v>0</v>
      </c>
      <c r="F498" t="n">
        <v>0</v>
      </c>
      <c r="H498" t="n">
        <v>0</v>
      </c>
      <c r="I498" t="n">
        <v>0</v>
      </c>
      <c r="J498" t="n">
        <v>0</v>
      </c>
      <c r="K498" t="n">
        <v>0</v>
      </c>
      <c r="L498" t="n">
        <v>0</v>
      </c>
      <c r="M498" t="n">
        <v>0</v>
      </c>
      <c r="N498" t="n">
        <v>0</v>
      </c>
    </row>
    <row r="499">
      <c r="A499" t="inlineStr">
        <is>
          <t>Stock</t>
        </is>
      </c>
      <c r="B499" t="inlineStr">
        <is>
          <t>12 sold before shearing because feeble.</t>
        </is>
      </c>
      <c r="C499" t="n">
        <v>0</v>
      </c>
      <c r="D499" t="n">
        <v>0</v>
      </c>
      <c r="E499" t="n">
        <v>0</v>
      </c>
      <c r="F499" t="n">
        <v>0</v>
      </c>
      <c r="H499" t="n">
        <v>0</v>
      </c>
      <c r="I499" t="n">
        <v>0</v>
      </c>
      <c r="J499" t="n">
        <v>0</v>
      </c>
      <c r="K499" t="n">
        <v>0</v>
      </c>
      <c r="L499" t="n">
        <v>0</v>
      </c>
      <c r="M499" t="n">
        <v>0</v>
      </c>
      <c r="N499" t="n">
        <v>0</v>
      </c>
    </row>
    <row r="500">
      <c r="A500" t="inlineStr">
        <is>
          <t>Stock</t>
        </is>
      </c>
      <c r="B500" t="inlineStr">
        <is>
          <t>Total, 50. 122 remain.</t>
        </is>
      </c>
      <c r="C500" t="n">
        <v>0</v>
      </c>
      <c r="D500" t="n">
        <v>0</v>
      </c>
      <c r="E500" t="n">
        <v>0</v>
      </c>
      <c r="F500" t="n">
        <v>0</v>
      </c>
      <c r="H500" t="n">
        <v>0</v>
      </c>
      <c r="I500" t="n">
        <v>0</v>
      </c>
      <c r="J500" t="n">
        <v>0</v>
      </c>
      <c r="K500" t="n">
        <v>0</v>
      </c>
      <c r="L500" t="n">
        <v>0</v>
      </c>
      <c r="M500" t="n">
        <v>0</v>
      </c>
      <c r="N500" t="n">
        <v>0</v>
      </c>
    </row>
    <row r="501">
      <c r="A501" t="inlineStr">
        <is>
          <t>Stock</t>
        </is>
      </c>
      <c r="B501" t="inlineStr">
        <is>
          <t>Sows: 2 remain from the previous year.</t>
        </is>
      </c>
      <c r="C501" t="n">
        <v>0</v>
      </c>
      <c r="D501" t="n">
        <v>0</v>
      </c>
      <c r="E501" t="n">
        <v>0</v>
      </c>
      <c r="F501" t="n">
        <v>0</v>
      </c>
      <c r="H501" t="n">
        <v>0</v>
      </c>
      <c r="I501" t="n">
        <v>0</v>
      </c>
      <c r="J501" t="n">
        <v>0</v>
      </c>
      <c r="K501" t="n">
        <v>0</v>
      </c>
      <c r="L501" t="n">
        <v>0</v>
      </c>
      <c r="M501" t="n">
        <v>0</v>
      </c>
      <c r="N501" t="n">
        <v>0</v>
      </c>
    </row>
    <row r="502">
      <c r="A502" t="inlineStr">
        <is>
          <t>Stock</t>
        </is>
      </c>
      <c r="B502" t="inlineStr">
        <is>
          <t>2 remain.</t>
        </is>
      </c>
      <c r="C502" t="n">
        <v>0</v>
      </c>
      <c r="D502" t="n">
        <v>0</v>
      </c>
      <c r="E502" t="n">
        <v>0</v>
      </c>
      <c r="F502" t="n">
        <v>0</v>
      </c>
      <c r="H502" t="n">
        <v>0</v>
      </c>
      <c r="I502" t="n">
        <v>0</v>
      </c>
      <c r="J502" t="n">
        <v>0</v>
      </c>
      <c r="K502" t="n">
        <v>0</v>
      </c>
      <c r="L502" t="n">
        <v>0</v>
      </c>
      <c r="M502" t="n">
        <v>0</v>
      </c>
      <c r="N502" t="n">
        <v>0</v>
      </c>
    </row>
    <row r="503">
      <c r="A503" t="inlineStr">
        <is>
          <t>Stock</t>
        </is>
      </c>
      <c r="B503" t="inlineStr">
        <is>
          <t>Boars: 1 remains from the previous year.</t>
        </is>
      </c>
      <c r="C503" t="n">
        <v>0</v>
      </c>
      <c r="D503" t="n">
        <v>0</v>
      </c>
      <c r="E503" t="n">
        <v>0</v>
      </c>
      <c r="F503" t="n">
        <v>0</v>
      </c>
      <c r="H503" t="n">
        <v>0</v>
      </c>
      <c r="I503" t="n">
        <v>0</v>
      </c>
      <c r="J503" t="n">
        <v>0</v>
      </c>
      <c r="K503" t="n">
        <v>0</v>
      </c>
      <c r="L503" t="n">
        <v>0</v>
      </c>
      <c r="M503" t="n">
        <v>0</v>
      </c>
      <c r="N503" t="n">
        <v>0</v>
      </c>
    </row>
    <row r="504">
      <c r="A504" t="inlineStr">
        <is>
          <t>Stock</t>
        </is>
      </c>
      <c r="B504" t="inlineStr">
        <is>
          <t>1 addition.</t>
        </is>
      </c>
      <c r="C504" t="n">
        <v>0</v>
      </c>
      <c r="D504" t="n">
        <v>0</v>
      </c>
      <c r="E504" t="n">
        <v>0</v>
      </c>
      <c r="F504" t="n">
        <v>0</v>
      </c>
      <c r="H504" t="n">
        <v>0</v>
      </c>
      <c r="I504" t="n">
        <v>0</v>
      </c>
      <c r="J504" t="n">
        <v>0</v>
      </c>
      <c r="K504" t="n">
        <v>0</v>
      </c>
      <c r="L504" t="n">
        <v>0</v>
      </c>
      <c r="M504" t="n">
        <v>0</v>
      </c>
      <c r="N504" t="n">
        <v>0</v>
      </c>
    </row>
    <row r="505">
      <c r="A505" t="inlineStr">
        <is>
          <t>Stock</t>
        </is>
      </c>
      <c r="B505" t="inlineStr">
        <is>
          <t>Total, 2. 1 sold.</t>
        </is>
      </c>
      <c r="C505" t="n">
        <v>0</v>
      </c>
      <c r="D505" t="n">
        <v>0</v>
      </c>
      <c r="E505" t="n">
        <v>0</v>
      </c>
      <c r="F505" t="n">
        <v>0</v>
      </c>
      <c r="H505" t="n">
        <v>0</v>
      </c>
      <c r="I505" t="n">
        <v>0</v>
      </c>
      <c r="J505" t="n">
        <v>0</v>
      </c>
      <c r="K505" t="n">
        <v>0</v>
      </c>
      <c r="L505" t="n">
        <v>0</v>
      </c>
      <c r="M505" t="n">
        <v>0</v>
      </c>
      <c r="N505" t="n">
        <v>0</v>
      </c>
    </row>
    <row r="506">
      <c r="A506" t="inlineStr">
        <is>
          <t>Stock</t>
        </is>
      </c>
      <c r="B506" t="inlineStr">
        <is>
          <t>1 remains.</t>
        </is>
      </c>
      <c r="C506" t="n">
        <v>0</v>
      </c>
      <c r="D506" t="n">
        <v>0</v>
      </c>
      <c r="E506" t="n">
        <v>0</v>
      </c>
      <c r="F506" t="n">
        <v>0</v>
      </c>
      <c r="H506" t="n">
        <v>0</v>
      </c>
      <c r="I506" t="n">
        <v>0</v>
      </c>
      <c r="J506" t="n">
        <v>0</v>
      </c>
      <c r="K506" t="n">
        <v>0</v>
      </c>
      <c r="L506" t="n">
        <v>0</v>
      </c>
      <c r="M506" t="n">
        <v>0</v>
      </c>
      <c r="N506" t="n">
        <v>0</v>
      </c>
    </row>
    <row r="507">
      <c r="A507" t="inlineStr">
        <is>
          <t>Stock</t>
        </is>
      </c>
      <c r="B507" t="inlineStr">
        <is>
          <t>Pigs: 12 remain from the previous year.</t>
        </is>
      </c>
      <c r="C507" t="n">
        <v>0</v>
      </c>
      <c r="D507" t="n">
        <v>0</v>
      </c>
      <c r="E507" t="n">
        <v>0</v>
      </c>
      <c r="F507" t="n">
        <v>0</v>
      </c>
      <c r="H507" t="n">
        <v>0</v>
      </c>
      <c r="I507" t="n">
        <v>0</v>
      </c>
      <c r="J507" t="n">
        <v>0</v>
      </c>
      <c r="K507" t="n">
        <v>0</v>
      </c>
      <c r="L507" t="n">
        <v>0</v>
      </c>
      <c r="M507" t="n">
        <v>0</v>
      </c>
      <c r="N507" t="n">
        <v>0</v>
      </c>
    </row>
    <row r="508">
      <c r="A508" t="inlineStr">
        <is>
          <t>Stock</t>
        </is>
      </c>
      <c r="B508" t="inlineStr">
        <is>
          <t>30 added from hoggets.</t>
        </is>
      </c>
      <c r="C508" t="n">
        <v>0</v>
      </c>
      <c r="D508" t="n">
        <v>0</v>
      </c>
      <c r="E508" t="n">
        <v>0</v>
      </c>
      <c r="F508" t="n">
        <v>0</v>
      </c>
      <c r="H508" t="n">
        <v>0</v>
      </c>
      <c r="I508" t="n">
        <v>0</v>
      </c>
      <c r="J508" t="n">
        <v>0</v>
      </c>
      <c r="K508" t="n">
        <v>0</v>
      </c>
      <c r="L508" t="n">
        <v>0</v>
      </c>
      <c r="M508" t="n">
        <v>0</v>
      </c>
      <c r="N508" t="n">
        <v>0</v>
      </c>
    </row>
    <row r="509">
      <c r="A509" t="inlineStr">
        <is>
          <t>Stock</t>
        </is>
      </c>
      <c r="B509" t="inlineStr">
        <is>
          <t>1 from the heriot of Henry Wygayn.</t>
        </is>
      </c>
      <c r="C509" t="n">
        <v>0</v>
      </c>
      <c r="D509" t="n">
        <v>0</v>
      </c>
      <c r="E509" t="n">
        <v>0</v>
      </c>
      <c r="F509" t="n">
        <v>0</v>
      </c>
      <c r="H509" t="n">
        <v>0</v>
      </c>
      <c r="I509" t="n">
        <v>0</v>
      </c>
      <c r="J509" t="n">
        <v>0</v>
      </c>
      <c r="K509" t="n">
        <v>0</v>
      </c>
      <c r="L509" t="n">
        <v>0</v>
      </c>
      <c r="M509" t="n">
        <v>0</v>
      </c>
      <c r="N509" t="n">
        <v>0</v>
      </c>
    </row>
    <row r="510">
      <c r="A510" t="inlineStr">
        <is>
          <t>Stock</t>
        </is>
      </c>
      <c r="B510" t="inlineStr">
        <is>
          <t>Total, 43. 3 in murrain.</t>
        </is>
      </c>
      <c r="C510" t="n">
        <v>0</v>
      </c>
      <c r="D510" t="n">
        <v>0</v>
      </c>
      <c r="E510" t="n">
        <v>0</v>
      </c>
      <c r="F510" t="n">
        <v>0</v>
      </c>
      <c r="H510" t="n">
        <v>0</v>
      </c>
      <c r="I510" t="n">
        <v>0</v>
      </c>
      <c r="J510" t="n">
        <v>0</v>
      </c>
      <c r="K510" t="n">
        <v>0</v>
      </c>
      <c r="L510" t="n">
        <v>0</v>
      </c>
      <c r="M510" t="n">
        <v>0</v>
      </c>
      <c r="N510" t="n">
        <v>0</v>
      </c>
    </row>
    <row r="511">
      <c r="A511" t="inlineStr">
        <is>
          <t>Stock</t>
        </is>
      </c>
      <c r="B511" t="inlineStr">
        <is>
          <t>2 in provision of Roger the bailiff.</t>
        </is>
      </c>
      <c r="C511" t="n">
        <v>0</v>
      </c>
      <c r="D511" t="n">
        <v>0</v>
      </c>
      <c r="E511" t="n">
        <v>0</v>
      </c>
      <c r="F511" t="n">
        <v>0</v>
      </c>
      <c r="H511" t="n">
        <v>0</v>
      </c>
      <c r="I511" t="n">
        <v>0</v>
      </c>
      <c r="J511" t="n">
        <v>0</v>
      </c>
      <c r="K511" t="n">
        <v>0</v>
      </c>
      <c r="L511" t="n">
        <v>0</v>
      </c>
      <c r="M511" t="n">
        <v>0</v>
      </c>
      <c r="N511" t="n">
        <v>0</v>
      </c>
    </row>
    <row r="512">
      <c r="A512" t="inlineStr">
        <is>
          <t>Stock</t>
        </is>
      </c>
      <c r="B512" t="inlineStr">
        <is>
          <t>5 solpence Total, 10. 33 remain.</t>
        </is>
      </c>
      <c r="C512" t="n">
        <v>0</v>
      </c>
      <c r="D512" t="n">
        <v>0</v>
      </c>
      <c r="E512" t="n">
        <v>0</v>
      </c>
      <c r="F512" t="n">
        <v>0</v>
      </c>
      <c r="H512" t="n">
        <v>0</v>
      </c>
      <c r="I512" t="n">
        <v>0</v>
      </c>
      <c r="J512" t="n">
        <v>0</v>
      </c>
      <c r="K512" t="n">
        <v>0</v>
      </c>
      <c r="L512" t="n">
        <v>0</v>
      </c>
      <c r="M512" t="n">
        <v>0</v>
      </c>
      <c r="N512" t="n">
        <v>0</v>
      </c>
    </row>
    <row r="513">
      <c r="A513" t="inlineStr">
        <is>
          <t>Stock</t>
        </is>
      </c>
      <c r="B513" t="inlineStr">
        <is>
          <t>Hoggets: 37 remain from the previous year's piglets.</t>
        </is>
      </c>
      <c r="C513" t="n">
        <v>0</v>
      </c>
      <c r="D513" t="n">
        <v>0</v>
      </c>
      <c r="E513" t="n">
        <v>0</v>
      </c>
      <c r="F513" t="n">
        <v>0</v>
      </c>
      <c r="H513" t="n">
        <v>0</v>
      </c>
      <c r="I513" t="n">
        <v>0</v>
      </c>
      <c r="J513" t="n">
        <v>0</v>
      </c>
      <c r="K513" t="n">
        <v>0</v>
      </c>
      <c r="L513" t="n">
        <v>0</v>
      </c>
      <c r="M513" t="n">
        <v>0</v>
      </c>
      <c r="N513" t="n">
        <v>0</v>
      </c>
    </row>
    <row r="514">
      <c r="A514" t="inlineStr">
        <is>
          <t>Stock</t>
        </is>
      </c>
      <c r="B514" t="inlineStr">
        <is>
          <t>6 in murrain.</t>
        </is>
      </c>
      <c r="C514" t="n">
        <v>0</v>
      </c>
      <c r="D514" t="n">
        <v>0</v>
      </c>
      <c r="E514" t="n">
        <v>0</v>
      </c>
      <c r="F514" t="n">
        <v>0</v>
      </c>
      <c r="H514" t="n">
        <v>0</v>
      </c>
      <c r="I514" t="n">
        <v>0</v>
      </c>
      <c r="J514" t="n">
        <v>0</v>
      </c>
      <c r="K514" t="n">
        <v>0</v>
      </c>
      <c r="L514" t="n">
        <v>0</v>
      </c>
      <c r="M514" t="n">
        <v>0</v>
      </c>
      <c r="N514" t="n">
        <v>0</v>
      </c>
    </row>
    <row r="515">
      <c r="A515" t="inlineStr">
        <is>
          <t>Stock</t>
        </is>
      </c>
      <c r="B515" t="inlineStr">
        <is>
          <t>1 added to boars, 30 to pigs.</t>
        </is>
      </c>
      <c r="C515" t="n">
        <v>0</v>
      </c>
      <c r="D515" t="n">
        <v>0</v>
      </c>
      <c r="E515" t="n">
        <v>0</v>
      </c>
      <c r="F515" t="n">
        <v>0</v>
      </c>
      <c r="H515" t="n">
        <v>0</v>
      </c>
      <c r="I515" t="n">
        <v>0</v>
      </c>
      <c r="J515" t="n">
        <v>0</v>
      </c>
      <c r="K515" t="n">
        <v>0</v>
      </c>
      <c r="L515" t="n">
        <v>0</v>
      </c>
      <c r="M515" t="n">
        <v>0</v>
      </c>
      <c r="N515" t="n">
        <v>0</v>
      </c>
    </row>
    <row r="516">
      <c r="A516" t="inlineStr">
        <is>
          <t>Stock</t>
        </is>
      </c>
      <c r="B516" t="inlineStr">
        <is>
          <t>None remain</t>
        </is>
      </c>
      <c r="C516" t="n">
        <v>0</v>
      </c>
      <c r="D516" t="n">
        <v>0</v>
      </c>
      <c r="E516" t="n">
        <v>0</v>
      </c>
      <c r="F516" t="n">
        <v>0</v>
      </c>
      <c r="H516" t="n">
        <v>0</v>
      </c>
      <c r="I516" t="n">
        <v>0</v>
      </c>
      <c r="J516" t="n">
        <v>0</v>
      </c>
      <c r="K516" t="n">
        <v>0</v>
      </c>
      <c r="L516" t="n">
        <v>0</v>
      </c>
      <c r="M516" t="n">
        <v>0</v>
      </c>
      <c r="N516" t="n">
        <v>0</v>
      </c>
    </row>
    <row r="517">
      <c r="A517" t="inlineStr">
        <is>
          <t>Stock</t>
        </is>
      </c>
      <c r="B517" t="inlineStr">
        <is>
          <t>Piglets: 17 from the offspring of the sows this year. 3 in murrain.</t>
        </is>
      </c>
      <c r="C517" t="n">
        <v>0</v>
      </c>
      <c r="D517" t="n">
        <v>0</v>
      </c>
      <c r="E517" t="n">
        <v>0</v>
      </c>
      <c r="F517" t="n">
        <v>0</v>
      </c>
      <c r="H517" t="n">
        <v>0</v>
      </c>
      <c r="I517" t="n">
        <v>0</v>
      </c>
      <c r="J517" t="n">
        <v>0</v>
      </c>
      <c r="K517" t="n">
        <v>0</v>
      </c>
      <c r="L517" t="n">
        <v>0</v>
      </c>
      <c r="M517" t="n">
        <v>0</v>
      </c>
      <c r="N517" t="n">
        <v>0</v>
      </c>
    </row>
    <row r="518">
      <c r="A518" t="inlineStr">
        <is>
          <t>Stock</t>
        </is>
      </c>
      <c r="B518" t="inlineStr">
        <is>
          <t>1 in tithe.</t>
        </is>
      </c>
      <c r="C518" t="n">
        <v>0</v>
      </c>
      <c r="D518" t="n">
        <v>0</v>
      </c>
      <c r="E518" t="n">
        <v>0</v>
      </c>
      <c r="F518" t="n">
        <v>0</v>
      </c>
      <c r="H518" t="n">
        <v>0</v>
      </c>
      <c r="I518" t="n">
        <v>0</v>
      </c>
      <c r="J518" t="n">
        <v>0</v>
      </c>
      <c r="K518" t="n">
        <v>0</v>
      </c>
      <c r="L518" t="n">
        <v>0</v>
      </c>
      <c r="M518" t="n">
        <v>0</v>
      </c>
      <c r="N518" t="n">
        <v>0</v>
      </c>
    </row>
    <row r="519">
      <c r="A519" t="inlineStr">
        <is>
          <t>Stock</t>
        </is>
      </c>
      <c r="B519" t="inlineStr">
        <is>
          <t>Total, 4. 13 remain.</t>
        </is>
      </c>
      <c r="C519" t="n">
        <v>0</v>
      </c>
      <c r="D519" t="n">
        <v>0</v>
      </c>
      <c r="E519" t="n">
        <v>0</v>
      </c>
      <c r="F519" t="n">
        <v>0</v>
      </c>
      <c r="H519" t="n">
        <v>0</v>
      </c>
      <c r="I519" t="n">
        <v>0</v>
      </c>
      <c r="J519" t="n">
        <v>0</v>
      </c>
      <c r="K519" t="n">
        <v>0</v>
      </c>
      <c r="L519" t="n">
        <v>0</v>
      </c>
      <c r="M519" t="n">
        <v>0</v>
      </c>
      <c r="N519" t="n">
        <v>0</v>
      </c>
    </row>
    <row r="520">
      <c r="A520" t="inlineStr">
        <is>
          <t>Stock</t>
        </is>
      </c>
      <c r="B520" t="inlineStr">
        <is>
          <t>Coarse wool {yield of fleece 3Vpence less 4.75. in all): 528 fleeces produced at the shearing this year.</t>
        </is>
      </c>
      <c r="C520" t="n">
        <v>0</v>
      </c>
      <c r="D520" t="n">
        <v>0</v>
      </c>
      <c r="E520" t="n">
        <v>0</v>
      </c>
      <c r="F520" t="n">
        <v>0</v>
      </c>
      <c r="H520" t="n">
        <v>0</v>
      </c>
      <c r="I520" t="n">
        <v>0</v>
      </c>
      <c r="J520" t="n">
        <v>0</v>
      </c>
      <c r="K520" t="n">
        <v>0</v>
      </c>
      <c r="L520" t="n">
        <v>0</v>
      </c>
      <c r="M520" t="n">
        <v>0</v>
      </c>
      <c r="N520" t="n">
        <v>0</v>
      </c>
    </row>
    <row r="521">
      <c r="A521" t="inlineStr">
        <is>
          <t>Stock</t>
        </is>
      </c>
      <c r="B521" t="inlineStr">
        <is>
          <t>53 in tithe.</t>
        </is>
      </c>
      <c r="C521" t="n">
        <v>0</v>
      </c>
      <c r="D521" t="n">
        <v>0</v>
      </c>
      <c r="E521" t="n">
        <v>0</v>
      </c>
      <c r="F521" t="n">
        <v>0</v>
      </c>
      <c r="H521" t="n">
        <v>0</v>
      </c>
      <c r="I521" t="n">
        <v>0</v>
      </c>
      <c r="J521" t="n">
        <v>0</v>
      </c>
      <c r="K521" t="n">
        <v>0</v>
      </c>
      <c r="L521" t="n">
        <v>0</v>
      </c>
      <c r="M521" t="n">
        <v>0</v>
      </c>
      <c r="N521" t="n">
        <v>0</v>
      </c>
    </row>
    <row r="522">
      <c r="A522" t="inlineStr">
        <is>
          <t>Stock</t>
        </is>
      </c>
      <c r="B522" t="inlineStr">
        <is>
          <t>375 sent to Wolvesey, which made 2 weys and 12 cloves.</t>
        </is>
      </c>
      <c r="C522" t="n">
        <v>0</v>
      </c>
      <c r="D522" t="n">
        <v>0</v>
      </c>
      <c r="E522" t="n">
        <v>0</v>
      </c>
      <c r="F522" t="n">
        <v>0</v>
      </c>
      <c r="H522" t="n">
        <v>0</v>
      </c>
      <c r="I522" t="n">
        <v>0</v>
      </c>
      <c r="J522" t="n">
        <v>0</v>
      </c>
      <c r="K522" t="n">
        <v>0</v>
      </c>
      <c r="L522" t="n">
        <v>0</v>
      </c>
      <c r="M522" t="n">
        <v>0</v>
      </c>
      <c r="N522" t="n">
        <v>0</v>
      </c>
    </row>
    <row r="523">
      <c r="A523" t="inlineStr">
        <is>
          <t>Stock</t>
        </is>
      </c>
      <c r="B523" t="inlineStr">
        <is>
          <t>Wool locks: 6 cloves.</t>
        </is>
      </c>
      <c r="C523" t="n">
        <v>0</v>
      </c>
      <c r="D523" t="n">
        <v>0</v>
      </c>
      <c r="E523" t="n">
        <v>0</v>
      </c>
      <c r="F523" t="n">
        <v>0</v>
      </c>
      <c r="H523" t="n">
        <v>0</v>
      </c>
      <c r="I523" t="n">
        <v>0</v>
      </c>
      <c r="J523" t="n">
        <v>0</v>
      </c>
      <c r="K523" t="n">
        <v>0</v>
      </c>
      <c r="L523" t="n">
        <v>0</v>
      </c>
      <c r="M523" t="n">
        <v>0</v>
      </c>
      <c r="N523" t="n">
        <v>0</v>
      </c>
    </row>
    <row r="524">
      <c r="A524" t="inlineStr">
        <is>
          <t>Stock</t>
        </is>
      </c>
      <c r="B524" t="inlineStr">
        <is>
          <t>all solpence</t>
        </is>
      </c>
      <c r="C524" t="n">
        <v>0</v>
      </c>
      <c r="D524" t="n">
        <v>0</v>
      </c>
      <c r="E524" t="n">
        <v>0</v>
      </c>
      <c r="F524" t="n">
        <v>0</v>
      </c>
      <c r="H524" t="n">
        <v>0</v>
      </c>
      <c r="I524" t="n">
        <v>0</v>
      </c>
      <c r="J524" t="n">
        <v>0</v>
      </c>
      <c r="K524" t="n">
        <v>0</v>
      </c>
      <c r="L524" t="n">
        <v>0</v>
      </c>
      <c r="M524" t="n">
        <v>0</v>
      </c>
      <c r="N524" t="n">
        <v>0</v>
      </c>
    </row>
    <row r="525">
      <c r="A525" t="inlineStr">
        <is>
          <t>Stock</t>
        </is>
      </c>
      <c r="B525" t="inlineStr">
        <is>
          <t>Lamb's-wool: (yield of fleece 1.25pence plus 8.25pence in all): 122 fleeces produced at the shearing this year.</t>
        </is>
      </c>
      <c r="C525" t="n">
        <v>0.01</v>
      </c>
      <c r="D525" t="n">
        <v>0</v>
      </c>
      <c r="E525" t="n">
        <v>0</v>
      </c>
      <c r="F525" t="n">
        <v>1.25</v>
      </c>
      <c r="H525" t="n">
        <v>0</v>
      </c>
      <c r="I525" t="n">
        <v>0</v>
      </c>
      <c r="J525" t="n">
        <v>0</v>
      </c>
      <c r="K525" t="n">
        <v>0</v>
      </c>
      <c r="L525" t="n">
        <v>0</v>
      </c>
      <c r="M525" t="n">
        <v>0</v>
      </c>
      <c r="N525" t="n">
        <v>0</v>
      </c>
    </row>
    <row r="526">
      <c r="A526" t="inlineStr">
        <is>
          <t>Stock</t>
        </is>
      </c>
      <c r="B526" t="inlineStr">
        <is>
          <t>all sent to Wolvesey, which made 7 cloves.</t>
        </is>
      </c>
      <c r="C526" t="n">
        <v>0</v>
      </c>
      <c r="D526" t="n">
        <v>0</v>
      </c>
      <c r="E526" t="n">
        <v>0</v>
      </c>
      <c r="F526" t="n">
        <v>0</v>
      </c>
      <c r="H526" t="n">
        <v>0</v>
      </c>
      <c r="I526" t="n">
        <v>0</v>
      </c>
      <c r="J526" t="n">
        <v>0</v>
      </c>
      <c r="K526" t="n">
        <v>0</v>
      </c>
      <c r="L526" t="n">
        <v>0</v>
      </c>
      <c r="M526" t="n">
        <v>0</v>
      </c>
      <c r="N526" t="n">
        <v>0</v>
      </c>
    </row>
    <row r="527">
      <c r="A527" t="inlineStr">
        <is>
          <t>Stock</t>
        </is>
      </c>
      <c r="B527" t="inlineStr">
        <is>
          <t>Winter cheese: 41 made this year.</t>
        </is>
      </c>
      <c r="C527" t="n">
        <v>0</v>
      </c>
      <c r="D527" t="n">
        <v>0</v>
      </c>
      <c r="E527" t="n">
        <v>0</v>
      </c>
      <c r="F527" t="n">
        <v>0</v>
      </c>
      <c r="H527" t="n">
        <v>0</v>
      </c>
      <c r="I527" t="n">
        <v>0</v>
      </c>
      <c r="J527" t="n">
        <v>0</v>
      </c>
      <c r="K527" t="n">
        <v>0</v>
      </c>
      <c r="L527" t="n">
        <v>0</v>
      </c>
      <c r="M527" t="n">
        <v>0</v>
      </c>
      <c r="N527" t="n">
        <v>0</v>
      </c>
    </row>
    <row r="528">
      <c r="A528" t="inlineStr">
        <is>
          <t>Stock</t>
        </is>
      </c>
      <c r="B528" t="inlineStr">
        <is>
          <t>all sold, which made .5 wey.</t>
        </is>
      </c>
      <c r="C528" t="n">
        <v>0</v>
      </c>
      <c r="D528" t="n">
        <v>0</v>
      </c>
      <c r="E528" t="n">
        <v>0</v>
      </c>
      <c r="F528" t="n">
        <v>0</v>
      </c>
      <c r="H528" t="n">
        <v>0</v>
      </c>
      <c r="I528" t="n">
        <v>0</v>
      </c>
      <c r="J528" t="n">
        <v>0</v>
      </c>
      <c r="K528" t="n">
        <v>0</v>
      </c>
      <c r="L528" t="n">
        <v>0</v>
      </c>
      <c r="M528" t="n">
        <v>0</v>
      </c>
      <c r="N528" t="n">
        <v>0</v>
      </c>
    </row>
    <row r="529">
      <c r="A529" t="inlineStr">
        <is>
          <t>Stock</t>
        </is>
      </c>
      <c r="B529" t="inlineStr">
        <is>
          <t>Summer cheese: {yield of cow 3 shilling and sheep 3pence with 4 cheeses in customary payment valued at 2 shilling 8pence and 1 cheese in provision of the steward valued at 6pence, less 3 shilling 51/pence in all): 162 cheeses made between Thursday the feast of St Alphege (19 April) and Michaelmas (29 September), both days included.</t>
        </is>
      </c>
      <c r="C529" t="n">
        <v>0.16</v>
      </c>
      <c r="D529" t="n">
        <v>0</v>
      </c>
      <c r="E529" t="n">
        <v>3</v>
      </c>
      <c r="F529" t="n">
        <v>3</v>
      </c>
      <c r="H529" t="n">
        <v>0</v>
      </c>
      <c r="I529" t="n">
        <v>0</v>
      </c>
      <c r="J529" t="n">
        <v>0</v>
      </c>
      <c r="K529" t="n">
        <v>0</v>
      </c>
      <c r="L529" t="n">
        <v>0</v>
      </c>
      <c r="M529" t="n">
        <v>0</v>
      </c>
      <c r="N529" t="n">
        <v>0</v>
      </c>
    </row>
    <row r="530">
      <c r="A530" t="inlineStr">
        <is>
          <t>Stock</t>
        </is>
      </c>
      <c r="B530" t="inlineStr">
        <is>
          <t>16 in tithe.</t>
        </is>
      </c>
      <c r="C530" t="n">
        <v>0</v>
      </c>
      <c r="D530" t="n">
        <v>0</v>
      </c>
      <c r="E530" t="n">
        <v>0</v>
      </c>
      <c r="F530" t="n">
        <v>0</v>
      </c>
      <c r="H530" t="n">
        <v>0</v>
      </c>
      <c r="I530" t="n">
        <v>0</v>
      </c>
      <c r="J530" t="n">
        <v>0</v>
      </c>
      <c r="K530" t="n">
        <v>0</v>
      </c>
      <c r="L530" t="n">
        <v>0</v>
      </c>
      <c r="M530" t="n">
        <v>0</v>
      </c>
      <c r="N530" t="n">
        <v>0</v>
      </c>
    </row>
    <row r="531">
      <c r="A531" t="inlineStr">
        <is>
          <t>Stock</t>
        </is>
      </c>
      <c r="B531" t="inlineStr">
        <is>
          <t>3 in customary payment to 1 beadle, 1 smith and 1 shepherd.</t>
        </is>
      </c>
      <c r="C531" t="n">
        <v>0</v>
      </c>
      <c r="D531" t="n">
        <v>0</v>
      </c>
      <c r="E531" t="n">
        <v>0</v>
      </c>
      <c r="F531" t="n">
        <v>0</v>
      </c>
      <c r="H531" t="n">
        <v>0</v>
      </c>
      <c r="I531" t="n">
        <v>0</v>
      </c>
      <c r="J531" t="n">
        <v>0</v>
      </c>
      <c r="K531" t="n">
        <v>0</v>
      </c>
      <c r="L531" t="n">
        <v>0</v>
      </c>
      <c r="M531" t="n">
        <v>0</v>
      </c>
      <c r="N531" t="n">
        <v>0</v>
      </c>
    </row>
    <row r="532">
      <c r="A532" t="inlineStr">
        <is>
          <t>Stock</t>
        </is>
      </c>
      <c r="B532" t="inlineStr">
        <is>
          <t>1 in customary payment for the mowing of the meadow.</t>
        </is>
      </c>
      <c r="C532" t="n">
        <v>0</v>
      </c>
      <c r="D532" t="n">
        <v>0</v>
      </c>
      <c r="E532" t="n">
        <v>0</v>
      </c>
      <c r="F532" t="n">
        <v>0</v>
      </c>
      <c r="H532" t="n">
        <v>0</v>
      </c>
      <c r="I532" t="n">
        <v>0</v>
      </c>
      <c r="J532" t="n">
        <v>0</v>
      </c>
      <c r="K532" t="n">
        <v>0</v>
      </c>
      <c r="L532" t="n">
        <v>0</v>
      </c>
      <c r="M532" t="n">
        <v>0</v>
      </c>
      <c r="N532" t="n">
        <v>0</v>
      </c>
    </row>
    <row r="533">
      <c r="A533" t="inlineStr">
        <is>
          <t>Stock</t>
        </is>
      </c>
      <c r="B533" t="inlineStr">
        <is>
          <t>1 in provision of the steward.</t>
        </is>
      </c>
      <c r="C533" t="n">
        <v>0</v>
      </c>
      <c r="D533" t="n">
        <v>0</v>
      </c>
      <c r="E533" t="n">
        <v>0</v>
      </c>
      <c r="F533" t="n">
        <v>0</v>
      </c>
      <c r="H533" t="n">
        <v>0</v>
      </c>
      <c r="I533" t="n">
        <v>0</v>
      </c>
      <c r="J533" t="n">
        <v>0</v>
      </c>
      <c r="K533" t="n">
        <v>0</v>
      </c>
      <c r="L533" t="n">
        <v>0</v>
      </c>
      <c r="M533" t="n">
        <v>0</v>
      </c>
      <c r="N533" t="n">
        <v>0</v>
      </c>
    </row>
    <row r="534">
      <c r="A534" t="inlineStr">
        <is>
          <t>Stock</t>
        </is>
      </c>
      <c r="B534" t="inlineStr">
        <is>
          <t>141 sold, which made 11 weys.</t>
        </is>
      </c>
      <c r="C534" t="n">
        <v>0</v>
      </c>
      <c r="D534" t="n">
        <v>0</v>
      </c>
      <c r="E534" t="n">
        <v>0</v>
      </c>
      <c r="F534" t="n">
        <v>0</v>
      </c>
      <c r="H534" t="n">
        <v>0</v>
      </c>
      <c r="I534" t="n">
        <v>0</v>
      </c>
      <c r="J534" t="n">
        <v>0</v>
      </c>
      <c r="K534" t="n">
        <v>0</v>
      </c>
      <c r="L534" t="n">
        <v>0</v>
      </c>
      <c r="M534" t="n">
        <v>0</v>
      </c>
      <c r="N534" t="n">
        <v>0</v>
      </c>
    </row>
    <row r="535">
      <c r="A535" t="inlineStr">
        <is>
          <t>Stock</t>
        </is>
      </c>
      <c r="B535" t="inlineStr">
        <is>
          <t>Butter: 22 cloves made this year.</t>
        </is>
      </c>
      <c r="C535" t="n">
        <v>0</v>
      </c>
      <c r="D535" t="n">
        <v>0</v>
      </c>
      <c r="E535" t="n">
        <v>0</v>
      </c>
      <c r="F535" t="n">
        <v>0</v>
      </c>
      <c r="H535" t="n">
        <v>0</v>
      </c>
      <c r="I535" t="n">
        <v>0</v>
      </c>
      <c r="J535" t="n">
        <v>0</v>
      </c>
      <c r="K535" t="n">
        <v>0</v>
      </c>
      <c r="L535" t="n">
        <v>0</v>
      </c>
      <c r="M535" t="n">
        <v>0</v>
      </c>
      <c r="N535" t="n">
        <v>0</v>
      </c>
    </row>
    <row r="536">
      <c r="A536" t="inlineStr">
        <is>
          <t>Stock</t>
        </is>
      </c>
      <c r="B536" t="inlineStr">
        <is>
          <t>all solpence</t>
        </is>
      </c>
      <c r="C536" t="n">
        <v>0</v>
      </c>
      <c r="D536" t="n">
        <v>0</v>
      </c>
      <c r="E536" t="n">
        <v>0</v>
      </c>
      <c r="F536" t="n">
        <v>0</v>
      </c>
      <c r="H536" t="n">
        <v>0</v>
      </c>
      <c r="I536" t="n">
        <v>0</v>
      </c>
      <c r="J536" t="n">
        <v>0</v>
      </c>
      <c r="K536" t="n">
        <v>0</v>
      </c>
      <c r="L536" t="n">
        <v>0</v>
      </c>
      <c r="M536" t="n">
        <v>0</v>
      </c>
      <c r="N536" t="n">
        <v>0</v>
      </c>
    </row>
    <row r="537">
      <c r="A537" t="inlineStr">
        <is>
          <t>Stock</t>
        </is>
      </c>
      <c r="B537" t="inlineStr">
        <is>
          <t>Salt: 292.5 sesters remain from the previous year.</t>
        </is>
      </c>
      <c r="C537" t="n">
        <v>0</v>
      </c>
      <c r="D537" t="n">
        <v>0</v>
      </c>
      <c r="E537" t="n">
        <v>0</v>
      </c>
      <c r="F537" t="n">
        <v>0</v>
      </c>
      <c r="H537" t="n">
        <v>0</v>
      </c>
      <c r="I537" t="n">
        <v>0</v>
      </c>
      <c r="J537" t="n">
        <v>0</v>
      </c>
      <c r="K537" t="n">
        <v>0</v>
      </c>
      <c r="L537" t="n">
        <v>0</v>
      </c>
      <c r="M537" t="n">
        <v>0</v>
      </c>
      <c r="N537" t="n">
        <v>0</v>
      </c>
    </row>
    <row r="538">
      <c r="A538" t="inlineStr">
        <is>
          <t>Stock</t>
        </is>
      </c>
      <c r="B538" t="inlineStr">
        <is>
          <t>76 sesters from the rent of Bursledon this year.</t>
        </is>
      </c>
      <c r="C538" t="n">
        <v>0</v>
      </c>
      <c r="D538" t="n">
        <v>0</v>
      </c>
      <c r="E538" t="n">
        <v>0</v>
      </c>
      <c r="F538" t="n">
        <v>0</v>
      </c>
      <c r="H538" t="n">
        <v>0</v>
      </c>
      <c r="I538" t="n">
        <v>0</v>
      </c>
      <c r="J538" t="n">
        <v>0</v>
      </c>
      <c r="K538" t="n">
        <v>0</v>
      </c>
      <c r="L538" t="n">
        <v>0</v>
      </c>
      <c r="M538" t="n">
        <v>0</v>
      </c>
      <c r="N538" t="n">
        <v>0</v>
      </c>
    </row>
    <row r="539">
      <c r="A539" t="inlineStr">
        <is>
          <t>Stock</t>
        </is>
      </c>
      <c r="B539" t="inlineStr">
        <is>
          <t>Total, 368.5 sesters. 3 washed away (decursu).</t>
        </is>
      </c>
      <c r="C539" t="n">
        <v>0</v>
      </c>
      <c r="D539" t="n">
        <v>0</v>
      </c>
      <c r="E539" t="n">
        <v>0</v>
      </c>
      <c r="F539" t="n">
        <v>0</v>
      </c>
      <c r="H539" t="n">
        <v>0</v>
      </c>
      <c r="I539" t="n">
        <v>0</v>
      </c>
      <c r="J539" t="n">
        <v>0</v>
      </c>
      <c r="K539" t="n">
        <v>0</v>
      </c>
      <c r="L539" t="n">
        <v>0</v>
      </c>
      <c r="M539" t="n">
        <v>0</v>
      </c>
      <c r="N539" t="n">
        <v>0</v>
      </c>
    </row>
    <row r="540">
      <c r="A540" t="inlineStr">
        <is>
          <t>Stock</t>
        </is>
      </c>
      <c r="B540" t="inlineStr">
        <is>
          <t>365.5 sesters solpence</t>
        </is>
      </c>
      <c r="C540" t="n">
        <v>0</v>
      </c>
      <c r="D540" t="n">
        <v>0</v>
      </c>
      <c r="E540" t="n">
        <v>0</v>
      </c>
      <c r="F540" t="n">
        <v>0</v>
      </c>
      <c r="H540" t="n">
        <v>0</v>
      </c>
      <c r="I540" t="n">
        <v>0</v>
      </c>
      <c r="J540" t="n">
        <v>0</v>
      </c>
      <c r="K540" t="n">
        <v>0</v>
      </c>
      <c r="L540" t="n">
        <v>0</v>
      </c>
      <c r="M540" t="n">
        <v>0</v>
      </c>
      <c r="N540" t="n">
        <v>0</v>
      </c>
    </row>
    <row r="541">
      <c r="A541" t="inlineStr">
        <is>
          <t>Stock</t>
        </is>
      </c>
      <c r="B541" t="inlineStr">
        <is>
          <t>Hens: 172 from churchscot. 1 in default of the land of Peter ate Feld'.</t>
        </is>
      </c>
      <c r="C541" t="n">
        <v>0</v>
      </c>
      <c r="D541" t="n">
        <v>0</v>
      </c>
      <c r="E541" t="n">
        <v>0</v>
      </c>
      <c r="F541" t="n">
        <v>0</v>
      </c>
      <c r="H541" t="n">
        <v>0</v>
      </c>
      <c r="I541" t="n">
        <v>0</v>
      </c>
      <c r="J541" t="n">
        <v>0</v>
      </c>
      <c r="K541" t="n">
        <v>0</v>
      </c>
      <c r="L541" t="n">
        <v>0</v>
      </c>
      <c r="M541" t="n">
        <v>0</v>
      </c>
      <c r="N541" t="n">
        <v>0</v>
      </c>
    </row>
    <row r="542">
      <c r="A542" t="inlineStr">
        <is>
          <t>Stock</t>
        </is>
      </c>
      <c r="B542" t="inlineStr">
        <is>
          <t>1 in default of the land of William Operych.</t>
        </is>
      </c>
      <c r="C542" t="n">
        <v>0</v>
      </c>
      <c r="D542" t="n">
        <v>0</v>
      </c>
      <c r="E542" t="n">
        <v>0</v>
      </c>
      <c r="F542" t="n">
        <v>0</v>
      </c>
      <c r="H542" t="n">
        <v>0</v>
      </c>
      <c r="I542" t="n">
        <v>0</v>
      </c>
      <c r="J542" t="n">
        <v>0</v>
      </c>
      <c r="K542" t="n">
        <v>0</v>
      </c>
      <c r="L542" t="n">
        <v>0</v>
      </c>
      <c r="M542" t="n">
        <v>0</v>
      </c>
      <c r="N542" t="n">
        <v>0</v>
      </c>
    </row>
    <row r="543">
      <c r="A543" t="inlineStr">
        <is>
          <t>Stock</t>
        </is>
      </c>
      <c r="B543" t="inlineStr">
        <is>
          <t>1 in default of the land of Maurice Hudy.</t>
        </is>
      </c>
      <c r="C543" t="n">
        <v>0</v>
      </c>
      <c r="D543" t="n">
        <v>0</v>
      </c>
      <c r="E543" t="n">
        <v>0</v>
      </c>
      <c r="F543" t="n">
        <v>0</v>
      </c>
      <c r="H543" t="n">
        <v>0</v>
      </c>
      <c r="I543" t="n">
        <v>0</v>
      </c>
      <c r="J543" t="n">
        <v>0</v>
      </c>
      <c r="K543" t="n">
        <v>0</v>
      </c>
      <c r="L543" t="n">
        <v>0</v>
      </c>
      <c r="M543" t="n">
        <v>0</v>
      </c>
      <c r="N543" t="n">
        <v>0</v>
      </c>
    </row>
    <row r="544">
      <c r="A544" t="inlineStr">
        <is>
          <t>Stock</t>
        </is>
      </c>
      <c r="B544" t="inlineStr">
        <is>
          <t>2 in default of the land of Matilda Charnpayn.</t>
        </is>
      </c>
      <c r="C544" t="n">
        <v>0</v>
      </c>
      <c r="D544" t="n">
        <v>0</v>
      </c>
      <c r="E544" t="n">
        <v>0</v>
      </c>
      <c r="F544" t="n">
        <v>0</v>
      </c>
      <c r="H544" t="n">
        <v>0</v>
      </c>
      <c r="I544" t="n">
        <v>0</v>
      </c>
      <c r="J544" t="n">
        <v>0</v>
      </c>
      <c r="K544" t="n">
        <v>0</v>
      </c>
      <c r="L544" t="n">
        <v>0</v>
      </c>
      <c r="M544" t="n">
        <v>0</v>
      </c>
      <c r="N544" t="n">
        <v>0</v>
      </c>
    </row>
    <row r="545">
      <c r="A545" t="inlineStr">
        <is>
          <t>Stock</t>
        </is>
      </c>
      <c r="B545" t="inlineStr">
        <is>
          <t>2 in default of Isabel Walewayn.</t>
        </is>
      </c>
      <c r="C545" t="n">
        <v>0</v>
      </c>
      <c r="D545" t="n">
        <v>0</v>
      </c>
      <c r="E545" t="n">
        <v>0</v>
      </c>
      <c r="F545" t="n">
        <v>0</v>
      </c>
      <c r="H545" t="n">
        <v>0</v>
      </c>
      <c r="I545" t="n">
        <v>0</v>
      </c>
      <c r="J545" t="n">
        <v>0</v>
      </c>
      <c r="K545" t="n">
        <v>0</v>
      </c>
      <c r="L545" t="n">
        <v>0</v>
      </c>
      <c r="M545" t="n">
        <v>0</v>
      </c>
      <c r="N545" t="n">
        <v>0</v>
      </c>
    </row>
    <row r="546">
      <c r="A546" t="inlineStr">
        <is>
          <t>Stock</t>
        </is>
      </c>
      <c r="B546" t="inlineStr">
        <is>
          <t>2 in default of the land of Henry Parmenter.</t>
        </is>
      </c>
      <c r="C546" t="n">
        <v>0</v>
      </c>
      <c r="D546" t="n">
        <v>0</v>
      </c>
      <c r="E546" t="n">
        <v>0</v>
      </c>
      <c r="F546" t="n">
        <v>0</v>
      </c>
      <c r="H546" t="n">
        <v>0</v>
      </c>
      <c r="I546" t="n">
        <v>0</v>
      </c>
      <c r="J546" t="n">
        <v>0</v>
      </c>
      <c r="K546" t="n">
        <v>0</v>
      </c>
      <c r="L546" t="n">
        <v>0</v>
      </c>
      <c r="M546" t="n">
        <v>0</v>
      </c>
      <c r="N546" t="n">
        <v>0</v>
      </c>
    </row>
    <row r="547">
      <c r="A547" t="inlineStr">
        <is>
          <t>Stock</t>
        </is>
      </c>
      <c r="B547" t="inlineStr">
        <is>
          <t>1 in default of the land of Robert Faber.</t>
        </is>
      </c>
      <c r="C547" t="n">
        <v>0</v>
      </c>
      <c r="D547" t="n">
        <v>0</v>
      </c>
      <c r="E547" t="n">
        <v>0</v>
      </c>
      <c r="F547" t="n">
        <v>0</v>
      </c>
      <c r="H547" t="n">
        <v>0</v>
      </c>
      <c r="I547" t="n">
        <v>0</v>
      </c>
      <c r="J547" t="n">
        <v>0</v>
      </c>
      <c r="K547" t="n">
        <v>0</v>
      </c>
      <c r="L547" t="n">
        <v>0</v>
      </c>
      <c r="M547" t="n">
        <v>0</v>
      </c>
      <c r="N547" t="n">
        <v>0</v>
      </c>
    </row>
    <row r="548">
      <c r="A548" t="inlineStr">
        <is>
          <t>Stock</t>
        </is>
      </c>
      <c r="B548" t="inlineStr">
        <is>
          <t>4 in default of the land which belonged to Henry Wrenht, which was leased and which Henry le White now holds.</t>
        </is>
      </c>
      <c r="C548" t="n">
        <v>0</v>
      </c>
      <c r="D548" t="n">
        <v>0</v>
      </c>
      <c r="E548" t="n">
        <v>0</v>
      </c>
      <c r="F548" t="n">
        <v>0</v>
      </c>
      <c r="H548" t="n">
        <v>0</v>
      </c>
      <c r="I548" t="n">
        <v>0</v>
      </c>
      <c r="J548" t="n">
        <v>0</v>
      </c>
      <c r="K548" t="n">
        <v>0</v>
      </c>
      <c r="L548" t="n">
        <v>0</v>
      </c>
      <c r="M548" t="n">
        <v>0</v>
      </c>
      <c r="N548" t="n">
        <v>0</v>
      </c>
    </row>
    <row r="549">
      <c r="A549" t="inlineStr">
        <is>
          <t>Stock</t>
        </is>
      </c>
      <c r="B549" t="inlineStr">
        <is>
          <t>2 in default of the land of Walter ate Brok'.</t>
        </is>
      </c>
      <c r="C549" t="n">
        <v>0</v>
      </c>
      <c r="D549" t="n">
        <v>0</v>
      </c>
      <c r="E549" t="n">
        <v>0</v>
      </c>
      <c r="F549" t="n">
        <v>0</v>
      </c>
      <c r="H549" t="n">
        <v>0</v>
      </c>
      <c r="I549" t="n">
        <v>0</v>
      </c>
      <c r="J549" t="n">
        <v>0</v>
      </c>
      <c r="K549" t="n">
        <v>0</v>
      </c>
      <c r="L549" t="n">
        <v>0</v>
      </c>
      <c r="M549" t="n">
        <v>0</v>
      </c>
      <c r="N549" t="n">
        <v>0</v>
      </c>
    </row>
    <row r="550">
      <c r="A550" t="inlineStr">
        <is>
          <t>Stock</t>
        </is>
      </c>
      <c r="B550" t="inlineStr">
        <is>
          <t>2 in default of the land of Walter Kempe.</t>
        </is>
      </c>
      <c r="C550" t="n">
        <v>0</v>
      </c>
      <c r="D550" t="n">
        <v>0</v>
      </c>
      <c r="E550" t="n">
        <v>0</v>
      </c>
      <c r="F550" t="n">
        <v>0</v>
      </c>
      <c r="H550" t="n">
        <v>0</v>
      </c>
      <c r="I550" t="n">
        <v>0</v>
      </c>
      <c r="J550" t="n">
        <v>0</v>
      </c>
      <c r="K550" t="n">
        <v>0</v>
      </c>
      <c r="L550" t="n">
        <v>0</v>
      </c>
      <c r="M550" t="n">
        <v>0</v>
      </c>
      <c r="N550" t="n">
        <v>0</v>
      </c>
    </row>
    <row r="551">
      <c r="A551" t="inlineStr">
        <is>
          <t>Stock</t>
        </is>
      </c>
      <c r="B551" t="inlineStr">
        <is>
          <t>Total, 18. 154 solpence</t>
        </is>
      </c>
      <c r="C551" t="n">
        <v>0</v>
      </c>
      <c r="D551" t="n">
        <v>0</v>
      </c>
      <c r="E551" t="n">
        <v>0</v>
      </c>
      <c r="F551" t="n">
        <v>0</v>
      </c>
      <c r="H551" t="n">
        <v>0</v>
      </c>
      <c r="I551" t="n">
        <v>0</v>
      </c>
      <c r="J551" t="n">
        <v>0</v>
      </c>
      <c r="K551" t="n">
        <v>0</v>
      </c>
      <c r="L551" t="n">
        <v>0</v>
      </c>
      <c r="M551" t="n">
        <v>0</v>
      </c>
      <c r="N551" t="n">
        <v>0</v>
      </c>
    </row>
    <row r="552">
      <c r="A552" t="inlineStr">
        <is>
          <t>Stock</t>
        </is>
      </c>
      <c r="B552" t="inlineStr">
        <is>
          <t>Swans: 13 remain from the previous year.</t>
        </is>
      </c>
      <c r="C552" t="n">
        <v>0</v>
      </c>
      <c r="D552" t="n">
        <v>0</v>
      </c>
      <c r="E552" t="n">
        <v>0</v>
      </c>
      <c r="F552" t="n">
        <v>0</v>
      </c>
      <c r="H552" t="n">
        <v>0</v>
      </c>
      <c r="I552" t="n">
        <v>0</v>
      </c>
      <c r="J552" t="n">
        <v>0</v>
      </c>
      <c r="K552" t="n">
        <v>0</v>
      </c>
      <c r="L552" t="n">
        <v>0</v>
      </c>
      <c r="M552" t="n">
        <v>0</v>
      </c>
      <c r="N552" t="n">
        <v>0</v>
      </c>
    </row>
    <row r="553">
      <c r="A553" t="inlineStr">
        <is>
          <t>Stock</t>
        </is>
      </c>
      <c r="B553" t="inlineStr">
        <is>
          <t>3 from this year's offspring.</t>
        </is>
      </c>
      <c r="C553" t="n">
        <v>0</v>
      </c>
      <c r="D553" t="n">
        <v>0</v>
      </c>
      <c r="E553" t="n">
        <v>0</v>
      </c>
      <c r="F553" t="n">
        <v>0</v>
      </c>
      <c r="H553" t="n">
        <v>0</v>
      </c>
      <c r="I553" t="n">
        <v>0</v>
      </c>
      <c r="J553" t="n">
        <v>0</v>
      </c>
      <c r="K553" t="n">
        <v>0</v>
      </c>
      <c r="L553" t="n">
        <v>0</v>
      </c>
      <c r="M553" t="n">
        <v>0</v>
      </c>
      <c r="N553" t="n">
        <v>0</v>
      </c>
    </row>
    <row r="554">
      <c r="A554" t="inlineStr">
        <is>
          <t>Stock</t>
        </is>
      </c>
      <c r="B554" t="inlineStr">
        <is>
          <t>Total, 16, of which.</t>
        </is>
      </c>
      <c r="C554" t="n">
        <v>0</v>
      </c>
      <c r="D554" t="n">
        <v>0</v>
      </c>
      <c r="E554" t="n">
        <v>0</v>
      </c>
      <c r="F554" t="n">
        <v>0</v>
      </c>
      <c r="H554" t="n">
        <v>0</v>
      </c>
      <c r="I554" t="n">
        <v>0</v>
      </c>
      <c r="J554" t="n">
        <v>0</v>
      </c>
      <c r="K554" t="n">
        <v>0</v>
      </c>
      <c r="L554" t="n">
        <v>0</v>
      </c>
      <c r="M554" t="n">
        <v>0</v>
      </c>
      <c r="N554" t="n">
        <v>0</v>
      </c>
    </row>
    <row r="555">
      <c r="A555" t="inlineStr">
        <is>
          <t>Stock</t>
        </is>
      </c>
      <c r="B555" t="inlineStr">
        <is>
          <t>Peacocks: 6 remain from the previous year.</t>
        </is>
      </c>
      <c r="C555" t="n">
        <v>0</v>
      </c>
      <c r="D555" t="n">
        <v>0</v>
      </c>
      <c r="E555" t="n">
        <v>0</v>
      </c>
      <c r="F555" t="n">
        <v>0</v>
      </c>
      <c r="H555" t="n">
        <v>0</v>
      </c>
      <c r="I555" t="n">
        <v>0</v>
      </c>
      <c r="J555" t="n">
        <v>0</v>
      </c>
      <c r="K555" t="n">
        <v>0</v>
      </c>
      <c r="L555" t="n">
        <v>0</v>
      </c>
      <c r="M555" t="n">
        <v>0</v>
      </c>
      <c r="N555" t="n">
        <v>0</v>
      </c>
    </row>
    <row r="556">
      <c r="A556" t="inlineStr">
        <is>
          <t>Stock</t>
        </is>
      </c>
      <c r="B556" t="inlineStr">
        <is>
          <t>1 from this year's offspring.</t>
        </is>
      </c>
      <c r="C556" t="n">
        <v>0</v>
      </c>
      <c r="D556" t="n">
        <v>0</v>
      </c>
      <c r="E556" t="n">
        <v>0</v>
      </c>
      <c r="F556" t="n">
        <v>0</v>
      </c>
      <c r="H556" t="n">
        <v>0</v>
      </c>
      <c r="I556" t="n">
        <v>0</v>
      </c>
      <c r="J556" t="n">
        <v>0</v>
      </c>
      <c r="K556" t="n">
        <v>0</v>
      </c>
      <c r="L556" t="n">
        <v>0</v>
      </c>
      <c r="M556" t="n">
        <v>0</v>
      </c>
      <c r="N556" t="n">
        <v>0</v>
      </c>
    </row>
    <row r="557">
      <c r="A557" t="inlineStr">
        <is>
          <t>Stock</t>
        </is>
      </c>
      <c r="B557" t="inlineStr">
        <is>
          <t>Total, 7.5 in murrain.</t>
        </is>
      </c>
      <c r="C557" t="n">
        <v>0</v>
      </c>
      <c r="D557" t="n">
        <v>0</v>
      </c>
      <c r="E557" t="n">
        <v>0</v>
      </c>
      <c r="F557" t="n">
        <v>0</v>
      </c>
      <c r="H557" t="n">
        <v>0</v>
      </c>
      <c r="I557" t="n">
        <v>0</v>
      </c>
      <c r="J557" t="n">
        <v>0</v>
      </c>
      <c r="K557" t="n">
        <v>0</v>
      </c>
      <c r="L557" t="n">
        <v>0</v>
      </c>
      <c r="M557" t="n">
        <v>0</v>
      </c>
      <c r="N557" t="n">
        <v>0</v>
      </c>
    </row>
    <row r="558">
      <c r="A558" t="inlineStr">
        <is>
          <t>Stock</t>
        </is>
      </c>
      <c r="B558" t="inlineStr">
        <is>
          <t>5 remain, 2 of them peacocks.</t>
        </is>
      </c>
      <c r="C558" t="n">
        <v>0</v>
      </c>
      <c r="D558" t="n">
        <v>0</v>
      </c>
      <c r="E558" t="n">
        <v>0</v>
      </c>
      <c r="F558" t="n">
        <v>0</v>
      </c>
      <c r="H558" t="n">
        <v>0</v>
      </c>
      <c r="I558" t="n">
        <v>0</v>
      </c>
      <c r="J558" t="n">
        <v>0</v>
      </c>
      <c r="K558" t="n">
        <v>0</v>
      </c>
      <c r="L558" t="n">
        <v>0</v>
      </c>
      <c r="M558" t="n">
        <v>0</v>
      </c>
      <c r="N558" t="n">
        <v>0</v>
      </c>
    </row>
    <row r="559">
      <c r="A559" t="inlineStr">
        <is>
          <t>Stock</t>
        </is>
      </c>
      <c r="B559" t="inlineStr">
        <is>
          <t>Cider: 60 gallons remain from the previous year.</t>
        </is>
      </c>
      <c r="C559" t="n">
        <v>0</v>
      </c>
      <c r="D559" t="n">
        <v>0</v>
      </c>
      <c r="E559" t="n">
        <v>0</v>
      </c>
      <c r="F559" t="n">
        <v>0</v>
      </c>
      <c r="H559" t="n">
        <v>0</v>
      </c>
      <c r="I559" t="n">
        <v>0</v>
      </c>
      <c r="J559" t="n">
        <v>0</v>
      </c>
      <c r="K559" t="n">
        <v>0</v>
      </c>
      <c r="L559" t="n">
        <v>0</v>
      </c>
      <c r="M559" t="n">
        <v>0</v>
      </c>
      <c r="N559" t="n">
        <v>0</v>
      </c>
    </row>
    <row r="560">
      <c r="A560" t="inlineStr">
        <is>
          <t>Stock</t>
        </is>
      </c>
      <c r="B560" t="inlineStr">
        <is>
          <t>2 casks from this year's issue.</t>
        </is>
      </c>
      <c r="C560" t="n">
        <v>0</v>
      </c>
      <c r="D560" t="n">
        <v>0</v>
      </c>
      <c r="E560" t="n">
        <v>0</v>
      </c>
      <c r="F560" t="n">
        <v>0</v>
      </c>
      <c r="H560" t="n">
        <v>0</v>
      </c>
      <c r="I560" t="n">
        <v>0</v>
      </c>
      <c r="J560" t="n">
        <v>0</v>
      </c>
      <c r="K560" t="n">
        <v>0</v>
      </c>
      <c r="L560" t="n">
        <v>0</v>
      </c>
      <c r="M560" t="n">
        <v>0</v>
      </c>
      <c r="N560" t="n">
        <v>0</v>
      </c>
    </row>
    <row r="561">
      <c r="A561" t="inlineStr">
        <is>
          <t>Stock</t>
        </is>
      </c>
      <c r="B561" t="inlineStr">
        <is>
          <t>60 gallons in provision of Roger the bailiff.</t>
        </is>
      </c>
      <c r="C561" t="n">
        <v>0</v>
      </c>
      <c r="D561" t="n">
        <v>0</v>
      </c>
      <c r="E561" t="n">
        <v>0</v>
      </c>
      <c r="F561" t="n">
        <v>0</v>
      </c>
      <c r="H561" t="n">
        <v>0</v>
      </c>
      <c r="I561" t="n">
        <v>0</v>
      </c>
      <c r="J561" t="n">
        <v>0</v>
      </c>
      <c r="K561" t="n">
        <v>0</v>
      </c>
      <c r="L561" t="n">
        <v>0</v>
      </c>
      <c r="M561" t="n">
        <v>0</v>
      </c>
      <c r="N561" t="n">
        <v>0</v>
      </c>
    </row>
    <row r="562">
      <c r="A562" t="inlineStr">
        <is>
          <t>Stock</t>
        </is>
      </c>
      <c r="B562" t="inlineStr">
        <is>
          <t>2 casks remain.</t>
        </is>
      </c>
      <c r="C562" t="n">
        <v>0</v>
      </c>
      <c r="D562" t="n">
        <v>0</v>
      </c>
      <c r="E562" t="n">
        <v>0</v>
      </c>
      <c r="F562" t="n">
        <v>0</v>
      </c>
      <c r="H562" t="n">
        <v>0</v>
      </c>
      <c r="I562" t="n">
        <v>0</v>
      </c>
      <c r="J562" t="n">
        <v>0</v>
      </c>
      <c r="K562" t="n">
        <v>0</v>
      </c>
      <c r="L562" t="n">
        <v>0</v>
      </c>
      <c r="M562" t="n">
        <v>0</v>
      </c>
      <c r="N562" t="n">
        <v>0</v>
      </c>
    </row>
    <row r="563">
      <c r="A563" t="inlineStr">
        <is>
          <t>Stock</t>
        </is>
      </c>
      <c r="B563" t="inlineStr">
        <is>
          <t>Hides: 2 from oxen, 1 from a cow, 2 from steers, 3 from bullocks, 4 from yearlings dead from murrain.</t>
        </is>
      </c>
      <c r="C563" t="n">
        <v>0</v>
      </c>
      <c r="D563" t="n">
        <v>0</v>
      </c>
      <c r="E563" t="n">
        <v>0</v>
      </c>
      <c r="F563" t="n">
        <v>0</v>
      </c>
      <c r="H563" t="n">
        <v>0</v>
      </c>
      <c r="I563" t="n">
        <v>0</v>
      </c>
      <c r="J563" t="n">
        <v>0</v>
      </c>
      <c r="K563" t="n">
        <v>0</v>
      </c>
      <c r="L563" t="n">
        <v>0</v>
      </c>
      <c r="M563" t="n">
        <v>0</v>
      </c>
      <c r="N563" t="n">
        <v>0</v>
      </c>
    </row>
    <row r="564">
      <c r="A564" t="inlineStr">
        <is>
          <t>Stock</t>
        </is>
      </c>
      <c r="B564" t="inlineStr">
        <is>
          <t>Total, 11. All solpence</t>
        </is>
      </c>
      <c r="C564" t="n">
        <v>0</v>
      </c>
      <c r="D564" t="n">
        <v>0</v>
      </c>
      <c r="E564" t="n">
        <v>0</v>
      </c>
      <c r="F564" t="n">
        <v>0</v>
      </c>
      <c r="H564" t="n">
        <v>0</v>
      </c>
      <c r="I564" t="n">
        <v>0</v>
      </c>
      <c r="J564" t="n">
        <v>0</v>
      </c>
      <c r="K564" t="n">
        <v>0</v>
      </c>
      <c r="L564" t="n">
        <v>0</v>
      </c>
      <c r="M564" t="n">
        <v>0</v>
      </c>
      <c r="N564" t="n">
        <v>0</v>
      </c>
    </row>
    <row r="565">
      <c r="A565" t="inlineStr">
        <is>
          <t>Stock</t>
        </is>
      </c>
      <c r="B565" t="inlineStr">
        <is>
          <t>Woolskins: 18 from wethers, 31 from ewes and 5 from hoggs dead from murrain before shearing.</t>
        </is>
      </c>
      <c r="C565" t="n">
        <v>0</v>
      </c>
      <c r="D565" t="n">
        <v>0</v>
      </c>
      <c r="E565" t="n">
        <v>0</v>
      </c>
      <c r="F565" t="n">
        <v>0</v>
      </c>
      <c r="H565" t="n">
        <v>0</v>
      </c>
      <c r="I565" t="n">
        <v>0</v>
      </c>
      <c r="J565" t="n">
        <v>0</v>
      </c>
      <c r="K565" t="n">
        <v>0</v>
      </c>
      <c r="L565" t="n">
        <v>0</v>
      </c>
      <c r="M565" t="n">
        <v>0</v>
      </c>
      <c r="N565" t="n">
        <v>0</v>
      </c>
    </row>
    <row r="566">
      <c r="A566" t="inlineStr">
        <is>
          <t>Stock</t>
        </is>
      </c>
      <c r="B566" t="inlineStr">
        <is>
          <t>Total, 53. All solpence</t>
        </is>
      </c>
      <c r="C566" t="n">
        <v>0</v>
      </c>
      <c r="D566" t="n">
        <v>0</v>
      </c>
      <c r="E566" t="n">
        <v>0</v>
      </c>
      <c r="F566" t="n">
        <v>0</v>
      </c>
      <c r="H566" t="n">
        <v>0</v>
      </c>
      <c r="I566" t="n">
        <v>0</v>
      </c>
      <c r="J566" t="n">
        <v>0</v>
      </c>
      <c r="K566" t="n">
        <v>0</v>
      </c>
      <c r="L566" t="n">
        <v>0</v>
      </c>
      <c r="M566" t="n">
        <v>0</v>
      </c>
      <c r="N566" t="n">
        <v>0</v>
      </c>
    </row>
    <row r="567">
      <c r="A567" t="inlineStr">
        <is>
          <t>Stock</t>
        </is>
      </c>
      <c r="B567" t="inlineStr">
        <is>
          <t>Bare skins: 11 from wethers and 3 from ewes dead from murrain after shearing.</t>
        </is>
      </c>
      <c r="C567" t="n">
        <v>0</v>
      </c>
      <c r="D567" t="n">
        <v>0</v>
      </c>
      <c r="E567" t="n">
        <v>0</v>
      </c>
      <c r="F567" t="n">
        <v>0</v>
      </c>
      <c r="H567" t="n">
        <v>0</v>
      </c>
      <c r="I567" t="n">
        <v>0</v>
      </c>
      <c r="J567" t="n">
        <v>0</v>
      </c>
      <c r="K567" t="n">
        <v>0</v>
      </c>
      <c r="L567" t="n">
        <v>0</v>
      </c>
      <c r="M567" t="n">
        <v>0</v>
      </c>
      <c r="N567" t="n">
        <v>0</v>
      </c>
    </row>
    <row r="568">
      <c r="A568" t="inlineStr">
        <is>
          <t>Stock</t>
        </is>
      </c>
      <c r="B568" t="inlineStr">
        <is>
          <t>all solpence</t>
        </is>
      </c>
      <c r="C568" t="n">
        <v>0</v>
      </c>
      <c r="D568" t="n">
        <v>0</v>
      </c>
      <c r="E568" t="n">
        <v>0</v>
      </c>
      <c r="F568" t="n">
        <v>0</v>
      </c>
      <c r="H568" t="n">
        <v>0</v>
      </c>
      <c r="I568" t="n">
        <v>0</v>
      </c>
      <c r="J568" t="n">
        <v>0</v>
      </c>
      <c r="K568" t="n">
        <v>0</v>
      </c>
      <c r="L568" t="n">
        <v>0</v>
      </c>
      <c r="M568" t="n">
        <v>0</v>
      </c>
      <c r="N568" t="n">
        <v>0</v>
      </c>
    </row>
    <row r="569">
      <c r="A569" t="inlineStr">
        <is>
          <t>Stock</t>
        </is>
      </c>
      <c r="B569" t="inlineStr">
        <is>
          <t>Lambskins: 16 from lambs in murrain before weaning and shearing, 3 after weaning and before shearing.</t>
        </is>
      </c>
      <c r="C569" t="n">
        <v>0</v>
      </c>
      <c r="D569" t="n">
        <v>0</v>
      </c>
      <c r="E569" t="n">
        <v>0</v>
      </c>
      <c r="F569" t="n">
        <v>0</v>
      </c>
      <c r="H569" t="n">
        <v>0</v>
      </c>
      <c r="I569" t="n">
        <v>0</v>
      </c>
      <c r="J569" t="n">
        <v>0</v>
      </c>
      <c r="K569" t="n">
        <v>0</v>
      </c>
      <c r="L569" t="n">
        <v>0</v>
      </c>
      <c r="M569" t="n">
        <v>0</v>
      </c>
      <c r="N569" t="n">
        <v>0</v>
      </c>
    </row>
    <row r="570">
      <c r="A570" t="inlineStr">
        <is>
          <t>Stock</t>
        </is>
      </c>
      <c r="B570" t="inlineStr">
        <is>
          <t>Total, 19. All solpence</t>
        </is>
      </c>
      <c r="C570" t="n">
        <v>0</v>
      </c>
      <c r="D570" t="n">
        <v>0</v>
      </c>
      <c r="E570" t="n">
        <v>0</v>
      </c>
      <c r="F570" t="n">
        <v>0</v>
      </c>
      <c r="H570" t="n">
        <v>0</v>
      </c>
      <c r="I570" t="n">
        <v>0</v>
      </c>
      <c r="J570" t="n">
        <v>0</v>
      </c>
      <c r="K570" t="n">
        <v>0</v>
      </c>
      <c r="L570" t="n">
        <v>0</v>
      </c>
      <c r="M570" t="n">
        <v>0</v>
      </c>
      <c r="N570" t="n">
        <v>0</v>
      </c>
    </row>
    <row r="571">
      <c r="A571" t="inlineStr">
        <is>
          <t>Stock</t>
        </is>
      </c>
      <c r="B571" t="inlineStr">
        <is>
          <t>Ornaments: 1 antiphoner, 2 legendaries, 1 missal, 1 alb with a hood, 1 maniple, 1 stole, 1 chasuble, 2 towels, 1 chalice with a paten, 2 cruets of tin, 1 chest for the same, 1 chest which is in the keeping of the reeve for collecting the lord's money, 1 altar frontal of silk, and 1 ell-measure for measuring cloth with a weight for weighing bread  remain from the previous year.</t>
        </is>
      </c>
      <c r="C571" t="n">
        <v>0</v>
      </c>
      <c r="D571" t="n">
        <v>0</v>
      </c>
      <c r="E571" t="n">
        <v>0</v>
      </c>
      <c r="F571" t="n">
        <v>0</v>
      </c>
      <c r="H571" t="n">
        <v>0</v>
      </c>
      <c r="I571" t="n">
        <v>0</v>
      </c>
      <c r="J571" t="n">
        <v>0</v>
      </c>
      <c r="K571" t="n">
        <v>0</v>
      </c>
      <c r="L571" t="n">
        <v>0</v>
      </c>
      <c r="M571" t="n">
        <v>0</v>
      </c>
      <c r="N571" t="n">
        <v>0</v>
      </c>
    </row>
    <row r="572">
      <c r="A572" t="inlineStr">
        <is>
          <t>Stock</t>
        </is>
      </c>
      <c r="B572" t="inlineStr">
        <is>
          <t>1 missal, 1 alb with a hood, 1 maniple with a stole, 1 chasuble, 2 towels, 1 chalice with a paten, 2 cruets of tin, 1 altar frontal of iseilk, and 1 chest in which to put the aforesaid items sent to Bitterne.</t>
        </is>
      </c>
      <c r="C572" t="n">
        <v>0</v>
      </c>
      <c r="D572" t="n">
        <v>0</v>
      </c>
      <c r="E572" t="n">
        <v>0</v>
      </c>
      <c r="F572" t="n">
        <v>0</v>
      </c>
      <c r="H572" t="n">
        <v>0</v>
      </c>
      <c r="I572" t="n">
        <v>0</v>
      </c>
      <c r="J572" t="n">
        <v>0</v>
      </c>
      <c r="K572" t="n">
        <v>0</v>
      </c>
      <c r="L572" t="n">
        <v>0</v>
      </c>
      <c r="M572" t="n">
        <v>0</v>
      </c>
      <c r="N572" t="n">
        <v>0</v>
      </c>
    </row>
    <row r="573">
      <c r="A573" t="inlineStr">
        <is>
          <t>Stock</t>
        </is>
      </c>
      <c r="B573" t="inlineStr">
        <is>
          <t>1 antiphoner, 2 gendaries and 1 ell-measure with a weight for weighing bread remain at Bishops Waltham.</t>
        </is>
      </c>
      <c r="C573" t="n">
        <v>0</v>
      </c>
      <c r="D573" t="n">
        <v>0</v>
      </c>
      <c r="E573" t="n">
        <v>0</v>
      </c>
      <c r="F573" t="n">
        <v>0</v>
      </c>
      <c r="H573" t="n">
        <v>0</v>
      </c>
      <c r="I573" t="n">
        <v>0</v>
      </c>
      <c r="J573" t="n">
        <v>0</v>
      </c>
      <c r="K573" t="n">
        <v>0</v>
      </c>
      <c r="L573" t="n">
        <v>0</v>
      </c>
      <c r="M573" t="n">
        <v>0</v>
      </c>
      <c r="N573" t="n">
        <v>0</v>
      </c>
    </row>
    <row r="574">
      <c r="A574" t="inlineStr">
        <is>
          <t>Stock</t>
        </is>
      </c>
      <c r="B574" t="inlineStr">
        <is>
          <t>Utensils: 3 brass pots, 1 pitcher, 1 pan, 1 ewer with a basin, 1 lead vessel of 6 sesters, 1 bushel measure, 1 standard gallon measure remain from the previous year.</t>
        </is>
      </c>
      <c r="C574" t="n">
        <v>0</v>
      </c>
      <c r="D574" t="n">
        <v>0</v>
      </c>
      <c r="E574" t="n">
        <v>0</v>
      </c>
      <c r="F574" t="n">
        <v>0</v>
      </c>
      <c r="H574" t="n">
        <v>0</v>
      </c>
      <c r="I574" t="n">
        <v>0</v>
      </c>
      <c r="J574" t="n">
        <v>0</v>
      </c>
      <c r="K574" t="n">
        <v>0</v>
      </c>
      <c r="L574" t="n">
        <v>0</v>
      </c>
      <c r="M574" t="n">
        <v>0</v>
      </c>
      <c r="N574" t="n">
        <v>0</v>
      </c>
    </row>
    <row r="575">
      <c r="A575" t="inlineStr">
        <is>
          <t>Stock</t>
        </is>
      </c>
      <c r="B575" t="inlineStr">
        <is>
          <t>all remain here apart from the bushel and gallon measures.</t>
        </is>
      </c>
      <c r="C575" t="n">
        <v>0</v>
      </c>
      <c r="D575" t="n">
        <v>0</v>
      </c>
      <c r="E575" t="n">
        <v>0</v>
      </c>
      <c r="F575" t="n">
        <v>0</v>
      </c>
      <c r="H575" t="n">
        <v>0</v>
      </c>
      <c r="I575" t="n">
        <v>0</v>
      </c>
      <c r="J575" t="n">
        <v>0</v>
      </c>
      <c r="K575" t="n">
        <v>0</v>
      </c>
      <c r="L575" t="n">
        <v>0</v>
      </c>
      <c r="M575" t="n">
        <v>0</v>
      </c>
      <c r="N575" t="n">
        <v>0</v>
      </c>
    </row>
    <row r="576">
      <c r="A576" t="inlineStr">
        <is>
          <t>Stock</t>
        </is>
      </c>
      <c r="B576" t="inlineStr">
        <is>
          <t>Carts: 2 remain from the previous year.</t>
        </is>
      </c>
      <c r="C576" t="n">
        <v>0</v>
      </c>
      <c r="D576" t="n">
        <v>0</v>
      </c>
      <c r="E576" t="n">
        <v>0</v>
      </c>
      <c r="F576" t="n">
        <v>0</v>
      </c>
      <c r="H576" t="n">
        <v>0</v>
      </c>
      <c r="I576" t="n">
        <v>0</v>
      </c>
      <c r="J576" t="n">
        <v>0</v>
      </c>
      <c r="K576" t="n">
        <v>0</v>
      </c>
      <c r="L576" t="n">
        <v>0</v>
      </c>
      <c r="M576" t="n">
        <v>0</v>
      </c>
      <c r="N576" t="n">
        <v>0</v>
      </c>
    </row>
    <row r="577">
      <c r="A577" t="inlineStr">
        <is>
          <t>Stock</t>
        </is>
      </c>
      <c r="B577" t="inlineStr">
        <is>
          <t>1 bought.</t>
        </is>
      </c>
      <c r="C577" t="n">
        <v>0</v>
      </c>
      <c r="D577" t="n">
        <v>0</v>
      </c>
      <c r="E577" t="n">
        <v>0</v>
      </c>
      <c r="F577" t="n">
        <v>0</v>
      </c>
      <c r="H577" t="n">
        <v>0</v>
      </c>
      <c r="I577" t="n">
        <v>0</v>
      </c>
      <c r="J577" t="n">
        <v>0</v>
      </c>
      <c r="K577" t="n">
        <v>0</v>
      </c>
      <c r="L577" t="n">
        <v>0</v>
      </c>
      <c r="M577" t="n">
        <v>0</v>
      </c>
      <c r="N577" t="n">
        <v>0</v>
      </c>
    </row>
    <row r="578">
      <c r="A578" t="inlineStr">
        <is>
          <t>Stock</t>
        </is>
      </c>
      <c r="B578" t="inlineStr">
        <is>
          <t>Total, 3. 1 worn out.</t>
        </is>
      </c>
      <c r="C578" t="n">
        <v>0</v>
      </c>
      <c r="D578" t="n">
        <v>0</v>
      </c>
      <c r="E578" t="n">
        <v>0</v>
      </c>
      <c r="F578" t="n">
        <v>0</v>
      </c>
      <c r="H578" t="n">
        <v>0</v>
      </c>
      <c r="I578" t="n">
        <v>0</v>
      </c>
      <c r="J578" t="n">
        <v>0</v>
      </c>
      <c r="K578" t="n">
        <v>0</v>
      </c>
      <c r="L578" t="n">
        <v>0</v>
      </c>
      <c r="M578" t="n">
        <v>0</v>
      </c>
      <c r="N578" t="n">
        <v>0</v>
      </c>
    </row>
    <row r="579">
      <c r="A579" t="inlineStr">
        <is>
          <t>Stock</t>
        </is>
      </c>
      <c r="B579" t="inlineStr">
        <is>
          <t>2 carts with iron tyres remain.</t>
        </is>
      </c>
      <c r="C579" t="n">
        <v>0</v>
      </c>
      <c r="D579" t="n">
        <v>0</v>
      </c>
      <c r="E579" t="n">
        <v>0</v>
      </c>
      <c r="F579" t="n">
        <v>0</v>
      </c>
      <c r="H579" t="n">
        <v>0</v>
      </c>
      <c r="I579" t="n">
        <v>0</v>
      </c>
      <c r="J579" t="n">
        <v>0</v>
      </c>
      <c r="K579" t="n">
        <v>0</v>
      </c>
      <c r="L579" t="n">
        <v>0</v>
      </c>
      <c r="M579" t="n">
        <v>0</v>
      </c>
      <c r="N579" t="n">
        <v>0</v>
      </c>
    </row>
    <row r="580">
      <c r="A580" t="inlineStr">
        <is>
          <t>Stock</t>
        </is>
      </c>
      <c r="B580" t="inlineStr">
        <is>
          <t>Chains: 1 iron chain remains from the previous year.</t>
        </is>
      </c>
      <c r="C580" t="n">
        <v>0</v>
      </c>
      <c r="D580" t="n">
        <v>0</v>
      </c>
      <c r="E580" t="n">
        <v>0</v>
      </c>
      <c r="F580" t="n">
        <v>0</v>
      </c>
      <c r="H580" t="n">
        <v>0</v>
      </c>
      <c r="I580" t="n">
        <v>0</v>
      </c>
      <c r="J580" t="n">
        <v>0</v>
      </c>
      <c r="K580" t="n">
        <v>0</v>
      </c>
      <c r="L580" t="n">
        <v>0</v>
      </c>
      <c r="M580" t="n">
        <v>0</v>
      </c>
      <c r="N580" t="n">
        <v>0</v>
      </c>
    </row>
    <row r="581">
      <c r="A581" t="inlineStr">
        <is>
          <t>Stock</t>
        </is>
      </c>
      <c r="B581" t="inlineStr">
        <is>
          <t>it remains.</t>
        </is>
      </c>
      <c r="C581" t="n">
        <v>0</v>
      </c>
      <c r="D581" t="n">
        <v>0</v>
      </c>
      <c r="E581" t="n">
        <v>0</v>
      </c>
      <c r="F581" t="n">
        <v>0</v>
      </c>
      <c r="H581" t="n">
        <v>0</v>
      </c>
      <c r="I581" t="n">
        <v>0</v>
      </c>
      <c r="J581" t="n">
        <v>0</v>
      </c>
      <c r="K581" t="n">
        <v>0</v>
      </c>
      <c r="L581" t="n">
        <v>0</v>
      </c>
      <c r="M581" t="n">
        <v>0</v>
      </c>
      <c r="N5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2025-12-18T10:16:51Z</dcterms:modified>
  <cp:lastModifiedBy>Kowalski, Kuba</cp:lastModifiedBy>
</cp:coreProperties>
</file>
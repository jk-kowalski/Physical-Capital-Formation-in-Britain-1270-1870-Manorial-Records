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EastMeonChurch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family val="2"/>
      <sz val="11"/>
    </font>
    <font>
      <name val="Calibri (Body)"/>
      <color rgb="FFFF0000"/>
      <sz val="11"/>
    </font>
    <font>
      <name val="Calibri"/>
      <family val="2"/>
      <b val="1"/>
      <color rgb="FF000000"/>
      <sz val="11"/>
      <scheme val="minor"/>
    </font>
    <font>
      <name val="Calibri"/>
      <family val="2"/>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6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0" fillId="5" borderId="0" applyAlignment="1" pivotButton="0" quotePrefix="0" xfId="0">
      <alignment wrapText="1"/>
    </xf>
    <xf numFmtId="0" fontId="28" fillId="0" borderId="0" applyAlignment="1" pivotButton="0" quotePrefix="0" xfId="0">
      <alignment wrapText="1"/>
    </xf>
    <xf numFmtId="0" fontId="27" fillId="0" borderId="0" applyAlignment="1" pivotButton="0" quotePrefix="0" xfId="0">
      <alignment horizontal="right" wrapText="1"/>
    </xf>
    <xf numFmtId="2" fontId="0" fillId="5" borderId="0" pivotButton="0" quotePrefix="0" xfId="0"/>
    <xf numFmtId="2" fontId="28" fillId="0" borderId="0" pivotButton="0" quotePrefix="0" xfId="0"/>
    <xf numFmtId="2" fontId="9" fillId="0" borderId="0" pivotButton="0" quotePrefix="0" xfId="0"/>
    <xf numFmtId="0" fontId="29" fillId="0" borderId="0" applyAlignment="1" pivotButton="0" quotePrefix="0" xfId="0">
      <alignment horizontal="left" vertical="top"/>
    </xf>
    <xf numFmtId="0" fontId="28"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30"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29" fillId="0" borderId="0" applyAlignment="1" pivotButton="0" quotePrefix="0" xfId="0">
      <alignment vertical="top"/>
    </xf>
    <xf numFmtId="0" fontId="29" fillId="0" borderId="0" applyAlignment="1" pivotButton="0" quotePrefix="0" xfId="0">
      <alignment horizontal="right" vertical="top"/>
    </xf>
    <xf numFmtId="0" fontId="29" fillId="0" borderId="0" applyAlignment="1" pivotButton="0" quotePrefix="0" xfId="0">
      <alignment horizontal="right" vertical="top" wrapText="1"/>
    </xf>
    <xf numFmtId="2" fontId="29" fillId="0" borderId="0" applyAlignment="1" pivotButton="0" quotePrefix="0" xfId="0">
      <alignment horizontal="right" vertical="top" wrapText="1"/>
    </xf>
    <xf numFmtId="2" fontId="0" fillId="0" borderId="0" applyAlignment="1" pivotButton="0" quotePrefix="0" xfId="0">
      <alignment horizontal="right"/>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1" fillId="0" borderId="3" applyAlignment="1" pivotButton="0" quotePrefix="0" xfId="0">
      <alignment wrapText="1"/>
    </xf>
    <xf numFmtId="2" fontId="20" fillId="0" borderId="0" applyAlignment="1" pivotButton="0" quotePrefix="0" xfId="0">
      <alignment horizontal="right" wrapText="1"/>
    </xf>
    <xf numFmtId="0" fontId="32" fillId="0" borderId="3" applyAlignment="1" pivotButton="0" quotePrefix="0" xfId="0">
      <alignment wrapText="1"/>
    </xf>
    <xf numFmtId="2" fontId="0" fillId="0" borderId="0" applyAlignment="1" pivotButton="0" quotePrefix="0" xfId="0">
      <alignment horizontal="right" wrapText="1"/>
    </xf>
    <xf numFmtId="2" fontId="9" fillId="0" borderId="0" applyAlignment="1" pivotButton="0" quotePrefix="0" xfId="0">
      <alignment horizontal="right" wrapText="1"/>
    </xf>
    <xf numFmtId="2" fontId="0" fillId="6" borderId="0" pivotButton="0" quotePrefix="0" xfId="0"/>
    <xf numFmtId="2" fontId="0" fillId="9"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4"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EASTMEONCHURCH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81.33</v>
      </c>
      <c r="D4" s="13" t="n"/>
      <c r="E4" s="13" t="n"/>
    </row>
    <row r="5">
      <c r="A5" s="15" t="inlineStr">
        <is>
          <t>Rents of assize total</t>
        </is>
      </c>
      <c r="B5" s="76" t="n">
        <v>5.15</v>
      </c>
    </row>
    <row r="6">
      <c r="A6" s="15" t="inlineStr">
        <is>
          <t>Quittances total</t>
        </is>
      </c>
      <c r="B6" s="76" t="n">
        <v>0.39</v>
      </c>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38.17</v>
      </c>
    </row>
    <row r="19">
      <c r="A19" s="15" t="inlineStr">
        <is>
          <t>Entry and marriage fines total</t>
        </is>
      </c>
      <c r="B19" s="76" t="n">
        <v>1.4</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104.88</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1.125</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2.881041666666667</v>
      </c>
    </row>
    <row r="37">
      <c r="A37" s="15" t="inlineStr">
        <is>
          <t>Threshing total</t>
        </is>
      </c>
      <c r="B37" t="n">
        <v>1.953125</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14.6</v>
      </c>
    </row>
    <row r="45">
      <c r="A45" s="82" t="inlineStr">
        <is>
          <t>Total of all expenses (calculated here)</t>
        </is>
      </c>
      <c r="B45" s="84" t="n">
        <v>14.61583333333333</v>
      </c>
    </row>
    <row r="46">
      <c r="A46" s="82" t="inlineStr">
        <is>
          <t>Total fixed investment</t>
        </is>
      </c>
      <c r="B46" s="84" t="n">
        <v>4.996041666666667</v>
      </c>
    </row>
    <row r="47">
      <c r="A47" s="82" t="inlineStr">
        <is>
          <t>Total Demesne fixed investment</t>
        </is>
      </c>
      <c r="B47" s="84" t="n">
        <v>4.996041666666667</v>
      </c>
    </row>
    <row r="48">
      <c r="A48" s="12" t="n"/>
    </row>
    <row r="49">
      <c r="A49" s="18" t="inlineStr">
        <is>
          <t>Owed by the reeve</t>
        </is>
      </c>
      <c r="B49" s="84">
        <f>B23-B45</f>
        <v/>
      </c>
    </row>
    <row r="50">
      <c r="A50" s="18" t="inlineStr">
        <is>
          <t>From accounts</t>
        </is>
      </c>
      <c r="B50" s="84" t="n">
        <v>14.6</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104.5</v>
      </c>
      <c r="E62" t="n">
        <v>25.48</v>
      </c>
      <c r="F62" s="13" t="n"/>
    </row>
    <row r="63">
      <c r="A63" s="76" t="inlineStr">
        <is>
          <t>Rye</t>
        </is>
      </c>
      <c r="F63" s="13" t="n"/>
    </row>
    <row r="64">
      <c r="A64" s="76" t="inlineStr">
        <is>
          <t>Dredge</t>
        </is>
      </c>
      <c r="F64" s="13" t="n"/>
    </row>
    <row r="65">
      <c r="A65" s="76" t="inlineStr">
        <is>
          <t>Curall</t>
        </is>
      </c>
      <c r="F65" s="13" t="n"/>
    </row>
    <row r="66">
      <c r="A66" s="76" t="inlineStr">
        <is>
          <t>Barley</t>
        </is>
      </c>
      <c r="B66" t="n">
        <v>60.125</v>
      </c>
      <c r="E66" t="n">
        <v>7.916184497816595</v>
      </c>
      <c r="F66" s="13" t="n"/>
    </row>
    <row r="67">
      <c r="A67" s="76" t="inlineStr">
        <is>
          <t>Oats</t>
        </is>
      </c>
      <c r="B67" t="n">
        <v>129.5</v>
      </c>
      <c r="E67" t="n">
        <v>6.643755201240734</v>
      </c>
      <c r="F67" s="13" t="n"/>
    </row>
    <row r="68">
      <c r="A68" s="76" t="inlineStr">
        <is>
          <t>Beans</t>
        </is>
      </c>
      <c r="B68" t="n">
        <v>12.125</v>
      </c>
      <c r="F68" s="13" t="n"/>
    </row>
    <row r="69">
      <c r="A69" s="76" t="inlineStr">
        <is>
          <t>Peas</t>
        </is>
      </c>
      <c r="B69" t="n">
        <v>2</v>
      </c>
      <c r="E69" t="n">
        <v>0.3</v>
      </c>
      <c r="F69" s="13" t="n"/>
    </row>
    <row r="70">
      <c r="A70" s="76" t="inlineStr">
        <is>
          <t>Vetches</t>
        </is>
      </c>
      <c r="B70" t="n">
        <v>7.25</v>
      </c>
      <c r="E70" t="n">
        <v>0.7250000000000001</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3</v>
      </c>
      <c r="C87" s="76" t="n">
        <v>2</v>
      </c>
      <c r="D87" s="76" t="n">
        <v>-1</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6</v>
      </c>
      <c r="C89" s="76" t="n">
        <v>7</v>
      </c>
      <c r="D89" s="76" t="n">
        <v>1</v>
      </c>
      <c r="F89" s="84" t="n">
        <v>1.4</v>
      </c>
      <c r="G89" s="84" t="n">
        <v>0.2</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1</v>
      </c>
      <c r="C94" s="76" t="n">
        <v>1</v>
      </c>
      <c r="D94" s="76" t="n">
        <v>0</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v>205</v>
      </c>
      <c r="C101" s="76" t="n">
        <v>209</v>
      </c>
      <c r="D101" s="76" t="n">
        <v>4</v>
      </c>
      <c r="F101" s="84" t="n">
        <v>10.45</v>
      </c>
      <c r="G101" s="84" t="n">
        <v>0.2</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v>150</v>
      </c>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v>0</v>
      </c>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D118" t="n">
        <v>180</v>
      </c>
      <c r="F118">
        <f>C118*'Stock'!O35</f>
        <v/>
      </c>
      <c r="G118" s="96" t="n"/>
    </row>
    <row r="119">
      <c r="A119" s="15" t="inlineStr">
        <is>
          <t>Coarse wool</t>
        </is>
      </c>
      <c r="F119">
        <f>C119*'Stock'!O36</f>
        <v/>
      </c>
    </row>
    <row r="120">
      <c r="A120" s="15" t="inlineStr">
        <is>
          <t>Lamb's wool</t>
        </is>
      </c>
      <c r="F120">
        <f>C120*'Stock'!O37</f>
        <v/>
      </c>
    </row>
    <row r="121">
      <c r="A121" s="15" t="inlineStr">
        <is>
          <t>Wool locks</t>
        </is>
      </c>
      <c r="F121">
        <f>C121*'Stock'!O38</f>
        <v/>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C159*'Stock'!O77</f>
        <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f>C167*'Stock'!O90</f>
        <v/>
      </c>
    </row>
    <row r="168">
      <c r="A168" s="15" t="inlineStr">
        <is>
          <t>Summer Cheese</t>
        </is>
      </c>
      <c r="B168" t="n">
        <v>0</v>
      </c>
      <c r="C168" t="n">
        <v>0</v>
      </c>
      <c r="D168" t="n">
        <v>0</v>
      </c>
      <c r="F168">
        <f>C168*'Stock'!O91</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81"/>
  <sheetViews>
    <sheetView topLeftCell="A1" workbookViewId="0">
      <selection activeCell="A1" sqref="A1"/>
    </sheetView>
  </sheetViews>
  <sheetFormatPr baseColWidth="8" defaultRowHeight="15"/>
  <cols>
    <col width="80" customWidth="1" min="1" max="1"/>
    <col width="29.1640625" customWidth="1" min="2" max="2"/>
    <col width="5.1640625" customWidth="1" min="3" max="3"/>
    <col width="5.1640625" customWidth="1" min="4" max="4"/>
    <col width="30.83203125" customWidth="1" min="5" max="5"/>
    <col width="29.33203125" customWidth="1" min="6" max="6"/>
    <col width="19" customWidth="1" min="10" max="10"/>
    <col width="14.5" customWidth="1" min="14" max="14"/>
    <col width="19.33203125" customWidth="1" min="16" max="16"/>
    <col width="19.6640625" customWidth="1" min="17" max="17"/>
    <col width="14.6640625" customWidth="1" min="19" max="19"/>
    <col width="17.6640625" customWidth="1" min="20" max="20"/>
  </cols>
  <sheetData>
    <row r="1">
      <c r="A1" s="8" t="inlineStr">
        <is>
          <t>EAST MEON CHURCH</t>
        </is>
      </c>
      <c r="B1" s="77" t="inlineStr">
        <is>
          <t>Total in £</t>
        </is>
      </c>
      <c r="C1" s="78" t="inlineStr">
        <is>
          <t>Error</t>
        </is>
      </c>
      <c r="D1" s="12" t="inlineStr">
        <is>
          <t>Note</t>
        </is>
      </c>
    </row>
    <row r="2">
      <c r="A2" s="8" t="inlineStr">
        <is>
          <t>CASH ACCOUNT</t>
        </is>
      </c>
    </row>
    <row r="3">
      <c r="A3" s="16" t="inlineStr">
        <is>
          <t>RECEIPTS</t>
        </is>
      </c>
      <c r="B3" s="127" t="n"/>
      <c r="C3" s="128" t="n"/>
      <c r="D3" s="44" t="n"/>
      <c r="E3" s="44" t="n"/>
      <c r="F3" s="44" t="n"/>
      <c r="G3" s="44" t="n"/>
      <c r="H3" s="44" t="n"/>
      <c r="I3" s="44" t="n"/>
      <c r="J3" s="44" t="n"/>
      <c r="K3" s="44" t="n"/>
      <c r="L3" s="44" t="n"/>
      <c r="M3" s="44" t="n"/>
      <c r="N3" s="44" t="n"/>
      <c r="O3" s="44" t="n"/>
      <c r="P3" s="73" t="n"/>
      <c r="Q3" s="44" t="n"/>
      <c r="R3" s="44" t="n"/>
      <c r="S3" s="44" t="n"/>
      <c r="T3" s="44" t="n"/>
    </row>
    <row r="4">
      <c r="A4" s="15" t="inlineStr">
        <is>
          <t>Arrears total</t>
        </is>
      </c>
      <c r="B4" s="29" t="n"/>
      <c r="C4" s="129" t="n"/>
      <c r="D4" s="12" t="n"/>
      <c r="E4" s="12" t="n"/>
      <c r="F4" s="29" t="n"/>
      <c r="G4" s="29" t="n"/>
      <c r="H4" s="29" t="n"/>
      <c r="I4" s="29" t="n"/>
      <c r="J4" s="29" t="n"/>
      <c r="K4" s="29" t="n"/>
      <c r="L4" s="29" t="n"/>
      <c r="M4" s="29" t="n"/>
      <c r="N4" s="74" t="n"/>
      <c r="O4" s="66" t="n"/>
      <c r="P4" s="66" t="n"/>
      <c r="Q4" s="66" t="n"/>
      <c r="R4" s="118" t="n"/>
      <c r="S4" s="29" t="n"/>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130">
        <f>Receipts!F103</f>
        <v/>
      </c>
    </row>
    <row r="24">
      <c r="A24" s="82" t="inlineStr">
        <is>
          <t>Total of all receipts (calculated here) incl arrears</t>
        </is>
      </c>
      <c r="B24" s="130">
        <f>Receipts!F104</f>
        <v/>
      </c>
    </row>
    <row r="25">
      <c r="A25" s="83" t="inlineStr">
        <is>
          <t>Total recorded in the accounts excl. arrears</t>
        </is>
      </c>
      <c r="B25" s="130">
        <f>Receipts!F102</f>
        <v/>
      </c>
      <c r="C25" s="131">
        <f>B25-B23</f>
        <v/>
      </c>
    </row>
    <row r="26">
      <c r="A26" s="83" t="inlineStr">
        <is>
          <t>Total recorded in the accounts incl. arrears</t>
        </is>
      </c>
      <c r="B26" s="70" t="n"/>
    </row>
    <row r="27">
      <c r="A27" s="15" t="n"/>
    </row>
    <row r="28">
      <c r="A28" s="15" t="n"/>
    </row>
    <row r="29">
      <c r="A29" s="16" t="inlineStr">
        <is>
          <t>EXPENSES</t>
        </is>
      </c>
      <c r="B29" s="70" t="n"/>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130">
        <f>Expenses!F94</f>
        <v/>
      </c>
    </row>
    <row r="45">
      <c r="A45" s="82" t="inlineStr">
        <is>
          <t>Total of all expenses (calculated here)</t>
        </is>
      </c>
      <c r="B45" s="130">
        <f>Expenses!F95</f>
        <v/>
      </c>
    </row>
    <row r="46">
      <c r="A46" s="82" t="inlineStr">
        <is>
          <t>Total fixed investment</t>
        </is>
      </c>
      <c r="B46" s="130">
        <f>Expenses!F96</f>
        <v/>
      </c>
    </row>
    <row r="47">
      <c r="A47" s="82" t="inlineStr">
        <is>
          <t>Total Demesne fixed investment</t>
        </is>
      </c>
      <c r="B47" s="130">
        <f>Expenses!F97</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32" t="inlineStr">
        <is>
          <t>Value of total gross production in £</t>
        </is>
      </c>
      <c r="F61" s="132" t="inlineStr">
        <is>
          <t>Value of total net production in £</t>
        </is>
      </c>
    </row>
    <row r="62" ht="15" customHeight="1">
      <c r="A62" s="133" t="inlineStr">
        <is>
          <t>wheat</t>
        </is>
      </c>
      <c r="B62">
        <f>'Issues of the Grange'!B2</f>
        <v/>
      </c>
      <c r="E62" s="72">
        <f>'Issues of the Grange'!I2</f>
        <v/>
      </c>
      <c r="F62" s="72">
        <f>'Issues of the Grange'!O15</f>
        <v/>
      </c>
    </row>
    <row r="63" ht="15" customHeight="1">
      <c r="A63" t="inlineStr">
        <is>
          <t>bere</t>
        </is>
      </c>
      <c r="B63">
        <f>'Issues of the Grange'!B3</f>
        <v/>
      </c>
      <c r="E63" s="72">
        <f>'Issues of the Grange'!I3</f>
        <v/>
      </c>
      <c r="F63" s="72">
        <f>'Issues of the Grange'!O16</f>
        <v/>
      </c>
    </row>
    <row r="64" ht="15" customHeight="1">
      <c r="A64" t="inlineStr">
        <is>
          <t>barley</t>
        </is>
      </c>
      <c r="B64">
        <f>'Issues of the Grange'!B4</f>
        <v/>
      </c>
      <c r="E64" s="72">
        <f>'Issues of the Grange'!I4</f>
        <v/>
      </c>
      <c r="F64" s="72">
        <f>'Issues of the Grange'!O17</f>
        <v/>
      </c>
    </row>
    <row r="65" ht="15" customHeight="1">
      <c r="A65" t="inlineStr">
        <is>
          <t>oats</t>
        </is>
      </c>
      <c r="B65">
        <f>'Issues of the Grange'!B5</f>
        <v/>
      </c>
      <c r="E65" s="72">
        <f>'Issues of the Grange'!I5</f>
        <v/>
      </c>
      <c r="F65" s="72">
        <f>'Issues of the Grange'!O18</f>
        <v/>
      </c>
    </row>
    <row r="66" ht="15" customHeight="1">
      <c r="A66" t="inlineStr">
        <is>
          <t>beans</t>
        </is>
      </c>
      <c r="B66">
        <f>'Issues of the Grange'!B6</f>
        <v/>
      </c>
      <c r="E66" s="72">
        <f>'Issues of the Grange'!I6</f>
        <v/>
      </c>
      <c r="F66" s="72">
        <f>'Issues of the Grange'!O19</f>
        <v/>
      </c>
    </row>
    <row r="67" ht="15" customHeight="1">
      <c r="A67" t="inlineStr">
        <is>
          <t>peas</t>
        </is>
      </c>
      <c r="B67">
        <f>'Issues of the Grange'!B7</f>
        <v/>
      </c>
      <c r="E67" s="72">
        <f>'Issues of the Grange'!I7</f>
        <v/>
      </c>
      <c r="F67" s="72">
        <f>'Issues of the Grange'!O20</f>
        <v/>
      </c>
    </row>
    <row r="68" ht="15" customHeight="1">
      <c r="A68" t="inlineStr">
        <is>
          <t>vetches</t>
        </is>
      </c>
      <c r="B68">
        <f>'Issues of the Grange'!B8</f>
        <v/>
      </c>
      <c r="E68" s="72">
        <f>'Issues of the Grange'!I8</f>
        <v/>
      </c>
      <c r="F68" s="72">
        <f>'Issues of the Grange'!O21</f>
        <v/>
      </c>
    </row>
    <row r="69">
      <c r="A69" s="17" t="inlineStr">
        <is>
          <t>Total value of gross production (sum of the above)</t>
        </is>
      </c>
      <c r="B69" s="70" t="n"/>
      <c r="C69" s="134" t="n"/>
      <c r="D69" s="70" t="n"/>
      <c r="E69" s="130">
        <f>SUM(E62:E68)</f>
        <v/>
      </c>
      <c r="F69" s="70" t="n"/>
    </row>
    <row r="70">
      <c r="A70" s="17" t="inlineStr">
        <is>
          <t>Total value of net production</t>
        </is>
      </c>
      <c r="B70" s="70" t="n"/>
      <c r="C70" s="134" t="n"/>
      <c r="D70" s="70" t="n"/>
      <c r="E70" s="130">
        <f>SUM(F62:F68)</f>
        <v/>
      </c>
      <c r="F70" s="70" t="n"/>
    </row>
    <row r="71">
      <c r="A71" s="17" t="inlineStr">
        <is>
          <t>Value of sales</t>
        </is>
      </c>
      <c r="B71" s="70" t="n"/>
      <c r="C71" s="134" t="n"/>
      <c r="D71" s="70" t="n"/>
      <c r="E71" s="130">
        <f>Receipts!F65</f>
        <v/>
      </c>
      <c r="F71" s="70" t="n"/>
      <c r="G71" t="inlineStr">
        <is>
          <t>not including sales from tithes</t>
        </is>
      </c>
    </row>
    <row r="72">
      <c r="A72" s="15" t="n"/>
    </row>
    <row r="73">
      <c r="A73" s="16" t="inlineStr">
        <is>
          <t>MILL ACCOUNT</t>
        </is>
      </c>
    </row>
    <row r="74">
      <c r="A74" s="8" t="inlineStr">
        <is>
          <t>Issues of the mill</t>
        </is>
      </c>
    </row>
    <row r="75">
      <c r="A75" s="15" t="inlineStr">
        <is>
          <t>Wheat</t>
        </is>
      </c>
    </row>
    <row r="76">
      <c r="A76" s="15" t="inlineStr">
        <is>
          <t>Oatmeal</t>
        </is>
      </c>
    </row>
    <row r="77">
      <c r="A77" s="15" t="inlineStr">
        <is>
          <t>1st grade malt</t>
        </is>
      </c>
    </row>
    <row r="78">
      <c r="A78" s="15" t="inlineStr">
        <is>
          <t>2nd grade malt</t>
        </is>
      </c>
    </row>
    <row r="79">
      <c r="A79" s="15" t="inlineStr">
        <is>
          <t>Maslin</t>
        </is>
      </c>
    </row>
    <row r="80">
      <c r="A80" s="17" t="inlineStr">
        <is>
          <t>Total value of production (sum of the above)</t>
        </is>
      </c>
    </row>
    <row r="81">
      <c r="A81" s="17" t="inlineStr">
        <is>
          <t>Value of sales</t>
        </is>
      </c>
    </row>
    <row r="82">
      <c r="A82" s="15" t="n"/>
    </row>
    <row r="83">
      <c r="A83" s="92" t="inlineStr">
        <is>
          <t>STOCK ACCOUNT</t>
        </is>
      </c>
      <c r="B83" s="70" t="n"/>
      <c r="C83" s="134" t="n"/>
      <c r="D83" s="70" t="n"/>
      <c r="E83" s="70" t="n"/>
      <c r="F83" s="70" t="n"/>
    </row>
    <row r="84">
      <c r="A84" s="21" t="inlineStr">
        <is>
          <t>Livestock</t>
        </is>
      </c>
      <c r="B84" s="135" t="inlineStr">
        <is>
          <t>Sales value in £</t>
        </is>
      </c>
      <c r="C84" s="134" t="n"/>
      <c r="D84" s="70" t="n"/>
      <c r="E84" s="70" t="n"/>
      <c r="F84" s="70" t="n"/>
    </row>
    <row r="85" ht="17" customHeight="1">
      <c r="A85" s="22" t="inlineStr">
        <is>
          <t>Cart-horses</t>
        </is>
      </c>
      <c r="B85">
        <f>Stock!R5</f>
        <v/>
      </c>
    </row>
    <row r="86" ht="17" customHeight="1">
      <c r="A86" s="22" t="inlineStr">
        <is>
          <t>Mares</t>
        </is>
      </c>
      <c r="B86">
        <f>Stock!R6</f>
        <v/>
      </c>
    </row>
    <row r="87">
      <c r="A87" s="15" t="inlineStr">
        <is>
          <t>Plough horses</t>
        </is>
      </c>
      <c r="B87">
        <f>Stock!R7</f>
        <v/>
      </c>
    </row>
    <row r="88">
      <c r="A88" s="15" t="inlineStr">
        <is>
          <t>Colts (2 years)</t>
        </is>
      </c>
      <c r="B88">
        <f>Stock!R8</f>
        <v/>
      </c>
    </row>
    <row r="89">
      <c r="A89" s="15" t="inlineStr">
        <is>
          <t>Colts (2 years)</t>
        </is>
      </c>
      <c r="B89">
        <f>Stock!R9</f>
        <v/>
      </c>
    </row>
    <row r="90">
      <c r="A90" s="15" t="inlineStr">
        <is>
          <t>Colts (1 year)</t>
        </is>
      </c>
      <c r="B90">
        <f>Stock!R10</f>
        <v/>
      </c>
    </row>
    <row r="91">
      <c r="A91" s="15" t="inlineStr">
        <is>
          <t>Foals</t>
        </is>
      </c>
      <c r="B91">
        <f>Stock!R11</f>
        <v/>
      </c>
    </row>
    <row r="92">
      <c r="A92" s="15" t="inlineStr">
        <is>
          <t>Oxen</t>
        </is>
      </c>
      <c r="B92">
        <f>Stock!R12</f>
        <v/>
      </c>
    </row>
    <row r="93">
      <c r="A93" s="15" t="inlineStr">
        <is>
          <t>Bulls</t>
        </is>
      </c>
      <c r="B93">
        <f>Stock!R13</f>
        <v/>
      </c>
    </row>
    <row r="94">
      <c r="A94" s="15" t="inlineStr">
        <is>
          <t>Cows</t>
        </is>
      </c>
      <c r="B94">
        <f>Stock!R14</f>
        <v/>
      </c>
    </row>
    <row r="95">
      <c r="A95" s="15" t="inlineStr">
        <is>
          <t>Steers</t>
        </is>
      </c>
      <c r="B95">
        <f>Stock!R15</f>
        <v/>
      </c>
    </row>
    <row r="96">
      <c r="A96" s="15" t="inlineStr">
        <is>
          <t>Bullocks</t>
        </is>
      </c>
      <c r="B96">
        <f>Stock!R16</f>
        <v/>
      </c>
    </row>
    <row r="97">
      <c r="A97" s="15" t="inlineStr">
        <is>
          <t>Yearlings</t>
        </is>
      </c>
      <c r="B97">
        <f>Stock!R17</f>
        <v/>
      </c>
    </row>
    <row r="98">
      <c r="A98" s="15" t="inlineStr">
        <is>
          <t>Calves</t>
        </is>
      </c>
      <c r="B98">
        <f>Stock!R18</f>
        <v/>
      </c>
    </row>
    <row r="99">
      <c r="A99" s="15" t="inlineStr">
        <is>
          <t>Wethers</t>
        </is>
      </c>
      <c r="B99">
        <f>Stock!R19</f>
        <v/>
      </c>
    </row>
    <row r="100">
      <c r="A100" s="15" t="inlineStr">
        <is>
          <t>Rams</t>
        </is>
      </c>
      <c r="B100">
        <f>Stock!R20</f>
        <v/>
      </c>
    </row>
    <row r="101">
      <c r="A101" s="15" t="inlineStr">
        <is>
          <t>Ewes</t>
        </is>
      </c>
      <c r="B101">
        <f>Stock!R21</f>
        <v/>
      </c>
    </row>
    <row r="102">
      <c r="A102" s="15" t="inlineStr">
        <is>
          <t>Hoggs</t>
        </is>
      </c>
      <c r="B102">
        <f>Stock!R22</f>
        <v/>
      </c>
    </row>
    <row r="103">
      <c r="A103" s="15" t="inlineStr">
        <is>
          <t>Lambs</t>
        </is>
      </c>
      <c r="B103">
        <f>Stock!R23</f>
        <v/>
      </c>
    </row>
    <row r="104">
      <c r="A104" s="15" t="inlineStr">
        <is>
          <t>Boars</t>
        </is>
      </c>
      <c r="B104">
        <f>Stock!R24</f>
        <v/>
      </c>
    </row>
    <row r="105">
      <c r="A105" s="15" t="inlineStr">
        <is>
          <t>Sows</t>
        </is>
      </c>
      <c r="B105">
        <f>Stock!R25</f>
        <v/>
      </c>
    </row>
    <row r="106">
      <c r="A106" s="15" t="inlineStr">
        <is>
          <t>Pigs</t>
        </is>
      </c>
      <c r="B106">
        <f>Stock!R26</f>
        <v/>
      </c>
    </row>
    <row r="107">
      <c r="A107" s="15" t="inlineStr">
        <is>
          <t>Hoggets</t>
        </is>
      </c>
      <c r="B107">
        <f>Stock!R27</f>
        <v/>
      </c>
    </row>
    <row r="108">
      <c r="A108" s="15" t="inlineStr">
        <is>
          <t>Piglets</t>
        </is>
      </c>
      <c r="B108">
        <f>Stock!R28</f>
        <v/>
      </c>
    </row>
    <row r="109">
      <c r="A109" s="15" t="inlineStr">
        <is>
          <t>Swans</t>
        </is>
      </c>
      <c r="B109">
        <f>Stock!R29</f>
        <v/>
      </c>
    </row>
    <row r="110">
      <c r="A110" s="15" t="inlineStr">
        <is>
          <t>Peacocks</t>
        </is>
      </c>
      <c r="B110">
        <f>Stock!R30</f>
        <v/>
      </c>
    </row>
    <row r="111">
      <c r="A111" s="17" t="inlineStr">
        <is>
          <t>Total value of stock (sum of the above)</t>
        </is>
      </c>
      <c r="B111" s="70" t="n"/>
    </row>
    <row r="112">
      <c r="A112" s="17" t="inlineStr">
        <is>
          <t>Total value of production</t>
        </is>
      </c>
      <c r="B112" s="70" t="n"/>
    </row>
    <row r="113">
      <c r="A113" s="17" t="inlineStr">
        <is>
          <t>Value of sales</t>
        </is>
      </c>
      <c r="B113" s="70">
        <f>Stock!R31</f>
        <v/>
      </c>
    </row>
    <row r="114">
      <c r="A114" s="15" t="n"/>
    </row>
    <row r="115">
      <c r="A115" s="16" t="inlineStr">
        <is>
          <t>Wool</t>
        </is>
      </c>
      <c r="B115" s="135" t="inlineStr">
        <is>
          <t>Value of production at sales prices £</t>
        </is>
      </c>
    </row>
    <row r="116" ht="17" customHeight="1">
      <c r="A116" s="22" t="inlineStr">
        <is>
          <t>Fleeces</t>
        </is>
      </c>
      <c r="B116">
        <f>Stock!T35</f>
        <v/>
      </c>
    </row>
    <row r="117">
      <c r="A117" s="15" t="inlineStr">
        <is>
          <t>Coarse wool</t>
        </is>
      </c>
      <c r="B117">
        <f>Stock!T36</f>
        <v/>
      </c>
    </row>
    <row r="118">
      <c r="A118" s="15" t="inlineStr">
        <is>
          <t>Lamb's wool</t>
        </is>
      </c>
      <c r="B118">
        <f>Stock!T37</f>
        <v/>
      </c>
    </row>
    <row r="119">
      <c r="A119" s="15" t="inlineStr">
        <is>
          <t>Wool locks</t>
        </is>
      </c>
      <c r="B119">
        <f>Stock!T38</f>
        <v/>
      </c>
    </row>
    <row r="120">
      <c r="A120" s="15" t="inlineStr">
        <is>
          <t>Wool sold at shearing</t>
        </is>
      </c>
      <c r="B120">
        <f>Stock!T39</f>
        <v/>
      </c>
    </row>
    <row r="121">
      <c r="A121" s="119" t="inlineStr">
        <is>
          <t>Total value of production (sum of the above)</t>
        </is>
      </c>
      <c r="B121" s="70">
        <f>Stock!T40</f>
        <v/>
      </c>
    </row>
    <row r="122">
      <c r="A122" s="119" t="inlineStr">
        <is>
          <t>Value of sales</t>
        </is>
      </c>
      <c r="B122" s="70">
        <f>Stock!R40</f>
        <v/>
      </c>
    </row>
    <row r="123">
      <c r="A123" s="8" t="n"/>
    </row>
    <row r="124">
      <c r="A124" s="16" t="inlineStr">
        <is>
          <t>Hides</t>
        </is>
      </c>
      <c r="B124" s="135" t="inlineStr">
        <is>
          <t>Value of production at sales prices £</t>
        </is>
      </c>
    </row>
    <row r="125">
      <c r="A125" s="15" t="inlineStr">
        <is>
          <t>Ox hides</t>
        </is>
      </c>
      <c r="B125">
        <f>Stock!T44</f>
        <v/>
      </c>
    </row>
    <row r="126">
      <c r="A126" s="15" t="inlineStr">
        <is>
          <t>Cow hides</t>
        </is>
      </c>
      <c r="B126">
        <f>Stock!T45</f>
        <v/>
      </c>
    </row>
    <row r="127">
      <c r="A127" s="15" t="inlineStr">
        <is>
          <t>Mare hides</t>
        </is>
      </c>
      <c r="B127">
        <f>Stock!T46</f>
        <v/>
      </c>
    </row>
    <row r="128">
      <c r="A128" s="15" t="inlineStr">
        <is>
          <t>Steer hides</t>
        </is>
      </c>
      <c r="B128">
        <f>Stock!T47</f>
        <v/>
      </c>
    </row>
    <row r="129">
      <c r="A129" s="15" t="inlineStr">
        <is>
          <t>Yearling Calf hides</t>
        </is>
      </c>
      <c r="B129">
        <f>Stock!T48</f>
        <v/>
      </c>
    </row>
    <row r="130">
      <c r="A130" s="15" t="inlineStr">
        <is>
          <t>Calf hides</t>
        </is>
      </c>
      <c r="B130">
        <f>Stock!T49</f>
        <v/>
      </c>
    </row>
    <row r="131">
      <c r="A131" s="23" t="inlineStr">
        <is>
          <t>Pig hides</t>
        </is>
      </c>
      <c r="B131">
        <f>Stock!T50</f>
        <v/>
      </c>
    </row>
    <row r="132">
      <c r="A132" s="24" t="inlineStr">
        <is>
          <t>Wether woolskins</t>
        </is>
      </c>
      <c r="B132">
        <f>Stock!T51</f>
        <v/>
      </c>
    </row>
    <row r="133">
      <c r="A133" s="24" t="inlineStr">
        <is>
          <t>Ram woolskins</t>
        </is>
      </c>
      <c r="B133">
        <f>Stock!T52</f>
        <v/>
      </c>
    </row>
    <row r="134">
      <c r="A134" s="24" t="inlineStr">
        <is>
          <t>Ewe woolskins</t>
        </is>
      </c>
      <c r="B134">
        <f>Stock!T53</f>
        <v/>
      </c>
    </row>
    <row r="135">
      <c r="A135" s="24" t="inlineStr">
        <is>
          <t>Hogg woolskins</t>
        </is>
      </c>
      <c r="B135">
        <f>Stock!T54</f>
        <v/>
      </c>
    </row>
    <row r="136">
      <c r="A136" s="25" t="inlineStr">
        <is>
          <t>Woolskins (total)</t>
        </is>
      </c>
      <c r="B136">
        <f>Stock!T55</f>
        <v/>
      </c>
    </row>
    <row r="137">
      <c r="A137" s="24" t="inlineStr">
        <is>
          <t>Wether bareskins</t>
        </is>
      </c>
      <c r="B137">
        <f>Stock!T56</f>
        <v/>
      </c>
    </row>
    <row r="138">
      <c r="A138" s="24" t="inlineStr">
        <is>
          <t>Ram bareskins</t>
        </is>
      </c>
      <c r="B138">
        <f>Stock!T57</f>
        <v/>
      </c>
    </row>
    <row r="139">
      <c r="A139" s="24" t="inlineStr">
        <is>
          <t>Ewe bareskins</t>
        </is>
      </c>
      <c r="B139">
        <f>Stock!T58</f>
        <v/>
      </c>
    </row>
    <row r="140">
      <c r="A140" s="24" t="inlineStr">
        <is>
          <t>Hogg bareskins</t>
        </is>
      </c>
      <c r="B140">
        <f>Stock!T59</f>
        <v/>
      </c>
    </row>
    <row r="141">
      <c r="A141" s="25" t="inlineStr">
        <is>
          <t>Bareskins (total)</t>
        </is>
      </c>
      <c r="B141">
        <f>Stock!T60</f>
        <v/>
      </c>
    </row>
    <row r="142">
      <c r="A142" s="15" t="inlineStr">
        <is>
          <t>Lambskins</t>
        </is>
      </c>
      <c r="B142">
        <f>Stock!T61</f>
        <v/>
      </c>
    </row>
    <row r="143">
      <c r="A143" s="15" t="inlineStr">
        <is>
          <t>Rotted skins</t>
        </is>
      </c>
      <c r="B143">
        <f>Stock!T62</f>
        <v/>
      </c>
    </row>
    <row r="144">
      <c r="A144" s="15" t="inlineStr">
        <is>
          <t>Shorn skins</t>
        </is>
      </c>
      <c r="B144">
        <f>Stock!T63</f>
        <v/>
      </c>
    </row>
    <row r="145">
      <c r="A145" s="119" t="inlineStr">
        <is>
          <t>Total value of production (sum of the above)</t>
        </is>
      </c>
      <c r="B145" s="70">
        <f>Stock!T64</f>
        <v/>
      </c>
    </row>
    <row r="146">
      <c r="A146" s="119" t="inlineStr">
        <is>
          <t>Value of sales</t>
        </is>
      </c>
      <c r="B146" s="70">
        <f>Stock!R64</f>
        <v/>
      </c>
    </row>
    <row r="147">
      <c r="A147" s="15" t="n"/>
    </row>
    <row r="148">
      <c r="A148" s="16" t="inlineStr">
        <is>
          <t>Poultry stock</t>
        </is>
      </c>
      <c r="B148" s="135" t="inlineStr">
        <is>
          <t>Value of production at sales prices £</t>
        </is>
      </c>
    </row>
    <row r="149" ht="17" customHeight="1">
      <c r="A149" s="22" t="inlineStr">
        <is>
          <t>Hens</t>
        </is>
      </c>
      <c r="B149" s="72">
        <f>Stock!T68</f>
        <v/>
      </c>
    </row>
    <row r="150">
      <c r="A150" s="15" t="inlineStr">
        <is>
          <t>Geese</t>
        </is>
      </c>
      <c r="B150" s="72">
        <f>Stock!T69</f>
        <v/>
      </c>
    </row>
    <row r="151">
      <c r="A151" s="15" t="inlineStr">
        <is>
          <t>Capons (from chickens)</t>
        </is>
      </c>
      <c r="B151" s="72">
        <f>Stock!T70</f>
        <v/>
      </c>
    </row>
    <row r="152">
      <c r="A152" s="15" t="inlineStr">
        <is>
          <t>Cocks &amp; hens</t>
        </is>
      </c>
      <c r="B152" s="72">
        <f>Stock!T71</f>
        <v/>
      </c>
    </row>
    <row r="153">
      <c r="A153" s="119" t="inlineStr">
        <is>
          <t>Total value of production (sum of the above)</t>
        </is>
      </c>
      <c r="B153" s="70">
        <f>Stock!T74</f>
        <v/>
      </c>
      <c r="D153" t="inlineStr">
        <is>
          <t>without churchscot</t>
        </is>
      </c>
    </row>
    <row r="154">
      <c r="A154" s="119" t="inlineStr">
        <is>
          <t>Value of sales</t>
        </is>
      </c>
      <c r="B154" s="70">
        <f>Stock!R73</f>
        <v/>
      </c>
    </row>
    <row r="155">
      <c r="A155" s="15" t="n"/>
    </row>
    <row r="156">
      <c r="A156" s="16" t="inlineStr">
        <is>
          <t>Poultry production</t>
        </is>
      </c>
      <c r="B156" s="135" t="inlineStr">
        <is>
          <t>Value of production at sales prices £</t>
        </is>
      </c>
    </row>
    <row r="157">
      <c r="A157" s="15" t="inlineStr">
        <is>
          <t>Eggs</t>
        </is>
      </c>
      <c r="B157">
        <f>Stock!T77</f>
        <v/>
      </c>
    </row>
    <row r="158">
      <c r="A158" s="15" t="inlineStr">
        <is>
          <t>Cocks &amp; hens from churchscot of customary tenants</t>
        </is>
      </c>
      <c r="B158">
        <f>Stock!T78</f>
        <v/>
      </c>
    </row>
    <row r="159">
      <c r="A159" s="15" t="inlineStr">
        <is>
          <t>Sum of above</t>
        </is>
      </c>
      <c r="B159">
        <f>Stock!T79</f>
        <v/>
      </c>
    </row>
    <row r="160">
      <c r="A160" s="17" t="inlineStr">
        <is>
          <t>Total value of stock</t>
        </is>
      </c>
      <c r="B160" s="70">
        <f>Stock!T80</f>
        <v/>
      </c>
    </row>
    <row r="161">
      <c r="A161" s="17" t="inlineStr">
        <is>
          <t>Value of sales</t>
        </is>
      </c>
      <c r="B161" s="70">
        <f>Stock!R80</f>
        <v/>
      </c>
    </row>
    <row r="162">
      <c r="A162" s="15" t="n"/>
    </row>
    <row r="163">
      <c r="A163" s="16" t="inlineStr">
        <is>
          <t>Dairy Production</t>
        </is>
      </c>
      <c r="B163" s="135" t="inlineStr">
        <is>
          <t>Value of production at sales prices £</t>
        </is>
      </c>
    </row>
    <row r="164">
      <c r="A164" s="15" t="inlineStr">
        <is>
          <t>Butter</t>
        </is>
      </c>
    </row>
    <row r="165">
      <c r="A165" s="15" t="inlineStr">
        <is>
          <t>Winter Cheese</t>
        </is>
      </c>
      <c r="B165">
        <f>Stock!T90</f>
        <v/>
      </c>
    </row>
    <row r="166">
      <c r="A166" s="15" t="inlineStr">
        <is>
          <t>Summer Cheese</t>
        </is>
      </c>
      <c r="B166">
        <f>Stock!T91</f>
        <v/>
      </c>
    </row>
    <row r="167">
      <c r="A167" s="17" t="inlineStr">
        <is>
          <t>Total value of production (sum of the above)</t>
        </is>
      </c>
      <c r="B167" s="70">
        <f>B166</f>
        <v/>
      </c>
    </row>
    <row r="168">
      <c r="A168" s="17" t="inlineStr">
        <is>
          <t>Value of sales</t>
        </is>
      </c>
      <c r="B168" s="70">
        <f>Stock!R92</f>
        <v/>
      </c>
    </row>
    <row r="169">
      <c r="A169" s="15" t="n"/>
    </row>
    <row r="170">
      <c r="A170" s="15" t="n"/>
    </row>
    <row r="171" ht="17" customHeight="1"/>
    <row r="172" ht="17" customHeight="1">
      <c r="A172" s="103" t="n"/>
      <c r="B172" s="136" t="n"/>
    </row>
    <row r="173">
      <c r="A173" s="97" t="inlineStr">
        <is>
          <t>Total Production Value of all Output (Grange, Dairy, Livestock Sales, Wools, Skins - NO Mill)</t>
        </is>
      </c>
      <c r="B173" s="137">
        <f>B167+B160+B153+B145+B121+B113+E70</f>
        <v/>
      </c>
    </row>
    <row r="174">
      <c r="A174" s="98" t="inlineStr">
        <is>
          <t>Total Sales Value of all Output as defined above</t>
        </is>
      </c>
      <c r="B174" s="137">
        <f>B168+B161+B154+B146+B122+B113+E71</f>
        <v/>
      </c>
    </row>
    <row r="175">
      <c r="A175" s="98" t="inlineStr">
        <is>
          <t>Total Sales of Corn + Issues of the Manor as recorded in account</t>
        </is>
      </c>
      <c r="B175" s="137">
        <f>Receipts!F65+Receipts!F59</f>
        <v/>
      </c>
    </row>
    <row r="176">
      <c r="A176" s="98" t="inlineStr">
        <is>
          <t>Production Value + Cash Receipts (excl. Arrears, Issues, Corn and Mill)</t>
        </is>
      </c>
      <c r="B176" s="137">
        <f>B173+Receipts!F22+Receipts!F26+Receipts!F30+Receipts!F93+Receipts!F96</f>
        <v/>
      </c>
    </row>
    <row r="177">
      <c r="A177" s="99" t="n"/>
      <c r="B177" s="138" t="n"/>
    </row>
    <row r="178">
      <c r="A178" s="100" t="inlineStr">
        <is>
          <t>% of capital expenses in terms of total production</t>
        </is>
      </c>
      <c r="B178" s="139">
        <f>B47/B173</f>
        <v/>
      </c>
    </row>
    <row r="179">
      <c r="A179" s="98" t="inlineStr">
        <is>
          <t>% of capital expenses in terms of total production + cash receipts</t>
        </is>
      </c>
      <c r="B179" s="139">
        <f>B47/B176</f>
        <v/>
      </c>
    </row>
    <row r="180">
      <c r="A180" s="99" t="n"/>
      <c r="B180" s="138" t="n"/>
    </row>
    <row r="181" ht="17" customHeight="1">
      <c r="A181" s="101" t="inlineStr">
        <is>
          <t>% of capital expenses as calculated previously</t>
        </is>
      </c>
      <c r="B181" s="140"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topLeftCell="A1" workbookViewId="0">
      <selection activeCell="A1" sqref="A1"/>
    </sheetView>
  </sheetViews>
  <sheetFormatPr baseColWidth="8" defaultRowHeight="15"/>
  <cols>
    <col width="32.83203125" customWidth="1" min="1" max="1"/>
    <col width="10.83203125" customWidth="1" min="2" max="2"/>
    <col width="8.83203125" customWidth="1" min="6" max="6"/>
    <col width="8.83203125" customWidth="1" min="7" max="7"/>
  </cols>
  <sheetData>
    <row r="1" ht="16" customHeight="1">
      <c r="A1" s="12" t="inlineStr">
        <is>
          <t>EAST MEON CHURCH</t>
        </is>
      </c>
    </row>
    <row r="2" ht="16" customHeight="1">
      <c r="A2" s="11" t="inlineStr">
        <is>
          <t>Heading</t>
        </is>
      </c>
      <c r="B2" s="3" t="inlineStr">
        <is>
          <t>£</t>
        </is>
      </c>
      <c r="C2" s="4" t="inlineStr">
        <is>
          <t xml:space="preserve">s </t>
        </is>
      </c>
      <c r="D2" s="4" t="inlineStr">
        <is>
          <t>d</t>
        </is>
      </c>
      <c r="E2" s="4" t="n"/>
      <c r="F2" s="141" t="inlineStr">
        <is>
          <t>Total in £</t>
        </is>
      </c>
      <c r="G2" s="142" t="inlineStr">
        <is>
          <t>Error</t>
        </is>
      </c>
      <c r="H2" s="7" t="inlineStr">
        <is>
          <t>Notes</t>
        </is>
      </c>
    </row>
    <row r="3">
      <c r="A3" t="inlineStr">
        <is>
          <t>Arrears</t>
        </is>
      </c>
      <c r="B3" t="n">
        <v>81</v>
      </c>
      <c r="C3" t="n">
        <v>6</v>
      </c>
      <c r="D3" t="n">
        <v>8.25</v>
      </c>
      <c r="F3" s="72" t="n">
        <v>81.33</v>
      </c>
      <c r="H3" t="inlineStr">
        <is>
          <t>Nicholas de Ychen', bailiff, and Robert Hugh', reeve, render account for £81 6 shilling 8.25pence of arrears from the previous year.</t>
        </is>
      </c>
    </row>
    <row r="4">
      <c r="A4" t="inlineStr">
        <is>
          <t>Arrears</t>
        </is>
      </c>
      <c r="B4" t="n">
        <v>0</v>
      </c>
      <c r="C4" t="n">
        <v>0</v>
      </c>
      <c r="D4" t="n">
        <v>0</v>
      </c>
      <c r="F4" s="72" t="n">
        <v>0</v>
      </c>
      <c r="H4" t="inlineStr">
        <is>
          <t>All delivered to Sir Geoffrey, treasurer of Wolvesey.</t>
        </is>
      </c>
    </row>
    <row r="5">
      <c r="A5" t="inlineStr">
        <is>
          <t>Arrears</t>
        </is>
      </c>
      <c r="B5" t="n">
        <v>0</v>
      </c>
      <c r="C5" t="n">
        <v>0</v>
      </c>
      <c r="D5" t="n">
        <v>0</v>
      </c>
      <c r="F5" s="72" t="n">
        <v>0</v>
      </c>
      <c r="H5" t="inlineStr">
        <is>
          <t>They are quit.</t>
        </is>
      </c>
    </row>
    <row r="6">
      <c r="A6" t="inlineStr">
        <is>
          <t>Arrears</t>
        </is>
      </c>
      <c r="F6" s="72" t="n">
        <v>81.33</v>
      </c>
      <c r="G6" s="143">
        <f>F6-F3</f>
        <v/>
      </c>
      <c r="H6" t="inlineStr">
        <is>
          <t>Total</t>
        </is>
      </c>
    </row>
    <row r="7"/>
    <row r="8">
      <c r="A8" t="inlineStr">
        <is>
          <t>Rents of assize</t>
        </is>
      </c>
      <c r="B8" t="n">
        <v>1</v>
      </c>
      <c r="C8" t="n">
        <v>5</v>
      </c>
      <c r="D8" t="n">
        <v>0</v>
      </c>
      <c r="F8" s="72" t="n">
        <v>1.25</v>
      </c>
      <c r="H8" t="inlineStr">
        <is>
          <t>The same render account for £1 5 shilling for all rents of assize at Christmas.</t>
        </is>
      </c>
    </row>
    <row r="9">
      <c r="A9" t="inlineStr">
        <is>
          <t>Rents of assize</t>
        </is>
      </c>
      <c r="B9" t="n">
        <v>1</v>
      </c>
      <c r="C9" t="n">
        <v>5</v>
      </c>
      <c r="D9" t="n">
        <v>0</v>
      </c>
      <c r="F9" s="72" t="n">
        <v>1.25</v>
      </c>
      <c r="H9" t="inlineStr">
        <is>
          <t>£1 5 shilling at Easter (22 April).</t>
        </is>
      </c>
    </row>
    <row r="10">
      <c r="A10" t="inlineStr">
        <is>
          <t>Rents of assize</t>
        </is>
      </c>
      <c r="B10" t="n">
        <v>1</v>
      </c>
      <c r="C10" t="n">
        <v>5</v>
      </c>
      <c r="D10" t="n">
        <v>0</v>
      </c>
      <c r="F10" s="72" t="n">
        <v>1.25</v>
      </c>
      <c r="H10" t="inlineStr">
        <is>
          <t>£1 5 shilling at the feast of St John the Baptist (24 June).</t>
        </is>
      </c>
    </row>
    <row r="11">
      <c r="A11" t="inlineStr">
        <is>
          <t>Rents of assize</t>
        </is>
      </c>
      <c r="B11" t="n">
        <v>1</v>
      </c>
      <c r="C11" t="n">
        <v>8</v>
      </c>
      <c r="D11" t="n">
        <v>0.5</v>
      </c>
      <c r="F11" s="72" t="n">
        <v>1.4</v>
      </c>
      <c r="H11" t="inlineStr">
        <is>
          <t>£1 8 shilling 0.5pence at Michaelmas (29 September).</t>
        </is>
      </c>
    </row>
    <row r="12">
      <c r="A12" t="inlineStr">
        <is>
          <t>Rents of assize</t>
        </is>
      </c>
      <c r="B12" t="n">
        <v>5</v>
      </c>
      <c r="C12" t="n">
        <v>3</v>
      </c>
      <c r="D12" t="n">
        <v>0.5</v>
      </c>
      <c r="F12" s="72" t="n">
        <v>5.15</v>
      </c>
      <c r="H12" t="inlineStr">
        <is>
          <t>Total, £5 3 shilling 0.5pence</t>
        </is>
      </c>
    </row>
    <row r="13">
      <c r="A13" t="inlineStr">
        <is>
          <t>Rents of assize</t>
        </is>
      </c>
      <c r="F13" s="72" t="n">
        <v>5.15</v>
      </c>
      <c r="G13" s="143" t="n">
        <v>0</v>
      </c>
      <c r="H13" t="inlineStr">
        <is>
          <t>Total</t>
        </is>
      </c>
    </row>
    <row r="14"/>
    <row r="15">
      <c r="A15" t="inlineStr">
        <is>
          <t>Quittances</t>
        </is>
      </c>
      <c r="B15" t="n">
        <v>0</v>
      </c>
      <c r="C15" t="n">
        <v>3</v>
      </c>
      <c r="D15" t="n">
        <v>0</v>
      </c>
      <c r="F15" s="72" t="n">
        <v>0.15</v>
      </c>
      <c r="H15" t="inlineStr">
        <is>
          <t>In quittance of 1 reeve for the year 3 shilling.</t>
        </is>
      </c>
    </row>
    <row r="16">
      <c r="A16" t="inlineStr">
        <is>
          <t>Quittances</t>
        </is>
      </c>
      <c r="B16" t="n">
        <v>0</v>
      </c>
      <c r="C16" t="n">
        <v>2</v>
      </c>
      <c r="D16" t="n">
        <v>6</v>
      </c>
      <c r="F16" s="72" t="n">
        <v>0.12</v>
      </c>
      <c r="H16" t="inlineStr">
        <is>
          <t>1 ploughman for the year 2 shilling 6pence.</t>
        </is>
      </c>
    </row>
    <row r="17">
      <c r="A17" t="inlineStr">
        <is>
          <t>Quittances</t>
        </is>
      </c>
      <c r="B17" t="n">
        <v>0</v>
      </c>
      <c r="C17" t="n">
        <v>2</v>
      </c>
      <c r="D17" t="n">
        <v>6</v>
      </c>
      <c r="F17" s="72" t="n">
        <v>0.12</v>
      </c>
      <c r="H17" t="inlineStr">
        <is>
          <t xml:space="preserve">one shepherd for the year 2 shilling 6pence </t>
        </is>
      </c>
    </row>
    <row r="18">
      <c r="A18" t="inlineStr">
        <is>
          <t>Quittances</t>
        </is>
      </c>
      <c r="B18" t="n">
        <v>0</v>
      </c>
      <c r="C18" t="n">
        <v>8</v>
      </c>
      <c r="D18" t="n">
        <v>0</v>
      </c>
      <c r="F18" s="72">
        <f>B18+C18/20+D18/240</f>
        <v/>
      </c>
      <c r="H18" t="inlineStr">
        <is>
          <t>Total, 8 shilling</t>
        </is>
      </c>
    </row>
    <row r="19">
      <c r="A19" t="inlineStr">
        <is>
          <t>Quittances</t>
        </is>
      </c>
      <c r="F19" s="72">
        <f>SUM(F15:F17)</f>
        <v/>
      </c>
      <c r="G19" s="143">
        <f>F19-F18</f>
        <v/>
      </c>
      <c r="H19" t="inlineStr">
        <is>
          <t>Total</t>
        </is>
      </c>
    </row>
    <row r="20"/>
    <row r="21">
      <c r="A21" t="inlineStr">
        <is>
          <t>Total of rents remaining</t>
        </is>
      </c>
      <c r="B21" t="n">
        <v>4</v>
      </c>
      <c r="C21" t="n">
        <v>15</v>
      </c>
      <c r="D21" t="n">
        <v>0</v>
      </c>
      <c r="F21" s="72" t="n">
        <v>4.75</v>
      </c>
      <c r="H21" t="inlineStr">
        <is>
          <t>Total of rents remaining, £4 15 shilling .5pence</t>
        </is>
      </c>
    </row>
    <row r="22">
      <c r="A22" t="inlineStr">
        <is>
          <t>Total of rents remaining</t>
        </is>
      </c>
      <c r="F22" s="72" t="n">
        <v>4.75</v>
      </c>
      <c r="G22" s="143">
        <f>F22-F21</f>
        <v/>
      </c>
      <c r="H22" t="inlineStr">
        <is>
          <t>Total</t>
        </is>
      </c>
    </row>
    <row r="23"/>
    <row r="24">
      <c r="A24" t="inlineStr">
        <is>
          <t>Cumin</t>
        </is>
      </c>
      <c r="B24" t="n">
        <v>0</v>
      </c>
      <c r="C24" t="n">
        <v>0</v>
      </c>
      <c r="D24" t="n">
        <v>0</v>
      </c>
      <c r="F24" s="72" t="n">
        <v>0</v>
      </c>
      <c r="H24" t="inlineStr">
        <is>
          <t>The same render account for 1 lb of cumin from Geoffrey Kynhow for annual recognizance.</t>
        </is>
      </c>
    </row>
    <row r="25">
      <c r="A25" t="inlineStr">
        <is>
          <t>Cumin</t>
        </is>
      </c>
      <c r="B25" t="n">
        <v>0</v>
      </c>
      <c r="C25" t="n">
        <v>0</v>
      </c>
      <c r="D25" t="n">
        <v>0</v>
      </c>
      <c r="F25" s="72" t="n">
        <v>0</v>
      </c>
      <c r="H25" t="inlineStr">
        <is>
          <t>all delivered to Sir Geoffrey, treasurer of Wolvesey.</t>
        </is>
      </c>
    </row>
    <row r="26">
      <c r="A26" t="inlineStr">
        <is>
          <t>Cumin</t>
        </is>
      </c>
      <c r="F26" s="72" t="n">
        <v>0</v>
      </c>
      <c r="G26" s="143" t="n">
        <v>0</v>
      </c>
      <c r="H26" t="inlineStr">
        <is>
          <t>Total</t>
        </is>
      </c>
    </row>
    <row r="27"/>
    <row r="28">
      <c r="A28" t="inlineStr">
        <is>
          <t>Recognizance</t>
        </is>
      </c>
      <c r="B28" t="n">
        <v>0</v>
      </c>
      <c r="C28" t="n">
        <v>0</v>
      </c>
      <c r="D28" t="n">
        <v>3</v>
      </c>
      <c r="F28" s="72" t="n">
        <v>0.01</v>
      </c>
      <c r="H28" t="inlineStr">
        <is>
          <t>The same render account for 3pence from Henry Burrith' for annual recognizance.</t>
        </is>
      </c>
    </row>
    <row r="29">
      <c r="A29" t="inlineStr">
        <is>
          <t>Recognizance</t>
        </is>
      </c>
      <c r="B29" t="n">
        <v>0</v>
      </c>
      <c r="C29" t="n">
        <v>0</v>
      </c>
      <c r="D29" t="n">
        <v>3</v>
      </c>
      <c r="F29" s="72" t="n">
        <v>0.01</v>
      </c>
      <c r="H29" t="inlineStr">
        <is>
          <t>Total, 3pence</t>
        </is>
      </c>
    </row>
    <row r="30">
      <c r="A30" t="inlineStr">
        <is>
          <t>Recognizance</t>
        </is>
      </c>
      <c r="F30" s="72" t="n">
        <v>0.01</v>
      </c>
      <c r="G30" s="143" t="n">
        <v>0</v>
      </c>
      <c r="H30" t="inlineStr">
        <is>
          <t>Total</t>
        </is>
      </c>
    </row>
    <row r="31"/>
    <row r="32">
      <c r="A32" t="inlineStr">
        <is>
          <t>Issues</t>
        </is>
      </c>
      <c r="B32" t="n">
        <v>0</v>
      </c>
      <c r="C32" t="n">
        <v>14</v>
      </c>
      <c r="D32" t="n">
        <v>5.25</v>
      </c>
      <c r="F32" t="n">
        <v>0.72</v>
      </c>
      <c r="H32" t="inlineStr">
        <is>
          <t>The same render account for 14 shilling 5.25pence from the small tithes of lambs this year.</t>
        </is>
      </c>
    </row>
    <row r="33">
      <c r="A33" t="inlineStr">
        <is>
          <t>Issues</t>
        </is>
      </c>
      <c r="B33" t="n">
        <v>0</v>
      </c>
      <c r="C33" t="n">
        <v>14</v>
      </c>
      <c r="D33" t="n">
        <v>3.5</v>
      </c>
      <c r="F33" t="n">
        <v>0.71</v>
      </c>
      <c r="H33" t="inlineStr">
        <is>
          <t>14 shilling 3.5pence from the small tithes of milk, wool, foals and calves this year.</t>
        </is>
      </c>
    </row>
    <row r="34">
      <c r="A34" t="inlineStr">
        <is>
          <t>Issues</t>
        </is>
      </c>
      <c r="B34" t="n">
        <v>0</v>
      </c>
      <c r="C34" t="n">
        <v>0</v>
      </c>
      <c r="D34" t="n">
        <v>0</v>
      </c>
      <c r="F34" t="n">
        <v>0</v>
      </c>
      <c r="H34" t="inlineStr">
        <is>
          <t>nothing from coarse wool from the demesne or tithes here because it is sent to Wolvesey.</t>
        </is>
      </c>
    </row>
    <row r="35">
      <c r="A35" t="inlineStr">
        <is>
          <t>Issues</t>
        </is>
      </c>
      <c r="B35" t="n">
        <v>0</v>
      </c>
      <c r="C35" t="n">
        <v>2</v>
      </c>
      <c r="D35" t="n">
        <v>3</v>
      </c>
      <c r="F35" t="n">
        <v>0.11</v>
      </c>
      <c r="H35" t="inlineStr">
        <is>
          <t>2 shilling 3pence from 2 cloves 4 lb of wool locks sold, at 10.5pence a clove.</t>
        </is>
      </c>
    </row>
    <row r="36">
      <c r="A36" t="inlineStr">
        <is>
          <t>Issues</t>
        </is>
      </c>
      <c r="B36" t="n">
        <v>0</v>
      </c>
      <c r="C36" t="n">
        <v>18</v>
      </c>
      <c r="D36" t="n">
        <v>7.5</v>
      </c>
      <c r="F36" t="n">
        <v>0.93</v>
      </c>
      <c r="H36" t="inlineStr">
        <is>
          <t>18 shilling 7.5pence from 2 weys 2 cloves of cheese from tithes sold, at 9 shilling a wey.</t>
        </is>
      </c>
    </row>
    <row r="37">
      <c r="A37" t="inlineStr">
        <is>
          <t>Issues</t>
        </is>
      </c>
      <c r="B37" t="n">
        <v>0</v>
      </c>
      <c r="C37" t="n">
        <v>2</v>
      </c>
      <c r="D37" t="n">
        <v>0</v>
      </c>
      <c r="F37" t="n">
        <v>0.1</v>
      </c>
      <c r="H37" t="inlineStr">
        <is>
          <t>2 shilling from 2 branches of wood sold.</t>
        </is>
      </c>
    </row>
    <row r="38">
      <c r="A38" t="inlineStr">
        <is>
          <t>Issues</t>
        </is>
      </c>
      <c r="B38" t="n">
        <v>0</v>
      </c>
      <c r="C38" t="n">
        <v>6</v>
      </c>
      <c r="D38" t="n">
        <v>8</v>
      </c>
      <c r="F38" t="n">
        <v>0.33</v>
      </c>
      <c r="H38" t="inlineStr">
        <is>
          <t>6 shilling 8pence from pigeons sold.</t>
        </is>
      </c>
    </row>
    <row r="39">
      <c r="A39" t="inlineStr">
        <is>
          <t>Issues</t>
        </is>
      </c>
      <c r="B39" t="n">
        <v>0</v>
      </c>
      <c r="C39" t="n">
        <v>6</v>
      </c>
      <c r="D39" t="n">
        <v>6</v>
      </c>
      <c r="F39" t="n">
        <v>0.33</v>
      </c>
      <c r="H39" t="inlineStr">
        <is>
          <t>6 shilling 6pence from 26 geese from tithes sold.</t>
        </is>
      </c>
    </row>
    <row r="40">
      <c r="A40" t="inlineStr">
        <is>
          <t>Issues</t>
        </is>
      </c>
      <c r="B40" t="n">
        <v>0</v>
      </c>
      <c r="C40" t="n">
        <v>1</v>
      </c>
      <c r="D40" t="n">
        <v>0</v>
      </c>
      <c r="F40" t="n">
        <v>0.05</v>
      </c>
      <c r="H40" t="inlineStr">
        <is>
          <t>1 shilling from the pasturage on this side of the field of la Hyde sold, because it was all sown with wheat.</t>
        </is>
      </c>
    </row>
    <row r="41">
      <c r="A41" t="inlineStr">
        <is>
          <t>Issues</t>
        </is>
      </c>
      <c r="B41" t="n">
        <v>0</v>
      </c>
      <c r="C41" t="n">
        <v>3</v>
      </c>
      <c r="D41" t="n">
        <v>0</v>
      </c>
      <c r="F41" t="n">
        <v>0.15</v>
      </c>
      <c r="H41" t="inlineStr">
        <is>
          <t>3 shilling from .the pasturage of Otlond' sold this year.</t>
        </is>
      </c>
    </row>
    <row r="42">
      <c r="A42" t="inlineStr">
        <is>
          <t>Issues</t>
        </is>
      </c>
      <c r="B42" t="n">
        <v>0</v>
      </c>
      <c r="C42" t="n">
        <v>0</v>
      </c>
      <c r="D42" t="n">
        <v>0</v>
      </c>
      <c r="F42" t="n">
        <v>0</v>
      </c>
      <c r="H42" t="inlineStr">
        <is>
          <t>nothing from the pasturage of Schortebond' because it was fallow.</t>
        </is>
      </c>
    </row>
    <row r="43">
      <c r="A43" t="inlineStr">
        <is>
          <t>Issues</t>
        </is>
      </c>
      <c r="B43" t="n">
        <v>0</v>
      </c>
      <c r="C43" t="n">
        <v>1</v>
      </c>
      <c r="D43" t="n">
        <v>0</v>
      </c>
      <c r="F43" t="n">
        <v>0.05</v>
      </c>
      <c r="H43" t="inlineStr">
        <is>
          <t>1 shilling from the pasturage of Wodebrech sold this year.</t>
        </is>
      </c>
    </row>
    <row r="44">
      <c r="A44" t="inlineStr">
        <is>
          <t>Issues</t>
        </is>
      </c>
      <c r="B44" t="n">
        <v>0</v>
      </c>
      <c r="C44" t="n">
        <v>1</v>
      </c>
      <c r="D44" t="n">
        <v>0</v>
      </c>
      <c r="F44" t="n">
        <v>0.05</v>
      </c>
      <c r="H44" t="inlineStr">
        <is>
          <t>1 shilling from nettles (urtic') on this side of Bishop's field and the dovecote sold.</t>
        </is>
      </c>
    </row>
    <row r="45">
      <c r="A45" t="inlineStr">
        <is>
          <t>Issues</t>
        </is>
      </c>
      <c r="B45" t="n">
        <v>0</v>
      </c>
      <c r="C45" t="n">
        <v>0</v>
      </c>
      <c r="D45" t="n">
        <v>0</v>
      </c>
      <c r="F45" t="n">
        <v>0</v>
      </c>
      <c r="H45" t="inlineStr">
        <is>
          <t>nothing from the herbage of the garden this year on account of the calves and other livestock of the lord.</t>
        </is>
      </c>
    </row>
    <row r="46">
      <c r="A46" t="inlineStr">
        <is>
          <t>Issues</t>
        </is>
      </c>
      <c r="B46" t="n">
        <v>0</v>
      </c>
      <c r="C46" t="n">
        <v>2</v>
      </c>
      <c r="D46" t="n">
        <v>0</v>
      </c>
      <c r="F46" t="n">
        <v>0.1</v>
      </c>
      <c r="H46" t="inlineStr">
        <is>
          <t>2 shilling from the pasturage of the meadow of Cherchemed sold after mowing.</t>
        </is>
      </c>
    </row>
    <row r="47">
      <c r="A47" t="inlineStr">
        <is>
          <t>Issues</t>
        </is>
      </c>
      <c r="B47" t="n">
        <v>0</v>
      </c>
      <c r="C47" t="n">
        <v>3</v>
      </c>
      <c r="D47" t="n">
        <v>6</v>
      </c>
      <c r="F47" t="n">
        <v>0.17</v>
      </c>
      <c r="H47" t="inlineStr">
        <is>
          <t>3 shilling 6pence from 1 pair of wheels with iron tyres sold.</t>
        </is>
      </c>
    </row>
    <row r="48">
      <c r="A48" t="inlineStr">
        <is>
          <t>Issues</t>
        </is>
      </c>
      <c r="B48" t="n">
        <v>0</v>
      </c>
      <c r="C48" t="n">
        <v>4</v>
      </c>
      <c r="D48" t="n">
        <v>0</v>
      </c>
      <c r="F48" t="n">
        <v>0.2</v>
      </c>
      <c r="H48" t="inlineStr">
        <is>
          <t>4 shilling from 1 old plough-horse sold.</t>
        </is>
      </c>
    </row>
    <row r="49">
      <c r="A49" t="inlineStr">
        <is>
          <t>Issues</t>
        </is>
      </c>
      <c r="B49" t="n">
        <v>0</v>
      </c>
      <c r="C49" t="n">
        <v>5</v>
      </c>
      <c r="D49" t="n">
        <v>0</v>
      </c>
      <c r="F49" t="n">
        <v>0.25</v>
      </c>
      <c r="H49" t="inlineStr">
        <is>
          <t>5 shilling from 5 wethers sold at Martinmas (11 November).</t>
        </is>
      </c>
    </row>
    <row r="50">
      <c r="A50" t="inlineStr">
        <is>
          <t>Issues</t>
        </is>
      </c>
      <c r="B50" t="n">
        <v>1</v>
      </c>
      <c r="C50" t="n">
        <v>17</v>
      </c>
      <c r="D50" t="n">
        <v>9</v>
      </c>
      <c r="F50" t="n">
        <v>1.89</v>
      </c>
      <c r="H50" t="inlineStr">
        <is>
          <t>£1 17 shilling 9pence from 121 feeble lambs from tithes sold before shearing, at 4pence each for 30, 5pence each for 30, and 3pence each for 61.</t>
        </is>
      </c>
    </row>
    <row r="51">
      <c r="A51" t="inlineStr">
        <is>
          <t>Issues</t>
        </is>
      </c>
      <c r="B51" t="n">
        <v>0</v>
      </c>
      <c r="C51" t="n">
        <v>0</v>
      </c>
      <c r="D51" t="n">
        <v>0</v>
      </c>
      <c r="F51" t="n">
        <v>0</v>
      </c>
      <c r="H51" t="inlineStr">
        <is>
          <t>nothing from piglets here because delivered to the reeve of the manor.</t>
        </is>
      </c>
    </row>
    <row r="52">
      <c r="A52" t="inlineStr">
        <is>
          <t>Issues</t>
        </is>
      </c>
      <c r="B52" t="n">
        <v>0</v>
      </c>
      <c r="C52" t="n">
        <v>5</v>
      </c>
      <c r="D52" t="n">
        <v>3</v>
      </c>
      <c r="F52" t="n">
        <v>0.26</v>
      </c>
      <c r="H52" t="inlineStr">
        <is>
          <t>5 shilling from the skins sold of 20 wethers in murrain before shearing, at 3pence a skin.</t>
        </is>
      </c>
    </row>
    <row r="53">
      <c r="A53" t="inlineStr">
        <is>
          <t>Issues</t>
        </is>
      </c>
      <c r="B53" t="n">
        <v>0</v>
      </c>
      <c r="C53" t="n">
        <v>2</v>
      </c>
      <c r="D53" t="n">
        <v>7.5</v>
      </c>
      <c r="F53" t="n">
        <v>0.13</v>
      </c>
      <c r="H53" t="inlineStr">
        <is>
          <t>2 shilling 7.5pence from the skins sold of 21 in murrain after shearing, at 1.5pence a skin.</t>
        </is>
      </c>
    </row>
    <row r="54">
      <c r="A54" t="inlineStr">
        <is>
          <t>Issues</t>
        </is>
      </c>
      <c r="B54" t="n">
        <v>0</v>
      </c>
      <c r="C54" t="n">
        <v>0</v>
      </c>
      <c r="D54" t="n">
        <v>0</v>
      </c>
      <c r="F54" t="n">
        <v>0</v>
      </c>
      <c r="H54" t="inlineStr">
        <is>
          <t>nothing from forage this year, because the corn of Steep, Oxshete, Froxfield, Yteden' and Bykeden' was sold wholesale.</t>
        </is>
      </c>
    </row>
    <row r="55">
      <c r="A55" t="inlineStr">
        <is>
          <t>Issues</t>
        </is>
      </c>
      <c r="B55" t="n">
        <v>2</v>
      </c>
      <c r="C55" t="n">
        <v>5</v>
      </c>
      <c r="D55" t="n">
        <v>0</v>
      </c>
      <c r="F55" t="n">
        <v>2.25</v>
      </c>
      <c r="H55" t="inlineStr">
        <is>
          <t>£2 5 shilling from 3 casks of cider sold, at 15 shilling each without the wood.</t>
        </is>
      </c>
    </row>
    <row r="56">
      <c r="A56" t="inlineStr">
        <is>
          <t>Issues</t>
        </is>
      </c>
      <c r="B56" t="n">
        <v>0</v>
      </c>
      <c r="C56" t="n">
        <v>2</v>
      </c>
      <c r="D56" t="n">
        <v>11</v>
      </c>
      <c r="F56" t="n">
        <v>0.15</v>
      </c>
      <c r="H56" t="inlineStr">
        <is>
          <t>2 shilling 11pence from 35 hens from churchscot sold.</t>
        </is>
      </c>
    </row>
    <row r="57">
      <c r="A57" t="inlineStr">
        <is>
          <t>Issues</t>
        </is>
      </c>
      <c r="B57" t="n">
        <v>0</v>
      </c>
      <c r="C57" t="n">
        <v>0</v>
      </c>
      <c r="D57" t="n">
        <v>8</v>
      </c>
      <c r="F57" t="n">
        <v>0.03</v>
      </c>
      <c r="H57" t="inlineStr">
        <is>
          <t>8pence from abandoned timber sold from certain old buildings at Froxefeld'.</t>
        </is>
      </c>
    </row>
    <row r="58">
      <c r="A58" t="inlineStr">
        <is>
          <t>Issues</t>
        </is>
      </c>
      <c r="B58" t="n">
        <v>8</v>
      </c>
      <c r="C58" t="n">
        <v>19</v>
      </c>
      <c r="D58" t="n">
        <v>2.75</v>
      </c>
      <c r="F58" t="n">
        <v>8.960000000000001</v>
      </c>
      <c r="H58" t="inlineStr">
        <is>
          <t>Total, £8 19 shilling 2.75pence</t>
        </is>
      </c>
    </row>
    <row r="59">
      <c r="A59" t="inlineStr">
        <is>
          <t>Issues</t>
        </is>
      </c>
      <c r="F59" s="72">
        <f>SUM(F32:F57)</f>
        <v/>
      </c>
      <c r="G59" s="143">
        <f>F59-F58</f>
        <v/>
      </c>
      <c r="H59" t="inlineStr">
        <is>
          <t>Total</t>
        </is>
      </c>
    </row>
    <row r="60"/>
    <row r="61">
      <c r="A61" t="inlineStr">
        <is>
          <t>Sale of corn from the demesne</t>
        </is>
      </c>
      <c r="B61" t="n">
        <v>7</v>
      </c>
      <c r="C61" t="n">
        <v>4</v>
      </c>
      <c r="D61" t="n">
        <v>5.5</v>
      </c>
      <c r="F61" s="72" t="n">
        <v>7.22</v>
      </c>
      <c r="H61" t="inlineStr">
        <is>
          <t>The same render account for £7 4 shilling 5.5pence from 25 quarters 1 bushels of wheat sold, at 5 shilling a qr for 8 quarters 5 bushels, 5 shilling 4pence a qr for 6.5 quarters, and 6 shilling 8pence a qr for 10 quarters.</t>
        </is>
      </c>
    </row>
    <row r="62">
      <c r="A62" t="inlineStr">
        <is>
          <t>Sale of corn from the demesne</t>
        </is>
      </c>
      <c r="B62" t="n">
        <v>2</v>
      </c>
      <c r="C62" t="n">
        <v>12</v>
      </c>
      <c r="D62" t="n">
        <v>10.5</v>
      </c>
      <c r="F62" s="72" t="n">
        <v>2.64</v>
      </c>
      <c r="H62" t="inlineStr">
        <is>
          <t>£2 12 shilling 10.5pence from 18 quarters 7 bushels of bere sold, at 2 shilling 8pence a qr for 11 quarters 2 bushels, and 3 shilling a qr for 7 quarters 5 bushels.</t>
        </is>
      </c>
    </row>
    <row r="63">
      <c r="A63" t="inlineStr">
        <is>
          <t>Sale of corn from the demesne</t>
        </is>
      </c>
      <c r="B63" t="n">
        <v>0</v>
      </c>
      <c r="C63" t="n">
        <v>10</v>
      </c>
      <c r="D63" t="n">
        <v>0</v>
      </c>
      <c r="F63" s="72" t="n">
        <v>0.5</v>
      </c>
      <c r="H63" t="inlineStr">
        <is>
          <t>10 shilling from 2.5 quarters of barley sold, at 4 shilling a qr.</t>
        </is>
      </c>
    </row>
    <row r="64">
      <c r="A64" t="inlineStr">
        <is>
          <t>Sale of corn from the demesne</t>
        </is>
      </c>
      <c r="B64" t="n">
        <v>10</v>
      </c>
      <c r="C64" t="n">
        <v>7</v>
      </c>
      <c r="D64" t="n">
        <v>4</v>
      </c>
      <c r="F64" s="72" t="n">
        <v>10.37</v>
      </c>
      <c r="H64" t="inlineStr">
        <is>
          <t>Total, £10 7 shilling 4pence</t>
        </is>
      </c>
    </row>
    <row r="65">
      <c r="A65" t="inlineStr">
        <is>
          <t>Sale of corn from the demesne</t>
        </is>
      </c>
      <c r="F65" s="72" t="n">
        <v>10.36</v>
      </c>
      <c r="G65" s="143" t="n">
        <v>-0.009999999999999787</v>
      </c>
      <c r="H65" t="inlineStr">
        <is>
          <t>Total</t>
        </is>
      </c>
    </row>
    <row r="66"/>
    <row r="67">
      <c r="A67" t="inlineStr">
        <is>
          <t>Sale of corn from tithes</t>
        </is>
      </c>
      <c r="B67" t="n">
        <v>20</v>
      </c>
      <c r="C67" t="n">
        <v>3</v>
      </c>
      <c r="D67" t="n">
        <v>7.5</v>
      </c>
      <c r="F67" s="72" t="n">
        <v>20.18</v>
      </c>
      <c r="H67" t="inlineStr">
        <is>
          <t>The same render account for £20 3 shilling 7.5pence from 65 quarters 7 bushels of wheat from tithes sold, at 5 shilling a qr for 9 quarters 1 bushels, 5 shilling 4pence a qr for 15 quarters 2 bushels, and 6 shilling 8pence a qr for 41.5 quarters.</t>
        </is>
      </c>
    </row>
    <row r="68">
      <c r="A68" t="inlineStr">
        <is>
          <t>Sale of corn from tithes</t>
        </is>
      </c>
      <c r="B68" t="n">
        <v>1</v>
      </c>
      <c r="C68" t="n">
        <v>19</v>
      </c>
      <c r="D68" t="n">
        <v>7</v>
      </c>
      <c r="F68" s="72" t="n">
        <v>1.98</v>
      </c>
      <c r="H68" t="inlineStr">
        <is>
          <t>£1 19 shilling 7pence from 14 quarters 7 bushels of bere sold, at 2 shilling 8pence a qr.</t>
        </is>
      </c>
    </row>
    <row r="69">
      <c r="A69" t="inlineStr">
        <is>
          <t>Sale of corn from tithes</t>
        </is>
      </c>
      <c r="B69" t="n">
        <v>7</v>
      </c>
      <c r="C69" t="n">
        <v>13</v>
      </c>
      <c r="D69" t="n">
        <v>6</v>
      </c>
      <c r="F69" s="72" t="n">
        <v>7.68</v>
      </c>
      <c r="H69" t="inlineStr">
        <is>
          <t>£7 13 shilling 6pence from 38 quarters 3 bushels of barley sold, at 4 shilling a qr.</t>
        </is>
      </c>
    </row>
    <row r="70">
      <c r="A70" t="inlineStr">
        <is>
          <t>Sale of corn from tithes</t>
        </is>
      </c>
      <c r="B70" t="n">
        <v>5</v>
      </c>
      <c r="C70" t="n">
        <v>18</v>
      </c>
      <c r="D70" t="n">
        <v>1.5</v>
      </c>
      <c r="F70" s="72" t="n">
        <v>5.91</v>
      </c>
      <c r="H70" t="inlineStr">
        <is>
          <t>£5 18 shilling 1.5pence from 64 quarters of oats sold, at 1 shilling 8pence a qr for 44 quarters 7 bushels, 2 shilling 2pence a qr for 7 quarters 6 bushels, and 2 shilling 4pence a qr for 11 quarters 3 bushels.</t>
        </is>
      </c>
    </row>
    <row r="71">
      <c r="A71" t="inlineStr">
        <is>
          <t>Sale of corn from tithes</t>
        </is>
      </c>
      <c r="B71" t="n">
        <v>1</v>
      </c>
      <c r="C71" t="n">
        <v>12</v>
      </c>
      <c r="D71" t="n">
        <v>4</v>
      </c>
      <c r="F71" s="72" t="n">
        <v>1.62</v>
      </c>
      <c r="H71" t="inlineStr">
        <is>
          <t>£1 12 shilling 4pence from 12 quarters 1 bushels of beans sold, at 2 shilling 8pence a qr.</t>
        </is>
      </c>
    </row>
    <row r="72">
      <c r="A72" t="inlineStr">
        <is>
          <t>Sale of corn from tithes</t>
        </is>
      </c>
      <c r="B72" t="n">
        <v>0</v>
      </c>
      <c r="C72" t="n">
        <v>4</v>
      </c>
      <c r="D72" t="n">
        <v>0</v>
      </c>
      <c r="F72" s="72" t="n">
        <v>0.2</v>
      </c>
      <c r="H72" t="inlineStr">
        <is>
          <t>4 shilling from 2 quarters of peas sold.</t>
        </is>
      </c>
    </row>
    <row r="73">
      <c r="A73" t="inlineStr">
        <is>
          <t>Sale of corn from tithes</t>
        </is>
      </c>
      <c r="B73" t="n">
        <v>0</v>
      </c>
      <c r="C73" t="n">
        <v>12</v>
      </c>
      <c r="D73" t="n">
        <v>1</v>
      </c>
      <c r="F73" s="72" t="n">
        <v>0.6</v>
      </c>
      <c r="H73" t="inlineStr">
        <is>
          <t>12 shilling 1pence from 7 quarters 2 bushels of vetches sold, at 1 shilling 8pence a qr.</t>
        </is>
      </c>
    </row>
    <row r="74">
      <c r="A74" t="inlineStr">
        <is>
          <t>Sale of corn from tithes</t>
        </is>
      </c>
      <c r="B74" t="n">
        <v>38</v>
      </c>
      <c r="C74" t="n">
        <v>3</v>
      </c>
      <c r="D74" t="n">
        <v>4</v>
      </c>
      <c r="F74" s="72" t="n">
        <v>38.17</v>
      </c>
      <c r="H74" t="inlineStr">
        <is>
          <t>Total, £38 3 shilling 4pence</t>
        </is>
      </c>
    </row>
    <row r="75">
      <c r="A75" t="inlineStr">
        <is>
          <t>Sale of corn from tithes</t>
        </is>
      </c>
      <c r="F75" s="72" t="n">
        <v>38.17</v>
      </c>
      <c r="G75" s="143" t="n">
        <v>0</v>
      </c>
      <c r="H75" t="inlineStr">
        <is>
          <t>Total</t>
        </is>
      </c>
    </row>
    <row r="76"/>
    <row r="77">
      <c r="A77" t="inlineStr">
        <is>
          <t>Froxfield, Steep and Oxeschete</t>
        </is>
      </c>
      <c r="B77" t="n">
        <v>38</v>
      </c>
      <c r="C77" t="n">
        <v>0</v>
      </c>
      <c r="D77" t="n">
        <v>0</v>
      </c>
      <c r="F77" s="72" t="n">
        <v>38</v>
      </c>
      <c r="H77" t="inlineStr">
        <is>
          <t>The same render account for £38 from the tithes of corn from the chapels of Froxfield, Steep and Oxeshete sold wholesale.</t>
        </is>
      </c>
    </row>
    <row r="78">
      <c r="A78" t="inlineStr">
        <is>
          <t>Froxfield, Steep and Oxeschete</t>
        </is>
      </c>
      <c r="B78" t="n">
        <v>38</v>
      </c>
      <c r="C78" t="n">
        <v>0</v>
      </c>
      <c r="D78" t="n">
        <v>0</v>
      </c>
      <c r="F78" s="72" t="n">
        <v>38</v>
      </c>
      <c r="H78" t="inlineStr">
        <is>
          <t>Total, £38.</t>
        </is>
      </c>
    </row>
    <row r="79">
      <c r="A79" t="inlineStr">
        <is>
          <t>Froxfield, Steep and Oxeschete</t>
        </is>
      </c>
      <c r="F79" s="72" t="n">
        <v>38</v>
      </c>
      <c r="G79" s="143" t="n">
        <v>0</v>
      </c>
      <c r="H79" t="inlineStr">
        <is>
          <t>Total</t>
        </is>
      </c>
    </row>
    <row r="80"/>
    <row r="81">
      <c r="A81" t="inlineStr">
        <is>
          <t>Bykeden' and Yteden'</t>
        </is>
      </c>
      <c r="B81" t="n">
        <v>0</v>
      </c>
      <c r="C81" t="n">
        <v>14</v>
      </c>
      <c r="D81" t="n">
        <v>0</v>
      </c>
      <c r="F81" s="72" t="n">
        <v>0.7</v>
      </c>
      <c r="H81" t="inlineStr">
        <is>
          <t>The same render account for 14 shilling from the tithes of corn from Bykeden' sold.</t>
        </is>
      </c>
    </row>
    <row r="82">
      <c r="A82" t="inlineStr">
        <is>
          <t>Bykeden' and Yteden'</t>
        </is>
      </c>
      <c r="B82" t="n">
        <v>1</v>
      </c>
      <c r="C82" t="n">
        <v>0</v>
      </c>
      <c r="D82" t="n">
        <v>0</v>
      </c>
      <c r="F82" s="72" t="n">
        <v>1</v>
      </c>
      <c r="H82" t="inlineStr">
        <is>
          <t>£1 from the tithes of corn from Yteden' sold.</t>
        </is>
      </c>
    </row>
    <row r="83">
      <c r="A83" t="inlineStr">
        <is>
          <t>Bykeden' and Yteden'</t>
        </is>
      </c>
      <c r="B83" t="n">
        <v>0</v>
      </c>
      <c r="C83" t="n">
        <v>7</v>
      </c>
      <c r="D83" t="n">
        <v>0</v>
      </c>
      <c r="F83">
        <f>B83+C83/20+D83/240</f>
        <v/>
      </c>
      <c r="H83" t="inlineStr">
        <is>
          <t xml:space="preserve">7 shilling from the tithes of corn from Gerard de Tygehale solpence </t>
        </is>
      </c>
    </row>
    <row r="84">
      <c r="A84" t="inlineStr">
        <is>
          <t>Bykeden' and Yteden'</t>
        </is>
      </c>
      <c r="B84" t="n">
        <v>2</v>
      </c>
      <c r="C84" t="n">
        <v>1</v>
      </c>
      <c r="D84" t="n">
        <v>0</v>
      </c>
      <c r="F84" s="72" t="n">
        <v>2.05</v>
      </c>
      <c r="H84" t="inlineStr">
        <is>
          <t xml:space="preserve">Total, £2 1 shilling </t>
        </is>
      </c>
    </row>
    <row r="85">
      <c r="A85" t="inlineStr">
        <is>
          <t>Bykeden' and Yteden'</t>
        </is>
      </c>
      <c r="F85" s="72">
        <f>SUM(F81:F83)</f>
        <v/>
      </c>
      <c r="G85" s="143">
        <f>F85-F84</f>
        <v/>
      </c>
      <c r="H85" t="inlineStr">
        <is>
          <t>Total</t>
        </is>
      </c>
    </row>
    <row r="86"/>
    <row r="87">
      <c r="A87" t="inlineStr">
        <is>
          <t>All corn</t>
        </is>
      </c>
      <c r="B87" t="n">
        <v>88</v>
      </c>
      <c r="C87" t="n">
        <v>1</v>
      </c>
      <c r="D87" t="n">
        <v>8</v>
      </c>
      <c r="F87" s="72">
        <f>B87+C87/20+D87/240</f>
        <v/>
      </c>
      <c r="H87" t="inlineStr">
        <is>
          <t>Total of all the corn from the demesne as well as from tithes sold wholesale, £88 1 shilling 8pence</t>
        </is>
      </c>
    </row>
    <row r="88"/>
    <row r="89">
      <c r="A89" t="inlineStr">
        <is>
          <t>Entry and marriage fines</t>
        </is>
      </c>
      <c r="B89" t="n">
        <v>0</v>
      </c>
      <c r="C89" t="n">
        <v>4</v>
      </c>
      <c r="D89" t="n">
        <v>0</v>
      </c>
      <c r="F89" s="72" t="n">
        <v>0.2</v>
      </c>
      <c r="H89" t="inlineStr">
        <is>
          <t>The same render account for 4 shilling from the tithing for tithingpenny at the hundred-court of Martinmas.</t>
        </is>
      </c>
    </row>
    <row r="90">
      <c r="A90" t="inlineStr">
        <is>
          <t>Entry and marriage fines</t>
        </is>
      </c>
      <c r="B90" t="n">
        <v>0</v>
      </c>
      <c r="C90" t="n">
        <v>4</v>
      </c>
      <c r="D90" t="n">
        <v>0</v>
      </c>
      <c r="F90" s="72" t="n">
        <v>0.2</v>
      </c>
      <c r="H90" t="inlineStr">
        <is>
          <t>4 shilling from the tithing for tithingpenny at the hundred-court of Hockday.</t>
        </is>
      </c>
    </row>
    <row r="91">
      <c r="A91" t="inlineStr">
        <is>
          <t>Entry and marriage fines</t>
        </is>
      </c>
      <c r="B91" t="n">
        <v>1</v>
      </c>
      <c r="C91" t="n">
        <v>0</v>
      </c>
      <c r="D91" t="n">
        <v>0</v>
      </c>
      <c r="F91" s="72" t="n">
        <v>1</v>
      </c>
      <c r="H91" t="inlineStr">
        <is>
          <t xml:space="preserve">£1 from Alice, relict of William Cocus de Pydeham, to retain 1 messuage and 1 virgate of land which belonged to her husbanpence </t>
        </is>
      </c>
    </row>
    <row r="92">
      <c r="A92" t="inlineStr">
        <is>
          <t>Entry and marriage fines</t>
        </is>
      </c>
      <c r="B92" t="n">
        <v>1</v>
      </c>
      <c r="C92" t="n">
        <v>8</v>
      </c>
      <c r="D92" t="n">
        <v>0</v>
      </c>
      <c r="F92" s="72">
        <f>B92+C92/20+D92/240</f>
        <v/>
      </c>
      <c r="H92" t="inlineStr">
        <is>
          <t>Total, £1 8 shilling</t>
        </is>
      </c>
    </row>
    <row r="93">
      <c r="A93" t="inlineStr">
        <is>
          <t>Entry and marriage fines</t>
        </is>
      </c>
      <c r="F93" s="72" t="n">
        <v>1.4</v>
      </c>
      <c r="G93" s="143">
        <f>F93-F92</f>
        <v/>
      </c>
      <c r="H93" t="inlineStr">
        <is>
          <t>Total</t>
        </is>
      </c>
    </row>
    <row r="94"/>
    <row r="95">
      <c r="A95" t="inlineStr">
        <is>
          <t>Perquisites</t>
        </is>
      </c>
      <c r="B95" t="n">
        <v>1</v>
      </c>
      <c r="C95" t="n">
        <v>3</v>
      </c>
      <c r="D95" t="n">
        <v>6</v>
      </c>
      <c r="F95" s="72" t="n">
        <v>1.17</v>
      </c>
      <c r="H95" t="inlineStr">
        <is>
          <t>The same render account for £1 3 shilling 6pence from small perquisites from various men this year for various transgressions.</t>
        </is>
      </c>
    </row>
    <row r="96">
      <c r="A96" t="inlineStr">
        <is>
          <t>Perquisites</t>
        </is>
      </c>
      <c r="B96" t="n">
        <v>1</v>
      </c>
      <c r="C96" t="n">
        <v>3</v>
      </c>
      <c r="D96" t="n">
        <v>6</v>
      </c>
      <c r="F96" s="72" t="n">
        <v>1.17</v>
      </c>
      <c r="H96" t="inlineStr">
        <is>
          <t>Total, £1 3 shilling 6pence</t>
        </is>
      </c>
    </row>
    <row r="97"/>
    <row r="98">
      <c r="A98" t="inlineStr">
        <is>
          <t>Perquisites &amp; entry and marriage fines</t>
        </is>
      </c>
      <c r="B98" t="n">
        <v>2</v>
      </c>
      <c r="C98" t="n">
        <v>11</v>
      </c>
      <c r="D98" t="n">
        <v>6</v>
      </c>
      <c r="F98" s="72" t="n">
        <v>2.57</v>
      </c>
      <c r="G98" s="143">
        <f>F98-(F96+F93)</f>
        <v/>
      </c>
      <c r="H98" t="inlineStr">
        <is>
          <t>Total of both, £2 11 shilling 6pence</t>
        </is>
      </c>
    </row>
    <row r="99"/>
    <row r="100">
      <c r="A100" t="inlineStr">
        <is>
          <t xml:space="preserve">Total of all receipts </t>
        </is>
      </c>
      <c r="C100" t="n">
        <v>104</v>
      </c>
      <c r="D100" t="n">
        <v>17</v>
      </c>
      <c r="E100" t="n">
        <v>8.25</v>
      </c>
      <c r="F100" t="n">
        <v>104.88</v>
      </c>
      <c r="H100" t="inlineStr">
        <is>
          <t>Total of all receipts, £104 17 shilling 8.25pence</t>
        </is>
      </c>
    </row>
    <row r="101"/>
    <row r="102">
      <c r="A102" s="38" t="inlineStr">
        <is>
          <t>Total of all receipts recorded in accounts</t>
        </is>
      </c>
      <c r="F102" s="72">
        <f>F100</f>
        <v/>
      </c>
    </row>
    <row r="103" ht="16" customHeight="1">
      <c r="A103" s="9" t="inlineStr">
        <is>
          <t>Total cross-check without arrears</t>
        </is>
      </c>
      <c r="F103" s="72">
        <f>F96+F93+F87+F59+F30+F26+F22</f>
        <v/>
      </c>
      <c r="G103" s="143">
        <f>F103-F102</f>
        <v/>
      </c>
    </row>
    <row r="104" ht="16" customHeight="1">
      <c r="A104" s="9" t="inlineStr">
        <is>
          <t>Total cross-check with arrears</t>
        </is>
      </c>
      <c r="F104" s="72">
        <f>F103+F6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7"/>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46" customWidth="1" min="8" max="8"/>
    <col width="20.83203125" customWidth="1" min="10" max="10"/>
    <col width="22.1640625" customWidth="1" min="11" max="11"/>
  </cols>
  <sheetData>
    <row r="1" ht="16" customHeight="1">
      <c r="A1" s="12" t="inlineStr">
        <is>
          <t>EAST MEON CHURCH EXPENSES</t>
        </is>
      </c>
      <c r="B1" s="9" t="n"/>
      <c r="C1" s="9" t="n"/>
      <c r="D1" s="9" t="n"/>
      <c r="E1" s="9" t="n"/>
      <c r="F1" s="26" t="n"/>
      <c r="G1" s="50" t="n"/>
      <c r="H1" s="9" t="n"/>
    </row>
    <row r="2" ht="34"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Cost of ploughs</t>
        </is>
      </c>
      <c r="B3" t="n">
        <v>0</v>
      </c>
      <c r="C3" t="n">
        <v>1</v>
      </c>
      <c r="D3" t="n">
        <v>8</v>
      </c>
      <c r="F3" s="72" t="n">
        <v>0.08</v>
      </c>
      <c r="H3" t="inlineStr">
        <is>
          <t>In ironwork of 1 horse-plough for the year 1 shilling 8pence.</t>
        </is>
      </c>
      <c r="J3" s="72">
        <f>F3</f>
        <v/>
      </c>
      <c r="K3" s="72">
        <f>F3</f>
        <v/>
      </c>
    </row>
    <row r="4">
      <c r="A4" t="inlineStr">
        <is>
          <t>Cost of ploughs</t>
        </is>
      </c>
      <c r="B4" t="n">
        <v>0</v>
      </c>
      <c r="C4" t="n">
        <v>1</v>
      </c>
      <c r="D4" t="n">
        <v>0</v>
      </c>
      <c r="F4" s="72" t="n">
        <v>0.05</v>
      </c>
      <c r="H4" t="inlineStr">
        <is>
          <t>stipend of the smith forging the ironwork 1 shilling.</t>
        </is>
      </c>
      <c r="J4" s="72">
        <f>F4</f>
        <v/>
      </c>
      <c r="K4" s="72">
        <f>F4</f>
        <v/>
      </c>
    </row>
    <row r="5">
      <c r="A5" t="inlineStr">
        <is>
          <t>Cost of ploughs</t>
        </is>
      </c>
      <c r="B5" t="n">
        <v>0</v>
      </c>
      <c r="C5" t="n">
        <v>0</v>
      </c>
      <c r="D5" t="n">
        <v>8.5</v>
      </c>
      <c r="F5" s="72" t="n">
        <v>0.04</v>
      </c>
      <c r="H5" t="inlineStr">
        <is>
          <t>1 ploughshare bought 8.5pence.</t>
        </is>
      </c>
      <c r="J5" s="72">
        <f>F5</f>
        <v/>
      </c>
      <c r="K5" s="72">
        <f>F5</f>
        <v/>
      </c>
    </row>
    <row r="6">
      <c r="A6" t="inlineStr">
        <is>
          <t>Cost of ploughs</t>
        </is>
      </c>
      <c r="B6" t="n">
        <v>0</v>
      </c>
      <c r="C6" t="n">
        <v>0</v>
      </c>
      <c r="D6" t="n">
        <v>3.5</v>
      </c>
      <c r="F6" s="72" t="n">
        <v>0.01</v>
      </c>
      <c r="H6" t="inlineStr">
        <is>
          <t>1 plough foot bought 3.5pence.</t>
        </is>
      </c>
      <c r="J6" s="72">
        <f>F6</f>
        <v/>
      </c>
      <c r="K6" s="72">
        <f>F6</f>
        <v/>
      </c>
    </row>
    <row r="7">
      <c r="A7" t="inlineStr">
        <is>
          <t>Cost of ploughs</t>
        </is>
      </c>
      <c r="B7" t="n">
        <v>0</v>
      </c>
      <c r="C7" t="n">
        <v>0</v>
      </c>
      <c r="D7" t="n">
        <v>8</v>
      </c>
      <c r="F7" s="72" t="n">
        <v>0.03</v>
      </c>
      <c r="H7" t="inlineStr">
        <is>
          <t>making and mending ploughs and harrows 8pence.</t>
        </is>
      </c>
      <c r="J7" s="72">
        <f>F7</f>
        <v/>
      </c>
      <c r="K7" s="72">
        <f>F7</f>
        <v/>
      </c>
    </row>
    <row r="8">
      <c r="A8" t="inlineStr">
        <is>
          <t>Cost of ploughs</t>
        </is>
      </c>
      <c r="B8" t="n">
        <v>0</v>
      </c>
      <c r="C8" t="n">
        <v>0</v>
      </c>
      <c r="D8" t="n">
        <v>4</v>
      </c>
      <c r="F8" s="72" t="n">
        <v>0.02</v>
      </c>
      <c r="H8" t="inlineStr">
        <is>
          <t>1 pair of wheels bought for the same 4pence.</t>
        </is>
      </c>
      <c r="J8" s="72">
        <f>F8</f>
        <v/>
      </c>
      <c r="K8" s="72">
        <f>F8</f>
        <v/>
      </c>
    </row>
    <row r="9">
      <c r="A9" t="inlineStr">
        <is>
          <t>Cost of ploughs</t>
        </is>
      </c>
      <c r="B9" t="n">
        <v>0</v>
      </c>
      <c r="C9" t="n">
        <v>0</v>
      </c>
      <c r="D9" t="n">
        <v>10</v>
      </c>
      <c r="F9" s="72" t="n">
        <v>0.04</v>
      </c>
      <c r="H9" t="inlineStr">
        <is>
          <t>1 coulter made anew with iron bought for the same 10pence.</t>
        </is>
      </c>
      <c r="J9" s="72">
        <f>F9</f>
        <v/>
      </c>
      <c r="K9" s="72">
        <f>F9</f>
        <v/>
      </c>
    </row>
    <row r="10">
      <c r="A10" t="inlineStr">
        <is>
          <t>Cost of ploughs</t>
        </is>
      </c>
      <c r="B10" t="n">
        <v>0</v>
      </c>
      <c r="C10" t="n">
        <v>0</v>
      </c>
      <c r="D10" t="n">
        <v>1.5</v>
      </c>
      <c r="F10" s="72" t="n">
        <v>0.01</v>
      </c>
      <c r="H10" t="inlineStr">
        <is>
          <t>6 halters made from the horses' own hair 1.5pence.</t>
        </is>
      </c>
      <c r="J10" s="72">
        <f>F10</f>
        <v/>
      </c>
      <c r="K10" s="72">
        <f>F10</f>
        <v/>
      </c>
    </row>
    <row r="11">
      <c r="A11" t="inlineStr">
        <is>
          <t>Cost of ploughs</t>
        </is>
      </c>
      <c r="B11" t="n">
        <v>0</v>
      </c>
      <c r="C11" t="n">
        <v>0</v>
      </c>
      <c r="D11" t="n">
        <v>8</v>
      </c>
      <c r="F11" s="72" t="n">
        <v>0.03</v>
      </c>
      <c r="H11" t="inlineStr">
        <is>
          <t>stipend of 1 harrower at both sowings 8pence.</t>
        </is>
      </c>
      <c r="J11" s="72">
        <f>F11</f>
        <v/>
      </c>
      <c r="K11" s="72">
        <f>F11</f>
        <v/>
      </c>
    </row>
    <row r="12">
      <c r="A12" t="inlineStr">
        <is>
          <t>Cost of ploughs</t>
        </is>
      </c>
      <c r="B12" t="n">
        <v>0</v>
      </c>
      <c r="C12" t="n">
        <v>0</v>
      </c>
      <c r="D12" t="n">
        <v>9</v>
      </c>
      <c r="F12" s="72" t="n">
        <v>0.04</v>
      </c>
      <c r="H12" t="inlineStr">
        <is>
          <t>shoeing 6 plough-horses for the year 9pence.</t>
        </is>
      </c>
      <c r="J12" s="72">
        <f>F12</f>
        <v/>
      </c>
      <c r="K12" s="72">
        <f>F12</f>
        <v/>
      </c>
    </row>
    <row r="13">
      <c r="A13" t="inlineStr">
        <is>
          <t>Cost of ploughs</t>
        </is>
      </c>
      <c r="B13" t="n">
        <v>0</v>
      </c>
      <c r="C13" t="n">
        <v>0</v>
      </c>
      <c r="D13" t="n">
        <v>1</v>
      </c>
      <c r="F13" s="72" t="n">
        <v>0</v>
      </c>
      <c r="H13" t="inlineStr">
        <is>
          <t>fastening the same 1pence Delivered to 1 ploughman for 0.5 ewe at Martinmas according to custom 1.5pence.</t>
        </is>
      </c>
      <c r="J13" s="72">
        <f>F13</f>
        <v/>
      </c>
      <c r="K13" s="72">
        <f>F13</f>
        <v/>
      </c>
    </row>
    <row r="14">
      <c r="A14" t="inlineStr">
        <is>
          <t>Cost of ploughs</t>
        </is>
      </c>
      <c r="B14" t="n">
        <v>0</v>
      </c>
      <c r="C14" t="n">
        <v>3</v>
      </c>
      <c r="D14" t="n">
        <v>0</v>
      </c>
      <c r="F14" s="72" t="n">
        <v>0.15</v>
      </c>
      <c r="H14" t="inlineStr">
        <is>
          <t>stipend of 1 stot-keeper for the year 3 shilling.</t>
        </is>
      </c>
    </row>
    <row r="15">
      <c r="A15" t="inlineStr">
        <is>
          <t>Cost of ploughs</t>
        </is>
      </c>
      <c r="B15" t="n">
        <v>0</v>
      </c>
      <c r="C15" t="n">
        <v>12</v>
      </c>
      <c r="D15" t="n">
        <v>6</v>
      </c>
      <c r="F15" s="72">
        <f>B15+C15/20+D15/240</f>
        <v/>
      </c>
      <c r="H15" t="inlineStr">
        <is>
          <t xml:space="preserve">1 plough-horse bought 12 shilling 6pence </t>
        </is>
      </c>
    </row>
    <row r="16">
      <c r="A16" t="inlineStr">
        <is>
          <t>Cost of ploughs</t>
        </is>
      </c>
      <c r="B16" t="n">
        <v>1</v>
      </c>
      <c r="C16" t="n">
        <v>2</v>
      </c>
      <c r="D16" t="n">
        <v>9</v>
      </c>
      <c r="F16" s="72" t="n">
        <v>1.14</v>
      </c>
      <c r="H16" t="inlineStr">
        <is>
          <t>Total, £1 2 shilling 9pence</t>
        </is>
      </c>
    </row>
    <row r="17">
      <c r="A17" t="inlineStr">
        <is>
          <t>Cost of ploughs</t>
        </is>
      </c>
      <c r="F17" s="72">
        <f>SUM(F3:F15)</f>
        <v/>
      </c>
      <c r="G17" s="143">
        <f>F17-F16</f>
        <v/>
      </c>
      <c r="H17" t="inlineStr">
        <is>
          <t>Total</t>
        </is>
      </c>
    </row>
    <row r="18"/>
    <row r="19">
      <c r="A19" t="inlineStr">
        <is>
          <t>Cost of carts</t>
        </is>
      </c>
      <c r="B19" t="n">
        <v>0</v>
      </c>
      <c r="C19" t="n">
        <v>0</v>
      </c>
      <c r="D19" t="n">
        <v>10</v>
      </c>
      <c r="F19" s="72" t="n">
        <v>0.04</v>
      </c>
      <c r="H19" t="inlineStr">
        <is>
          <t>In 1 pair of wheels made from the lord's timber 10pence.</t>
        </is>
      </c>
      <c r="J19" s="72">
        <f>F19</f>
        <v/>
      </c>
      <c r="K19" s="72">
        <f>J19</f>
        <v/>
      </c>
    </row>
    <row r="20">
      <c r="A20" t="inlineStr">
        <is>
          <t>Cost of carts</t>
        </is>
      </c>
      <c r="B20" t="n">
        <v>0</v>
      </c>
      <c r="C20" t="n">
        <v>12</v>
      </c>
      <c r="D20" t="n">
        <v>6</v>
      </c>
      <c r="F20" s="72" t="n">
        <v>0.62</v>
      </c>
      <c r="H20" t="inlineStr">
        <is>
          <t>1 new binding, with clamps and large and small nails bought for the same, and with the stipend of the smith putting the said binding on the said wheels, 12 shilling 6pence.</t>
        </is>
      </c>
      <c r="J20" s="72">
        <f>F20</f>
        <v/>
      </c>
      <c r="K20" s="72">
        <f>J20</f>
        <v/>
      </c>
    </row>
    <row r="21">
      <c r="A21" t="inlineStr">
        <is>
          <t>Cost of carts</t>
        </is>
      </c>
      <c r="B21" t="n">
        <v>0</v>
      </c>
      <c r="C21" t="n">
        <v>0</v>
      </c>
      <c r="D21" t="n">
        <v>2</v>
      </c>
      <c r="F21" s="72" t="n">
        <v>0.01</v>
      </c>
      <c r="H21" t="inlineStr">
        <is>
          <t>hooping the hubs of the cart with iron 2pence.</t>
        </is>
      </c>
      <c r="J21" s="72">
        <f>F21</f>
        <v/>
      </c>
      <c r="K21" s="72">
        <f>J21</f>
        <v/>
      </c>
    </row>
    <row r="22">
      <c r="A22" t="inlineStr">
        <is>
          <t>Cost of carts</t>
        </is>
      </c>
      <c r="B22" t="n">
        <v>0</v>
      </c>
      <c r="C22" t="n">
        <v>0</v>
      </c>
      <c r="D22" t="n">
        <v>2</v>
      </c>
      <c r="F22" s="72" t="n">
        <v>0.01</v>
      </c>
      <c r="H22" t="inlineStr">
        <is>
          <t>fitting the cart with axles at various times 2pence.</t>
        </is>
      </c>
      <c r="J22" s="72">
        <f>F22</f>
        <v/>
      </c>
      <c r="K22" s="72">
        <f>J22</f>
        <v/>
      </c>
    </row>
    <row r="23">
      <c r="A23" t="inlineStr">
        <is>
          <t>Cost of carts</t>
        </is>
      </c>
      <c r="B23" t="n">
        <v>0</v>
      </c>
      <c r="C23" t="n">
        <v>1</v>
      </c>
      <c r="D23" t="n">
        <v>0</v>
      </c>
      <c r="F23" s="72" t="n">
        <v>0.05</v>
      </c>
      <c r="H23" t="inlineStr">
        <is>
          <t>white leather bought for mending harnesses 1 shilling.</t>
        </is>
      </c>
      <c r="J23" s="72">
        <f>F23</f>
        <v/>
      </c>
      <c r="K23" s="72">
        <f>J23</f>
        <v/>
      </c>
    </row>
    <row r="24">
      <c r="A24" t="inlineStr">
        <is>
          <t>Cost of carts</t>
        </is>
      </c>
      <c r="B24" t="n">
        <v>0</v>
      </c>
      <c r="C24" t="n">
        <v>0</v>
      </c>
      <c r="D24" t="n">
        <v>6</v>
      </c>
      <c r="F24" s="72" t="n">
        <v>0.03</v>
      </c>
      <c r="H24" t="inlineStr">
        <is>
          <t>grease bought 6pence.</t>
        </is>
      </c>
      <c r="J24" s="72">
        <f>F24</f>
        <v/>
      </c>
      <c r="K24" s="72">
        <f>J24</f>
        <v/>
      </c>
    </row>
    <row r="25">
      <c r="A25" t="inlineStr">
        <is>
          <t>Cost of carts</t>
        </is>
      </c>
      <c r="B25" t="n">
        <v>0</v>
      </c>
      <c r="C25" t="n">
        <v>2</v>
      </c>
      <c r="D25" t="n">
        <v>0</v>
      </c>
      <c r="F25" s="72" t="n">
        <v>0.1</v>
      </c>
      <c r="H25" t="inlineStr">
        <is>
          <t>shoeing 2 cart-horses for the year 2 shilling.</t>
        </is>
      </c>
      <c r="J25" s="72">
        <f>F25</f>
        <v/>
      </c>
      <c r="K25" s="72">
        <f>J25</f>
        <v/>
      </c>
    </row>
    <row r="26">
      <c r="A26" t="inlineStr">
        <is>
          <t>Cost of carts</t>
        </is>
      </c>
      <c r="B26" t="n">
        <v>0</v>
      </c>
      <c r="C26" t="n">
        <v>3</v>
      </c>
      <c r="D26" t="n">
        <v>4</v>
      </c>
      <c r="F26" s="72" t="n">
        <v>0.17</v>
      </c>
      <c r="H26" t="inlineStr">
        <is>
          <t>stipend of 1 carter for the year 3 shilling 4pence.</t>
        </is>
      </c>
    </row>
    <row r="27">
      <c r="A27" t="inlineStr">
        <is>
          <t>Cost of carts</t>
        </is>
      </c>
      <c r="B27" t="n">
        <v>0</v>
      </c>
      <c r="C27" t="n">
        <v>16</v>
      </c>
      <c r="D27" t="n">
        <v>7</v>
      </c>
      <c r="F27" s="72">
        <f>B27+C27/20+D27/240</f>
        <v/>
      </c>
      <c r="H27" t="inlineStr">
        <is>
          <t xml:space="preserve">1 cart-horse bought 16 shilling 7pence </t>
        </is>
      </c>
    </row>
    <row r="28">
      <c r="A28" t="inlineStr">
        <is>
          <t>Cost of carts</t>
        </is>
      </c>
      <c r="B28" t="n">
        <v>1</v>
      </c>
      <c r="C28" t="n">
        <v>17</v>
      </c>
      <c r="D28" t="n">
        <v>1</v>
      </c>
      <c r="F28" s="72" t="n">
        <v>1.85</v>
      </c>
      <c r="H28" t="inlineStr">
        <is>
          <t>Total, £1 17 shilling 1pence</t>
        </is>
      </c>
    </row>
    <row r="29">
      <c r="A29" t="inlineStr">
        <is>
          <t>Cost of carts</t>
        </is>
      </c>
      <c r="F29" s="72">
        <f>SUM(F19:F27)</f>
        <v/>
      </c>
      <c r="G29" s="143">
        <f>F29-F28</f>
        <v/>
      </c>
      <c r="H29" t="inlineStr">
        <is>
          <t>Total</t>
        </is>
      </c>
    </row>
    <row r="30"/>
    <row r="31">
      <c r="A31" t="inlineStr">
        <is>
          <t>Sheepfold and sheepcote</t>
        </is>
      </c>
      <c r="B31" t="n">
        <v>0</v>
      </c>
      <c r="C31" t="n">
        <v>0</v>
      </c>
      <c r="D31" t="n">
        <v>3</v>
      </c>
      <c r="F31" t="n">
        <v>0.01</v>
      </c>
      <c r="H31" t="inlineStr">
        <is>
          <t>In 9 hurdles made for the fold 3pence.</t>
        </is>
      </c>
      <c r="J31">
        <f>F31</f>
        <v/>
      </c>
      <c r="K31">
        <f>J31</f>
        <v/>
      </c>
    </row>
    <row r="32">
      <c r="A32" t="inlineStr">
        <is>
          <t>Sheepfold and sheepcote</t>
        </is>
      </c>
      <c r="B32" t="n">
        <v>0</v>
      </c>
      <c r="C32" t="n">
        <v>0</v>
      </c>
      <c r="D32" t="n">
        <v>7</v>
      </c>
      <c r="F32" t="n">
        <v>0.03</v>
      </c>
      <c r="H32" t="inlineStr">
        <is>
          <t>wattling 22 hurdles 7pence, at 1pence per 3 hurdles.</t>
        </is>
      </c>
      <c r="J32">
        <f>F32</f>
        <v/>
      </c>
      <c r="K32">
        <f>J32</f>
        <v/>
      </c>
    </row>
    <row r="33">
      <c r="A33" t="inlineStr">
        <is>
          <t>Sheepfold and sheepcote</t>
        </is>
      </c>
      <c r="B33" t="n">
        <v>0</v>
      </c>
      <c r="C33" t="n">
        <v>3</v>
      </c>
      <c r="D33" t="n">
        <v>2</v>
      </c>
      <c r="F33" t="n">
        <v>0.16</v>
      </c>
      <c r="H33" t="inlineStr">
        <is>
          <t>grease bought for greasing sheep 3 shilling 2pence.</t>
        </is>
      </c>
      <c r="J33">
        <f>F33</f>
        <v/>
      </c>
      <c r="K33">
        <f>J33</f>
        <v/>
      </c>
    </row>
    <row r="34">
      <c r="A34" t="inlineStr">
        <is>
          <t>Sheepfold and sheepcote</t>
        </is>
      </c>
      <c r="B34" t="n">
        <v>0</v>
      </c>
      <c r="C34" t="n">
        <v>3</v>
      </c>
      <c r="D34" t="n">
        <v>3</v>
      </c>
      <c r="F34" t="n">
        <v>0.16</v>
      </c>
      <c r="H34" t="inlineStr">
        <is>
          <t>13 ells of canvas bought for putting wool in 3 shilling 3pence, at 3pence an ell.</t>
        </is>
      </c>
      <c r="J34">
        <f>F34</f>
        <v/>
      </c>
      <c r="K34">
        <f>J34</f>
        <v/>
      </c>
    </row>
    <row r="35">
      <c r="A35" t="inlineStr">
        <is>
          <t>Sheepfold and sheepcote</t>
        </is>
      </c>
      <c r="B35" t="n">
        <v>0</v>
      </c>
      <c r="C35" t="n">
        <v>0</v>
      </c>
      <c r="D35" t="n">
        <v>6</v>
      </c>
      <c r="F35">
        <f>B35+C35/20+D35/240</f>
        <v/>
      </c>
      <c r="H35" t="inlineStr">
        <is>
          <t xml:space="preserve">making sacks for the wool with thread bought for the same 6pence </t>
        </is>
      </c>
      <c r="J35">
        <f>F35</f>
        <v/>
      </c>
      <c r="K35">
        <f>J35</f>
        <v/>
      </c>
    </row>
    <row r="36">
      <c r="A36" t="inlineStr">
        <is>
          <t>Sheepfold and sheepcote</t>
        </is>
      </c>
      <c r="B36" t="n">
        <v>0</v>
      </c>
      <c r="C36" t="n">
        <v>7</v>
      </c>
      <c r="D36" t="n">
        <v>9</v>
      </c>
      <c r="F36">
        <f>B36+C36/20+D36/240</f>
        <v/>
      </c>
      <c r="H36" t="inlineStr">
        <is>
          <t>Total, 7 shilling 9pence</t>
        </is>
      </c>
    </row>
    <row r="37"/>
    <row r="38">
      <c r="A38" t="inlineStr">
        <is>
          <t>Cost of buildings</t>
        </is>
      </c>
      <c r="B38" t="n">
        <v>0</v>
      </c>
      <c r="C38" t="n">
        <v>2</v>
      </c>
      <c r="D38" t="n">
        <v>0</v>
      </c>
      <c r="F38" s="72" t="n">
        <v>0.1</v>
      </c>
      <c r="H38" t="inlineStr">
        <is>
          <t>In re-roofing the bailiff's stable and the cart-horses' stable in places 2 shilling.</t>
        </is>
      </c>
      <c r="J38" s="72">
        <f>F38</f>
        <v/>
      </c>
      <c r="K38" s="72">
        <f>J38</f>
        <v/>
      </c>
    </row>
    <row r="39">
      <c r="A39" t="inlineStr">
        <is>
          <t>Cost of buildings</t>
        </is>
      </c>
      <c r="B39" t="n">
        <v>0</v>
      </c>
      <c r="C39" t="n">
        <v>0</v>
      </c>
      <c r="D39" t="n">
        <v>8</v>
      </c>
      <c r="F39" s="72" t="n">
        <v>0.03</v>
      </c>
      <c r="H39" t="inlineStr">
        <is>
          <t>repairing and restoring the mangers of the said stables 8pence.</t>
        </is>
      </c>
      <c r="J39" s="72">
        <f>F39</f>
        <v/>
      </c>
      <c r="K39" s="72">
        <f>J39</f>
        <v/>
      </c>
    </row>
    <row r="40">
      <c r="A40" t="inlineStr">
        <is>
          <t>Cost of buildings</t>
        </is>
      </c>
      <c r="B40" t="n">
        <v>0</v>
      </c>
      <c r="C40" t="n">
        <v>2</v>
      </c>
      <c r="D40" t="n">
        <v>0</v>
      </c>
      <c r="F40" s="72" t="n">
        <v>0.1</v>
      </c>
      <c r="H40" t="inlineStr">
        <is>
          <t>re-roofing and mending in places the unroofed building of the press 2 shilling.</t>
        </is>
      </c>
      <c r="J40" s="72">
        <f>F40</f>
        <v/>
      </c>
      <c r="K40" s="72">
        <f>J40</f>
        <v/>
      </c>
    </row>
    <row r="41">
      <c r="A41" t="inlineStr">
        <is>
          <t>Cost of buildings</t>
        </is>
      </c>
      <c r="B41" t="n">
        <v>0</v>
      </c>
      <c r="C41" t="n">
        <v>1</v>
      </c>
      <c r="D41" t="n">
        <v>0</v>
      </c>
      <c r="F41" s="72" t="n">
        <v>0.05</v>
      </c>
      <c r="H41" t="inlineStr">
        <is>
          <t>re-roofing and mending the granary in places 1 shilling.</t>
        </is>
      </c>
      <c r="J41" s="72">
        <f>F41</f>
        <v/>
      </c>
      <c r="K41" s="72">
        <f>J41</f>
        <v/>
      </c>
    </row>
    <row r="42">
      <c r="A42" t="inlineStr">
        <is>
          <t>Cost of buildings</t>
        </is>
      </c>
      <c r="B42" t="n">
        <v>0</v>
      </c>
      <c r="C42" t="n">
        <v>0</v>
      </c>
      <c r="D42" t="n">
        <v>6</v>
      </c>
      <c r="F42" s="72" t="n">
        <v>0.03</v>
      </c>
      <c r="H42" t="inlineStr">
        <is>
          <t>100 large nails and other small nails bought for the same 6pence.</t>
        </is>
      </c>
      <c r="J42" s="72">
        <f>F42</f>
        <v/>
      </c>
      <c r="K42" s="72">
        <f>J42</f>
        <v/>
      </c>
    </row>
    <row r="43">
      <c r="A43" t="inlineStr">
        <is>
          <t>Cost of buildings</t>
        </is>
      </c>
      <c r="B43" t="n">
        <v>1</v>
      </c>
      <c r="C43" t="n">
        <v>1</v>
      </c>
      <c r="D43" t="n">
        <v>5</v>
      </c>
      <c r="F43" s="72" t="n">
        <v>1.07</v>
      </c>
      <c r="H43" t="inlineStr">
        <is>
          <t>building anew 1 building for stabling the cart-horses and carts, £1 1 shilling 5pence for all costs.</t>
        </is>
      </c>
      <c r="J43" s="72">
        <f>F43</f>
        <v/>
      </c>
      <c r="K43" s="72">
        <f>J43</f>
        <v/>
      </c>
    </row>
    <row r="44">
      <c r="A44" t="inlineStr">
        <is>
          <t>Cost of buildings</t>
        </is>
      </c>
      <c r="B44" t="n">
        <v>0</v>
      </c>
      <c r="C44" t="n">
        <v>1</v>
      </c>
      <c r="D44" t="n">
        <v>0</v>
      </c>
      <c r="F44" s="72" t="n">
        <v>0.05</v>
      </c>
      <c r="H44" t="inlineStr">
        <is>
          <t>making and mending the bench in the great hall 1 shilling.</t>
        </is>
      </c>
      <c r="J44" s="72">
        <f>F44</f>
        <v/>
      </c>
      <c r="K44" s="72">
        <f>J44</f>
        <v/>
      </c>
    </row>
    <row r="45">
      <c r="A45" t="inlineStr">
        <is>
          <t>Cost of buildings</t>
        </is>
      </c>
      <c r="B45" t="n">
        <v>0</v>
      </c>
      <c r="C45" t="n">
        <v>0</v>
      </c>
      <c r="D45" t="n">
        <v>5</v>
      </c>
      <c r="F45" s="72" t="n">
        <v>0.02</v>
      </c>
      <c r="H45" t="inlineStr">
        <is>
          <t>mending the walls of the dairy and the door of the same building 5pence.</t>
        </is>
      </c>
      <c r="J45" s="72">
        <f>F45</f>
        <v/>
      </c>
      <c r="K45" s="72">
        <f>J45</f>
        <v/>
      </c>
    </row>
    <row r="46">
      <c r="A46" t="inlineStr">
        <is>
          <t>Cost of buildings</t>
        </is>
      </c>
      <c r="B46" t="n">
        <v>0</v>
      </c>
      <c r="C46" t="n">
        <v>0</v>
      </c>
      <c r="D46" t="n">
        <v>10.5</v>
      </c>
      <c r="F46" s="72" t="n">
        <v>0.04</v>
      </c>
      <c r="H46" t="inlineStr">
        <is>
          <t>mending the barn-door and likewise the gate of the curia with nails bought for the same 10.5pence.</t>
        </is>
      </c>
      <c r="J46" s="72">
        <f>F46</f>
        <v/>
      </c>
      <c r="K46" s="72">
        <f>J46</f>
        <v/>
      </c>
    </row>
    <row r="47">
      <c r="A47" t="inlineStr">
        <is>
          <t>Cost of buildings</t>
        </is>
      </c>
      <c r="B47" t="n">
        <v>1</v>
      </c>
      <c r="C47" t="n">
        <v>1</v>
      </c>
      <c r="D47" t="n">
        <v>0</v>
      </c>
      <c r="F47" s="72" t="n">
        <v>1.05</v>
      </c>
      <c r="H47" t="inlineStr">
        <is>
          <t>9 empty casks bought £1 1 shilling, at 2 shilling 4pence each.</t>
        </is>
      </c>
      <c r="J47" s="72">
        <f>F47</f>
        <v/>
      </c>
      <c r="K47" s="72">
        <f>J47</f>
        <v/>
      </c>
    </row>
    <row r="48">
      <c r="A48" t="inlineStr">
        <is>
          <t>Cost of buildings</t>
        </is>
      </c>
      <c r="B48" t="n">
        <v>0</v>
      </c>
      <c r="C48" t="n">
        <v>1</v>
      </c>
      <c r="D48" t="n">
        <v>6</v>
      </c>
      <c r="F48" s="72" t="n">
        <v>0.08</v>
      </c>
      <c r="H48" t="inlineStr">
        <is>
          <t>hooping and mending these and others 1 shilling 6pence.</t>
        </is>
      </c>
      <c r="J48" s="72">
        <f>F48</f>
        <v/>
      </c>
      <c r="K48" s="72">
        <f>J48</f>
        <v/>
      </c>
    </row>
    <row r="49">
      <c r="A49" t="inlineStr">
        <is>
          <t>Cost of buildings</t>
        </is>
      </c>
      <c r="B49" t="n">
        <v>0</v>
      </c>
      <c r="C49" t="n">
        <v>0</v>
      </c>
      <c r="D49" t="n">
        <v>5</v>
      </c>
      <c r="F49" s="72" t="n">
        <v>0.02</v>
      </c>
      <c r="H49" t="inlineStr">
        <is>
          <t>hooping and mending tubs and barrows 5pence.</t>
        </is>
      </c>
      <c r="J49" s="72">
        <f>F49</f>
        <v/>
      </c>
      <c r="K49" s="72">
        <f>J49</f>
        <v/>
      </c>
    </row>
    <row r="50">
      <c r="A50" t="inlineStr">
        <is>
          <t>Cost of buildings</t>
        </is>
      </c>
      <c r="B50" t="n">
        <v>0</v>
      </c>
      <c r="C50" t="n">
        <v>4</v>
      </c>
      <c r="D50" t="n">
        <v>4</v>
      </c>
      <c r="F50" s="72" t="n">
        <v>0.22</v>
      </c>
      <c r="H50" t="inlineStr">
        <is>
          <t>making 12 casks of cider 4 shilling, at 4pence a cask.</t>
        </is>
      </c>
      <c r="J50" s="72">
        <f>F50</f>
        <v/>
      </c>
      <c r="K50" s="72">
        <f>J50</f>
        <v/>
      </c>
    </row>
    <row r="51">
      <c r="A51" t="inlineStr">
        <is>
          <t>Cost of buildings</t>
        </is>
      </c>
      <c r="B51" t="n">
        <v>0</v>
      </c>
      <c r="C51" t="n">
        <v>0</v>
      </c>
      <c r="D51" t="n">
        <v>4</v>
      </c>
      <c r="F51" s="72" t="n">
        <v>0.02</v>
      </c>
      <c r="H51" t="inlineStr">
        <is>
          <t>tallow and soap bought for the press 4pence.</t>
        </is>
      </c>
      <c r="J51" s="72">
        <f>F51</f>
        <v/>
      </c>
      <c r="K51" s="72">
        <f>J51</f>
        <v/>
      </c>
    </row>
    <row r="52">
      <c r="A52" t="inlineStr">
        <is>
          <t>Cost of buildings</t>
        </is>
      </c>
      <c r="B52" t="n">
        <v>0</v>
      </c>
      <c r="C52" t="n">
        <v>0</v>
      </c>
      <c r="D52" t="n">
        <v>0.25</v>
      </c>
      <c r="F52" s="72">
        <f>B52+C52/20+D52/240</f>
        <v/>
      </c>
      <c r="H52" t="inlineStr">
        <is>
          <t xml:space="preserve">1 sieve bought for straining cider 0.25pence </t>
        </is>
      </c>
      <c r="J52" s="72">
        <f>F52</f>
        <v/>
      </c>
      <c r="K52" s="72">
        <f>J52</f>
        <v/>
      </c>
    </row>
    <row r="53">
      <c r="A53" t="inlineStr">
        <is>
          <t>Cost of buildings</t>
        </is>
      </c>
      <c r="B53" t="n">
        <v>2</v>
      </c>
      <c r="C53" t="n">
        <v>17</v>
      </c>
      <c r="D53" t="n">
        <v>2.25</v>
      </c>
      <c r="F53" s="72" t="n">
        <v>2.86</v>
      </c>
      <c r="H53" t="inlineStr">
        <is>
          <t>Total, £2 17 shilling 2.25pence</t>
        </is>
      </c>
    </row>
    <row r="54">
      <c r="A54" t="inlineStr">
        <is>
          <t>Cost of buildings</t>
        </is>
      </c>
      <c r="F54" s="72">
        <f>SUM(F38:F52)</f>
        <v/>
      </c>
      <c r="G54" s="143">
        <f>F54-F53</f>
        <v/>
      </c>
      <c r="H54" t="inlineStr">
        <is>
          <t>Total</t>
        </is>
      </c>
    </row>
    <row r="55"/>
    <row r="56">
      <c r="A56" t="inlineStr">
        <is>
          <t>Threshing</t>
        </is>
      </c>
      <c r="B56" t="n">
        <v>0</v>
      </c>
      <c r="C56" t="n">
        <v>17</v>
      </c>
      <c r="D56" t="n">
        <v>5</v>
      </c>
      <c r="F56" s="72" t="n">
        <v>0.87</v>
      </c>
      <c r="H56" t="inlineStr">
        <is>
          <t>In threshing and winnowing 38 quarters 5 bushels of wheat from the demesne and 65 quarters 7 bushels of wheat from tithes by piece-work 17 shilling 5pence, at 2pence a struck quarter.</t>
        </is>
      </c>
    </row>
    <row r="57">
      <c r="A57" t="inlineStr">
        <is>
          <t>Threshing</t>
        </is>
      </c>
      <c r="B57" t="n">
        <v>0</v>
      </c>
      <c r="C57" t="n">
        <v>11</v>
      </c>
      <c r="D57" t="n">
        <v>0.5</v>
      </c>
      <c r="F57" s="72">
        <f>B57+C57/20+D57/240</f>
        <v/>
      </c>
      <c r="H57" t="inlineStr">
        <is>
          <t>threshing and winnowing 26 quarters 1 bushels of bere and 21 quarters' 6 bushels of barley from the demesne, and 14 quarters 7 bushels of bere, 38 quarters 3 bushels of barley and 9 quarters 2 bushels of peas and vetches from tithes, 11 shilling .5pence, at 1.5pence per 10 struck bushels.</t>
        </is>
      </c>
    </row>
    <row r="58">
      <c r="A58" t="inlineStr">
        <is>
          <t>Threshing</t>
        </is>
      </c>
      <c r="B58" t="n">
        <v>0</v>
      </c>
      <c r="C58" t="n">
        <v>2</v>
      </c>
      <c r="D58" t="n">
        <v>0.25</v>
      </c>
      <c r="F58" s="72">
        <f>B58+C58/20+D58/240</f>
        <v/>
      </c>
      <c r="H58" t="inlineStr">
        <is>
          <t>threshing and winnowing 12 quarters 1 bushels of beans by piece-work 2 shilling .25pence, at 2pence a struck quarter.</t>
        </is>
      </c>
    </row>
    <row r="59">
      <c r="A59" t="inlineStr">
        <is>
          <t>Threshing</t>
        </is>
      </c>
      <c r="B59" t="n">
        <v>0</v>
      </c>
      <c r="C59" t="n">
        <v>8</v>
      </c>
      <c r="D59" t="n">
        <v>7.25</v>
      </c>
      <c r="F59" s="72" t="n">
        <v>0.43</v>
      </c>
      <c r="H59" t="inlineStr">
        <is>
          <t>threshing and winnowing, 65 quarters 2 bushels of oats from the demesne and 64 quarters of oats from tithes 8 shilling 7.25pence at 1pence per 10 struck bushels.</t>
        </is>
      </c>
    </row>
    <row r="60">
      <c r="A60" t="inlineStr">
        <is>
          <t>Threshing</t>
        </is>
      </c>
      <c r="B60" t="n">
        <v>1</v>
      </c>
      <c r="C60" t="n">
        <v>19</v>
      </c>
      <c r="D60" t="n">
        <v>1</v>
      </c>
      <c r="F60" s="72" t="n">
        <v>1.95</v>
      </c>
      <c r="H60" t="inlineStr">
        <is>
          <t>Total, £1 19 shilling 1pence</t>
        </is>
      </c>
    </row>
    <row r="61">
      <c r="A61" t="inlineStr">
        <is>
          <t>Threshing</t>
        </is>
      </c>
      <c r="F61" s="72">
        <f>SUM(F56:F59)</f>
        <v/>
      </c>
      <c r="G61" s="143">
        <f>F61-F60</f>
        <v/>
      </c>
      <c r="H61" t="inlineStr">
        <is>
          <t>Total</t>
        </is>
      </c>
    </row>
    <row r="62"/>
    <row r="63">
      <c r="A63" t="inlineStr">
        <is>
          <t>Harvest-time</t>
        </is>
      </c>
      <c r="B63" t="n">
        <v>1</v>
      </c>
      <c r="C63" t="n">
        <v>1</v>
      </c>
      <c r="D63" t="n">
        <v>5</v>
      </c>
      <c r="F63" s="72" t="n">
        <v>1.07</v>
      </c>
      <c r="H63" t="inlineStr">
        <is>
          <t>In bread and herrings, and cheese for a want of herrings, bought for 17 boon-works and 7 carrying-services of 615 men with the customary tenants who reaped, bound and carried all the corn, £1 1 shilling 5pence.</t>
        </is>
      </c>
    </row>
    <row r="64">
      <c r="A64" t="inlineStr">
        <is>
          <t>Harvest-time</t>
        </is>
      </c>
      <c r="B64" t="n">
        <v>0</v>
      </c>
      <c r="C64" t="n">
        <v>2</v>
      </c>
      <c r="D64" t="n">
        <v>0</v>
      </c>
      <c r="F64" s="72" t="n">
        <v>0.1</v>
      </c>
      <c r="H64" t="inlineStr">
        <is>
          <t xml:space="preserve">stipend of 1 hayward at harvest-time 2 shilling </t>
        </is>
      </c>
    </row>
    <row r="65">
      <c r="A65" t="inlineStr">
        <is>
          <t>Harvest-time</t>
        </is>
      </c>
      <c r="B65" t="n">
        <v>1</v>
      </c>
      <c r="C65" t="n">
        <v>3</v>
      </c>
      <c r="D65" t="n">
        <v>5</v>
      </c>
      <c r="F65" s="72" t="n">
        <v>1.17</v>
      </c>
      <c r="H65" t="inlineStr">
        <is>
          <t>Total, £1 3 shilling 5pence</t>
        </is>
      </c>
    </row>
    <row r="66">
      <c r="A66" t="inlineStr">
        <is>
          <t>Harvest-time</t>
        </is>
      </c>
      <c r="F66" s="72">
        <f>SUM(F63:F64)</f>
        <v/>
      </c>
      <c r="G66" s="143">
        <f>F66-F65</f>
        <v/>
      </c>
      <c r="H66" t="inlineStr">
        <is>
          <t>Total</t>
        </is>
      </c>
    </row>
    <row r="67"/>
    <row r="68">
      <c r="A68" t="inlineStr">
        <is>
          <t>Also harvest-time</t>
        </is>
      </c>
      <c r="B68" t="n">
        <v>0</v>
      </c>
      <c r="C68" t="n">
        <v>15</v>
      </c>
      <c r="D68" t="n">
        <v>0</v>
      </c>
      <c r="F68" t="n">
        <v>0.75</v>
      </c>
      <c r="H68" t="inlineStr">
        <is>
          <t>In stipend of 3 riders this year, of whom 1 stayed for 36 days, 1 for 40 days, and 1 for 45 days, 15 shilling.</t>
        </is>
      </c>
    </row>
    <row r="69">
      <c r="A69" t="inlineStr">
        <is>
          <t>Also harvest-time</t>
        </is>
      </c>
      <c r="B69" t="n">
        <v>0</v>
      </c>
      <c r="C69" t="n">
        <v>16</v>
      </c>
      <c r="D69" t="n">
        <v>0</v>
      </c>
      <c r="F69" t="n">
        <v>0.8</v>
      </c>
      <c r="H69" t="inlineStr">
        <is>
          <t>expenses of the same for the same time 16 shilling.</t>
        </is>
      </c>
    </row>
    <row r="70">
      <c r="A70" t="inlineStr">
        <is>
          <t>Also harvest-time</t>
        </is>
      </c>
      <c r="B70" t="n">
        <v>0</v>
      </c>
      <c r="C70" t="n">
        <v>0</v>
      </c>
      <c r="D70" t="n">
        <v>9</v>
      </c>
      <c r="F70" t="n">
        <v>0.04</v>
      </c>
      <c r="H70" t="inlineStr">
        <is>
          <t>shoeing the horses of the same 9pence.</t>
        </is>
      </c>
      <c r="J70">
        <f>F70</f>
        <v/>
      </c>
      <c r="K70">
        <f>J70</f>
        <v/>
      </c>
    </row>
    <row r="71">
      <c r="A71" t="inlineStr">
        <is>
          <t>Also harvest-time</t>
        </is>
      </c>
      <c r="B71" t="n">
        <v>1</v>
      </c>
      <c r="C71" t="n">
        <v>15</v>
      </c>
      <c r="D71" t="n">
        <v>6</v>
      </c>
      <c r="F71" t="n">
        <v>1.77</v>
      </c>
      <c r="H71" t="inlineStr">
        <is>
          <t>expenses of 9 of the bishop's servants (pedon') and 2 stackers £1 15 shilling 6pence.</t>
        </is>
      </c>
    </row>
    <row r="72">
      <c r="A72" t="inlineStr">
        <is>
          <t>Also harvest-time</t>
        </is>
      </c>
      <c r="B72" t="n">
        <v>0</v>
      </c>
      <c r="C72" t="n">
        <v>18</v>
      </c>
      <c r="D72" t="n">
        <v>4</v>
      </c>
      <c r="F72" t="n">
        <v>0.92</v>
      </c>
      <c r="H72" t="inlineStr">
        <is>
          <t>stipend of the same 18 shilling 4pence, or 1 shilling 8pence each.</t>
        </is>
      </c>
    </row>
    <row r="73">
      <c r="A73" t="inlineStr">
        <is>
          <t>Also harvest-time</t>
        </is>
      </c>
      <c r="B73" t="n">
        <v>0</v>
      </c>
      <c r="C73" t="n">
        <v>0</v>
      </c>
      <c r="D73" t="n">
        <v>0</v>
      </c>
      <c r="F73" t="n">
        <v>0</v>
      </c>
      <c r="H73" t="inlineStr">
        <is>
          <t>And note that there is 1 servant fewer this year because the corn of Yteden' and Bykeden' was sold wholesale before the harvest.</t>
        </is>
      </c>
    </row>
    <row r="74">
      <c r="A74" t="inlineStr">
        <is>
          <t>Also harvest-time</t>
        </is>
      </c>
      <c r="B74" t="n">
        <v>0</v>
      </c>
      <c r="C74" t="n">
        <v>1</v>
      </c>
      <c r="D74" t="n">
        <v>6</v>
      </c>
      <c r="F74" t="n">
        <v>0.08</v>
      </c>
      <c r="H74" t="inlineStr">
        <is>
          <t>3 pairs of wheels made for carrying the corn from tithes 1 shilling 6pence.</t>
        </is>
      </c>
      <c r="J74">
        <f>F74</f>
        <v/>
      </c>
      <c r="K74">
        <f>J74</f>
        <v/>
      </c>
    </row>
    <row r="75">
      <c r="A75" t="inlineStr">
        <is>
          <t>Also harvest-time</t>
        </is>
      </c>
      <c r="B75" t="n">
        <v>0</v>
      </c>
      <c r="C75" t="n">
        <v>0</v>
      </c>
      <c r="D75" t="n">
        <v>6</v>
      </c>
      <c r="F75" t="n">
        <v>0.03</v>
      </c>
      <c r="H75" t="inlineStr">
        <is>
          <t>fitting the same with axles 6pence.</t>
        </is>
      </c>
      <c r="J75">
        <f>F75</f>
        <v/>
      </c>
      <c r="K75">
        <f>J75</f>
        <v/>
      </c>
    </row>
    <row r="76">
      <c r="A76" t="inlineStr">
        <is>
          <t>Also harvest-time</t>
        </is>
      </c>
      <c r="B76" t="n">
        <v>0</v>
      </c>
      <c r="C76" t="n">
        <v>2</v>
      </c>
      <c r="D76" t="n">
        <v>2</v>
      </c>
      <c r="F76" t="n">
        <v>0.11</v>
      </c>
      <c r="H76" t="inlineStr">
        <is>
          <t>4 collars bought 2 shilling 2pence.</t>
        </is>
      </c>
      <c r="J76">
        <f>F76</f>
        <v/>
      </c>
      <c r="K76">
        <f>J76</f>
        <v/>
      </c>
    </row>
    <row r="77">
      <c r="A77" t="inlineStr">
        <is>
          <t>Also harvest-time</t>
        </is>
      </c>
      <c r="B77" t="n">
        <v>0</v>
      </c>
      <c r="C77" t="n">
        <v>1</v>
      </c>
      <c r="D77" t="n">
        <v>10</v>
      </c>
      <c r="F77" t="n">
        <v>0.09</v>
      </c>
      <c r="H77" t="inlineStr">
        <is>
          <t>clouts, nails and grease bought 1 shilling 10pence.</t>
        </is>
      </c>
      <c r="J77">
        <f>F77</f>
        <v/>
      </c>
      <c r="K77">
        <f>J77</f>
        <v/>
      </c>
    </row>
    <row r="78">
      <c r="A78" t="inlineStr">
        <is>
          <t>Also harvest-time</t>
        </is>
      </c>
      <c r="B78" t="n">
        <v>0</v>
      </c>
      <c r="C78" t="n">
        <v>2</v>
      </c>
      <c r="D78" t="n">
        <v>6</v>
      </c>
      <c r="F78" t="n">
        <v>0.12</v>
      </c>
      <c r="H78" t="inlineStr">
        <is>
          <t>shoeing the plough-horses hauling the carts 2 shilling 6pence.</t>
        </is>
      </c>
      <c r="J78">
        <f>F78</f>
        <v/>
      </c>
      <c r="K78">
        <f>J78</f>
        <v/>
      </c>
    </row>
    <row r="79">
      <c r="A79" t="inlineStr">
        <is>
          <t>Also harvest-time</t>
        </is>
      </c>
      <c r="B79" t="n">
        <v>0</v>
      </c>
      <c r="C79" t="n">
        <v>1</v>
      </c>
      <c r="D79" t="n">
        <v>0</v>
      </c>
      <c r="F79" t="n">
        <v>0.05</v>
      </c>
      <c r="H79" t="inlineStr">
        <is>
          <t>treating the carts before the harvest 1 shilling.</t>
        </is>
      </c>
      <c r="J79">
        <f>F79</f>
        <v/>
      </c>
      <c r="K79">
        <f>J79</f>
        <v/>
      </c>
    </row>
    <row r="80">
      <c r="A80" t="inlineStr">
        <is>
          <t>Also harvest-time</t>
        </is>
      </c>
      <c r="B80" t="n">
        <v>0</v>
      </c>
      <c r="C80" t="n">
        <v>2</v>
      </c>
      <c r="D80" t="n">
        <v>4</v>
      </c>
      <c r="F80" t="n">
        <v>0.12</v>
      </c>
      <c r="H80" t="inlineStr">
        <is>
          <t>hiring carters this year to help carry the corn at various times 2 shilling 4pence.</t>
        </is>
      </c>
    </row>
    <row r="81">
      <c r="A81" t="inlineStr">
        <is>
          <t>Also harvest-time</t>
        </is>
      </c>
      <c r="B81" t="n">
        <v>0</v>
      </c>
      <c r="C81" t="n">
        <v>5</v>
      </c>
      <c r="D81" t="n">
        <v>4</v>
      </c>
      <c r="F81" t="n">
        <v>0.27</v>
      </c>
      <c r="H81" t="inlineStr">
        <is>
          <t>4 quarters of oats bought for the fodder of the riders' horses 5 shilling 4pence, at 1 shilling 4pence a quarters.</t>
        </is>
      </c>
    </row>
    <row r="82">
      <c r="A82" t="inlineStr">
        <is>
          <t>Also harvest-time</t>
        </is>
      </c>
      <c r="B82" t="n">
        <v>5</v>
      </c>
      <c r="C82" t="n">
        <v>4</v>
      </c>
      <c r="D82" t="n">
        <v>9</v>
      </c>
      <c r="F82" t="n">
        <v>5.24</v>
      </c>
      <c r="H82" t="inlineStr">
        <is>
          <t>Total, £5 4 shilling 9pence</t>
        </is>
      </c>
    </row>
    <row r="83"/>
    <row r="84">
      <c r="A84" t="inlineStr">
        <is>
          <t>Total of all expenses</t>
        </is>
      </c>
      <c r="B84" t="n">
        <v>14</v>
      </c>
      <c r="C84" t="n">
        <v>12</v>
      </c>
      <c r="D84" t="n">
        <v>0.25</v>
      </c>
      <c r="F84" s="72" t="n">
        <v>14.6</v>
      </c>
      <c r="H84" t="inlineStr">
        <is>
          <t>Total of all expenses, £14 12 shilling 0.25pence</t>
        </is>
      </c>
    </row>
    <row r="85">
      <c r="A85" t="inlineStr">
        <is>
          <t>Total of all expenses</t>
        </is>
      </c>
      <c r="F85" s="72" t="n">
        <v>14.6</v>
      </c>
      <c r="G85" s="143">
        <f>F85-F84</f>
        <v/>
      </c>
      <c r="H85" t="inlineStr">
        <is>
          <t>Total</t>
        </is>
      </c>
    </row>
    <row r="86"/>
    <row r="87">
      <c r="A87" t="inlineStr">
        <is>
          <t>And thus he owes</t>
        </is>
      </c>
      <c r="B87" t="n">
        <v>90</v>
      </c>
      <c r="C87" t="n">
        <v>5</v>
      </c>
      <c r="D87" t="n">
        <v>8</v>
      </c>
      <c r="F87" s="72" t="n">
        <v>90.28</v>
      </c>
      <c r="H87" t="inlineStr">
        <is>
          <t>And thus he owes, £90 5 shilling 8pence</t>
        </is>
      </c>
    </row>
    <row r="88">
      <c r="A88" t="inlineStr">
        <is>
          <t>And thus he owes</t>
        </is>
      </c>
      <c r="B88" t="n">
        <v>43</v>
      </c>
      <c r="C88" t="n">
        <v>0</v>
      </c>
      <c r="D88" t="n">
        <v>0</v>
      </c>
      <c r="F88" s="72" t="n">
        <v>43</v>
      </c>
      <c r="H88" t="inlineStr">
        <is>
          <t>Delivered to Sir Geoffrey, treasurer of Wolvesey, by 1 tally, £43.</t>
        </is>
      </c>
    </row>
    <row r="89"/>
    <row r="90"/>
    <row r="91">
      <c r="A91" t="inlineStr">
        <is>
          <t>And thus he owes clear</t>
        </is>
      </c>
      <c r="B91" t="n">
        <v>47</v>
      </c>
      <c r="C91" t="n">
        <v>5</v>
      </c>
      <c r="D91" t="n">
        <v>8</v>
      </c>
      <c r="F91" s="72" t="n">
        <v>47.28</v>
      </c>
      <c r="H91" t="inlineStr">
        <is>
          <t>And thus he owes clear, £47 5 shilling 8pence</t>
        </is>
      </c>
    </row>
    <row r="92"/>
    <row r="93"/>
    <row r="94" ht="16" customHeight="1">
      <c r="A94" s="12" t="inlineStr">
        <is>
          <t>Total of all expenses per account</t>
        </is>
      </c>
      <c r="F94" s="72">
        <f>F85</f>
        <v/>
      </c>
    </row>
    <row r="95" ht="16" customHeight="1">
      <c r="A95" s="12" t="inlineStr">
        <is>
          <t>Total of all expenses (calculated here)</t>
        </is>
      </c>
      <c r="F95" s="72">
        <f>F82+F66+F61+F54+F29+F36+F17</f>
        <v/>
      </c>
      <c r="G95" s="143">
        <f>F95-F94</f>
        <v/>
      </c>
    </row>
    <row r="96" ht="16" customHeight="1">
      <c r="A96" s="12" t="inlineStr">
        <is>
          <t>Total fixed investment</t>
        </is>
      </c>
      <c r="F96" s="72">
        <f>SUM(J3:J82)</f>
        <v/>
      </c>
    </row>
    <row r="97" ht="16" customHeight="1">
      <c r="A97" s="12" t="inlineStr">
        <is>
          <t>Total Demesne fixed investment</t>
        </is>
      </c>
      <c r="F97" s="72">
        <f>SUM(K3:K81)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3"/>
  <sheetViews>
    <sheetView topLeftCell="A1" workbookViewId="0">
      <selection activeCell="A1" sqref="A1"/>
    </sheetView>
  </sheetViews>
  <sheetFormatPr baseColWidth="8" defaultRowHeight="15"/>
  <cols>
    <col width="30" customWidth="1" min="1" max="1"/>
    <col width="12.1640625" customWidth="1" min="2" max="2"/>
    <col width="19.1640625" customWidth="1" min="3" max="3"/>
    <col width="20" customWidth="1" min="4" max="4"/>
    <col width="21.5" customWidth="1" min="5" max="5"/>
    <col width="15.83203125" customWidth="1" min="6" max="6"/>
    <col width="20.33203125" customWidth="1" min="7" max="7"/>
    <col width="17" customWidth="1" min="10" max="10"/>
    <col width="14" customWidth="1" min="13" max="13"/>
    <col width="8.1640625" customWidth="1" min="14" max="14"/>
    <col width="13.83203125" customWidth="1" min="15" max="15"/>
    <col width="17" customWidth="1" min="16" max="16"/>
  </cols>
  <sheetData>
    <row r="1" ht="32" customHeight="1">
      <c r="A1" s="37" t="inlineStr">
        <is>
          <t>Gross Output</t>
        </is>
      </c>
      <c r="B1" s="37" t="inlineStr">
        <is>
          <t>Total Quantity</t>
        </is>
      </c>
      <c r="C1" s="37" t="inlineStr">
        <is>
          <t>Account Total Quarters</t>
        </is>
      </c>
      <c r="D1" s="37" t="inlineStr">
        <is>
          <t>Bought in Total Quarters</t>
        </is>
      </c>
      <c r="E1" s="37" t="inlineStr">
        <is>
          <t>Received from tithes</t>
        </is>
      </c>
      <c r="F1" s="37" t="inlineStr">
        <is>
          <t>Sold Total Quarters</t>
        </is>
      </c>
      <c r="G1" s="144" t="inlineStr">
        <is>
          <t>Difference Produced+Bought-Sold</t>
        </is>
      </c>
      <c r="H1" s="144" t="inlineStr">
        <is>
          <t>Weighted Average Price per Quarter</t>
        </is>
      </c>
      <c r="I1" s="145" t="inlineStr">
        <is>
          <t>Value of Total Production weighted</t>
        </is>
      </c>
    </row>
    <row r="2">
      <c r="A2" s="133" t="inlineStr">
        <is>
          <t>wheat</t>
        </is>
      </c>
      <c r="B2" s="43">
        <f>C2+D2+E2</f>
        <v/>
      </c>
      <c r="C2" s="146">
        <f>38+5/8</f>
        <v/>
      </c>
      <c r="D2" s="146" t="n">
        <v>0</v>
      </c>
      <c r="E2" s="146">
        <f>65+7/8</f>
        <v/>
      </c>
      <c r="F2" s="147">
        <f>25+1/8+E2</f>
        <v/>
      </c>
      <c r="G2" s="148">
        <f>B2-F2</f>
        <v/>
      </c>
      <c r="H2" s="149" t="n">
        <v>0.28</v>
      </c>
      <c r="I2" s="149">
        <f>H2*B2</f>
        <v/>
      </c>
      <c r="J2" s="43" t="inlineStr">
        <is>
          <t>prices taken from East Meon</t>
        </is>
      </c>
    </row>
    <row r="3">
      <c r="A3" t="inlineStr">
        <is>
          <t>bere</t>
        </is>
      </c>
      <c r="B3" s="43">
        <f>C3+D3+E3</f>
        <v/>
      </c>
      <c r="C3" t="n">
        <v>26.125</v>
      </c>
      <c r="D3" t="n">
        <v>0</v>
      </c>
      <c r="E3">
        <f>14.5+3/8</f>
        <v/>
      </c>
      <c r="F3" s="28">
        <f>18+7/8+E3</f>
        <v/>
      </c>
      <c r="G3" s="148">
        <f>B3-F3</f>
        <v/>
      </c>
      <c r="H3" s="150" t="n">
        <v>0.1666666666666667</v>
      </c>
      <c r="I3" s="149">
        <f>H3*B3</f>
        <v/>
      </c>
      <c r="J3" t="inlineStr">
        <is>
          <t>prices taken from Droxford</t>
        </is>
      </c>
    </row>
    <row r="4">
      <c r="A4" t="inlineStr">
        <is>
          <t>barley</t>
        </is>
      </c>
      <c r="B4" s="43">
        <f>C4+D4+E4</f>
        <v/>
      </c>
      <c r="C4" t="n">
        <v>21.75</v>
      </c>
      <c r="D4" t="n">
        <v>0</v>
      </c>
      <c r="E4">
        <f>38+3/8</f>
        <v/>
      </c>
      <c r="F4" s="28">
        <f>2.5/8+E4</f>
        <v/>
      </c>
      <c r="G4" s="148">
        <f>B4-F4</f>
        <v/>
      </c>
      <c r="H4" s="150" t="n">
        <v>0.1936681222707424</v>
      </c>
      <c r="I4" s="149">
        <f>H4*B4</f>
        <v/>
      </c>
      <c r="J4" s="43" t="inlineStr">
        <is>
          <t>prices taken from East Meon</t>
        </is>
      </c>
    </row>
    <row r="5">
      <c r="A5" t="inlineStr">
        <is>
          <t>oats</t>
        </is>
      </c>
      <c r="B5" s="43">
        <f>C5+D5+E5</f>
        <v/>
      </c>
      <c r="C5" t="n">
        <v>65.5</v>
      </c>
      <c r="D5" t="n">
        <v>0</v>
      </c>
      <c r="E5">
        <f>64</f>
        <v/>
      </c>
      <c r="F5" s="28">
        <f>65+1/8+E5</f>
        <v/>
      </c>
      <c r="G5" s="148">
        <f>B5-F5</f>
        <v/>
      </c>
      <c r="H5" s="150" t="n">
        <v>0.1032039642911182</v>
      </c>
      <c r="I5" s="149">
        <f>H5*B5</f>
        <v/>
      </c>
      <c r="J5" s="43" t="inlineStr">
        <is>
          <t>prices taken from East Meon</t>
        </is>
      </c>
    </row>
    <row r="6">
      <c r="A6" t="inlineStr">
        <is>
          <t>beans</t>
        </is>
      </c>
      <c r="B6" s="43">
        <f>C6+D6+E6</f>
        <v/>
      </c>
      <c r="C6" t="n">
        <v>0</v>
      </c>
      <c r="D6" t="n">
        <v>0</v>
      </c>
      <c r="E6">
        <f>12+1/8</f>
        <v/>
      </c>
      <c r="F6">
        <f>E6</f>
        <v/>
      </c>
      <c r="G6" s="148">
        <f>B6-F6</f>
        <v/>
      </c>
      <c r="H6" s="150">
        <f>2/20+8/240</f>
        <v/>
      </c>
      <c r="I6" s="149">
        <f>H6*B6</f>
        <v/>
      </c>
    </row>
    <row r="7">
      <c r="A7" t="inlineStr">
        <is>
          <t>peas</t>
        </is>
      </c>
      <c r="B7" s="43">
        <f>C7+D7+E7</f>
        <v/>
      </c>
      <c r="C7" t="n">
        <v>0</v>
      </c>
      <c r="D7" t="n">
        <v>0</v>
      </c>
      <c r="E7">
        <f>2</f>
        <v/>
      </c>
      <c r="F7">
        <f>E7</f>
        <v/>
      </c>
      <c r="G7" s="148">
        <f>B7-F7</f>
        <v/>
      </c>
      <c r="H7" s="150" t="n">
        <v>0.15</v>
      </c>
      <c r="I7" s="149">
        <f>H7*B7</f>
        <v/>
      </c>
      <c r="J7" s="43" t="inlineStr">
        <is>
          <t>prices from Bishops Sutton</t>
        </is>
      </c>
    </row>
    <row r="8">
      <c r="A8" t="inlineStr">
        <is>
          <t>vetches</t>
        </is>
      </c>
      <c r="B8" s="43">
        <f>C8+D8+E8</f>
        <v/>
      </c>
      <c r="C8" t="n">
        <v>0</v>
      </c>
      <c r="D8" t="n">
        <v>0</v>
      </c>
      <c r="E8">
        <f>7+2/8</f>
        <v/>
      </c>
      <c r="F8">
        <f>E8</f>
        <v/>
      </c>
      <c r="G8" s="148">
        <f>B8-F8</f>
        <v/>
      </c>
      <c r="H8" s="150" t="n">
        <v>0.1</v>
      </c>
      <c r="I8" s="149">
        <f>H8*B8</f>
        <v/>
      </c>
      <c r="J8" s="43" t="inlineStr">
        <is>
          <t>prices from Bishops Sutton</t>
        </is>
      </c>
    </row>
    <row r="9">
      <c r="H9" s="72" t="n"/>
      <c r="I9" s="72" t="n"/>
    </row>
    <row r="10">
      <c r="A10" s="151" t="inlineStr">
        <is>
          <t>Total Production</t>
        </is>
      </c>
      <c r="I10" s="72">
        <f>SUM(I2:I8)</f>
        <v/>
      </c>
    </row>
    <row r="11">
      <c r="A11" s="151" t="inlineStr">
        <is>
          <t>Sales of corn (as recorded in accounts)</t>
        </is>
      </c>
    </row>
    <row r="12"/>
    <row r="13"/>
    <row r="14" ht="32" customHeight="1">
      <c r="A14" s="38" t="inlineStr">
        <is>
          <t>Net output</t>
        </is>
      </c>
      <c r="B14" s="152" t="inlineStr">
        <is>
          <t>Gross output</t>
        </is>
      </c>
      <c r="C14" s="153" t="inlineStr">
        <is>
          <t>Seed quarters</t>
        </is>
      </c>
      <c r="D14" s="153" t="inlineStr">
        <is>
          <t>Seed bushels</t>
        </is>
      </c>
      <c r="E14" s="153" t="inlineStr">
        <is>
          <t>Seed total quarters</t>
        </is>
      </c>
      <c r="F14" s="38" t="inlineStr">
        <is>
          <t>tithe quarters</t>
        </is>
      </c>
      <c r="G14" s="153" t="inlineStr">
        <is>
          <t>tithe bushels</t>
        </is>
      </c>
      <c r="H14" s="153" t="inlineStr">
        <is>
          <t>tithe total</t>
        </is>
      </c>
      <c r="I14" s="153" t="inlineStr">
        <is>
          <t>manorial servants quarters</t>
        </is>
      </c>
      <c r="J14" s="153" t="inlineStr">
        <is>
          <t>manorial servants bushels</t>
        </is>
      </c>
      <c r="K14" s="154" t="inlineStr">
        <is>
          <t>manorial servants total quarters</t>
        </is>
      </c>
      <c r="L14" s="153" t="inlineStr">
        <is>
          <t>output net of tithe, seed, liveries</t>
        </is>
      </c>
      <c r="M14" s="153" t="inlineStr">
        <is>
          <t>in stock from last year</t>
        </is>
      </c>
      <c r="N14" s="155" t="inlineStr">
        <is>
          <t>Price in £</t>
        </is>
      </c>
      <c r="O14" s="155" t="inlineStr">
        <is>
          <t>Value of net output in £</t>
        </is>
      </c>
      <c r="P14" s="152" t="inlineStr">
        <is>
          <t>Value of sales (in "Sale of Corn") in £</t>
        </is>
      </c>
    </row>
    <row r="15">
      <c r="A15" t="inlineStr">
        <is>
          <t>wheat</t>
        </is>
      </c>
      <c r="B15" s="27">
        <f>B2</f>
        <v/>
      </c>
      <c r="C15" s="44" t="n">
        <v>9.5</v>
      </c>
      <c r="D15" s="44" t="n"/>
      <c r="E15" s="44">
        <f>C15+D15/8</f>
        <v/>
      </c>
      <c r="G15" s="44" t="n"/>
      <c r="H15" s="44" t="n"/>
      <c r="I15" s="44" t="n">
        <v>4</v>
      </c>
      <c r="J15" s="44" t="n"/>
      <c r="K15" s="156">
        <f>I15+J15/8</f>
        <v/>
      </c>
      <c r="L15" s="44">
        <f>B15-E15-K15</f>
        <v/>
      </c>
      <c r="M15" s="44" t="n"/>
      <c r="N15" s="157">
        <f>H2</f>
        <v/>
      </c>
      <c r="O15" s="157">
        <f>N15*L15</f>
        <v/>
      </c>
      <c r="P15" s="27" t="n"/>
    </row>
    <row r="16">
      <c r="A16" t="inlineStr">
        <is>
          <t>bere</t>
        </is>
      </c>
      <c r="B16" s="27">
        <f>B3</f>
        <v/>
      </c>
      <c r="C16" t="n">
        <v>7</v>
      </c>
      <c r="D16" t="n">
        <v>2</v>
      </c>
      <c r="E16" s="44">
        <f>C16+D16/8</f>
        <v/>
      </c>
      <c r="K16" s="156">
        <f>I16+J16/8</f>
        <v/>
      </c>
      <c r="L16" s="44">
        <f>B16-E16-K16</f>
        <v/>
      </c>
      <c r="N16" s="157">
        <f>H3</f>
        <v/>
      </c>
      <c r="O16" s="157">
        <f>N16*L16</f>
        <v/>
      </c>
    </row>
    <row r="17">
      <c r="A17" t="inlineStr">
        <is>
          <t>barley</t>
        </is>
      </c>
      <c r="B17" s="27">
        <f>B4</f>
        <v/>
      </c>
      <c r="C17" t="n">
        <v>6</v>
      </c>
      <c r="D17" t="n">
        <v>2</v>
      </c>
      <c r="E17" s="44">
        <f>C17+D17/8</f>
        <v/>
      </c>
      <c r="I17" t="n">
        <v>13</v>
      </c>
      <c r="K17" s="156">
        <f>I17+J17/8</f>
        <v/>
      </c>
      <c r="L17" s="44">
        <f>B17-E17-K17</f>
        <v/>
      </c>
      <c r="N17" s="157">
        <f>H4</f>
        <v/>
      </c>
      <c r="O17" s="157">
        <f>N17*L17</f>
        <v/>
      </c>
    </row>
    <row r="18">
      <c r="A18" t="inlineStr">
        <is>
          <t>oats</t>
        </is>
      </c>
      <c r="B18" s="27">
        <f>B5</f>
        <v/>
      </c>
      <c r="C18" t="n">
        <v>26.5</v>
      </c>
      <c r="E18" s="44">
        <f>C18+D18/8</f>
        <v/>
      </c>
      <c r="I18">
        <f>19+17.5+0.5+1.5</f>
        <v/>
      </c>
      <c r="J18">
        <f>1</f>
        <v/>
      </c>
      <c r="K18" s="156">
        <f>I18+J18/8</f>
        <v/>
      </c>
      <c r="L18" s="44">
        <f>B18-E18-K18</f>
        <v/>
      </c>
      <c r="N18" s="157">
        <f>H5</f>
        <v/>
      </c>
      <c r="O18" s="157">
        <f>N18*L18</f>
        <v/>
      </c>
    </row>
    <row r="19">
      <c r="A19" t="inlineStr">
        <is>
          <t>beans</t>
        </is>
      </c>
      <c r="B19" s="27">
        <f>B6</f>
        <v/>
      </c>
      <c r="E19" s="44">
        <f>C19+D19/8</f>
        <v/>
      </c>
      <c r="K19" s="156">
        <f>I19+J19/8</f>
        <v/>
      </c>
      <c r="L19" s="44">
        <f>B19-E19-K19</f>
        <v/>
      </c>
      <c r="N19" s="157">
        <f>H6</f>
        <v/>
      </c>
      <c r="O19" s="157">
        <f>N19*L19</f>
        <v/>
      </c>
    </row>
    <row r="20">
      <c r="A20" t="inlineStr">
        <is>
          <t>peas</t>
        </is>
      </c>
      <c r="B20" s="27">
        <f>B7</f>
        <v/>
      </c>
      <c r="E20" s="44">
        <f>C20+D20/8</f>
        <v/>
      </c>
      <c r="K20" s="156">
        <f>I20+J20/8</f>
        <v/>
      </c>
      <c r="L20" s="44">
        <f>B20-E20-K20</f>
        <v/>
      </c>
      <c r="N20" s="157">
        <f>H7</f>
        <v/>
      </c>
      <c r="O20" s="157">
        <f>N20*L20</f>
        <v/>
      </c>
    </row>
    <row r="21">
      <c r="A21" t="inlineStr">
        <is>
          <t>vetches</t>
        </is>
      </c>
      <c r="B21" s="27">
        <f>B8</f>
        <v/>
      </c>
      <c r="E21" s="44">
        <f>C21+D21/8</f>
        <v/>
      </c>
      <c r="K21" s="156">
        <f>I21+J21/8</f>
        <v/>
      </c>
      <c r="L21" s="44">
        <f>B21-E21-K21</f>
        <v/>
      </c>
      <c r="N21" s="157">
        <f>H8</f>
        <v/>
      </c>
      <c r="O21" s="157">
        <f>N21*L21</f>
        <v/>
      </c>
    </row>
    <row r="22">
      <c r="K22" s="156" t="n"/>
    </row>
    <row r="23">
      <c r="A23" s="42" t="inlineStr">
        <is>
          <t>Total</t>
        </is>
      </c>
      <c r="O23" s="72">
        <f>SUM(O15:O21)</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1"/>
  <sheetViews>
    <sheetView topLeftCell="A1" workbookViewId="0">
      <selection activeCell="A1" sqref="A1"/>
    </sheetView>
  </sheetViews>
  <sheetFormatPr baseColWidth="8" defaultRowHeight="15"/>
  <cols>
    <col width="44.33203125" customWidth="1" min="1" max="1"/>
    <col width="11.6640625" customWidth="1" min="2" max="2"/>
    <col width="7.1640625" customWidth="1" min="6" max="6"/>
    <col width="19" customWidth="1" min="10" max="10"/>
    <col width="14.5" customWidth="1" min="14" max="14"/>
    <col width="8.83203125" customWidth="1" min="15" max="15"/>
    <col width="19.33203125" customWidth="1" min="16" max="16"/>
    <col width="19.6640625" customWidth="1" min="17" max="17"/>
    <col width="14.6640625" customWidth="1" min="19" max="19"/>
    <col width="17.6640625" customWidth="1" min="20" max="20"/>
  </cols>
  <sheetData>
    <row r="1" ht="16" customHeight="1">
      <c r="A1" s="12" t="inlineStr">
        <is>
          <t>EAST MEON CHURCH STOCK ACCOUNT</t>
        </is>
      </c>
    </row>
    <row r="2" ht="16" customHeight="1">
      <c r="A2" s="12" t="n"/>
    </row>
    <row r="3">
      <c r="A3" s="44" t="n"/>
      <c r="B3" s="44" t="n"/>
      <c r="C3" s="125" t="inlineStr">
        <is>
          <t>added</t>
        </is>
      </c>
      <c r="G3" s="126" t="inlineStr">
        <is>
          <t>subtracted</t>
        </is>
      </c>
      <c r="K3" s="44" t="n"/>
      <c r="L3" s="44" t="n"/>
      <c r="M3" s="44" t="n"/>
      <c r="N3" s="44" t="n"/>
      <c r="O3" s="73"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66"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58"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3</v>
      </c>
      <c r="C5" t="n">
        <v>1</v>
      </c>
      <c r="J5" t="n">
        <v>1</v>
      </c>
      <c r="K5" t="n">
        <v>2</v>
      </c>
    </row>
    <row r="6" ht="16" customHeight="1">
      <c r="A6" s="44" t="inlineStr">
        <is>
          <t>Mares</t>
        </is>
      </c>
    </row>
    <row r="7">
      <c r="A7" t="inlineStr">
        <is>
          <t>Plough horses</t>
        </is>
      </c>
      <c r="B7" t="n">
        <v>6</v>
      </c>
      <c r="C7" t="n">
        <v>1</v>
      </c>
      <c r="H7" t="n">
        <v>1</v>
      </c>
      <c r="K7" t="n">
        <v>7</v>
      </c>
      <c r="O7" s="72">
        <f>R7/H7</f>
        <v/>
      </c>
      <c r="R7">
        <f>Receipts!F48</f>
        <v/>
      </c>
    </row>
    <row r="8">
      <c r="A8" t="inlineStr">
        <is>
          <t>Colts (unspecified years)</t>
        </is>
      </c>
    </row>
    <row r="9">
      <c r="A9" t="inlineStr">
        <is>
          <t>Colts (2 years)</t>
        </is>
      </c>
    </row>
    <row r="10">
      <c r="A10" t="inlineStr">
        <is>
          <t>Colts (1 year)</t>
        </is>
      </c>
    </row>
    <row r="11">
      <c r="A11" t="inlineStr">
        <is>
          <t>Foals</t>
        </is>
      </c>
    </row>
    <row r="12">
      <c r="A12" t="inlineStr">
        <is>
          <t>Oxen</t>
        </is>
      </c>
      <c r="B12" t="n">
        <v>1</v>
      </c>
      <c r="K12" t="n">
        <v>1</v>
      </c>
    </row>
    <row r="13">
      <c r="A13" t="inlineStr">
        <is>
          <t>Bulls</t>
        </is>
      </c>
    </row>
    <row r="14">
      <c r="A14" t="inlineStr">
        <is>
          <t>Cows</t>
        </is>
      </c>
    </row>
    <row r="15">
      <c r="A15" t="inlineStr">
        <is>
          <t>Steers</t>
        </is>
      </c>
    </row>
    <row r="16">
      <c r="A16" t="inlineStr">
        <is>
          <t>Bullocks</t>
        </is>
      </c>
    </row>
    <row r="17">
      <c r="A17" t="inlineStr">
        <is>
          <t>Yearlings</t>
        </is>
      </c>
    </row>
    <row r="18">
      <c r="A18" t="inlineStr">
        <is>
          <t>Calves</t>
        </is>
      </c>
    </row>
    <row r="19">
      <c r="A19" t="inlineStr">
        <is>
          <t>Wethers</t>
        </is>
      </c>
      <c r="B19" t="n">
        <v>205</v>
      </c>
      <c r="C19" t="n">
        <v>50</v>
      </c>
      <c r="H19" t="n">
        <v>5</v>
      </c>
      <c r="I19">
        <f>20+21</f>
        <v/>
      </c>
      <c r="K19" t="n">
        <v>209</v>
      </c>
      <c r="O19" s="72">
        <f>R19/H19</f>
        <v/>
      </c>
      <c r="R19">
        <f>Receipts!F49</f>
        <v/>
      </c>
    </row>
    <row r="20">
      <c r="A20" t="inlineStr">
        <is>
          <t>Rams</t>
        </is>
      </c>
    </row>
    <row r="21">
      <c r="A21" t="inlineStr">
        <is>
          <t>Ewes</t>
        </is>
      </c>
    </row>
    <row r="22">
      <c r="A22" t="inlineStr">
        <is>
          <t>Hoggs</t>
        </is>
      </c>
    </row>
    <row r="23">
      <c r="A23" t="inlineStr">
        <is>
          <t>Lambs</t>
        </is>
      </c>
      <c r="B23" t="n">
        <v>150</v>
      </c>
      <c r="C23" t="n">
        <v>29</v>
      </c>
      <c r="H23" t="n">
        <v>121</v>
      </c>
      <c r="O23" s="72">
        <f>R23/H23</f>
        <v/>
      </c>
      <c r="R23">
        <f>Receipts!F50</f>
        <v/>
      </c>
    </row>
    <row r="24">
      <c r="A24" t="inlineStr">
        <is>
          <t>Boars</t>
        </is>
      </c>
    </row>
    <row r="25">
      <c r="A25" t="inlineStr">
        <is>
          <t>Sows</t>
        </is>
      </c>
    </row>
    <row r="26">
      <c r="A26" t="inlineStr">
        <is>
          <t>Pigs</t>
        </is>
      </c>
    </row>
    <row r="27">
      <c r="A27" t="inlineStr">
        <is>
          <t>Hoggets</t>
        </is>
      </c>
    </row>
    <row r="28">
      <c r="A28" t="inlineStr">
        <is>
          <t>Piglets</t>
        </is>
      </c>
      <c r="C28" t="n">
        <v>9</v>
      </c>
      <c r="I28" t="n">
        <v>1</v>
      </c>
      <c r="J28" t="n">
        <v>8</v>
      </c>
      <c r="K28" t="n">
        <v>0</v>
      </c>
    </row>
    <row r="29">
      <c r="A29" t="inlineStr">
        <is>
          <t>Swans</t>
        </is>
      </c>
    </row>
    <row r="30">
      <c r="A30" t="inlineStr">
        <is>
          <t>Peacocks</t>
        </is>
      </c>
    </row>
    <row r="31" ht="16" customHeight="1">
      <c r="A31" s="67" t="inlineStr">
        <is>
          <t>Total Value</t>
        </is>
      </c>
      <c r="O31" s="159" t="n"/>
      <c r="R31" s="39">
        <f>SUM(R5:R30)</f>
        <v/>
      </c>
    </row>
    <row r="32"/>
    <row r="33"/>
    <row r="34" ht="17" customHeight="1">
      <c r="A34" s="66" t="inlineStr">
        <is>
          <t>Wool</t>
        </is>
      </c>
    </row>
    <row r="35" ht="16" customHeight="1">
      <c r="A35" s="44" t="inlineStr">
        <is>
          <t>fleeces</t>
        </is>
      </c>
      <c r="C35" t="n">
        <v>180</v>
      </c>
      <c r="J35" t="n">
        <v>180</v>
      </c>
      <c r="O35" s="72" t="n">
        <v>0.02</v>
      </c>
      <c r="T35">
        <f>O35*J35</f>
        <v/>
      </c>
    </row>
    <row r="36">
      <c r="A36" t="inlineStr">
        <is>
          <t>Coarse wool</t>
        </is>
      </c>
    </row>
    <row r="37">
      <c r="A37" t="inlineStr">
        <is>
          <t>Lamb's wool</t>
        </is>
      </c>
    </row>
    <row r="38">
      <c r="A38" t="inlineStr">
        <is>
          <t>Wool locks</t>
        </is>
      </c>
    </row>
    <row r="39">
      <c r="A39" t="inlineStr">
        <is>
          <t>Wool sold at shearing</t>
        </is>
      </c>
    </row>
    <row r="40" ht="16" customHeight="1">
      <c r="A40" s="67" t="inlineStr">
        <is>
          <t>Total wool</t>
        </is>
      </c>
      <c r="O40" s="159" t="n"/>
      <c r="R40" s="39" t="n">
        <v>0</v>
      </c>
      <c r="T40" s="39">
        <f>SUM(T35:T39)</f>
        <v/>
      </c>
    </row>
    <row r="41"/>
    <row r="42"/>
    <row r="43" ht="17" customHeight="1">
      <c r="A43" s="66" t="inlineStr">
        <is>
          <t>Hides</t>
        </is>
      </c>
    </row>
    <row r="44">
      <c r="A44" t="inlineStr">
        <is>
          <t>Ox hides</t>
        </is>
      </c>
    </row>
    <row r="45">
      <c r="A45" t="inlineStr">
        <is>
          <t>Mare</t>
        </is>
      </c>
    </row>
    <row r="46">
      <c r="A46" t="inlineStr">
        <is>
          <t>Steer</t>
        </is>
      </c>
    </row>
    <row r="47">
      <c r="A47" t="inlineStr">
        <is>
          <t>calves</t>
        </is>
      </c>
    </row>
    <row r="48">
      <c r="A48" s="68" t="inlineStr">
        <is>
          <t>pigs</t>
        </is>
      </c>
    </row>
    <row r="49">
      <c r="A49" t="inlineStr">
        <is>
          <t>Woolskins (incl. 10 in tithe)</t>
        </is>
      </c>
    </row>
    <row r="50">
      <c r="A50" s="28" t="inlineStr">
        <is>
          <t>wethers</t>
        </is>
      </c>
    </row>
    <row r="51">
      <c r="A51" s="28" t="inlineStr">
        <is>
          <t>rams</t>
        </is>
      </c>
    </row>
    <row r="52">
      <c r="A52" s="28" t="inlineStr">
        <is>
          <t>ewes</t>
        </is>
      </c>
    </row>
    <row r="53">
      <c r="A53" s="28" t="inlineStr">
        <is>
          <t>hoggs</t>
        </is>
      </c>
    </row>
    <row r="54">
      <c r="A54" s="69" t="inlineStr">
        <is>
          <t>Woolskins (excl. 10 in tithe)</t>
        </is>
      </c>
    </row>
    <row r="55">
      <c r="A55" s="43" t="inlineStr">
        <is>
          <t>Bareskins</t>
        </is>
      </c>
    </row>
    <row r="56">
      <c r="A56" s="28" t="inlineStr">
        <is>
          <t>wethers</t>
        </is>
      </c>
    </row>
    <row r="57">
      <c r="A57" s="28" t="inlineStr">
        <is>
          <t>rams</t>
        </is>
      </c>
    </row>
    <row r="58">
      <c r="A58" s="28" t="inlineStr">
        <is>
          <t>ewes</t>
        </is>
      </c>
    </row>
    <row r="59">
      <c r="A59" s="28" t="inlineStr">
        <is>
          <t>hoggs</t>
        </is>
      </c>
    </row>
    <row r="60">
      <c r="A60" s="69" t="inlineStr">
        <is>
          <t>Bareskins (total)</t>
        </is>
      </c>
    </row>
    <row r="61">
      <c r="A61" t="inlineStr">
        <is>
          <t>Lambskins (excl. 8 in tithe)</t>
        </is>
      </c>
    </row>
    <row r="62">
      <c r="A62" t="inlineStr">
        <is>
          <t>Rotted skins</t>
        </is>
      </c>
    </row>
    <row r="63">
      <c r="A63" t="inlineStr">
        <is>
          <t>Shorn skins</t>
        </is>
      </c>
    </row>
    <row r="64">
      <c r="A64" s="39" t="inlineStr">
        <is>
          <t xml:space="preserve">Total </t>
        </is>
      </c>
      <c r="O64" s="159" t="n"/>
    </row>
    <row r="65"/>
    <row r="66"/>
    <row r="67" ht="17" customHeight="1">
      <c r="A67" s="66" t="inlineStr">
        <is>
          <t>Poultry stock</t>
        </is>
      </c>
    </row>
    <row r="68" ht="16" customHeight="1">
      <c r="A68" s="44" t="inlineStr">
        <is>
          <t>Hens</t>
        </is>
      </c>
      <c r="F68" t="n">
        <v>38</v>
      </c>
      <c r="G68">
        <f>1+1+1</f>
        <v/>
      </c>
      <c r="H68" t="n">
        <v>35</v>
      </c>
      <c r="J68" t="n">
        <v>0</v>
      </c>
      <c r="O68" s="72">
        <f>R68/H68</f>
        <v/>
      </c>
      <c r="R68">
        <f>Receipts!F56</f>
        <v/>
      </c>
      <c r="T68">
        <f>O68*F68</f>
        <v/>
      </c>
    </row>
    <row r="69">
      <c r="A69" t="inlineStr">
        <is>
          <t>Geese</t>
        </is>
      </c>
      <c r="C69" t="n">
        <v>26</v>
      </c>
      <c r="H69" t="n">
        <v>26</v>
      </c>
      <c r="J69" t="n">
        <v>0</v>
      </c>
      <c r="O69" s="72">
        <f>R69/H69</f>
        <v/>
      </c>
      <c r="R69">
        <f>Receipts!F39</f>
        <v/>
      </c>
      <c r="T69">
        <f>O69*C69</f>
        <v/>
      </c>
    </row>
    <row r="70">
      <c r="A70" t="inlineStr">
        <is>
          <t>Capons (from chickens)</t>
        </is>
      </c>
    </row>
    <row r="71">
      <c r="A71" t="inlineStr">
        <is>
          <t>Pigeons</t>
        </is>
      </c>
      <c r="C71" t="n">
        <v>10</v>
      </c>
      <c r="H71" t="n">
        <v>10</v>
      </c>
      <c r="O71" s="72">
        <f>R71/H71</f>
        <v/>
      </c>
      <c r="R71">
        <f>Receipts!F38</f>
        <v/>
      </c>
      <c r="T71">
        <f>O71*C71</f>
        <v/>
      </c>
    </row>
    <row r="72">
      <c r="A72" t="inlineStr">
        <is>
          <t>Cocks &amp; hens</t>
        </is>
      </c>
    </row>
    <row r="73">
      <c r="A73" s="39" t="inlineStr">
        <is>
          <t>Total poultry stock</t>
        </is>
      </c>
      <c r="O73" s="159" t="n"/>
      <c r="R73" s="39">
        <f>SUM(R68:R72)</f>
        <v/>
      </c>
    </row>
    <row r="74">
      <c r="A74" s="71" t="inlineStr">
        <is>
          <t>Total poultry excluding churchscot</t>
        </is>
      </c>
      <c r="O74" s="160" t="n"/>
      <c r="T74" s="71">
        <f>SUM(T69:T71)</f>
        <v/>
      </c>
    </row>
    <row r="75"/>
    <row r="76" ht="16" customHeight="1">
      <c r="A76" s="12" t="inlineStr">
        <is>
          <t>Poultry production</t>
        </is>
      </c>
    </row>
    <row r="77">
      <c r="A77" t="inlineStr">
        <is>
          <t>Eggs</t>
        </is>
      </c>
    </row>
    <row r="78">
      <c r="A78" t="inlineStr">
        <is>
          <t>Cocks &amp; hens from churchscot of customary tenants</t>
        </is>
      </c>
      <c r="F78" t="n">
        <v>38</v>
      </c>
      <c r="G78" t="n">
        <v>3</v>
      </c>
      <c r="H78" t="n">
        <v>35</v>
      </c>
      <c r="O78" s="72">
        <f>R78/H78</f>
        <v/>
      </c>
      <c r="R78">
        <f>Receipts!F56</f>
        <v/>
      </c>
      <c r="T78">
        <f>O78*H78</f>
        <v/>
      </c>
    </row>
    <row r="79">
      <c r="A79" t="inlineStr">
        <is>
          <t>Sum of above</t>
        </is>
      </c>
    </row>
    <row r="80">
      <c r="A80" s="39" t="inlineStr">
        <is>
          <t>Total</t>
        </is>
      </c>
      <c r="O80" s="159" t="n"/>
      <c r="R80" s="39">
        <f>SUM(R77:R79)</f>
        <v/>
      </c>
      <c r="T80" s="39">
        <f>T78</f>
        <v/>
      </c>
    </row>
    <row r="81"/>
    <row r="82"/>
    <row r="83" ht="16" customHeight="1">
      <c r="A83" s="12" t="inlineStr">
        <is>
          <t>Meat</t>
        </is>
      </c>
    </row>
    <row r="84">
      <c r="A84" t="inlineStr">
        <is>
          <t>Beef</t>
        </is>
      </c>
    </row>
    <row r="85">
      <c r="A85" t="inlineStr">
        <is>
          <t>Mutton</t>
        </is>
      </c>
    </row>
    <row r="86">
      <c r="A86" t="inlineStr">
        <is>
          <t>Pork</t>
        </is>
      </c>
    </row>
    <row r="87" ht="16" customHeight="1">
      <c r="A87" s="57" t="inlineStr">
        <is>
          <t xml:space="preserve">Total </t>
        </is>
      </c>
    </row>
    <row r="88"/>
    <row r="89" ht="16" customHeight="1">
      <c r="A89" s="12" t="inlineStr">
        <is>
          <t>Cheese</t>
        </is>
      </c>
    </row>
    <row r="90">
      <c r="A90" t="inlineStr">
        <is>
          <t>Winter cheese</t>
        </is>
      </c>
    </row>
    <row r="91">
      <c r="A91" t="inlineStr">
        <is>
          <t>Summer cheese</t>
        </is>
      </c>
      <c r="C91" t="inlineStr">
        <is>
          <t>2 weys 2 cloves</t>
        </is>
      </c>
      <c r="H91" t="inlineStr">
        <is>
          <t>2 weys 2 cloves</t>
        </is>
      </c>
      <c r="R91">
        <f>Receipts!F36</f>
        <v/>
      </c>
      <c r="T91">
        <f>R91</f>
        <v/>
      </c>
    </row>
    <row r="92" ht="16" customHeight="1">
      <c r="A92" s="67" t="inlineStr">
        <is>
          <t>Total</t>
        </is>
      </c>
      <c r="O92" s="159" t="n"/>
      <c r="R92" s="39">
        <f>SUM(R90:R91)</f>
        <v/>
      </c>
      <c r="T92" s="39">
        <f>T91</f>
        <v/>
      </c>
    </row>
    <row r="93"/>
    <row r="94" ht="16" customHeight="1">
      <c r="A94" s="12" t="inlineStr">
        <is>
          <t>Butter</t>
        </is>
      </c>
    </row>
    <row r="95">
      <c r="A95" t="inlineStr">
        <is>
          <t>Butter</t>
        </is>
      </c>
    </row>
    <row r="96" ht="16" customHeight="1">
      <c r="A96" s="57" t="inlineStr">
        <is>
          <t>Total</t>
        </is>
      </c>
    </row>
    <row r="97" ht="16" customHeight="1">
      <c r="A97" s="13" t="n"/>
    </row>
    <row r="98" ht="16" customHeight="1">
      <c r="A98" s="57" t="inlineStr">
        <is>
          <t>Total Dairy Sales</t>
        </is>
      </c>
    </row>
    <row r="99"/>
    <row r="100"/>
    <row r="101" ht="16" customHeight="1">
      <c r="A101" s="12" t="inlineStr">
        <is>
          <t>Cider</t>
        </is>
      </c>
    </row>
    <row r="102">
      <c r="A102" t="inlineStr">
        <is>
          <t>CIder</t>
        </is>
      </c>
      <c r="B102" t="n">
        <v>3</v>
      </c>
      <c r="C102" t="n">
        <v>12</v>
      </c>
      <c r="H102" t="n">
        <v>3</v>
      </c>
      <c r="K102" t="n">
        <v>12</v>
      </c>
      <c r="O102" s="72">
        <f>R102/H102</f>
        <v/>
      </c>
      <c r="R102">
        <f>Receipts!F55</f>
        <v/>
      </c>
      <c r="T102">
        <f>R102</f>
        <v/>
      </c>
    </row>
    <row r="103">
      <c r="A103" s="39" t="inlineStr">
        <is>
          <t>Cider</t>
        </is>
      </c>
      <c r="O103" s="159" t="n"/>
      <c r="R103" s="39">
        <f>SUM(R102)</f>
        <v/>
      </c>
      <c r="T103" s="39">
        <f>T102</f>
        <v/>
      </c>
    </row>
    <row r="104"/>
    <row r="105" ht="16" customHeight="1">
      <c r="A105" s="13" t="inlineStr">
        <is>
          <t>Additional Information (not necessarily useful)</t>
        </is>
      </c>
    </row>
    <row r="106" ht="16" customHeight="1">
      <c r="A106" s="12" t="inlineStr">
        <is>
          <t>Utensils</t>
        </is>
      </c>
    </row>
    <row r="107">
      <c r="A107" t="inlineStr">
        <is>
          <t>ploughs</t>
        </is>
      </c>
    </row>
    <row r="108">
      <c r="A108" t="inlineStr">
        <is>
          <t>carts</t>
        </is>
      </c>
    </row>
    <row r="109">
      <c r="A109" t="inlineStr">
        <is>
          <t>cart-ropes</t>
        </is>
      </c>
    </row>
    <row r="110">
      <c r="A110" t="inlineStr">
        <is>
          <t>corn baskets</t>
        </is>
      </c>
    </row>
    <row r="111">
      <c r="A111" t="inlineStr">
        <is>
          <t>seed-sacks</t>
        </is>
      </c>
    </row>
    <row r="112">
      <c r="A112" t="inlineStr">
        <is>
          <t>seed basket</t>
        </is>
      </c>
    </row>
    <row r="113">
      <c r="A113" t="inlineStr">
        <is>
          <t>locks for the doors</t>
        </is>
      </c>
    </row>
    <row r="114">
      <c r="A114" t="inlineStr">
        <is>
          <t>lead vessel</t>
        </is>
      </c>
    </row>
    <row r="115">
      <c r="A115" t="inlineStr">
        <is>
          <t>brass pots</t>
        </is>
      </c>
    </row>
    <row r="116">
      <c r="A116" t="inlineStr">
        <is>
          <t>pans</t>
        </is>
      </c>
    </row>
    <row r="117">
      <c r="A117" t="inlineStr">
        <is>
          <t>tripods</t>
        </is>
      </c>
    </row>
    <row r="118">
      <c r="A118" t="inlineStr">
        <is>
          <t>mortar</t>
        </is>
      </c>
    </row>
    <row r="119">
      <c r="A119" t="inlineStr">
        <is>
          <t>axe</t>
        </is>
      </c>
    </row>
    <row r="120">
      <c r="A120" t="inlineStr">
        <is>
          <t>casks</t>
        </is>
      </c>
    </row>
    <row r="121">
      <c r="A121" t="inlineStr">
        <is>
          <t>tubs</t>
        </is>
      </c>
    </row>
    <row r="122">
      <c r="A122" t="inlineStr">
        <is>
          <t>troughs</t>
        </is>
      </c>
    </row>
    <row r="123">
      <c r="A123" t="inlineStr">
        <is>
          <t>bucket</t>
        </is>
      </c>
    </row>
    <row r="124">
      <c r="A124" t="inlineStr">
        <is>
          <t>cheese basket</t>
        </is>
      </c>
    </row>
    <row r="125">
      <c r="A125" t="inlineStr">
        <is>
          <t>tables</t>
        </is>
      </c>
    </row>
    <row r="126">
      <c r="A126" t="inlineStr">
        <is>
          <t>table with trestles</t>
        </is>
      </c>
    </row>
    <row r="127">
      <c r="A127" t="inlineStr">
        <is>
          <t>benches</t>
        </is>
      </c>
    </row>
    <row r="128">
      <c r="A128" t="inlineStr">
        <is>
          <t>ewer with a basin</t>
        </is>
      </c>
    </row>
    <row r="129">
      <c r="A129" t="inlineStr">
        <is>
          <t>ladders</t>
        </is>
      </c>
    </row>
    <row r="130">
      <c r="A130" t="inlineStr">
        <is>
          <t>cloth</t>
        </is>
      </c>
    </row>
    <row r="131">
      <c r="A131"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N224"/>
  <sheetViews>
    <sheetView topLeftCell="A1" workbookViewId="0">
      <selection activeCell="A1" sqref="A1"/>
    </sheetView>
  </sheetViews>
  <sheetFormatPr baseColWidth="8" defaultRowHeight="15"/>
  <cols>
    <col width="63.8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Arrears</t>
        </is>
      </c>
      <c r="B2" t="inlineStr">
        <is>
          <t>Nicholas de Ychen', bailiff, and Robert Hugh', reeve, render account for £81 6 shilling 8.25pence of arrears from the previous year.</t>
        </is>
      </c>
      <c r="C2" t="n">
        <v>81.33</v>
      </c>
      <c r="D2" t="n">
        <v>81</v>
      </c>
      <c r="E2" t="n">
        <v>6</v>
      </c>
      <c r="F2" t="n">
        <v>8.25</v>
      </c>
      <c r="H2" t="n">
        <v>0</v>
      </c>
      <c r="I2" t="n">
        <v>0</v>
      </c>
      <c r="J2" t="n">
        <v>0</v>
      </c>
      <c r="K2" t="n">
        <v>0</v>
      </c>
      <c r="L2" t="n">
        <v>0</v>
      </c>
      <c r="M2" t="n">
        <v>0</v>
      </c>
      <c r="N2" t="n">
        <v>0</v>
      </c>
    </row>
    <row r="3">
      <c r="A3" t="inlineStr">
        <is>
          <t>Arrears</t>
        </is>
      </c>
      <c r="B3" t="inlineStr">
        <is>
          <t>All delivered to Sir Geoffrey, treasurer of Wolvesey.</t>
        </is>
      </c>
      <c r="C3" t="n">
        <v>0</v>
      </c>
      <c r="D3" t="n">
        <v>0</v>
      </c>
      <c r="E3" t="n">
        <v>0</v>
      </c>
      <c r="F3" t="n">
        <v>0</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£1 5 shilling for all rents of assize at Christmas.</t>
        </is>
      </c>
      <c r="C5" t="n">
        <v>1.25</v>
      </c>
      <c r="D5" t="n">
        <v>1</v>
      </c>
      <c r="E5" t="n">
        <v>5</v>
      </c>
      <c r="F5" t="n">
        <v>0</v>
      </c>
      <c r="H5" t="n">
        <v>0</v>
      </c>
      <c r="I5" t="n">
        <v>0</v>
      </c>
      <c r="J5" t="n">
        <v>0</v>
      </c>
      <c r="K5" t="n">
        <v>0</v>
      </c>
      <c r="L5" t="n">
        <v>0</v>
      </c>
      <c r="M5" t="n">
        <v>0</v>
      </c>
      <c r="N5" t="n">
        <v>0</v>
      </c>
    </row>
    <row r="6">
      <c r="A6" t="inlineStr">
        <is>
          <t>Rents of assize</t>
        </is>
      </c>
      <c r="B6" t="inlineStr">
        <is>
          <t>£1 5 shilling at Easter (22 April).</t>
        </is>
      </c>
      <c r="C6" t="n">
        <v>1.25</v>
      </c>
      <c r="D6" t="n">
        <v>1</v>
      </c>
      <c r="E6" t="n">
        <v>5</v>
      </c>
      <c r="F6" t="n">
        <v>0</v>
      </c>
      <c r="H6" t="n">
        <v>0</v>
      </c>
      <c r="I6" t="n">
        <v>0</v>
      </c>
      <c r="J6" t="n">
        <v>0</v>
      </c>
      <c r="K6" t="n">
        <v>0</v>
      </c>
      <c r="L6" t="n">
        <v>0</v>
      </c>
      <c r="M6" t="n">
        <v>0</v>
      </c>
      <c r="N6" t="n">
        <v>0</v>
      </c>
    </row>
    <row r="7">
      <c r="A7" t="inlineStr">
        <is>
          <t>Rents of assize</t>
        </is>
      </c>
      <c r="B7" t="inlineStr">
        <is>
          <t>£1 5 shilling at the feast of St John the Baptist (24 June).</t>
        </is>
      </c>
      <c r="C7" t="n">
        <v>1.25</v>
      </c>
      <c r="D7" t="n">
        <v>1</v>
      </c>
      <c r="E7" t="n">
        <v>5</v>
      </c>
      <c r="F7" t="n">
        <v>0</v>
      </c>
      <c r="H7" t="n">
        <v>0</v>
      </c>
      <c r="I7" t="n">
        <v>0</v>
      </c>
      <c r="J7" t="n">
        <v>0</v>
      </c>
      <c r="K7" t="n">
        <v>0</v>
      </c>
      <c r="L7" t="n">
        <v>0</v>
      </c>
      <c r="M7" t="n">
        <v>0</v>
      </c>
      <c r="N7" t="n">
        <v>0</v>
      </c>
    </row>
    <row r="8">
      <c r="A8" t="inlineStr">
        <is>
          <t>Rents of assize</t>
        </is>
      </c>
      <c r="B8" t="inlineStr">
        <is>
          <t>£1 8 shilling 0.5pence at Michaelmas (29 September).</t>
        </is>
      </c>
      <c r="C8" t="n">
        <v>1.4</v>
      </c>
      <c r="D8" t="n">
        <v>1</v>
      </c>
      <c r="E8" t="n">
        <v>8</v>
      </c>
      <c r="F8" t="n">
        <v>0.5</v>
      </c>
      <c r="H8" t="n">
        <v>0</v>
      </c>
      <c r="I8" t="n">
        <v>0</v>
      </c>
      <c r="J8" t="n">
        <v>0</v>
      </c>
      <c r="K8" t="n">
        <v>0</v>
      </c>
      <c r="L8" t="n">
        <v>0</v>
      </c>
      <c r="M8" t="n">
        <v>0</v>
      </c>
      <c r="N8" t="n">
        <v>0</v>
      </c>
    </row>
    <row r="9">
      <c r="A9" t="inlineStr">
        <is>
          <t>Rents of assize</t>
        </is>
      </c>
      <c r="B9" t="inlineStr">
        <is>
          <t>Total, £5 3 shilling 0.5pence</t>
        </is>
      </c>
      <c r="C9" t="n">
        <v>5.15</v>
      </c>
      <c r="D9" t="n">
        <v>5</v>
      </c>
      <c r="E9" t="n">
        <v>3</v>
      </c>
      <c r="F9" t="n">
        <v>0.5</v>
      </c>
      <c r="H9" t="n">
        <v>0</v>
      </c>
      <c r="I9" t="n">
        <v>0</v>
      </c>
      <c r="J9" t="n">
        <v>0</v>
      </c>
      <c r="K9" t="n">
        <v>0</v>
      </c>
      <c r="L9" t="n">
        <v>0</v>
      </c>
      <c r="M9" t="n">
        <v>0</v>
      </c>
      <c r="N9" t="n">
        <v>0</v>
      </c>
    </row>
    <row r="10">
      <c r="A10" t="inlineStr">
        <is>
          <t>Quittances</t>
        </is>
      </c>
      <c r="B10" t="inlineStr">
        <is>
          <t>In quittance of 1 reeve for the year 3 shilling.</t>
        </is>
      </c>
      <c r="C10" t="n">
        <v>0.15</v>
      </c>
      <c r="D10" t="n">
        <v>0</v>
      </c>
      <c r="E10" t="n">
        <v>3</v>
      </c>
      <c r="F10" t="n">
        <v>0</v>
      </c>
      <c r="H10" t="n">
        <v>0</v>
      </c>
      <c r="I10" t="n">
        <v>0</v>
      </c>
      <c r="J10" t="n">
        <v>0</v>
      </c>
      <c r="K10" t="n">
        <v>0</v>
      </c>
      <c r="L10" t="n">
        <v>0</v>
      </c>
      <c r="M10" t="n">
        <v>0</v>
      </c>
      <c r="N10" t="n">
        <v>0</v>
      </c>
    </row>
    <row r="11">
      <c r="A11" t="inlineStr">
        <is>
          <t>Quittances</t>
        </is>
      </c>
      <c r="B11" t="inlineStr">
        <is>
          <t>1 ploughman for the year 2 shilling 6pence.</t>
        </is>
      </c>
      <c r="C11" t="n">
        <v>0.12</v>
      </c>
      <c r="D11" t="n">
        <v>0</v>
      </c>
      <c r="E11" t="n">
        <v>2</v>
      </c>
      <c r="F11" t="n">
        <v>6</v>
      </c>
      <c r="H11" t="n">
        <v>0</v>
      </c>
      <c r="I11" t="n">
        <v>0</v>
      </c>
      <c r="J11" t="n">
        <v>0</v>
      </c>
      <c r="K11" t="n">
        <v>0</v>
      </c>
      <c r="L11" t="n">
        <v>0</v>
      </c>
      <c r="M11" t="n">
        <v>0</v>
      </c>
      <c r="N11" t="n">
        <v>0</v>
      </c>
    </row>
    <row r="12">
      <c r="A12" t="inlineStr">
        <is>
          <t>Quittances</t>
        </is>
      </c>
      <c r="B12" t="inlineStr">
        <is>
          <t>one shepherd for the year 2 shilling 6pence Total, 8 shilling</t>
        </is>
      </c>
      <c r="C12" t="n">
        <v>0.12</v>
      </c>
      <c r="D12" t="n">
        <v>0</v>
      </c>
      <c r="E12" t="n">
        <v>2</v>
      </c>
      <c r="F12" t="n">
        <v>6</v>
      </c>
      <c r="H12" t="n">
        <v>0</v>
      </c>
      <c r="I12" t="n">
        <v>0</v>
      </c>
      <c r="J12" t="n">
        <v>0</v>
      </c>
      <c r="K12" t="n">
        <v>0</v>
      </c>
      <c r="L12" t="n">
        <v>0</v>
      </c>
      <c r="M12" t="n">
        <v>0</v>
      </c>
      <c r="N12" t="n">
        <v>0</v>
      </c>
    </row>
    <row r="13">
      <c r="A13" t="inlineStr">
        <is>
          <t>Total of rents remaining</t>
        </is>
      </c>
      <c r="B13" t="inlineStr">
        <is>
          <t>Total of rents remaining, £4 15 shilling .5pence</t>
        </is>
      </c>
      <c r="C13" t="n">
        <v>4.75</v>
      </c>
      <c r="D13" t="n">
        <v>4</v>
      </c>
      <c r="E13" t="n">
        <v>15</v>
      </c>
      <c r="F13" t="n">
        <v>0</v>
      </c>
      <c r="H13" t="n">
        <v>0</v>
      </c>
      <c r="I13" t="n">
        <v>0</v>
      </c>
      <c r="J13" t="n">
        <v>0</v>
      </c>
      <c r="K13" t="n">
        <v>0</v>
      </c>
      <c r="L13" t="n">
        <v>0</v>
      </c>
      <c r="M13" t="n">
        <v>0</v>
      </c>
      <c r="N13" t="n">
        <v>0</v>
      </c>
    </row>
    <row r="14">
      <c r="A14" t="inlineStr">
        <is>
          <t>Cumin</t>
        </is>
      </c>
      <c r="B14" t="inlineStr">
        <is>
          <t>The same render account for 1 lb of cumin from Geoffrey Kynhow for annual recognizance.</t>
        </is>
      </c>
      <c r="C14" t="n">
        <v>0</v>
      </c>
      <c r="D14" t="n">
        <v>0</v>
      </c>
      <c r="E14" t="n">
        <v>0</v>
      </c>
      <c r="F14" t="n">
        <v>0</v>
      </c>
      <c r="H14" t="n">
        <v>0</v>
      </c>
      <c r="I14" t="n">
        <v>0</v>
      </c>
      <c r="J14" t="n">
        <v>0</v>
      </c>
      <c r="K14" t="n">
        <v>0</v>
      </c>
      <c r="L14" t="n">
        <v>0</v>
      </c>
      <c r="M14" t="n">
        <v>0</v>
      </c>
      <c r="N14" t="n">
        <v>0</v>
      </c>
    </row>
    <row r="15">
      <c r="A15" t="inlineStr">
        <is>
          <t>Cumin</t>
        </is>
      </c>
      <c r="B15" t="inlineStr">
        <is>
          <t>all delivered to Sir Geoffrey, treasurer of Wolvesey.</t>
        </is>
      </c>
      <c r="C15" t="n">
        <v>0</v>
      </c>
      <c r="D15" t="n">
        <v>0</v>
      </c>
      <c r="E15" t="n">
        <v>0</v>
      </c>
      <c r="F15" t="n">
        <v>0</v>
      </c>
      <c r="H15" t="n">
        <v>0</v>
      </c>
      <c r="I15" t="n">
        <v>0</v>
      </c>
      <c r="J15" t="n">
        <v>0</v>
      </c>
      <c r="K15" t="n">
        <v>0</v>
      </c>
      <c r="L15" t="n">
        <v>0</v>
      </c>
      <c r="M15" t="n">
        <v>0</v>
      </c>
      <c r="N15" t="n">
        <v>0</v>
      </c>
    </row>
    <row r="16">
      <c r="A16" t="inlineStr">
        <is>
          <t>Recognizance</t>
        </is>
      </c>
      <c r="B16" t="inlineStr">
        <is>
          <t>The same render account for 3pence from Henry Burrith' for annual recognizance.</t>
        </is>
      </c>
      <c r="C16" t="n">
        <v>0.01</v>
      </c>
      <c r="D16" t="n">
        <v>0</v>
      </c>
      <c r="E16" t="n">
        <v>0</v>
      </c>
      <c r="F16" t="n">
        <v>3</v>
      </c>
      <c r="H16" t="n">
        <v>0</v>
      </c>
      <c r="I16" t="n">
        <v>0</v>
      </c>
      <c r="J16" t="n">
        <v>0</v>
      </c>
      <c r="K16" t="n">
        <v>0</v>
      </c>
      <c r="L16" t="n">
        <v>0</v>
      </c>
      <c r="M16" t="n">
        <v>0</v>
      </c>
      <c r="N16" t="n">
        <v>0</v>
      </c>
    </row>
    <row r="17">
      <c r="A17" t="inlineStr">
        <is>
          <t>Recognizance</t>
        </is>
      </c>
      <c r="B17" t="inlineStr">
        <is>
          <t>Total, 3pence</t>
        </is>
      </c>
      <c r="C17" t="n">
        <v>0.01</v>
      </c>
      <c r="D17" t="n">
        <v>0</v>
      </c>
      <c r="E17" t="n">
        <v>0</v>
      </c>
      <c r="F17" t="n">
        <v>3</v>
      </c>
      <c r="H17" t="n">
        <v>0</v>
      </c>
      <c r="I17" t="n">
        <v>0</v>
      </c>
      <c r="J17" t="n">
        <v>0</v>
      </c>
      <c r="K17" t="n">
        <v>0</v>
      </c>
      <c r="L17" t="n">
        <v>0</v>
      </c>
      <c r="M17" t="n">
        <v>0</v>
      </c>
      <c r="N17" t="n">
        <v>0</v>
      </c>
    </row>
    <row r="18">
      <c r="A18" t="inlineStr">
        <is>
          <t>Issues</t>
        </is>
      </c>
      <c r="B18" t="inlineStr">
        <is>
          <t>The same render account for 14 shilling 5.25pence from the small tithes of lambs this year.</t>
        </is>
      </c>
      <c r="C18" t="n">
        <v>0.72</v>
      </c>
      <c r="D18" t="n">
        <v>0</v>
      </c>
      <c r="E18" t="n">
        <v>14</v>
      </c>
      <c r="F18" t="n">
        <v>5.25</v>
      </c>
      <c r="H18" t="n">
        <v>0</v>
      </c>
      <c r="I18" t="n">
        <v>0</v>
      </c>
      <c r="J18" t="n">
        <v>0</v>
      </c>
      <c r="K18" t="n">
        <v>0</v>
      </c>
      <c r="L18" t="n">
        <v>0</v>
      </c>
      <c r="M18" t="n">
        <v>0</v>
      </c>
      <c r="N18" t="n">
        <v>0</v>
      </c>
    </row>
    <row r="19">
      <c r="A19" t="inlineStr">
        <is>
          <t>Issues</t>
        </is>
      </c>
      <c r="B19" t="inlineStr">
        <is>
          <t>14 shilling 3.5pence from the small tithes of milk, wool, foals and calves this year.</t>
        </is>
      </c>
      <c r="C19" t="n">
        <v>0.71</v>
      </c>
      <c r="D19" t="n">
        <v>0</v>
      </c>
      <c r="E19" t="n">
        <v>14</v>
      </c>
      <c r="F19" t="n">
        <v>3.5</v>
      </c>
      <c r="H19" t="n">
        <v>0</v>
      </c>
      <c r="I19" t="n">
        <v>0</v>
      </c>
      <c r="J19" t="n">
        <v>0</v>
      </c>
      <c r="K19" t="n">
        <v>0</v>
      </c>
      <c r="L19" t="n">
        <v>0</v>
      </c>
      <c r="M19" t="n">
        <v>0</v>
      </c>
      <c r="N19" t="n">
        <v>0</v>
      </c>
    </row>
    <row r="20">
      <c r="A20" t="inlineStr">
        <is>
          <t>Issues</t>
        </is>
      </c>
      <c r="B20" t="inlineStr">
        <is>
          <t>nothing from coarse wool from the demesne or tithes here because it is sent to Wolvesey.</t>
        </is>
      </c>
      <c r="C20" t="n">
        <v>0</v>
      </c>
      <c r="D20" t="n">
        <v>0</v>
      </c>
      <c r="E20" t="n">
        <v>0</v>
      </c>
      <c r="F20" t="n">
        <v>0</v>
      </c>
      <c r="H20" t="n">
        <v>0</v>
      </c>
      <c r="I20" t="n">
        <v>0</v>
      </c>
      <c r="J20" t="n">
        <v>0</v>
      </c>
      <c r="K20" t="n">
        <v>0</v>
      </c>
      <c r="L20" t="n">
        <v>0</v>
      </c>
      <c r="M20" t="n">
        <v>0</v>
      </c>
      <c r="N20" t="n">
        <v>0</v>
      </c>
    </row>
    <row r="21">
      <c r="A21" t="inlineStr">
        <is>
          <t>Issues</t>
        </is>
      </c>
      <c r="B21" t="inlineStr">
        <is>
          <t>2 shilling 3pence from 2 cloves 4 lb of wool locks sold, at 10.5pence a clove.</t>
        </is>
      </c>
      <c r="C21" t="n">
        <v>0.11</v>
      </c>
      <c r="D21" t="n">
        <v>0</v>
      </c>
      <c r="E21" t="n">
        <v>2</v>
      </c>
      <c r="F21" t="n">
        <v>3</v>
      </c>
      <c r="H21" t="n">
        <v>0</v>
      </c>
      <c r="I21" t="n">
        <v>0</v>
      </c>
      <c r="J21" t="n">
        <v>0</v>
      </c>
      <c r="K21" t="n">
        <v>0</v>
      </c>
      <c r="L21" t="n">
        <v>0</v>
      </c>
      <c r="M21" t="n">
        <v>0</v>
      </c>
      <c r="N21" t="n">
        <v>0</v>
      </c>
    </row>
    <row r="22">
      <c r="A22" t="inlineStr">
        <is>
          <t>Issues</t>
        </is>
      </c>
      <c r="B22" t="inlineStr">
        <is>
          <t>18 shilling 7.5pence from 2 weys 2 cloves of cheese from tithes sold, at 9 shilling a wey.</t>
        </is>
      </c>
      <c r="C22" t="n">
        <v>0.93</v>
      </c>
      <c r="D22" t="n">
        <v>0</v>
      </c>
      <c r="E22" t="n">
        <v>18</v>
      </c>
      <c r="F22" t="n">
        <v>7.5</v>
      </c>
      <c r="H22" t="n">
        <v>0</v>
      </c>
      <c r="I22" t="n">
        <v>0</v>
      </c>
      <c r="J22" t="n">
        <v>0</v>
      </c>
      <c r="K22" t="n">
        <v>0</v>
      </c>
      <c r="L22" t="n">
        <v>0</v>
      </c>
      <c r="M22" t="n">
        <v>0</v>
      </c>
      <c r="N22" t="n">
        <v>0</v>
      </c>
    </row>
    <row r="23">
      <c r="A23" t="inlineStr">
        <is>
          <t>Issues</t>
        </is>
      </c>
      <c r="B23" t="inlineStr">
        <is>
          <t>2 shilling from 2 branches of wood sold.</t>
        </is>
      </c>
      <c r="C23" t="n">
        <v>0.1</v>
      </c>
      <c r="D23" t="n">
        <v>0</v>
      </c>
      <c r="E23" t="n">
        <v>2</v>
      </c>
      <c r="F23" t="n">
        <v>0</v>
      </c>
      <c r="H23" t="n">
        <v>0</v>
      </c>
      <c r="I23" t="n">
        <v>0</v>
      </c>
      <c r="J23" t="n">
        <v>0</v>
      </c>
      <c r="K23" t="n">
        <v>0</v>
      </c>
      <c r="L23" t="n">
        <v>0</v>
      </c>
      <c r="M23" t="n">
        <v>0</v>
      </c>
      <c r="N23" t="n">
        <v>0</v>
      </c>
    </row>
    <row r="24">
      <c r="A24" t="inlineStr">
        <is>
          <t>Issues</t>
        </is>
      </c>
      <c r="B24" t="inlineStr">
        <is>
          <t>6 shilling 8pence from pigeons sold.</t>
        </is>
      </c>
      <c r="C24" t="n">
        <v>0.33</v>
      </c>
      <c r="D24" t="n">
        <v>0</v>
      </c>
      <c r="E24" t="n">
        <v>6</v>
      </c>
      <c r="F24" t="n">
        <v>8</v>
      </c>
      <c r="H24" t="n">
        <v>0</v>
      </c>
      <c r="I24" t="n">
        <v>0</v>
      </c>
      <c r="J24" t="n">
        <v>0</v>
      </c>
      <c r="K24" t="n">
        <v>0</v>
      </c>
      <c r="L24" t="n">
        <v>0</v>
      </c>
      <c r="M24" t="n">
        <v>0</v>
      </c>
      <c r="N24" t="n">
        <v>0</v>
      </c>
    </row>
    <row r="25">
      <c r="A25" t="inlineStr">
        <is>
          <t>Issues</t>
        </is>
      </c>
      <c r="B25" t="inlineStr">
        <is>
          <t>6 shilling 6pence from 26 geese from tithes sold.</t>
        </is>
      </c>
      <c r="C25" t="n">
        <v>0.33</v>
      </c>
      <c r="D25" t="n">
        <v>0</v>
      </c>
      <c r="E25" t="n">
        <v>6</v>
      </c>
      <c r="F25" t="n">
        <v>6</v>
      </c>
      <c r="H25" t="n">
        <v>0</v>
      </c>
      <c r="I25" t="n">
        <v>0</v>
      </c>
      <c r="J25" t="n">
        <v>0</v>
      </c>
      <c r="K25" t="n">
        <v>0</v>
      </c>
      <c r="L25" t="n">
        <v>0</v>
      </c>
      <c r="M25" t="n">
        <v>0</v>
      </c>
      <c r="N25" t="n">
        <v>0</v>
      </c>
    </row>
    <row r="26">
      <c r="A26" t="inlineStr">
        <is>
          <t>Issues</t>
        </is>
      </c>
      <c r="B26" t="inlineStr">
        <is>
          <t>1 shilling from the pasturage on this side of the field of la Hyde sold, because it was all sown with wheat.</t>
        </is>
      </c>
      <c r="C26" t="n">
        <v>0.05</v>
      </c>
      <c r="D26" t="n">
        <v>0</v>
      </c>
      <c r="E26" t="n">
        <v>1</v>
      </c>
      <c r="F26" t="n">
        <v>0</v>
      </c>
      <c r="G26" t="inlineStr">
        <is>
          <t>wheat</t>
        </is>
      </c>
      <c r="H26" t="n">
        <v>0</v>
      </c>
      <c r="I26" t="n">
        <v>0</v>
      </c>
      <c r="J26" t="n">
        <v>0</v>
      </c>
      <c r="K26" t="n">
        <v>0</v>
      </c>
      <c r="L26" t="n">
        <v>0</v>
      </c>
      <c r="M26" t="n">
        <v>0</v>
      </c>
      <c r="N26" t="n">
        <v>0</v>
      </c>
    </row>
    <row r="27">
      <c r="A27" t="inlineStr">
        <is>
          <t>Issues</t>
        </is>
      </c>
      <c r="B27" t="inlineStr">
        <is>
          <t>3 shilling from .the pasturage of Otlond' sold this year.</t>
        </is>
      </c>
      <c r="C27" t="n">
        <v>0.15</v>
      </c>
      <c r="D27" t="n">
        <v>0</v>
      </c>
      <c r="E27" t="n">
        <v>3</v>
      </c>
      <c r="F27" t="n">
        <v>0</v>
      </c>
      <c r="H27" t="n">
        <v>0</v>
      </c>
      <c r="I27" t="n">
        <v>0</v>
      </c>
      <c r="J27" t="n">
        <v>0</v>
      </c>
      <c r="K27" t="n">
        <v>0</v>
      </c>
      <c r="L27" t="n">
        <v>0</v>
      </c>
      <c r="M27" t="n">
        <v>0</v>
      </c>
      <c r="N27" t="n">
        <v>0</v>
      </c>
    </row>
    <row r="28">
      <c r="A28" t="inlineStr">
        <is>
          <t>Issues</t>
        </is>
      </c>
      <c r="B28" t="inlineStr">
        <is>
          <t>nothing from the pasturage of Schortebond' because it was fallow.</t>
        </is>
      </c>
      <c r="C28" t="n">
        <v>0</v>
      </c>
      <c r="D28" t="n">
        <v>0</v>
      </c>
      <c r="E28" t="n">
        <v>0</v>
      </c>
      <c r="F28" t="n">
        <v>0</v>
      </c>
      <c r="H28" t="n">
        <v>0</v>
      </c>
      <c r="I28" t="n">
        <v>0</v>
      </c>
      <c r="J28" t="n">
        <v>0</v>
      </c>
      <c r="K28" t="n">
        <v>0</v>
      </c>
      <c r="L28" t="n">
        <v>0</v>
      </c>
      <c r="M28" t="n">
        <v>0</v>
      </c>
      <c r="N28" t="n">
        <v>0</v>
      </c>
    </row>
    <row r="29">
      <c r="A29" t="inlineStr">
        <is>
          <t>Issues</t>
        </is>
      </c>
      <c r="B29" t="inlineStr">
        <is>
          <t>1 shilling from the pasturage of Wodebrech sold this year.</t>
        </is>
      </c>
      <c r="C29" t="n">
        <v>0.05</v>
      </c>
      <c r="D29" t="n">
        <v>0</v>
      </c>
      <c r="E29" t="n">
        <v>1</v>
      </c>
      <c r="F29" t="n">
        <v>0</v>
      </c>
      <c r="H29" t="n">
        <v>0</v>
      </c>
      <c r="I29" t="n">
        <v>0</v>
      </c>
      <c r="J29" t="n">
        <v>0</v>
      </c>
      <c r="K29" t="n">
        <v>0</v>
      </c>
      <c r="L29" t="n">
        <v>0</v>
      </c>
      <c r="M29" t="n">
        <v>0</v>
      </c>
      <c r="N29" t="n">
        <v>0</v>
      </c>
    </row>
    <row r="30">
      <c r="A30" t="inlineStr">
        <is>
          <t>Issues</t>
        </is>
      </c>
      <c r="B30" t="inlineStr">
        <is>
          <t>1 shilling from nettles (urtic') on this side of Bishop's field and the dovecote sold.</t>
        </is>
      </c>
      <c r="C30" t="n">
        <v>0.05</v>
      </c>
      <c r="D30" t="n">
        <v>0</v>
      </c>
      <c r="E30" t="n">
        <v>1</v>
      </c>
      <c r="F30" t="n">
        <v>0</v>
      </c>
      <c r="H30" t="n">
        <v>0</v>
      </c>
      <c r="I30" t="n">
        <v>0</v>
      </c>
      <c r="J30" t="n">
        <v>0</v>
      </c>
      <c r="K30" t="n">
        <v>0</v>
      </c>
      <c r="L30" t="n">
        <v>0</v>
      </c>
      <c r="M30" t="n">
        <v>0</v>
      </c>
      <c r="N30" t="n">
        <v>0</v>
      </c>
    </row>
    <row r="31">
      <c r="A31" t="inlineStr">
        <is>
          <t>Issues</t>
        </is>
      </c>
      <c r="B31" t="inlineStr">
        <is>
          <t>nothing from the herbage of the garden this year on account of the calves and other livestock of the lord.</t>
        </is>
      </c>
      <c r="C31" t="n">
        <v>0</v>
      </c>
      <c r="D31" t="n">
        <v>0</v>
      </c>
      <c r="E31" t="n">
        <v>0</v>
      </c>
      <c r="F31" t="n">
        <v>0</v>
      </c>
      <c r="H31" t="n">
        <v>0</v>
      </c>
      <c r="I31" t="n">
        <v>0</v>
      </c>
      <c r="J31" t="n">
        <v>0</v>
      </c>
      <c r="K31" t="n">
        <v>0</v>
      </c>
      <c r="L31" t="n">
        <v>0</v>
      </c>
      <c r="M31" t="n">
        <v>0</v>
      </c>
      <c r="N31" t="n">
        <v>0</v>
      </c>
    </row>
    <row r="32">
      <c r="A32" t="inlineStr">
        <is>
          <t>Issues</t>
        </is>
      </c>
      <c r="B32" t="inlineStr">
        <is>
          <t>2 shilling from the pasturage of the meadow of Cherchemed sold after mowing.</t>
        </is>
      </c>
      <c r="C32" t="n">
        <v>0.1</v>
      </c>
      <c r="D32" t="n">
        <v>0</v>
      </c>
      <c r="E32" t="n">
        <v>2</v>
      </c>
      <c r="F32" t="n">
        <v>0</v>
      </c>
      <c r="H32" t="n">
        <v>0</v>
      </c>
      <c r="I32" t="n">
        <v>0</v>
      </c>
      <c r="J32" t="n">
        <v>0</v>
      </c>
      <c r="K32" t="n">
        <v>0</v>
      </c>
      <c r="L32" t="n">
        <v>0</v>
      </c>
      <c r="M32" t="n">
        <v>0</v>
      </c>
      <c r="N32" t="n">
        <v>0</v>
      </c>
    </row>
    <row r="33">
      <c r="A33" t="inlineStr">
        <is>
          <t>Issues</t>
        </is>
      </c>
      <c r="B33" t="inlineStr">
        <is>
          <t>3 shilling 6pence from 1 pair of wheels with iron tyres sold.</t>
        </is>
      </c>
      <c r="C33" t="n">
        <v>0.17</v>
      </c>
      <c r="D33" t="n">
        <v>0</v>
      </c>
      <c r="E33" t="n">
        <v>3</v>
      </c>
      <c r="F33" t="n">
        <v>6</v>
      </c>
      <c r="H33" t="n">
        <v>0</v>
      </c>
      <c r="I33" t="n">
        <v>0</v>
      </c>
      <c r="J33" t="n">
        <v>0</v>
      </c>
      <c r="K33" t="n">
        <v>0</v>
      </c>
      <c r="L33" t="n">
        <v>0</v>
      </c>
      <c r="M33" t="n">
        <v>0</v>
      </c>
      <c r="N33" t="n">
        <v>0</v>
      </c>
    </row>
    <row r="34">
      <c r="A34" t="inlineStr">
        <is>
          <t>Issues</t>
        </is>
      </c>
      <c r="B34" t="inlineStr">
        <is>
          <t>4 shilling from 1 old plough-horse sold.</t>
        </is>
      </c>
      <c r="C34" t="n">
        <v>0.2</v>
      </c>
      <c r="D34" t="n">
        <v>0</v>
      </c>
      <c r="E34" t="n">
        <v>4</v>
      </c>
      <c r="F34" t="n">
        <v>0</v>
      </c>
      <c r="H34" t="n">
        <v>0</v>
      </c>
      <c r="I34" t="n">
        <v>0</v>
      </c>
      <c r="J34" t="n">
        <v>0</v>
      </c>
      <c r="K34" t="n">
        <v>0</v>
      </c>
      <c r="L34" t="n">
        <v>0</v>
      </c>
      <c r="M34" t="n">
        <v>0</v>
      </c>
      <c r="N34" t="n">
        <v>0</v>
      </c>
    </row>
    <row r="35">
      <c r="A35" t="inlineStr">
        <is>
          <t>Issues</t>
        </is>
      </c>
      <c r="B35" t="inlineStr">
        <is>
          <t>5 shilling from 5 wethers sold at Martinmas (11 November).</t>
        </is>
      </c>
      <c r="C35" t="n">
        <v>0.25</v>
      </c>
      <c r="D35" t="n">
        <v>0</v>
      </c>
      <c r="E35" t="n">
        <v>5</v>
      </c>
      <c r="F35" t="n">
        <v>0</v>
      </c>
      <c r="H35" t="n">
        <v>0</v>
      </c>
      <c r="I35" t="n">
        <v>0</v>
      </c>
      <c r="J35" t="n">
        <v>0</v>
      </c>
      <c r="K35" t="n">
        <v>0</v>
      </c>
      <c r="L35" t="n">
        <v>0</v>
      </c>
      <c r="M35" t="n">
        <v>0</v>
      </c>
      <c r="N35" t="n">
        <v>0</v>
      </c>
    </row>
    <row r="36">
      <c r="A36" t="inlineStr">
        <is>
          <t>Issues</t>
        </is>
      </c>
      <c r="B36" t="inlineStr">
        <is>
          <t>£1 17 shilling 9pence from 121 feeble lambs from tithes sold before shearing, at 4pence each for 30, 5pence each for 30, and 3pence each for 61.</t>
        </is>
      </c>
      <c r="C36" t="n">
        <v>1.89</v>
      </c>
      <c r="D36" t="n">
        <v>1</v>
      </c>
      <c r="E36" t="n">
        <v>17</v>
      </c>
      <c r="F36" t="n">
        <v>9</v>
      </c>
      <c r="H36" t="n">
        <v>0</v>
      </c>
      <c r="I36" t="n">
        <v>0</v>
      </c>
      <c r="J36" t="n">
        <v>0</v>
      </c>
      <c r="K36" t="n">
        <v>0</v>
      </c>
      <c r="L36" t="n">
        <v>0</v>
      </c>
      <c r="M36" t="n">
        <v>0</v>
      </c>
      <c r="N36" t="n">
        <v>0</v>
      </c>
    </row>
    <row r="37">
      <c r="A37" t="inlineStr">
        <is>
          <t>Issues</t>
        </is>
      </c>
      <c r="B37" t="inlineStr">
        <is>
          <t>nothing from piglets here because delivered to the reeve of the manor.</t>
        </is>
      </c>
      <c r="C37" t="n">
        <v>0</v>
      </c>
      <c r="D37" t="n">
        <v>0</v>
      </c>
      <c r="E37" t="n">
        <v>0</v>
      </c>
      <c r="F37" t="n">
        <v>0</v>
      </c>
      <c r="H37" t="n">
        <v>0</v>
      </c>
      <c r="I37" t="n">
        <v>0</v>
      </c>
      <c r="J37" t="n">
        <v>0</v>
      </c>
      <c r="K37" t="n">
        <v>0</v>
      </c>
      <c r="L37" t="n">
        <v>0</v>
      </c>
      <c r="M37" t="n">
        <v>0</v>
      </c>
      <c r="N37" t="n">
        <v>0</v>
      </c>
    </row>
    <row r="38">
      <c r="A38" t="inlineStr">
        <is>
          <t>Issues</t>
        </is>
      </c>
      <c r="B38" t="inlineStr">
        <is>
          <t>5 shilling from the skins sold of 20 wethers in murrain before shearing, at 3pence a skin.</t>
        </is>
      </c>
      <c r="C38" t="n">
        <v>0.26</v>
      </c>
      <c r="D38" t="n">
        <v>0</v>
      </c>
      <c r="E38" t="n">
        <v>5</v>
      </c>
      <c r="F38" t="n">
        <v>3</v>
      </c>
      <c r="H38" t="n">
        <v>0</v>
      </c>
      <c r="I38" t="n">
        <v>0</v>
      </c>
      <c r="J38" t="n">
        <v>0</v>
      </c>
      <c r="K38" t="n">
        <v>0</v>
      </c>
      <c r="L38" t="n">
        <v>0</v>
      </c>
      <c r="M38" t="n">
        <v>0</v>
      </c>
      <c r="N38" t="n">
        <v>0</v>
      </c>
    </row>
    <row r="39">
      <c r="A39" t="inlineStr">
        <is>
          <t>Issues</t>
        </is>
      </c>
      <c r="B39" t="inlineStr">
        <is>
          <t>2 shilling 7.5pence from the skins sold of 21 in murrain after shearing, at 1.5pence a skin.</t>
        </is>
      </c>
      <c r="C39" t="n">
        <v>0.13</v>
      </c>
      <c r="D39" t="n">
        <v>0</v>
      </c>
      <c r="E39" t="n">
        <v>2</v>
      </c>
      <c r="F39" t="n">
        <v>7.5</v>
      </c>
      <c r="H39" t="n">
        <v>0</v>
      </c>
      <c r="I39" t="n">
        <v>0</v>
      </c>
      <c r="J39" t="n">
        <v>0</v>
      </c>
      <c r="K39" t="n">
        <v>0</v>
      </c>
      <c r="L39" t="n">
        <v>0</v>
      </c>
      <c r="M39" t="n">
        <v>0</v>
      </c>
      <c r="N39" t="n">
        <v>0</v>
      </c>
    </row>
    <row r="40">
      <c r="A40" t="inlineStr">
        <is>
          <t>Issues</t>
        </is>
      </c>
      <c r="B40" t="inlineStr">
        <is>
          <t>nothing from forage this year, because the corn of Steep, Oxshete, Froxfield, Yteden' and Bykeden' was sold wholesale.</t>
        </is>
      </c>
      <c r="C40" t="n">
        <v>0</v>
      </c>
      <c r="D40" t="n">
        <v>0</v>
      </c>
      <c r="E40" t="n">
        <v>0</v>
      </c>
      <c r="F40" t="n">
        <v>0</v>
      </c>
      <c r="H40" t="n">
        <v>0</v>
      </c>
      <c r="I40" t="n">
        <v>0</v>
      </c>
      <c r="J40" t="n">
        <v>0</v>
      </c>
      <c r="K40" t="n">
        <v>0</v>
      </c>
      <c r="L40" t="n">
        <v>0</v>
      </c>
      <c r="M40" t="n">
        <v>0</v>
      </c>
      <c r="N40" t="n">
        <v>0</v>
      </c>
    </row>
    <row r="41">
      <c r="A41" t="inlineStr">
        <is>
          <t>Issues</t>
        </is>
      </c>
      <c r="B41" t="inlineStr">
        <is>
          <t>£2 5 shilling from 3 casks of cider sold, at 15 shilling each without the wood.</t>
        </is>
      </c>
      <c r="C41" t="n">
        <v>2.25</v>
      </c>
      <c r="D41" t="n">
        <v>2</v>
      </c>
      <c r="E41" t="n">
        <v>5</v>
      </c>
      <c r="F41" t="n">
        <v>0</v>
      </c>
      <c r="H41" t="n">
        <v>0</v>
      </c>
      <c r="I41" t="n">
        <v>0</v>
      </c>
      <c r="J41" t="n">
        <v>0</v>
      </c>
      <c r="K41" t="n">
        <v>0</v>
      </c>
      <c r="L41" t="n">
        <v>0</v>
      </c>
      <c r="M41" t="n">
        <v>0</v>
      </c>
      <c r="N41" t="n">
        <v>0</v>
      </c>
    </row>
    <row r="42">
      <c r="A42" t="inlineStr">
        <is>
          <t>Issues</t>
        </is>
      </c>
      <c r="B42" t="inlineStr">
        <is>
          <t>2 shilling 11pence from 35 hens from churchscot sold.</t>
        </is>
      </c>
      <c r="C42" t="n">
        <v>0.15</v>
      </c>
      <c r="D42" t="n">
        <v>0</v>
      </c>
      <c r="E42" t="n">
        <v>2</v>
      </c>
      <c r="F42" t="n">
        <v>11</v>
      </c>
      <c r="H42" t="n">
        <v>0</v>
      </c>
      <c r="I42" t="n">
        <v>0</v>
      </c>
      <c r="J42" t="n">
        <v>0</v>
      </c>
      <c r="K42" t="n">
        <v>0</v>
      </c>
      <c r="L42" t="n">
        <v>0</v>
      </c>
      <c r="M42" t="n">
        <v>0</v>
      </c>
      <c r="N42" t="n">
        <v>0</v>
      </c>
    </row>
    <row r="43">
      <c r="A43" t="inlineStr">
        <is>
          <t>Issues</t>
        </is>
      </c>
      <c r="B43" t="inlineStr">
        <is>
          <t>8pence from abandoned timber sold from certain old buildings at Froxefeld'.</t>
        </is>
      </c>
      <c r="C43" t="n">
        <v>0.03</v>
      </c>
      <c r="D43" t="n">
        <v>0</v>
      </c>
      <c r="E43" t="n">
        <v>0</v>
      </c>
      <c r="F43" t="n">
        <v>8</v>
      </c>
      <c r="H43" t="n">
        <v>0</v>
      </c>
      <c r="I43" t="n">
        <v>0</v>
      </c>
      <c r="J43" t="n">
        <v>0</v>
      </c>
      <c r="K43" t="n">
        <v>0</v>
      </c>
      <c r="L43" t="n">
        <v>0</v>
      </c>
      <c r="M43" t="n">
        <v>0</v>
      </c>
      <c r="N43" t="n">
        <v>0</v>
      </c>
    </row>
    <row r="44">
      <c r="A44" t="inlineStr">
        <is>
          <t>Issues</t>
        </is>
      </c>
      <c r="B44" t="inlineStr">
        <is>
          <t>Total, £8 19 shilling 2.75pence</t>
        </is>
      </c>
      <c r="C44" t="n">
        <v>8.960000000000001</v>
      </c>
      <c r="D44" t="n">
        <v>8</v>
      </c>
      <c r="E44" t="n">
        <v>19</v>
      </c>
      <c r="F44" t="n">
        <v>2.75</v>
      </c>
      <c r="H44" t="n">
        <v>0</v>
      </c>
      <c r="I44" t="n">
        <v>0</v>
      </c>
      <c r="J44" t="n">
        <v>0</v>
      </c>
      <c r="K44" t="n">
        <v>0</v>
      </c>
      <c r="L44" t="n">
        <v>0</v>
      </c>
      <c r="M44" t="n">
        <v>0</v>
      </c>
      <c r="N44" t="n">
        <v>0</v>
      </c>
    </row>
    <row r="45">
      <c r="A45" t="inlineStr">
        <is>
          <t>Sale of corn from the demesne</t>
        </is>
      </c>
      <c r="B45" t="inlineStr">
        <is>
          <t>The same render account for £7 4 shilling 5.5pence from 25 quarters 1 bushels of wheat sold, at 5 shilling a quarters for 8 quarters 5 bushels, 5 shilling 4pence a quarters for 6.5 quarters, and 6 shilling 8pence a quarters for 10 quarters.</t>
        </is>
      </c>
      <c r="C45" t="n">
        <v>7.22</v>
      </c>
      <c r="D45" t="n">
        <v>7</v>
      </c>
      <c r="E45" t="n">
        <v>4</v>
      </c>
      <c r="F45" t="n">
        <v>5.5</v>
      </c>
      <c r="G45" t="inlineStr">
        <is>
          <t>wheat</t>
        </is>
      </c>
      <c r="H45" t="n">
        <v>24.5</v>
      </c>
      <c r="I45" t="n">
        <v>5</v>
      </c>
      <c r="J45" t="n">
        <v>25.125</v>
      </c>
      <c r="K45" t="n">
        <v>25.125</v>
      </c>
      <c r="L45" t="n">
        <v>0</v>
      </c>
      <c r="M45" t="n">
        <v>25</v>
      </c>
      <c r="N45" t="n">
        <v>1</v>
      </c>
      <c r="O45" t="n">
        <v>8</v>
      </c>
      <c r="P45" t="n">
        <v>5</v>
      </c>
      <c r="Q45" t="n">
        <v>6.5</v>
      </c>
      <c r="R45" t="n">
        <v>0</v>
      </c>
      <c r="S45" t="n">
        <v>10</v>
      </c>
      <c r="T45" t="n">
        <v>0</v>
      </c>
      <c r="Y45" t="n">
        <v>5</v>
      </c>
      <c r="Z45" t="n">
        <v>0</v>
      </c>
      <c r="AA45" t="n">
        <v>5</v>
      </c>
      <c r="AB45" t="n">
        <v>4</v>
      </c>
      <c r="AC45" t="n">
        <v>6</v>
      </c>
      <c r="AD45" t="n">
        <v>8</v>
      </c>
    </row>
    <row r="46">
      <c r="A46" t="inlineStr">
        <is>
          <t>Sale of corn from the demesne</t>
        </is>
      </c>
      <c r="B46" t="inlineStr">
        <is>
          <t>£2 12 shilling 10.5pence from 18 quarters 7 bushels of bere sold, at 2 shilling 8pence a quarters for 11 quarters 2 bushels, and 3 shilling a quarters for 7 quarters 5 bushels.</t>
        </is>
      </c>
      <c r="C46" t="n">
        <v>2.64</v>
      </c>
      <c r="D46" t="n">
        <v>2</v>
      </c>
      <c r="E46" t="n">
        <v>12</v>
      </c>
      <c r="F46" t="n">
        <v>10.5</v>
      </c>
      <c r="H46" t="n">
        <v>18</v>
      </c>
      <c r="I46" t="n">
        <v>7</v>
      </c>
      <c r="J46" t="n">
        <v>18.875</v>
      </c>
      <c r="K46" t="n">
        <v>18.875</v>
      </c>
      <c r="L46" t="n">
        <v>0</v>
      </c>
      <c r="M46" t="n">
        <v>18</v>
      </c>
      <c r="N46" t="n">
        <v>7</v>
      </c>
      <c r="O46" t="n">
        <v>11</v>
      </c>
      <c r="P46" t="n">
        <v>2</v>
      </c>
      <c r="Q46" t="n">
        <v>7</v>
      </c>
      <c r="R46" t="n">
        <v>5</v>
      </c>
      <c r="Y46" t="n">
        <v>2</v>
      </c>
      <c r="Z46" t="n">
        <v>8</v>
      </c>
      <c r="AA46" t="n">
        <v>3</v>
      </c>
      <c r="AB46" t="n">
        <v>0</v>
      </c>
    </row>
    <row r="47">
      <c r="A47" t="inlineStr">
        <is>
          <t>Sale of corn from the demesne</t>
        </is>
      </c>
      <c r="B47" t="inlineStr">
        <is>
          <t>10 shilling from 2.5 quarters of barley sold, at 4 shilling a quarters.</t>
        </is>
      </c>
      <c r="C47" t="n">
        <v>0.5</v>
      </c>
      <c r="D47" t="n">
        <v>0</v>
      </c>
      <c r="E47" t="n">
        <v>10</v>
      </c>
      <c r="F47" t="n">
        <v>0</v>
      </c>
      <c r="G47" t="inlineStr">
        <is>
          <t>barley</t>
        </is>
      </c>
      <c r="H47" t="n">
        <v>2.5</v>
      </c>
      <c r="I47" t="n">
        <v>0</v>
      </c>
      <c r="J47" t="n">
        <v>2.5</v>
      </c>
      <c r="K47" t="n">
        <v>2.5</v>
      </c>
      <c r="L47" t="n">
        <v>0</v>
      </c>
      <c r="M47" t="n">
        <v>2.5</v>
      </c>
      <c r="N47" t="n">
        <v>0</v>
      </c>
      <c r="Y47" t="n">
        <v>4</v>
      </c>
      <c r="Z47" t="n">
        <v>0</v>
      </c>
    </row>
    <row r="48">
      <c r="A48" t="inlineStr">
        <is>
          <t>Sale of corn from the demesne</t>
        </is>
      </c>
      <c r="B48" t="inlineStr">
        <is>
          <t>Total, £10 7 shilling 4pence</t>
        </is>
      </c>
      <c r="C48" t="n">
        <v>10.37</v>
      </c>
      <c r="D48" t="n">
        <v>10</v>
      </c>
      <c r="E48" t="n">
        <v>7</v>
      </c>
      <c r="F48" t="n">
        <v>4</v>
      </c>
      <c r="H48" t="n">
        <v>0</v>
      </c>
      <c r="I48" t="n">
        <v>0</v>
      </c>
      <c r="J48" t="n">
        <v>0</v>
      </c>
      <c r="K48" t="n">
        <v>0</v>
      </c>
      <c r="L48" t="n">
        <v>0</v>
      </c>
      <c r="M48" t="n">
        <v>0</v>
      </c>
      <c r="N48" t="n">
        <v>0</v>
      </c>
    </row>
    <row r="49">
      <c r="A49" t="inlineStr">
        <is>
          <t>Sale of corn from tithes</t>
        </is>
      </c>
      <c r="B49" t="inlineStr">
        <is>
          <t>The same render account for £20 3 shilling 7.5pence from 65 quarters 7 bushels of wheat from tithes sold, at 5 shilling a quarters for 9 quarters 1 bushels, 5 shilling 4pence a quarters for 15 quarters 2 bushels, and 6 shilling 8pence a quarters for 41.5 quarters.</t>
        </is>
      </c>
      <c r="C49" t="n">
        <v>20.18</v>
      </c>
      <c r="D49" t="n">
        <v>20</v>
      </c>
      <c r="E49" t="n">
        <v>3</v>
      </c>
      <c r="F49" t="n">
        <v>7.5</v>
      </c>
      <c r="G49" t="inlineStr">
        <is>
          <t>wheat</t>
        </is>
      </c>
      <c r="H49" t="n">
        <v>65.5</v>
      </c>
      <c r="I49" t="n">
        <v>3</v>
      </c>
      <c r="J49" t="n">
        <v>65.875</v>
      </c>
      <c r="K49" t="n">
        <v>65.875</v>
      </c>
      <c r="L49" t="n">
        <v>0</v>
      </c>
      <c r="M49" t="n">
        <v>65</v>
      </c>
      <c r="N49" t="n">
        <v>7</v>
      </c>
      <c r="O49" t="n">
        <v>9</v>
      </c>
      <c r="P49" t="n">
        <v>1</v>
      </c>
      <c r="Q49" t="n">
        <v>15</v>
      </c>
      <c r="R49" t="n">
        <v>2</v>
      </c>
      <c r="S49" t="n">
        <v>41.5</v>
      </c>
      <c r="T49" t="n">
        <v>0</v>
      </c>
      <c r="Y49" t="n">
        <v>5</v>
      </c>
      <c r="Z49" t="n">
        <v>0</v>
      </c>
      <c r="AA49" t="n">
        <v>5</v>
      </c>
      <c r="AB49" t="n">
        <v>4</v>
      </c>
      <c r="AC49" t="n">
        <v>6</v>
      </c>
      <c r="AD49" t="n">
        <v>8</v>
      </c>
    </row>
    <row r="50">
      <c r="A50" t="inlineStr">
        <is>
          <t>Sale of corn from tithes</t>
        </is>
      </c>
      <c r="B50" t="inlineStr">
        <is>
          <t>£1 19 shilling 7pence from 14 quarters 7 bushels of bere sold, at 2 shilling 8pence a quarters.</t>
        </is>
      </c>
      <c r="C50" t="n">
        <v>1.98</v>
      </c>
      <c r="D50" t="n">
        <v>1</v>
      </c>
      <c r="E50" t="n">
        <v>19</v>
      </c>
      <c r="F50" t="n">
        <v>7</v>
      </c>
      <c r="H50" t="n">
        <v>14</v>
      </c>
      <c r="I50" t="n">
        <v>7</v>
      </c>
      <c r="J50" t="n">
        <v>14.875</v>
      </c>
      <c r="K50" t="n">
        <v>14.875</v>
      </c>
      <c r="L50" t="n">
        <v>0</v>
      </c>
      <c r="M50" t="n">
        <v>14</v>
      </c>
      <c r="N50" t="n">
        <v>7</v>
      </c>
      <c r="Y50" t="n">
        <v>2</v>
      </c>
      <c r="Z50" t="n">
        <v>8</v>
      </c>
    </row>
    <row r="51">
      <c r="A51" t="inlineStr">
        <is>
          <t>Sale of corn from tithes</t>
        </is>
      </c>
      <c r="B51" t="inlineStr">
        <is>
          <t>£7 13 shilling 6pence from 38 quarters 3 bushels of barley sold, at 4 shilling a quarters.</t>
        </is>
      </c>
      <c r="C51" t="n">
        <v>7.68</v>
      </c>
      <c r="D51" t="n">
        <v>7</v>
      </c>
      <c r="E51" t="n">
        <v>13</v>
      </c>
      <c r="F51" t="n">
        <v>6</v>
      </c>
      <c r="G51" t="inlineStr">
        <is>
          <t>barley</t>
        </is>
      </c>
      <c r="H51" t="n">
        <v>38</v>
      </c>
      <c r="I51" t="n">
        <v>3</v>
      </c>
      <c r="J51" t="n">
        <v>38.375</v>
      </c>
      <c r="K51" t="n">
        <v>38.375</v>
      </c>
      <c r="L51" t="n">
        <v>0</v>
      </c>
      <c r="M51" t="n">
        <v>38</v>
      </c>
      <c r="N51" t="n">
        <v>3</v>
      </c>
      <c r="Y51" t="n">
        <v>4</v>
      </c>
      <c r="Z51" t="n">
        <v>0</v>
      </c>
    </row>
    <row r="52">
      <c r="A52" t="inlineStr">
        <is>
          <t>Sale of corn from tithes</t>
        </is>
      </c>
      <c r="B52" t="inlineStr">
        <is>
          <t>£5 18 shilling 1.5pence from 64 quarters of oats sold, at 1 shilling 8pence a quarters for 44 quarters 7 bushels, 2 shilling 2pence a quarters for 7 quarters 6 bushels, and 2 shilling 4pence a quarters for 11 quarters 3 bushels.</t>
        </is>
      </c>
      <c r="C52" t="n">
        <v>5.91</v>
      </c>
      <c r="D52" t="n">
        <v>5</v>
      </c>
      <c r="E52" t="n">
        <v>18</v>
      </c>
      <c r="F52" t="n">
        <v>1.5</v>
      </c>
      <c r="G52" t="inlineStr">
        <is>
          <t>oats</t>
        </is>
      </c>
      <c r="H52" t="n">
        <v>62</v>
      </c>
      <c r="I52" t="n">
        <v>16</v>
      </c>
      <c r="J52" t="n">
        <v>64</v>
      </c>
      <c r="K52" t="n">
        <v>64</v>
      </c>
      <c r="L52" t="n">
        <v>0</v>
      </c>
      <c r="M52" t="n">
        <v>64</v>
      </c>
      <c r="N52" t="n">
        <v>0</v>
      </c>
      <c r="O52" t="n">
        <v>44</v>
      </c>
      <c r="P52" t="n">
        <v>7</v>
      </c>
      <c r="Q52" t="n">
        <v>7</v>
      </c>
      <c r="R52" t="n">
        <v>6</v>
      </c>
      <c r="S52" t="n">
        <v>11</v>
      </c>
      <c r="T52" t="n">
        <v>3</v>
      </c>
      <c r="Y52" t="n">
        <v>1</v>
      </c>
      <c r="Z52" t="n">
        <v>8</v>
      </c>
      <c r="AA52" t="n">
        <v>2</v>
      </c>
      <c r="AB52" t="n">
        <v>2</v>
      </c>
      <c r="AC52" t="n">
        <v>2</v>
      </c>
      <c r="AD52" t="n">
        <v>4</v>
      </c>
    </row>
    <row r="53">
      <c r="A53" t="inlineStr">
        <is>
          <t>Sale of corn from tithes</t>
        </is>
      </c>
      <c r="B53" t="inlineStr">
        <is>
          <t>£1 12 shilling 4pence from 12 quarters 1 bushels of beans sold, at 2 shilling 8pence a quarters.</t>
        </is>
      </c>
      <c r="C53" t="n">
        <v>1.62</v>
      </c>
      <c r="D53" t="n">
        <v>1</v>
      </c>
      <c r="E53" t="n">
        <v>12</v>
      </c>
      <c r="F53" t="n">
        <v>4</v>
      </c>
      <c r="G53" t="inlineStr">
        <is>
          <t>beans</t>
        </is>
      </c>
      <c r="H53" t="n">
        <v>12</v>
      </c>
      <c r="I53" t="n">
        <v>1</v>
      </c>
      <c r="J53" t="n">
        <v>12.125</v>
      </c>
      <c r="K53" t="n">
        <v>12.125</v>
      </c>
      <c r="L53" t="n">
        <v>0</v>
      </c>
      <c r="M53" t="n">
        <v>12</v>
      </c>
      <c r="N53" t="n">
        <v>1</v>
      </c>
      <c r="Y53" t="n">
        <v>2</v>
      </c>
      <c r="Z53" t="n">
        <v>8</v>
      </c>
    </row>
    <row r="54">
      <c r="A54" t="inlineStr">
        <is>
          <t>Sale of corn from tithes</t>
        </is>
      </c>
      <c r="B54" t="inlineStr">
        <is>
          <t>4 shilling from 2 quarters of peas sold.</t>
        </is>
      </c>
      <c r="C54" t="n">
        <v>0.2</v>
      </c>
      <c r="D54" t="n">
        <v>0</v>
      </c>
      <c r="E54" t="n">
        <v>4</v>
      </c>
      <c r="F54" t="n">
        <v>0</v>
      </c>
      <c r="G54" t="inlineStr">
        <is>
          <t>peas</t>
        </is>
      </c>
      <c r="H54" t="n">
        <v>2</v>
      </c>
      <c r="I54" t="n">
        <v>0</v>
      </c>
      <c r="J54" t="n">
        <v>2</v>
      </c>
      <c r="K54" t="n">
        <v>2</v>
      </c>
      <c r="L54" t="n">
        <v>0</v>
      </c>
      <c r="M54" t="n">
        <v>2</v>
      </c>
      <c r="N54" t="n">
        <v>0</v>
      </c>
    </row>
    <row r="55">
      <c r="A55" t="inlineStr">
        <is>
          <t>Sale of corn from tithes</t>
        </is>
      </c>
      <c r="B55" t="inlineStr">
        <is>
          <t>12 shilling 1pence from 7 quarters 2 bushels of vetches sold, at 1 shilling 8pence a quarters.</t>
        </is>
      </c>
      <c r="C55" t="n">
        <v>0.6</v>
      </c>
      <c r="D55" t="n">
        <v>0</v>
      </c>
      <c r="E55" t="n">
        <v>12</v>
      </c>
      <c r="F55" t="n">
        <v>1</v>
      </c>
      <c r="G55" t="inlineStr">
        <is>
          <t>vetches</t>
        </is>
      </c>
      <c r="H55" t="n">
        <v>7</v>
      </c>
      <c r="I55" t="n">
        <v>2</v>
      </c>
      <c r="J55" t="n">
        <v>7.25</v>
      </c>
      <c r="K55" t="n">
        <v>7.25</v>
      </c>
      <c r="L55" t="n">
        <v>0</v>
      </c>
      <c r="M55" t="n">
        <v>7</v>
      </c>
      <c r="N55" t="n">
        <v>2</v>
      </c>
      <c r="Y55" t="n">
        <v>1</v>
      </c>
      <c r="Z55" t="n">
        <v>8</v>
      </c>
    </row>
    <row r="56">
      <c r="A56" t="inlineStr">
        <is>
          <t>Sale of corn from tithes</t>
        </is>
      </c>
      <c r="B56" t="inlineStr">
        <is>
          <t>Total, £38 3 shilling 4pence</t>
        </is>
      </c>
      <c r="C56" t="n">
        <v>38.17</v>
      </c>
      <c r="D56" t="n">
        <v>38</v>
      </c>
      <c r="E56" t="n">
        <v>3</v>
      </c>
      <c r="F56" t="n">
        <v>4</v>
      </c>
      <c r="H56" t="n">
        <v>0</v>
      </c>
      <c r="I56" t="n">
        <v>0</v>
      </c>
      <c r="J56" t="n">
        <v>0</v>
      </c>
      <c r="K56" t="n">
        <v>0</v>
      </c>
      <c r="L56" t="n">
        <v>0</v>
      </c>
      <c r="M56" t="n">
        <v>0</v>
      </c>
      <c r="N56" t="n">
        <v>0</v>
      </c>
    </row>
    <row r="57">
      <c r="A57" t="inlineStr">
        <is>
          <t>Froxfield, Steep and Oxeschete</t>
        </is>
      </c>
      <c r="B57" t="inlineStr">
        <is>
          <t>The same render account for £38 from the tithes of corn from the chapels of Froxfield, Steep and Oxeshete sold wholesale.</t>
        </is>
      </c>
      <c r="C57" t="n">
        <v>38</v>
      </c>
      <c r="D57" t="n">
        <v>38</v>
      </c>
      <c r="E57" t="n">
        <v>0</v>
      </c>
      <c r="F57" t="n">
        <v>0</v>
      </c>
      <c r="H57" t="n">
        <v>0</v>
      </c>
      <c r="I57" t="n">
        <v>0</v>
      </c>
      <c r="J57" t="n">
        <v>0</v>
      </c>
      <c r="K57" t="n">
        <v>0</v>
      </c>
      <c r="L57" t="n">
        <v>0</v>
      </c>
      <c r="M57" t="n">
        <v>0</v>
      </c>
      <c r="N57" t="n">
        <v>0</v>
      </c>
    </row>
    <row r="58">
      <c r="A58" t="inlineStr">
        <is>
          <t>Froxfield, Steep and Oxeschete</t>
        </is>
      </c>
      <c r="B58" t="inlineStr">
        <is>
          <t>Total, £38.</t>
        </is>
      </c>
      <c r="C58" t="n">
        <v>38</v>
      </c>
      <c r="D58" t="n">
        <v>38</v>
      </c>
      <c r="E58" t="n">
        <v>0</v>
      </c>
      <c r="F58" t="n">
        <v>0</v>
      </c>
      <c r="H58" t="n">
        <v>0</v>
      </c>
      <c r="I58" t="n">
        <v>0</v>
      </c>
      <c r="J58" t="n">
        <v>0</v>
      </c>
      <c r="K58" t="n">
        <v>0</v>
      </c>
      <c r="L58" t="n">
        <v>0</v>
      </c>
      <c r="M58" t="n">
        <v>0</v>
      </c>
      <c r="N58" t="n">
        <v>0</v>
      </c>
    </row>
    <row r="59">
      <c r="A59" t="inlineStr">
        <is>
          <t>Bykeden' and Yteden'</t>
        </is>
      </c>
      <c r="B59" t="inlineStr">
        <is>
          <t>The same render account for 14 shilling from the tithes of corn from Bykeden' sold.</t>
        </is>
      </c>
      <c r="C59" t="n">
        <v>0.7</v>
      </c>
      <c r="D59" t="n">
        <v>0</v>
      </c>
      <c r="E59" t="n">
        <v>14</v>
      </c>
      <c r="F59" t="n">
        <v>0</v>
      </c>
      <c r="H59" t="n">
        <v>0</v>
      </c>
      <c r="I59" t="n">
        <v>0</v>
      </c>
      <c r="J59" t="n">
        <v>0</v>
      </c>
      <c r="K59" t="n">
        <v>0</v>
      </c>
      <c r="L59" t="n">
        <v>0</v>
      </c>
      <c r="M59" t="n">
        <v>0</v>
      </c>
      <c r="N59" t="n">
        <v>0</v>
      </c>
    </row>
    <row r="60">
      <c r="A60" t="inlineStr">
        <is>
          <t>Bykeden' and Yteden'</t>
        </is>
      </c>
      <c r="B60" t="inlineStr">
        <is>
          <t>£1 from the tithes of corn from Yteden' sold.</t>
        </is>
      </c>
      <c r="C60" t="n">
        <v>1</v>
      </c>
      <c r="D60" t="n">
        <v>1</v>
      </c>
      <c r="E60" t="n">
        <v>0</v>
      </c>
      <c r="F60" t="n">
        <v>0</v>
      </c>
      <c r="H60" t="n">
        <v>0</v>
      </c>
      <c r="I60" t="n">
        <v>0</v>
      </c>
      <c r="J60" t="n">
        <v>0</v>
      </c>
      <c r="K60" t="n">
        <v>0</v>
      </c>
      <c r="L60" t="n">
        <v>0</v>
      </c>
      <c r="M60" t="n">
        <v>0</v>
      </c>
      <c r="N60" t="n">
        <v>0</v>
      </c>
    </row>
    <row r="61">
      <c r="A61" t="inlineStr">
        <is>
          <t>Bykeden' and Yteden'</t>
        </is>
      </c>
      <c r="B61" t="inlineStr">
        <is>
          <t>7 shilling from the tithes of corn from Gerard de Tygehale solpence Total, £2 1 shilling Total of all the corn from the demesne as well as from tithes sold wholesale, £88 1 shilling 8pence</t>
        </is>
      </c>
      <c r="C61" t="n">
        <v>2.05</v>
      </c>
      <c r="D61" t="n">
        <v>2</v>
      </c>
      <c r="E61" t="n">
        <v>1</v>
      </c>
      <c r="F61" t="n">
        <v>0</v>
      </c>
      <c r="H61" t="n">
        <v>0</v>
      </c>
      <c r="I61" t="n">
        <v>0</v>
      </c>
      <c r="J61" t="n">
        <v>0</v>
      </c>
      <c r="K61" t="n">
        <v>0</v>
      </c>
      <c r="L61" t="n">
        <v>0</v>
      </c>
      <c r="M61" t="n">
        <v>0</v>
      </c>
      <c r="N61" t="n">
        <v>0</v>
      </c>
    </row>
    <row r="62">
      <c r="A62" t="inlineStr">
        <is>
          <t>Entry and marriage fines</t>
        </is>
      </c>
      <c r="B62" t="inlineStr">
        <is>
          <t>The same render account for 4 shilling from the tithing for tithingpenny at the hundred-court of Martinmas.</t>
        </is>
      </c>
      <c r="C62" t="n">
        <v>0.2</v>
      </c>
      <c r="D62" t="n">
        <v>0</v>
      </c>
      <c r="E62" t="n">
        <v>4</v>
      </c>
      <c r="F62" t="n">
        <v>0</v>
      </c>
      <c r="H62" t="n">
        <v>0</v>
      </c>
      <c r="I62" t="n">
        <v>0</v>
      </c>
      <c r="J62" t="n">
        <v>0</v>
      </c>
      <c r="K62" t="n">
        <v>0</v>
      </c>
      <c r="L62" t="n">
        <v>0</v>
      </c>
      <c r="M62" t="n">
        <v>0</v>
      </c>
      <c r="N62" t="n">
        <v>0</v>
      </c>
    </row>
    <row r="63">
      <c r="A63" t="inlineStr">
        <is>
          <t>Entry and marriage fines</t>
        </is>
      </c>
      <c r="B63" t="inlineStr">
        <is>
          <t>4 shilling from the tithing for tithingpenny at the hundred-court of Hockday.</t>
        </is>
      </c>
      <c r="C63" t="n">
        <v>0.2</v>
      </c>
      <c r="D63" t="n">
        <v>0</v>
      </c>
      <c r="E63" t="n">
        <v>4</v>
      </c>
      <c r="F63" t="n">
        <v>0</v>
      </c>
      <c r="H63" t="n">
        <v>0</v>
      </c>
      <c r="I63" t="n">
        <v>0</v>
      </c>
      <c r="J63" t="n">
        <v>0</v>
      </c>
      <c r="K63" t="n">
        <v>0</v>
      </c>
      <c r="L63" t="n">
        <v>0</v>
      </c>
      <c r="M63" t="n">
        <v>0</v>
      </c>
      <c r="N63" t="n">
        <v>0</v>
      </c>
    </row>
    <row r="64">
      <c r="A64" t="inlineStr">
        <is>
          <t>Entry and marriage fines</t>
        </is>
      </c>
      <c r="B64" t="inlineStr">
        <is>
          <t>£1 from Alice, relict of William Cocus de Pydeham, to retain 1 messuage and 1 virgate of land which belonged to her husbanpence Total, £1 8 shilling</t>
        </is>
      </c>
      <c r="C64" t="n">
        <v>1</v>
      </c>
      <c r="D64" t="n">
        <v>1</v>
      </c>
      <c r="E64" t="n">
        <v>0</v>
      </c>
      <c r="F64" t="n">
        <v>0</v>
      </c>
      <c r="H64" t="n">
        <v>0</v>
      </c>
      <c r="I64" t="n">
        <v>0</v>
      </c>
      <c r="J64" t="n">
        <v>0</v>
      </c>
      <c r="K64" t="n">
        <v>0</v>
      </c>
      <c r="L64" t="n">
        <v>0</v>
      </c>
      <c r="M64" t="n">
        <v>0</v>
      </c>
      <c r="N64" t="n">
        <v>0</v>
      </c>
    </row>
    <row r="65">
      <c r="A65" t="inlineStr">
        <is>
          <t>Perquisites</t>
        </is>
      </c>
      <c r="B65" t="inlineStr">
        <is>
          <t>The same render account for £1 3 shilling 6pence from small perquisites from various men this year for various transgressions.</t>
        </is>
      </c>
      <c r="C65" t="n">
        <v>1.17</v>
      </c>
      <c r="D65" t="n">
        <v>1</v>
      </c>
      <c r="E65" t="n">
        <v>3</v>
      </c>
      <c r="F65" t="n">
        <v>6</v>
      </c>
      <c r="H65" t="n">
        <v>0</v>
      </c>
      <c r="I65" t="n">
        <v>0</v>
      </c>
      <c r="J65" t="n">
        <v>0</v>
      </c>
      <c r="K65" t="n">
        <v>0</v>
      </c>
      <c r="L65" t="n">
        <v>0</v>
      </c>
      <c r="M65" t="n">
        <v>0</v>
      </c>
      <c r="N65" t="n">
        <v>0</v>
      </c>
    </row>
    <row r="66">
      <c r="A66" t="inlineStr">
        <is>
          <t>Perquisites</t>
        </is>
      </c>
      <c r="B66" t="inlineStr">
        <is>
          <t>Total, £1 3 shilling 6pence</t>
        </is>
      </c>
      <c r="C66" t="n">
        <v>1.17</v>
      </c>
      <c r="D66" t="n">
        <v>1</v>
      </c>
      <c r="E66" t="n">
        <v>3</v>
      </c>
      <c r="F66" t="n">
        <v>6</v>
      </c>
      <c r="H66" t="n">
        <v>0</v>
      </c>
      <c r="I66" t="n">
        <v>0</v>
      </c>
      <c r="J66" t="n">
        <v>0</v>
      </c>
      <c r="K66" t="n">
        <v>0</v>
      </c>
      <c r="L66" t="n">
        <v>0</v>
      </c>
      <c r="M66" t="n">
        <v>0</v>
      </c>
      <c r="N66" t="n">
        <v>0</v>
      </c>
    </row>
    <row r="67">
      <c r="A67" t="inlineStr">
        <is>
          <t>Perquisites</t>
        </is>
      </c>
      <c r="B67" t="inlineStr">
        <is>
          <t>Total of both, £2 11 shilling 6pence</t>
        </is>
      </c>
      <c r="C67" t="n">
        <v>2.57</v>
      </c>
      <c r="D67" t="n">
        <v>2</v>
      </c>
      <c r="E67" t="n">
        <v>11</v>
      </c>
      <c r="F67" t="n">
        <v>6</v>
      </c>
      <c r="H67" t="n">
        <v>0</v>
      </c>
      <c r="I67" t="n">
        <v>0</v>
      </c>
      <c r="J67" t="n">
        <v>0</v>
      </c>
      <c r="K67" t="n">
        <v>0</v>
      </c>
      <c r="L67" t="n">
        <v>0</v>
      </c>
      <c r="M67" t="n">
        <v>0</v>
      </c>
      <c r="N67" t="n">
        <v>0</v>
      </c>
    </row>
    <row r="68">
      <c r="A68" t="inlineStr">
        <is>
          <t xml:space="preserve">Total of all receipts </t>
        </is>
      </c>
      <c r="B68" t="inlineStr">
        <is>
          <t>Total of all receipts, £104 17 shilling 8.25pence</t>
        </is>
      </c>
      <c r="C68" t="n">
        <v>104.88</v>
      </c>
      <c r="D68" t="n">
        <v>104</v>
      </c>
      <c r="E68" t="n">
        <v>17</v>
      </c>
      <c r="F68" t="n">
        <v>8.25</v>
      </c>
      <c r="H68" t="n">
        <v>0</v>
      </c>
      <c r="I68" t="n">
        <v>0</v>
      </c>
      <c r="J68" t="n">
        <v>0</v>
      </c>
      <c r="K68" t="n">
        <v>0</v>
      </c>
      <c r="L68" t="n">
        <v>0</v>
      </c>
      <c r="M68" t="n">
        <v>0</v>
      </c>
      <c r="N68" t="n">
        <v>0</v>
      </c>
    </row>
    <row r="69">
      <c r="A69" t="inlineStr">
        <is>
          <t>Cost of ploughs</t>
        </is>
      </c>
      <c r="B69" t="inlineStr">
        <is>
          <t>In ironwork of 1 horse-plough for the year 1 shilling 8pence.</t>
        </is>
      </c>
      <c r="C69" t="n">
        <v>0.08</v>
      </c>
      <c r="D69" t="n">
        <v>0</v>
      </c>
      <c r="E69" t="n">
        <v>1</v>
      </c>
      <c r="F69" t="n">
        <v>8</v>
      </c>
      <c r="H69" t="n">
        <v>0</v>
      </c>
      <c r="I69" t="n">
        <v>0</v>
      </c>
      <c r="J69" t="n">
        <v>0</v>
      </c>
      <c r="K69" t="n">
        <v>0</v>
      </c>
      <c r="L69" t="n">
        <v>0</v>
      </c>
      <c r="M69" t="n">
        <v>0</v>
      </c>
      <c r="N69" t="n">
        <v>0</v>
      </c>
    </row>
    <row r="70">
      <c r="A70" t="inlineStr">
        <is>
          <t>Cost of ploughs</t>
        </is>
      </c>
      <c r="B70" t="inlineStr">
        <is>
          <t>stipend of the smith forging the ironwork 1 shilling.</t>
        </is>
      </c>
      <c r="C70" t="n">
        <v>0.05</v>
      </c>
      <c r="D70" t="n">
        <v>0</v>
      </c>
      <c r="E70" t="n">
        <v>1</v>
      </c>
      <c r="F70" t="n">
        <v>0</v>
      </c>
      <c r="H70" t="n">
        <v>0</v>
      </c>
      <c r="I70" t="n">
        <v>0</v>
      </c>
      <c r="J70" t="n">
        <v>0</v>
      </c>
      <c r="K70" t="n">
        <v>0</v>
      </c>
      <c r="L70" t="n">
        <v>0</v>
      </c>
      <c r="M70" t="n">
        <v>0</v>
      </c>
      <c r="N70" t="n">
        <v>0</v>
      </c>
    </row>
    <row r="71">
      <c r="A71" t="inlineStr">
        <is>
          <t>Cost of ploughs</t>
        </is>
      </c>
      <c r="B71" t="inlineStr">
        <is>
          <t>1 ploughshare bought 8.5pence.</t>
        </is>
      </c>
      <c r="C71" t="n">
        <v>0.04</v>
      </c>
      <c r="D71" t="n">
        <v>0</v>
      </c>
      <c r="E71" t="n">
        <v>0</v>
      </c>
      <c r="F71" t="n">
        <v>8.5</v>
      </c>
      <c r="H71" t="n">
        <v>0</v>
      </c>
      <c r="I71" t="n">
        <v>0</v>
      </c>
      <c r="J71" t="n">
        <v>0</v>
      </c>
      <c r="K71" t="n">
        <v>0</v>
      </c>
      <c r="L71" t="n">
        <v>0</v>
      </c>
      <c r="M71" t="n">
        <v>0</v>
      </c>
      <c r="N71" t="n">
        <v>0</v>
      </c>
    </row>
    <row r="72">
      <c r="A72" t="inlineStr">
        <is>
          <t>Cost of ploughs</t>
        </is>
      </c>
      <c r="B72" t="inlineStr">
        <is>
          <t>1 plough foot bought 3.5pence.</t>
        </is>
      </c>
      <c r="C72" t="n">
        <v>0.01</v>
      </c>
      <c r="D72" t="n">
        <v>0</v>
      </c>
      <c r="E72" t="n">
        <v>0</v>
      </c>
      <c r="F72" t="n">
        <v>3.5</v>
      </c>
      <c r="H72" t="n">
        <v>0</v>
      </c>
      <c r="I72" t="n">
        <v>0</v>
      </c>
      <c r="J72" t="n">
        <v>0</v>
      </c>
      <c r="K72" t="n">
        <v>0</v>
      </c>
      <c r="L72" t="n">
        <v>0</v>
      </c>
      <c r="M72" t="n">
        <v>0</v>
      </c>
      <c r="N72" t="n">
        <v>0</v>
      </c>
    </row>
    <row r="73">
      <c r="A73" t="inlineStr">
        <is>
          <t>Cost of ploughs</t>
        </is>
      </c>
      <c r="B73" t="inlineStr">
        <is>
          <t>making and mending ploughs and harrows 8pence.</t>
        </is>
      </c>
      <c r="C73" t="n">
        <v>0.03</v>
      </c>
      <c r="D73" t="n">
        <v>0</v>
      </c>
      <c r="E73" t="n">
        <v>0</v>
      </c>
      <c r="F73" t="n">
        <v>8</v>
      </c>
      <c r="H73" t="n">
        <v>0</v>
      </c>
      <c r="I73" t="n">
        <v>0</v>
      </c>
      <c r="J73" t="n">
        <v>0</v>
      </c>
      <c r="K73" t="n">
        <v>0</v>
      </c>
      <c r="L73" t="n">
        <v>0</v>
      </c>
      <c r="M73" t="n">
        <v>0</v>
      </c>
      <c r="N73" t="n">
        <v>0</v>
      </c>
    </row>
    <row r="74">
      <c r="A74" t="inlineStr">
        <is>
          <t>Cost of ploughs</t>
        </is>
      </c>
      <c r="B74" t="inlineStr">
        <is>
          <t>1 pair of wheels bought for the same 4pence.</t>
        </is>
      </c>
      <c r="C74" t="n">
        <v>0.02</v>
      </c>
      <c r="D74" t="n">
        <v>0</v>
      </c>
      <c r="E74" t="n">
        <v>0</v>
      </c>
      <c r="F74" t="n">
        <v>4</v>
      </c>
      <c r="H74" t="n">
        <v>0</v>
      </c>
      <c r="I74" t="n">
        <v>0</v>
      </c>
      <c r="J74" t="n">
        <v>0</v>
      </c>
      <c r="K74" t="n">
        <v>0</v>
      </c>
      <c r="L74" t="n">
        <v>0</v>
      </c>
      <c r="M74" t="n">
        <v>0</v>
      </c>
      <c r="N74" t="n">
        <v>0</v>
      </c>
    </row>
    <row r="75">
      <c r="A75" t="inlineStr">
        <is>
          <t>Cost of ploughs</t>
        </is>
      </c>
      <c r="B75" t="inlineStr">
        <is>
          <t>1 coulter made anew with iron bought for the same 10pence.</t>
        </is>
      </c>
      <c r="C75" t="n">
        <v>0.04</v>
      </c>
      <c r="D75" t="n">
        <v>0</v>
      </c>
      <c r="E75" t="n">
        <v>0</v>
      </c>
      <c r="F75" t="n">
        <v>10</v>
      </c>
      <c r="H75" t="n">
        <v>0</v>
      </c>
      <c r="I75" t="n">
        <v>0</v>
      </c>
      <c r="J75" t="n">
        <v>0</v>
      </c>
      <c r="K75" t="n">
        <v>0</v>
      </c>
      <c r="L75" t="n">
        <v>0</v>
      </c>
      <c r="M75" t="n">
        <v>0</v>
      </c>
      <c r="N75" t="n">
        <v>0</v>
      </c>
    </row>
    <row r="76">
      <c r="A76" t="inlineStr">
        <is>
          <t>Cost of ploughs</t>
        </is>
      </c>
      <c r="B76" t="inlineStr">
        <is>
          <t>6 halters made from the horses' own hair 1.5pence.</t>
        </is>
      </c>
      <c r="C76" t="n">
        <v>0.01</v>
      </c>
      <c r="D76" t="n">
        <v>0</v>
      </c>
      <c r="E76" t="n">
        <v>0</v>
      </c>
      <c r="F76" t="n">
        <v>1.5</v>
      </c>
      <c r="H76" t="n">
        <v>0</v>
      </c>
      <c r="I76" t="n">
        <v>0</v>
      </c>
      <c r="J76" t="n">
        <v>0</v>
      </c>
      <c r="K76" t="n">
        <v>0</v>
      </c>
      <c r="L76" t="n">
        <v>0</v>
      </c>
      <c r="M76" t="n">
        <v>0</v>
      </c>
      <c r="N76" t="n">
        <v>0</v>
      </c>
    </row>
    <row r="77">
      <c r="A77" t="inlineStr">
        <is>
          <t>Cost of ploughs</t>
        </is>
      </c>
      <c r="B77" t="inlineStr">
        <is>
          <t>stipend of 1 harrower at both sowings 8pence.</t>
        </is>
      </c>
      <c r="C77" t="n">
        <v>0.03</v>
      </c>
      <c r="D77" t="n">
        <v>0</v>
      </c>
      <c r="E77" t="n">
        <v>0</v>
      </c>
      <c r="F77" t="n">
        <v>8</v>
      </c>
      <c r="H77" t="n">
        <v>0</v>
      </c>
      <c r="I77" t="n">
        <v>0</v>
      </c>
      <c r="J77" t="n">
        <v>0</v>
      </c>
      <c r="K77" t="n">
        <v>0</v>
      </c>
      <c r="L77" t="n">
        <v>0</v>
      </c>
      <c r="M77" t="n">
        <v>0</v>
      </c>
      <c r="N77" t="n">
        <v>0</v>
      </c>
    </row>
    <row r="78">
      <c r="A78" t="inlineStr">
        <is>
          <t>Cost of ploughs</t>
        </is>
      </c>
      <c r="B78" t="inlineStr">
        <is>
          <t>shoeing 6 plough-horses for the year 9pence.</t>
        </is>
      </c>
      <c r="C78" t="n">
        <v>0.04</v>
      </c>
      <c r="D78" t="n">
        <v>0</v>
      </c>
      <c r="E78" t="n">
        <v>0</v>
      </c>
      <c r="F78" t="n">
        <v>9</v>
      </c>
      <c r="H78" t="n">
        <v>0</v>
      </c>
      <c r="I78" t="n">
        <v>0</v>
      </c>
      <c r="J78" t="n">
        <v>0</v>
      </c>
      <c r="K78" t="n">
        <v>0</v>
      </c>
      <c r="L78" t="n">
        <v>0</v>
      </c>
      <c r="M78" t="n">
        <v>0</v>
      </c>
      <c r="N78" t="n">
        <v>0</v>
      </c>
    </row>
    <row r="79">
      <c r="A79" t="inlineStr">
        <is>
          <t>Cost of ploughs</t>
        </is>
      </c>
      <c r="B79" t="inlineStr">
        <is>
          <t>fastening the same 1pence Delivered to 1 ploughman for 0.5 ewe at Martinmas according to custom 1.5pence.</t>
        </is>
      </c>
      <c r="C79" t="n">
        <v>0</v>
      </c>
      <c r="D79" t="n">
        <v>0</v>
      </c>
      <c r="E79" t="n">
        <v>0</v>
      </c>
      <c r="F79" t="n">
        <v>1</v>
      </c>
      <c r="H79" t="n">
        <v>0</v>
      </c>
      <c r="I79" t="n">
        <v>0</v>
      </c>
      <c r="J79" t="n">
        <v>0</v>
      </c>
      <c r="K79" t="n">
        <v>0</v>
      </c>
      <c r="L79" t="n">
        <v>0</v>
      </c>
      <c r="M79" t="n">
        <v>0</v>
      </c>
      <c r="N79" t="n">
        <v>0</v>
      </c>
    </row>
    <row r="80">
      <c r="A80" t="inlineStr">
        <is>
          <t>Cost of ploughs</t>
        </is>
      </c>
      <c r="B80" t="inlineStr">
        <is>
          <t>stipend of 1 stot-keeper for the year 3 shilling.</t>
        </is>
      </c>
      <c r="C80" t="n">
        <v>0.15</v>
      </c>
      <c r="D80" t="n">
        <v>0</v>
      </c>
      <c r="E80" t="n">
        <v>3</v>
      </c>
      <c r="F80" t="n">
        <v>0</v>
      </c>
      <c r="H80" t="n">
        <v>0</v>
      </c>
      <c r="I80" t="n">
        <v>0</v>
      </c>
      <c r="J80" t="n">
        <v>0</v>
      </c>
      <c r="K80" t="n">
        <v>0</v>
      </c>
      <c r="L80" t="n">
        <v>0</v>
      </c>
      <c r="M80" t="n">
        <v>0</v>
      </c>
      <c r="N80" t="n">
        <v>0</v>
      </c>
    </row>
    <row r="81">
      <c r="A81" t="inlineStr">
        <is>
          <t>Cost of ploughs</t>
        </is>
      </c>
      <c r="B81" t="inlineStr">
        <is>
          <t>1 plough-horse bought 12 shilling 6pence Total, £1 2 shilling 9pence</t>
        </is>
      </c>
      <c r="C81" t="n">
        <v>1.14</v>
      </c>
      <c r="D81" t="n">
        <v>1</v>
      </c>
      <c r="E81" t="n">
        <v>2</v>
      </c>
      <c r="F81" t="n">
        <v>9</v>
      </c>
      <c r="H81" t="n">
        <v>0</v>
      </c>
      <c r="I81" t="n">
        <v>0</v>
      </c>
      <c r="J81" t="n">
        <v>0</v>
      </c>
      <c r="K81" t="n">
        <v>0</v>
      </c>
      <c r="L81" t="n">
        <v>0</v>
      </c>
      <c r="M81" t="n">
        <v>0</v>
      </c>
      <c r="N81" t="n">
        <v>0</v>
      </c>
    </row>
    <row r="82">
      <c r="A82" t="inlineStr">
        <is>
          <t>Cost of carts</t>
        </is>
      </c>
      <c r="B82" t="inlineStr">
        <is>
          <t>In 1 pair of wheels made from the lord's timber 10pence.</t>
        </is>
      </c>
      <c r="C82" t="n">
        <v>0.04</v>
      </c>
      <c r="D82" t="n">
        <v>0</v>
      </c>
      <c r="E82" t="n">
        <v>0</v>
      </c>
      <c r="F82" t="n">
        <v>10</v>
      </c>
      <c r="H82" t="n">
        <v>0</v>
      </c>
      <c r="I82" t="n">
        <v>0</v>
      </c>
      <c r="J82" t="n">
        <v>0</v>
      </c>
      <c r="K82" t="n">
        <v>0</v>
      </c>
      <c r="L82" t="n">
        <v>0</v>
      </c>
      <c r="M82" t="n">
        <v>0</v>
      </c>
      <c r="N82" t="n">
        <v>0</v>
      </c>
    </row>
    <row r="83">
      <c r="A83" t="inlineStr">
        <is>
          <t>Cost of carts</t>
        </is>
      </c>
      <c r="B83" t="inlineStr">
        <is>
          <t>1 new binding, with clamps and large and small nails bought for the same, and with the stipend of the smith putting the said binding on the said wheels, 12 shilling 6pence.</t>
        </is>
      </c>
      <c r="C83" t="n">
        <v>0.62</v>
      </c>
      <c r="D83" t="n">
        <v>0</v>
      </c>
      <c r="E83" t="n">
        <v>12</v>
      </c>
      <c r="F83" t="n">
        <v>6</v>
      </c>
      <c r="H83" t="n">
        <v>0</v>
      </c>
      <c r="I83" t="n">
        <v>0</v>
      </c>
      <c r="J83" t="n">
        <v>0</v>
      </c>
      <c r="K83" t="n">
        <v>0</v>
      </c>
      <c r="L83" t="n">
        <v>0</v>
      </c>
      <c r="M83" t="n">
        <v>0</v>
      </c>
      <c r="N83" t="n">
        <v>0</v>
      </c>
    </row>
    <row r="84">
      <c r="A84" t="inlineStr">
        <is>
          <t>Cost of carts</t>
        </is>
      </c>
      <c r="B84" t="inlineStr">
        <is>
          <t>hooping the hubs of the cart with iron 2pence.</t>
        </is>
      </c>
      <c r="C84" t="n">
        <v>0.01</v>
      </c>
      <c r="D84" t="n">
        <v>0</v>
      </c>
      <c r="E84" t="n">
        <v>0</v>
      </c>
      <c r="F84" t="n">
        <v>2</v>
      </c>
      <c r="H84" t="n">
        <v>0</v>
      </c>
      <c r="I84" t="n">
        <v>0</v>
      </c>
      <c r="J84" t="n">
        <v>0</v>
      </c>
      <c r="K84" t="n">
        <v>0</v>
      </c>
      <c r="L84" t="n">
        <v>0</v>
      </c>
      <c r="M84" t="n">
        <v>0</v>
      </c>
      <c r="N84" t="n">
        <v>0</v>
      </c>
    </row>
    <row r="85">
      <c r="A85" t="inlineStr">
        <is>
          <t>Cost of carts</t>
        </is>
      </c>
      <c r="B85" t="inlineStr">
        <is>
          <t>fitting the cart with axles at various times 2pence.</t>
        </is>
      </c>
      <c r="C85" t="n">
        <v>0.01</v>
      </c>
      <c r="D85" t="n">
        <v>0</v>
      </c>
      <c r="E85" t="n">
        <v>0</v>
      </c>
      <c r="F85" t="n">
        <v>2</v>
      </c>
      <c r="H85" t="n">
        <v>0</v>
      </c>
      <c r="I85" t="n">
        <v>0</v>
      </c>
      <c r="J85" t="n">
        <v>0</v>
      </c>
      <c r="K85" t="n">
        <v>0</v>
      </c>
      <c r="L85" t="n">
        <v>0</v>
      </c>
      <c r="M85" t="n">
        <v>0</v>
      </c>
      <c r="N85" t="n">
        <v>0</v>
      </c>
    </row>
    <row r="86">
      <c r="A86" t="inlineStr">
        <is>
          <t>Cost of carts</t>
        </is>
      </c>
      <c r="B86" t="inlineStr">
        <is>
          <t>white leather bought for mending harnesses 1 shilling.</t>
        </is>
      </c>
      <c r="C86" t="n">
        <v>0.05</v>
      </c>
      <c r="D86" t="n">
        <v>0</v>
      </c>
      <c r="E86" t="n">
        <v>1</v>
      </c>
      <c r="F86" t="n">
        <v>0</v>
      </c>
      <c r="H86" t="n">
        <v>0</v>
      </c>
      <c r="I86" t="n">
        <v>0</v>
      </c>
      <c r="J86" t="n">
        <v>0</v>
      </c>
      <c r="K86" t="n">
        <v>0</v>
      </c>
      <c r="L86" t="n">
        <v>0</v>
      </c>
      <c r="M86" t="n">
        <v>0</v>
      </c>
      <c r="N86" t="n">
        <v>0</v>
      </c>
    </row>
    <row r="87">
      <c r="A87" t="inlineStr">
        <is>
          <t>Cost of carts</t>
        </is>
      </c>
      <c r="B87" t="inlineStr">
        <is>
          <t>grease bought 6pence.</t>
        </is>
      </c>
      <c r="C87" t="n">
        <v>0.03</v>
      </c>
      <c r="D87" t="n">
        <v>0</v>
      </c>
      <c r="E87" t="n">
        <v>0</v>
      </c>
      <c r="F87" t="n">
        <v>6</v>
      </c>
      <c r="H87" t="n">
        <v>0</v>
      </c>
      <c r="I87" t="n">
        <v>0</v>
      </c>
      <c r="J87" t="n">
        <v>0</v>
      </c>
      <c r="K87" t="n">
        <v>0</v>
      </c>
      <c r="L87" t="n">
        <v>0</v>
      </c>
      <c r="M87" t="n">
        <v>0</v>
      </c>
      <c r="N87" t="n">
        <v>0</v>
      </c>
    </row>
    <row r="88">
      <c r="A88" t="inlineStr">
        <is>
          <t>Cost of carts</t>
        </is>
      </c>
      <c r="B88" t="inlineStr">
        <is>
          <t>shoeing 2 cart-horses for the year 2 shilling.</t>
        </is>
      </c>
      <c r="C88" t="n">
        <v>0.1</v>
      </c>
      <c r="D88" t="n">
        <v>0</v>
      </c>
      <c r="E88" t="n">
        <v>2</v>
      </c>
      <c r="F88" t="n">
        <v>0</v>
      </c>
      <c r="H88" t="n">
        <v>0</v>
      </c>
      <c r="I88" t="n">
        <v>0</v>
      </c>
      <c r="J88" t="n">
        <v>0</v>
      </c>
      <c r="K88" t="n">
        <v>0</v>
      </c>
      <c r="L88" t="n">
        <v>0</v>
      </c>
      <c r="M88" t="n">
        <v>0</v>
      </c>
      <c r="N88" t="n">
        <v>0</v>
      </c>
    </row>
    <row r="89">
      <c r="A89" t="inlineStr">
        <is>
          <t>Cost of carts</t>
        </is>
      </c>
      <c r="B89" t="inlineStr">
        <is>
          <t>stipend of 1 carter for the year 3 shilling 4pence.</t>
        </is>
      </c>
      <c r="C89" t="n">
        <v>0.17</v>
      </c>
      <c r="D89" t="n">
        <v>0</v>
      </c>
      <c r="E89" t="n">
        <v>3</v>
      </c>
      <c r="F89" t="n">
        <v>4</v>
      </c>
      <c r="H89" t="n">
        <v>0</v>
      </c>
      <c r="I89" t="n">
        <v>0</v>
      </c>
      <c r="J89" t="n">
        <v>0</v>
      </c>
      <c r="K89" t="n">
        <v>0</v>
      </c>
      <c r="L89" t="n">
        <v>0</v>
      </c>
      <c r="M89" t="n">
        <v>0</v>
      </c>
      <c r="N89" t="n">
        <v>0</v>
      </c>
    </row>
    <row r="90">
      <c r="A90" t="inlineStr">
        <is>
          <t>Cost of carts</t>
        </is>
      </c>
      <c r="B90" t="inlineStr">
        <is>
          <t>1 cart-horse bought 16 shilling 7pence Total, £1 17 shilling 1pence</t>
        </is>
      </c>
      <c r="C90" t="n">
        <v>1.85</v>
      </c>
      <c r="D90" t="n">
        <v>1</v>
      </c>
      <c r="E90" t="n">
        <v>17</v>
      </c>
      <c r="F90" t="n">
        <v>1</v>
      </c>
      <c r="H90" t="n">
        <v>0</v>
      </c>
      <c r="I90" t="n">
        <v>0</v>
      </c>
      <c r="J90" t="n">
        <v>0</v>
      </c>
      <c r="K90" t="n">
        <v>0</v>
      </c>
      <c r="L90" t="n">
        <v>0</v>
      </c>
      <c r="M90" t="n">
        <v>0</v>
      </c>
      <c r="N90" t="n">
        <v>0</v>
      </c>
    </row>
    <row r="91">
      <c r="A91" t="inlineStr">
        <is>
          <t>Sheepfold and sheepcote</t>
        </is>
      </c>
      <c r="B91" t="inlineStr">
        <is>
          <t>In 9 hurdles made for the fold 3pence.</t>
        </is>
      </c>
      <c r="C91" t="n">
        <v>0.01</v>
      </c>
      <c r="D91" t="n">
        <v>0</v>
      </c>
      <c r="E91" t="n">
        <v>0</v>
      </c>
      <c r="F91" t="n">
        <v>3</v>
      </c>
      <c r="H91" t="n">
        <v>0</v>
      </c>
      <c r="I91" t="n">
        <v>0</v>
      </c>
      <c r="J91" t="n">
        <v>0</v>
      </c>
      <c r="K91" t="n">
        <v>0</v>
      </c>
      <c r="L91" t="n">
        <v>0</v>
      </c>
      <c r="M91" t="n">
        <v>0</v>
      </c>
      <c r="N91" t="n">
        <v>0</v>
      </c>
    </row>
    <row r="92">
      <c r="A92" t="inlineStr">
        <is>
          <t>Sheepfold and sheepcote</t>
        </is>
      </c>
      <c r="B92" t="inlineStr">
        <is>
          <t>wattling 22 hurdles 7pence, at 1pence per 3 hurdles.</t>
        </is>
      </c>
      <c r="C92" t="n">
        <v>0.03</v>
      </c>
      <c r="D92" t="n">
        <v>0</v>
      </c>
      <c r="E92" t="n">
        <v>0</v>
      </c>
      <c r="F92" t="n">
        <v>7</v>
      </c>
      <c r="H92" t="n">
        <v>0</v>
      </c>
      <c r="I92" t="n">
        <v>0</v>
      </c>
      <c r="J92" t="n">
        <v>0</v>
      </c>
      <c r="K92" t="n">
        <v>0</v>
      </c>
      <c r="L92" t="n">
        <v>0</v>
      </c>
      <c r="M92" t="n">
        <v>0</v>
      </c>
      <c r="N92" t="n">
        <v>0</v>
      </c>
    </row>
    <row r="93">
      <c r="A93" t="inlineStr">
        <is>
          <t>Sheepfold and sheepcote</t>
        </is>
      </c>
      <c r="B93" t="inlineStr">
        <is>
          <t>.</t>
        </is>
      </c>
      <c r="C93" t="n">
        <v>0</v>
      </c>
      <c r="D93" t="n">
        <v>0</v>
      </c>
      <c r="E93" t="n">
        <v>0</v>
      </c>
      <c r="F93" t="n">
        <v>0</v>
      </c>
      <c r="H93" t="n">
        <v>0</v>
      </c>
      <c r="I93" t="n">
        <v>0</v>
      </c>
      <c r="J93" t="n">
        <v>0</v>
      </c>
      <c r="K93" t="n">
        <v>0</v>
      </c>
      <c r="L93" t="n">
        <v>0</v>
      </c>
      <c r="M93" t="n">
        <v>0</v>
      </c>
      <c r="N93" t="n">
        <v>0</v>
      </c>
    </row>
    <row r="94">
      <c r="A94" t="inlineStr">
        <is>
          <t>Sheepfold and sheepcote</t>
        </is>
      </c>
      <c r="B94" t="inlineStr">
        <is>
          <t>grease bought for greasing sheep 3 shilling 2pence.</t>
        </is>
      </c>
      <c r="C94" t="n">
        <v>0.16</v>
      </c>
      <c r="D94" t="n">
        <v>0</v>
      </c>
      <c r="E94" t="n">
        <v>3</v>
      </c>
      <c r="F94" t="n">
        <v>2</v>
      </c>
      <c r="H94" t="n">
        <v>0</v>
      </c>
      <c r="I94" t="n">
        <v>0</v>
      </c>
      <c r="J94" t="n">
        <v>0</v>
      </c>
      <c r="K94" t="n">
        <v>0</v>
      </c>
      <c r="L94" t="n">
        <v>0</v>
      </c>
      <c r="M94" t="n">
        <v>0</v>
      </c>
      <c r="N94" t="n">
        <v>0</v>
      </c>
    </row>
    <row r="95">
      <c r="A95" t="inlineStr">
        <is>
          <t>Sheepfold and sheepcote</t>
        </is>
      </c>
      <c r="B95" t="inlineStr">
        <is>
          <t>13 ells of canvas bought for putting wool in 3 shilling 3pence, at 3pence an ell.</t>
        </is>
      </c>
      <c r="C95" t="n">
        <v>0.16</v>
      </c>
      <c r="D95" t="n">
        <v>0</v>
      </c>
      <c r="E95" t="n">
        <v>3</v>
      </c>
      <c r="F95" t="n">
        <v>3</v>
      </c>
      <c r="H95" t="n">
        <v>0</v>
      </c>
      <c r="I95" t="n">
        <v>0</v>
      </c>
      <c r="J95" t="n">
        <v>0</v>
      </c>
      <c r="K95" t="n">
        <v>0</v>
      </c>
      <c r="L95" t="n">
        <v>0</v>
      </c>
      <c r="M95" t="n">
        <v>0</v>
      </c>
      <c r="N95" t="n">
        <v>0</v>
      </c>
    </row>
    <row r="96">
      <c r="A96" t="inlineStr">
        <is>
          <t>Sheepfold and sheepcote</t>
        </is>
      </c>
      <c r="B96" t="inlineStr">
        <is>
          <t>.</t>
        </is>
      </c>
      <c r="C96" t="n">
        <v>0</v>
      </c>
      <c r="D96" t="n">
        <v>0</v>
      </c>
      <c r="E96" t="n">
        <v>0</v>
      </c>
      <c r="F96" t="n">
        <v>0</v>
      </c>
      <c r="H96" t="n">
        <v>0</v>
      </c>
      <c r="I96" t="n">
        <v>0</v>
      </c>
      <c r="J96" t="n">
        <v>0</v>
      </c>
      <c r="K96" t="n">
        <v>0</v>
      </c>
      <c r="L96" t="n">
        <v>0</v>
      </c>
      <c r="M96" t="n">
        <v>0</v>
      </c>
      <c r="N96" t="n">
        <v>0</v>
      </c>
    </row>
    <row r="97">
      <c r="A97" t="inlineStr">
        <is>
          <t>Sheepfold and sheepcote</t>
        </is>
      </c>
      <c r="B97" t="inlineStr">
        <is>
          <t>making sacks for the wool with thread bought for the same 6pence Total, 7 shilling 9pence</t>
        </is>
      </c>
      <c r="C97" t="n">
        <v>0.38</v>
      </c>
      <c r="D97" t="n">
        <v>0</v>
      </c>
      <c r="E97" t="n">
        <v>7</v>
      </c>
      <c r="F97" t="n">
        <v>6</v>
      </c>
      <c r="H97" t="n">
        <v>0</v>
      </c>
      <c r="I97" t="n">
        <v>0</v>
      </c>
      <c r="J97" t="n">
        <v>0</v>
      </c>
      <c r="K97" t="n">
        <v>0</v>
      </c>
      <c r="L97" t="n">
        <v>0</v>
      </c>
      <c r="M97" t="n">
        <v>0</v>
      </c>
      <c r="N97" t="n">
        <v>0</v>
      </c>
    </row>
    <row r="98">
      <c r="A98" t="inlineStr">
        <is>
          <t>Cost of buildings</t>
        </is>
      </c>
      <c r="B98" t="inlineStr">
        <is>
          <t>In re-roofing the bailiff's stable and the cart-horses' stable in places 2 shilling.</t>
        </is>
      </c>
      <c r="C98" t="n">
        <v>0.1</v>
      </c>
      <c r="D98" t="n">
        <v>0</v>
      </c>
      <c r="E98" t="n">
        <v>2</v>
      </c>
      <c r="F98" t="n">
        <v>0</v>
      </c>
      <c r="H98" t="n">
        <v>0</v>
      </c>
      <c r="I98" t="n">
        <v>0</v>
      </c>
      <c r="J98" t="n">
        <v>0</v>
      </c>
      <c r="K98" t="n">
        <v>0</v>
      </c>
      <c r="L98" t="n">
        <v>0</v>
      </c>
      <c r="M98" t="n">
        <v>0</v>
      </c>
      <c r="N98" t="n">
        <v>0</v>
      </c>
    </row>
    <row r="99">
      <c r="A99" t="inlineStr">
        <is>
          <t>Cost of buildings</t>
        </is>
      </c>
      <c r="B99" t="inlineStr">
        <is>
          <t>repairing and restoring the mangers of the said stables 8pence.</t>
        </is>
      </c>
      <c r="C99" t="n">
        <v>0.03</v>
      </c>
      <c r="D99" t="n">
        <v>0</v>
      </c>
      <c r="E99" t="n">
        <v>0</v>
      </c>
      <c r="F99" t="n">
        <v>8</v>
      </c>
      <c r="H99" t="n">
        <v>0</v>
      </c>
      <c r="I99" t="n">
        <v>0</v>
      </c>
      <c r="J99" t="n">
        <v>0</v>
      </c>
      <c r="K99" t="n">
        <v>0</v>
      </c>
      <c r="L99" t="n">
        <v>0</v>
      </c>
      <c r="M99" t="n">
        <v>0</v>
      </c>
      <c r="N99" t="n">
        <v>0</v>
      </c>
    </row>
    <row r="100">
      <c r="A100" t="inlineStr">
        <is>
          <t>Cost of buildings</t>
        </is>
      </c>
      <c r="B100" t="inlineStr">
        <is>
          <t>re-roofing and mending in places the unroofed building of the press 2 shilling.</t>
        </is>
      </c>
      <c r="C100" t="n">
        <v>0.1</v>
      </c>
      <c r="D100" t="n">
        <v>0</v>
      </c>
      <c r="E100" t="n">
        <v>2</v>
      </c>
      <c r="F100" t="n">
        <v>0</v>
      </c>
      <c r="H100" t="n">
        <v>0</v>
      </c>
      <c r="I100" t="n">
        <v>0</v>
      </c>
      <c r="J100" t="n">
        <v>0</v>
      </c>
      <c r="K100" t="n">
        <v>0</v>
      </c>
      <c r="L100" t="n">
        <v>0</v>
      </c>
      <c r="M100" t="n">
        <v>0</v>
      </c>
      <c r="N100" t="n">
        <v>0</v>
      </c>
    </row>
    <row r="101">
      <c r="A101" t="inlineStr">
        <is>
          <t>Cost of buildings</t>
        </is>
      </c>
      <c r="B101" t="inlineStr">
        <is>
          <t>re-roofing and mending the granary in places 1 shilling.</t>
        </is>
      </c>
      <c r="C101" t="n">
        <v>0.05</v>
      </c>
      <c r="D101" t="n">
        <v>0</v>
      </c>
      <c r="E101" t="n">
        <v>1</v>
      </c>
      <c r="F101" t="n">
        <v>0</v>
      </c>
      <c r="H101" t="n">
        <v>0</v>
      </c>
      <c r="I101" t="n">
        <v>0</v>
      </c>
      <c r="J101" t="n">
        <v>0</v>
      </c>
      <c r="K101" t="n">
        <v>0</v>
      </c>
      <c r="L101" t="n">
        <v>0</v>
      </c>
      <c r="M101" t="n">
        <v>0</v>
      </c>
      <c r="N101" t="n">
        <v>0</v>
      </c>
    </row>
    <row r="102">
      <c r="A102" t="inlineStr">
        <is>
          <t>Cost of buildings</t>
        </is>
      </c>
      <c r="B102" t="inlineStr">
        <is>
          <t>100 large nails and other small nails bought for the same 6pence.</t>
        </is>
      </c>
      <c r="C102" t="n">
        <v>0.03</v>
      </c>
      <c r="D102" t="n">
        <v>0</v>
      </c>
      <c r="E102" t="n">
        <v>0</v>
      </c>
      <c r="F102" t="n">
        <v>6</v>
      </c>
      <c r="H102" t="n">
        <v>0</v>
      </c>
      <c r="I102" t="n">
        <v>0</v>
      </c>
      <c r="J102" t="n">
        <v>0</v>
      </c>
      <c r="K102" t="n">
        <v>0</v>
      </c>
      <c r="L102" t="n">
        <v>0</v>
      </c>
      <c r="M102" t="n">
        <v>0</v>
      </c>
      <c r="N102" t="n">
        <v>0</v>
      </c>
    </row>
    <row r="103">
      <c r="A103" t="inlineStr">
        <is>
          <t>Cost of buildings</t>
        </is>
      </c>
      <c r="B103" t="inlineStr">
        <is>
          <t>building anew 1 building for stabling the cart-horses and carts, £1 1 shilling 5pence for all costs.</t>
        </is>
      </c>
      <c r="C103" t="n">
        <v>1.07</v>
      </c>
      <c r="D103" t="n">
        <v>1</v>
      </c>
      <c r="E103" t="n">
        <v>1</v>
      </c>
      <c r="F103" t="n">
        <v>5</v>
      </c>
      <c r="H103" t="n">
        <v>0</v>
      </c>
      <c r="I103" t="n">
        <v>0</v>
      </c>
      <c r="J103" t="n">
        <v>0</v>
      </c>
      <c r="K103" t="n">
        <v>0</v>
      </c>
      <c r="L103" t="n">
        <v>0</v>
      </c>
      <c r="M103" t="n">
        <v>0</v>
      </c>
      <c r="N103" t="n">
        <v>0</v>
      </c>
    </row>
    <row r="104">
      <c r="A104" t="inlineStr">
        <is>
          <t>Cost of buildings</t>
        </is>
      </c>
      <c r="B104" t="inlineStr">
        <is>
          <t>.</t>
        </is>
      </c>
      <c r="C104" t="n">
        <v>0</v>
      </c>
      <c r="D104" t="n">
        <v>0</v>
      </c>
      <c r="E104" t="n">
        <v>0</v>
      </c>
      <c r="F104" t="n">
        <v>0</v>
      </c>
      <c r="H104" t="n">
        <v>0</v>
      </c>
      <c r="I104" t="n">
        <v>0</v>
      </c>
      <c r="J104" t="n">
        <v>0</v>
      </c>
      <c r="K104" t="n">
        <v>0</v>
      </c>
      <c r="L104" t="n">
        <v>0</v>
      </c>
      <c r="M104" t="n">
        <v>0</v>
      </c>
      <c r="N104" t="n">
        <v>0</v>
      </c>
    </row>
    <row r="105">
      <c r="A105" t="inlineStr">
        <is>
          <t>Cost of buildings</t>
        </is>
      </c>
      <c r="B105" t="inlineStr">
        <is>
          <t>making and mending the bench in the great hall 1 shilling.</t>
        </is>
      </c>
      <c r="C105" t="n">
        <v>0.05</v>
      </c>
      <c r="D105" t="n">
        <v>0</v>
      </c>
      <c r="E105" t="n">
        <v>1</v>
      </c>
      <c r="F105" t="n">
        <v>0</v>
      </c>
      <c r="H105" t="n">
        <v>0</v>
      </c>
      <c r="I105" t="n">
        <v>0</v>
      </c>
      <c r="J105" t="n">
        <v>0</v>
      </c>
      <c r="K105" t="n">
        <v>0</v>
      </c>
      <c r="L105" t="n">
        <v>0</v>
      </c>
      <c r="M105" t="n">
        <v>0</v>
      </c>
      <c r="N105" t="n">
        <v>0</v>
      </c>
    </row>
    <row r="106">
      <c r="A106" t="inlineStr">
        <is>
          <t>Cost of buildings</t>
        </is>
      </c>
      <c r="B106" t="inlineStr">
        <is>
          <t>mending the walls of the dairy and the door of the same building 5pence.</t>
        </is>
      </c>
      <c r="C106" t="n">
        <v>0.02</v>
      </c>
      <c r="D106" t="n">
        <v>0</v>
      </c>
      <c r="E106" t="n">
        <v>0</v>
      </c>
      <c r="F106" t="n">
        <v>5</v>
      </c>
      <c r="H106" t="n">
        <v>0</v>
      </c>
      <c r="I106" t="n">
        <v>0</v>
      </c>
      <c r="J106" t="n">
        <v>0</v>
      </c>
      <c r="K106" t="n">
        <v>0</v>
      </c>
      <c r="L106" t="n">
        <v>0</v>
      </c>
      <c r="M106" t="n">
        <v>0</v>
      </c>
      <c r="N106" t="n">
        <v>0</v>
      </c>
    </row>
    <row r="107">
      <c r="A107" t="inlineStr">
        <is>
          <t>Cost of buildings</t>
        </is>
      </c>
      <c r="B107" t="inlineStr">
        <is>
          <t>mending the barn-door and likewise the gate of the curia with nails bought for the same 10.5pence.</t>
        </is>
      </c>
      <c r="C107" t="n">
        <v>0.04</v>
      </c>
      <c r="D107" t="n">
        <v>0</v>
      </c>
      <c r="E107" t="n">
        <v>0</v>
      </c>
      <c r="F107" t="n">
        <v>10.5</v>
      </c>
      <c r="H107" t="n">
        <v>0</v>
      </c>
      <c r="I107" t="n">
        <v>0</v>
      </c>
      <c r="J107" t="n">
        <v>0</v>
      </c>
      <c r="K107" t="n">
        <v>0</v>
      </c>
      <c r="L107" t="n">
        <v>0</v>
      </c>
      <c r="M107" t="n">
        <v>0</v>
      </c>
      <c r="N107" t="n">
        <v>0</v>
      </c>
    </row>
    <row r="108">
      <c r="A108" t="inlineStr">
        <is>
          <t>Cost of buildings</t>
        </is>
      </c>
      <c r="B108" t="inlineStr">
        <is>
          <t>9 empty casks bought £1 1 shilling, at 2 shilling 4pence each.</t>
        </is>
      </c>
      <c r="C108" t="n">
        <v>1.05</v>
      </c>
      <c r="D108" t="n">
        <v>1</v>
      </c>
      <c r="E108" t="n">
        <v>1</v>
      </c>
      <c r="F108" t="n">
        <v>0</v>
      </c>
      <c r="H108" t="n">
        <v>0</v>
      </c>
      <c r="I108" t="n">
        <v>0</v>
      </c>
      <c r="J108" t="n">
        <v>0</v>
      </c>
      <c r="K108" t="n">
        <v>0</v>
      </c>
      <c r="L108" t="n">
        <v>0</v>
      </c>
      <c r="M108" t="n">
        <v>0</v>
      </c>
      <c r="N108" t="n">
        <v>0</v>
      </c>
    </row>
    <row r="109">
      <c r="A109" t="inlineStr">
        <is>
          <t>Cost of buildings</t>
        </is>
      </c>
      <c r="B109" t="inlineStr">
        <is>
          <t>.</t>
        </is>
      </c>
      <c r="C109" t="n">
        <v>0</v>
      </c>
      <c r="D109" t="n">
        <v>0</v>
      </c>
      <c r="E109" t="n">
        <v>0</v>
      </c>
      <c r="F109" t="n">
        <v>0</v>
      </c>
      <c r="H109" t="n">
        <v>0</v>
      </c>
      <c r="I109" t="n">
        <v>0</v>
      </c>
      <c r="J109" t="n">
        <v>0</v>
      </c>
      <c r="K109" t="n">
        <v>0</v>
      </c>
      <c r="L109" t="n">
        <v>0</v>
      </c>
      <c r="M109" t="n">
        <v>0</v>
      </c>
      <c r="N109" t="n">
        <v>0</v>
      </c>
    </row>
    <row r="110">
      <c r="A110" t="inlineStr">
        <is>
          <t>Cost of buildings</t>
        </is>
      </c>
      <c r="B110" t="inlineStr">
        <is>
          <t>hooping and mending these and others 1 shilling 6pence.</t>
        </is>
      </c>
      <c r="C110" t="n">
        <v>0.08</v>
      </c>
      <c r="D110" t="n">
        <v>0</v>
      </c>
      <c r="E110" t="n">
        <v>1</v>
      </c>
      <c r="F110" t="n">
        <v>6</v>
      </c>
      <c r="H110" t="n">
        <v>0</v>
      </c>
      <c r="I110" t="n">
        <v>0</v>
      </c>
      <c r="J110" t="n">
        <v>0</v>
      </c>
      <c r="K110" t="n">
        <v>0</v>
      </c>
      <c r="L110" t="n">
        <v>0</v>
      </c>
      <c r="M110" t="n">
        <v>0</v>
      </c>
      <c r="N110" t="n">
        <v>0</v>
      </c>
    </row>
    <row r="111">
      <c r="A111" t="inlineStr">
        <is>
          <t>Cost of buildings</t>
        </is>
      </c>
      <c r="B111" t="inlineStr">
        <is>
          <t>hooping and mending tubs and barrows 5pence.</t>
        </is>
      </c>
      <c r="C111" t="n">
        <v>0.02</v>
      </c>
      <c r="D111" t="n">
        <v>0</v>
      </c>
      <c r="E111" t="n">
        <v>0</v>
      </c>
      <c r="F111" t="n">
        <v>5</v>
      </c>
      <c r="H111" t="n">
        <v>0</v>
      </c>
      <c r="I111" t="n">
        <v>0</v>
      </c>
      <c r="J111" t="n">
        <v>0</v>
      </c>
      <c r="K111" t="n">
        <v>0</v>
      </c>
      <c r="L111" t="n">
        <v>0</v>
      </c>
      <c r="M111" t="n">
        <v>0</v>
      </c>
      <c r="N111" t="n">
        <v>0</v>
      </c>
    </row>
    <row r="112">
      <c r="A112" t="inlineStr">
        <is>
          <t>Cost of buildings</t>
        </is>
      </c>
      <c r="B112" t="inlineStr">
        <is>
          <t>making 12 casks of cider 4 shilling, at 4pence a cask.</t>
        </is>
      </c>
      <c r="C112" t="n">
        <v>0.22</v>
      </c>
      <c r="D112" t="n">
        <v>0</v>
      </c>
      <c r="E112" t="n">
        <v>4</v>
      </c>
      <c r="F112" t="n">
        <v>4</v>
      </c>
      <c r="H112" t="n">
        <v>0</v>
      </c>
      <c r="I112" t="n">
        <v>0</v>
      </c>
      <c r="J112" t="n">
        <v>0</v>
      </c>
      <c r="K112" t="n">
        <v>0</v>
      </c>
      <c r="L112" t="n">
        <v>0</v>
      </c>
      <c r="M112" t="n">
        <v>0</v>
      </c>
      <c r="N112" t="n">
        <v>0</v>
      </c>
    </row>
    <row r="113">
      <c r="A113" t="inlineStr">
        <is>
          <t>Cost of buildings</t>
        </is>
      </c>
      <c r="B113" t="inlineStr">
        <is>
          <t>.</t>
        </is>
      </c>
      <c r="C113" t="n">
        <v>0</v>
      </c>
      <c r="D113" t="n">
        <v>0</v>
      </c>
      <c r="E113" t="n">
        <v>0</v>
      </c>
      <c r="F113" t="n">
        <v>0</v>
      </c>
      <c r="H113" t="n">
        <v>0</v>
      </c>
      <c r="I113" t="n">
        <v>0</v>
      </c>
      <c r="J113" t="n">
        <v>0</v>
      </c>
      <c r="K113" t="n">
        <v>0</v>
      </c>
      <c r="L113" t="n">
        <v>0</v>
      </c>
      <c r="M113" t="n">
        <v>0</v>
      </c>
      <c r="N113" t="n">
        <v>0</v>
      </c>
    </row>
    <row r="114">
      <c r="A114" t="inlineStr">
        <is>
          <t>Cost of buildings</t>
        </is>
      </c>
      <c r="B114" t="inlineStr">
        <is>
          <t>tallow and soap bought for the press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1 sieve bought for straining cider 0.25pence Total, £2 17 shilling 2.25pence</t>
        </is>
      </c>
      <c r="C115" t="n">
        <v>2.86</v>
      </c>
      <c r="D115" t="n">
        <v>2</v>
      </c>
      <c r="E115" t="n">
        <v>17</v>
      </c>
      <c r="F115" t="n">
        <v>2.25</v>
      </c>
      <c r="H115" t="n">
        <v>0</v>
      </c>
      <c r="I115" t="n">
        <v>0</v>
      </c>
      <c r="J115" t="n">
        <v>0</v>
      </c>
      <c r="K115" t="n">
        <v>0</v>
      </c>
      <c r="L115" t="n">
        <v>0</v>
      </c>
      <c r="M115" t="n">
        <v>0</v>
      </c>
      <c r="N115" t="n">
        <v>0</v>
      </c>
    </row>
    <row r="116">
      <c r="A116" t="inlineStr">
        <is>
          <t>Threshing</t>
        </is>
      </c>
      <c r="B116" t="inlineStr">
        <is>
          <t>In threshing and winnowing 38 quarters 5 bushels of wheat from the demesne and 65 quarters 7 bushels of wheat from tithes by piece-work 17 shilling 5pence, at 2pence a struck quarter.</t>
        </is>
      </c>
      <c r="C116" t="n">
        <v>0.87</v>
      </c>
      <c r="D116" t="n">
        <v>0</v>
      </c>
      <c r="E116" t="n">
        <v>17</v>
      </c>
      <c r="F116" t="n">
        <v>5</v>
      </c>
      <c r="G116" t="inlineStr">
        <is>
          <t>wheat</t>
        </is>
      </c>
      <c r="H116" t="n">
        <v>65</v>
      </c>
      <c r="I116" t="n">
        <v>7</v>
      </c>
      <c r="J116" t="n">
        <v>65.875</v>
      </c>
      <c r="K116" t="n">
        <v>38.625</v>
      </c>
      <c r="L116" t="n">
        <v>27.25</v>
      </c>
      <c r="M116" t="n">
        <v>38</v>
      </c>
      <c r="N116" t="n">
        <v>5</v>
      </c>
      <c r="O116" t="n">
        <v>65</v>
      </c>
      <c r="P116" t="n">
        <v>7</v>
      </c>
    </row>
    <row r="117">
      <c r="A117" t="inlineStr">
        <is>
          <t>Threshing</t>
        </is>
      </c>
      <c r="B117" t="inlineStr">
        <is>
          <t>.</t>
        </is>
      </c>
      <c r="C117" t="n">
        <v>0</v>
      </c>
      <c r="D117" t="n">
        <v>0</v>
      </c>
      <c r="E117" t="n">
        <v>0</v>
      </c>
      <c r="F117" t="n">
        <v>0</v>
      </c>
      <c r="H117" t="n">
        <v>0</v>
      </c>
      <c r="I117" t="n">
        <v>0</v>
      </c>
      <c r="J117" t="n">
        <v>0</v>
      </c>
      <c r="K117" t="n">
        <v>0</v>
      </c>
      <c r="L117" t="n">
        <v>0</v>
      </c>
      <c r="M117" t="n">
        <v>0</v>
      </c>
      <c r="N117" t="n">
        <v>0</v>
      </c>
    </row>
    <row r="118">
      <c r="A118" t="inlineStr">
        <is>
          <t>Threshing</t>
        </is>
      </c>
      <c r="B118" t="inlineStr">
        <is>
          <t>threshing and winnowing 26 quarters 1 bushels of bere and 21 quarters' 6 bushels of barley from the demesne, and 14 quarters 7 bushels of bere, 38 quarters 3 bushels of barley and 9 quarters 2 bushels of peas and vetches from tithes, 11 shilling .5pence, at 1.5pence per 10 struck bushels.</t>
        </is>
      </c>
      <c r="C118" t="n">
        <v>0.57</v>
      </c>
      <c r="D118" t="n">
        <v>0</v>
      </c>
      <c r="E118" t="n">
        <v>11</v>
      </c>
      <c r="F118" t="n">
        <v>5</v>
      </c>
      <c r="G118" t="inlineStr">
        <is>
          <t>barley, vetches, peas</t>
        </is>
      </c>
      <c r="H118" t="n">
        <v>82</v>
      </c>
      <c r="I118" t="n">
        <v>18</v>
      </c>
      <c r="J118" t="n">
        <v>84.25</v>
      </c>
      <c r="K118" t="n">
        <v>26.125</v>
      </c>
      <c r="L118" t="n">
        <v>58.125</v>
      </c>
      <c r="M118" t="n">
        <v>26</v>
      </c>
      <c r="N118" t="n">
        <v>1</v>
      </c>
      <c r="O118" t="n">
        <v>21</v>
      </c>
      <c r="P118" t="n">
        <v>0</v>
      </c>
      <c r="Q118" t="n">
        <v>0</v>
      </c>
      <c r="R118" t="n">
        <v>6</v>
      </c>
      <c r="S118" t="n">
        <v>14</v>
      </c>
      <c r="T118" t="n">
        <v>7</v>
      </c>
      <c r="U118" t="n">
        <v>38</v>
      </c>
      <c r="V118" t="n">
        <v>3</v>
      </c>
      <c r="W118" t="n">
        <v>9</v>
      </c>
      <c r="X118" t="n">
        <v>2</v>
      </c>
    </row>
    <row r="119">
      <c r="A119" t="inlineStr">
        <is>
          <t>Threshing</t>
        </is>
      </c>
      <c r="B119" t="inlineStr">
        <is>
          <t>.</t>
        </is>
      </c>
      <c r="C119" t="n">
        <v>0</v>
      </c>
      <c r="D119" t="n">
        <v>0</v>
      </c>
      <c r="E119" t="n">
        <v>0</v>
      </c>
      <c r="F119" t="n">
        <v>0</v>
      </c>
      <c r="H119" t="n">
        <v>0</v>
      </c>
      <c r="I119" t="n">
        <v>0</v>
      </c>
      <c r="J119" t="n">
        <v>0</v>
      </c>
      <c r="K119" t="n">
        <v>0</v>
      </c>
      <c r="L119" t="n">
        <v>0</v>
      </c>
      <c r="M119" t="n">
        <v>0</v>
      </c>
      <c r="N119" t="n">
        <v>0</v>
      </c>
    </row>
    <row r="120">
      <c r="A120" t="inlineStr">
        <is>
          <t>Threshing</t>
        </is>
      </c>
      <c r="B120" t="inlineStr">
        <is>
          <t>threshing and winnowing 12 quarters 1 bushels of beans by piece-work 2 shilling .25pence, at 2pence a struck quarter.</t>
        </is>
      </c>
      <c r="C120" t="n">
        <v>0.2</v>
      </c>
      <c r="D120" t="n">
        <v>0</v>
      </c>
      <c r="E120" t="n">
        <v>2</v>
      </c>
      <c r="F120" t="n">
        <v>25</v>
      </c>
      <c r="G120" t="inlineStr">
        <is>
          <t>beans</t>
        </is>
      </c>
      <c r="H120" t="n">
        <v>12</v>
      </c>
      <c r="I120" t="n">
        <v>1</v>
      </c>
      <c r="J120" t="n">
        <v>12.125</v>
      </c>
      <c r="K120" t="n">
        <v>12.125</v>
      </c>
      <c r="L120" t="n">
        <v>0</v>
      </c>
      <c r="M120" t="n">
        <v>12</v>
      </c>
      <c r="N120" t="n">
        <v>1</v>
      </c>
    </row>
    <row r="121">
      <c r="A121" t="inlineStr">
        <is>
          <t>Threshing</t>
        </is>
      </c>
      <c r="B121" t="inlineStr">
        <is>
          <t>.</t>
        </is>
      </c>
      <c r="C121" t="n">
        <v>0</v>
      </c>
      <c r="D121" t="n">
        <v>0</v>
      </c>
      <c r="E121" t="n">
        <v>0</v>
      </c>
      <c r="F121" t="n">
        <v>0</v>
      </c>
      <c r="H121" t="n">
        <v>0</v>
      </c>
      <c r="I121" t="n">
        <v>0</v>
      </c>
      <c r="J121" t="n">
        <v>0</v>
      </c>
      <c r="K121" t="n">
        <v>0</v>
      </c>
      <c r="L121" t="n">
        <v>0</v>
      </c>
      <c r="M121" t="n">
        <v>0</v>
      </c>
      <c r="N121" t="n">
        <v>0</v>
      </c>
    </row>
    <row r="122">
      <c r="A122" t="inlineStr">
        <is>
          <t>Threshing</t>
        </is>
      </c>
      <c r="B122" t="inlineStr">
        <is>
          <t>threshing and winnowing, 65 quarters 2 bushels of oats from the demesne and 64 quarters of oats from tithes 8 shilling 7.25pence at 1pence per 10 struck bushels.</t>
        </is>
      </c>
      <c r="C122" t="n">
        <v>0.43</v>
      </c>
      <c r="D122" t="n">
        <v>0</v>
      </c>
      <c r="E122" t="n">
        <v>8</v>
      </c>
      <c r="F122" t="n">
        <v>7.25</v>
      </c>
      <c r="G122" t="inlineStr">
        <is>
          <t>oats</t>
        </is>
      </c>
      <c r="H122" t="n">
        <v>64</v>
      </c>
      <c r="I122" t="n">
        <v>2</v>
      </c>
      <c r="J122" t="n">
        <v>64.25</v>
      </c>
      <c r="K122" t="n">
        <v>65.25</v>
      </c>
      <c r="L122" t="n">
        <v>-1</v>
      </c>
      <c r="M122" t="n">
        <v>65</v>
      </c>
      <c r="N122" t="n">
        <v>2</v>
      </c>
      <c r="O122" t="n">
        <v>64</v>
      </c>
      <c r="P122" t="n">
        <v>0</v>
      </c>
    </row>
    <row r="123">
      <c r="A123" t="inlineStr">
        <is>
          <t>Threshing</t>
        </is>
      </c>
      <c r="B123" t="inlineStr">
        <is>
          <t>Total, £1 19 shilling 1pence</t>
        </is>
      </c>
      <c r="C123" t="n">
        <v>1.95</v>
      </c>
      <c r="D123" t="n">
        <v>1</v>
      </c>
      <c r="E123" t="n">
        <v>19</v>
      </c>
      <c r="F123" t="n">
        <v>1</v>
      </c>
      <c r="H123" t="n">
        <v>0</v>
      </c>
      <c r="I123" t="n">
        <v>0</v>
      </c>
      <c r="J123" t="n">
        <v>0</v>
      </c>
      <c r="K123" t="n">
        <v>0</v>
      </c>
      <c r="L123" t="n">
        <v>0</v>
      </c>
      <c r="M123" t="n">
        <v>0</v>
      </c>
      <c r="N123" t="n">
        <v>0</v>
      </c>
    </row>
    <row r="124">
      <c r="A124" t="inlineStr">
        <is>
          <t>Harvest-time</t>
        </is>
      </c>
      <c r="B124" t="inlineStr">
        <is>
          <t>In bread and herrings, and cheese for a want of herrings, bought for 17 boon-works and 7 carrying-services of 615 men with the customary tenants who reaped, bound and carried all the corn, £1 1 shilling 5pence.</t>
        </is>
      </c>
      <c r="C124" t="n">
        <v>1.07</v>
      </c>
      <c r="D124" t="n">
        <v>1</v>
      </c>
      <c r="E124" t="n">
        <v>1</v>
      </c>
      <c r="F124" t="n">
        <v>5</v>
      </c>
      <c r="H124" t="n">
        <v>0</v>
      </c>
      <c r="I124" t="n">
        <v>0</v>
      </c>
      <c r="J124" t="n">
        <v>0</v>
      </c>
      <c r="K124" t="n">
        <v>0</v>
      </c>
      <c r="L124" t="n">
        <v>0</v>
      </c>
      <c r="M124" t="n">
        <v>0</v>
      </c>
      <c r="N124" t="n">
        <v>0</v>
      </c>
    </row>
    <row r="125">
      <c r="A125" t="inlineStr">
        <is>
          <t>Harvest-time</t>
        </is>
      </c>
      <c r="B125" t="inlineStr">
        <is>
          <t>stipend of 1 hayward at harvest-time 2 shilling Total,</t>
        </is>
      </c>
      <c r="C125" t="n">
        <v>0.1</v>
      </c>
      <c r="D125" t="n">
        <v>0</v>
      </c>
      <c r="E125" t="n">
        <v>2</v>
      </c>
      <c r="F125" t="n">
        <v>0</v>
      </c>
      <c r="H125" t="n">
        <v>0</v>
      </c>
      <c r="I125" t="n">
        <v>0</v>
      </c>
      <c r="J125" t="n">
        <v>0</v>
      </c>
      <c r="K125" t="n">
        <v>0</v>
      </c>
      <c r="L125" t="n">
        <v>0</v>
      </c>
      <c r="M125" t="n">
        <v>0</v>
      </c>
      <c r="N125" t="n">
        <v>0</v>
      </c>
    </row>
    <row r="126">
      <c r="A126" t="inlineStr">
        <is>
          <t>Harvest-time</t>
        </is>
      </c>
      <c r="B126" t="inlineStr">
        <is>
          <t>£1 3 shilling 5pence</t>
        </is>
      </c>
      <c r="C126" t="n">
        <v>1.17</v>
      </c>
      <c r="D126" t="n">
        <v>1</v>
      </c>
      <c r="E126" t="n">
        <v>3</v>
      </c>
      <c r="F126" t="n">
        <v>5</v>
      </c>
      <c r="H126" t="n">
        <v>0</v>
      </c>
      <c r="I126" t="n">
        <v>0</v>
      </c>
      <c r="J126" t="n">
        <v>0</v>
      </c>
      <c r="K126" t="n">
        <v>0</v>
      </c>
      <c r="L126" t="n">
        <v>0</v>
      </c>
      <c r="M126" t="n">
        <v>0</v>
      </c>
      <c r="N126" t="n">
        <v>0</v>
      </c>
    </row>
    <row r="127">
      <c r="A127" t="inlineStr">
        <is>
          <t>Also harvest-time</t>
        </is>
      </c>
      <c r="B127" t="inlineStr">
        <is>
          <t>In stipend of 3 riders this year, of whom 1 stayed for 36 days, 1 for 40 days, and 1 for 45 days, 15 shilling.</t>
        </is>
      </c>
      <c r="C127" t="n">
        <v>0.75</v>
      </c>
      <c r="D127" t="n">
        <v>0</v>
      </c>
      <c r="E127" t="n">
        <v>15</v>
      </c>
      <c r="F127" t="n">
        <v>0</v>
      </c>
      <c r="H127" t="n">
        <v>0</v>
      </c>
      <c r="I127" t="n">
        <v>0</v>
      </c>
      <c r="J127" t="n">
        <v>0</v>
      </c>
      <c r="K127" t="n">
        <v>0</v>
      </c>
      <c r="L127" t="n">
        <v>0</v>
      </c>
      <c r="M127" t="n">
        <v>0</v>
      </c>
      <c r="N127" t="n">
        <v>0</v>
      </c>
    </row>
    <row r="128">
      <c r="A128" t="inlineStr">
        <is>
          <t>Also harvest-time</t>
        </is>
      </c>
      <c r="B128" t="inlineStr">
        <is>
          <t>expenses of the same for the same time 16 shilling.</t>
        </is>
      </c>
      <c r="C128" t="n">
        <v>0.8</v>
      </c>
      <c r="D128" t="n">
        <v>0</v>
      </c>
      <c r="E128" t="n">
        <v>16</v>
      </c>
      <c r="F128" t="n">
        <v>0</v>
      </c>
      <c r="H128" t="n">
        <v>0</v>
      </c>
      <c r="I128" t="n">
        <v>0</v>
      </c>
      <c r="J128" t="n">
        <v>0</v>
      </c>
      <c r="K128" t="n">
        <v>0</v>
      </c>
      <c r="L128" t="n">
        <v>0</v>
      </c>
      <c r="M128" t="n">
        <v>0</v>
      </c>
      <c r="N128" t="n">
        <v>0</v>
      </c>
    </row>
    <row r="129">
      <c r="A129" t="inlineStr">
        <is>
          <t>Also harvest-time</t>
        </is>
      </c>
      <c r="B129" t="inlineStr">
        <is>
          <t>shoeing the horses of the same 9pence.</t>
        </is>
      </c>
      <c r="C129" t="n">
        <v>0.04</v>
      </c>
      <c r="D129" t="n">
        <v>0</v>
      </c>
      <c r="E129" t="n">
        <v>0</v>
      </c>
      <c r="F129" t="n">
        <v>9</v>
      </c>
      <c r="H129" t="n">
        <v>0</v>
      </c>
      <c r="I129" t="n">
        <v>0</v>
      </c>
      <c r="J129" t="n">
        <v>0</v>
      </c>
      <c r="K129" t="n">
        <v>0</v>
      </c>
      <c r="L129" t="n">
        <v>0</v>
      </c>
      <c r="M129" t="n">
        <v>0</v>
      </c>
      <c r="N129" t="n">
        <v>0</v>
      </c>
    </row>
    <row r="130">
      <c r="A130" t="inlineStr">
        <is>
          <t>Also harvest-time</t>
        </is>
      </c>
      <c r="B130" t="inlineStr">
        <is>
          <t>expenses of 9 of the bishop's servants (pedon') and 2 stackers £1 15 shilling 6pence.</t>
        </is>
      </c>
      <c r="C130" t="n">
        <v>1.77</v>
      </c>
      <c r="D130" t="n">
        <v>1</v>
      </c>
      <c r="E130" t="n">
        <v>15</v>
      </c>
      <c r="F130" t="n">
        <v>6</v>
      </c>
      <c r="H130" t="n">
        <v>0</v>
      </c>
      <c r="I130" t="n">
        <v>0</v>
      </c>
      <c r="J130" t="n">
        <v>0</v>
      </c>
      <c r="K130" t="n">
        <v>0</v>
      </c>
      <c r="L130" t="n">
        <v>0</v>
      </c>
      <c r="M130" t="n">
        <v>0</v>
      </c>
      <c r="N130" t="n">
        <v>0</v>
      </c>
    </row>
    <row r="131">
      <c r="A131" t="inlineStr">
        <is>
          <t>Also harvest-time</t>
        </is>
      </c>
      <c r="B131" t="inlineStr">
        <is>
          <t>stipend of the same 18 shilling 4pence, or 1 shilling 8pence each.</t>
        </is>
      </c>
      <c r="C131" t="n">
        <v>0.92</v>
      </c>
      <c r="D131" t="n">
        <v>0</v>
      </c>
      <c r="E131" t="n">
        <v>18</v>
      </c>
      <c r="F131" t="n">
        <v>4</v>
      </c>
      <c r="H131" t="n">
        <v>0</v>
      </c>
      <c r="I131" t="n">
        <v>0</v>
      </c>
      <c r="J131" t="n">
        <v>0</v>
      </c>
      <c r="K131" t="n">
        <v>0</v>
      </c>
      <c r="L131" t="n">
        <v>0</v>
      </c>
      <c r="M131" t="n">
        <v>0</v>
      </c>
      <c r="N131" t="n">
        <v>0</v>
      </c>
    </row>
    <row r="132">
      <c r="A132" t="inlineStr">
        <is>
          <t>Also harvest-time</t>
        </is>
      </c>
      <c r="B132" t="inlineStr">
        <is>
          <t>And note that there is 1 servant fewer this year because the corn of Yteden' and Bykeden' was sold wholesale before the harvest.</t>
        </is>
      </c>
      <c r="C132" t="n">
        <v>0</v>
      </c>
      <c r="D132" t="n">
        <v>0</v>
      </c>
      <c r="E132" t="n">
        <v>0</v>
      </c>
      <c r="F132" t="n">
        <v>0</v>
      </c>
      <c r="H132" t="n">
        <v>0</v>
      </c>
      <c r="I132" t="n">
        <v>0</v>
      </c>
      <c r="J132" t="n">
        <v>0</v>
      </c>
      <c r="K132" t="n">
        <v>0</v>
      </c>
      <c r="L132" t="n">
        <v>0</v>
      </c>
      <c r="M132" t="n">
        <v>0</v>
      </c>
      <c r="N132" t="n">
        <v>0</v>
      </c>
    </row>
    <row r="133">
      <c r="A133" t="inlineStr">
        <is>
          <t>Also harvest-time</t>
        </is>
      </c>
      <c r="B133" t="inlineStr">
        <is>
          <t>.</t>
        </is>
      </c>
      <c r="C133" t="n">
        <v>0</v>
      </c>
      <c r="D133" t="n">
        <v>0</v>
      </c>
      <c r="E133" t="n">
        <v>0</v>
      </c>
      <c r="F133" t="n">
        <v>0</v>
      </c>
      <c r="H133" t="n">
        <v>0</v>
      </c>
      <c r="I133" t="n">
        <v>0</v>
      </c>
      <c r="J133" t="n">
        <v>0</v>
      </c>
      <c r="K133" t="n">
        <v>0</v>
      </c>
      <c r="L133" t="n">
        <v>0</v>
      </c>
      <c r="M133" t="n">
        <v>0</v>
      </c>
      <c r="N133" t="n">
        <v>0</v>
      </c>
    </row>
    <row r="134">
      <c r="A134" t="inlineStr">
        <is>
          <t>Also harvest-time</t>
        </is>
      </c>
      <c r="B134" t="inlineStr">
        <is>
          <t>3 pairs of wheels made for carrying the corn from tithes 1 shilling 6pence.</t>
        </is>
      </c>
      <c r="C134" t="n">
        <v>0.08</v>
      </c>
      <c r="D134" t="n">
        <v>0</v>
      </c>
      <c r="E134" t="n">
        <v>1</v>
      </c>
      <c r="F134" t="n">
        <v>6</v>
      </c>
      <c r="H134" t="n">
        <v>0</v>
      </c>
      <c r="I134" t="n">
        <v>0</v>
      </c>
      <c r="J134" t="n">
        <v>0</v>
      </c>
      <c r="K134" t="n">
        <v>0</v>
      </c>
      <c r="L134" t="n">
        <v>0</v>
      </c>
      <c r="M134" t="n">
        <v>0</v>
      </c>
      <c r="N134" t="n">
        <v>0</v>
      </c>
    </row>
    <row r="135">
      <c r="A135" t="inlineStr">
        <is>
          <t>Also harvest-time</t>
        </is>
      </c>
      <c r="B135" t="inlineStr">
        <is>
          <t>fitting the same with axles 6pence.</t>
        </is>
      </c>
      <c r="C135" t="n">
        <v>0.03</v>
      </c>
      <c r="D135" t="n">
        <v>0</v>
      </c>
      <c r="E135" t="n">
        <v>0</v>
      </c>
      <c r="F135" t="n">
        <v>6</v>
      </c>
      <c r="H135" t="n">
        <v>0</v>
      </c>
      <c r="I135" t="n">
        <v>0</v>
      </c>
      <c r="J135" t="n">
        <v>0</v>
      </c>
      <c r="K135" t="n">
        <v>0</v>
      </c>
      <c r="L135" t="n">
        <v>0</v>
      </c>
      <c r="M135" t="n">
        <v>0</v>
      </c>
      <c r="N135" t="n">
        <v>0</v>
      </c>
    </row>
    <row r="136">
      <c r="A136" t="inlineStr">
        <is>
          <t>Also harvest-time</t>
        </is>
      </c>
      <c r="B136" t="inlineStr">
        <is>
          <t>4 collars bought 2 shilling 2pence.</t>
        </is>
      </c>
      <c r="C136" t="n">
        <v>0.11</v>
      </c>
      <c r="D136" t="n">
        <v>0</v>
      </c>
      <c r="E136" t="n">
        <v>2</v>
      </c>
      <c r="F136" t="n">
        <v>2</v>
      </c>
      <c r="H136" t="n">
        <v>0</v>
      </c>
      <c r="I136" t="n">
        <v>0</v>
      </c>
      <c r="J136" t="n">
        <v>0</v>
      </c>
      <c r="K136" t="n">
        <v>0</v>
      </c>
      <c r="L136" t="n">
        <v>0</v>
      </c>
      <c r="M136" t="n">
        <v>0</v>
      </c>
      <c r="N136" t="n">
        <v>0</v>
      </c>
    </row>
    <row r="137">
      <c r="A137" t="inlineStr">
        <is>
          <t>Also harvest-time</t>
        </is>
      </c>
      <c r="B137" t="inlineStr">
        <is>
          <t>clouts, nails and grease bought 1 shilling 10pence.</t>
        </is>
      </c>
      <c r="C137" t="n">
        <v>0.09</v>
      </c>
      <c r="D137" t="n">
        <v>0</v>
      </c>
      <c r="E137" t="n">
        <v>1</v>
      </c>
      <c r="F137" t="n">
        <v>10</v>
      </c>
      <c r="H137" t="n">
        <v>0</v>
      </c>
      <c r="I137" t="n">
        <v>0</v>
      </c>
      <c r="J137" t="n">
        <v>0</v>
      </c>
      <c r="K137" t="n">
        <v>0</v>
      </c>
      <c r="L137" t="n">
        <v>0</v>
      </c>
      <c r="M137" t="n">
        <v>0</v>
      </c>
      <c r="N137" t="n">
        <v>0</v>
      </c>
    </row>
    <row r="138">
      <c r="A138" t="inlineStr">
        <is>
          <t>Also harvest-time</t>
        </is>
      </c>
      <c r="B138" t="inlineStr">
        <is>
          <t>shoeing the plough-horses hauling the carts 2 shilling 6pence.</t>
        </is>
      </c>
      <c r="C138" t="n">
        <v>0.12</v>
      </c>
      <c r="D138" t="n">
        <v>0</v>
      </c>
      <c r="E138" t="n">
        <v>2</v>
      </c>
      <c r="F138" t="n">
        <v>6</v>
      </c>
      <c r="H138" t="n">
        <v>0</v>
      </c>
      <c r="I138" t="n">
        <v>0</v>
      </c>
      <c r="J138" t="n">
        <v>0</v>
      </c>
      <c r="K138" t="n">
        <v>0</v>
      </c>
      <c r="L138" t="n">
        <v>0</v>
      </c>
      <c r="M138" t="n">
        <v>0</v>
      </c>
      <c r="N138" t="n">
        <v>0</v>
      </c>
    </row>
    <row r="139">
      <c r="A139" t="inlineStr">
        <is>
          <t>Also harvest-time</t>
        </is>
      </c>
      <c r="B139" t="inlineStr">
        <is>
          <t>treating the carts before the harvest 1 shilling.</t>
        </is>
      </c>
      <c r="C139" t="n">
        <v>0.05</v>
      </c>
      <c r="D139" t="n">
        <v>0</v>
      </c>
      <c r="E139" t="n">
        <v>1</v>
      </c>
      <c r="F139" t="n">
        <v>0</v>
      </c>
      <c r="H139" t="n">
        <v>0</v>
      </c>
      <c r="I139" t="n">
        <v>0</v>
      </c>
      <c r="J139" t="n">
        <v>0</v>
      </c>
      <c r="K139" t="n">
        <v>0</v>
      </c>
      <c r="L139" t="n">
        <v>0</v>
      </c>
      <c r="M139" t="n">
        <v>0</v>
      </c>
      <c r="N139" t="n">
        <v>0</v>
      </c>
    </row>
    <row r="140">
      <c r="A140" t="inlineStr">
        <is>
          <t>Also harvest-time</t>
        </is>
      </c>
      <c r="B140" t="inlineStr">
        <is>
          <t>hiring carters this year to help carry the corn at various times 2 shilling 4pence.</t>
        </is>
      </c>
      <c r="C140" t="n">
        <v>0.12</v>
      </c>
      <c r="D140" t="n">
        <v>0</v>
      </c>
      <c r="E140" t="n">
        <v>2</v>
      </c>
      <c r="F140" t="n">
        <v>4</v>
      </c>
      <c r="H140" t="n">
        <v>0</v>
      </c>
      <c r="I140" t="n">
        <v>0</v>
      </c>
      <c r="J140" t="n">
        <v>0</v>
      </c>
      <c r="K140" t="n">
        <v>0</v>
      </c>
      <c r="L140" t="n">
        <v>0</v>
      </c>
      <c r="M140" t="n">
        <v>0</v>
      </c>
      <c r="N140" t="n">
        <v>0</v>
      </c>
    </row>
    <row r="141">
      <c r="A141" t="inlineStr">
        <is>
          <t>Also harvest-time</t>
        </is>
      </c>
      <c r="B141" t="inlineStr">
        <is>
          <t>4 quarters of oats bought for the fodder of the riders' horses 5 shilling 4pence, at 1 shilling 4pence a quarters.</t>
        </is>
      </c>
      <c r="C141" t="n">
        <v>0.27</v>
      </c>
      <c r="D141" t="n">
        <v>0</v>
      </c>
      <c r="E141" t="n">
        <v>5</v>
      </c>
      <c r="F141" t="n">
        <v>4</v>
      </c>
      <c r="G141" t="inlineStr">
        <is>
          <t>oats</t>
        </is>
      </c>
      <c r="H141" t="n">
        <v>4</v>
      </c>
      <c r="I141" t="n">
        <v>0</v>
      </c>
      <c r="J141" t="n">
        <v>4</v>
      </c>
      <c r="K141" t="n">
        <v>4</v>
      </c>
      <c r="L141" t="n">
        <v>0</v>
      </c>
      <c r="M141" t="n">
        <v>4</v>
      </c>
      <c r="N141" t="n">
        <v>0</v>
      </c>
      <c r="Y141" t="n">
        <v>1</v>
      </c>
      <c r="Z141" t="n">
        <v>4</v>
      </c>
    </row>
    <row r="142">
      <c r="A142" t="inlineStr">
        <is>
          <t>Also harvest-time</t>
        </is>
      </c>
      <c r="B142" t="inlineStr">
        <is>
          <t>Total, £5 4 shilling 9pence</t>
        </is>
      </c>
      <c r="C142" t="n">
        <v>5.24</v>
      </c>
      <c r="D142" t="n">
        <v>5</v>
      </c>
      <c r="E142" t="n">
        <v>4</v>
      </c>
      <c r="F142" t="n">
        <v>9</v>
      </c>
      <c r="H142" t="n">
        <v>0</v>
      </c>
      <c r="I142" t="n">
        <v>0</v>
      </c>
      <c r="J142" t="n">
        <v>0</v>
      </c>
      <c r="K142" t="n">
        <v>0</v>
      </c>
      <c r="L142" t="n">
        <v>0</v>
      </c>
      <c r="M142" t="n">
        <v>0</v>
      </c>
      <c r="N142" t="n">
        <v>0</v>
      </c>
    </row>
    <row r="143">
      <c r="A143" t="inlineStr">
        <is>
          <t>Total of all expenses</t>
        </is>
      </c>
      <c r="B143" t="inlineStr">
        <is>
          <t>Total of all expenses, £14 12 shilling 0.25pence</t>
        </is>
      </c>
      <c r="C143" t="n">
        <v>14.6</v>
      </c>
      <c r="D143" t="n">
        <v>14</v>
      </c>
      <c r="E143" t="n">
        <v>12</v>
      </c>
      <c r="F143" t="n">
        <v>0.25</v>
      </c>
      <c r="H143" t="n">
        <v>0</v>
      </c>
      <c r="I143" t="n">
        <v>0</v>
      </c>
      <c r="J143" t="n">
        <v>0</v>
      </c>
      <c r="K143" t="n">
        <v>0</v>
      </c>
      <c r="L143" t="n">
        <v>0</v>
      </c>
      <c r="M143" t="n">
        <v>0</v>
      </c>
      <c r="N143" t="n">
        <v>0</v>
      </c>
    </row>
    <row r="144">
      <c r="A144" t="inlineStr">
        <is>
          <t>And thus he owes</t>
        </is>
      </c>
      <c r="B144" t="inlineStr">
        <is>
          <t>And thus he owes, £90 5 shilling 8pence</t>
        </is>
      </c>
      <c r="C144" t="n">
        <v>90.28</v>
      </c>
      <c r="D144" t="n">
        <v>90</v>
      </c>
      <c r="E144" t="n">
        <v>5</v>
      </c>
      <c r="F144" t="n">
        <v>8</v>
      </c>
      <c r="H144" t="n">
        <v>0</v>
      </c>
      <c r="I144" t="n">
        <v>0</v>
      </c>
      <c r="J144" t="n">
        <v>0</v>
      </c>
      <c r="K144" t="n">
        <v>0</v>
      </c>
      <c r="L144" t="n">
        <v>0</v>
      </c>
      <c r="M144" t="n">
        <v>0</v>
      </c>
      <c r="N144" t="n">
        <v>0</v>
      </c>
    </row>
    <row r="145">
      <c r="A145" t="inlineStr">
        <is>
          <t>And thus he owes</t>
        </is>
      </c>
      <c r="B145" t="inlineStr">
        <is>
          <t>Delivered to Sir Geoffrey, treasurer of Wolvesey, by 1 tally, £43.</t>
        </is>
      </c>
      <c r="C145" t="n">
        <v>43</v>
      </c>
      <c r="D145" t="n">
        <v>43</v>
      </c>
      <c r="E145" t="n">
        <v>0</v>
      </c>
      <c r="F145" t="n">
        <v>0</v>
      </c>
      <c r="H145" t="n">
        <v>0</v>
      </c>
      <c r="I145" t="n">
        <v>0</v>
      </c>
      <c r="J145" t="n">
        <v>0</v>
      </c>
      <c r="K145" t="n">
        <v>0</v>
      </c>
      <c r="L145" t="n">
        <v>0</v>
      </c>
      <c r="M145" t="n">
        <v>0</v>
      </c>
      <c r="N145" t="n">
        <v>0</v>
      </c>
    </row>
    <row r="146">
      <c r="A146" t="inlineStr">
        <is>
          <t>And thus he owes clear</t>
        </is>
      </c>
      <c r="B146" t="inlineStr">
        <is>
          <t>And thus he owes clear, £47 5 shilling 8pence</t>
        </is>
      </c>
      <c r="C146" t="n">
        <v>47.28</v>
      </c>
      <c r="D146" t="n">
        <v>47</v>
      </c>
      <c r="E146" t="n">
        <v>5</v>
      </c>
      <c r="F146" t="n">
        <v>8</v>
      </c>
      <c r="H146" t="n">
        <v>0</v>
      </c>
      <c r="I146" t="n">
        <v>0</v>
      </c>
      <c r="J146" t="n">
        <v>0</v>
      </c>
      <c r="K146" t="n">
        <v>0</v>
      </c>
      <c r="L146" t="n">
        <v>0</v>
      </c>
      <c r="M146" t="n">
        <v>0</v>
      </c>
      <c r="N146" t="n">
        <v>0</v>
      </c>
    </row>
    <row r="147">
      <c r="A147" t="inlineStr">
        <is>
          <t>Wheat from the demesne</t>
        </is>
      </c>
      <c r="B147" t="inlineStr">
        <is>
          <t>(yield: six-fold less 1 quarters 7 bushels)</t>
        </is>
      </c>
      <c r="C147" t="n">
        <v>0</v>
      </c>
      <c r="D147" t="n">
        <v>0</v>
      </c>
      <c r="E147" t="n">
        <v>0</v>
      </c>
      <c r="F147" t="n">
        <v>0</v>
      </c>
      <c r="H147" t="n">
        <v>1</v>
      </c>
      <c r="I147" t="n">
        <v>7</v>
      </c>
      <c r="J147" t="n">
        <v>1.875</v>
      </c>
      <c r="K147" t="n">
        <v>1.875</v>
      </c>
      <c r="L147" t="n">
        <v>0</v>
      </c>
      <c r="M147" t="n">
        <v>1</v>
      </c>
      <c r="N147" t="n">
        <v>7</v>
      </c>
    </row>
    <row r="148">
      <c r="A148" t="inlineStr">
        <is>
          <t>Wheat from the demesne</t>
        </is>
      </c>
      <c r="B148" t="inlineStr">
        <is>
          <t>The same render account for 38 quarters 5 bushels from the whole issue of wheat from the demesne by struck measure.</t>
        </is>
      </c>
      <c r="C148" t="n">
        <v>0</v>
      </c>
      <c r="D148" t="n">
        <v>0</v>
      </c>
      <c r="E148" t="n">
        <v>0</v>
      </c>
      <c r="F148" t="n">
        <v>0</v>
      </c>
      <c r="G148" t="inlineStr">
        <is>
          <t>wheat</t>
        </is>
      </c>
      <c r="H148" t="n">
        <v>38</v>
      </c>
      <c r="I148" t="n">
        <v>5</v>
      </c>
      <c r="J148" t="n">
        <v>38.625</v>
      </c>
      <c r="K148" t="n">
        <v>38.625</v>
      </c>
      <c r="L148" t="n">
        <v>0</v>
      </c>
      <c r="M148" t="n">
        <v>38</v>
      </c>
      <c r="N148" t="n">
        <v>5</v>
      </c>
    </row>
    <row r="149">
      <c r="A149" t="inlineStr">
        <is>
          <t>Wheat from the demesne</t>
        </is>
      </c>
      <c r="B149" t="inlineStr">
        <is>
          <t>Sown over 129 acres as they lie in Lahyd' and Wodebrok', 9.5 quarters.</t>
        </is>
      </c>
      <c r="C149" t="n">
        <v>0</v>
      </c>
      <c r="D149" t="n">
        <v>0</v>
      </c>
      <c r="E149" t="n">
        <v>0</v>
      </c>
      <c r="F149" t="n">
        <v>0</v>
      </c>
      <c r="H149" t="n">
        <v>9.5</v>
      </c>
      <c r="I149" t="n">
        <v>0</v>
      </c>
      <c r="J149" t="n">
        <v>9.5</v>
      </c>
      <c r="K149" t="n">
        <v>9.5</v>
      </c>
      <c r="L149" t="n">
        <v>0</v>
      </c>
      <c r="M149" t="n">
        <v>9.5</v>
      </c>
      <c r="N149" t="n">
        <v>0</v>
      </c>
    </row>
    <row r="150">
      <c r="A150" t="inlineStr">
        <is>
          <t>Wheat from the demesne</t>
        </is>
      </c>
      <c r="B150" t="inlineStr">
        <is>
          <t>that is, 1 bushels over 2 acres, plus 1 quarters 3.5 bushels in all.</t>
        </is>
      </c>
      <c r="C150" t="n">
        <v>0</v>
      </c>
      <c r="D150" t="n">
        <v>0</v>
      </c>
      <c r="E150" t="n">
        <v>0</v>
      </c>
      <c r="F150" t="n">
        <v>0</v>
      </c>
      <c r="H150" t="n">
        <v>1</v>
      </c>
      <c r="I150" t="n">
        <v>3.5</v>
      </c>
      <c r="J150" t="n">
        <v>1.4375</v>
      </c>
      <c r="K150" t="n">
        <v>0.125</v>
      </c>
      <c r="L150" t="n">
        <v>1.3125</v>
      </c>
      <c r="M150" t="n">
        <v>0</v>
      </c>
      <c r="N150" t="n">
        <v>1</v>
      </c>
      <c r="O150" t="n">
        <v>1</v>
      </c>
      <c r="P150" t="n">
        <v>3.5</v>
      </c>
    </row>
    <row r="151">
      <c r="A151" t="inlineStr">
        <is>
          <t>Wheat from the demesne</t>
        </is>
      </c>
      <c r="B151" t="inlineStr">
        <is>
          <t>.</t>
        </is>
      </c>
      <c r="C151" t="n">
        <v>0</v>
      </c>
      <c r="D151" t="n">
        <v>0</v>
      </c>
      <c r="E151" t="n">
        <v>0</v>
      </c>
      <c r="F151" t="n">
        <v>0</v>
      </c>
      <c r="H151" t="n">
        <v>0</v>
      </c>
      <c r="I151" t="n">
        <v>0</v>
      </c>
      <c r="J151" t="n">
        <v>0</v>
      </c>
      <c r="K151" t="n">
        <v>0</v>
      </c>
      <c r="L151" t="n">
        <v>0</v>
      </c>
      <c r="M151" t="n">
        <v>0</v>
      </c>
      <c r="N151" t="n">
        <v>0</v>
      </c>
    </row>
    <row r="152">
      <c r="A152" t="inlineStr">
        <is>
          <t>Wheat from the demesne</t>
        </is>
      </c>
      <c r="B152" t="inlineStr">
        <is>
          <t>provision of the bailiff, 4 quarters, because he takes the rest from the manor.</t>
        </is>
      </c>
      <c r="C152" t="n">
        <v>0</v>
      </c>
      <c r="D152" t="n">
        <v>0</v>
      </c>
      <c r="E152" t="n">
        <v>0</v>
      </c>
      <c r="F152" t="n">
        <v>0</v>
      </c>
      <c r="H152" t="n">
        <v>4</v>
      </c>
      <c r="I152" t="n">
        <v>0</v>
      </c>
      <c r="J152" t="n">
        <v>4</v>
      </c>
      <c r="K152" t="n">
        <v>4</v>
      </c>
      <c r="L152" t="n">
        <v>0</v>
      </c>
      <c r="M152" t="n">
        <v>4</v>
      </c>
      <c r="N152" t="n">
        <v>0</v>
      </c>
    </row>
    <row r="153">
      <c r="A153" t="inlineStr">
        <is>
          <t>Wheat from the demesne</t>
        </is>
      </c>
      <c r="B153" t="inlineStr">
        <is>
          <t>Sold, 25 quarters 1 bushels</t>
        </is>
      </c>
      <c r="C153" t="n">
        <v>0</v>
      </c>
      <c r="D153" t="n">
        <v>0</v>
      </c>
      <c r="E153" t="n">
        <v>0</v>
      </c>
      <c r="F153" t="n">
        <v>0</v>
      </c>
      <c r="H153" t="n">
        <v>25</v>
      </c>
      <c r="I153" t="n">
        <v>1</v>
      </c>
      <c r="J153" t="n">
        <v>25.125</v>
      </c>
      <c r="K153" t="n">
        <v>25.125</v>
      </c>
      <c r="L153" t="n">
        <v>0</v>
      </c>
      <c r="M153" t="n">
        <v>25</v>
      </c>
      <c r="N153" t="n">
        <v>1</v>
      </c>
    </row>
    <row r="154">
      <c r="A154" t="inlineStr">
        <is>
          <t>Bere</t>
        </is>
      </c>
      <c r="B154" t="inlineStr">
        <is>
          <t>(yield: three-fold plus 5 bushels}</t>
        </is>
      </c>
      <c r="C154" t="n">
        <v>0</v>
      </c>
      <c r="D154" t="n">
        <v>0</v>
      </c>
      <c r="E154" t="n">
        <v>0</v>
      </c>
      <c r="F154" t="n">
        <v>0</v>
      </c>
      <c r="H154" t="n">
        <v>0</v>
      </c>
      <c r="I154" t="n">
        <v>5</v>
      </c>
      <c r="J154" t="n">
        <v>0.625</v>
      </c>
      <c r="K154" t="n">
        <v>0.625</v>
      </c>
      <c r="L154" t="n">
        <v>0</v>
      </c>
      <c r="M154" t="n">
        <v>0</v>
      </c>
      <c r="N154" t="n">
        <v>5</v>
      </c>
    </row>
    <row r="155">
      <c r="A155" t="inlineStr">
        <is>
          <t>Bere</t>
        </is>
      </c>
      <c r="B155" t="inlineStr">
        <is>
          <t>The same render account for 26 quarters 1 bushels from the whole issue of bere by struck measure.</t>
        </is>
      </c>
      <c r="C155" t="n">
        <v>0</v>
      </c>
      <c r="D155" t="n">
        <v>0</v>
      </c>
      <c r="E155" t="n">
        <v>0</v>
      </c>
      <c r="F155" t="n">
        <v>0</v>
      </c>
      <c r="H155" t="n">
        <v>26</v>
      </c>
      <c r="I155" t="n">
        <v>1</v>
      </c>
      <c r="J155" t="n">
        <v>26.125</v>
      </c>
      <c r="K155" t="n">
        <v>26.125</v>
      </c>
      <c r="L155" t="n">
        <v>0</v>
      </c>
      <c r="M155" t="n">
        <v>26</v>
      </c>
      <c r="N155" t="n">
        <v>1</v>
      </c>
    </row>
    <row r="156">
      <c r="A156" t="inlineStr">
        <is>
          <t>Bere</t>
        </is>
      </c>
      <c r="B156" t="inlineStr">
        <is>
          <t>Sown over 41 acres as they lie in Watcombe, 7 quarters 2 bushels.</t>
        </is>
      </c>
      <c r="C156" t="n">
        <v>0</v>
      </c>
      <c r="D156" t="n">
        <v>0</v>
      </c>
      <c r="E156" t="n">
        <v>0</v>
      </c>
      <c r="F156" t="n">
        <v>0</v>
      </c>
      <c r="H156" t="n">
        <v>7</v>
      </c>
      <c r="I156" t="n">
        <v>2</v>
      </c>
      <c r="J156" t="n">
        <v>7.25</v>
      </c>
      <c r="K156" t="n">
        <v>7.25</v>
      </c>
      <c r="L156" t="n">
        <v>0</v>
      </c>
      <c r="M156" t="n">
        <v>7</v>
      </c>
      <c r="N156" t="n">
        <v>2</v>
      </c>
    </row>
    <row r="157">
      <c r="A157" t="inlineStr">
        <is>
          <t>Bere</t>
        </is>
      </c>
      <c r="B157" t="inlineStr">
        <is>
          <t>that is, 1.5 bushels an acre, less 3.5 bushels in all.</t>
        </is>
      </c>
      <c r="C157" t="n">
        <v>0</v>
      </c>
      <c r="D157" t="n">
        <v>0</v>
      </c>
      <c r="E157" t="n">
        <v>0</v>
      </c>
      <c r="F157" t="n">
        <v>0</v>
      </c>
      <c r="H157" t="n">
        <v>0</v>
      </c>
      <c r="I157" t="n">
        <v>3.5</v>
      </c>
      <c r="J157" t="n">
        <v>0.4375</v>
      </c>
      <c r="K157" t="n">
        <v>0.1875</v>
      </c>
      <c r="L157" t="n">
        <v>0.25</v>
      </c>
      <c r="M157" t="n">
        <v>0</v>
      </c>
      <c r="N157" t="n">
        <v>1.5</v>
      </c>
      <c r="O157" t="n">
        <v>0</v>
      </c>
      <c r="P157" t="n">
        <v>3.5</v>
      </c>
    </row>
    <row r="158">
      <c r="A158" t="inlineStr">
        <is>
          <t>Bere</t>
        </is>
      </c>
      <c r="B158" t="inlineStr">
        <is>
          <t>Sold, 18 quarters 7 bushels</t>
        </is>
      </c>
      <c r="C158" t="n">
        <v>0</v>
      </c>
      <c r="D158" t="n">
        <v>0</v>
      </c>
      <c r="E158" t="n">
        <v>0</v>
      </c>
      <c r="F158" t="n">
        <v>0</v>
      </c>
      <c r="H158" t="n">
        <v>18</v>
      </c>
      <c r="I158" t="n">
        <v>7</v>
      </c>
      <c r="J158" t="n">
        <v>18.875</v>
      </c>
      <c r="K158" t="n">
        <v>18.875</v>
      </c>
      <c r="L158" t="n">
        <v>0</v>
      </c>
      <c r="M158" t="n">
        <v>18</v>
      </c>
      <c r="N158" t="n">
        <v>7</v>
      </c>
    </row>
    <row r="159">
      <c r="A159" t="inlineStr">
        <is>
          <t>Barley</t>
        </is>
      </c>
      <c r="B159" t="inlineStr">
        <is>
          <t>(yield: three-and-a-half-fold plus 6 bushels)</t>
        </is>
      </c>
      <c r="C159" t="n">
        <v>0</v>
      </c>
      <c r="D159" t="n">
        <v>0</v>
      </c>
      <c r="E159" t="n">
        <v>0</v>
      </c>
      <c r="F159" t="n">
        <v>0</v>
      </c>
      <c r="H159" t="n">
        <v>0</v>
      </c>
      <c r="I159" t="n">
        <v>6</v>
      </c>
      <c r="J159" t="n">
        <v>0.75</v>
      </c>
      <c r="K159" t="n">
        <v>0.75</v>
      </c>
      <c r="L159" t="n">
        <v>0</v>
      </c>
      <c r="M159" t="n">
        <v>0</v>
      </c>
      <c r="N159" t="n">
        <v>6</v>
      </c>
    </row>
    <row r="160">
      <c r="A160" t="inlineStr">
        <is>
          <t>Barley</t>
        </is>
      </c>
      <c r="B160" t="inlineStr">
        <is>
          <t>The same render account for 21 quarters 6 bushels from the whole issue of barley from the demesne by struck measure.</t>
        </is>
      </c>
      <c r="C160" t="n">
        <v>0</v>
      </c>
      <c r="D160" t="n">
        <v>0</v>
      </c>
      <c r="E160" t="n">
        <v>0</v>
      </c>
      <c r="F160" t="n">
        <v>0</v>
      </c>
      <c r="G160" t="inlineStr">
        <is>
          <t>barley</t>
        </is>
      </c>
      <c r="H160" t="n">
        <v>21</v>
      </c>
      <c r="I160" t="n">
        <v>6</v>
      </c>
      <c r="J160" t="n">
        <v>21.75</v>
      </c>
      <c r="K160" t="n">
        <v>21.75</v>
      </c>
      <c r="L160" t="n">
        <v>0</v>
      </c>
      <c r="M160" t="n">
        <v>21</v>
      </c>
      <c r="N160" t="n">
        <v>6</v>
      </c>
    </row>
    <row r="161">
      <c r="A161" t="inlineStr">
        <is>
          <t>Barley</t>
        </is>
      </c>
      <c r="B161" t="inlineStr">
        <is>
          <t>Sown over 17 acres as they lie at Prusteslad', 6 quarters 2 bushels.</t>
        </is>
      </c>
      <c r="C161" t="n">
        <v>0</v>
      </c>
      <c r="D161" t="n">
        <v>0</v>
      </c>
      <c r="E161" t="n">
        <v>0</v>
      </c>
      <c r="F161" t="n">
        <v>0</v>
      </c>
      <c r="H161" t="n">
        <v>6</v>
      </c>
      <c r="I161" t="n">
        <v>2</v>
      </c>
      <c r="J161" t="n">
        <v>6.25</v>
      </c>
      <c r="K161" t="n">
        <v>6.25</v>
      </c>
      <c r="L161" t="n">
        <v>0</v>
      </c>
      <c r="M161" t="n">
        <v>6</v>
      </c>
      <c r="N161" t="n">
        <v>2</v>
      </c>
    </row>
    <row r="162">
      <c r="A162" t="inlineStr">
        <is>
          <t>Barley</t>
        </is>
      </c>
      <c r="B162" t="inlineStr">
        <is>
          <t>that is, 3 bushels an acre, less 1 bushels in all.</t>
        </is>
      </c>
      <c r="C162" t="n">
        <v>0</v>
      </c>
      <c r="D162" t="n">
        <v>0</v>
      </c>
      <c r="E162" t="n">
        <v>0</v>
      </c>
      <c r="F162" t="n">
        <v>0</v>
      </c>
      <c r="H162" t="n">
        <v>0</v>
      </c>
      <c r="I162" t="n">
        <v>1</v>
      </c>
      <c r="J162" t="n">
        <v>0.125</v>
      </c>
      <c r="K162" t="n">
        <v>0.375</v>
      </c>
      <c r="L162" t="n">
        <v>-0.25</v>
      </c>
      <c r="M162" t="n">
        <v>0</v>
      </c>
      <c r="N162" t="n">
        <v>3</v>
      </c>
      <c r="O162" t="n">
        <v>0</v>
      </c>
      <c r="P162" t="n">
        <v>1</v>
      </c>
    </row>
    <row r="163">
      <c r="A163" t="inlineStr">
        <is>
          <t>Barley</t>
        </is>
      </c>
      <c r="B163" t="inlineStr">
        <is>
          <t>Delivered to 1 carter and 1 stot-keeper for the year, who take a quarter every 8 weeks, 13 quarters.</t>
        </is>
      </c>
      <c r="C163" t="n">
        <v>0</v>
      </c>
      <c r="D163" t="n">
        <v>0</v>
      </c>
      <c r="E163" t="n">
        <v>0</v>
      </c>
      <c r="F163" t="n">
        <v>0</v>
      </c>
      <c r="H163" t="n">
        <v>13</v>
      </c>
      <c r="I163" t="n">
        <v>0</v>
      </c>
      <c r="J163" t="n">
        <v>13</v>
      </c>
      <c r="K163" t="n">
        <v>13</v>
      </c>
      <c r="L163" t="n">
        <v>0</v>
      </c>
      <c r="M163" t="n">
        <v>13</v>
      </c>
      <c r="N163" t="n">
        <v>0</v>
      </c>
    </row>
    <row r="164">
      <c r="A164" t="inlineStr">
        <is>
          <t>Barley</t>
        </is>
      </c>
      <c r="B164" t="inlineStr">
        <is>
          <t>Sold, 2.5 quarters.</t>
        </is>
      </c>
      <c r="C164" t="n">
        <v>0</v>
      </c>
      <c r="D164" t="n">
        <v>0</v>
      </c>
      <c r="E164" t="n">
        <v>0</v>
      </c>
      <c r="F164" t="n">
        <v>0</v>
      </c>
      <c r="H164" t="n">
        <v>2.5</v>
      </c>
      <c r="I164" t="n">
        <v>0</v>
      </c>
      <c r="J164" t="n">
        <v>2.5</v>
      </c>
      <c r="K164" t="n">
        <v>2.5</v>
      </c>
      <c r="L164" t="n">
        <v>0</v>
      </c>
      <c r="M164" t="n">
        <v>2.5</v>
      </c>
      <c r="N164" t="n">
        <v>0</v>
      </c>
    </row>
    <row r="165">
      <c r="A165" t="inlineStr">
        <is>
          <t>Oats</t>
        </is>
      </c>
      <c r="B165" t="inlineStr">
        <is>
          <t>(fold less 5 quarters 3 bushels}</t>
        </is>
      </c>
      <c r="C165" t="n">
        <v>0</v>
      </c>
      <c r="D165" t="n">
        <v>0</v>
      </c>
      <c r="E165" t="n">
        <v>0</v>
      </c>
      <c r="F165" t="n">
        <v>0</v>
      </c>
      <c r="H165" t="n">
        <v>5</v>
      </c>
      <c r="I165" t="n">
        <v>3</v>
      </c>
      <c r="J165" t="n">
        <v>5.375</v>
      </c>
      <c r="K165" t="n">
        <v>5.375</v>
      </c>
      <c r="L165" t="n">
        <v>0</v>
      </c>
      <c r="M165" t="n">
        <v>5</v>
      </c>
      <c r="N165" t="n">
        <v>3</v>
      </c>
    </row>
    <row r="166">
      <c r="A166" t="inlineStr">
        <is>
          <t>Oats</t>
        </is>
      </c>
      <c r="B166" t="inlineStr">
        <is>
          <t>The same render account for 65 quarters. 1 bushels from the whole issue of oats by struck measure.</t>
        </is>
      </c>
      <c r="C166" t="n">
        <v>0</v>
      </c>
      <c r="D166" t="n">
        <v>0</v>
      </c>
      <c r="E166" t="n">
        <v>0</v>
      </c>
      <c r="F166" t="n">
        <v>0</v>
      </c>
      <c r="G166" t="inlineStr">
        <is>
          <t>oats</t>
        </is>
      </c>
      <c r="H166" t="n">
        <v>65</v>
      </c>
      <c r="I166" t="n">
        <v>1</v>
      </c>
      <c r="J166" t="n">
        <v>65.125</v>
      </c>
      <c r="K166" t="n">
        <v>65</v>
      </c>
      <c r="L166" t="n">
        <v>0.125</v>
      </c>
      <c r="M166" t="n">
        <v>65</v>
      </c>
      <c r="N166" t="n">
        <v>0</v>
      </c>
      <c r="O166" t="n">
        <v>0</v>
      </c>
      <c r="P166" t="n">
        <v>1</v>
      </c>
    </row>
    <row r="167">
      <c r="A167" t="inlineStr">
        <is>
          <t>Oats</t>
        </is>
      </c>
      <c r="B167" t="inlineStr">
        <is>
          <t>Sown over 105 acres as they lie at Prustehull', Stonyelond', and Watteconbe, 26.5 quarters.</t>
        </is>
      </c>
      <c r="C167" t="n">
        <v>0</v>
      </c>
      <c r="D167" t="n">
        <v>0</v>
      </c>
      <c r="E167" t="n">
        <v>0</v>
      </c>
      <c r="F167" t="n">
        <v>0</v>
      </c>
      <c r="H167" t="n">
        <v>26.5</v>
      </c>
      <c r="I167" t="n">
        <v>0</v>
      </c>
      <c r="J167" t="n">
        <v>26.5</v>
      </c>
      <c r="K167" t="n">
        <v>26.5</v>
      </c>
      <c r="L167" t="n">
        <v>0</v>
      </c>
      <c r="M167" t="n">
        <v>26.5</v>
      </c>
      <c r="N167" t="n">
        <v>0</v>
      </c>
    </row>
    <row r="168">
      <c r="A168" t="inlineStr">
        <is>
          <t>Oats</t>
        </is>
      </c>
      <c r="B168" t="inlineStr">
        <is>
          <t>that is, 2 bushels an acre, plus 2 bushels in all.</t>
        </is>
      </c>
      <c r="C168" t="n">
        <v>0</v>
      </c>
      <c r="D168" t="n">
        <v>0</v>
      </c>
      <c r="E168" t="n">
        <v>0</v>
      </c>
      <c r="F168" t="n">
        <v>0</v>
      </c>
      <c r="H168" t="n">
        <v>0</v>
      </c>
      <c r="I168" t="n">
        <v>2</v>
      </c>
      <c r="J168" t="n">
        <v>0.25</v>
      </c>
      <c r="K168" t="n">
        <v>0.25</v>
      </c>
      <c r="L168" t="n">
        <v>0</v>
      </c>
      <c r="M168" t="n">
        <v>0</v>
      </c>
      <c r="N168" t="n">
        <v>2</v>
      </c>
      <c r="O168" t="n">
        <v>0</v>
      </c>
      <c r="P168" t="n">
        <v>2</v>
      </c>
    </row>
    <row r="169">
      <c r="A169" t="inlineStr">
        <is>
          <t>Oats</t>
        </is>
      </c>
      <c r="B169" t="inlineStr">
        <is>
          <t>.</t>
        </is>
      </c>
      <c r="C169" t="n">
        <v>0</v>
      </c>
      <c r="D169" t="n">
        <v>0</v>
      </c>
      <c r="E169" t="n">
        <v>0</v>
      </c>
      <c r="F169" t="n">
        <v>0</v>
      </c>
      <c r="H169" t="n">
        <v>0</v>
      </c>
      <c r="I169" t="n">
        <v>0</v>
      </c>
      <c r="J169" t="n">
        <v>0</v>
      </c>
      <c r="K169" t="n">
        <v>0</v>
      </c>
      <c r="L169" t="n">
        <v>0</v>
      </c>
      <c r="M169" t="n">
        <v>0</v>
      </c>
      <c r="N169" t="n">
        <v>0</v>
      </c>
    </row>
    <row r="170">
      <c r="A170" t="inlineStr">
        <is>
          <t>Oats</t>
        </is>
      </c>
      <c r="B170" t="inlineStr">
        <is>
          <t>fodder of 2 cart-horses from Michaelmas (29 September) until Lammas (1 August), for 306 nights, 19 quarters 1 bushels, at 0.5 bushels a night.</t>
        </is>
      </c>
      <c r="C170" t="n">
        <v>0</v>
      </c>
      <c r="D170" t="n">
        <v>0</v>
      </c>
      <c r="E170" t="n">
        <v>0</v>
      </c>
      <c r="F170" t="n">
        <v>0</v>
      </c>
      <c r="H170" t="n">
        <v>19</v>
      </c>
      <c r="I170" t="n">
        <v>0.5</v>
      </c>
      <c r="J170" t="n">
        <v>19.0625</v>
      </c>
      <c r="K170" t="n">
        <v>19.125</v>
      </c>
      <c r="L170" t="n">
        <v>-0.0625</v>
      </c>
      <c r="M170" t="n">
        <v>19</v>
      </c>
      <c r="N170" t="n">
        <v>1</v>
      </c>
      <c r="O170" t="n">
        <v>0</v>
      </c>
      <c r="P170" t="n">
        <v>0.5</v>
      </c>
    </row>
    <row r="171">
      <c r="A171" t="inlineStr">
        <is>
          <t>Oats</t>
        </is>
      </c>
      <c r="B171" t="inlineStr">
        <is>
          <t>.</t>
        </is>
      </c>
      <c r="C171" t="n">
        <v>0</v>
      </c>
      <c r="D171" t="n">
        <v>0</v>
      </c>
      <c r="E171" t="n">
        <v>0</v>
      </c>
      <c r="F171" t="n">
        <v>0</v>
      </c>
      <c r="H171" t="n">
        <v>0</v>
      </c>
      <c r="I171" t="n">
        <v>0</v>
      </c>
      <c r="J171" t="n">
        <v>0</v>
      </c>
      <c r="K171" t="n">
        <v>0</v>
      </c>
      <c r="L171" t="n">
        <v>0</v>
      </c>
      <c r="M171" t="n">
        <v>0</v>
      </c>
      <c r="N171" t="n">
        <v>0</v>
      </c>
    </row>
    <row r="172">
      <c r="A172" t="inlineStr">
        <is>
          <t>Oats</t>
        </is>
      </c>
      <c r="B172" t="inlineStr">
        <is>
          <t>fodder of 6 plough-horses from the feast of the Circumcision (1 January) until Sunday before the feast of St Augustine (20 May), for 140 nights, 17.5 quarters, at 1 bushels a night.</t>
        </is>
      </c>
      <c r="C172" t="n">
        <v>0</v>
      </c>
      <c r="D172" t="n">
        <v>0</v>
      </c>
      <c r="E172" t="n">
        <v>0</v>
      </c>
      <c r="F172" t="n">
        <v>0</v>
      </c>
      <c r="H172" t="n">
        <v>17.5</v>
      </c>
      <c r="I172" t="n">
        <v>1</v>
      </c>
      <c r="J172" t="n">
        <v>17.625</v>
      </c>
      <c r="K172" t="n">
        <v>17.5</v>
      </c>
      <c r="L172" t="n">
        <v>0.125</v>
      </c>
      <c r="M172" t="n">
        <v>17.5</v>
      </c>
      <c r="N172" t="n">
        <v>0</v>
      </c>
      <c r="O172" t="n">
        <v>0</v>
      </c>
      <c r="P172" t="n">
        <v>1</v>
      </c>
    </row>
    <row r="173">
      <c r="A173" t="inlineStr">
        <is>
          <t>Oats</t>
        </is>
      </c>
      <c r="B173" t="inlineStr">
        <is>
          <t>.</t>
        </is>
      </c>
      <c r="C173" t="n">
        <v>0</v>
      </c>
      <c r="D173" t="n">
        <v>0</v>
      </c>
      <c r="E173" t="n">
        <v>0</v>
      </c>
      <c r="F173" t="n">
        <v>0</v>
      </c>
      <c r="H173" t="n">
        <v>0</v>
      </c>
      <c r="I173" t="n">
        <v>0</v>
      </c>
      <c r="J173" t="n">
        <v>0</v>
      </c>
      <c r="K173" t="n">
        <v>0</v>
      </c>
      <c r="L173" t="n">
        <v>0</v>
      </c>
      <c r="M173" t="n">
        <v>0</v>
      </c>
      <c r="N173" t="n">
        <v>0</v>
      </c>
    </row>
    <row r="174">
      <c r="A174" t="inlineStr">
        <is>
          <t>Oats</t>
        </is>
      </c>
      <c r="B174" t="inlineStr">
        <is>
          <t>fodder of the same when they ploughed after dinner, 0.5 quarters.</t>
        </is>
      </c>
      <c r="C174" t="n">
        <v>0</v>
      </c>
      <c r="D174" t="n">
        <v>0</v>
      </c>
      <c r="E174" t="n">
        <v>0</v>
      </c>
      <c r="F174" t="n">
        <v>0</v>
      </c>
      <c r="H174" t="n">
        <v>0.5</v>
      </c>
      <c r="I174" t="n">
        <v>0</v>
      </c>
      <c r="J174" t="n">
        <v>0.5</v>
      </c>
      <c r="K174" t="n">
        <v>0.5</v>
      </c>
      <c r="L174" t="n">
        <v>0</v>
      </c>
      <c r="M174" t="n">
        <v>0.5</v>
      </c>
      <c r="N174" t="n">
        <v>0</v>
      </c>
    </row>
    <row r="175">
      <c r="A175" t="inlineStr">
        <is>
          <t>Oats</t>
        </is>
      </c>
      <c r="B175" t="inlineStr">
        <is>
          <t>.</t>
        </is>
      </c>
      <c r="C175" t="n">
        <v>0</v>
      </c>
      <c r="D175" t="n">
        <v>0</v>
      </c>
      <c r="E175" t="n">
        <v>0</v>
      </c>
      <c r="F175" t="n">
        <v>0</v>
      </c>
      <c r="H175" t="n">
        <v>0</v>
      </c>
      <c r="I175" t="n">
        <v>0</v>
      </c>
      <c r="J175" t="n">
        <v>0</v>
      </c>
      <c r="K175" t="n">
        <v>0</v>
      </c>
      <c r="L175" t="n">
        <v>0</v>
      </c>
      <c r="M175" t="n">
        <v>0</v>
      </c>
      <c r="N175" t="n">
        <v>0</v>
      </c>
    </row>
    <row r="176">
      <c r="A176" t="inlineStr">
        <is>
          <t>Oats</t>
        </is>
      </c>
      <c r="B176" t="inlineStr">
        <is>
          <t>customary payment to 1 ploughman and 1 shepherd, 1.5 quarters.</t>
        </is>
      </c>
      <c r="C176" t="n">
        <v>0</v>
      </c>
      <c r="D176" t="n">
        <v>0</v>
      </c>
      <c r="E176" t="n">
        <v>0</v>
      </c>
      <c r="F176" t="n">
        <v>0</v>
      </c>
      <c r="H176" t="n">
        <v>1.5</v>
      </c>
      <c r="I176" t="n">
        <v>0</v>
      </c>
      <c r="J176" t="n">
        <v>1.5</v>
      </c>
      <c r="K176" t="n">
        <v>1.5</v>
      </c>
      <c r="L176" t="n">
        <v>0</v>
      </c>
      <c r="M176" t="n">
        <v>1.5</v>
      </c>
      <c r="N176" t="n">
        <v>0</v>
      </c>
    </row>
    <row r="177">
      <c r="A177" t="inlineStr">
        <is>
          <t>Oats</t>
        </is>
      </c>
      <c r="B177" t="inlineStr">
        <is>
          <t>Total, 65 quarters 1 bushels It balances.</t>
        </is>
      </c>
      <c r="C177" t="n">
        <v>0</v>
      </c>
      <c r="D177" t="n">
        <v>0</v>
      </c>
      <c r="E177" t="n">
        <v>0</v>
      </c>
      <c r="F177" t="n">
        <v>0</v>
      </c>
      <c r="H177" t="n">
        <v>65</v>
      </c>
      <c r="I177" t="n">
        <v>1</v>
      </c>
      <c r="J177" t="n">
        <v>65.125</v>
      </c>
      <c r="K177" t="n">
        <v>65.125</v>
      </c>
      <c r="L177" t="n">
        <v>0</v>
      </c>
      <c r="M177" t="n">
        <v>65</v>
      </c>
      <c r="N177" t="n">
        <v>1</v>
      </c>
    </row>
    <row r="178">
      <c r="A178" t="inlineStr">
        <is>
          <t>Wheat from tithes: 65 qrs 7 bus. from the whole issue of wheat by struck measure;</t>
        </is>
      </c>
      <c r="B178" t="inlineStr">
        <is>
          <t>all solpence</t>
        </is>
      </c>
      <c r="C178" t="n">
        <v>0</v>
      </c>
      <c r="D178" t="n">
        <v>0</v>
      </c>
      <c r="E178" t="n">
        <v>0</v>
      </c>
      <c r="F178" t="n">
        <v>0</v>
      </c>
      <c r="H178" t="n">
        <v>0</v>
      </c>
      <c r="I178" t="n">
        <v>0</v>
      </c>
      <c r="J178" t="n">
        <v>0</v>
      </c>
      <c r="K178" t="n">
        <v>0</v>
      </c>
      <c r="L178" t="n">
        <v>0</v>
      </c>
      <c r="M178" t="n">
        <v>0</v>
      </c>
      <c r="N178" t="n">
        <v>0</v>
      </c>
    </row>
    <row r="179">
      <c r="A179" t="inlineStr">
        <is>
          <t>Stock</t>
        </is>
      </c>
      <c r="B179" t="inlineStr">
        <is>
          <t>Cart-horses: 3 remain from the previous year.</t>
        </is>
      </c>
      <c r="C179" t="n">
        <v>0</v>
      </c>
      <c r="D179" t="n">
        <v>0</v>
      </c>
      <c r="E179" t="n">
        <v>0</v>
      </c>
      <c r="F179" t="n">
        <v>0</v>
      </c>
      <c r="H179" t="n">
        <v>0</v>
      </c>
      <c r="I179" t="n">
        <v>0</v>
      </c>
      <c r="J179" t="n">
        <v>0</v>
      </c>
      <c r="K179" t="n">
        <v>0</v>
      </c>
      <c r="L179" t="n">
        <v>0</v>
      </c>
      <c r="M179" t="n">
        <v>0</v>
      </c>
      <c r="N179" t="n">
        <v>0</v>
      </c>
    </row>
    <row r="180">
      <c r="A180" t="inlineStr">
        <is>
          <t>Stock</t>
        </is>
      </c>
      <c r="B180" t="inlineStr">
        <is>
          <t>1 bought.</t>
        </is>
      </c>
      <c r="C180" t="n">
        <v>0</v>
      </c>
      <c r="D180" t="n">
        <v>0</v>
      </c>
      <c r="E180" t="n">
        <v>0</v>
      </c>
      <c r="F180" t="n">
        <v>0</v>
      </c>
      <c r="H180" t="n">
        <v>0</v>
      </c>
      <c r="I180" t="n">
        <v>0</v>
      </c>
      <c r="J180" t="n">
        <v>0</v>
      </c>
      <c r="K180" t="n">
        <v>0</v>
      </c>
      <c r="L180" t="n">
        <v>0</v>
      </c>
      <c r="M180" t="n">
        <v>0</v>
      </c>
      <c r="N180" t="n">
        <v>0</v>
      </c>
    </row>
    <row r="181">
      <c r="A181" t="inlineStr">
        <is>
          <t>Stock</t>
        </is>
      </c>
      <c r="B181" t="inlineStr">
        <is>
          <t>Total, 4. 1 added to plough-horses.</t>
        </is>
      </c>
      <c r="C181" t="n">
        <v>0</v>
      </c>
      <c r="D181" t="n">
        <v>0</v>
      </c>
      <c r="E181" t="n">
        <v>0</v>
      </c>
      <c r="F181" t="n">
        <v>0</v>
      </c>
      <c r="H181" t="n">
        <v>0</v>
      </c>
      <c r="I181" t="n">
        <v>0</v>
      </c>
      <c r="J181" t="n">
        <v>0</v>
      </c>
      <c r="K181" t="n">
        <v>0</v>
      </c>
      <c r="L181" t="n">
        <v>0</v>
      </c>
      <c r="M181" t="n">
        <v>0</v>
      </c>
      <c r="N181" t="n">
        <v>0</v>
      </c>
    </row>
    <row r="182">
      <c r="A182" t="inlineStr">
        <is>
          <t>Stock</t>
        </is>
      </c>
      <c r="B182" t="inlineStr">
        <is>
          <t>2 remain.</t>
        </is>
      </c>
      <c r="C182" t="n">
        <v>0</v>
      </c>
      <c r="D182" t="n">
        <v>0</v>
      </c>
      <c r="E182" t="n">
        <v>0</v>
      </c>
      <c r="F182" t="n">
        <v>0</v>
      </c>
      <c r="H182" t="n">
        <v>0</v>
      </c>
      <c r="I182" t="n">
        <v>0</v>
      </c>
      <c r="J182" t="n">
        <v>0</v>
      </c>
      <c r="K182" t="n">
        <v>0</v>
      </c>
      <c r="L182" t="n">
        <v>0</v>
      </c>
      <c r="M182" t="n">
        <v>0</v>
      </c>
      <c r="N182" t="n">
        <v>0</v>
      </c>
    </row>
    <row r="183">
      <c r="A183" t="inlineStr">
        <is>
          <t>Stock</t>
        </is>
      </c>
      <c r="B183" t="inlineStr">
        <is>
          <t>Plough-horses: 6 remain from the previous year.</t>
        </is>
      </c>
      <c r="C183" t="n">
        <v>0</v>
      </c>
      <c r="D183" t="n">
        <v>0</v>
      </c>
      <c r="E183" t="n">
        <v>0</v>
      </c>
      <c r="F183" t="n">
        <v>0</v>
      </c>
      <c r="H183" t="n">
        <v>0</v>
      </c>
      <c r="I183" t="n">
        <v>0</v>
      </c>
      <c r="J183" t="n">
        <v>0</v>
      </c>
      <c r="K183" t="n">
        <v>0</v>
      </c>
      <c r="L183" t="n">
        <v>0</v>
      </c>
      <c r="M183" t="n">
        <v>0</v>
      </c>
      <c r="N183" t="n">
        <v>0</v>
      </c>
    </row>
    <row r="184">
      <c r="A184" t="inlineStr">
        <is>
          <t>Stock</t>
        </is>
      </c>
      <c r="B184" t="inlineStr">
        <is>
          <t>1 added from cart-horses.</t>
        </is>
      </c>
      <c r="C184" t="n">
        <v>0</v>
      </c>
      <c r="D184" t="n">
        <v>0</v>
      </c>
      <c r="E184" t="n">
        <v>0</v>
      </c>
      <c r="F184" t="n">
        <v>0</v>
      </c>
      <c r="H184" t="n">
        <v>0</v>
      </c>
      <c r="I184" t="n">
        <v>0</v>
      </c>
      <c r="J184" t="n">
        <v>0</v>
      </c>
      <c r="K184" t="n">
        <v>0</v>
      </c>
      <c r="L184" t="n">
        <v>0</v>
      </c>
      <c r="M184" t="n">
        <v>0</v>
      </c>
      <c r="N184" t="n">
        <v>0</v>
      </c>
    </row>
    <row r="185">
      <c r="A185" t="inlineStr">
        <is>
          <t>Stock</t>
        </is>
      </c>
      <c r="B185" t="inlineStr">
        <is>
          <t>1 bought.</t>
        </is>
      </c>
      <c r="C185" t="n">
        <v>0</v>
      </c>
      <c r="D185" t="n">
        <v>0</v>
      </c>
      <c r="E185" t="n">
        <v>0</v>
      </c>
      <c r="F185" t="n">
        <v>0</v>
      </c>
      <c r="H185" t="n">
        <v>0</v>
      </c>
      <c r="I185" t="n">
        <v>0</v>
      </c>
      <c r="J185" t="n">
        <v>0</v>
      </c>
      <c r="K185" t="n">
        <v>0</v>
      </c>
      <c r="L185" t="n">
        <v>0</v>
      </c>
      <c r="M185" t="n">
        <v>0</v>
      </c>
      <c r="N185" t="n">
        <v>0</v>
      </c>
    </row>
    <row r="186">
      <c r="A186" t="inlineStr">
        <is>
          <t>Stock</t>
        </is>
      </c>
      <c r="B186" t="inlineStr">
        <is>
          <t>Total, 8. 1 sold.</t>
        </is>
      </c>
      <c r="C186" t="n">
        <v>0</v>
      </c>
      <c r="D186" t="n">
        <v>0</v>
      </c>
      <c r="E186" t="n">
        <v>0</v>
      </c>
      <c r="F186" t="n">
        <v>0</v>
      </c>
      <c r="H186" t="n">
        <v>0</v>
      </c>
      <c r="I186" t="n">
        <v>0</v>
      </c>
      <c r="J186" t="n">
        <v>0</v>
      </c>
      <c r="K186" t="n">
        <v>0</v>
      </c>
      <c r="L186" t="n">
        <v>0</v>
      </c>
      <c r="M186" t="n">
        <v>0</v>
      </c>
      <c r="N186" t="n">
        <v>0</v>
      </c>
    </row>
    <row r="187">
      <c r="A187" t="inlineStr">
        <is>
          <t>Stock</t>
        </is>
      </c>
      <c r="B187" t="inlineStr">
        <is>
          <t>7 remain.</t>
        </is>
      </c>
      <c r="C187" t="n">
        <v>0</v>
      </c>
      <c r="D187" t="n">
        <v>0</v>
      </c>
      <c r="E187" t="n">
        <v>0</v>
      </c>
      <c r="F187" t="n">
        <v>0</v>
      </c>
      <c r="H187" t="n">
        <v>0</v>
      </c>
      <c r="I187" t="n">
        <v>0</v>
      </c>
      <c r="J187" t="n">
        <v>0</v>
      </c>
      <c r="K187" t="n">
        <v>0</v>
      </c>
      <c r="L187" t="n">
        <v>0</v>
      </c>
      <c r="M187" t="n">
        <v>0</v>
      </c>
      <c r="N187" t="n">
        <v>0</v>
      </c>
    </row>
    <row r="188">
      <c r="A188" t="inlineStr">
        <is>
          <t>Stock</t>
        </is>
      </c>
      <c r="B188" t="inlineStr">
        <is>
          <t>Oxen: 1 from the heriot of William de Pydeham.</t>
        </is>
      </c>
      <c r="C188" t="n">
        <v>0</v>
      </c>
      <c r="D188" t="n">
        <v>0</v>
      </c>
      <c r="E188" t="n">
        <v>0</v>
      </c>
      <c r="F188" t="n">
        <v>0</v>
      </c>
      <c r="H188" t="n">
        <v>0</v>
      </c>
      <c r="I188" t="n">
        <v>0</v>
      </c>
      <c r="J188" t="n">
        <v>0</v>
      </c>
      <c r="K188" t="n">
        <v>0</v>
      </c>
      <c r="L188" t="n">
        <v>0</v>
      </c>
      <c r="M188" t="n">
        <v>0</v>
      </c>
      <c r="N188" t="n">
        <v>0</v>
      </c>
    </row>
    <row r="189">
      <c r="A189" t="inlineStr">
        <is>
          <t>Stock</t>
        </is>
      </c>
      <c r="B189" t="inlineStr">
        <is>
          <t>1 remains.</t>
        </is>
      </c>
      <c r="C189" t="n">
        <v>0</v>
      </c>
      <c r="D189" t="n">
        <v>0</v>
      </c>
      <c r="E189" t="n">
        <v>0</v>
      </c>
      <c r="F189" t="n">
        <v>0</v>
      </c>
      <c r="H189" t="n">
        <v>0</v>
      </c>
      <c r="I189" t="n">
        <v>0</v>
      </c>
      <c r="J189" t="n">
        <v>0</v>
      </c>
      <c r="K189" t="n">
        <v>0</v>
      </c>
      <c r="L189" t="n">
        <v>0</v>
      </c>
      <c r="M189" t="n">
        <v>0</v>
      </c>
      <c r="N189" t="n">
        <v>0</v>
      </c>
    </row>
    <row r="190">
      <c r="A190" t="inlineStr">
        <is>
          <t>Stock</t>
        </is>
      </c>
      <c r="B190" t="inlineStr">
        <is>
          <t>Wethers: 205 remain from the previous year.</t>
        </is>
      </c>
      <c r="C190" t="n">
        <v>0</v>
      </c>
      <c r="D190" t="n">
        <v>0</v>
      </c>
      <c r="E190" t="n">
        <v>0</v>
      </c>
      <c r="F190" t="n">
        <v>0</v>
      </c>
      <c r="H190" t="n">
        <v>0</v>
      </c>
      <c r="I190" t="n">
        <v>0</v>
      </c>
      <c r="J190" t="n">
        <v>0</v>
      </c>
      <c r="K190" t="n">
        <v>0</v>
      </c>
      <c r="L190" t="n">
        <v>0</v>
      </c>
      <c r="M190" t="n">
        <v>0</v>
      </c>
      <c r="N190" t="n">
        <v>0</v>
      </c>
    </row>
    <row r="191">
      <c r="A191" t="inlineStr">
        <is>
          <t>Stock</t>
        </is>
      </c>
      <c r="B191" t="inlineStr">
        <is>
          <t>50 received from the reeve of the manor after shearing.</t>
        </is>
      </c>
      <c r="C191" t="n">
        <v>0</v>
      </c>
      <c r="D191" t="n">
        <v>0</v>
      </c>
      <c r="E191" t="n">
        <v>0</v>
      </c>
      <c r="F191" t="n">
        <v>0</v>
      </c>
      <c r="H191" t="n">
        <v>0</v>
      </c>
      <c r="I191" t="n">
        <v>0</v>
      </c>
      <c r="J191" t="n">
        <v>0</v>
      </c>
      <c r="K191" t="n">
        <v>0</v>
      </c>
      <c r="L191" t="n">
        <v>0</v>
      </c>
      <c r="M191" t="n">
        <v>0</v>
      </c>
      <c r="N191" t="n">
        <v>0</v>
      </c>
    </row>
    <row r="192">
      <c r="A192" t="inlineStr">
        <is>
          <t>Stock</t>
        </is>
      </c>
      <c r="B192" t="inlineStr">
        <is>
          <t>Total, 255. 5 sold at Martinmas.</t>
        </is>
      </c>
      <c r="C192" t="n">
        <v>0</v>
      </c>
      <c r="D192" t="n">
        <v>0</v>
      </c>
      <c r="E192" t="n">
        <v>0</v>
      </c>
      <c r="F192" t="n">
        <v>0</v>
      </c>
      <c r="H192" t="n">
        <v>0</v>
      </c>
      <c r="I192" t="n">
        <v>0</v>
      </c>
      <c r="J192" t="n">
        <v>0</v>
      </c>
      <c r="K192" t="n">
        <v>0</v>
      </c>
      <c r="L192" t="n">
        <v>0</v>
      </c>
      <c r="M192" t="n">
        <v>0</v>
      </c>
      <c r="N192" t="n">
        <v>0</v>
      </c>
    </row>
    <row r="193">
      <c r="A193" t="inlineStr">
        <is>
          <t>Stock</t>
        </is>
      </c>
      <c r="B193" t="inlineStr">
        <is>
          <t>20 in murrain before shearing, 21 after shearing.</t>
        </is>
      </c>
      <c r="C193" t="n">
        <v>0</v>
      </c>
      <c r="D193" t="n">
        <v>0</v>
      </c>
      <c r="E193" t="n">
        <v>0</v>
      </c>
      <c r="F193" t="n">
        <v>0</v>
      </c>
      <c r="H193" t="n">
        <v>0</v>
      </c>
      <c r="I193" t="n">
        <v>0</v>
      </c>
      <c r="J193" t="n">
        <v>0</v>
      </c>
      <c r="K193" t="n">
        <v>0</v>
      </c>
      <c r="L193" t="n">
        <v>0</v>
      </c>
      <c r="M193" t="n">
        <v>0</v>
      </c>
      <c r="N193" t="n">
        <v>0</v>
      </c>
    </row>
    <row r="194">
      <c r="A194" t="inlineStr">
        <is>
          <t>Stock</t>
        </is>
      </c>
      <c r="B194" t="inlineStr">
        <is>
          <t>Total, 46. 209 remain.</t>
        </is>
      </c>
      <c r="C194" t="n">
        <v>0</v>
      </c>
      <c r="D194" t="n">
        <v>0</v>
      </c>
      <c r="E194" t="n">
        <v>0</v>
      </c>
      <c r="F194" t="n">
        <v>0</v>
      </c>
      <c r="H194" t="n">
        <v>0</v>
      </c>
      <c r="I194" t="n">
        <v>0</v>
      </c>
      <c r="J194" t="n">
        <v>0</v>
      </c>
      <c r="K194" t="n">
        <v>0</v>
      </c>
      <c r="L194" t="n">
        <v>0</v>
      </c>
      <c r="M194" t="n">
        <v>0</v>
      </c>
      <c r="N194" t="n">
        <v>0</v>
      </c>
    </row>
    <row r="195">
      <c r="A195" t="inlineStr">
        <is>
          <t>Stock</t>
        </is>
      </c>
      <c r="B195" t="inlineStr">
        <is>
          <t>Lambs: 150 from tithes this year.</t>
        </is>
      </c>
      <c r="C195" t="n">
        <v>0</v>
      </c>
      <c r="D195" t="n">
        <v>0</v>
      </c>
      <c r="E195" t="n">
        <v>0</v>
      </c>
      <c r="F195" t="n">
        <v>0</v>
      </c>
      <c r="H195" t="n">
        <v>0</v>
      </c>
      <c r="I195" t="n">
        <v>0</v>
      </c>
      <c r="J195" t="n">
        <v>0</v>
      </c>
      <c r="K195" t="n">
        <v>0</v>
      </c>
      <c r="L195" t="n">
        <v>0</v>
      </c>
      <c r="M195" t="n">
        <v>0</v>
      </c>
      <c r="N195" t="n">
        <v>0</v>
      </c>
    </row>
    <row r="196">
      <c r="A196" t="inlineStr">
        <is>
          <t>Stock</t>
        </is>
      </c>
      <c r="B196" t="inlineStr">
        <is>
          <t>29 delivered to the reeve of the manor.</t>
        </is>
      </c>
      <c r="C196" t="n">
        <v>0</v>
      </c>
      <c r="D196" t="n">
        <v>0</v>
      </c>
      <c r="E196" t="n">
        <v>0</v>
      </c>
      <c r="F196" t="n">
        <v>0</v>
      </c>
      <c r="H196" t="n">
        <v>0</v>
      </c>
      <c r="I196" t="n">
        <v>0</v>
      </c>
      <c r="J196" t="n">
        <v>0</v>
      </c>
      <c r="K196" t="n">
        <v>0</v>
      </c>
      <c r="L196" t="n">
        <v>0</v>
      </c>
      <c r="M196" t="n">
        <v>0</v>
      </c>
      <c r="N196" t="n">
        <v>0</v>
      </c>
    </row>
    <row r="197">
      <c r="A197" t="inlineStr">
        <is>
          <t>Stock</t>
        </is>
      </c>
      <c r="B197" t="inlineStr">
        <is>
          <t>121 solpence</t>
        </is>
      </c>
      <c r="C197" t="n">
        <v>0</v>
      </c>
      <c r="D197" t="n">
        <v>0</v>
      </c>
      <c r="E197" t="n">
        <v>0</v>
      </c>
      <c r="F197" t="n">
        <v>0</v>
      </c>
      <c r="H197" t="n">
        <v>0</v>
      </c>
      <c r="I197" t="n">
        <v>0</v>
      </c>
      <c r="J197" t="n">
        <v>0</v>
      </c>
      <c r="K197" t="n">
        <v>0</v>
      </c>
      <c r="L197" t="n">
        <v>0</v>
      </c>
      <c r="M197" t="n">
        <v>0</v>
      </c>
      <c r="N197" t="n">
        <v>0</v>
      </c>
    </row>
    <row r="198">
      <c r="A198" t="inlineStr">
        <is>
          <t>Stock</t>
        </is>
      </c>
      <c r="B198" t="inlineStr">
        <is>
          <t>Wool: from the demesne, wool from tithes {henceforth enumerate the fleeces from tithes): 180 fleeces from wethers produced at the shearing this year.</t>
        </is>
      </c>
      <c r="C198" t="n">
        <v>0</v>
      </c>
      <c r="D198" t="n">
        <v>0</v>
      </c>
      <c r="E198" t="n">
        <v>0</v>
      </c>
      <c r="F198" t="n">
        <v>0</v>
      </c>
      <c r="H198" t="n">
        <v>0</v>
      </c>
      <c r="I198" t="n">
        <v>0</v>
      </c>
      <c r="J198" t="n">
        <v>0</v>
      </c>
      <c r="K198" t="n">
        <v>0</v>
      </c>
      <c r="L198" t="n">
        <v>0</v>
      </c>
      <c r="M198" t="n">
        <v>0</v>
      </c>
      <c r="N198" t="n">
        <v>0</v>
      </c>
    </row>
    <row r="199">
      <c r="A199" t="inlineStr">
        <is>
          <t>Stock</t>
        </is>
      </c>
      <c r="B199" t="inlineStr">
        <is>
          <t>delivered to Wolvesey, which made 3 weys 11 cloves with the wool from tithes.</t>
        </is>
      </c>
      <c r="C199" t="n">
        <v>0</v>
      </c>
      <c r="D199" t="n">
        <v>0</v>
      </c>
      <c r="E199" t="n">
        <v>0</v>
      </c>
      <c r="F199" t="n">
        <v>0</v>
      </c>
      <c r="H199" t="n">
        <v>0</v>
      </c>
      <c r="I199" t="n">
        <v>0</v>
      </c>
      <c r="J199" t="n">
        <v>0</v>
      </c>
      <c r="K199" t="n">
        <v>0</v>
      </c>
      <c r="L199" t="n">
        <v>0</v>
      </c>
      <c r="M199" t="n">
        <v>0</v>
      </c>
      <c r="N199" t="n">
        <v>0</v>
      </c>
    </row>
    <row r="200">
      <c r="A200" t="inlineStr">
        <is>
          <t>Stock</t>
        </is>
      </c>
      <c r="B200" t="inlineStr">
        <is>
          <t>Cheese from tithes: 2 weys 2 cloves from tithes this year.</t>
        </is>
      </c>
      <c r="C200" t="n">
        <v>0</v>
      </c>
      <c r="D200" t="n">
        <v>0</v>
      </c>
      <c r="E200" t="n">
        <v>0</v>
      </c>
      <c r="F200" t="n">
        <v>0</v>
      </c>
      <c r="H200" t="n">
        <v>0</v>
      </c>
      <c r="I200" t="n">
        <v>0</v>
      </c>
      <c r="J200" t="n">
        <v>0</v>
      </c>
      <c r="K200" t="n">
        <v>0</v>
      </c>
      <c r="L200" t="n">
        <v>0</v>
      </c>
      <c r="M200" t="n">
        <v>0</v>
      </c>
      <c r="N200" t="n">
        <v>0</v>
      </c>
    </row>
    <row r="201">
      <c r="A201" t="inlineStr">
        <is>
          <t>Stock</t>
        </is>
      </c>
      <c r="B201" t="inlineStr">
        <is>
          <t>all solpence</t>
        </is>
      </c>
      <c r="C201" t="n">
        <v>0</v>
      </c>
      <c r="D201" t="n">
        <v>0</v>
      </c>
      <c r="E201" t="n">
        <v>0</v>
      </c>
      <c r="F201" t="n">
        <v>0</v>
      </c>
      <c r="H201" t="n">
        <v>0</v>
      </c>
      <c r="I201" t="n">
        <v>0</v>
      </c>
      <c r="J201" t="n">
        <v>0</v>
      </c>
      <c r="K201" t="n">
        <v>0</v>
      </c>
      <c r="L201" t="n">
        <v>0</v>
      </c>
      <c r="M201" t="n">
        <v>0</v>
      </c>
      <c r="N201" t="n">
        <v>0</v>
      </c>
    </row>
    <row r="202">
      <c r="A202" t="inlineStr">
        <is>
          <t>Stock</t>
        </is>
      </c>
      <c r="B202" t="inlineStr">
        <is>
          <t>Piglets: 9 from tithes this year.</t>
        </is>
      </c>
      <c r="C202" t="n">
        <v>0</v>
      </c>
      <c r="D202" t="n">
        <v>0</v>
      </c>
      <c r="E202" t="n">
        <v>0</v>
      </c>
      <c r="F202" t="n">
        <v>0</v>
      </c>
      <c r="H202" t="n">
        <v>0</v>
      </c>
      <c r="I202" t="n">
        <v>0</v>
      </c>
      <c r="J202" t="n">
        <v>0</v>
      </c>
      <c r="K202" t="n">
        <v>0</v>
      </c>
      <c r="L202" t="n">
        <v>0</v>
      </c>
      <c r="M202" t="n">
        <v>0</v>
      </c>
      <c r="N202" t="n">
        <v>0</v>
      </c>
    </row>
    <row r="203">
      <c r="A203" t="inlineStr">
        <is>
          <t>Stock</t>
        </is>
      </c>
      <c r="B203" t="inlineStr">
        <is>
          <t>1 in murrain.</t>
        </is>
      </c>
      <c r="C203" t="n">
        <v>0</v>
      </c>
      <c r="D203" t="n">
        <v>0</v>
      </c>
      <c r="E203" t="n">
        <v>0</v>
      </c>
      <c r="F203" t="n">
        <v>0</v>
      </c>
      <c r="H203" t="n">
        <v>0</v>
      </c>
      <c r="I203" t="n">
        <v>0</v>
      </c>
      <c r="J203" t="n">
        <v>0</v>
      </c>
      <c r="K203" t="n">
        <v>0</v>
      </c>
      <c r="L203" t="n">
        <v>0</v>
      </c>
      <c r="M203" t="n">
        <v>0</v>
      </c>
      <c r="N203" t="n">
        <v>0</v>
      </c>
    </row>
    <row r="204">
      <c r="A204" t="inlineStr">
        <is>
          <t>Stock</t>
        </is>
      </c>
      <c r="B204" t="inlineStr">
        <is>
          <t>8 delivered to the reeve of the manor.</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Hens: 38 from churchscot. 1 in default of Isabel ate Stupe because a widow.</t>
        </is>
      </c>
      <c r="C206" t="n">
        <v>0</v>
      </c>
      <c r="D206" t="n">
        <v>0</v>
      </c>
      <c r="E206" t="n">
        <v>0</v>
      </c>
      <c r="F206" t="n">
        <v>0</v>
      </c>
      <c r="H206" t="n">
        <v>0</v>
      </c>
      <c r="I206" t="n">
        <v>0</v>
      </c>
      <c r="J206" t="n">
        <v>0</v>
      </c>
      <c r="K206" t="n">
        <v>0</v>
      </c>
      <c r="L206" t="n">
        <v>0</v>
      </c>
      <c r="M206" t="n">
        <v>0</v>
      </c>
      <c r="N206" t="n">
        <v>0</v>
      </c>
    </row>
    <row r="207">
      <c r="A207" t="inlineStr">
        <is>
          <t>Stock</t>
        </is>
      </c>
      <c r="B207" t="inlineStr">
        <is>
          <t>1 indefault of Othyn le Zenghe because he has no wife.</t>
        </is>
      </c>
      <c r="C207" t="n">
        <v>0</v>
      </c>
      <c r="D207" t="n">
        <v>0</v>
      </c>
      <c r="E207" t="n">
        <v>0</v>
      </c>
      <c r="F207" t="n">
        <v>0</v>
      </c>
      <c r="H207" t="n">
        <v>0</v>
      </c>
      <c r="I207" t="n">
        <v>0</v>
      </c>
      <c r="J207" t="n">
        <v>0</v>
      </c>
      <c r="K207" t="n">
        <v>0</v>
      </c>
      <c r="L207" t="n">
        <v>0</v>
      </c>
      <c r="M207" t="n">
        <v>0</v>
      </c>
      <c r="N207" t="n">
        <v>0</v>
      </c>
    </row>
    <row r="208">
      <c r="A208" t="inlineStr">
        <is>
          <t>Stock</t>
        </is>
      </c>
      <c r="B208" t="inlineStr">
        <is>
          <t>1 in default of John Mile for the same.</t>
        </is>
      </c>
      <c r="C208" t="n">
        <v>0</v>
      </c>
      <c r="D208" t="n">
        <v>0</v>
      </c>
      <c r="E208" t="n">
        <v>0</v>
      </c>
      <c r="F208" t="n">
        <v>0</v>
      </c>
      <c r="H208" t="n">
        <v>0</v>
      </c>
      <c r="I208" t="n">
        <v>0</v>
      </c>
      <c r="J208" t="n">
        <v>0</v>
      </c>
      <c r="K208" t="n">
        <v>0</v>
      </c>
      <c r="L208" t="n">
        <v>0</v>
      </c>
      <c r="M208" t="n">
        <v>0</v>
      </c>
      <c r="N208" t="n">
        <v>0</v>
      </c>
    </row>
    <row r="209">
      <c r="A209" t="inlineStr">
        <is>
          <t>Stock</t>
        </is>
      </c>
      <c r="B209" t="inlineStr">
        <is>
          <t>Total, 3. 35 solpence</t>
        </is>
      </c>
      <c r="C209" t="n">
        <v>0</v>
      </c>
      <c r="D209" t="n">
        <v>0</v>
      </c>
      <c r="E209" t="n">
        <v>0</v>
      </c>
      <c r="F209" t="n">
        <v>0</v>
      </c>
      <c r="H209" t="n">
        <v>0</v>
      </c>
      <c r="I209" t="n">
        <v>0</v>
      </c>
      <c r="J209" t="n">
        <v>0</v>
      </c>
      <c r="K209" t="n">
        <v>0</v>
      </c>
      <c r="L209" t="n">
        <v>0</v>
      </c>
      <c r="M209" t="n">
        <v>0</v>
      </c>
      <c r="N209" t="n">
        <v>0</v>
      </c>
    </row>
    <row r="210">
      <c r="A210" t="inlineStr">
        <is>
          <t>Stock</t>
        </is>
      </c>
      <c r="B210" t="inlineStr">
        <is>
          <t>Pigeons: 10 dozen from the issue of the dovecote this year.</t>
        </is>
      </c>
      <c r="C210" t="n">
        <v>0</v>
      </c>
      <c r="D210" t="n">
        <v>0</v>
      </c>
      <c r="E210" t="n">
        <v>0</v>
      </c>
      <c r="F210" t="n">
        <v>0</v>
      </c>
      <c r="H210" t="n">
        <v>0</v>
      </c>
      <c r="I210" t="n">
        <v>0</v>
      </c>
      <c r="J210" t="n">
        <v>0</v>
      </c>
      <c r="K210" t="n">
        <v>0</v>
      </c>
      <c r="L210" t="n">
        <v>0</v>
      </c>
      <c r="M210" t="n">
        <v>0</v>
      </c>
      <c r="N210" t="n">
        <v>0</v>
      </c>
    </row>
    <row r="211">
      <c r="A211" t="inlineStr">
        <is>
          <t>Stock</t>
        </is>
      </c>
      <c r="B211" t="inlineStr">
        <is>
          <t>all solpence</t>
        </is>
      </c>
      <c r="C211" t="n">
        <v>0</v>
      </c>
      <c r="D211" t="n">
        <v>0</v>
      </c>
      <c r="E211" t="n">
        <v>0</v>
      </c>
      <c r="F211" t="n">
        <v>0</v>
      </c>
      <c r="H211" t="n">
        <v>0</v>
      </c>
      <c r="I211" t="n">
        <v>0</v>
      </c>
      <c r="J211" t="n">
        <v>0</v>
      </c>
      <c r="K211" t="n">
        <v>0</v>
      </c>
      <c r="L211" t="n">
        <v>0</v>
      </c>
      <c r="M211" t="n">
        <v>0</v>
      </c>
      <c r="N211" t="n">
        <v>0</v>
      </c>
    </row>
    <row r="212">
      <c r="A212" t="inlineStr">
        <is>
          <t>Stock</t>
        </is>
      </c>
      <c r="B212" t="inlineStr">
        <is>
          <t>Geese: 26 from tithes this year, because the geese from the tithes of the chapels of Steep, Ocshute and Froxfield were sold with the corn from the farms of the same chapels.</t>
        </is>
      </c>
      <c r="C212" t="n">
        <v>0</v>
      </c>
      <c r="D212" t="n">
        <v>0</v>
      </c>
      <c r="E212" t="n">
        <v>0</v>
      </c>
      <c r="F212" t="n">
        <v>0</v>
      </c>
      <c r="H212" t="n">
        <v>0</v>
      </c>
      <c r="I212" t="n">
        <v>0</v>
      </c>
      <c r="J212" t="n">
        <v>0</v>
      </c>
      <c r="K212" t="n">
        <v>0</v>
      </c>
      <c r="L212" t="n">
        <v>0</v>
      </c>
      <c r="M212" t="n">
        <v>0</v>
      </c>
      <c r="N212" t="n">
        <v>0</v>
      </c>
    </row>
    <row r="213">
      <c r="A213" t="inlineStr">
        <is>
          <t>Stock</t>
        </is>
      </c>
      <c r="B213" t="inlineStr">
        <is>
          <t>all solpence</t>
        </is>
      </c>
      <c r="C213" t="n">
        <v>0</v>
      </c>
      <c r="D213" t="n">
        <v>0</v>
      </c>
      <c r="E213" t="n">
        <v>0</v>
      </c>
      <c r="F213" t="n">
        <v>0</v>
      </c>
      <c r="H213" t="n">
        <v>0</v>
      </c>
      <c r="I213" t="n">
        <v>0</v>
      </c>
      <c r="J213" t="n">
        <v>0</v>
      </c>
      <c r="K213" t="n">
        <v>0</v>
      </c>
      <c r="L213" t="n">
        <v>0</v>
      </c>
      <c r="M213" t="n">
        <v>0</v>
      </c>
      <c r="N213" t="n">
        <v>0</v>
      </c>
    </row>
    <row r="214">
      <c r="A214" t="inlineStr">
        <is>
          <t>Stock</t>
        </is>
      </c>
      <c r="B214" t="inlineStr">
        <is>
          <t>Cider: 3 casks remain from the previous year.</t>
        </is>
      </c>
      <c r="C214" t="n">
        <v>0</v>
      </c>
      <c r="D214" t="n">
        <v>0</v>
      </c>
      <c r="E214" t="n">
        <v>0</v>
      </c>
      <c r="F214" t="n">
        <v>0</v>
      </c>
      <c r="H214" t="n">
        <v>0</v>
      </c>
      <c r="I214" t="n">
        <v>0</v>
      </c>
      <c r="J214" t="n">
        <v>0</v>
      </c>
      <c r="K214" t="n">
        <v>0</v>
      </c>
      <c r="L214" t="n">
        <v>0</v>
      </c>
      <c r="M214" t="n">
        <v>0</v>
      </c>
      <c r="N214" t="n">
        <v>0</v>
      </c>
    </row>
    <row r="215">
      <c r="A215" t="inlineStr">
        <is>
          <t>Stock</t>
        </is>
      </c>
      <c r="B215" t="inlineStr">
        <is>
          <t>12 made this year.</t>
        </is>
      </c>
      <c r="C215" t="n">
        <v>0</v>
      </c>
      <c r="D215" t="n">
        <v>0</v>
      </c>
      <c r="E215" t="n">
        <v>0</v>
      </c>
      <c r="F215" t="n">
        <v>0</v>
      </c>
      <c r="H215" t="n">
        <v>0</v>
      </c>
      <c r="I215" t="n">
        <v>0</v>
      </c>
      <c r="J215" t="n">
        <v>0</v>
      </c>
      <c r="K215" t="n">
        <v>0</v>
      </c>
      <c r="L215" t="n">
        <v>0</v>
      </c>
      <c r="M215" t="n">
        <v>0</v>
      </c>
      <c r="N215" t="n">
        <v>0</v>
      </c>
    </row>
    <row r="216">
      <c r="A216" t="inlineStr">
        <is>
          <t>Stock</t>
        </is>
      </c>
      <c r="B216" t="inlineStr">
        <is>
          <t>Total, 15. 3 sold without the wood.</t>
        </is>
      </c>
      <c r="C216" t="n">
        <v>0</v>
      </c>
      <c r="D216" t="n">
        <v>0</v>
      </c>
      <c r="E216" t="n">
        <v>0</v>
      </c>
      <c r="F216" t="n">
        <v>0</v>
      </c>
      <c r="H216" t="n">
        <v>0</v>
      </c>
      <c r="I216" t="n">
        <v>0</v>
      </c>
      <c r="J216" t="n">
        <v>0</v>
      </c>
      <c r="K216" t="n">
        <v>0</v>
      </c>
      <c r="L216" t="n">
        <v>0</v>
      </c>
      <c r="M216" t="n">
        <v>0</v>
      </c>
      <c r="N216" t="n">
        <v>0</v>
      </c>
    </row>
    <row r="217">
      <c r="A217" t="inlineStr">
        <is>
          <t>Stock</t>
        </is>
      </c>
      <c r="B217" t="inlineStr">
        <is>
          <t>12 casks remain.</t>
        </is>
      </c>
      <c r="C217" t="n">
        <v>0</v>
      </c>
      <c r="D217" t="n">
        <v>0</v>
      </c>
      <c r="E217" t="n">
        <v>0</v>
      </c>
      <c r="F217" t="n">
        <v>0</v>
      </c>
      <c r="H217" t="n">
        <v>0</v>
      </c>
      <c r="I217" t="n">
        <v>0</v>
      </c>
      <c r="J217" t="n">
        <v>0</v>
      </c>
      <c r="K217" t="n">
        <v>0</v>
      </c>
      <c r="L217" t="n">
        <v>0</v>
      </c>
      <c r="M217" t="n">
        <v>0</v>
      </c>
      <c r="N217" t="n">
        <v>0</v>
      </c>
    </row>
    <row r="218">
      <c r="A218" t="inlineStr">
        <is>
          <t>Stock</t>
        </is>
      </c>
      <c r="B218" t="inlineStr">
        <is>
          <t>Utensils: 1 cart with iron tyres remains from the previous year.</t>
        </is>
      </c>
      <c r="C218" t="n">
        <v>0</v>
      </c>
      <c r="D218" t="n">
        <v>0</v>
      </c>
      <c r="E218" t="n">
        <v>0</v>
      </c>
      <c r="F218" t="n">
        <v>0</v>
      </c>
      <c r="H218" t="n">
        <v>0</v>
      </c>
      <c r="I218" t="n">
        <v>0</v>
      </c>
      <c r="J218" t="n">
        <v>0</v>
      </c>
      <c r="K218" t="n">
        <v>0</v>
      </c>
      <c r="L218" t="n">
        <v>0</v>
      </c>
      <c r="M218" t="n">
        <v>0</v>
      </c>
      <c r="N218" t="n">
        <v>0</v>
      </c>
    </row>
    <row r="219">
      <c r="A219" t="inlineStr">
        <is>
          <t>Stock</t>
        </is>
      </c>
      <c r="B219" t="inlineStr">
        <is>
          <t>1 made anew this year.</t>
        </is>
      </c>
      <c r="C219" t="n">
        <v>0</v>
      </c>
      <c r="D219" t="n">
        <v>0</v>
      </c>
      <c r="E219" t="n">
        <v>0</v>
      </c>
      <c r="F219" t="n">
        <v>0</v>
      </c>
      <c r="H219" t="n">
        <v>0</v>
      </c>
      <c r="I219" t="n">
        <v>0</v>
      </c>
      <c r="J219" t="n">
        <v>0</v>
      </c>
      <c r="K219" t="n">
        <v>0</v>
      </c>
      <c r="L219" t="n">
        <v>0</v>
      </c>
      <c r="M219" t="n">
        <v>0</v>
      </c>
      <c r="N219" t="n">
        <v>0</v>
      </c>
    </row>
    <row r="220">
      <c r="A220" t="inlineStr">
        <is>
          <t>Stock</t>
        </is>
      </c>
      <c r="B220" t="inlineStr">
        <is>
          <t>Total, 2. 1 sold.</t>
        </is>
      </c>
      <c r="C220" t="n">
        <v>0</v>
      </c>
      <c r="D220" t="n">
        <v>0</v>
      </c>
      <c r="E220" t="n">
        <v>0</v>
      </c>
      <c r="F220" t="n">
        <v>0</v>
      </c>
      <c r="H220" t="n">
        <v>0</v>
      </c>
      <c r="I220" t="n">
        <v>0</v>
      </c>
      <c r="J220" t="n">
        <v>0</v>
      </c>
      <c r="K220" t="n">
        <v>0</v>
      </c>
      <c r="L220" t="n">
        <v>0</v>
      </c>
      <c r="M220" t="n">
        <v>0</v>
      </c>
      <c r="N220" t="n">
        <v>0</v>
      </c>
    </row>
    <row r="221">
      <c r="A221" t="inlineStr">
        <is>
          <t>Stock</t>
        </is>
      </c>
      <c r="B221" t="inlineStr">
        <is>
          <t>1 remains. 3 casks remain from the previous year.</t>
        </is>
      </c>
      <c r="C221" t="n">
        <v>0</v>
      </c>
      <c r="D221" t="n">
        <v>0</v>
      </c>
      <c r="E221" t="n">
        <v>0</v>
      </c>
      <c r="F221" t="n">
        <v>0</v>
      </c>
      <c r="H221" t="n">
        <v>0</v>
      </c>
      <c r="I221" t="n">
        <v>0</v>
      </c>
      <c r="J221" t="n">
        <v>0</v>
      </c>
      <c r="K221" t="n">
        <v>0</v>
      </c>
      <c r="L221" t="n">
        <v>0</v>
      </c>
      <c r="M221" t="n">
        <v>0</v>
      </c>
      <c r="N221" t="n">
        <v>0</v>
      </c>
    </row>
    <row r="222">
      <c r="A222" t="inlineStr">
        <is>
          <t>Stock</t>
        </is>
      </c>
      <c r="B222" t="inlineStr">
        <is>
          <t>9 bought.</t>
        </is>
      </c>
      <c r="C222" t="n">
        <v>0</v>
      </c>
      <c r="D222" t="n">
        <v>0</v>
      </c>
      <c r="E222" t="n">
        <v>0</v>
      </c>
      <c r="F222" t="n">
        <v>0</v>
      </c>
      <c r="H222" t="n">
        <v>0</v>
      </c>
      <c r="I222" t="n">
        <v>0</v>
      </c>
      <c r="J222" t="n">
        <v>0</v>
      </c>
      <c r="K222" t="n">
        <v>0</v>
      </c>
      <c r="L222" t="n">
        <v>0</v>
      </c>
      <c r="M222" t="n">
        <v>0</v>
      </c>
      <c r="N222" t="n">
        <v>0</v>
      </c>
    </row>
    <row r="223">
      <c r="A223" t="inlineStr">
        <is>
          <t>Stock</t>
        </is>
      </c>
      <c r="B223" t="inlineStr">
        <is>
          <t>Total, 12. 12 remain. 3 tubs, 1 tine, 3 coffers, 1 of which is for the reeve's tallies, remain from the previous year.</t>
        </is>
      </c>
      <c r="C223" t="n">
        <v>0</v>
      </c>
      <c r="D223" t="n">
        <v>0</v>
      </c>
      <c r="E223" t="n">
        <v>0</v>
      </c>
      <c r="F223" t="n">
        <v>0</v>
      </c>
      <c r="H223" t="n">
        <v>0</v>
      </c>
      <c r="I223" t="n">
        <v>0</v>
      </c>
      <c r="J223" t="n">
        <v>0</v>
      </c>
      <c r="K223" t="n">
        <v>0</v>
      </c>
      <c r="L223" t="n">
        <v>0</v>
      </c>
      <c r="M223" t="n">
        <v>0</v>
      </c>
      <c r="N223" t="n">
        <v>0</v>
      </c>
    </row>
    <row r="224">
      <c r="A224" t="inlineStr">
        <is>
          <t>Stock</t>
        </is>
      </c>
      <c r="B224" t="inlineStr">
        <is>
          <t>all this remains.</t>
        </is>
      </c>
      <c r="C224" t="n">
        <v>0</v>
      </c>
      <c r="D224" t="n">
        <v>0</v>
      </c>
      <c r="E224" t="n">
        <v>0</v>
      </c>
      <c r="F224" t="n">
        <v>0</v>
      </c>
      <c r="H224" t="n">
        <v>0</v>
      </c>
      <c r="I224" t="n">
        <v>0</v>
      </c>
      <c r="J224" t="n">
        <v>0</v>
      </c>
      <c r="K224" t="n">
        <v>0</v>
      </c>
      <c r="L224" t="n">
        <v>0</v>
      </c>
      <c r="M224" t="n">
        <v>0</v>
      </c>
      <c r="N22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2"/>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row>
    <row r="2">
      <c r="A2" t="inlineStr">
        <is>
          <t>And thus he owes clear</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 from the demesne</t>
        </is>
      </c>
      <c r="B3" t="inlineStr">
        <is>
          <t>(yield: six-fold less 1 qr 7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t="inlineStr">
        <is>
          <t>Wheat from the demesne</t>
        </is>
      </c>
      <c r="B4" t="inlineStr">
        <is>
          <t>The same render account for 38 quarters 5 bushels from the whole issue of wheat from the demesne by struck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38</v>
      </c>
      <c r="U4" t="n">
        <v>5</v>
      </c>
      <c r="V4" t="n">
        <v>38.625</v>
      </c>
      <c r="W4" t="n">
        <v>0</v>
      </c>
      <c r="X4" t="n">
        <v>38</v>
      </c>
      <c r="Y4" t="n">
        <v>5</v>
      </c>
      <c r="Z4" t="n">
        <v>38.625</v>
      </c>
      <c r="AA4" t="n">
        <v>38.625</v>
      </c>
      <c r="AB4" t="n">
        <v>0</v>
      </c>
      <c r="AC4" t="n">
        <v>38</v>
      </c>
      <c r="AD4" t="n">
        <v>5</v>
      </c>
    </row>
    <row r="5">
      <c r="A5" t="inlineStr">
        <is>
          <t>Wheat from the demesne</t>
        </is>
      </c>
      <c r="B5" t="inlineStr">
        <is>
          <t>Sown over 129 acres as they lie in Lahyd' and Wodebrok', 9.5 quarters.</t>
        </is>
      </c>
      <c r="C5" t="n">
        <v>0</v>
      </c>
      <c r="D5" t="n">
        <v>0</v>
      </c>
      <c r="E5" t="n">
        <v>9.5</v>
      </c>
      <c r="F5" t="n">
        <v>0</v>
      </c>
      <c r="G5" t="n">
        <v>9.5</v>
      </c>
      <c r="H5" t="n">
        <v>0</v>
      </c>
      <c r="I5" t="n">
        <v>0</v>
      </c>
      <c r="J5" t="n">
        <v>0</v>
      </c>
      <c r="K5" t="n">
        <v>0</v>
      </c>
      <c r="L5" t="n">
        <v>0</v>
      </c>
      <c r="M5" t="n">
        <v>0</v>
      </c>
      <c r="N5" t="n">
        <v>0</v>
      </c>
      <c r="O5" t="n">
        <v>0</v>
      </c>
      <c r="P5" t="n">
        <v>0</v>
      </c>
      <c r="Q5" t="n">
        <v>0</v>
      </c>
      <c r="R5" t="n">
        <v>0</v>
      </c>
      <c r="S5" t="n">
        <v>0</v>
      </c>
      <c r="T5" t="n">
        <v>0</v>
      </c>
      <c r="U5" t="n">
        <v>0</v>
      </c>
      <c r="V5" t="n">
        <v>0</v>
      </c>
      <c r="W5" t="n">
        <v>0</v>
      </c>
      <c r="X5" t="n">
        <v>9.5</v>
      </c>
      <c r="Y5" t="n">
        <v>0</v>
      </c>
      <c r="Z5" t="n">
        <v>9.5</v>
      </c>
      <c r="AA5" t="n">
        <v>9.5</v>
      </c>
      <c r="AB5" t="n">
        <v>0</v>
      </c>
      <c r="AC5" t="n">
        <v>9.5</v>
      </c>
      <c r="AD5" t="n">
        <v>0</v>
      </c>
    </row>
    <row r="6">
      <c r="A6" t="inlineStr">
        <is>
          <t>Wheat from the demesne</t>
        </is>
      </c>
      <c r="B6" t="inlineStr">
        <is>
          <t>that is, 1 bushels over 2 acres, plus 1 qr 3.5 bushels in all.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t="inlineStr">
        <is>
          <t>Wheat from the demesne</t>
        </is>
      </c>
      <c r="B7" t="inlineStr">
        <is>
          <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Wheat from the demesne</t>
        </is>
      </c>
      <c r="B8" t="inlineStr">
        <is>
          <t>provision of the bailiff, 4 quarters, because he takes the rest from the manor.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0</v>
      </c>
      <c r="Z8" t="n">
        <v>4</v>
      </c>
      <c r="AA8" t="n">
        <v>4</v>
      </c>
      <c r="AB8" t="n">
        <v>0</v>
      </c>
      <c r="AC8" t="n">
        <v>4</v>
      </c>
      <c r="AD8" t="n">
        <v>0</v>
      </c>
    </row>
    <row r="9">
      <c r="A9" t="inlineStr">
        <is>
          <t>Wheat from the demesne</t>
        </is>
      </c>
      <c r="B9" t="inlineStr">
        <is>
          <t>Sold, 25 quarters 1 bushels</t>
        </is>
      </c>
      <c r="C9" t="n">
        <v>0</v>
      </c>
      <c r="D9" t="n">
        <v>0</v>
      </c>
      <c r="E9" t="n">
        <v>0</v>
      </c>
      <c r="F9" t="n">
        <v>0</v>
      </c>
      <c r="G9" t="n">
        <v>0</v>
      </c>
      <c r="H9" t="n">
        <v>0</v>
      </c>
      <c r="I9" t="n">
        <v>0</v>
      </c>
      <c r="J9" t="n">
        <v>0</v>
      </c>
      <c r="K9" t="n">
        <v>0</v>
      </c>
      <c r="L9" t="n">
        <v>0</v>
      </c>
      <c r="M9" t="n">
        <v>0</v>
      </c>
      <c r="N9" t="n">
        <v>0</v>
      </c>
      <c r="O9" t="n">
        <v>0</v>
      </c>
      <c r="P9" t="n">
        <v>0</v>
      </c>
      <c r="Q9" t="n">
        <v>25</v>
      </c>
      <c r="R9" t="n">
        <v>1</v>
      </c>
      <c r="S9" t="n">
        <v>25.125</v>
      </c>
      <c r="T9" t="n">
        <v>0</v>
      </c>
      <c r="U9" t="n">
        <v>0</v>
      </c>
      <c r="V9" t="n">
        <v>0</v>
      </c>
      <c r="W9" t="n">
        <v>0</v>
      </c>
      <c r="X9" t="n">
        <v>25</v>
      </c>
      <c r="Y9" t="n">
        <v>1</v>
      </c>
      <c r="Z9" t="n">
        <v>25.125</v>
      </c>
      <c r="AA9" t="n">
        <v>25.125</v>
      </c>
      <c r="AB9" t="n">
        <v>0</v>
      </c>
      <c r="AC9" t="n">
        <v>25</v>
      </c>
      <c r="AD9" t="n">
        <v>1</v>
      </c>
    </row>
    <row r="10">
      <c r="A10" t="inlineStr">
        <is>
          <t>Wheat from the demesne</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t="inlineStr">
        <is>
          <t>Barley</t>
        </is>
      </c>
      <c r="B11" t="inlineStr">
        <is>
          <t>(yield: three-and-a-half-fold plus 6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row>
    <row r="12">
      <c r="A12" t="inlineStr">
        <is>
          <t>Barley</t>
        </is>
      </c>
      <c r="B12" t="inlineStr">
        <is>
          <t>The same render account for 21 quarters 6 bushels from the whole issue of barley from the demesne by struck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21</v>
      </c>
      <c r="U12" t="n">
        <v>6</v>
      </c>
      <c r="V12" t="n">
        <v>21.75</v>
      </c>
      <c r="W12" t="n">
        <v>0</v>
      </c>
      <c r="X12" t="n">
        <v>21</v>
      </c>
      <c r="Y12" t="n">
        <v>6</v>
      </c>
      <c r="Z12" t="n">
        <v>21.75</v>
      </c>
      <c r="AA12" t="n">
        <v>21.75</v>
      </c>
      <c r="AB12" t="n">
        <v>0</v>
      </c>
      <c r="AC12" t="n">
        <v>21</v>
      </c>
      <c r="AD12" t="n">
        <v>6</v>
      </c>
    </row>
    <row r="13">
      <c r="A13" t="inlineStr">
        <is>
          <t>Barley</t>
        </is>
      </c>
      <c r="B13" t="inlineStr">
        <is>
          <t>Sown over 17 acres as they lie at Prusteslad', 6 quarters 2 bushels.</t>
        </is>
      </c>
      <c r="C13" t="n">
        <v>0</v>
      </c>
      <c r="D13" t="n">
        <v>0</v>
      </c>
      <c r="E13" t="n">
        <v>6</v>
      </c>
      <c r="F13" t="n">
        <v>2</v>
      </c>
      <c r="G13" t="n">
        <v>6.25</v>
      </c>
      <c r="H13" t="n">
        <v>0</v>
      </c>
      <c r="I13" t="n">
        <v>0</v>
      </c>
      <c r="J13" t="n">
        <v>0</v>
      </c>
      <c r="K13" t="n">
        <v>0</v>
      </c>
      <c r="L13" t="n">
        <v>0</v>
      </c>
      <c r="M13" t="n">
        <v>0</v>
      </c>
      <c r="N13" t="n">
        <v>0</v>
      </c>
      <c r="O13" t="n">
        <v>0</v>
      </c>
      <c r="P13" t="n">
        <v>0</v>
      </c>
      <c r="Q13" t="n">
        <v>0</v>
      </c>
      <c r="R13" t="n">
        <v>0</v>
      </c>
      <c r="S13" t="n">
        <v>0</v>
      </c>
      <c r="T13" t="n">
        <v>0</v>
      </c>
      <c r="U13" t="n">
        <v>0</v>
      </c>
      <c r="V13" t="n">
        <v>0</v>
      </c>
      <c r="W13" t="n">
        <v>0</v>
      </c>
      <c r="X13" t="n">
        <v>6</v>
      </c>
      <c r="Y13" t="n">
        <v>2</v>
      </c>
      <c r="Z13" t="n">
        <v>6.25</v>
      </c>
      <c r="AA13" t="n">
        <v>6.25</v>
      </c>
      <c r="AB13" t="n">
        <v>0</v>
      </c>
      <c r="AC13" t="n">
        <v>6</v>
      </c>
      <c r="AD13" t="n">
        <v>2</v>
      </c>
    </row>
    <row r="14">
      <c r="A14" t="inlineStr">
        <is>
          <t>Barley</t>
        </is>
      </c>
      <c r="B14" t="inlineStr">
        <is>
          <t>that is, 3 bushels an acre, less 1 bushels in all.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1</v>
      </c>
      <c r="Z14" t="n">
        <v>0.125</v>
      </c>
      <c r="AA14" t="n">
        <v>0.375</v>
      </c>
      <c r="AB14" t="n">
        <v>-0.25</v>
      </c>
      <c r="AC14" t="n">
        <v>0</v>
      </c>
      <c r="AD14" t="n">
        <v>3</v>
      </c>
      <c r="AE14" t="n">
        <v>0</v>
      </c>
      <c r="AF14" t="n">
        <v>1</v>
      </c>
    </row>
    <row r="15">
      <c r="A15" t="inlineStr">
        <is>
          <t>Barley</t>
        </is>
      </c>
      <c r="B15" t="inlineStr">
        <is>
          <t>Delivered to 1 carter and 1 stot-keeper for the year, who take a quarter every 8 weeks,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row>
    <row r="16">
      <c r="A16" t="inlineStr">
        <is>
          <t>Barley</t>
        </is>
      </c>
      <c r="B16" t="inlineStr">
        <is>
          <t>Sold, 2.5 quarters.</t>
        </is>
      </c>
      <c r="C16" t="n">
        <v>0</v>
      </c>
      <c r="D16" t="n">
        <v>0</v>
      </c>
      <c r="E16" t="n">
        <v>0</v>
      </c>
      <c r="F16" t="n">
        <v>0</v>
      </c>
      <c r="G16" t="n">
        <v>0</v>
      </c>
      <c r="H16" t="n">
        <v>0</v>
      </c>
      <c r="I16" t="n">
        <v>0</v>
      </c>
      <c r="J16" t="n">
        <v>0</v>
      </c>
      <c r="K16" t="n">
        <v>0</v>
      </c>
      <c r="L16" t="n">
        <v>0</v>
      </c>
      <c r="M16" t="n">
        <v>0</v>
      </c>
      <c r="N16" t="n">
        <v>0</v>
      </c>
      <c r="O16" t="n">
        <v>0</v>
      </c>
      <c r="P16" t="n">
        <v>0</v>
      </c>
      <c r="Q16" t="n">
        <v>2.5</v>
      </c>
      <c r="R16" t="n">
        <v>0</v>
      </c>
      <c r="S16" t="n">
        <v>2.5</v>
      </c>
      <c r="T16" t="n">
        <v>0</v>
      </c>
      <c r="U16" t="n">
        <v>0</v>
      </c>
      <c r="V16" t="n">
        <v>0</v>
      </c>
      <c r="W16" t="n">
        <v>0</v>
      </c>
      <c r="X16" t="n">
        <v>2.5</v>
      </c>
      <c r="Y16" t="n">
        <v>0</v>
      </c>
      <c r="Z16" t="n">
        <v>2.5</v>
      </c>
      <c r="AA16" t="n">
        <v>2.5</v>
      </c>
      <c r="AB16" t="n">
        <v>0</v>
      </c>
      <c r="AC16" t="n">
        <v>2.5</v>
      </c>
      <c r="AD16" t="n">
        <v>0</v>
      </c>
    </row>
    <row r="17">
      <c r="A17" t="inlineStr">
        <is>
          <t>Barley</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row>
    <row r="18">
      <c r="A18" t="inlineStr">
        <is>
          <t>Oats</t>
        </is>
      </c>
      <c r="B18" t="inlineStr">
        <is>
          <t>(fold less 5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3</v>
      </c>
      <c r="Z18" t="n">
        <v>5.375</v>
      </c>
      <c r="AA18" t="n">
        <v>5.375</v>
      </c>
      <c r="AB18" t="n">
        <v>0</v>
      </c>
      <c r="AC18" t="n">
        <v>5</v>
      </c>
      <c r="AD18" t="n">
        <v>3</v>
      </c>
    </row>
    <row r="19">
      <c r="A19" t="inlineStr">
        <is>
          <t>Oats</t>
        </is>
      </c>
      <c r="B19" t="inlineStr">
        <is>
          <t>The same render account for 65 quarters. 1 bushels from the whole issue of oats by struck measure.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65</v>
      </c>
      <c r="U19" t="n">
        <v>0</v>
      </c>
      <c r="V19" t="n">
        <v>65</v>
      </c>
      <c r="W19" t="n">
        <v>0</v>
      </c>
      <c r="X19" t="n">
        <v>65</v>
      </c>
      <c r="Y19" t="n">
        <v>1</v>
      </c>
      <c r="Z19" t="n">
        <v>65.125</v>
      </c>
      <c r="AA19" t="n">
        <v>65</v>
      </c>
      <c r="AB19" t="n">
        <v>0.125</v>
      </c>
      <c r="AC19" t="n">
        <v>65</v>
      </c>
      <c r="AD19" t="n">
        <v>0</v>
      </c>
      <c r="AE19" t="n">
        <v>0</v>
      </c>
      <c r="AF19" t="n">
        <v>1</v>
      </c>
    </row>
    <row r="20">
      <c r="A20" t="inlineStr">
        <is>
          <t>Oats</t>
        </is>
      </c>
      <c r="B20" t="inlineStr">
        <is>
          <t>Sown over 105 acres as they lie at Prustehull', Stonyelond', and Watteconbe, 26.5 qr.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t="inlineStr">
        <is>
          <t>Oats</t>
        </is>
      </c>
      <c r="B21" t="inlineStr">
        <is>
          <t>that is, 2 bushels an acre, plus 2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n">
        <v>0</v>
      </c>
      <c r="AF21" t="n">
        <v>2</v>
      </c>
    </row>
    <row r="22">
      <c r="A22" t="inlineStr">
        <is>
          <t>Oats</t>
        </is>
      </c>
      <c r="B22" t="inlineStr">
        <is>
          <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Oats</t>
        </is>
      </c>
      <c r="B23" t="inlineStr">
        <is>
          <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Oats</t>
        </is>
      </c>
      <c r="B24" t="inlineStr">
        <is>
          <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Oats</t>
        </is>
      </c>
      <c r="B25" t="inlineStr">
        <is>
          <t>.</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Oats</t>
        </is>
      </c>
      <c r="B26" t="inlineStr">
        <is>
          <t>fodder of 2 cart-horses from Michaelmas (29 September) until Lammas (1 August), for 306 nights, 19 quarters 1 bushels, at 0.5 bushels a night.</t>
        </is>
      </c>
      <c r="C26" t="n">
        <v>0</v>
      </c>
      <c r="D26" t="n">
        <v>0</v>
      </c>
      <c r="E26" t="n">
        <v>0</v>
      </c>
      <c r="F26" t="n">
        <v>0</v>
      </c>
      <c r="G26" t="n">
        <v>0</v>
      </c>
      <c r="H26" t="n">
        <v>0</v>
      </c>
      <c r="I26" t="n">
        <v>0</v>
      </c>
      <c r="J26" t="n">
        <v>0</v>
      </c>
      <c r="K26" t="n">
        <v>0</v>
      </c>
      <c r="L26" t="n">
        <v>0</v>
      </c>
      <c r="M26" t="n">
        <v>0</v>
      </c>
      <c r="N26" t="n">
        <v>19</v>
      </c>
      <c r="O26" t="n">
        <v>1</v>
      </c>
      <c r="P26" t="n">
        <v>19.125</v>
      </c>
      <c r="Q26" t="n">
        <v>0</v>
      </c>
      <c r="R26" t="n">
        <v>0</v>
      </c>
      <c r="S26" t="n">
        <v>0</v>
      </c>
      <c r="T26" t="n">
        <v>0</v>
      </c>
      <c r="U26" t="n">
        <v>0</v>
      </c>
      <c r="V26" t="n">
        <v>0</v>
      </c>
      <c r="W26" t="n">
        <v>0</v>
      </c>
      <c r="X26" t="n">
        <v>19</v>
      </c>
      <c r="Y26" t="n">
        <v>0.5</v>
      </c>
      <c r="Z26" t="n">
        <v>19.0625</v>
      </c>
      <c r="AA26" t="n">
        <v>19.125</v>
      </c>
      <c r="AB26" t="n">
        <v>-0.0625</v>
      </c>
      <c r="AC26" t="n">
        <v>19</v>
      </c>
      <c r="AD26" t="n">
        <v>1</v>
      </c>
      <c r="AE26" t="n">
        <v>0</v>
      </c>
      <c r="AF26" t="n">
        <v>0.5</v>
      </c>
    </row>
    <row r="27">
      <c r="A27" t="inlineStr">
        <is>
          <t>Oats</t>
        </is>
      </c>
      <c r="B27" t="inlineStr">
        <is>
          <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row>
    <row r="28">
      <c r="A28" t="inlineStr">
        <is>
          <t>Oats</t>
        </is>
      </c>
      <c r="B28" t="inlineStr">
        <is>
          <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Oats</t>
        </is>
      </c>
      <c r="B29" t="inlineStr">
        <is>
          <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Oats</t>
        </is>
      </c>
      <c r="B30" t="inlineStr">
        <is>
          <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Oats</t>
        </is>
      </c>
      <c r="B31" t="inlineStr">
        <is>
          <t>fodder of 6 plough-horses from the feast of the Circumcision (1 January) until Sunday before the feast of St Augustine (20 May), for 140 nights, 17.5 quarters, at 1 bushels a night.</t>
        </is>
      </c>
      <c r="C31" t="n">
        <v>0</v>
      </c>
      <c r="D31" t="n">
        <v>0</v>
      </c>
      <c r="E31" t="n">
        <v>0</v>
      </c>
      <c r="F31" t="n">
        <v>0</v>
      </c>
      <c r="G31" t="n">
        <v>0</v>
      </c>
      <c r="H31" t="n">
        <v>0</v>
      </c>
      <c r="I31" t="n">
        <v>0</v>
      </c>
      <c r="J31" t="n">
        <v>0</v>
      </c>
      <c r="K31" t="n">
        <v>0</v>
      </c>
      <c r="L31" t="n">
        <v>0</v>
      </c>
      <c r="M31" t="n">
        <v>0</v>
      </c>
      <c r="N31" t="n">
        <v>17.5</v>
      </c>
      <c r="O31" t="n">
        <v>0</v>
      </c>
      <c r="P31" t="n">
        <v>17.5</v>
      </c>
      <c r="Q31" t="n">
        <v>0</v>
      </c>
      <c r="R31" t="n">
        <v>0</v>
      </c>
      <c r="S31" t="n">
        <v>0</v>
      </c>
      <c r="T31" t="n">
        <v>0</v>
      </c>
      <c r="U31" t="n">
        <v>0</v>
      </c>
      <c r="V31" t="n">
        <v>0</v>
      </c>
      <c r="W31" t="n">
        <v>0</v>
      </c>
      <c r="X31" t="n">
        <v>17.5</v>
      </c>
      <c r="Y31" t="n">
        <v>1</v>
      </c>
      <c r="Z31" t="n">
        <v>17.625</v>
      </c>
      <c r="AA31" t="n">
        <v>17.5</v>
      </c>
      <c r="AB31" t="n">
        <v>0.125</v>
      </c>
      <c r="AC31" t="n">
        <v>17.5</v>
      </c>
      <c r="AD31" t="n">
        <v>0</v>
      </c>
      <c r="AE31" t="n">
        <v>0</v>
      </c>
      <c r="AF31" t="n">
        <v>1</v>
      </c>
    </row>
    <row r="32">
      <c r="A32" t="inlineStr">
        <is>
          <t>Oats</t>
        </is>
      </c>
      <c r="B32" t="inlineStr">
        <is>
          <t>.</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Oats</t>
        </is>
      </c>
      <c r="B33" t="inlineStr">
        <is>
          <t>.</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Oats</t>
        </is>
      </c>
      <c r="B34" t="inlineStr">
        <is>
          <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Oats</t>
        </is>
      </c>
      <c r="B35" t="inlineStr">
        <is>
          <t>.</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Oats</t>
        </is>
      </c>
      <c r="B36" t="inlineStr">
        <is>
          <t>fodder of the same when they ploughed after dinner, 0.5 qr.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row>
    <row r="37">
      <c r="A37" t="inlineStr">
        <is>
          <t>Oats</t>
        </is>
      </c>
      <c r="B37" t="inlineStr">
        <is>
          <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Oats</t>
        </is>
      </c>
      <c r="B41" t="inlineStr">
        <is>
          <t>customary payment to 1 ploughman and 1 shepherd, 1.5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1.5</v>
      </c>
      <c r="Y41" t="n">
        <v>0</v>
      </c>
      <c r="Z41" t="n">
        <v>1.5</v>
      </c>
      <c r="AA41" t="n">
        <v>1.5</v>
      </c>
      <c r="AB41" t="n">
        <v>0</v>
      </c>
      <c r="AC41" t="n">
        <v>1.5</v>
      </c>
      <c r="AD41" t="n">
        <v>0</v>
      </c>
    </row>
    <row r="42">
      <c r="A42" t="inlineStr">
        <is>
          <t>Oats</t>
        </is>
      </c>
      <c r="B42" t="inlineStr">
        <is>
          <t>Total, 65 quarters 1 bushels 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65</v>
      </c>
      <c r="Y42" t="n">
        <v>1</v>
      </c>
      <c r="Z42" t="n">
        <v>65.125</v>
      </c>
      <c r="AA42" t="n">
        <v>65.125</v>
      </c>
      <c r="AB42" t="n">
        <v>0</v>
      </c>
      <c r="AC42" t="n">
        <v>65</v>
      </c>
      <c r="AD4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13"/>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 from the demesne</t>
        </is>
      </c>
      <c r="B2" t="inlineStr">
        <is>
          <t>The same render account for £7 4 shilling 5.5pence from 25 quarters 1 bushels of wheat sold, at 5 shilling a quarters for 8 quarters 5 bushels, 5 shilling 4pence a quarters for 6.5 quarters, and 6 shilling 8pence a quarters for 10 quarters.</t>
        </is>
      </c>
      <c r="C2" t="n">
        <v>7.22</v>
      </c>
      <c r="D2" t="n">
        <v>7</v>
      </c>
      <c r="E2" t="n">
        <v>4</v>
      </c>
      <c r="F2" t="n">
        <v>5.5</v>
      </c>
      <c r="G2" t="inlineStr">
        <is>
          <t>wheat</t>
        </is>
      </c>
      <c r="H2" t="n">
        <v>24.5</v>
      </c>
      <c r="I2" t="n">
        <v>5</v>
      </c>
      <c r="J2" t="n">
        <v>25.125</v>
      </c>
      <c r="K2" t="n">
        <v>25.125</v>
      </c>
      <c r="L2" t="n">
        <v>0</v>
      </c>
      <c r="M2" t="n">
        <v>25</v>
      </c>
      <c r="N2" t="n">
        <v>1</v>
      </c>
      <c r="O2" t="n">
        <v>5</v>
      </c>
      <c r="P2" t="n">
        <v>0</v>
      </c>
      <c r="Q2" t="n">
        <v>8</v>
      </c>
      <c r="R2" t="n">
        <v>5</v>
      </c>
      <c r="S2" t="n">
        <v>5</v>
      </c>
      <c r="T2" t="n">
        <v>4</v>
      </c>
      <c r="U2" t="n">
        <v>6.5</v>
      </c>
      <c r="V2" t="n">
        <v>0</v>
      </c>
      <c r="W2" t="n">
        <v>6</v>
      </c>
      <c r="X2" t="n">
        <v>8</v>
      </c>
      <c r="Y2" t="n">
        <v>10</v>
      </c>
      <c r="Z2" t="n">
        <v>0</v>
      </c>
      <c r="AG2" t="n">
        <v>0.25</v>
      </c>
      <c r="AH2" t="n">
        <v>0.2666666666666667</v>
      </c>
      <c r="AI2" t="n">
        <v>0.3333333333333333</v>
      </c>
      <c r="AK2" t="n">
        <v>25.125</v>
      </c>
      <c r="AL2" t="n">
        <v>0.2874792703150912</v>
      </c>
      <c r="AM2" t="n">
        <v>0.2833333333333333</v>
      </c>
      <c r="AN2" t="inlineStr">
        <is>
          <t>wheat</t>
        </is>
      </c>
    </row>
    <row r="3">
      <c r="A3" t="inlineStr">
        <is>
          <t>Sale of corn from the demesne</t>
        </is>
      </c>
      <c r="B3" t="inlineStr">
        <is>
          <t>£2 12 shilling 10.5pence from 18 quarters 7 bushels of bere sold, at 2 shilling 8pence a quarters for 11 quarters 2 bushels, and 3 shilling a quarters for 7 quarters 5 bushels.</t>
        </is>
      </c>
      <c r="C3" t="n">
        <v>2.64</v>
      </c>
      <c r="D3" t="n">
        <v>2</v>
      </c>
      <c r="E3" t="n">
        <v>12</v>
      </c>
      <c r="F3" t="n">
        <v>10.5</v>
      </c>
      <c r="H3" t="n">
        <v>18</v>
      </c>
      <c r="I3" t="n">
        <v>7</v>
      </c>
      <c r="J3" t="n">
        <v>18.875</v>
      </c>
      <c r="K3" t="n">
        <v>18.875</v>
      </c>
      <c r="L3" t="n">
        <v>0</v>
      </c>
      <c r="M3" t="n">
        <v>18</v>
      </c>
      <c r="N3" t="n">
        <v>7</v>
      </c>
      <c r="O3" t="n">
        <v>2</v>
      </c>
      <c r="P3" t="n">
        <v>8</v>
      </c>
      <c r="Q3" t="n">
        <v>11</v>
      </c>
      <c r="R3" t="n">
        <v>2</v>
      </c>
      <c r="S3" t="n">
        <v>3</v>
      </c>
      <c r="T3" t="n">
        <v>0</v>
      </c>
      <c r="U3" t="n">
        <v>7</v>
      </c>
      <c r="V3" t="n">
        <v>5</v>
      </c>
      <c r="AG3" t="n">
        <v>0.1333333333333333</v>
      </c>
      <c r="AH3" t="n">
        <v>0.15</v>
      </c>
      <c r="AK3" t="n">
        <v>18.875</v>
      </c>
      <c r="AL3" t="n">
        <v>0.1400662251655629</v>
      </c>
      <c r="AM3" t="n">
        <v>0.1416666666666667</v>
      </c>
    </row>
    <row r="4">
      <c r="A4" t="inlineStr">
        <is>
          <t>Sale of corn from the demesne</t>
        </is>
      </c>
      <c r="B4" t="inlineStr">
        <is>
          <t>10 shilling from 2.5 quarters of barley sold, at 4 shilling a quarters.</t>
        </is>
      </c>
      <c r="C4" t="n">
        <v>0.5</v>
      </c>
      <c r="D4" t="n">
        <v>0</v>
      </c>
      <c r="E4" t="n">
        <v>10</v>
      </c>
      <c r="F4" t="n">
        <v>0</v>
      </c>
      <c r="G4" t="inlineStr">
        <is>
          <t>barley</t>
        </is>
      </c>
      <c r="H4" t="n">
        <v>2.5</v>
      </c>
      <c r="I4" t="n">
        <v>0</v>
      </c>
      <c r="J4" t="n">
        <v>2.5</v>
      </c>
      <c r="K4" t="n">
        <v>2.5</v>
      </c>
      <c r="L4" t="n">
        <v>0</v>
      </c>
      <c r="M4" t="n">
        <v>2.5</v>
      </c>
      <c r="N4" t="n">
        <v>0</v>
      </c>
      <c r="O4" t="n">
        <v>4</v>
      </c>
      <c r="P4" t="n">
        <v>0</v>
      </c>
      <c r="AG4" t="n">
        <v>0.2</v>
      </c>
      <c r="AK4" t="n">
        <v>2.5</v>
      </c>
      <c r="AL4" t="n">
        <v>0.2</v>
      </c>
      <c r="AM4" t="n">
        <v>0.2</v>
      </c>
      <c r="AN4" t="inlineStr">
        <is>
          <t>barley</t>
        </is>
      </c>
    </row>
    <row r="5">
      <c r="A5" t="inlineStr">
        <is>
          <t>Sale of corn from the demesne</t>
        </is>
      </c>
      <c r="B5" t="inlineStr">
        <is>
          <t>Total, £10 7 shilling 4pence</t>
        </is>
      </c>
      <c r="C5" t="n">
        <v>10.37</v>
      </c>
      <c r="D5" t="n">
        <v>10</v>
      </c>
      <c r="E5" t="n">
        <v>7</v>
      </c>
      <c r="F5" t="n">
        <v>4</v>
      </c>
      <c r="H5" t="n">
        <v>0</v>
      </c>
      <c r="I5" t="n">
        <v>0</v>
      </c>
      <c r="J5" t="n">
        <v>0</v>
      </c>
      <c r="K5" t="n">
        <v>0</v>
      </c>
      <c r="L5" t="n">
        <v>0</v>
      </c>
      <c r="M5" t="n">
        <v>0</v>
      </c>
      <c r="N5" t="n">
        <v>0</v>
      </c>
      <c r="AG5" t="inlineStr">
        <is>
          <t>inf</t>
        </is>
      </c>
      <c r="AK5" t="n">
        <v>0</v>
      </c>
      <c r="AL5" t="inlineStr">
        <is>
          <t>inf</t>
        </is>
      </c>
      <c r="AM5" t="inlineStr">
        <is>
          <t>inf</t>
        </is>
      </c>
    </row>
    <row r="6">
      <c r="A6" t="inlineStr">
        <is>
          <t>Sale of corn from tithes</t>
        </is>
      </c>
      <c r="B6" t="inlineStr">
        <is>
          <t>The same render account for £20 3 shilling 7.5pence from 65 quarters 7 bushels of wheat from tithes sold, at 5 shilling a quarters for 9 quarters 1 bushels, 5 shilling 4pence a quarters for 15 quarters 2 bushels, and 6 shilling 8pence a quarters for 41.5 quarters.</t>
        </is>
      </c>
      <c r="C6" t="n">
        <v>20.18</v>
      </c>
      <c r="D6" t="n">
        <v>20</v>
      </c>
      <c r="E6" t="n">
        <v>3</v>
      </c>
      <c r="F6" t="n">
        <v>7.5</v>
      </c>
      <c r="G6" t="inlineStr">
        <is>
          <t>wheat</t>
        </is>
      </c>
      <c r="H6" t="n">
        <v>65.5</v>
      </c>
      <c r="I6" t="n">
        <v>3</v>
      </c>
      <c r="J6" t="n">
        <v>65.875</v>
      </c>
      <c r="K6" t="n">
        <v>65.875</v>
      </c>
      <c r="L6" t="n">
        <v>0</v>
      </c>
      <c r="M6" t="n">
        <v>65</v>
      </c>
      <c r="N6" t="n">
        <v>7</v>
      </c>
      <c r="O6" t="n">
        <v>5</v>
      </c>
      <c r="P6" t="n">
        <v>0</v>
      </c>
      <c r="Q6" t="n">
        <v>9</v>
      </c>
      <c r="R6" t="n">
        <v>1</v>
      </c>
      <c r="S6" t="n">
        <v>5</v>
      </c>
      <c r="T6" t="n">
        <v>4</v>
      </c>
      <c r="U6" t="n">
        <v>15</v>
      </c>
      <c r="V6" t="n">
        <v>2</v>
      </c>
      <c r="W6" t="n">
        <v>6</v>
      </c>
      <c r="X6" t="n">
        <v>8</v>
      </c>
      <c r="Y6" t="n">
        <v>41.5</v>
      </c>
      <c r="Z6" t="n">
        <v>0</v>
      </c>
      <c r="AG6" t="n">
        <v>0.25</v>
      </c>
      <c r="AH6" t="n">
        <v>0.2666666666666667</v>
      </c>
      <c r="AI6" t="n">
        <v>0.3333333333333333</v>
      </c>
      <c r="AK6" t="n">
        <v>65.875</v>
      </c>
      <c r="AL6" t="n">
        <v>0.3063567362428842</v>
      </c>
      <c r="AM6" t="n">
        <v>0.2833333333333333</v>
      </c>
      <c r="AN6" t="inlineStr">
        <is>
          <t>wheat</t>
        </is>
      </c>
    </row>
    <row r="7">
      <c r="A7" t="inlineStr">
        <is>
          <t>Sale of corn from tithes</t>
        </is>
      </c>
      <c r="B7" t="inlineStr">
        <is>
          <t>£1 19 shilling 7pence from 14 quarters 7 bushels of bere sold, at 2 shilling 8pence a quarters.</t>
        </is>
      </c>
      <c r="C7" t="n">
        <v>1.98</v>
      </c>
      <c r="D7" t="n">
        <v>1</v>
      </c>
      <c r="E7" t="n">
        <v>19</v>
      </c>
      <c r="F7" t="n">
        <v>7</v>
      </c>
      <c r="H7" t="n">
        <v>14</v>
      </c>
      <c r="I7" t="n">
        <v>7</v>
      </c>
      <c r="J7" t="n">
        <v>14.875</v>
      </c>
      <c r="K7" t="n">
        <v>14.875</v>
      </c>
      <c r="L7" t="n">
        <v>0</v>
      </c>
      <c r="M7" t="n">
        <v>14</v>
      </c>
      <c r="N7" t="n">
        <v>7</v>
      </c>
      <c r="O7" t="n">
        <v>2</v>
      </c>
      <c r="P7" t="n">
        <v>8</v>
      </c>
      <c r="AG7" t="n">
        <v>0.1333333333333333</v>
      </c>
      <c r="AK7" t="n">
        <v>14.875</v>
      </c>
      <c r="AL7" t="n">
        <v>0.1333333333333333</v>
      </c>
      <c r="AM7" t="n">
        <v>0.1333333333333333</v>
      </c>
    </row>
    <row r="8">
      <c r="A8" t="inlineStr">
        <is>
          <t>Sale of corn from tithes</t>
        </is>
      </c>
      <c r="B8" t="inlineStr">
        <is>
          <t>£7 13 shilling 6pence from 38 quarters 3 bushels of barley sold, at 4 shilling a quarters.</t>
        </is>
      </c>
      <c r="C8" t="n">
        <v>7.68</v>
      </c>
      <c r="D8" t="n">
        <v>7</v>
      </c>
      <c r="E8" t="n">
        <v>13</v>
      </c>
      <c r="F8" t="n">
        <v>6</v>
      </c>
      <c r="G8" t="inlineStr">
        <is>
          <t>barley</t>
        </is>
      </c>
      <c r="H8" t="n">
        <v>38</v>
      </c>
      <c r="I8" t="n">
        <v>3</v>
      </c>
      <c r="J8" t="n">
        <v>38.375</v>
      </c>
      <c r="K8" t="n">
        <v>38.375</v>
      </c>
      <c r="L8" t="n">
        <v>0</v>
      </c>
      <c r="M8" t="n">
        <v>38</v>
      </c>
      <c r="N8" t="n">
        <v>3</v>
      </c>
      <c r="O8" t="n">
        <v>4</v>
      </c>
      <c r="P8" t="n">
        <v>0</v>
      </c>
      <c r="AG8" t="n">
        <v>0.2</v>
      </c>
      <c r="AK8" t="n">
        <v>38.375</v>
      </c>
      <c r="AL8" t="n">
        <v>0.2</v>
      </c>
      <c r="AM8" t="n">
        <v>0.2</v>
      </c>
      <c r="AN8" t="inlineStr">
        <is>
          <t>barley</t>
        </is>
      </c>
    </row>
    <row r="9">
      <c r="A9" t="inlineStr">
        <is>
          <t>Sale of corn from tithes</t>
        </is>
      </c>
      <c r="B9" t="inlineStr">
        <is>
          <t>£5 18 shilling 1.5pence from 64 quarters of oats sold, at 1 shilling 8pence a quarters for 44 quarters 7 bushels, 2 shilling 2pence a quarters for 7 quarters 6 bushels, and 2 shilling 4pence a quarters for 11 quarters 3 bushels.</t>
        </is>
      </c>
      <c r="C9" t="n">
        <v>5.91</v>
      </c>
      <c r="D9" t="n">
        <v>5</v>
      </c>
      <c r="E9" t="n">
        <v>18</v>
      </c>
      <c r="F9" t="n">
        <v>1.5</v>
      </c>
      <c r="G9" t="inlineStr">
        <is>
          <t>oats</t>
        </is>
      </c>
      <c r="H9" t="n">
        <v>62</v>
      </c>
      <c r="I9" t="n">
        <v>16</v>
      </c>
      <c r="J9" t="n">
        <v>64</v>
      </c>
      <c r="K9" t="n">
        <v>64</v>
      </c>
      <c r="L9" t="n">
        <v>0</v>
      </c>
      <c r="M9" t="n">
        <v>64</v>
      </c>
      <c r="N9" t="n">
        <v>0</v>
      </c>
      <c r="O9" t="n">
        <v>1</v>
      </c>
      <c r="P9" t="n">
        <v>8</v>
      </c>
      <c r="Q9" t="n">
        <v>44</v>
      </c>
      <c r="R9" t="n">
        <v>7</v>
      </c>
      <c r="S9" t="n">
        <v>2</v>
      </c>
      <c r="T9" t="n">
        <v>2</v>
      </c>
      <c r="U9" t="n">
        <v>7</v>
      </c>
      <c r="V9" t="n">
        <v>6</v>
      </c>
      <c r="W9" t="n">
        <v>2</v>
      </c>
      <c r="X9" t="n">
        <v>4</v>
      </c>
      <c r="Y9" t="n">
        <v>11</v>
      </c>
      <c r="Z9" t="n">
        <v>3</v>
      </c>
      <c r="AG9" t="n">
        <v>0.08333333333333334</v>
      </c>
      <c r="AH9" t="n">
        <v>0.1083333333333333</v>
      </c>
      <c r="AI9" t="n">
        <v>0.1166666666666667</v>
      </c>
      <c r="AK9" t="n">
        <v>64</v>
      </c>
      <c r="AL9" t="n">
        <v>0.09228515625000001</v>
      </c>
      <c r="AM9" t="n">
        <v>0.1027777777777778</v>
      </c>
      <c r="AN9" t="inlineStr">
        <is>
          <t>oats</t>
        </is>
      </c>
    </row>
    <row r="10">
      <c r="A10" t="inlineStr">
        <is>
          <t>Sale of corn from tithes</t>
        </is>
      </c>
      <c r="B10" t="inlineStr">
        <is>
          <t>£1 12 shilling 4pence from 12 quarters 1 bushels of beans sold, at 2 shilling 8pence a quarters.</t>
        </is>
      </c>
      <c r="C10" t="n">
        <v>1.62</v>
      </c>
      <c r="D10" t="n">
        <v>1</v>
      </c>
      <c r="E10" t="n">
        <v>12</v>
      </c>
      <c r="F10" t="n">
        <v>4</v>
      </c>
      <c r="G10" t="inlineStr">
        <is>
          <t>beans</t>
        </is>
      </c>
      <c r="H10" t="n">
        <v>12</v>
      </c>
      <c r="I10" t="n">
        <v>1</v>
      </c>
      <c r="J10" t="n">
        <v>12.125</v>
      </c>
      <c r="K10" t="n">
        <v>12.125</v>
      </c>
      <c r="L10" t="n">
        <v>0</v>
      </c>
      <c r="M10" t="n">
        <v>12</v>
      </c>
      <c r="N10" t="n">
        <v>1</v>
      </c>
      <c r="O10" t="n">
        <v>2</v>
      </c>
      <c r="P10" t="n">
        <v>8</v>
      </c>
      <c r="AG10" t="n">
        <v>0.1333333333333333</v>
      </c>
      <c r="AK10" t="n">
        <v>12.125</v>
      </c>
      <c r="AL10" t="n">
        <v>0.1333333333333333</v>
      </c>
      <c r="AM10" t="n">
        <v>0.1333333333333333</v>
      </c>
      <c r="AN10" t="inlineStr">
        <is>
          <t>beans</t>
        </is>
      </c>
    </row>
    <row r="11">
      <c r="A11" t="inlineStr">
        <is>
          <t>Sale of corn from tithes</t>
        </is>
      </c>
      <c r="B11" t="inlineStr">
        <is>
          <t>4 shilling from 2 quarters of peas sold.</t>
        </is>
      </c>
      <c r="C11" t="n">
        <v>0.2</v>
      </c>
      <c r="D11" t="n">
        <v>0</v>
      </c>
      <c r="E11" t="n">
        <v>4</v>
      </c>
      <c r="F11" t="n">
        <v>0</v>
      </c>
      <c r="G11" t="inlineStr">
        <is>
          <t>peas</t>
        </is>
      </c>
      <c r="H11" t="n">
        <v>2</v>
      </c>
      <c r="I11" t="n">
        <v>0</v>
      </c>
      <c r="J11" t="n">
        <v>2</v>
      </c>
      <c r="K11" t="n">
        <v>2</v>
      </c>
      <c r="L11" t="n">
        <v>0</v>
      </c>
      <c r="M11" t="n">
        <v>2</v>
      </c>
      <c r="N11" t="n">
        <v>0</v>
      </c>
      <c r="AG11" t="n">
        <v>0.1</v>
      </c>
      <c r="AK11" t="n">
        <v>2</v>
      </c>
      <c r="AL11" t="n">
        <v>0.1</v>
      </c>
      <c r="AM11" t="n">
        <v>0.1</v>
      </c>
      <c r="AN11" t="inlineStr">
        <is>
          <t>peas</t>
        </is>
      </c>
    </row>
    <row r="12">
      <c r="A12" t="inlineStr">
        <is>
          <t>Sale of corn from tithes</t>
        </is>
      </c>
      <c r="B12" t="inlineStr">
        <is>
          <t>12 shilling 1pence from 7 quarters 2 bushels of vetches sold, at 1 shilling 8pence a quarters.</t>
        </is>
      </c>
      <c r="C12" t="n">
        <v>0.6</v>
      </c>
      <c r="D12" t="n">
        <v>0</v>
      </c>
      <c r="E12" t="n">
        <v>12</v>
      </c>
      <c r="F12" t="n">
        <v>1</v>
      </c>
      <c r="G12" t="inlineStr">
        <is>
          <t>vetches</t>
        </is>
      </c>
      <c r="H12" t="n">
        <v>7</v>
      </c>
      <c r="I12" t="n">
        <v>2</v>
      </c>
      <c r="J12" t="n">
        <v>7.25</v>
      </c>
      <c r="K12" t="n">
        <v>7.25</v>
      </c>
      <c r="L12" t="n">
        <v>0</v>
      </c>
      <c r="M12" t="n">
        <v>7</v>
      </c>
      <c r="N12" t="n">
        <v>2</v>
      </c>
      <c r="O12" t="n">
        <v>1</v>
      </c>
      <c r="P12" t="n">
        <v>8</v>
      </c>
      <c r="AG12" t="n">
        <v>0.08333333333333334</v>
      </c>
      <c r="AK12" t="n">
        <v>7.25</v>
      </c>
      <c r="AL12" t="n">
        <v>0.08333333333333334</v>
      </c>
      <c r="AM12" t="n">
        <v>0.08333333333333334</v>
      </c>
      <c r="AN12" t="inlineStr">
        <is>
          <t>vetches</t>
        </is>
      </c>
    </row>
    <row r="13">
      <c r="A13" t="inlineStr">
        <is>
          <t>Sale of corn from tithes</t>
        </is>
      </c>
      <c r="B13" t="inlineStr">
        <is>
          <t>Total, £38 3 shilling 4pence</t>
        </is>
      </c>
      <c r="C13" t="n">
        <v>38.17</v>
      </c>
      <c r="D13" t="n">
        <v>38</v>
      </c>
      <c r="E13" t="n">
        <v>3</v>
      </c>
      <c r="F13" t="n">
        <v>4</v>
      </c>
      <c r="H13" t="n">
        <v>0</v>
      </c>
      <c r="I13" t="n">
        <v>0</v>
      </c>
      <c r="J13" t="n">
        <v>0</v>
      </c>
      <c r="K13" t="n">
        <v>0</v>
      </c>
      <c r="L13" t="n">
        <v>0</v>
      </c>
      <c r="M13" t="n">
        <v>0</v>
      </c>
      <c r="N13" t="n">
        <v>0</v>
      </c>
      <c r="AG13" t="inlineStr">
        <is>
          <t>inf</t>
        </is>
      </c>
      <c r="AK13" t="n">
        <v>0</v>
      </c>
      <c r="AL13" t="inlineStr">
        <is>
          <t>inf</t>
        </is>
      </c>
      <c r="AM13"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2025-12-18T10:17:01Z</dcterms:modified>
  <cp:lastModifiedBy>Kowalski, Kuba</cp:lastModifiedBy>
</cp:coreProperties>
</file>
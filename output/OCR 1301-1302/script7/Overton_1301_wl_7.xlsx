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ton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Overton Overview" sheetId="6" state="visible" r:id="rId6"/>
    <sheet xmlns:r="http://schemas.openxmlformats.org/officeDocument/2006/relationships" name="Overton Receipts" sheetId="7" state="visible" r:id="rId7"/>
    <sheet xmlns:r="http://schemas.openxmlformats.org/officeDocument/2006/relationships" name="Overton Expenses" sheetId="8" state="visible" r:id="rId8"/>
    <sheet xmlns:r="http://schemas.openxmlformats.org/officeDocument/2006/relationships" name="Issues of the Grange" sheetId="9" state="visible" r:id="rId9"/>
    <sheet xmlns:r="http://schemas.openxmlformats.org/officeDocument/2006/relationships" name="Issues of the Mill" sheetId="10" state="visible" r:id="rId10"/>
    <sheet xmlns:r="http://schemas.openxmlformats.org/officeDocument/2006/relationships" name="Stock" sheetId="11" state="visible" r:id="rId11"/>
    <sheet xmlns:r="http://schemas.openxmlformats.org/officeDocument/2006/relationships" name="Assumptions" sheetId="12" state="visible" r:id="rId12"/>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8" tint="0.7999816888943144"/>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6">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10" borderId="0" pivotButton="0" quotePrefix="0" xfId="0"/>
    <xf numFmtId="2" fontId="16" fillId="5" borderId="0" pivotButton="0" quotePrefix="0" xfId="0"/>
    <xf numFmtId="2" fontId="17" fillId="2" borderId="0" pivotButton="0" quotePrefix="0" xfId="0"/>
    <xf numFmtId="4" fontId="8" fillId="0" borderId="0" pivotButton="0" quotePrefix="0" xfId="0"/>
    <xf numFmtId="2" fontId="16" fillId="2" borderId="0" pivotButton="0" quotePrefix="0" xfId="0"/>
    <xf numFmtId="2" fontId="16" fillId="3" borderId="0" pivotButton="0" quotePrefix="0" xfId="0"/>
    <xf numFmtId="2" fontId="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2" fontId="13" fillId="2" borderId="0" pivotButton="0" quotePrefix="0" xfId="0"/>
    <xf numFmtId="4" fontId="13" fillId="5" borderId="0" applyAlignment="1" pivotButton="0" quotePrefix="0" xfId="0">
      <alignment horizontal="right"/>
    </xf>
    <xf numFmtId="0" fontId="13" fillId="0" borderId="0" applyAlignment="1" pivotButton="0" quotePrefix="0" xfId="0">
      <alignment horizontal="right"/>
    </xf>
    <xf numFmtId="4" fontId="13" fillId="0" borderId="0" applyAlignment="1" pivotButton="0" quotePrefix="0" xfId="0">
      <alignment horizontal="right"/>
    </xf>
    <xf numFmtId="0" fontId="6" fillId="0" borderId="0" applyAlignment="1" pivotButton="0" quotePrefix="0" xfId="0">
      <alignment horizontal="left"/>
    </xf>
    <xf numFmtId="0" fontId="13" fillId="5" borderId="0" applyAlignment="1" pivotButton="0" quotePrefix="0" xfId="0">
      <alignment horizontal="right" wrapText="1"/>
    </xf>
    <xf numFmtId="0" fontId="13" fillId="5" borderId="0" applyAlignment="1" pivotButton="0" quotePrefix="0" xfId="0">
      <alignment horizontal="right"/>
    </xf>
    <xf numFmtId="0" fontId="16" fillId="5" borderId="0" pivotButton="0" quotePrefix="0" xfId="0"/>
    <xf numFmtId="2" fontId="13" fillId="5"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2" fontId="8" fillId="0" borderId="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2" fontId="9" fillId="0" borderId="0" applyAlignment="1" pivotButton="0" quotePrefix="0" xfId="0">
      <alignment horizontal="center"/>
    </xf>
    <xf numFmtId="0" fontId="27" fillId="0" borderId="0" pivotButton="0" quotePrefix="0" xfId="0"/>
    <xf numFmtId="2" fontId="9" fillId="0" borderId="0" pivotButton="0" quotePrefix="0" xfId="0"/>
    <xf numFmtId="4" fontId="6" fillId="0" borderId="0" pivotButton="0" quotePrefix="0" xfId="0"/>
    <xf numFmtId="166" fontId="16" fillId="0" borderId="0" pivotButton="0" quotePrefix="0" xfId="0"/>
    <xf numFmtId="166" fontId="13" fillId="0" borderId="0" applyAlignment="1" pivotButton="0" quotePrefix="0" xfId="0">
      <alignment horizontal="center"/>
    </xf>
    <xf numFmtId="4" fontId="9" fillId="0" borderId="0" pivotButton="0" quotePrefix="0" xfId="0"/>
    <xf numFmtId="4" fontId="6" fillId="5" borderId="0" pivotButton="0" quotePrefix="0" xfId="0"/>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3" applyAlignment="1" pivotButton="0" quotePrefix="0" xfId="0">
      <alignment horizontal="center"/>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3" pivotButton="0" quotePrefix="0" xfId="0"/>
    <xf numFmtId="0"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2" fontId="6" fillId="0" borderId="7" pivotButton="0" quotePrefix="0" xfId="0"/>
    <xf numFmtId="0" fontId="6" fillId="7" borderId="3" applyAlignment="1" pivotButton="0" quotePrefix="0" xfId="0">
      <alignment horizontal="center"/>
    </xf>
    <xf numFmtId="0" fontId="6" fillId="7" borderId="0" applyAlignment="1" pivotButton="0" quotePrefix="0" xfId="0">
      <alignment horizontal="center"/>
    </xf>
    <xf numFmtId="0" fontId="6" fillId="3" borderId="0" applyAlignment="1" pivotButton="0" quotePrefix="0" xfId="0">
      <alignment horizontal="center"/>
    </xf>
    <xf numFmtId="0" fontId="6" fillId="11" borderId="0" pivotButton="0" quotePrefix="0" xfId="0"/>
    <xf numFmtId="2" fontId="6" fillId="8" borderId="0" applyAlignment="1" pivotButton="0" quotePrefix="0" xfId="0">
      <alignment horizontal="center"/>
    </xf>
    <xf numFmtId="0" fontId="6" fillId="0" borderId="7" applyAlignment="1" pivotButton="0" quotePrefix="0" xfId="0">
      <alignment horizontal="center"/>
    </xf>
    <xf numFmtId="2" fontId="6" fillId="0" borderId="7" applyAlignment="1" pivotButton="0" quotePrefix="0" xfId="0">
      <alignment horizontal="left"/>
    </xf>
    <xf numFmtId="2" fontId="6" fillId="0" borderId="0" applyAlignment="1" pivotButton="0" quotePrefix="0" xfId="0">
      <alignment horizontal="left"/>
    </xf>
    <xf numFmtId="2" fontId="6" fillId="0" borderId="7" applyAlignment="1" pivotButton="0" quotePrefix="0" xfId="0">
      <alignment horizontal="center"/>
    </xf>
    <xf numFmtId="2" fontId="6" fillId="0" borderId="0" applyAlignment="1" pivotButton="0" quotePrefix="0" xfId="0">
      <alignment horizontal="center"/>
    </xf>
    <xf numFmtId="2" fontId="6" fillId="5" borderId="7"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xf numFmtId="0" fontId="16" fillId="8" borderId="2" applyAlignment="1" pivotButton="0" quotePrefix="0" xfId="0">
      <alignment horizontal="left"/>
    </xf>
    <xf numFmtId="0" fontId="16"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7"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M5" authorId="0" shapeId="0">
      <text>
        <t xml:space="preserve">Victoria Gierok:
one more qrs sold than produced - must be a recording error by the scribe
</t>
      </text>
    </comment>
  </commentList>
</comments>
</file>

<file path=xl/comments/comment4.xml><?xml version="1.0" encoding="utf-8"?>
<comments xmlns="http://schemas.openxmlformats.org/spreadsheetml/2006/main">
  <authors>
    <author>Victoria Gierok</author>
  </authors>
  <commentList>
    <comment ref="D86" authorId="0" shapeId="0">
      <text>
        <t>Victoria Gierok:
in cloves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0.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1.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OVERTON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17.21458333333333</v>
      </c>
      <c r="D4" s="13" t="n"/>
      <c r="E4" s="13" t="n"/>
    </row>
    <row r="5">
      <c r="A5" s="15" t="inlineStr">
        <is>
          <t>Rents of assize total</t>
        </is>
      </c>
      <c r="B5" s="76" t="n">
        <v>30.99270833333333</v>
      </c>
    </row>
    <row r="6">
      <c r="A6" s="15" t="inlineStr">
        <is>
          <t>Quittances total</t>
        </is>
      </c>
      <c r="B6" s="76" t="n">
        <v>1.85</v>
      </c>
    </row>
    <row r="7">
      <c r="A7" s="15" t="inlineStr">
        <is>
          <t>Defaults of rent total</t>
        </is>
      </c>
      <c r="B7" s="76" t="n">
        <v>5.4625</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v>
      </c>
    </row>
    <row r="15">
      <c r="A15" s="15" t="inlineStr">
        <is>
          <t>Issues of the Manor total</t>
        </is>
      </c>
      <c r="B15" s="76" t="n">
        <v>23.0125</v>
      </c>
    </row>
    <row r="16">
      <c r="A16" s="76" t="inlineStr">
        <is>
          <t>Issues of the tenements in the lord's hands total</t>
        </is>
      </c>
      <c r="B16" s="76" t="n"/>
    </row>
    <row r="17">
      <c r="A17" s="76" t="inlineStr">
        <is>
          <t>Sale of labour services total</t>
        </is>
      </c>
      <c r="B17" s="76" t="n"/>
    </row>
    <row r="18">
      <c r="A18" s="15" t="inlineStr">
        <is>
          <t>Sale of corn total</t>
        </is>
      </c>
      <c r="B18" s="76" t="n">
        <v>41.47291666666666</v>
      </c>
    </row>
    <row r="19">
      <c r="A19" s="15" t="inlineStr">
        <is>
          <t>Entry and marriage fines total</t>
        </is>
      </c>
      <c r="B19" s="76" t="n">
        <v>4.8</v>
      </c>
    </row>
    <row r="20">
      <c r="A20" s="15" t="inlineStr">
        <is>
          <t>Pleas &amp; perquisites total</t>
        </is>
      </c>
      <c r="B20" s="76" t="n">
        <v>4.9625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6.260416666666666</v>
      </c>
    </row>
    <row r="31">
      <c r="A31" s="15" t="inlineStr">
        <is>
          <t>Purchase of corn total</t>
        </is>
      </c>
      <c r="B31" t="n">
        <v>0</v>
      </c>
    </row>
    <row r="32">
      <c r="A32" s="15" t="inlineStr">
        <is>
          <t>Cost of carts and wagons total</t>
        </is>
      </c>
      <c r="B32" t="n">
        <v>1.775</v>
      </c>
    </row>
    <row r="33">
      <c r="A33" s="15" t="inlineStr">
        <is>
          <t>Cost of dairy total</t>
        </is>
      </c>
      <c r="B33" t="n">
        <v>0.5458333333333334</v>
      </c>
    </row>
    <row r="34">
      <c r="A34" s="15" t="inlineStr">
        <is>
          <t>Purchase of stock total</t>
        </is>
      </c>
      <c r="B34" t="n">
        <v>0</v>
      </c>
    </row>
    <row r="35">
      <c r="A35" s="15" t="inlineStr">
        <is>
          <t>Sheepcote total</t>
        </is>
      </c>
      <c r="B35" t="n">
        <v>7.270833333333333</v>
      </c>
    </row>
    <row r="36">
      <c r="A36" s="15" t="inlineStr">
        <is>
          <t>Cost of buildings total</t>
        </is>
      </c>
      <c r="B36" s="84" t="n">
        <v>2.4875</v>
      </c>
    </row>
    <row r="37">
      <c r="A37" s="15" t="inlineStr">
        <is>
          <t>Threshing total</t>
        </is>
      </c>
      <c r="B37" t="n">
        <v>1.508333333333333</v>
      </c>
    </row>
    <row r="38">
      <c r="A38" s="15" t="inlineStr">
        <is>
          <t>Barley expenses</t>
        </is>
      </c>
    </row>
    <row r="39">
      <c r="A39" s="15" t="inlineStr">
        <is>
          <t>Expenses of the harvest total</t>
        </is>
      </c>
      <c r="B39" t="n">
        <v>1.223958333333333</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25.92604166666667</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64</v>
      </c>
      <c r="F62" s="13" t="n"/>
    </row>
    <row r="63">
      <c r="A63" s="76" t="inlineStr">
        <is>
          <t>Rye</t>
        </is>
      </c>
      <c r="F63" s="13" t="n"/>
    </row>
    <row r="64">
      <c r="A64" s="76" t="inlineStr">
        <is>
          <t>Dredge</t>
        </is>
      </c>
      <c r="F64" s="13" t="n"/>
    </row>
    <row r="65">
      <c r="A65" s="76" t="inlineStr">
        <is>
          <t>Curall</t>
        </is>
      </c>
      <c r="B65" t="n">
        <v>2</v>
      </c>
      <c r="F65" s="13" t="n"/>
    </row>
    <row r="66">
      <c r="A66" s="76" t="inlineStr">
        <is>
          <t>Barley</t>
        </is>
      </c>
      <c r="B66" t="n">
        <v>81.5</v>
      </c>
      <c r="F66" s="13" t="n"/>
    </row>
    <row r="67">
      <c r="A67" s="76" t="inlineStr">
        <is>
          <t>Oats</t>
        </is>
      </c>
      <c r="B67" t="n">
        <v>144</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v>0</v>
      </c>
      <c r="D88" s="76">
        <f>C88-B88</f>
        <v/>
      </c>
      <c r="F88" s="84">
        <f>'Stock'!K5*'Stock'!O5</f>
        <v/>
      </c>
      <c r="G88" s="84">
        <f>D88*'Stock'!O5</f>
        <v/>
      </c>
    </row>
    <row r="89">
      <c r="A89" s="15" t="inlineStr">
        <is>
          <t>Plough horses</t>
        </is>
      </c>
      <c r="B89" s="76" t="n">
        <v>9</v>
      </c>
      <c r="C89" s="76" t="n">
        <v>10</v>
      </c>
      <c r="D89" s="76" t="n">
        <v>1</v>
      </c>
      <c r="F89" s="84">
        <f>'Stock'!K6*'Stock'!O6</f>
        <v/>
      </c>
      <c r="G89" s="84">
        <f>D89*'Stock'!O6</f>
        <v/>
      </c>
    </row>
    <row r="90">
      <c r="A90" s="15" t="inlineStr">
        <is>
          <t>Colts (2 years)</t>
        </is>
      </c>
      <c r="B90" s="76" t="n"/>
      <c r="C90" s="76" t="n">
        <v>0</v>
      </c>
      <c r="D90" s="76">
        <f>C90-B90</f>
        <v/>
      </c>
      <c r="F90" s="84">
        <f>'Stock'!K8*'Stock'!O8</f>
        <v/>
      </c>
      <c r="G90" s="84">
        <f>D90*'Stock'!O8</f>
        <v/>
      </c>
    </row>
    <row r="91">
      <c r="A91" s="15" t="inlineStr">
        <is>
          <t>Colts (2 years)</t>
        </is>
      </c>
      <c r="B91" s="76" t="n"/>
      <c r="C91" s="76" t="n">
        <v>0</v>
      </c>
      <c r="D91" s="76">
        <f>C91-B91</f>
        <v/>
      </c>
      <c r="F91" s="84">
        <f>'Stock'!K8*'Stock'!O8</f>
        <v/>
      </c>
      <c r="G91" s="84">
        <f>D91*'Stock'!O8</f>
        <v/>
      </c>
    </row>
    <row r="92">
      <c r="A92" s="15" t="inlineStr">
        <is>
          <t>Colts (1 year)</t>
        </is>
      </c>
      <c r="B92" s="76" t="n"/>
      <c r="C92" s="76" t="n">
        <v>0</v>
      </c>
      <c r="D92" s="76">
        <f>C92-B92</f>
        <v/>
      </c>
      <c r="F92" s="84">
        <f>'Stock'!K9*'Stock'!O9</f>
        <v/>
      </c>
      <c r="G92" s="84">
        <f>D92*'Stock'!O9</f>
        <v/>
      </c>
    </row>
    <row r="93">
      <c r="A93" s="15" t="inlineStr">
        <is>
          <t>Foals</t>
        </is>
      </c>
      <c r="B93" s="76" t="n"/>
      <c r="C93" s="76" t="n">
        <v>0</v>
      </c>
      <c r="D93" s="76">
        <f>C93-B93</f>
        <v/>
      </c>
      <c r="F93" s="84">
        <f>'Stock'!K10*'Stock'!O10</f>
        <v/>
      </c>
      <c r="G93" s="84">
        <f>D93*'Stock'!O10</f>
        <v/>
      </c>
    </row>
    <row r="94">
      <c r="A94" s="15" t="inlineStr">
        <is>
          <t>Oxen</t>
        </is>
      </c>
      <c r="B94" s="76" t="n">
        <v>20</v>
      </c>
      <c r="C94" s="76" t="n">
        <v>20</v>
      </c>
      <c r="D94" s="76" t="n">
        <v>0</v>
      </c>
      <c r="F94" s="84">
        <f>'Stock'!K11*'Stock'!O11</f>
        <v/>
      </c>
      <c r="G94" s="84">
        <f>D94*'Stock'!O11</f>
        <v/>
      </c>
    </row>
    <row r="95">
      <c r="A95" s="15" t="inlineStr">
        <is>
          <t>Bulls</t>
        </is>
      </c>
      <c r="B95" s="76" t="n">
        <v>1</v>
      </c>
      <c r="C95" s="76" t="n">
        <v>1</v>
      </c>
      <c r="D95" s="76" t="n">
        <v>0</v>
      </c>
      <c r="F95" s="84">
        <f>'Stock'!K12*'Stock'!O12</f>
        <v/>
      </c>
      <c r="G95" s="84">
        <f>D95*'Stock'!O12</f>
        <v/>
      </c>
    </row>
    <row r="96">
      <c r="A96" s="15" t="inlineStr">
        <is>
          <t>Cows</t>
        </is>
      </c>
      <c r="B96" s="76" t="n">
        <v>25</v>
      </c>
      <c r="C96" s="76" t="n">
        <v>26</v>
      </c>
      <c r="D96" s="76" t="n">
        <v>1</v>
      </c>
      <c r="F96" s="84">
        <f>'Stock'!K13*'Stock'!O13</f>
        <v/>
      </c>
      <c r="G96" s="84">
        <f>D96*'Stock'!O13</f>
        <v/>
      </c>
    </row>
    <row r="97">
      <c r="A97" s="15" t="inlineStr">
        <is>
          <t>Steers</t>
        </is>
      </c>
      <c r="B97" s="76" t="n">
        <v>5</v>
      </c>
      <c r="C97" s="76" t="n">
        <v>0</v>
      </c>
      <c r="D97" s="76" t="n">
        <v>-5</v>
      </c>
      <c r="F97" s="84">
        <f>'Stock'!K14*'Stock'!O14</f>
        <v/>
      </c>
      <c r="G97" s="84">
        <f>D97*'Stock'!O14</f>
        <v/>
      </c>
    </row>
    <row r="98">
      <c r="A98" s="15" t="inlineStr">
        <is>
          <t>Bullocks</t>
        </is>
      </c>
      <c r="B98" s="76" t="n">
        <v>9</v>
      </c>
      <c r="C98" s="76" t="n">
        <v>9</v>
      </c>
      <c r="D98" s="76" t="n">
        <v>0</v>
      </c>
      <c r="F98" s="84">
        <f>'Stock'!K15*'Stock'!O15</f>
        <v/>
      </c>
      <c r="G98" s="84">
        <f>D98*'Stock'!O15</f>
        <v/>
      </c>
    </row>
    <row r="99">
      <c r="A99" s="15" t="inlineStr">
        <is>
          <t>Yearlings</t>
        </is>
      </c>
      <c r="B99" s="76" t="n">
        <v>10</v>
      </c>
      <c r="C99" s="76" t="n">
        <v>9</v>
      </c>
      <c r="D99" s="76" t="n">
        <v>-1</v>
      </c>
      <c r="F99" s="84">
        <f>'Stock'!K16*'Stock'!O16</f>
        <v/>
      </c>
      <c r="G99" s="84">
        <f>D99*'Stock'!O16</f>
        <v/>
      </c>
    </row>
    <row r="100">
      <c r="A100" s="15" t="inlineStr">
        <is>
          <t>Calves</t>
        </is>
      </c>
      <c r="B100" s="76" t="n">
        <v>25</v>
      </c>
      <c r="C100" s="76" t="n">
        <v>9</v>
      </c>
      <c r="D100" s="76" t="n">
        <v>-16</v>
      </c>
      <c r="F100" s="84">
        <f>'Stock'!K17*'Stock'!O17</f>
        <v/>
      </c>
      <c r="G100" s="84">
        <f>D100*'Stock'!O17</f>
        <v/>
      </c>
    </row>
    <row r="101">
      <c r="A101" s="15" t="inlineStr">
        <is>
          <t>Wethers</t>
        </is>
      </c>
      <c r="B101" s="76" t="n"/>
      <c r="C101" s="76" t="n">
        <v>0</v>
      </c>
      <c r="D101" s="76">
        <f>C101-B101</f>
        <v/>
      </c>
      <c r="F101" s="84">
        <f>'Stock'!K18*'Stock'!O18</f>
        <v/>
      </c>
      <c r="G101" s="84">
        <f>D101*'Stock'!O18</f>
        <v/>
      </c>
    </row>
    <row r="102">
      <c r="A102" s="15" t="inlineStr">
        <is>
          <t>Rams</t>
        </is>
      </c>
      <c r="B102" s="76" t="n">
        <v>20</v>
      </c>
      <c r="C102" s="76" t="n">
        <v>17</v>
      </c>
      <c r="D102" s="76" t="n">
        <v>-3</v>
      </c>
      <c r="F102" s="84">
        <f>'Stock'!K19*'Stock'!O19</f>
        <v/>
      </c>
      <c r="G102" s="84">
        <f>D102*'Stock'!O19</f>
        <v/>
      </c>
    </row>
    <row r="103">
      <c r="A103" s="15" t="inlineStr">
        <is>
          <t>Ewes</t>
        </is>
      </c>
      <c r="B103" s="76" t="n">
        <v>495</v>
      </c>
      <c r="C103" s="76" t="n">
        <v>631</v>
      </c>
      <c r="D103" s="76" t="n">
        <v>136</v>
      </c>
      <c r="F103" s="84">
        <f>'Stock'!K20*'Stock'!O20</f>
        <v/>
      </c>
      <c r="G103" s="84">
        <f>D103*'Stock'!O20</f>
        <v/>
      </c>
    </row>
    <row r="104">
      <c r="A104" s="15" t="inlineStr">
        <is>
          <t>Hoggs</t>
        </is>
      </c>
      <c r="B104" s="76" t="n">
        <v>234</v>
      </c>
      <c r="C104" s="76" t="n">
        <v>0</v>
      </c>
      <c r="D104" s="76" t="n">
        <v>-234</v>
      </c>
      <c r="F104" s="84">
        <f>'Stock'!K21*'Stock'!O21</f>
        <v/>
      </c>
      <c r="G104" s="84">
        <f>D104*'Stock'!O21</f>
        <v/>
      </c>
    </row>
    <row r="105">
      <c r="A105" s="15" t="inlineStr">
        <is>
          <t>Lambs</t>
        </is>
      </c>
      <c r="B105" s="76" t="n">
        <v>401</v>
      </c>
      <c r="C105" s="76" t="n">
        <v>280</v>
      </c>
      <c r="D105" s="76" t="n">
        <v>-121</v>
      </c>
      <c r="F105" s="84">
        <f>'Stock'!K22*'Stock'!O22</f>
        <v/>
      </c>
      <c r="G105" s="84">
        <f>D105*'Stock'!O22</f>
        <v/>
      </c>
    </row>
    <row r="106">
      <c r="A106" s="15" t="inlineStr">
        <is>
          <t>Boars</t>
        </is>
      </c>
      <c r="B106" s="76" t="n"/>
      <c r="C106" s="76" t="n">
        <v>0</v>
      </c>
      <c r="D106" s="76">
        <f>C106-B106</f>
        <v/>
      </c>
      <c r="F106" s="84">
        <f>'Stock'!K23*'Stock'!O23</f>
        <v/>
      </c>
      <c r="G106" s="84">
        <f>D106*'Stock'!O23</f>
        <v/>
      </c>
    </row>
    <row r="107">
      <c r="A107" s="15" t="inlineStr">
        <is>
          <t>Sows</t>
        </is>
      </c>
      <c r="B107" s="76" t="n"/>
      <c r="C107" s="76" t="n">
        <v>0</v>
      </c>
      <c r="D107" s="76">
        <f>C107-B107</f>
        <v/>
      </c>
      <c r="F107" s="84">
        <f>'Stock'!K24*'Stock'!O24</f>
        <v/>
      </c>
      <c r="G107" s="84">
        <f>D107*'Stock'!O24</f>
        <v/>
      </c>
    </row>
    <row r="108">
      <c r="A108" s="15" t="inlineStr">
        <is>
          <t>Pigs</t>
        </is>
      </c>
      <c r="B108" s="76" t="n"/>
      <c r="C108" s="76" t="n">
        <v>0</v>
      </c>
      <c r="D108" s="76">
        <f>C108-B108</f>
        <v/>
      </c>
      <c r="F108" s="84">
        <f>'Stock'!K25*'Stock'!O25</f>
        <v/>
      </c>
      <c r="G108" s="84">
        <f>D108*'Stock'!O25</f>
        <v/>
      </c>
    </row>
    <row r="109">
      <c r="A109" s="15" t="inlineStr">
        <is>
          <t>Hoggets</t>
        </is>
      </c>
      <c r="B109" s="76" t="n"/>
      <c r="C109" s="76" t="n">
        <v>0</v>
      </c>
      <c r="D109" s="76">
        <f>C109-B109</f>
        <v/>
      </c>
      <c r="F109" s="84">
        <f>'Stock'!K26*'Stock'!O26</f>
        <v/>
      </c>
      <c r="G109" s="84">
        <f>D109*'Stock'!O26</f>
        <v/>
      </c>
    </row>
    <row r="110">
      <c r="A110" s="15" t="inlineStr">
        <is>
          <t>Piglets</t>
        </is>
      </c>
      <c r="B110" s="76" t="n"/>
      <c r="C110" s="76" t="n">
        <v>0</v>
      </c>
      <c r="D110" s="76">
        <f>C110-B110</f>
        <v/>
      </c>
      <c r="F110" s="84">
        <f>'Stock'!K27*'Stock'!O27</f>
        <v/>
      </c>
      <c r="G110" s="84">
        <f>D110*'Stock'!O27</f>
        <v/>
      </c>
    </row>
    <row r="111">
      <c r="A111" s="15" t="inlineStr">
        <is>
          <t>Swans</t>
        </is>
      </c>
      <c r="B111" s="76" t="n"/>
      <c r="C111" s="76" t="n">
        <v>0</v>
      </c>
      <c r="D111" s="76">
        <f>C111-B111</f>
        <v/>
      </c>
      <c r="F111" s="84">
        <f>'Stock'!K28*'Stock'!O28</f>
        <v/>
      </c>
      <c r="G111" s="84">
        <f>D111*'Stock'!O28</f>
        <v/>
      </c>
    </row>
    <row r="112">
      <c r="A112" s="15" t="inlineStr">
        <is>
          <t>Peacocks</t>
        </is>
      </c>
      <c r="B112" s="76" t="n">
        <v>10</v>
      </c>
      <c r="C112" s="76" t="n">
        <v>11</v>
      </c>
      <c r="D112" s="76" t="n">
        <v>1</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F119">
        <f>C119*'Stock'!O35</f>
        <v/>
      </c>
    </row>
    <row r="120">
      <c r="A120" s="15" t="inlineStr">
        <is>
          <t>Lamb's wool</t>
        </is>
      </c>
      <c r="C120" t="n">
        <v>0</v>
      </c>
      <c r="F120">
        <f>C120*'Stock'!O36</f>
        <v/>
      </c>
    </row>
    <row r="121">
      <c r="A121" s="15" t="inlineStr">
        <is>
          <t>Wool locks</t>
        </is>
      </c>
      <c r="C121" t="n">
        <v>0</v>
      </c>
      <c r="F121">
        <f>C121*'Stock'!O37</f>
        <v/>
      </c>
    </row>
    <row r="122">
      <c r="A122" s="15" t="inlineStr">
        <is>
          <t>Wool sold at shearing</t>
        </is>
      </c>
      <c r="C122" t="n">
        <v>0</v>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88</v>
      </c>
      <c r="C151" s="76" t="n">
        <v>16</v>
      </c>
      <c r="D151" s="76" t="n">
        <v>72</v>
      </c>
      <c r="F151" s="76">
        <f>C151*'Stock'!O68</f>
        <v/>
      </c>
      <c r="G151" s="96" t="n"/>
    </row>
    <row r="152">
      <c r="A152" s="15" t="inlineStr">
        <is>
          <t>Geese</t>
        </is>
      </c>
      <c r="B152" s="76" t="n">
        <v>0</v>
      </c>
      <c r="C152" s="76" t="n">
        <v>0</v>
      </c>
      <c r="D152" s="76" t="n">
        <v>0</v>
      </c>
      <c r="F152" s="76">
        <f>C152*'Stock'!O69</f>
        <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f>C154*'Stock'!O71</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f>C160*'Stock'!O76</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C166*'Stock'!O90</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8"/>
  <sheetViews>
    <sheetView topLeftCell="A1" workbookViewId="0">
      <selection activeCell="A1" sqref="A1"/>
    </sheetView>
  </sheetViews>
  <sheetFormatPr baseColWidth="8" defaultRowHeight="15"/>
  <cols>
    <col width="80" customWidth="1" min="1" max="1"/>
    <col width="20.5" customWidth="1" min="7" max="7"/>
    <col width="30.83203125" customWidth="1" min="8" max="8"/>
  </cols>
  <sheetData>
    <row r="1" ht="19" customHeight="1">
      <c r="A1" s="127" t="inlineStr">
        <is>
          <t>OVERTON OVERVIEW</t>
        </is>
      </c>
      <c r="B1" s="128" t="inlineStr">
        <is>
          <t>£</t>
        </is>
      </c>
      <c r="C1" s="129" t="inlineStr">
        <is>
          <t xml:space="preserve">s </t>
        </is>
      </c>
      <c r="D1" s="129" t="inlineStr">
        <is>
          <t>d</t>
        </is>
      </c>
      <c r="E1" s="130" t="n"/>
      <c r="F1" s="130" t="n"/>
      <c r="G1" s="131" t="inlineStr">
        <is>
          <t>Total in £</t>
        </is>
      </c>
      <c r="H1" s="132" t="inlineStr">
        <is>
          <t>Error</t>
        </is>
      </c>
    </row>
    <row r="2">
      <c r="A2" s="8" t="inlineStr">
        <is>
          <t>CASH ACCOUNT</t>
        </is>
      </c>
      <c r="B2" s="15" t="n"/>
      <c r="C2" s="15" t="n"/>
      <c r="D2" s="15" t="n"/>
      <c r="E2" s="15" t="n"/>
      <c r="F2" s="15" t="n"/>
      <c r="G2" s="133" t="n"/>
      <c r="H2" s="10" t="n"/>
    </row>
    <row r="3">
      <c r="A3" s="16" t="inlineStr">
        <is>
          <t>RECEIPTS</t>
        </is>
      </c>
      <c r="B3" s="134" t="n"/>
      <c r="C3" s="134" t="n"/>
      <c r="D3" s="134" t="n"/>
      <c r="E3" s="134" t="n"/>
      <c r="F3" s="134" t="n"/>
      <c r="G3" s="135" t="n"/>
      <c r="H3" s="10" t="n"/>
    </row>
    <row r="4">
      <c r="A4" s="15" t="inlineStr">
        <is>
          <t>Arrears total</t>
        </is>
      </c>
      <c r="C4" s="15" t="n"/>
      <c r="D4" s="15" t="n"/>
      <c r="E4" s="15" t="n"/>
      <c r="F4" s="15" t="n"/>
      <c r="G4" s="136">
        <f>IF(INDEX('Overton Receipts'!$A$4:$F$171,MATCH('Overton Overview'!$A4,'Overton Receipts'!$A$4:$A$171,0),6)=0,"",INDEX('Overton Receipts'!$A$4:$F$171,MATCH('Overton Overview'!$A4,'Overton Receipts'!$A$4:$A$171,0),6))</f>
        <v/>
      </c>
      <c r="H4" s="10" t="n"/>
    </row>
    <row r="5">
      <c r="A5" s="15" t="inlineStr">
        <is>
          <t>Rents of assize total</t>
        </is>
      </c>
      <c r="B5" s="15" t="n"/>
      <c r="C5" s="15" t="n"/>
      <c r="D5" s="15" t="n"/>
      <c r="E5" s="15" t="n"/>
      <c r="F5" s="15" t="n"/>
      <c r="G5" s="136">
        <f>IF(INDEX('Overton Receipts'!$A$4:$F$171,MATCH('Overton Overview'!$A5,'Overton Receipts'!$A$4:$A$171,0),6)=0,"",INDEX('Overton Receipts'!$A$4:$F$171,MATCH('Overton Overview'!$A5,'Overton Receipts'!$A$4:$A$171,0),6))</f>
        <v/>
      </c>
      <c r="H5" s="10" t="n"/>
    </row>
    <row r="6">
      <c r="A6" s="15" t="inlineStr">
        <is>
          <t>Quittances total</t>
        </is>
      </c>
      <c r="B6" s="15" t="n"/>
      <c r="C6" s="15" t="n"/>
      <c r="D6" s="15" t="n"/>
      <c r="E6" s="15" t="n"/>
      <c r="F6" s="15" t="n"/>
      <c r="G6" s="136">
        <f>IF(INDEX('Overton Receipts'!$A$4:$F$171,MATCH('Overton Overview'!$A6,'Overton Receipts'!$A$4:$A$171,0),6)=0,"",INDEX('Overton Receipts'!$A$4:$F$171,MATCH('Overton Overview'!$A6,'Overton Receipts'!$A$4:$A$171,0),6))</f>
        <v/>
      </c>
      <c r="H6" s="10" t="n"/>
    </row>
    <row r="7">
      <c r="A7" s="15" t="inlineStr">
        <is>
          <t>Defaults of rent total</t>
        </is>
      </c>
      <c r="B7" s="15" t="n"/>
      <c r="C7" s="15" t="n"/>
      <c r="D7" s="15" t="n"/>
      <c r="E7" s="15" t="n"/>
      <c r="F7" s="15" t="n"/>
      <c r="G7" s="136">
        <f>IF(INDEX('Overton Receipts'!$A$4:$F$171,MATCH('Overton Overview'!$A7,'Overton Receipts'!$A$4:$A$171,0),6)=0,"",INDEX('Overton Receipts'!$A$4:$F$171,MATCH('Overton Overview'!$A7,'Overton Receipts'!$A$4:$A$171,0),6))</f>
        <v/>
      </c>
      <c r="H7" s="10" t="n"/>
    </row>
    <row r="8">
      <c r="A8" s="15" t="inlineStr">
        <is>
          <t>Annual recognizances total</t>
        </is>
      </c>
      <c r="B8" s="15" t="n"/>
      <c r="C8" s="15" t="n"/>
      <c r="D8" s="15" t="n"/>
      <c r="E8" s="15" t="n"/>
      <c r="F8" s="15" t="n"/>
      <c r="G8" s="136">
        <f>IF(INDEX('Overton Receipts'!$A$4:$F$171,MATCH('Overton Overview'!$A8,'Overton Receipts'!$A$4:$A$171,0),6)=0,"",INDEX('Overton Receipts'!$A$4:$F$171,MATCH('Overton Overview'!$A8,'Overton Receipts'!$A$4:$A$171,0),6))</f>
        <v/>
      </c>
      <c r="H8" s="10" t="n"/>
    </row>
    <row r="9">
      <c r="A9" s="15" t="inlineStr">
        <is>
          <t>Issues of the Manor total</t>
        </is>
      </c>
      <c r="B9" s="15" t="n"/>
      <c r="C9" s="15" t="n"/>
      <c r="D9" s="15" t="n"/>
      <c r="E9" s="15" t="n"/>
      <c r="F9" s="15" t="n"/>
      <c r="G9" s="136">
        <f>IF(INDEX('Overton Receipts'!$A$4:$F$171,MATCH('Overton Overview'!$A9,'Overton Receipts'!$A$4:$A$171,0),6)=0,"",INDEX('Overton Receipts'!$A$4:$F$171,MATCH('Overton Overview'!$A9,'Overton Receipts'!$A$4:$A$171,0),6))</f>
        <v/>
      </c>
      <c r="H9" s="10" t="n"/>
    </row>
    <row r="10">
      <c r="A10" s="15" t="inlineStr">
        <is>
          <t>Sale of corn total</t>
        </is>
      </c>
      <c r="B10" s="15" t="n"/>
      <c r="C10" s="15" t="n"/>
      <c r="D10" s="15" t="n"/>
      <c r="E10" s="15" t="n"/>
      <c r="F10" s="15" t="n"/>
      <c r="G10" s="136">
        <f>IF(INDEX('Overton Receipts'!$A$4:$F$171,MATCH('Overton Overview'!$A10,'Overton Receipts'!$A$4:$A$171,0),6)=0,"",INDEX('Overton Receipts'!$A$4:$F$171,MATCH('Overton Overview'!$A10,'Overton Receipts'!$A$4:$A$171,0),6))</f>
        <v/>
      </c>
      <c r="H10" s="10" t="n"/>
    </row>
    <row r="11">
      <c r="A11" s="15" t="inlineStr">
        <is>
          <t>Entry and marriage fines total</t>
        </is>
      </c>
      <c r="B11" s="15" t="n"/>
      <c r="C11" s="15" t="n"/>
      <c r="D11" s="15" t="n"/>
      <c r="E11" s="15" t="n"/>
      <c r="F11" s="15" t="n"/>
      <c r="G11" s="136">
        <f>IF(INDEX('Overton Receipts'!$A$4:$F$171,MATCH('Overton Overview'!$A11,'Overton Receipts'!$A$4:$A$171,0),6)=0,"",INDEX('Overton Receipts'!$A$4:$F$171,MATCH('Overton Overview'!$A11,'Overton Receipts'!$A$4:$A$171,0),6))</f>
        <v/>
      </c>
      <c r="H11" s="10" t="n"/>
    </row>
    <row r="12">
      <c r="A12" s="15" t="inlineStr">
        <is>
          <t>Pleas &amp; perquisites total</t>
        </is>
      </c>
      <c r="B12" s="15" t="n"/>
      <c r="C12" s="15" t="n"/>
      <c r="D12" s="15" t="n"/>
      <c r="E12" s="15" t="n"/>
      <c r="F12" s="15" t="n"/>
      <c r="G12" s="136">
        <f>IF(INDEX('Overton Receipts'!$A$4:$F$171,MATCH('Overton Overview'!$A12,'Overton Receipts'!$A$4:$A$171,0),6)=0,"",INDEX('Overton Receipts'!$A$4:$F$171,MATCH('Overton Overview'!$A12,'Overton Receipts'!$A$4:$A$171,0),6))</f>
        <v/>
      </c>
      <c r="H12" s="10" t="n"/>
    </row>
    <row r="13">
      <c r="A13" s="17" t="inlineStr">
        <is>
          <t>Sum of the above (incl. arrears)</t>
        </is>
      </c>
      <c r="B13" s="17" t="n"/>
      <c r="C13" s="17" t="n"/>
      <c r="D13" s="17" t="n"/>
      <c r="E13" s="17" t="n"/>
      <c r="F13" s="17" t="n"/>
      <c r="G13" s="137">
        <f>'Overton Receipts'!F169</f>
        <v/>
      </c>
      <c r="H13" s="10" t="n"/>
    </row>
    <row r="14">
      <c r="A14" s="17" t="inlineStr">
        <is>
          <t>Total recorded in the accounts excl. arrears</t>
        </is>
      </c>
      <c r="B14" s="17" t="n"/>
      <c r="C14" s="17" t="n"/>
      <c r="D14" s="17" t="n"/>
      <c r="E14" s="17" t="n"/>
      <c r="F14" s="17" t="n"/>
      <c r="G14" s="137">
        <f>'Overton Receipts'!F170</f>
        <v/>
      </c>
      <c r="H14" s="138">
        <f>G13-G14</f>
        <v/>
      </c>
      <c r="I14" s="40" t="inlineStr">
        <is>
          <t>difference is arrears</t>
        </is>
      </c>
    </row>
    <row r="15">
      <c r="A15" s="17" t="inlineStr">
        <is>
          <t>Total recorded in the accounts incl. arrears</t>
        </is>
      </c>
      <c r="B15" s="17" t="n"/>
      <c r="C15" s="17" t="n"/>
      <c r="D15" s="17" t="n"/>
      <c r="E15" s="17" t="n"/>
      <c r="F15" s="17" t="n"/>
      <c r="G15" s="137">
        <f>'Overton Receipts'!F171</f>
        <v/>
      </c>
      <c r="H15" s="138" t="n"/>
      <c r="I15" s="40" t="inlineStr">
        <is>
          <t>not recorded</t>
        </is>
      </c>
    </row>
    <row r="16">
      <c r="A16" s="15" t="n"/>
      <c r="B16" s="15" t="n"/>
      <c r="C16" s="15" t="n"/>
      <c r="D16" s="15" t="n"/>
      <c r="E16" s="15" t="n"/>
      <c r="F16" s="15" t="n"/>
      <c r="G16" s="133" t="n"/>
      <c r="H16" s="10" t="n"/>
    </row>
    <row r="17">
      <c r="A17" s="15" t="n"/>
      <c r="B17" s="15" t="n"/>
      <c r="C17" s="15" t="n"/>
      <c r="D17" s="15" t="n"/>
      <c r="E17" s="15" t="n"/>
      <c r="F17" s="15" t="n"/>
      <c r="G17" s="133" t="n"/>
      <c r="H17" s="10" t="n"/>
    </row>
    <row r="18">
      <c r="A18" s="16" t="inlineStr">
        <is>
          <t>EXPENSES</t>
        </is>
      </c>
      <c r="B18" s="134" t="n"/>
      <c r="C18" s="134" t="n"/>
      <c r="D18" s="134" t="n"/>
      <c r="E18" s="134" t="n"/>
      <c r="F18" s="134" t="n"/>
      <c r="G18" s="135" t="n"/>
      <c r="H18" s="10" t="n"/>
    </row>
    <row r="19">
      <c r="A19" s="15" t="inlineStr">
        <is>
          <t>Cost of ploughs total</t>
        </is>
      </c>
      <c r="C19" s="15" t="n"/>
      <c r="D19" s="15" t="n"/>
      <c r="E19" s="15" t="n"/>
      <c r="F19" s="15" t="n"/>
      <c r="G19" s="136">
        <f>IF(INDEX('Overton Expenses'!$A$2:$F$156,MATCH('Overton Overview'!$A19,'Overton Expenses'!$A$2:$A$156,0),6)=0,"",INDEX('Overton Expenses'!$A$2:$F$156,MATCH('Overton Overview'!$A19,'Overton Expenses'!$A$2:$A$156,0),6))</f>
        <v/>
      </c>
      <c r="H19" s="10" t="n"/>
    </row>
    <row r="20">
      <c r="A20" s="15" t="inlineStr">
        <is>
          <t>Purchase of corn total</t>
        </is>
      </c>
      <c r="B20" s="15" t="n"/>
      <c r="C20" s="15" t="n"/>
      <c r="D20" s="15" t="n"/>
      <c r="E20" s="15" t="n"/>
      <c r="F20" s="15" t="n"/>
      <c r="G20" s="136">
        <f>IF(INDEX('Overton Expenses'!$A$2:$F$156,MATCH('Overton Overview'!$A20,'Overton Expenses'!$A$2:$A$156,0),6)=0,"",INDEX('Overton Expenses'!$A$2:$F$156,MATCH('Overton Overview'!$A20,'Overton Expenses'!$A$2:$A$156,0),6))</f>
        <v/>
      </c>
      <c r="H20" s="10" t="n"/>
    </row>
    <row r="21">
      <c r="A21" s="15" t="inlineStr">
        <is>
          <t>Cost of carts and wagons total</t>
        </is>
      </c>
      <c r="B21" s="15" t="n"/>
      <c r="C21" s="15" t="n"/>
      <c r="D21" s="15" t="n"/>
      <c r="E21" s="15" t="n"/>
      <c r="F21" s="15" t="n"/>
      <c r="G21" s="136">
        <f>IF(INDEX('Overton Expenses'!$A$2:$F$156,MATCH('Overton Overview'!$A21,'Overton Expenses'!$A$2:$A$156,0),6)=0,"",INDEX('Overton Expenses'!$A$2:$F$156,MATCH('Overton Overview'!$A21,'Overton Expenses'!$A$2:$A$156,0),6))</f>
        <v/>
      </c>
      <c r="H21" s="10" t="n"/>
    </row>
    <row r="22">
      <c r="A22" s="15" t="inlineStr">
        <is>
          <t>Cost of dairy total</t>
        </is>
      </c>
      <c r="B22" s="15" t="n"/>
      <c r="C22" s="15" t="n"/>
      <c r="D22" s="15" t="n"/>
      <c r="E22" s="15" t="n"/>
      <c r="F22" s="15" t="n"/>
      <c r="G22" s="136">
        <f>IF(INDEX('Overton Expenses'!$A$2:$F$156,MATCH('Overton Overview'!$A22,'Overton Expenses'!$A$2:$A$156,0),6)=0,"",INDEX('Overton Expenses'!$A$2:$F$156,MATCH('Overton Overview'!$A22,'Overton Expenses'!$A$2:$A$156,0),6))</f>
        <v/>
      </c>
      <c r="H22" s="10" t="n"/>
    </row>
    <row r="23">
      <c r="A23" s="15" t="inlineStr">
        <is>
          <t>Purchase of stock total</t>
        </is>
      </c>
      <c r="B23" s="15" t="n"/>
      <c r="C23" s="15" t="n"/>
      <c r="D23" s="15" t="n"/>
      <c r="E23" s="15" t="n"/>
      <c r="F23" s="15" t="n"/>
      <c r="G23" s="136">
        <f>IF(INDEX('Overton Expenses'!$A$2:$F$156,MATCH('Overton Overview'!$A23,'Overton Expenses'!$A$2:$A$156,0),6)=0,"",INDEX('Overton Expenses'!$A$2:$F$156,MATCH('Overton Overview'!$A23,'Overton Expenses'!$A$2:$A$156,0),6))</f>
        <v/>
      </c>
      <c r="H23" s="10" t="n"/>
    </row>
    <row r="24">
      <c r="A24" s="15" t="inlineStr">
        <is>
          <t>Sheepcote total</t>
        </is>
      </c>
      <c r="B24" s="15" t="n"/>
      <c r="C24" s="15" t="n"/>
      <c r="D24" s="15" t="n"/>
      <c r="E24" s="15" t="n"/>
      <c r="F24" s="15" t="n"/>
      <c r="G24" s="136">
        <f>IF(INDEX('Overton Expenses'!$A$2:$F$156,MATCH('Overton Overview'!$A24,'Overton Expenses'!$A$2:$A$156,0),6)=0,"",INDEX('Overton Expenses'!$A$2:$F$156,MATCH('Overton Overview'!$A24,'Overton Expenses'!$A$2:$A$156,0),6))</f>
        <v/>
      </c>
      <c r="H24" s="10" t="n"/>
    </row>
    <row r="25">
      <c r="A25" s="15" t="inlineStr">
        <is>
          <t>Cost of buildings total</t>
        </is>
      </c>
      <c r="B25" s="15" t="n"/>
      <c r="C25" s="15" t="n"/>
      <c r="D25" s="15" t="n"/>
      <c r="E25" s="15" t="n"/>
      <c r="F25" s="15" t="n"/>
      <c r="G25" s="136">
        <f>IF(INDEX('Overton Expenses'!$A$2:$F$156,MATCH('Overton Overview'!$A25,'Overton Expenses'!$A$2:$A$156,0),6)=0,"",INDEX('Overton Expenses'!$A$2:$F$156,MATCH('Overton Overview'!$A25,'Overton Expenses'!$A$2:$A$156,0),6))</f>
        <v/>
      </c>
      <c r="H25" s="10" t="n"/>
    </row>
    <row r="26">
      <c r="A26" s="15" t="inlineStr">
        <is>
          <t>Threshing total</t>
        </is>
      </c>
      <c r="B26" s="15" t="n"/>
      <c r="C26" s="15" t="n"/>
      <c r="D26" s="15" t="n"/>
      <c r="E26" s="15" t="n"/>
      <c r="F26" s="15" t="n"/>
      <c r="G26" s="136">
        <f>IF(INDEX('Overton Expenses'!$A$2:$F$156,MATCH('Overton Overview'!$A26,'Overton Expenses'!$A$2:$A$156,0),6)=0,"",INDEX('Overton Expenses'!$A$2:$F$156,MATCH('Overton Overview'!$A26,'Overton Expenses'!$A$2:$A$156,0),6))</f>
        <v/>
      </c>
      <c r="H26" s="10" t="n"/>
    </row>
    <row r="27">
      <c r="A27" s="15" t="inlineStr">
        <is>
          <t>Expenses of the harvest total</t>
        </is>
      </c>
      <c r="B27" s="15" t="n"/>
      <c r="C27" s="15" t="n"/>
      <c r="D27" s="15" t="n"/>
      <c r="E27" s="15" t="n"/>
      <c r="F27" s="15" t="n"/>
      <c r="G27" s="136">
        <f>IF(INDEX('Overton Expenses'!$A$2:$F$156,MATCH('Overton Overview'!$A27,'Overton Expenses'!$A$2:$A$156,0),6)=0,"",INDEX('Overton Expenses'!$A$2:$F$156,MATCH('Overton Overview'!$A27,'Overton Expenses'!$A$2:$A$156,0),6))</f>
        <v/>
      </c>
      <c r="H27" s="10" t="n"/>
    </row>
    <row r="28">
      <c r="A28" s="15" t="inlineStr">
        <is>
          <t>Steward's expenses total</t>
        </is>
      </c>
      <c r="B28" s="15" t="n"/>
      <c r="C28" s="15" t="n"/>
      <c r="D28" s="15" t="n"/>
      <c r="E28" s="15" t="n"/>
      <c r="F28" s="15" t="n"/>
      <c r="G28" s="136">
        <f>IF(INDEX('Overton Expenses'!$A$2:$F$156,MATCH('Overton Overview'!$A28,'Overton Expenses'!$A$2:$A$156,0),6)=0,"",INDEX('Overton Expenses'!$A$2:$F$156,MATCH('Overton Overview'!$A28,'Overton Expenses'!$A$2:$A$156,0),6))</f>
        <v/>
      </c>
      <c r="H28" s="10" t="n"/>
    </row>
    <row r="29">
      <c r="A29" s="17" t="inlineStr">
        <is>
          <t>Sum of the above</t>
        </is>
      </c>
      <c r="B29" s="134" t="n"/>
      <c r="C29" s="134" t="n"/>
      <c r="D29" s="134" t="n"/>
      <c r="E29" s="134" t="n"/>
      <c r="F29" s="134" t="n"/>
      <c r="G29" s="139">
        <f>'Overton Expenses'!F149</f>
        <v/>
      </c>
      <c r="H29" s="10" t="n"/>
    </row>
    <row r="30">
      <c r="A30" s="17" t="inlineStr">
        <is>
          <t>Total of all expenses</t>
        </is>
      </c>
      <c r="B30" s="134" t="n"/>
      <c r="C30" s="134" t="n"/>
      <c r="D30" s="134" t="n"/>
      <c r="E30" s="134" t="n"/>
      <c r="F30" s="134" t="n"/>
      <c r="G30" s="139">
        <f>'Overton Expenses'!F148</f>
        <v/>
      </c>
      <c r="H30" s="138">
        <f>G29-G30</f>
        <v/>
      </c>
    </row>
    <row r="31">
      <c r="A31" s="17" t="inlineStr">
        <is>
          <t>Capital Expenses</t>
        </is>
      </c>
      <c r="B31" s="134" t="n"/>
      <c r="C31" s="134" t="n"/>
      <c r="D31" s="134" t="n"/>
      <c r="E31" s="134" t="n"/>
      <c r="F31" s="134" t="n"/>
      <c r="G31" s="139">
        <f>'Overton Expenses'!F157</f>
        <v/>
      </c>
      <c r="H31" s="10" t="n"/>
    </row>
    <row r="32">
      <c r="A32" s="15" t="n"/>
      <c r="B32" s="15" t="n"/>
      <c r="C32" s="15" t="n"/>
      <c r="D32" s="15" t="n"/>
      <c r="E32" s="15" t="n"/>
      <c r="F32" s="15" t="n"/>
      <c r="G32" s="133" t="n"/>
      <c r="H32" s="10" t="n"/>
    </row>
    <row r="33">
      <c r="A33" s="18" t="inlineStr">
        <is>
          <t>Owed by the reeve</t>
        </is>
      </c>
      <c r="B33" s="18" t="n"/>
      <c r="C33" s="18" t="n"/>
      <c r="D33" s="18" t="n"/>
      <c r="E33" s="18" t="n"/>
      <c r="F33" s="18" t="n"/>
      <c r="G33" s="140">
        <f>G13-G29-G4</f>
        <v/>
      </c>
      <c r="H33" s="10" t="n"/>
    </row>
    <row r="34">
      <c r="A34" s="18" t="inlineStr">
        <is>
          <t>From accounts</t>
        </is>
      </c>
      <c r="B34" s="18" t="n"/>
      <c r="C34" s="18" t="n"/>
      <c r="D34" s="18" t="n"/>
      <c r="E34" s="18" t="n"/>
      <c r="F34" s="18" t="n"/>
      <c r="G34" s="140">
        <f>'Overton Expenses'!F151</f>
        <v/>
      </c>
      <c r="H34" s="138">
        <f>G34-G33</f>
        <v/>
      </c>
    </row>
    <row r="35">
      <c r="A35" s="15" t="n"/>
      <c r="B35" s="15" t="n"/>
      <c r="C35" s="15" t="n"/>
      <c r="D35" s="15" t="n"/>
      <c r="E35" s="15" t="n"/>
      <c r="F35" s="15" t="n"/>
      <c r="G35" s="133" t="n"/>
      <c r="H35" s="10" t="n"/>
    </row>
    <row r="36">
      <c r="A36" s="18" t="inlineStr">
        <is>
          <t>Cash deliveries</t>
        </is>
      </c>
      <c r="B36" s="18" t="n"/>
      <c r="C36" s="18" t="n"/>
      <c r="D36" s="18" t="n"/>
      <c r="E36" s="18" t="n"/>
      <c r="F36" s="18" t="n"/>
      <c r="G36" s="141">
        <f>'Overton Expenses'!F153</f>
        <v/>
      </c>
      <c r="H36" s="10" t="n"/>
    </row>
    <row r="37">
      <c r="A37" s="20" t="inlineStr">
        <is>
          <t>Total of all allowances and cash deliveries in accounts</t>
        </is>
      </c>
      <c r="B37" s="142" t="inlineStr">
        <is>
          <t>n/a</t>
        </is>
      </c>
      <c r="C37" s="142" t="n"/>
      <c r="D37" s="142" t="n"/>
      <c r="E37" s="142" t="n"/>
      <c r="F37" s="142" t="n"/>
      <c r="G37" s="143">
        <f>G36</f>
        <v/>
      </c>
      <c r="H37" s="10" t="n"/>
    </row>
    <row r="38">
      <c r="A38" s="15" t="n"/>
      <c r="B38" s="15" t="n"/>
      <c r="C38" s="15" t="n"/>
      <c r="D38" s="15" t="n"/>
      <c r="E38" s="15" t="n"/>
      <c r="F38" s="15" t="n"/>
      <c r="G38" s="133" t="n"/>
      <c r="H38" s="10" t="n"/>
    </row>
    <row r="39">
      <c r="A39" s="18" t="inlineStr">
        <is>
          <t>Net amount owed</t>
        </is>
      </c>
      <c r="B39" s="18" t="n"/>
      <c r="C39" s="18" t="n"/>
      <c r="D39" s="18" t="n"/>
      <c r="E39" s="18" t="n"/>
      <c r="F39" s="18" t="n"/>
      <c r="G39" s="141">
        <f>G34-G37</f>
        <v/>
      </c>
      <c r="H39" s="10" t="n"/>
    </row>
    <row r="40">
      <c r="A40" s="18" t="inlineStr">
        <is>
          <t>Net amount owed in accounts</t>
        </is>
      </c>
      <c r="B40" s="18" t="n"/>
      <c r="C40" s="18" t="n"/>
      <c r="D40" s="18" t="n"/>
      <c r="E40" s="18" t="n"/>
      <c r="F40" s="18" t="n"/>
      <c r="G40" s="141">
        <f>'Overton Expenses'!F154</f>
        <v/>
      </c>
      <c r="H40" s="138">
        <f>G39-G40</f>
        <v/>
      </c>
    </row>
    <row r="41">
      <c r="A41" s="15" t="n"/>
      <c r="B41" s="15" t="n"/>
      <c r="C41" s="15" t="n"/>
      <c r="D41" s="15" t="n"/>
      <c r="E41" s="15" t="n"/>
      <c r="F41" s="15" t="n"/>
      <c r="G41" s="133" t="n"/>
      <c r="H41" s="10" t="n"/>
    </row>
    <row r="42">
      <c r="A42" s="16" t="inlineStr">
        <is>
          <t xml:space="preserve">GRANGE ACCOUNT </t>
        </is>
      </c>
      <c r="B42" s="144" t="inlineStr">
        <is>
          <t>Net Production</t>
        </is>
      </c>
      <c r="D42" s="134" t="n"/>
      <c r="E42" s="134" t="n"/>
      <c r="F42" s="134" t="n"/>
      <c r="G42" s="145" t="inlineStr">
        <is>
          <t>Value of net production</t>
        </is>
      </c>
      <c r="H42" s="117" t="inlineStr">
        <is>
          <t>Value of total gross production in £</t>
        </is>
      </c>
    </row>
    <row r="43">
      <c r="A43" s="8" t="inlineStr">
        <is>
          <t>Grange</t>
        </is>
      </c>
      <c r="B43" s="146" t="inlineStr">
        <is>
          <t>qrs</t>
        </is>
      </c>
      <c r="C43" s="147" t="n"/>
      <c r="D43" s="15" t="n"/>
      <c r="E43" s="15" t="n"/>
      <c r="F43" s="15" t="n"/>
      <c r="G43" s="91" t="inlineStr">
        <is>
          <t>£</t>
        </is>
      </c>
      <c r="H43" s="91" t="inlineStr">
        <is>
          <t>£</t>
        </is>
      </c>
      <c r="I43" t="inlineStr">
        <is>
          <t>Note: Columns indexed are hardcoded, do not alter number of columns in issues of grange</t>
        </is>
      </c>
    </row>
    <row r="44">
      <c r="A44" t="inlineStr">
        <is>
          <t>Net wheat</t>
        </is>
      </c>
      <c r="B44" s="133">
        <f>'Issues of the Grange'!L19</f>
        <v/>
      </c>
      <c r="C44" s="15" t="n"/>
      <c r="D44" s="15" t="n"/>
      <c r="E44" s="15" t="n"/>
      <c r="F44" s="15" t="n"/>
      <c r="G44" s="133">
        <f>'Issues of the Grange'!O19</f>
        <v/>
      </c>
      <c r="H44" s="26">
        <f>'Issues of the Grange'!T5</f>
        <v/>
      </c>
    </row>
    <row r="45">
      <c r="A45" t="inlineStr">
        <is>
          <t>Net curall</t>
        </is>
      </c>
      <c r="B45" s="133">
        <f>'Issues of the Grange'!L20</f>
        <v/>
      </c>
      <c r="C45" s="15" t="n"/>
      <c r="D45" s="15" t="n"/>
      <c r="E45" s="15" t="n"/>
      <c r="F45" s="15" t="n"/>
      <c r="G45" s="133">
        <f>'Issues of the Grange'!O20</f>
        <v/>
      </c>
      <c r="H45" s="26">
        <f>'Issues of the Grange'!T6</f>
        <v/>
      </c>
    </row>
    <row r="46">
      <c r="A46" t="inlineStr">
        <is>
          <t>Net barley</t>
        </is>
      </c>
      <c r="B46" s="133">
        <f>'Issues of the Grange'!L21</f>
        <v/>
      </c>
      <c r="C46" s="15" t="n"/>
      <c r="D46" s="15" t="n"/>
      <c r="E46" s="15" t="n"/>
      <c r="F46" s="15" t="n"/>
      <c r="G46" s="133">
        <f>'Issues of the Grange'!O21</f>
        <v/>
      </c>
      <c r="H46" s="26">
        <f>'Issues of the Grange'!T7</f>
        <v/>
      </c>
    </row>
    <row r="47">
      <c r="A47" t="inlineStr">
        <is>
          <t>Net oats</t>
        </is>
      </c>
      <c r="B47" s="133">
        <f>'Issues of the Grange'!L22</f>
        <v/>
      </c>
      <c r="C47" s="15" t="n"/>
      <c r="D47" s="15" t="n"/>
      <c r="E47" s="15" t="n"/>
      <c r="F47" s="15" t="n"/>
      <c r="G47" s="133">
        <f>'Issues of the Grange'!O22</f>
        <v/>
      </c>
      <c r="H47" s="26">
        <f>'Issues of the Grange'!T8</f>
        <v/>
      </c>
    </row>
    <row r="48">
      <c r="A48" t="inlineStr">
        <is>
          <t>Net peas</t>
        </is>
      </c>
      <c r="B48" s="133">
        <f>'Issues of the Grange'!L23</f>
        <v/>
      </c>
      <c r="C48" s="15" t="n"/>
      <c r="D48" s="15" t="n"/>
      <c r="E48" s="15" t="n"/>
      <c r="F48" s="15" t="n"/>
      <c r="G48" s="133">
        <f>'Issues of the Grange'!O23</f>
        <v/>
      </c>
      <c r="H48" s="26">
        <f>'Issues of the Grange'!T9</f>
        <v/>
      </c>
    </row>
    <row r="49">
      <c r="A49" t="inlineStr">
        <is>
          <t>Net vetches</t>
        </is>
      </c>
      <c r="B49" s="133">
        <f>'Issues of the Grange'!L24</f>
        <v/>
      </c>
      <c r="C49" s="15" t="n"/>
      <c r="D49" s="15" t="n"/>
      <c r="E49" s="15" t="n"/>
      <c r="F49" s="15" t="n"/>
      <c r="G49" s="133">
        <f>'Issues of the Grange'!O24</f>
        <v/>
      </c>
      <c r="H49" s="26">
        <f>'Issues of the Grange'!T10</f>
        <v/>
      </c>
    </row>
    <row r="50">
      <c r="A50" s="17" t="inlineStr">
        <is>
          <t>Total value of gross production (sum of the above)</t>
        </is>
      </c>
      <c r="B50" s="134" t="n"/>
      <c r="C50" s="134" t="n"/>
      <c r="D50" s="134" t="n"/>
      <c r="E50" s="134" t="n"/>
      <c r="F50" s="134" t="n"/>
      <c r="G50" s="55">
        <f>SUM(H44:H49)</f>
        <v/>
      </c>
      <c r="H50" s="94" t="n"/>
    </row>
    <row r="51">
      <c r="A51" s="17" t="inlineStr">
        <is>
          <t>Total value of net production</t>
        </is>
      </c>
      <c r="B51" s="134" t="n"/>
      <c r="C51" s="134" t="n"/>
      <c r="D51" s="134" t="n"/>
      <c r="E51" s="134" t="n"/>
      <c r="F51" s="134" t="n"/>
      <c r="G51" s="135">
        <f>SUM(G44:G49)</f>
        <v/>
      </c>
      <c r="H51" s="94" t="n"/>
    </row>
    <row r="52">
      <c r="A52" s="17" t="inlineStr">
        <is>
          <t>Value of sales</t>
        </is>
      </c>
      <c r="B52" s="134" t="n"/>
      <c r="C52" s="134" t="n"/>
      <c r="D52" s="134" t="n"/>
      <c r="E52" s="134" t="n"/>
      <c r="F52" s="134" t="n"/>
      <c r="G52" s="139">
        <f>'Issues of the Grange'!P25</f>
        <v/>
      </c>
      <c r="H52" s="94" t="n"/>
    </row>
    <row r="53">
      <c r="A53" s="15" t="n"/>
      <c r="B53" s="15" t="n"/>
      <c r="C53" s="15" t="n"/>
      <c r="D53" s="15" t="n"/>
      <c r="E53" s="15" t="n"/>
      <c r="F53" s="15" t="n"/>
      <c r="G53" s="133" t="n"/>
      <c r="H53" s="10" t="n"/>
    </row>
    <row r="54">
      <c r="A54" s="16" t="inlineStr">
        <is>
          <t>MILL ACCOUNT</t>
        </is>
      </c>
      <c r="B54" s="134" t="inlineStr">
        <is>
          <t>n/a</t>
        </is>
      </c>
      <c r="C54" s="134" t="n"/>
      <c r="D54" s="134" t="n"/>
      <c r="E54" s="134" t="n"/>
      <c r="F54" s="134" t="n"/>
      <c r="G54" s="145" t="inlineStr">
        <is>
          <t>Value of net production</t>
        </is>
      </c>
      <c r="H54" s="10" t="n"/>
    </row>
    <row r="55">
      <c r="A55" s="8" t="inlineStr">
        <is>
          <t>Issues of the mill</t>
        </is>
      </c>
      <c r="B55" s="148" t="inlineStr">
        <is>
          <t>qrs</t>
        </is>
      </c>
      <c r="C55" s="147" t="n"/>
      <c r="D55" s="15" t="n"/>
      <c r="E55" s="15" t="n"/>
      <c r="F55" s="15" t="n"/>
      <c r="G55" s="77" t="inlineStr">
        <is>
          <t>£</t>
        </is>
      </c>
      <c r="H55" s="10" t="n"/>
    </row>
    <row r="56">
      <c r="A56" t="inlineStr">
        <is>
          <t>Wheat - Town Mill</t>
        </is>
      </c>
      <c r="B56" s="15">
        <f>'Issues of the Mill'!L5</f>
        <v/>
      </c>
      <c r="C56" s="15" t="n"/>
      <c r="D56" s="15" t="n"/>
      <c r="E56" s="15" t="n"/>
      <c r="F56" s="15" t="n"/>
      <c r="G56" s="133">
        <f>'Issues of the Mill'!R5</f>
        <v/>
      </c>
      <c r="H56" s="10" t="n"/>
    </row>
    <row r="57">
      <c r="A57" s="149" t="inlineStr">
        <is>
          <t>Maslin - Town Mill</t>
        </is>
      </c>
      <c r="B57" s="15">
        <f>'Issues of the Mill'!L6</f>
        <v/>
      </c>
      <c r="C57" s="15" t="n"/>
      <c r="D57" s="15" t="n"/>
      <c r="E57" s="15" t="n"/>
      <c r="F57" s="15" t="n"/>
      <c r="G57" s="133">
        <f>'Issues of the Mill'!R6</f>
        <v/>
      </c>
      <c r="H57" s="10" t="n"/>
    </row>
    <row r="58">
      <c r="A58" s="149" t="inlineStr">
        <is>
          <t>Coarse-ground corn - Town Mill</t>
        </is>
      </c>
      <c r="B58" s="15">
        <f>'Issues of the Mill'!L7</f>
        <v/>
      </c>
      <c r="C58" s="15" t="n"/>
      <c r="D58" s="15" t="n"/>
      <c r="E58" s="15" t="n"/>
      <c r="F58" s="15" t="n"/>
      <c r="G58" s="133">
        <f>'Issues of the Mill'!R7</f>
        <v/>
      </c>
      <c r="H58" s="10" t="n"/>
    </row>
    <row r="59">
      <c r="A59" s="149" t="inlineStr">
        <is>
          <t>Malt - Town Hill</t>
        </is>
      </c>
      <c r="B59" s="15">
        <f>'Issues of the Mill'!L8</f>
        <v/>
      </c>
      <c r="C59" s="15" t="n"/>
      <c r="D59" s="15" t="n"/>
      <c r="E59" s="15" t="n"/>
      <c r="F59" s="15" t="n"/>
      <c r="G59" s="133">
        <f>'Issues of the Mill'!R8</f>
        <v/>
      </c>
      <c r="H59" s="10" t="n"/>
    </row>
    <row r="60">
      <c r="A60" s="17" t="inlineStr">
        <is>
          <t>Total value of production (sum of the above)</t>
        </is>
      </c>
      <c r="B60" s="134" t="n"/>
      <c r="C60" s="134" t="n"/>
      <c r="D60" s="134" t="n"/>
      <c r="E60" s="134" t="n"/>
      <c r="F60" s="134" t="n"/>
      <c r="G60" s="135">
        <f>SUM(G56:G59)</f>
        <v/>
      </c>
      <c r="H60" s="10" t="n"/>
    </row>
    <row r="61">
      <c r="A61" s="17" t="inlineStr">
        <is>
          <t>Value of sales</t>
        </is>
      </c>
      <c r="B61" s="134" t="n"/>
      <c r="C61" s="134" t="n"/>
      <c r="D61" s="134" t="n"/>
      <c r="E61" s="134" t="n"/>
      <c r="F61" s="134" t="n"/>
      <c r="G61" s="135">
        <f>'Issues of the Mill'!R12</f>
        <v/>
      </c>
      <c r="H61" s="10" t="n"/>
    </row>
    <row r="62">
      <c r="A62" s="15" t="n"/>
      <c r="B62" s="15" t="n"/>
      <c r="C62" s="15" t="n"/>
      <c r="D62" s="15" t="n"/>
      <c r="E62" s="15" t="n"/>
      <c r="F62" s="15" t="n"/>
      <c r="G62" s="133" t="n"/>
      <c r="H62" s="10" t="n"/>
    </row>
    <row r="63">
      <c r="A63" s="16" t="inlineStr">
        <is>
          <t>STOCK ACCOUNT</t>
        </is>
      </c>
      <c r="B63" s="134" t="n"/>
      <c r="C63" s="134" t="n"/>
      <c r="D63" s="134" t="n"/>
      <c r="E63" s="134" t="n"/>
      <c r="F63" s="134" t="n"/>
      <c r="G63" s="139" t="n"/>
      <c r="H63" s="10" t="n"/>
    </row>
    <row r="64" ht="34" customHeight="1">
      <c r="A64" s="21" t="inlineStr">
        <is>
          <t>Livestock</t>
        </is>
      </c>
      <c r="B64" s="150" t="inlineStr">
        <is>
          <t>Inherited stock</t>
        </is>
      </c>
      <c r="C64" s="150" t="inlineStr">
        <is>
          <t>End-period  stock</t>
        </is>
      </c>
      <c r="D64" s="151" t="inlineStr">
        <is>
          <t>Stockbuilding</t>
        </is>
      </c>
      <c r="E64" s="152" t="n"/>
      <c r="F64" s="153" t="inlineStr">
        <is>
          <t>Sales in (£)</t>
        </is>
      </c>
      <c r="G64" s="153" t="inlineStr">
        <is>
          <t>Value of production (£) at sales prices</t>
        </is>
      </c>
      <c r="H64" s="10" t="n"/>
    </row>
    <row r="65" ht="17" customHeight="1">
      <c r="A65" s="22" t="inlineStr">
        <is>
          <t>Cart-horses</t>
        </is>
      </c>
      <c r="B65" s="15">
        <f>IFERROR(INDEX(Stock!$A$3:$T$94,MATCH('Overton Overview'!$A65,Stock!$A$3:$A$94,0),MATCH('Overton Overview'!B$64,Stock!$A$3:$T$3,0)),0)</f>
        <v/>
      </c>
      <c r="C65" s="15">
        <f>IFERROR(INDEX(Stock!$A$3:$T$94,MATCH('Overton Overview'!$A65,Stock!$A$3:$A$94,0),MATCH('Overton Overview'!C$64,Stock!$A$3:$T$3,0)),0)</f>
        <v/>
      </c>
      <c r="D65" s="15">
        <f>C65-B65</f>
        <v/>
      </c>
      <c r="E65" s="133" t="n"/>
      <c r="F65" s="15">
        <f>IFERROR(INDEX(Stock!$A$3:$T$94,MATCH('Overton Overview'!$A65,Stock!$A$3:$A$94,0),MATCH('Overton Overview'!F$64,Stock!$A$3:$T$3,0)),0)</f>
        <v/>
      </c>
      <c r="G65" s="133">
        <f>IFERROR(INDEX(Stock!$A$3:$T$94,MATCH('Overton Overview'!$A65,Stock!$A$3:$A$94,0),MATCH('Overton Overview'!G$64,Stock!$A$3:$T$3,0)),0)</f>
        <v/>
      </c>
      <c r="H65" s="10" t="n"/>
    </row>
    <row r="66" ht="17" customHeight="1">
      <c r="A66" s="22" t="inlineStr">
        <is>
          <t>Mares</t>
        </is>
      </c>
      <c r="B66" s="15">
        <f>IFERROR(INDEX(Stock!$A$3:$T$94,MATCH('Overton Overview'!$A66,Stock!$A$3:$A$94,0),MATCH('Overton Overview'!B$64,Stock!$A$3:$T$3,0)),0)</f>
        <v/>
      </c>
      <c r="C66" s="15">
        <f>IFERROR(INDEX(Stock!$A$3:$T$94,MATCH('Overton Overview'!$A66,Stock!$A$3:$A$94,0),MATCH('Overton Overview'!C$64,Stock!$A$3:$T$3,0)),0)</f>
        <v/>
      </c>
      <c r="D66" s="15">
        <f>C66-B66</f>
        <v/>
      </c>
      <c r="E66" s="133" t="n"/>
      <c r="F66" s="15">
        <f>IFERROR(INDEX(Stock!$A$3:$T$94,MATCH('Overton Overview'!$A66,Stock!$A$3:$A$94,0),MATCH('Overton Overview'!F$64,Stock!$A$3:$T$3,0)),0)</f>
        <v/>
      </c>
      <c r="G66" s="133">
        <f>IFERROR(INDEX(Stock!$A$3:$T$94,MATCH('Overton Overview'!$A66,Stock!$A$3:$A$94,0),MATCH('Overton Overview'!G$64,Stock!$A$3:$T$3,0)),0)</f>
        <v/>
      </c>
      <c r="H66" s="10" t="n"/>
    </row>
    <row r="67">
      <c r="A67" s="15" t="inlineStr">
        <is>
          <t>Plough horses</t>
        </is>
      </c>
      <c r="B67" s="15">
        <f>IFERROR(INDEX(Stock!$A$3:$T$94,MATCH('Overton Overview'!$A67,Stock!$A$3:$A$94,0),MATCH('Overton Overview'!B$64,Stock!$A$3:$T$3,0)),0)</f>
        <v/>
      </c>
      <c r="C67" s="15">
        <f>IFERROR(INDEX(Stock!$A$3:$T$94,MATCH('Overton Overview'!$A67,Stock!$A$3:$A$94,0),MATCH('Overton Overview'!C$64,Stock!$A$3:$T$3,0)),0)</f>
        <v/>
      </c>
      <c r="D67" s="15">
        <f>C67-B67</f>
        <v/>
      </c>
      <c r="E67" s="133" t="n"/>
      <c r="F67" s="15">
        <f>IFERROR(INDEX(Stock!$A$3:$T$94,MATCH('Overton Overview'!$A67,Stock!$A$3:$A$94,0),MATCH('Overton Overview'!F$64,Stock!$A$3:$T$3,0)),0)</f>
        <v/>
      </c>
      <c r="G67" s="133">
        <f>IFERROR(INDEX(Stock!$A$3:$T$94,MATCH('Overton Overview'!$A67,Stock!$A$3:$A$94,0),MATCH('Overton Overview'!G$64,Stock!$A$3:$T$3,0)),0)</f>
        <v/>
      </c>
      <c r="H67" s="10" t="n"/>
    </row>
    <row r="68">
      <c r="A68" s="15" t="inlineStr">
        <is>
          <t>Colts (2 years)</t>
        </is>
      </c>
      <c r="B68" s="15">
        <f>IFERROR(INDEX(Stock!$A$3:$T$94,MATCH('Overton Overview'!$A68,Stock!$A$3:$A$94,0),MATCH('Overton Overview'!B$64,Stock!$A$3:$T$3,0)),0)</f>
        <v/>
      </c>
      <c r="C68" s="15">
        <f>IFERROR(INDEX(Stock!$A$3:$T$94,MATCH('Overton Overview'!$A68,Stock!$A$3:$A$94,0),MATCH('Overton Overview'!C$64,Stock!$A$3:$T$3,0)),0)</f>
        <v/>
      </c>
      <c r="D68" s="15">
        <f>C68-B68</f>
        <v/>
      </c>
      <c r="E68" s="133" t="n"/>
      <c r="F68" s="15">
        <f>IFERROR(INDEX(Stock!$A$3:$T$94,MATCH('Overton Overview'!$A68,Stock!$A$3:$A$94,0),MATCH('Overton Overview'!F$64,Stock!$A$3:$T$3,0)),0)</f>
        <v/>
      </c>
      <c r="G68" s="133">
        <f>IFERROR(INDEX(Stock!$A$3:$T$94,MATCH('Overton Overview'!$A68,Stock!$A$3:$A$94,0),MATCH('Overton Overview'!G$64,Stock!$A$3:$T$3,0)),0)</f>
        <v/>
      </c>
      <c r="H68" s="10" t="n"/>
    </row>
    <row r="69">
      <c r="A69" s="15" t="inlineStr">
        <is>
          <t>Colts (2 years)</t>
        </is>
      </c>
      <c r="B69" s="15">
        <f>IFERROR(INDEX(Stock!$A$3:$T$94,MATCH('Overton Overview'!$A69,Stock!$A$3:$A$94,0),MATCH('Overton Overview'!B$64,Stock!$A$3:$T$3,0)),0)</f>
        <v/>
      </c>
      <c r="C69" s="15">
        <f>IFERROR(INDEX(Stock!$A$3:$T$94,MATCH('Overton Overview'!$A69,Stock!$A$3:$A$94,0),MATCH('Overton Overview'!C$64,Stock!$A$3:$T$3,0)),0)</f>
        <v/>
      </c>
      <c r="D69" s="15">
        <f>C69-B69</f>
        <v/>
      </c>
      <c r="E69" s="133" t="n"/>
      <c r="F69" s="15">
        <f>IFERROR(INDEX(Stock!$A$3:$T$94,MATCH('Overton Overview'!$A69,Stock!$A$3:$A$94,0),MATCH('Overton Overview'!F$64,Stock!$A$3:$T$3,0)),0)</f>
        <v/>
      </c>
      <c r="G69" s="133">
        <f>IFERROR(INDEX(Stock!$A$3:$T$94,MATCH('Overton Overview'!$A69,Stock!$A$3:$A$94,0),MATCH('Overton Overview'!G$64,Stock!$A$3:$T$3,0)),0)</f>
        <v/>
      </c>
      <c r="H69" s="10" t="n"/>
    </row>
    <row r="70">
      <c r="A70" s="15" t="inlineStr">
        <is>
          <t>Colts (1 year)</t>
        </is>
      </c>
      <c r="B70" s="15">
        <f>IFERROR(INDEX(Stock!$A$3:$T$94,MATCH('Overton Overview'!$A70,Stock!$A$3:$A$94,0),MATCH('Overton Overview'!B$64,Stock!$A$3:$T$3,0)),0)</f>
        <v/>
      </c>
      <c r="C70" s="15">
        <f>IFERROR(INDEX(Stock!$A$3:$T$94,MATCH('Overton Overview'!$A70,Stock!$A$3:$A$94,0),MATCH('Overton Overview'!C$64,Stock!$A$3:$T$3,0)),0)</f>
        <v/>
      </c>
      <c r="D70" s="15">
        <f>C70-B70</f>
        <v/>
      </c>
      <c r="E70" s="133" t="n"/>
      <c r="F70" s="15">
        <f>IFERROR(INDEX(Stock!$A$3:$T$94,MATCH('Overton Overview'!$A70,Stock!$A$3:$A$94,0),MATCH('Overton Overview'!F$64,Stock!$A$3:$T$3,0)),0)</f>
        <v/>
      </c>
      <c r="G70" s="133">
        <f>IFERROR(INDEX(Stock!$A$3:$T$94,MATCH('Overton Overview'!$A70,Stock!$A$3:$A$94,0),MATCH('Overton Overview'!G$64,Stock!$A$3:$T$3,0)),0)</f>
        <v/>
      </c>
      <c r="H70" s="10" t="n"/>
    </row>
    <row r="71">
      <c r="A71" s="15" t="inlineStr">
        <is>
          <t>Foals</t>
        </is>
      </c>
      <c r="B71" s="15">
        <f>IFERROR(INDEX(Stock!$A$3:$T$94,MATCH('Overton Overview'!$A71,Stock!$A$3:$A$94,0),MATCH('Overton Overview'!B$64,Stock!$A$3:$T$3,0)),0)</f>
        <v/>
      </c>
      <c r="C71" s="15">
        <f>IFERROR(INDEX(Stock!$A$3:$T$94,MATCH('Overton Overview'!$A71,Stock!$A$3:$A$94,0),MATCH('Overton Overview'!C$64,Stock!$A$3:$T$3,0)),0)</f>
        <v/>
      </c>
      <c r="D71" s="15">
        <f>C71-B71</f>
        <v/>
      </c>
      <c r="E71" s="133" t="n"/>
      <c r="F71" s="15">
        <f>IFERROR(INDEX(Stock!$A$3:$T$94,MATCH('Overton Overview'!$A71,Stock!$A$3:$A$94,0),MATCH('Overton Overview'!F$64,Stock!$A$3:$T$3,0)),0)</f>
        <v/>
      </c>
      <c r="G71" s="133">
        <f>IFERROR(INDEX(Stock!$A$3:$T$94,MATCH('Overton Overview'!$A71,Stock!$A$3:$A$94,0),MATCH('Overton Overview'!G$64,Stock!$A$3:$T$3,0)),0)</f>
        <v/>
      </c>
      <c r="H71" s="10" t="n"/>
    </row>
    <row r="72">
      <c r="A72" s="15" t="inlineStr">
        <is>
          <t>Oxen</t>
        </is>
      </c>
      <c r="B72" s="15">
        <f>IFERROR(INDEX(Stock!$A$3:$T$94,MATCH('Overton Overview'!$A72,Stock!$A$3:$A$94,0),MATCH('Overton Overview'!B$64,Stock!$A$3:$T$3,0)),0)</f>
        <v/>
      </c>
      <c r="C72" s="15">
        <f>IFERROR(INDEX(Stock!$A$3:$T$94,MATCH('Overton Overview'!$A72,Stock!$A$3:$A$94,0),MATCH('Overton Overview'!C$64,Stock!$A$3:$T$3,0)),0)</f>
        <v/>
      </c>
      <c r="D72" s="15">
        <f>C72-B72</f>
        <v/>
      </c>
      <c r="E72" s="133" t="n"/>
      <c r="F72" s="15">
        <f>IFERROR(INDEX(Stock!$A$3:$T$94,MATCH('Overton Overview'!$A72,Stock!$A$3:$A$94,0),MATCH('Overton Overview'!F$64,Stock!$A$3:$T$3,0)),0)</f>
        <v/>
      </c>
      <c r="G72" s="133">
        <f>IFERROR(INDEX(Stock!$A$3:$T$94,MATCH('Overton Overview'!$A72,Stock!$A$3:$A$94,0),MATCH('Overton Overview'!G$64,Stock!$A$3:$T$3,0)),0)</f>
        <v/>
      </c>
      <c r="H72" s="10" t="n"/>
    </row>
    <row r="73">
      <c r="A73" s="15" t="inlineStr">
        <is>
          <t>Bulls</t>
        </is>
      </c>
      <c r="B73" s="15">
        <f>IFERROR(INDEX(Stock!$A$3:$T$94,MATCH('Overton Overview'!$A73,Stock!$A$3:$A$94,0),MATCH('Overton Overview'!B$64,Stock!$A$3:$T$3,0)),0)</f>
        <v/>
      </c>
      <c r="C73" s="15">
        <f>IFERROR(INDEX(Stock!$A$3:$T$94,MATCH('Overton Overview'!$A73,Stock!$A$3:$A$94,0),MATCH('Overton Overview'!C$64,Stock!$A$3:$T$3,0)),0)</f>
        <v/>
      </c>
      <c r="D73" s="15">
        <f>C73-B73</f>
        <v/>
      </c>
      <c r="E73" s="133" t="n"/>
      <c r="F73" s="15">
        <f>IFERROR(INDEX(Stock!$A$3:$T$94,MATCH('Overton Overview'!$A73,Stock!$A$3:$A$94,0),MATCH('Overton Overview'!F$64,Stock!$A$3:$T$3,0)),0)</f>
        <v/>
      </c>
      <c r="G73" s="133">
        <f>IFERROR(INDEX(Stock!$A$3:$T$94,MATCH('Overton Overview'!$A73,Stock!$A$3:$A$94,0),MATCH('Overton Overview'!G$64,Stock!$A$3:$T$3,0)),0)</f>
        <v/>
      </c>
      <c r="H73" s="10" t="n"/>
    </row>
    <row r="74">
      <c r="A74" s="15" t="inlineStr">
        <is>
          <t>Cows</t>
        </is>
      </c>
      <c r="B74" s="15">
        <f>IFERROR(INDEX(Stock!$A$3:$T$94,MATCH('Overton Overview'!$A74,Stock!$A$3:$A$94,0),MATCH('Overton Overview'!B$64,Stock!$A$3:$T$3,0)),0)</f>
        <v/>
      </c>
      <c r="C74" s="15">
        <f>IFERROR(INDEX(Stock!$A$3:$T$94,MATCH('Overton Overview'!$A74,Stock!$A$3:$A$94,0),MATCH('Overton Overview'!C$64,Stock!$A$3:$T$3,0)),0)</f>
        <v/>
      </c>
      <c r="D74" s="15">
        <f>C74-B74</f>
        <v/>
      </c>
      <c r="E74" s="133" t="n"/>
      <c r="F74" s="15">
        <f>IFERROR(INDEX(Stock!$A$3:$T$94,MATCH('Overton Overview'!$A74,Stock!$A$3:$A$94,0),MATCH('Overton Overview'!F$64,Stock!$A$3:$T$3,0)),0)</f>
        <v/>
      </c>
      <c r="G74" s="133">
        <f>IFERROR(INDEX(Stock!$A$3:$T$94,MATCH('Overton Overview'!$A74,Stock!$A$3:$A$94,0),MATCH('Overton Overview'!G$64,Stock!$A$3:$T$3,0)),0)</f>
        <v/>
      </c>
      <c r="H74" s="10" t="n"/>
    </row>
    <row r="75">
      <c r="A75" s="15" t="inlineStr">
        <is>
          <t>Steers</t>
        </is>
      </c>
      <c r="B75" s="15">
        <f>IFERROR(INDEX(Stock!$A$3:$T$94,MATCH('Overton Overview'!$A75,Stock!$A$3:$A$94,0),MATCH('Overton Overview'!B$64,Stock!$A$3:$T$3,0)),0)</f>
        <v/>
      </c>
      <c r="C75" s="15">
        <f>IFERROR(INDEX(Stock!$A$3:$T$94,MATCH('Overton Overview'!$A75,Stock!$A$3:$A$94,0),MATCH('Overton Overview'!C$64,Stock!$A$3:$T$3,0)),0)</f>
        <v/>
      </c>
      <c r="D75" s="15">
        <f>C75-B75</f>
        <v/>
      </c>
      <c r="E75" s="133" t="n"/>
      <c r="F75" s="15">
        <f>IFERROR(INDEX(Stock!$A$3:$T$94,MATCH('Overton Overview'!$A75,Stock!$A$3:$A$94,0),MATCH('Overton Overview'!F$64,Stock!$A$3:$T$3,0)),0)</f>
        <v/>
      </c>
      <c r="G75" s="133">
        <f>IFERROR(INDEX(Stock!$A$3:$T$94,MATCH('Overton Overview'!$A75,Stock!$A$3:$A$94,0),MATCH('Overton Overview'!G$64,Stock!$A$3:$T$3,0)),0)</f>
        <v/>
      </c>
      <c r="H75" s="10" t="n"/>
    </row>
    <row r="76">
      <c r="A76" s="15" t="inlineStr">
        <is>
          <t>Bullocks</t>
        </is>
      </c>
      <c r="B76" s="15">
        <f>IFERROR(INDEX(Stock!$A$3:$T$94,MATCH('Overton Overview'!$A76,Stock!$A$3:$A$94,0),MATCH('Overton Overview'!B$64,Stock!$A$3:$T$3,0)),0)</f>
        <v/>
      </c>
      <c r="C76" s="15">
        <f>IFERROR(INDEX(Stock!$A$3:$T$94,MATCH('Overton Overview'!$A76,Stock!$A$3:$A$94,0),MATCH('Overton Overview'!C$64,Stock!$A$3:$T$3,0)),0)</f>
        <v/>
      </c>
      <c r="D76" s="15">
        <f>C76-B76</f>
        <v/>
      </c>
      <c r="E76" s="133" t="n"/>
      <c r="F76" s="15">
        <f>IFERROR(INDEX(Stock!$A$3:$T$94,MATCH('Overton Overview'!$A76,Stock!$A$3:$A$94,0),MATCH('Overton Overview'!F$64,Stock!$A$3:$T$3,0)),0)</f>
        <v/>
      </c>
      <c r="G76" s="133">
        <f>IFERROR(INDEX(Stock!$A$3:$T$94,MATCH('Overton Overview'!$A76,Stock!$A$3:$A$94,0),MATCH('Overton Overview'!G$64,Stock!$A$3:$T$3,0)),0)</f>
        <v/>
      </c>
      <c r="H76" s="10" t="n"/>
    </row>
    <row r="77">
      <c r="A77" s="15" t="inlineStr">
        <is>
          <t>Yearlings</t>
        </is>
      </c>
      <c r="B77" s="15">
        <f>IFERROR(INDEX(Stock!$A$3:$T$94,MATCH('Overton Overview'!$A77,Stock!$A$3:$A$94,0),MATCH('Overton Overview'!B$64,Stock!$A$3:$T$3,0)),0)</f>
        <v/>
      </c>
      <c r="C77" s="15">
        <f>IFERROR(INDEX(Stock!$A$3:$T$94,MATCH('Overton Overview'!$A77,Stock!$A$3:$A$94,0),MATCH('Overton Overview'!C$64,Stock!$A$3:$T$3,0)),0)</f>
        <v/>
      </c>
      <c r="D77" s="15">
        <f>C77-B77</f>
        <v/>
      </c>
      <c r="E77" s="133" t="n"/>
      <c r="F77" s="15">
        <f>IFERROR(INDEX(Stock!$A$3:$T$94,MATCH('Overton Overview'!$A77,Stock!$A$3:$A$94,0),MATCH('Overton Overview'!F$64,Stock!$A$3:$T$3,0)),0)</f>
        <v/>
      </c>
      <c r="G77" s="133">
        <f>IFERROR(INDEX(Stock!$A$3:$T$94,MATCH('Overton Overview'!$A77,Stock!$A$3:$A$94,0),MATCH('Overton Overview'!G$64,Stock!$A$3:$T$3,0)),0)</f>
        <v/>
      </c>
      <c r="H77" s="10" t="n"/>
    </row>
    <row r="78">
      <c r="A78" s="15" t="inlineStr">
        <is>
          <t>Calves</t>
        </is>
      </c>
      <c r="B78" s="15">
        <f>IFERROR(INDEX(Stock!$A$3:$T$94,MATCH('Overton Overview'!$A78,Stock!$A$3:$A$94,0),MATCH('Overton Overview'!B$64,Stock!$A$3:$T$3,0)),0)</f>
        <v/>
      </c>
      <c r="C78" s="15">
        <f>IFERROR(INDEX(Stock!$A$3:$T$94,MATCH('Overton Overview'!$A78,Stock!$A$3:$A$94,0),MATCH('Overton Overview'!C$64,Stock!$A$3:$T$3,0)),0)</f>
        <v/>
      </c>
      <c r="D78" s="15">
        <f>C78-B78</f>
        <v/>
      </c>
      <c r="E78" s="133" t="n"/>
      <c r="F78" s="15">
        <f>IFERROR(INDEX(Stock!$A$3:$T$94,MATCH('Overton Overview'!$A78,Stock!$A$3:$A$94,0),MATCH('Overton Overview'!F$64,Stock!$A$3:$T$3,0)),0)</f>
        <v/>
      </c>
      <c r="G78" s="133">
        <f>IFERROR(INDEX(Stock!$A$3:$T$94,MATCH('Overton Overview'!$A78,Stock!$A$3:$A$94,0),MATCH('Overton Overview'!G$64,Stock!$A$3:$T$3,0)),0)</f>
        <v/>
      </c>
      <c r="H78" s="10" t="n"/>
    </row>
    <row r="79">
      <c r="A79" s="15" t="inlineStr">
        <is>
          <t>Wethers</t>
        </is>
      </c>
      <c r="B79" s="15">
        <f>IFERROR(INDEX(Stock!$A$3:$T$94,MATCH('Overton Overview'!$A79,Stock!$A$3:$A$94,0),MATCH('Overton Overview'!B$64,Stock!$A$3:$T$3,0)),0)</f>
        <v/>
      </c>
      <c r="C79" s="15">
        <f>IFERROR(INDEX(Stock!$A$3:$T$94,MATCH('Overton Overview'!$A79,Stock!$A$3:$A$94,0),MATCH('Overton Overview'!C$64,Stock!$A$3:$T$3,0)),0)</f>
        <v/>
      </c>
      <c r="D79" s="15">
        <f>C79-B79</f>
        <v/>
      </c>
      <c r="E79" s="133" t="n"/>
      <c r="F79" s="15">
        <f>IFERROR(INDEX(Stock!$A$3:$T$94,MATCH('Overton Overview'!$A79,Stock!$A$3:$A$94,0),MATCH('Overton Overview'!F$64,Stock!$A$3:$T$3,0)),0)</f>
        <v/>
      </c>
      <c r="G79" s="133">
        <f>IFERROR(INDEX(Stock!$A$3:$T$94,MATCH('Overton Overview'!$A79,Stock!$A$3:$A$94,0),MATCH('Overton Overview'!G$64,Stock!$A$3:$T$3,0)),0)</f>
        <v/>
      </c>
      <c r="H79" s="10" t="n"/>
    </row>
    <row r="80">
      <c r="A80" s="15" t="inlineStr">
        <is>
          <t>Rams</t>
        </is>
      </c>
      <c r="B80" s="15">
        <f>IFERROR(INDEX(Stock!$A$3:$T$94,MATCH('Overton Overview'!$A80,Stock!$A$3:$A$94,0),MATCH('Overton Overview'!B$64,Stock!$A$3:$T$3,0)),0)</f>
        <v/>
      </c>
      <c r="C80" s="15">
        <f>IFERROR(INDEX(Stock!$A$3:$T$94,MATCH('Overton Overview'!$A80,Stock!$A$3:$A$94,0),MATCH('Overton Overview'!C$64,Stock!$A$3:$T$3,0)),0)</f>
        <v/>
      </c>
      <c r="D80" s="15">
        <f>C80-B80</f>
        <v/>
      </c>
      <c r="E80" s="133" t="n"/>
      <c r="F80" s="15">
        <f>IFERROR(INDEX(Stock!$A$3:$T$94,MATCH('Overton Overview'!$A80,Stock!$A$3:$A$94,0),MATCH('Overton Overview'!F$64,Stock!$A$3:$T$3,0)),0)</f>
        <v/>
      </c>
      <c r="G80" s="133">
        <f>IFERROR(INDEX(Stock!$A$3:$T$94,MATCH('Overton Overview'!$A80,Stock!$A$3:$A$94,0),MATCH('Overton Overview'!G$64,Stock!$A$3:$T$3,0)),0)</f>
        <v/>
      </c>
      <c r="H80" s="10" t="n"/>
    </row>
    <row r="81">
      <c r="A81" s="15" t="inlineStr">
        <is>
          <t>Ewes</t>
        </is>
      </c>
      <c r="B81" s="15">
        <f>IFERROR(INDEX(Stock!$A$3:$T$94,MATCH('Overton Overview'!$A81,Stock!$A$3:$A$94,0),MATCH('Overton Overview'!B$64,Stock!$A$3:$T$3,0)),0)</f>
        <v/>
      </c>
      <c r="C81" s="15">
        <f>IFERROR(INDEX(Stock!$A$3:$T$94,MATCH('Overton Overview'!$A81,Stock!$A$3:$A$94,0),MATCH('Overton Overview'!C$64,Stock!$A$3:$T$3,0)),0)</f>
        <v/>
      </c>
      <c r="D81" s="15">
        <f>C81-B81</f>
        <v/>
      </c>
      <c r="E81" s="133" t="n"/>
      <c r="F81" s="15">
        <f>IFERROR(INDEX(Stock!$A$3:$T$94,MATCH('Overton Overview'!$A81,Stock!$A$3:$A$94,0),MATCH('Overton Overview'!F$64,Stock!$A$3:$T$3,0)),0)</f>
        <v/>
      </c>
      <c r="G81" s="133">
        <f>IFERROR(INDEX(Stock!$A$3:$T$94,MATCH('Overton Overview'!$A81,Stock!$A$3:$A$94,0),MATCH('Overton Overview'!G$64,Stock!$A$3:$T$3,0)),0)</f>
        <v/>
      </c>
      <c r="H81" s="10" t="n"/>
    </row>
    <row r="82">
      <c r="A82" s="15" t="inlineStr">
        <is>
          <t>Hoggs</t>
        </is>
      </c>
      <c r="B82" s="15">
        <f>IFERROR(INDEX(Stock!$A$3:$T$94,MATCH('Overton Overview'!$A82,Stock!$A$3:$A$94,0),MATCH('Overton Overview'!B$64,Stock!$A$3:$T$3,0)),0)</f>
        <v/>
      </c>
      <c r="C82" s="15">
        <f>IFERROR(INDEX(Stock!$A$3:$T$94,MATCH('Overton Overview'!$A82,Stock!$A$3:$A$94,0),MATCH('Overton Overview'!C$64,Stock!$A$3:$T$3,0)),0)</f>
        <v/>
      </c>
      <c r="D82" s="15">
        <f>C82-B82</f>
        <v/>
      </c>
      <c r="E82" s="133" t="n"/>
      <c r="F82" s="15">
        <f>IFERROR(INDEX(Stock!$A$3:$T$94,MATCH('Overton Overview'!$A82,Stock!$A$3:$A$94,0),MATCH('Overton Overview'!F$64,Stock!$A$3:$T$3,0)),0)</f>
        <v/>
      </c>
      <c r="G82" s="133">
        <f>IFERROR(INDEX(Stock!$A$3:$T$94,MATCH('Overton Overview'!$A82,Stock!$A$3:$A$94,0),MATCH('Overton Overview'!G$64,Stock!$A$3:$T$3,0)),0)</f>
        <v/>
      </c>
      <c r="H82" s="10" t="n"/>
    </row>
    <row r="83">
      <c r="A83" s="15" t="inlineStr">
        <is>
          <t>Lambs</t>
        </is>
      </c>
      <c r="B83" s="15">
        <f>IFERROR(INDEX(Stock!$A$3:$T$94,MATCH('Overton Overview'!$A83,Stock!$A$3:$A$94,0),MATCH('Overton Overview'!B$64,Stock!$A$3:$T$3,0)),0)</f>
        <v/>
      </c>
      <c r="C83" s="15">
        <f>IFERROR(INDEX(Stock!$A$3:$T$94,MATCH('Overton Overview'!$A83,Stock!$A$3:$A$94,0),MATCH('Overton Overview'!C$64,Stock!$A$3:$T$3,0)),0)</f>
        <v/>
      </c>
      <c r="D83" s="15">
        <f>C83-B83</f>
        <v/>
      </c>
      <c r="E83" s="133" t="n"/>
      <c r="F83" s="15">
        <f>IFERROR(INDEX(Stock!$A$3:$T$94,MATCH('Overton Overview'!$A83,Stock!$A$3:$A$94,0),MATCH('Overton Overview'!F$64,Stock!$A$3:$T$3,0)),0)</f>
        <v/>
      </c>
      <c r="G83" s="133">
        <f>IFERROR(INDEX(Stock!$A$3:$T$94,MATCH('Overton Overview'!$A83,Stock!$A$3:$A$94,0),MATCH('Overton Overview'!G$64,Stock!$A$3:$T$3,0)),0)</f>
        <v/>
      </c>
      <c r="H83" s="10" t="n"/>
    </row>
    <row r="84">
      <c r="A84" s="15" t="inlineStr">
        <is>
          <t>Boars</t>
        </is>
      </c>
      <c r="B84" s="15">
        <f>IFERROR(INDEX(Stock!$A$3:$T$94,MATCH('Overton Overview'!$A84,Stock!$A$3:$A$94,0),MATCH('Overton Overview'!B$64,Stock!$A$3:$T$3,0)),0)</f>
        <v/>
      </c>
      <c r="C84" s="15">
        <f>IFERROR(INDEX(Stock!$A$3:$T$94,MATCH('Overton Overview'!$A84,Stock!$A$3:$A$94,0),MATCH('Overton Overview'!C$64,Stock!$A$3:$T$3,0)),0)</f>
        <v/>
      </c>
      <c r="D84" s="15">
        <f>C84-B84</f>
        <v/>
      </c>
      <c r="E84" s="133" t="n"/>
      <c r="F84" s="15">
        <f>IFERROR(INDEX(Stock!$A$3:$T$94,MATCH('Overton Overview'!$A84,Stock!$A$3:$A$94,0),MATCH('Overton Overview'!F$64,Stock!$A$3:$T$3,0)),0)</f>
        <v/>
      </c>
      <c r="G84" s="133">
        <f>IFERROR(INDEX(Stock!$A$3:$T$94,MATCH('Overton Overview'!$A84,Stock!$A$3:$A$94,0),MATCH('Overton Overview'!G$64,Stock!$A$3:$T$3,0)),0)</f>
        <v/>
      </c>
      <c r="H84" s="10" t="n"/>
    </row>
    <row r="85">
      <c r="A85" s="15" t="inlineStr">
        <is>
          <t>Sows</t>
        </is>
      </c>
      <c r="B85" s="15">
        <f>IFERROR(INDEX(Stock!$A$3:$T$94,MATCH('Overton Overview'!$A85,Stock!$A$3:$A$94,0),MATCH('Overton Overview'!B$64,Stock!$A$3:$T$3,0)),0)</f>
        <v/>
      </c>
      <c r="C85" s="15">
        <f>IFERROR(INDEX(Stock!$A$3:$T$94,MATCH('Overton Overview'!$A85,Stock!$A$3:$A$94,0),MATCH('Overton Overview'!C$64,Stock!$A$3:$T$3,0)),0)</f>
        <v/>
      </c>
      <c r="D85" s="15">
        <f>C85-B85</f>
        <v/>
      </c>
      <c r="E85" s="133" t="n"/>
      <c r="F85" s="15">
        <f>IFERROR(INDEX(Stock!$A$3:$T$94,MATCH('Overton Overview'!$A85,Stock!$A$3:$A$94,0),MATCH('Overton Overview'!F$64,Stock!$A$3:$T$3,0)),0)</f>
        <v/>
      </c>
      <c r="G85" s="133">
        <f>IFERROR(INDEX(Stock!$A$3:$T$94,MATCH('Overton Overview'!$A85,Stock!$A$3:$A$94,0),MATCH('Overton Overview'!G$64,Stock!$A$3:$T$3,0)),0)</f>
        <v/>
      </c>
      <c r="H85" s="10" t="n"/>
    </row>
    <row r="86">
      <c r="A86" s="15" t="inlineStr">
        <is>
          <t>Pigs</t>
        </is>
      </c>
      <c r="B86" s="15">
        <f>IFERROR(INDEX(Stock!$A$3:$T$94,MATCH('Overton Overview'!$A86,Stock!$A$3:$A$94,0),MATCH('Overton Overview'!B$64,Stock!$A$3:$T$3,0)),0)</f>
        <v/>
      </c>
      <c r="C86" s="15">
        <f>IFERROR(INDEX(Stock!$A$3:$T$94,MATCH('Overton Overview'!$A86,Stock!$A$3:$A$94,0),MATCH('Overton Overview'!C$64,Stock!$A$3:$T$3,0)),0)</f>
        <v/>
      </c>
      <c r="D86" s="15">
        <f>C86-B86</f>
        <v/>
      </c>
      <c r="E86" s="133" t="n"/>
      <c r="F86" s="15">
        <f>IFERROR(INDEX(Stock!$A$3:$T$94,MATCH('Overton Overview'!$A86,Stock!$A$3:$A$94,0),MATCH('Overton Overview'!F$64,Stock!$A$3:$T$3,0)),0)</f>
        <v/>
      </c>
      <c r="G86" s="133">
        <f>IFERROR(INDEX(Stock!$A$3:$T$94,MATCH('Overton Overview'!$A86,Stock!$A$3:$A$94,0),MATCH('Overton Overview'!G$64,Stock!$A$3:$T$3,0)),0)</f>
        <v/>
      </c>
      <c r="H86" s="10" t="n"/>
    </row>
    <row r="87">
      <c r="A87" s="15" t="inlineStr">
        <is>
          <t>Hoggets</t>
        </is>
      </c>
      <c r="B87" s="15">
        <f>IFERROR(INDEX(Stock!$A$3:$T$94,MATCH('Overton Overview'!$A87,Stock!$A$3:$A$94,0),MATCH('Overton Overview'!B$64,Stock!$A$3:$T$3,0)),0)</f>
        <v/>
      </c>
      <c r="C87" s="15">
        <f>IFERROR(INDEX(Stock!$A$3:$T$94,MATCH('Overton Overview'!$A87,Stock!$A$3:$A$94,0),MATCH('Overton Overview'!C$64,Stock!$A$3:$T$3,0)),0)</f>
        <v/>
      </c>
      <c r="D87" s="15">
        <f>C87-B87</f>
        <v/>
      </c>
      <c r="E87" s="133" t="n"/>
      <c r="F87" s="15">
        <f>IFERROR(INDEX(Stock!$A$3:$T$94,MATCH('Overton Overview'!$A87,Stock!$A$3:$A$94,0),MATCH('Overton Overview'!F$64,Stock!$A$3:$T$3,0)),0)</f>
        <v/>
      </c>
      <c r="G87" s="133">
        <f>IFERROR(INDEX(Stock!$A$3:$T$94,MATCH('Overton Overview'!$A87,Stock!$A$3:$A$94,0),MATCH('Overton Overview'!G$64,Stock!$A$3:$T$3,0)),0)</f>
        <v/>
      </c>
      <c r="H87" s="10" t="n"/>
    </row>
    <row r="88">
      <c r="A88" s="15" t="inlineStr">
        <is>
          <t>Piglets</t>
        </is>
      </c>
      <c r="B88" s="15">
        <f>IFERROR(INDEX(Stock!$A$3:$T$94,MATCH('Overton Overview'!$A88,Stock!$A$3:$A$94,0),MATCH('Overton Overview'!B$64,Stock!$A$3:$T$3,0)),0)</f>
        <v/>
      </c>
      <c r="C88" s="15">
        <f>IFERROR(INDEX(Stock!$A$3:$T$94,MATCH('Overton Overview'!$A88,Stock!$A$3:$A$94,0),MATCH('Overton Overview'!C$64,Stock!$A$3:$T$3,0)),0)</f>
        <v/>
      </c>
      <c r="D88" s="15">
        <f>C88-B88</f>
        <v/>
      </c>
      <c r="E88" s="133" t="n"/>
      <c r="F88" s="15">
        <f>IFERROR(INDEX(Stock!$A$3:$T$94,MATCH('Overton Overview'!$A88,Stock!$A$3:$A$94,0),MATCH('Overton Overview'!F$64,Stock!$A$3:$T$3,0)),0)</f>
        <v/>
      </c>
      <c r="G88" s="133">
        <f>IFERROR(INDEX(Stock!$A$3:$T$94,MATCH('Overton Overview'!$A88,Stock!$A$3:$A$94,0),MATCH('Overton Overview'!G$64,Stock!$A$3:$T$3,0)),0)</f>
        <v/>
      </c>
      <c r="H88" s="10" t="n"/>
    </row>
    <row r="89">
      <c r="A89" s="15" t="inlineStr">
        <is>
          <t>Swans</t>
        </is>
      </c>
      <c r="B89" s="15">
        <f>IFERROR(INDEX(Stock!$A$3:$T$94,MATCH('Overton Overview'!$A89,Stock!$A$3:$A$94,0),MATCH('Overton Overview'!B$64,Stock!$A$3:$T$3,0)),0)</f>
        <v/>
      </c>
      <c r="C89" s="15">
        <f>IFERROR(INDEX(Stock!$A$3:$T$94,MATCH('Overton Overview'!$A89,Stock!$A$3:$A$94,0),MATCH('Overton Overview'!C$64,Stock!$A$3:$T$3,0)),0)</f>
        <v/>
      </c>
      <c r="D89" s="15">
        <f>C89-B89</f>
        <v/>
      </c>
      <c r="E89" s="133" t="n"/>
      <c r="F89" s="15">
        <f>IFERROR(INDEX(Stock!$A$3:$T$94,MATCH('Overton Overview'!$A89,Stock!$A$3:$A$94,0),MATCH('Overton Overview'!F$64,Stock!$A$3:$T$3,0)),0)</f>
        <v/>
      </c>
      <c r="G89" s="133">
        <f>IFERROR(INDEX(Stock!$A$3:$T$94,MATCH('Overton Overview'!$A89,Stock!$A$3:$A$94,0),MATCH('Overton Overview'!G$64,Stock!$A$3:$T$3,0)),0)</f>
        <v/>
      </c>
      <c r="H89" s="10" t="n"/>
    </row>
    <row r="90">
      <c r="A90" s="15" t="inlineStr">
        <is>
          <t>Peacocks</t>
        </is>
      </c>
      <c r="B90" s="15">
        <f>IFERROR(INDEX(Stock!$A$3:$T$94,MATCH('Overton Overview'!$A90,Stock!$A$3:$A$94,0),MATCH('Overton Overview'!B$64,Stock!$A$3:$T$3,0)),0)</f>
        <v/>
      </c>
      <c r="C90" s="15">
        <f>IFERROR(INDEX(Stock!$A$3:$T$94,MATCH('Overton Overview'!$A90,Stock!$A$3:$A$94,0),MATCH('Overton Overview'!C$64,Stock!$A$3:$T$3,0)),0)</f>
        <v/>
      </c>
      <c r="D90" s="15">
        <f>C90-B90</f>
        <v/>
      </c>
      <c r="E90" s="133" t="n"/>
      <c r="F90" s="15">
        <f>IFERROR(INDEX(Stock!$A$3:$T$94,MATCH('Overton Overview'!$A90,Stock!$A$3:$A$94,0),MATCH('Overton Overview'!F$64,Stock!$A$3:$T$3,0)),0)</f>
        <v/>
      </c>
      <c r="G90" s="133">
        <f>IFERROR(INDEX(Stock!$A$3:$T$94,MATCH('Overton Overview'!$A90,Stock!$A$3:$A$94,0),MATCH('Overton Overview'!G$64,Stock!$A$3:$T$3,0)),0)</f>
        <v/>
      </c>
      <c r="H90" s="10" t="n"/>
    </row>
    <row r="91">
      <c r="A91" s="17" t="inlineStr">
        <is>
          <t>Total</t>
        </is>
      </c>
      <c r="B91" s="134" t="n"/>
      <c r="C91" s="134" t="n"/>
      <c r="D91" s="134" t="n"/>
      <c r="E91" s="134" t="n"/>
      <c r="F91" s="134" t="n"/>
      <c r="G91" s="139">
        <f>SUM(G65:G90)</f>
        <v/>
      </c>
      <c r="H91" s="10" t="n"/>
    </row>
    <row r="92">
      <c r="A92" s="17" t="inlineStr">
        <is>
          <t>Value of sales</t>
        </is>
      </c>
      <c r="B92" s="134" t="n"/>
      <c r="C92" s="134" t="n"/>
      <c r="D92" s="134" t="n"/>
      <c r="E92" s="134" t="n"/>
      <c r="F92" s="134" t="n"/>
      <c r="G92" s="139">
        <f>SUM(F65:F90)</f>
        <v/>
      </c>
      <c r="H92" s="10" t="n"/>
    </row>
    <row r="93">
      <c r="A93" s="15" t="n"/>
      <c r="B93" s="15" t="n"/>
      <c r="C93" s="15" t="n"/>
      <c r="D93" s="15" t="n"/>
      <c r="E93" s="15" t="n"/>
      <c r="F93" s="15" t="n"/>
      <c r="G93" s="133" t="n"/>
      <c r="H93" s="10" t="n"/>
    </row>
    <row r="94" ht="34" customHeight="1">
      <c r="A94" s="16" t="inlineStr">
        <is>
          <t>Wool</t>
        </is>
      </c>
      <c r="B94" s="150" t="inlineStr">
        <is>
          <t>Inherited stock</t>
        </is>
      </c>
      <c r="C94" s="150" t="inlineStr">
        <is>
          <t>End-period  stock</t>
        </is>
      </c>
      <c r="D94" s="151" t="inlineStr">
        <is>
          <t>Stockbuilding</t>
        </is>
      </c>
      <c r="E94" s="152" t="n"/>
      <c r="F94" s="153" t="inlineStr">
        <is>
          <t>Sales in (£)</t>
        </is>
      </c>
      <c r="G94" s="153" t="inlineStr">
        <is>
          <t>Value of production (£) at sales prices</t>
        </is>
      </c>
      <c r="H94" s="10" t="n"/>
    </row>
    <row r="95" ht="17" customHeight="1">
      <c r="A95" s="22" t="inlineStr">
        <is>
          <t>Fleeces</t>
        </is>
      </c>
      <c r="B95" s="15">
        <f>IFERROR(INDEX(Stock!$A$3:$T$94,MATCH('Overton Overview'!$A95,Stock!$A$3:$A$94,0),MATCH('Overton Overview'!B$64,Stock!$A$3:$T$3,0)),0)</f>
        <v/>
      </c>
      <c r="C95" s="15">
        <f>IFERROR(INDEX(Stock!$A$3:$T$94,MATCH('Overton Overview'!$A95,Stock!$A$3:$A$94,0),MATCH('Overton Overview'!C$64,Stock!$A$3:$T$3,0)),0)</f>
        <v/>
      </c>
      <c r="D95" s="15">
        <f>C95-B95</f>
        <v/>
      </c>
      <c r="F95" s="15">
        <f>IFERROR(INDEX(Stock!$A$3:$T$94,MATCH('Overton Overview'!$A95,Stock!$A$3:$A$94,0),MATCH('Overton Overview'!F$64,Stock!$A$3:$T$3,0)),0)</f>
        <v/>
      </c>
      <c r="G95" s="133">
        <f>IFERROR(INDEX(Stock!$A$3:$T$94,MATCH('Overton Overview'!$A95,Stock!$A$3:$A$94,0),MATCH('Overton Overview'!G$64,Stock!$A$3:$T$3,0)),0)</f>
        <v/>
      </c>
      <c r="H95" s="10" t="n"/>
    </row>
    <row r="96">
      <c r="A96" s="15" t="inlineStr">
        <is>
          <t>Coarse wool</t>
        </is>
      </c>
      <c r="B96" s="15">
        <f>IFERROR(INDEX(Stock!$A$3:$T$94,MATCH('Overton Overview'!$A96,Stock!$A$3:$A$94,0),MATCH('Overton Overview'!B$64,Stock!$A$3:$T$3,0)),0)</f>
        <v/>
      </c>
      <c r="C96" s="15">
        <f>IFERROR(INDEX(Stock!$A$3:$T$94,MATCH('Overton Overview'!$A96,Stock!$A$3:$A$94,0),MATCH('Overton Overview'!C$64,Stock!$A$3:$T$3,0)),0)</f>
        <v/>
      </c>
      <c r="D96" s="15">
        <f>C96-B96</f>
        <v/>
      </c>
      <c r="F96" s="15">
        <f>IFERROR(INDEX(Stock!$A$3:$T$94,MATCH('Overton Overview'!$A96,Stock!$A$3:$A$94,0),MATCH('Overton Overview'!F$64,Stock!$A$3:$T$3,0)),0)</f>
        <v/>
      </c>
      <c r="G96" s="133">
        <f>IFERROR(INDEX(Stock!$A$3:$T$94,MATCH('Overton Overview'!$A96,Stock!$A$3:$A$94,0),MATCH('Overton Overview'!G$64,Stock!$A$3:$T$3,0)),0)</f>
        <v/>
      </c>
      <c r="H96" s="10" t="n"/>
    </row>
    <row r="97">
      <c r="A97" s="15" t="inlineStr">
        <is>
          <t>Lamb's wool</t>
        </is>
      </c>
      <c r="B97" s="15">
        <f>IFERROR(INDEX(Stock!$A$3:$T$94,MATCH('Overton Overview'!$A97,Stock!$A$3:$A$94,0),MATCH('Overton Overview'!B$64,Stock!$A$3:$T$3,0)),0)</f>
        <v/>
      </c>
      <c r="C97" s="15">
        <f>IFERROR(INDEX(Stock!$A$3:$T$94,MATCH('Overton Overview'!$A97,Stock!$A$3:$A$94,0),MATCH('Overton Overview'!C$64,Stock!$A$3:$T$3,0)),0)</f>
        <v/>
      </c>
      <c r="D97" s="15">
        <f>C97-B97</f>
        <v/>
      </c>
      <c r="F97" s="15">
        <f>IFERROR(INDEX(Stock!$A$3:$T$94,MATCH('Overton Overview'!$A97,Stock!$A$3:$A$94,0),MATCH('Overton Overview'!F$64,Stock!$A$3:$T$3,0)),0)</f>
        <v/>
      </c>
      <c r="G97" s="133">
        <f>IFERROR(INDEX(Stock!$A$3:$T$94,MATCH('Overton Overview'!$A97,Stock!$A$3:$A$94,0),MATCH('Overton Overview'!G$64,Stock!$A$3:$T$3,0)),0)</f>
        <v/>
      </c>
      <c r="H97" s="10" t="n"/>
    </row>
    <row r="98">
      <c r="A98" s="15" t="inlineStr">
        <is>
          <t>Wool locks</t>
        </is>
      </c>
      <c r="B98" s="15">
        <f>IFERROR(INDEX(Stock!$A$3:$T$94,MATCH('Overton Overview'!$A98,Stock!$A$3:$A$94,0),MATCH('Overton Overview'!B$64,Stock!$A$3:$T$3,0)),0)</f>
        <v/>
      </c>
      <c r="C98" s="15">
        <f>IFERROR(INDEX(Stock!$A$3:$T$94,MATCH('Overton Overview'!$A98,Stock!$A$3:$A$94,0),MATCH('Overton Overview'!C$64,Stock!$A$3:$T$3,0)),0)</f>
        <v/>
      </c>
      <c r="D98" s="15">
        <f>C98-B98</f>
        <v/>
      </c>
      <c r="F98" s="15">
        <f>IFERROR(INDEX(Stock!$A$3:$T$94,MATCH('Overton Overview'!$A98,Stock!$A$3:$A$94,0),MATCH('Overton Overview'!F$64,Stock!$A$3:$T$3,0)),0)</f>
        <v/>
      </c>
      <c r="G98" s="133">
        <f>IFERROR(INDEX(Stock!$A$3:$T$94,MATCH('Overton Overview'!$A98,Stock!$A$3:$A$94,0),MATCH('Overton Overview'!G$64,Stock!$A$3:$T$3,0)),0)</f>
        <v/>
      </c>
      <c r="H98" s="10" t="n"/>
    </row>
    <row r="99">
      <c r="A99" s="15" t="inlineStr">
        <is>
          <t>Wool sold at shearing</t>
        </is>
      </c>
      <c r="B99" s="15">
        <f>IFERROR(INDEX(Stock!$A$3:$T$94,MATCH('Overton Overview'!$A99,Stock!$A$3:$A$94,0),MATCH('Overton Overview'!B$64,Stock!$A$3:$T$3,0)),0)</f>
        <v/>
      </c>
      <c r="C99" s="15">
        <f>IFERROR(INDEX(Stock!$A$3:$T$94,MATCH('Overton Overview'!$A99,Stock!$A$3:$A$94,0),MATCH('Overton Overview'!C$64,Stock!$A$3:$T$3,0)),0)</f>
        <v/>
      </c>
      <c r="D99" s="15">
        <f>C99-B99</f>
        <v/>
      </c>
      <c r="F99" s="15">
        <f>IFERROR(INDEX(Stock!$A$3:$T$94,MATCH('Overton Overview'!$A99,Stock!$A$3:$A$94,0),MATCH('Overton Overview'!F$64,Stock!$A$3:$T$3,0)),0)</f>
        <v/>
      </c>
      <c r="G99" s="133">
        <f>IFERROR(INDEX(Stock!$A$3:$T$94,MATCH('Overton Overview'!$A99,Stock!$A$3:$A$94,0),MATCH('Overton Overview'!G$64,Stock!$A$3:$T$3,0)),0)</f>
        <v/>
      </c>
      <c r="H99" s="10" t="n"/>
    </row>
    <row r="100">
      <c r="A100" s="17" t="inlineStr">
        <is>
          <t>Total value of production (sum of the above)</t>
        </is>
      </c>
      <c r="B100" s="134" t="n"/>
      <c r="C100" s="134" t="n"/>
      <c r="D100" s="134" t="n"/>
      <c r="E100" s="134" t="n"/>
      <c r="F100" s="134" t="n"/>
      <c r="G100" s="139">
        <f>SUM(G95:G99)</f>
        <v/>
      </c>
      <c r="H100" s="10" t="n"/>
    </row>
    <row r="101">
      <c r="A101" s="17" t="inlineStr">
        <is>
          <t>Value of sales</t>
        </is>
      </c>
      <c r="B101" s="134" t="n"/>
      <c r="C101" s="134" t="n"/>
      <c r="D101" s="134" t="n"/>
      <c r="E101" s="134" t="n"/>
      <c r="F101" s="134" t="n"/>
      <c r="G101" s="139">
        <f>SUM(F95:F99)</f>
        <v/>
      </c>
      <c r="H101" s="10" t="n"/>
    </row>
    <row r="102">
      <c r="A102" s="8" t="n"/>
      <c r="B102" s="15" t="n"/>
      <c r="C102" s="15" t="n"/>
      <c r="D102" s="15" t="n"/>
      <c r="E102" s="15" t="n"/>
      <c r="F102" s="15" t="n"/>
      <c r="G102" s="133" t="n"/>
      <c r="H102" s="10" t="n"/>
    </row>
    <row r="103" ht="34" customHeight="1">
      <c r="A103" s="16" t="inlineStr">
        <is>
          <t>Hides</t>
        </is>
      </c>
      <c r="B103" s="150" t="inlineStr">
        <is>
          <t>Inherited stock</t>
        </is>
      </c>
      <c r="C103" s="150" t="inlineStr">
        <is>
          <t>End-period  stock</t>
        </is>
      </c>
      <c r="D103" s="151" t="inlineStr">
        <is>
          <t>Stockbuilding</t>
        </is>
      </c>
      <c r="E103" s="152" t="n"/>
      <c r="F103" s="153" t="inlineStr">
        <is>
          <t>Sales in (£)</t>
        </is>
      </c>
      <c r="G103" s="153" t="inlineStr">
        <is>
          <t>Value of production (£) at sales prices</t>
        </is>
      </c>
      <c r="H103" s="10" t="n"/>
    </row>
    <row r="104">
      <c r="A104" s="15" t="inlineStr">
        <is>
          <t>Ox hides</t>
        </is>
      </c>
      <c r="B104" s="15">
        <f>IFERROR(INDEX(Stock!$A$3:$T$94,MATCH('Overton Overview'!$A104,Stock!$A$3:$A$94,0),MATCH('Overton Overview'!B$64,Stock!$A$3:$T$3,0)),0)</f>
        <v/>
      </c>
      <c r="C104" s="15">
        <f>IFERROR(INDEX(Stock!$A$3:$T$94,MATCH('Overton Overview'!$A104,Stock!$A$3:$A$94,0),MATCH('Overton Overview'!C$64,Stock!$A$3:$T$3,0)),0)</f>
        <v/>
      </c>
      <c r="D104" s="15">
        <f>C104-B104</f>
        <v/>
      </c>
      <c r="E104" s="15" t="n"/>
      <c r="F104" s="15">
        <f>IFERROR(INDEX(Stock!$A$3:$T$94,MATCH('Overton Overview'!$A104,Stock!$A$3:$A$94,0),MATCH('Overton Overview'!F$64,Stock!$A$3:$T$3,0)),0)</f>
        <v/>
      </c>
      <c r="G104" s="133">
        <f>IFERROR(INDEX(Stock!$A$3:$T$94,MATCH('Overton Overview'!$A104,Stock!$A$3:$A$94,0),MATCH('Overton Overview'!G$64,Stock!$A$3:$T$3,0)),0)</f>
        <v/>
      </c>
      <c r="H104" s="10" t="n"/>
    </row>
    <row r="105">
      <c r="A105" s="15" t="inlineStr">
        <is>
          <t>Cow hides</t>
        </is>
      </c>
      <c r="B105" s="15">
        <f>IFERROR(INDEX(Stock!$A$3:$T$94,MATCH('Overton Overview'!$A105,Stock!$A$3:$A$94,0),MATCH('Overton Overview'!B$64,Stock!$A$3:$T$3,0)),0)</f>
        <v/>
      </c>
      <c r="C105" s="15">
        <f>IFERROR(INDEX(Stock!$A$3:$T$94,MATCH('Overton Overview'!$A105,Stock!$A$3:$A$94,0),MATCH('Overton Overview'!C$64,Stock!$A$3:$T$3,0)),0)</f>
        <v/>
      </c>
      <c r="D105" s="15">
        <f>C105-B105</f>
        <v/>
      </c>
      <c r="E105" s="15" t="n"/>
      <c r="F105" s="15">
        <f>IFERROR(INDEX(Stock!$A$3:$T$94,MATCH('Overton Overview'!$A105,Stock!$A$3:$A$94,0),MATCH('Overton Overview'!F$64,Stock!$A$3:$T$3,0)),0)</f>
        <v/>
      </c>
      <c r="G105" s="133">
        <f>IFERROR(INDEX(Stock!$A$3:$T$94,MATCH('Overton Overview'!$A105,Stock!$A$3:$A$94,0),MATCH('Overton Overview'!G$64,Stock!$A$3:$T$3,0)),0)</f>
        <v/>
      </c>
      <c r="H105" s="10" t="n"/>
    </row>
    <row r="106">
      <c r="A106" s="15" t="inlineStr">
        <is>
          <t>Mare hides</t>
        </is>
      </c>
      <c r="B106" s="15">
        <f>IFERROR(INDEX(Stock!$A$3:$T$94,MATCH('Overton Overview'!$A106,Stock!$A$3:$A$94,0),MATCH('Overton Overview'!B$64,Stock!$A$3:$T$3,0)),0)</f>
        <v/>
      </c>
      <c r="C106" s="15">
        <f>IFERROR(INDEX(Stock!$A$3:$T$94,MATCH('Overton Overview'!$A106,Stock!$A$3:$A$94,0),MATCH('Overton Overview'!C$64,Stock!$A$3:$T$3,0)),0)</f>
        <v/>
      </c>
      <c r="D106" s="15">
        <f>C106-B106</f>
        <v/>
      </c>
      <c r="E106" s="15" t="n"/>
      <c r="F106" s="15">
        <f>IFERROR(INDEX(Stock!$A$3:$T$94,MATCH('Overton Overview'!$A106,Stock!$A$3:$A$94,0),MATCH('Overton Overview'!F$64,Stock!$A$3:$T$3,0)),0)</f>
        <v/>
      </c>
      <c r="G106" s="133">
        <f>IFERROR(INDEX(Stock!$A$3:$T$94,MATCH('Overton Overview'!$A106,Stock!$A$3:$A$94,0),MATCH('Overton Overview'!G$64,Stock!$A$3:$T$3,0)),0)</f>
        <v/>
      </c>
      <c r="H106" s="10" t="n"/>
    </row>
    <row r="107">
      <c r="A107" s="15" t="inlineStr">
        <is>
          <t>Steer hides</t>
        </is>
      </c>
      <c r="B107" s="15">
        <f>IFERROR(INDEX(Stock!$A$3:$T$94,MATCH('Overton Overview'!$A107,Stock!$A$3:$A$94,0),MATCH('Overton Overview'!B$64,Stock!$A$3:$T$3,0)),0)</f>
        <v/>
      </c>
      <c r="C107" s="15">
        <f>IFERROR(INDEX(Stock!$A$3:$T$94,MATCH('Overton Overview'!$A107,Stock!$A$3:$A$94,0),MATCH('Overton Overview'!C$64,Stock!$A$3:$T$3,0)),0)</f>
        <v/>
      </c>
      <c r="D107" s="15">
        <f>C107-B107</f>
        <v/>
      </c>
      <c r="E107" s="15" t="n"/>
      <c r="F107" s="15">
        <f>IFERROR(INDEX(Stock!$A$3:$T$94,MATCH('Overton Overview'!$A107,Stock!$A$3:$A$94,0),MATCH('Overton Overview'!F$64,Stock!$A$3:$T$3,0)),0)</f>
        <v/>
      </c>
      <c r="G107" s="133">
        <f>IFERROR(INDEX(Stock!$A$3:$T$94,MATCH('Overton Overview'!$A107,Stock!$A$3:$A$94,0),MATCH('Overton Overview'!G$64,Stock!$A$3:$T$3,0)),0)</f>
        <v/>
      </c>
      <c r="H107" s="10" t="n"/>
    </row>
    <row r="108">
      <c r="A108" s="15" t="inlineStr">
        <is>
          <t>Yearling Calf hides</t>
        </is>
      </c>
      <c r="B108" s="15">
        <f>IFERROR(INDEX(Stock!$A$3:$T$94,MATCH('Overton Overview'!$A108,Stock!$A$3:$A$94,0),MATCH('Overton Overview'!B$64,Stock!$A$3:$T$3,0)),0)</f>
        <v/>
      </c>
      <c r="C108" s="15">
        <f>IFERROR(INDEX(Stock!$A$3:$T$94,MATCH('Overton Overview'!$A108,Stock!$A$3:$A$94,0),MATCH('Overton Overview'!C$64,Stock!$A$3:$T$3,0)),0)</f>
        <v/>
      </c>
      <c r="D108" s="15">
        <f>C108-B108</f>
        <v/>
      </c>
      <c r="E108" s="15" t="n"/>
      <c r="F108" s="15">
        <f>IFERROR(INDEX(Stock!$A$3:$T$94,MATCH('Overton Overview'!$A108,Stock!$A$3:$A$94,0),MATCH('Overton Overview'!F$64,Stock!$A$3:$T$3,0)),0)</f>
        <v/>
      </c>
      <c r="G108" s="133">
        <f>IFERROR(INDEX(Stock!$A$3:$T$94,MATCH('Overton Overview'!$A108,Stock!$A$3:$A$94,0),MATCH('Overton Overview'!G$64,Stock!$A$3:$T$3,0)),0)</f>
        <v/>
      </c>
      <c r="H108" s="10" t="n"/>
    </row>
    <row r="109">
      <c r="A109" s="15" t="inlineStr">
        <is>
          <t>Calf hides</t>
        </is>
      </c>
      <c r="B109" s="15">
        <f>IFERROR(INDEX(Stock!$A$3:$T$94,MATCH('Overton Overview'!$A109,Stock!$A$3:$A$94,0),MATCH('Overton Overview'!B$64,Stock!$A$3:$T$3,0)),0)</f>
        <v/>
      </c>
      <c r="C109" s="15">
        <f>IFERROR(INDEX(Stock!$A$3:$T$94,MATCH('Overton Overview'!$A109,Stock!$A$3:$A$94,0),MATCH('Overton Overview'!C$64,Stock!$A$3:$T$3,0)),0)</f>
        <v/>
      </c>
      <c r="D109" s="15">
        <f>C109-B109</f>
        <v/>
      </c>
      <c r="E109" s="15" t="n"/>
      <c r="F109" s="15">
        <f>IFERROR(INDEX(Stock!$A$3:$T$94,MATCH('Overton Overview'!$A109,Stock!$A$3:$A$94,0),MATCH('Overton Overview'!F$64,Stock!$A$3:$T$3,0)),0)</f>
        <v/>
      </c>
      <c r="G109" s="133">
        <f>IFERROR(INDEX(Stock!$A$3:$T$94,MATCH('Overton Overview'!$A109,Stock!$A$3:$A$94,0),MATCH('Overton Overview'!G$64,Stock!$A$3:$T$3,0)),0)</f>
        <v/>
      </c>
      <c r="H109" s="10" t="n"/>
    </row>
    <row r="110">
      <c r="A110" s="23" t="inlineStr">
        <is>
          <t>Pig hides</t>
        </is>
      </c>
      <c r="B110" s="15">
        <f>IFERROR(INDEX(Stock!$A$3:$T$94,MATCH('Overton Overview'!$A110,Stock!$A$3:$A$94,0),MATCH('Overton Overview'!B$64,Stock!$A$3:$T$3,0)),0)</f>
        <v/>
      </c>
      <c r="C110" s="15">
        <f>IFERROR(INDEX(Stock!$A$3:$T$94,MATCH('Overton Overview'!$A110,Stock!$A$3:$A$94,0),MATCH('Overton Overview'!C$64,Stock!$A$3:$T$3,0)),0)</f>
        <v/>
      </c>
      <c r="D110" s="15">
        <f>C110-B110</f>
        <v/>
      </c>
      <c r="E110" s="15" t="n"/>
      <c r="F110" s="15">
        <f>IFERROR(INDEX(Stock!$A$3:$T$94,MATCH('Overton Overview'!$A110,Stock!$A$3:$A$94,0),MATCH('Overton Overview'!F$64,Stock!$A$3:$T$3,0)),0)</f>
        <v/>
      </c>
      <c r="G110" s="133">
        <f>IFERROR(INDEX(Stock!$A$3:$T$94,MATCH('Overton Overview'!$A110,Stock!$A$3:$A$94,0),MATCH('Overton Overview'!G$64,Stock!$A$3:$T$3,0)),0)</f>
        <v/>
      </c>
      <c r="H110" s="10" t="n"/>
    </row>
    <row r="111">
      <c r="A111" s="24" t="inlineStr">
        <is>
          <t>Weather woolskins</t>
        </is>
      </c>
      <c r="B111" s="15">
        <f>IFERROR(INDEX(Stock!$A$3:$T$94,MATCH('Overton Overview'!$A111,Stock!$A$3:$A$94,0),MATCH('Overton Overview'!B$64,Stock!$A$3:$T$3,0)),0)</f>
        <v/>
      </c>
      <c r="C111" s="15">
        <f>IFERROR(INDEX(Stock!$A$3:$T$94,MATCH('Overton Overview'!$A111,Stock!$A$3:$A$94,0),MATCH('Overton Overview'!C$64,Stock!$A$3:$T$3,0)),0)</f>
        <v/>
      </c>
      <c r="D111" s="15">
        <f>C111-B111</f>
        <v/>
      </c>
      <c r="E111" s="15" t="n"/>
      <c r="F111" s="15">
        <f>IFERROR(INDEX(Stock!$A$3:$T$94,MATCH('Overton Overview'!$A111,Stock!$A$3:$A$94,0),MATCH('Overton Overview'!F$64,Stock!$A$3:$T$3,0)),0)</f>
        <v/>
      </c>
      <c r="G111" s="133">
        <f>IFERROR(INDEX(Stock!$A$3:$T$94,MATCH('Overton Overview'!$A111,Stock!$A$3:$A$94,0),MATCH('Overton Overview'!G$64,Stock!$A$3:$T$3,0)),0)</f>
        <v/>
      </c>
      <c r="H111" s="10" t="n"/>
    </row>
    <row r="112">
      <c r="A112" s="24" t="inlineStr">
        <is>
          <t>Ram woolskins</t>
        </is>
      </c>
      <c r="B112" s="15">
        <f>IFERROR(INDEX(Stock!$A$3:$T$94,MATCH('Overton Overview'!$A112,Stock!$A$3:$A$94,0),MATCH('Overton Overview'!B$64,Stock!$A$3:$T$3,0)),0)</f>
        <v/>
      </c>
      <c r="C112" s="15">
        <f>IFERROR(INDEX(Stock!$A$3:$T$94,MATCH('Overton Overview'!$A112,Stock!$A$3:$A$94,0),MATCH('Overton Overview'!C$64,Stock!$A$3:$T$3,0)),0)</f>
        <v/>
      </c>
      <c r="D112" s="15">
        <f>C112-B112</f>
        <v/>
      </c>
      <c r="E112" s="15" t="n"/>
      <c r="F112" s="15">
        <f>IFERROR(INDEX(Stock!$A$3:$T$94,MATCH('Overton Overview'!$A112,Stock!$A$3:$A$94,0),MATCH('Overton Overview'!F$64,Stock!$A$3:$T$3,0)),0)</f>
        <v/>
      </c>
      <c r="G112" s="133">
        <f>IFERROR(INDEX(Stock!$A$3:$T$94,MATCH('Overton Overview'!$A112,Stock!$A$3:$A$94,0),MATCH('Overton Overview'!G$64,Stock!$A$3:$T$3,0)),0)</f>
        <v/>
      </c>
      <c r="H112" s="10" t="n"/>
    </row>
    <row r="113">
      <c r="A113" s="24" t="inlineStr">
        <is>
          <t>Ewe woolskins</t>
        </is>
      </c>
      <c r="B113" s="15">
        <f>IFERROR(INDEX(Stock!$A$3:$T$94,MATCH('Overton Overview'!$A113,Stock!$A$3:$A$94,0),MATCH('Overton Overview'!B$64,Stock!$A$3:$T$3,0)),0)</f>
        <v/>
      </c>
      <c r="C113" s="15">
        <f>IFERROR(INDEX(Stock!$A$3:$T$94,MATCH('Overton Overview'!$A113,Stock!$A$3:$A$94,0),MATCH('Overton Overview'!C$64,Stock!$A$3:$T$3,0)),0)</f>
        <v/>
      </c>
      <c r="D113" s="15">
        <f>C113-B113</f>
        <v/>
      </c>
      <c r="E113" s="15" t="n"/>
      <c r="F113" s="15">
        <f>IFERROR(INDEX(Stock!$A$3:$T$94,MATCH('Overton Overview'!$A113,Stock!$A$3:$A$94,0),MATCH('Overton Overview'!F$64,Stock!$A$3:$T$3,0)),0)</f>
        <v/>
      </c>
      <c r="G113" s="133">
        <f>IFERROR(INDEX(Stock!$A$3:$T$94,MATCH('Overton Overview'!$A113,Stock!$A$3:$A$94,0),MATCH('Overton Overview'!G$64,Stock!$A$3:$T$3,0)),0)</f>
        <v/>
      </c>
      <c r="H113" s="10" t="n"/>
    </row>
    <row r="114">
      <c r="A114" s="24" t="inlineStr">
        <is>
          <t>Hogg woolskins</t>
        </is>
      </c>
      <c r="B114" s="15">
        <f>IFERROR(INDEX(Stock!$A$3:$T$94,MATCH('Overton Overview'!$A114,Stock!$A$3:$A$94,0),MATCH('Overton Overview'!B$64,Stock!$A$3:$T$3,0)),0)</f>
        <v/>
      </c>
      <c r="C114" s="15">
        <f>IFERROR(INDEX(Stock!$A$3:$T$94,MATCH('Overton Overview'!$A114,Stock!$A$3:$A$94,0),MATCH('Overton Overview'!C$64,Stock!$A$3:$T$3,0)),0)</f>
        <v/>
      </c>
      <c r="D114" s="15">
        <f>C114-B114</f>
        <v/>
      </c>
      <c r="E114" s="15" t="n"/>
      <c r="F114" s="15">
        <f>IFERROR(INDEX(Stock!$A$3:$T$94,MATCH('Overton Overview'!$A114,Stock!$A$3:$A$94,0),MATCH('Overton Overview'!F$64,Stock!$A$3:$T$3,0)),0)</f>
        <v/>
      </c>
      <c r="G114" s="133">
        <f>IFERROR(INDEX(Stock!$A$3:$T$94,MATCH('Overton Overview'!$A114,Stock!$A$3:$A$94,0),MATCH('Overton Overview'!G$64,Stock!$A$3:$T$3,0)),0)</f>
        <v/>
      </c>
      <c r="H114" s="10" t="n"/>
    </row>
    <row r="115">
      <c r="A115" s="25" t="inlineStr">
        <is>
          <t>Woolskins (total)</t>
        </is>
      </c>
      <c r="B115" s="15">
        <f>IFERROR(INDEX(Stock!$A$3:$T$94,MATCH('Overton Overview'!$A115,Stock!$A$3:$A$94,0),MATCH('Overton Overview'!B$64,Stock!$A$3:$T$3,0)),0)</f>
        <v/>
      </c>
      <c r="C115" s="15">
        <f>IFERROR(INDEX(Stock!$A$3:$T$94,MATCH('Overton Overview'!$A115,Stock!$A$3:$A$94,0),MATCH('Overton Overview'!C$64,Stock!$A$3:$T$3,0)),0)</f>
        <v/>
      </c>
      <c r="D115" s="15">
        <f>C115-B115</f>
        <v/>
      </c>
      <c r="E115" s="15" t="n"/>
      <c r="F115" s="15">
        <f>IFERROR(INDEX(Stock!$A$3:$T$94,MATCH('Overton Overview'!$A115,Stock!$A$3:$A$94,0),MATCH('Overton Overview'!F$64,Stock!$A$3:$T$3,0)),0)</f>
        <v/>
      </c>
      <c r="G115" s="133">
        <f>IFERROR(INDEX(Stock!$A$3:$T$94,MATCH('Overton Overview'!$A115,Stock!$A$3:$A$94,0),MATCH('Overton Overview'!G$64,Stock!$A$3:$T$3,0)),0)</f>
        <v/>
      </c>
      <c r="H115" s="10" t="n"/>
    </row>
    <row r="116">
      <c r="A116" s="24" t="inlineStr">
        <is>
          <t>Wether bareskins</t>
        </is>
      </c>
      <c r="B116" s="15">
        <f>IFERROR(INDEX(Stock!$A$3:$T$94,MATCH('Overton Overview'!$A116,Stock!$A$3:$A$94,0),MATCH('Overton Overview'!B$64,Stock!$A$3:$T$3,0)),0)</f>
        <v/>
      </c>
      <c r="C116" s="15">
        <f>IFERROR(INDEX(Stock!$A$3:$T$94,MATCH('Overton Overview'!$A116,Stock!$A$3:$A$94,0),MATCH('Overton Overview'!C$64,Stock!$A$3:$T$3,0)),0)</f>
        <v/>
      </c>
      <c r="D116" s="15">
        <f>C116-B116</f>
        <v/>
      </c>
      <c r="E116" s="15" t="n"/>
      <c r="F116" s="15">
        <f>IFERROR(INDEX(Stock!$A$3:$T$94,MATCH('Overton Overview'!$A116,Stock!$A$3:$A$94,0),MATCH('Overton Overview'!F$64,Stock!$A$3:$T$3,0)),0)</f>
        <v/>
      </c>
      <c r="G116" s="133">
        <f>IFERROR(INDEX(Stock!$A$3:$T$94,MATCH('Overton Overview'!$A116,Stock!$A$3:$A$94,0),MATCH('Overton Overview'!G$64,Stock!$A$3:$T$3,0)),0)</f>
        <v/>
      </c>
      <c r="H116" s="10" t="n"/>
    </row>
    <row r="117">
      <c r="A117" s="24" t="inlineStr">
        <is>
          <t>Ram bareskins</t>
        </is>
      </c>
      <c r="B117" s="15">
        <f>IFERROR(INDEX(Stock!$A$3:$T$94,MATCH('Overton Overview'!$A117,Stock!$A$3:$A$94,0),MATCH('Overton Overview'!B$64,Stock!$A$3:$T$3,0)),0)</f>
        <v/>
      </c>
      <c r="C117" s="15">
        <f>IFERROR(INDEX(Stock!$A$3:$T$94,MATCH('Overton Overview'!$A117,Stock!$A$3:$A$94,0),MATCH('Overton Overview'!C$64,Stock!$A$3:$T$3,0)),0)</f>
        <v/>
      </c>
      <c r="D117" s="15">
        <f>C117-B117</f>
        <v/>
      </c>
      <c r="E117" s="15" t="n"/>
      <c r="F117" s="15">
        <f>IFERROR(INDEX(Stock!$A$3:$T$94,MATCH('Overton Overview'!$A117,Stock!$A$3:$A$94,0),MATCH('Overton Overview'!F$64,Stock!$A$3:$T$3,0)),0)</f>
        <v/>
      </c>
      <c r="G117" s="133">
        <f>IFERROR(INDEX(Stock!$A$3:$T$94,MATCH('Overton Overview'!$A117,Stock!$A$3:$A$94,0),MATCH('Overton Overview'!G$64,Stock!$A$3:$T$3,0)),0)</f>
        <v/>
      </c>
      <c r="H117" s="10" t="n"/>
    </row>
    <row r="118">
      <c r="A118" s="24" t="inlineStr">
        <is>
          <t>Ewe bareskins</t>
        </is>
      </c>
      <c r="B118" s="15">
        <f>IFERROR(INDEX(Stock!$A$3:$T$94,MATCH('Overton Overview'!$A118,Stock!$A$3:$A$94,0),MATCH('Overton Overview'!B$64,Stock!$A$3:$T$3,0)),0)</f>
        <v/>
      </c>
      <c r="C118" s="15">
        <f>IFERROR(INDEX(Stock!$A$3:$T$94,MATCH('Overton Overview'!$A118,Stock!$A$3:$A$94,0),MATCH('Overton Overview'!C$64,Stock!$A$3:$T$3,0)),0)</f>
        <v/>
      </c>
      <c r="D118" s="15">
        <f>C118-B118</f>
        <v/>
      </c>
      <c r="E118" s="15" t="n"/>
      <c r="F118" s="15">
        <f>IFERROR(INDEX(Stock!$A$3:$T$94,MATCH('Overton Overview'!$A118,Stock!$A$3:$A$94,0),MATCH('Overton Overview'!F$64,Stock!$A$3:$T$3,0)),0)</f>
        <v/>
      </c>
      <c r="G118" s="133">
        <f>IFERROR(INDEX(Stock!$A$3:$T$94,MATCH('Overton Overview'!$A118,Stock!$A$3:$A$94,0),MATCH('Overton Overview'!G$64,Stock!$A$3:$T$3,0)),0)</f>
        <v/>
      </c>
      <c r="H118" s="10" t="n"/>
    </row>
    <row r="119">
      <c r="A119" s="24" t="inlineStr">
        <is>
          <t>Hogg bareskins</t>
        </is>
      </c>
      <c r="B119" s="15">
        <f>IFERROR(INDEX(Stock!$A$3:$T$94,MATCH('Overton Overview'!$A119,Stock!$A$3:$A$94,0),MATCH('Overton Overview'!B$64,Stock!$A$3:$T$3,0)),0)</f>
        <v/>
      </c>
      <c r="C119" s="15">
        <f>IFERROR(INDEX(Stock!$A$3:$T$94,MATCH('Overton Overview'!$A119,Stock!$A$3:$A$94,0),MATCH('Overton Overview'!C$64,Stock!$A$3:$T$3,0)),0)</f>
        <v/>
      </c>
      <c r="D119" s="15">
        <f>C119-B119</f>
        <v/>
      </c>
      <c r="E119" s="15" t="n"/>
      <c r="F119" s="15">
        <f>IFERROR(INDEX(Stock!$A$3:$T$94,MATCH('Overton Overview'!$A119,Stock!$A$3:$A$94,0),MATCH('Overton Overview'!F$64,Stock!$A$3:$T$3,0)),0)</f>
        <v/>
      </c>
      <c r="G119" s="133">
        <f>IFERROR(INDEX(Stock!$A$3:$T$94,MATCH('Overton Overview'!$A119,Stock!$A$3:$A$94,0),MATCH('Overton Overview'!G$64,Stock!$A$3:$T$3,0)),0)</f>
        <v/>
      </c>
      <c r="H119" s="10" t="n"/>
    </row>
    <row r="120">
      <c r="A120" s="25" t="inlineStr">
        <is>
          <t>Bareskins (total)</t>
        </is>
      </c>
      <c r="B120" s="15">
        <f>IFERROR(INDEX(Stock!$A$3:$T$94,MATCH('Overton Overview'!$A120,Stock!$A$3:$A$94,0),MATCH('Overton Overview'!B$64,Stock!$A$3:$T$3,0)),0)</f>
        <v/>
      </c>
      <c r="C120" s="15">
        <f>IFERROR(INDEX(Stock!$A$3:$T$94,MATCH('Overton Overview'!$A120,Stock!$A$3:$A$94,0),MATCH('Overton Overview'!C$64,Stock!$A$3:$T$3,0)),0)</f>
        <v/>
      </c>
      <c r="D120" s="15">
        <f>C120-B120</f>
        <v/>
      </c>
      <c r="E120" s="15" t="n"/>
      <c r="F120" s="15">
        <f>IFERROR(INDEX(Stock!$A$3:$T$94,MATCH('Overton Overview'!$A120,Stock!$A$3:$A$94,0),MATCH('Overton Overview'!F$64,Stock!$A$3:$T$3,0)),0)</f>
        <v/>
      </c>
      <c r="G120" s="133">
        <f>IFERROR(INDEX(Stock!$A$3:$T$94,MATCH('Overton Overview'!$A120,Stock!$A$3:$A$94,0),MATCH('Overton Overview'!G$64,Stock!$A$3:$T$3,0)),0)</f>
        <v/>
      </c>
      <c r="H120" s="10" t="n"/>
    </row>
    <row r="121">
      <c r="A121" s="15" t="inlineStr">
        <is>
          <t>Lambskins</t>
        </is>
      </c>
      <c r="B121" s="15">
        <f>IFERROR(INDEX(Stock!$A$3:$T$94,MATCH('Overton Overview'!$A121,Stock!$A$3:$A$94,0),MATCH('Overton Overview'!B$64,Stock!$A$3:$T$3,0)),0)</f>
        <v/>
      </c>
      <c r="C121" s="15">
        <f>IFERROR(INDEX(Stock!$A$3:$T$94,MATCH('Overton Overview'!$A121,Stock!$A$3:$A$94,0),MATCH('Overton Overview'!C$64,Stock!$A$3:$T$3,0)),0)</f>
        <v/>
      </c>
      <c r="D121" s="15">
        <f>C121-B121</f>
        <v/>
      </c>
      <c r="E121" s="15" t="n"/>
      <c r="F121" s="15">
        <f>IFERROR(INDEX(Stock!$A$3:$T$94,MATCH('Overton Overview'!$A121,Stock!$A$3:$A$94,0),MATCH('Overton Overview'!F$64,Stock!$A$3:$T$3,0)),0)</f>
        <v/>
      </c>
      <c r="G121" s="133">
        <f>IFERROR(INDEX(Stock!$A$3:$T$94,MATCH('Overton Overview'!$A121,Stock!$A$3:$A$94,0),MATCH('Overton Overview'!G$64,Stock!$A$3:$T$3,0)),0)</f>
        <v/>
      </c>
      <c r="H121" s="10" t="n"/>
    </row>
    <row r="122">
      <c r="A122" s="15" t="inlineStr">
        <is>
          <t>Rotted skins</t>
        </is>
      </c>
      <c r="B122" s="15">
        <f>IFERROR(INDEX(Stock!$A$3:$T$94,MATCH('Overton Overview'!$A122,Stock!$A$3:$A$94,0),MATCH('Overton Overview'!B$64,Stock!$A$3:$T$3,0)),0)</f>
        <v/>
      </c>
      <c r="C122" s="15">
        <f>IFERROR(INDEX(Stock!$A$3:$T$94,MATCH('Overton Overview'!$A122,Stock!$A$3:$A$94,0),MATCH('Overton Overview'!C$64,Stock!$A$3:$T$3,0)),0)</f>
        <v/>
      </c>
      <c r="D122" s="15">
        <f>C122-B122</f>
        <v/>
      </c>
      <c r="E122" s="15" t="n"/>
      <c r="F122" s="15">
        <f>IFERROR(INDEX(Stock!$A$3:$T$94,MATCH('Overton Overview'!$A122,Stock!$A$3:$A$94,0),MATCH('Overton Overview'!F$64,Stock!$A$3:$T$3,0)),0)</f>
        <v/>
      </c>
      <c r="G122" s="133">
        <f>IFERROR(INDEX(Stock!$A$3:$T$94,MATCH('Overton Overview'!$A122,Stock!$A$3:$A$94,0),MATCH('Overton Overview'!G$64,Stock!$A$3:$T$3,0)),0)</f>
        <v/>
      </c>
      <c r="H122" s="10" t="n"/>
    </row>
    <row r="123">
      <c r="A123" s="15" t="inlineStr">
        <is>
          <t>Shorn skins</t>
        </is>
      </c>
      <c r="B123" s="15">
        <f>IFERROR(INDEX(Stock!$A$3:$T$94,MATCH('Overton Overview'!$A123,Stock!$A$3:$A$94,0),MATCH('Overton Overview'!B$64,Stock!$A$3:$T$3,0)),0)</f>
        <v/>
      </c>
      <c r="C123" s="15">
        <f>IFERROR(INDEX(Stock!$A$3:$T$94,MATCH('Overton Overview'!$A123,Stock!$A$3:$A$94,0),MATCH('Overton Overview'!C$64,Stock!$A$3:$T$3,0)),0)</f>
        <v/>
      </c>
      <c r="D123" s="15">
        <f>C123-B123</f>
        <v/>
      </c>
      <c r="E123" s="15" t="n"/>
      <c r="F123" s="15">
        <f>IFERROR(INDEX(Stock!$A$3:$T$94,MATCH('Overton Overview'!$A123,Stock!$A$3:$A$94,0),MATCH('Overton Overview'!F$64,Stock!$A$3:$T$3,0)),0)</f>
        <v/>
      </c>
      <c r="G123" s="133">
        <f>IFERROR(INDEX(Stock!$A$3:$T$94,MATCH('Overton Overview'!$A123,Stock!$A$3:$A$94,0),MATCH('Overton Overview'!G$64,Stock!$A$3:$T$3,0)),0)</f>
        <v/>
      </c>
      <c r="H123" s="10" t="n"/>
    </row>
    <row r="124">
      <c r="A124" s="17" t="inlineStr">
        <is>
          <t>Total value of production (sum of the above)</t>
        </is>
      </c>
      <c r="B124" s="134" t="n"/>
      <c r="C124" s="134" t="n"/>
      <c r="D124" s="134" t="n"/>
      <c r="E124" s="134" t="n"/>
      <c r="F124" s="134" t="n"/>
      <c r="G124" s="139">
        <f>SUM(G104:G123)</f>
        <v/>
      </c>
      <c r="H124" s="10" t="n"/>
    </row>
    <row r="125">
      <c r="A125" s="17" t="inlineStr">
        <is>
          <t>Value of sales</t>
        </is>
      </c>
      <c r="B125" s="134" t="n"/>
      <c r="C125" s="134" t="n"/>
      <c r="D125" s="134" t="n"/>
      <c r="E125" s="134" t="n"/>
      <c r="F125" s="134" t="n"/>
      <c r="G125" s="139">
        <f>SUM(F104:F123)</f>
        <v/>
      </c>
      <c r="H125" s="10" t="n"/>
    </row>
    <row r="126">
      <c r="A126" s="15" t="n"/>
      <c r="B126" s="15" t="n"/>
      <c r="C126" s="15" t="n"/>
      <c r="D126" s="15" t="n"/>
      <c r="E126" s="15" t="n"/>
      <c r="F126" s="15" t="n"/>
      <c r="G126" s="133" t="n"/>
      <c r="H126" s="10" t="n"/>
    </row>
    <row r="127" ht="34" customHeight="1">
      <c r="A127" s="16" t="inlineStr">
        <is>
          <t>Poultry stock</t>
        </is>
      </c>
      <c r="B127" s="150" t="inlineStr">
        <is>
          <t>Inherited stock</t>
        </is>
      </c>
      <c r="C127" s="150" t="inlineStr">
        <is>
          <t>End-period  stock</t>
        </is>
      </c>
      <c r="D127" s="151" t="inlineStr">
        <is>
          <t>Stockbuilding</t>
        </is>
      </c>
      <c r="E127" s="152" t="n"/>
      <c r="F127" s="153" t="inlineStr">
        <is>
          <t>Sales in (£)</t>
        </is>
      </c>
      <c r="G127" s="153" t="inlineStr">
        <is>
          <t>Value of production (£) at sales prices</t>
        </is>
      </c>
      <c r="H127" s="10" t="n"/>
    </row>
    <row r="128" ht="17" customHeight="1">
      <c r="A128" s="22" t="inlineStr">
        <is>
          <t>Hens</t>
        </is>
      </c>
      <c r="B128" s="15">
        <f>IFERROR(INDEX(Stock!$A$3:$T$94,MATCH('Overton Overview'!$A128,Stock!$A$3:$A$94,0),MATCH('Overton Overview'!B$64,Stock!$A$3:$T$3,0)),0)</f>
        <v/>
      </c>
      <c r="C128" s="15">
        <f>IFERROR(INDEX(Stock!$A$3:$T$94,MATCH('Overton Overview'!$A128,Stock!$A$3:$A$94,0),MATCH('Overton Overview'!C$64,Stock!$A$3:$T$3,0)),0)</f>
        <v/>
      </c>
      <c r="D128" s="15">
        <f>C128-B128</f>
        <v/>
      </c>
      <c r="E128" s="15" t="n"/>
      <c r="F128" s="15">
        <f>IFERROR(INDEX(Stock!$A$3:$T$94,MATCH('Overton Overview'!$A128,Stock!$A$3:$A$94,0),MATCH('Overton Overview'!F$64,Stock!$A$3:$T$3,0)),0)</f>
        <v/>
      </c>
      <c r="G128" s="133">
        <f>Stock!R68</f>
        <v/>
      </c>
      <c r="H128" s="10" t="n"/>
    </row>
    <row r="129">
      <c r="A129" s="15" t="inlineStr">
        <is>
          <t>Geese</t>
        </is>
      </c>
      <c r="B129" s="15">
        <f>IFERROR(INDEX(Stock!$A$3:$T$94,MATCH('Overton Overview'!$A129,Stock!$A$3:$A$94,0),MATCH('Overton Overview'!B$64,Stock!$A$3:$T$3,0)),0)</f>
        <v/>
      </c>
      <c r="C129" s="15">
        <f>IFERROR(INDEX(Stock!$A$3:$T$94,MATCH('Overton Overview'!$A129,Stock!$A$3:$A$94,0),MATCH('Overton Overview'!C$64,Stock!$A$3:$T$3,0)),0)</f>
        <v/>
      </c>
      <c r="D129" s="15">
        <f>C129-B129</f>
        <v/>
      </c>
      <c r="E129" s="15" t="n"/>
      <c r="F129" s="15">
        <f>IFERROR(INDEX(Stock!$A$3:$T$94,MATCH('Overton Overview'!$A129,Stock!$A$3:$A$94,0),MATCH('Overton Overview'!F$64,Stock!$A$3:$T$3,0)),0)</f>
        <v/>
      </c>
      <c r="G129" s="133">
        <f>IFERROR(INDEX(Stock!$A$3:$T$94,MATCH('Overton Overview'!$A129,Stock!$A$3:$A$94,0),MATCH('Overton Overview'!G$64,Stock!$A$3:$T$3,0)),0)</f>
        <v/>
      </c>
      <c r="H129" s="10" t="n"/>
    </row>
    <row r="130">
      <c r="A130" s="15" t="inlineStr">
        <is>
          <t>Capons (from chickens)</t>
        </is>
      </c>
      <c r="B130" s="15">
        <f>IFERROR(INDEX(Stock!$A$3:$T$94,MATCH('Overton Overview'!$A130,Stock!$A$3:$A$94,0),MATCH('Overton Overview'!B$64,Stock!$A$3:$T$3,0)),0)</f>
        <v/>
      </c>
      <c r="C130" s="15">
        <f>IFERROR(INDEX(Stock!$A$3:$T$94,MATCH('Overton Overview'!$A130,Stock!$A$3:$A$94,0),MATCH('Overton Overview'!C$64,Stock!$A$3:$T$3,0)),0)</f>
        <v/>
      </c>
      <c r="D130" s="15">
        <f>C130-B130</f>
        <v/>
      </c>
      <c r="E130" s="15" t="n"/>
      <c r="F130" s="15">
        <f>IFERROR(INDEX(Stock!$A$3:$T$94,MATCH('Overton Overview'!$A130,Stock!$A$3:$A$94,0),MATCH('Overton Overview'!F$64,Stock!$A$3:$T$3,0)),0)</f>
        <v/>
      </c>
      <c r="G130" s="133">
        <f>IFERROR(INDEX(Stock!$A$3:$T$94,MATCH('Overton Overview'!$A130,Stock!$A$3:$A$94,0),MATCH('Overton Overview'!G$64,Stock!$A$3:$T$3,0)),0)</f>
        <v/>
      </c>
      <c r="H130" s="10" t="n"/>
    </row>
    <row r="131">
      <c r="A131" s="15" t="inlineStr">
        <is>
          <t>Cocks &amp; hens</t>
        </is>
      </c>
      <c r="B131" s="15">
        <f>IFERROR(INDEX(Stock!$A$3:$T$94,MATCH('Overton Overview'!$A131,Stock!$A$3:$A$94,0),MATCH('Overton Overview'!B$64,Stock!$A$3:$T$3,0)),0)</f>
        <v/>
      </c>
      <c r="C131" s="15">
        <f>IFERROR(INDEX(Stock!$A$3:$T$94,MATCH('Overton Overview'!$A131,Stock!$A$3:$A$94,0),MATCH('Overton Overview'!C$64,Stock!$A$3:$T$3,0)),0)</f>
        <v/>
      </c>
      <c r="D131" s="15">
        <f>C131-B131</f>
        <v/>
      </c>
      <c r="E131" s="15" t="n"/>
      <c r="F131" s="15">
        <f>IFERROR(INDEX(Stock!$A$3:$T$94,MATCH('Overton Overview'!$A131,Stock!$A$3:$A$94,0),MATCH('Overton Overview'!F$64,Stock!$A$3:$T$3,0)),0)</f>
        <v/>
      </c>
      <c r="G131" s="133">
        <f>IFERROR(INDEX(Stock!$A$3:$T$94,MATCH('Overton Overview'!$A131,Stock!$A$3:$A$94,0),MATCH('Overton Overview'!G$64,Stock!$A$3:$T$3,0)),0)</f>
        <v/>
      </c>
      <c r="H131" s="10" t="n"/>
    </row>
    <row r="132">
      <c r="A132" s="17" t="inlineStr">
        <is>
          <t>Total value of production (sum of the above)</t>
        </is>
      </c>
      <c r="B132" s="134" t="n"/>
      <c r="C132" s="134" t="n"/>
      <c r="D132" s="134" t="n"/>
      <c r="E132" s="134" t="n"/>
      <c r="F132" s="134" t="n"/>
      <c r="G132" s="139">
        <f>SUM(G128:G131)</f>
        <v/>
      </c>
      <c r="H132" s="10" t="n"/>
    </row>
    <row r="133">
      <c r="A133" s="17" t="inlineStr">
        <is>
          <t>Value of sales</t>
        </is>
      </c>
      <c r="B133" s="134" t="n"/>
      <c r="C133" s="134" t="n"/>
      <c r="D133" s="134" t="n"/>
      <c r="E133" s="134" t="n"/>
      <c r="F133" s="134" t="n"/>
      <c r="G133" s="139">
        <f>SUM(F128:F131)</f>
        <v/>
      </c>
      <c r="H133" s="10" t="n"/>
    </row>
    <row r="134">
      <c r="A134" s="15" t="n"/>
      <c r="B134" s="15" t="n"/>
      <c r="C134" s="15" t="n"/>
      <c r="D134" s="15" t="n"/>
      <c r="E134" s="15" t="n"/>
      <c r="F134" s="15" t="n"/>
      <c r="G134" s="133" t="n"/>
      <c r="H134" s="10" t="n"/>
    </row>
    <row r="135" ht="34" customHeight="1">
      <c r="A135" s="16" t="inlineStr">
        <is>
          <t>Poultry production</t>
        </is>
      </c>
      <c r="B135" s="150" t="inlineStr">
        <is>
          <t>Inherited stock</t>
        </is>
      </c>
      <c r="C135" s="150" t="inlineStr">
        <is>
          <t>End-period  stock</t>
        </is>
      </c>
      <c r="D135" s="151" t="inlineStr">
        <is>
          <t>Stockbuilding</t>
        </is>
      </c>
      <c r="E135" s="152" t="n"/>
      <c r="F135" s="153" t="inlineStr">
        <is>
          <t>Sales in (£)</t>
        </is>
      </c>
      <c r="G135" s="153" t="inlineStr">
        <is>
          <t>Value of production (£) at sales prices</t>
        </is>
      </c>
      <c r="H135" s="10" t="n"/>
    </row>
    <row r="136">
      <c r="A136" s="15" t="inlineStr">
        <is>
          <t>Eggs</t>
        </is>
      </c>
      <c r="B136" s="15">
        <f>IFERROR(INDEX(Stock!$A$3:$T$94,MATCH('Overton Overview'!$A136,Stock!$A$3:$A$94,0),MATCH('Overton Overview'!B$64,Stock!$A$3:$T$3,0)),0)</f>
        <v/>
      </c>
      <c r="C136" s="15">
        <f>IFERROR(INDEX(Stock!$A$3:$T$94,MATCH('Overton Overview'!$A136,Stock!$A$3:$A$94,0),MATCH('Overton Overview'!C$64,Stock!$A$3:$T$3,0)),0)</f>
        <v/>
      </c>
      <c r="D136" s="15">
        <f>C136-B136</f>
        <v/>
      </c>
      <c r="E136" s="15" t="n"/>
      <c r="F136" s="15">
        <f>IFERROR(INDEX(Stock!$A$3:$T$94,MATCH('Overton Overview'!$A136,Stock!$A$3:$A$94,0),MATCH('Overton Overview'!F$64,Stock!$A$3:$T$3,0)),0)</f>
        <v/>
      </c>
      <c r="G136" s="133">
        <f>Stock!R75</f>
        <v/>
      </c>
      <c r="H136" s="10" t="n"/>
    </row>
    <row r="137">
      <c r="A137" s="15" t="inlineStr">
        <is>
          <t>Cocks &amp; hens from churchscot of customary tenants</t>
        </is>
      </c>
      <c r="B137" s="15">
        <f>IFERROR(INDEX(Stock!$A$3:$T$94,MATCH('Overton Overview'!$A137,Stock!$A$3:$A$94,0),MATCH('Overton Overview'!B$64,Stock!$A$3:$T$3,0)),0)</f>
        <v/>
      </c>
      <c r="C137" s="15">
        <f>IFERROR(INDEX(Stock!$A$3:$T$94,MATCH('Overton Overview'!$A137,Stock!$A$3:$A$94,0),MATCH('Overton Overview'!C$64,Stock!$A$3:$T$3,0)),0)</f>
        <v/>
      </c>
      <c r="D137" s="15">
        <f>C137-B137</f>
        <v/>
      </c>
      <c r="E137" s="15" t="n"/>
      <c r="F137" s="15">
        <f>IFERROR(INDEX(Stock!$A$3:$T$94,MATCH('Overton Overview'!$A137,Stock!$A$3:$A$94,0),MATCH('Overton Overview'!F$64,Stock!$A$3:$T$3,0)),0)</f>
        <v/>
      </c>
      <c r="G137" s="133">
        <f>Stock!R76</f>
        <v/>
      </c>
      <c r="H137" s="10" t="n"/>
    </row>
    <row r="138">
      <c r="A138" s="17" t="inlineStr">
        <is>
          <t>Total value of production (sum of the above)</t>
        </is>
      </c>
      <c r="B138" s="134" t="n"/>
      <c r="C138" s="134" t="n"/>
      <c r="D138" s="134" t="n"/>
      <c r="E138" s="134" t="n"/>
      <c r="F138" s="134" t="n"/>
      <c r="G138" s="139">
        <f>SUM(G136:G137)</f>
        <v/>
      </c>
      <c r="H138" s="10" t="n"/>
    </row>
    <row r="139">
      <c r="A139" s="17" t="inlineStr">
        <is>
          <t>Value of sales</t>
        </is>
      </c>
      <c r="B139" s="134" t="n"/>
      <c r="C139" s="134" t="n"/>
      <c r="D139" s="134" t="n"/>
      <c r="E139" s="134" t="n"/>
      <c r="F139" s="134" t="n"/>
      <c r="G139" s="139">
        <f>SUM(F136:F137)</f>
        <v/>
      </c>
      <c r="H139" s="10" t="n"/>
    </row>
    <row r="140">
      <c r="A140" s="15" t="n"/>
      <c r="B140" s="15" t="n"/>
      <c r="C140" s="15" t="n"/>
      <c r="D140" s="15" t="n"/>
      <c r="E140" s="15" t="n"/>
      <c r="F140" s="15" t="n"/>
      <c r="G140" s="133" t="n"/>
      <c r="H140" s="10" t="n"/>
    </row>
    <row r="141" ht="34" customHeight="1">
      <c r="A141" s="16" t="inlineStr">
        <is>
          <t>Dairy Production</t>
        </is>
      </c>
      <c r="B141" s="150" t="inlineStr">
        <is>
          <t>Inherited stock</t>
        </is>
      </c>
      <c r="C141" s="150" t="inlineStr">
        <is>
          <t>End-period  stock</t>
        </is>
      </c>
      <c r="D141" s="151" t="inlineStr">
        <is>
          <t>Stockbuilding</t>
        </is>
      </c>
      <c r="E141" s="152" t="n"/>
      <c r="F141" s="153" t="inlineStr">
        <is>
          <t>Sales in (£)</t>
        </is>
      </c>
      <c r="G141" s="153" t="inlineStr">
        <is>
          <t>Value of production (£) at sales prices</t>
        </is>
      </c>
      <c r="H141" s="10" t="n"/>
    </row>
    <row r="142">
      <c r="A142" s="15" t="inlineStr">
        <is>
          <t>Butter</t>
        </is>
      </c>
      <c r="B142" s="15">
        <f>IFERROR(INDEX(Stock!$A$3:$T$94,MATCH('Overton Overview'!$A142,Stock!$A$3:$A$94,0),MATCH('Overton Overview'!B$64,Stock!$A$3:$T$3,0)),0)</f>
        <v/>
      </c>
      <c r="C142" s="15">
        <f>IFERROR(INDEX(Stock!$A$3:$T$94,MATCH('Overton Overview'!$A142,Stock!$A$3:$A$94,0),MATCH('Overton Overview'!C$64,Stock!$A$3:$T$3,0)),0)</f>
        <v/>
      </c>
      <c r="D142" s="15">
        <f>C142-B142</f>
        <v/>
      </c>
      <c r="E142" s="15" t="n"/>
      <c r="F142" s="133">
        <f>Stock!S91</f>
        <v/>
      </c>
      <c r="G142" s="133">
        <f>Stock!R91</f>
        <v/>
      </c>
      <c r="H142" s="10" t="n"/>
    </row>
    <row r="143">
      <c r="A143" s="15" t="inlineStr">
        <is>
          <t>Winter Cheese</t>
        </is>
      </c>
      <c r="B143" s="15">
        <f>IFERROR(INDEX(Stock!$A$3:$T$94,MATCH('Overton Overview'!$A143,Stock!$A$3:$A$94,0),MATCH('Overton Overview'!B$64,Stock!$A$3:$T$3,0)),0)</f>
        <v/>
      </c>
      <c r="C143" s="15">
        <f>IFERROR(INDEX(Stock!$A$3:$T$94,MATCH('Overton Overview'!$A143,Stock!$A$3:$A$94,0),MATCH('Overton Overview'!C$64,Stock!$A$3:$T$3,0)),0)</f>
        <v/>
      </c>
      <c r="D143" s="15">
        <f>C143-B143</f>
        <v/>
      </c>
      <c r="E143" s="15" t="n"/>
      <c r="F143" s="15">
        <f>IFERROR(INDEX(Stock!$A$3:$T$94,MATCH('Overton Overview'!$A143,Stock!$A$3:$A$94,0),MATCH('Overton Overview'!F$64,Stock!$A$3:$T$3,0)),0)</f>
        <v/>
      </c>
      <c r="G143" s="133">
        <f>IFERROR(INDEX(Stock!$A$3:$T$94,MATCH('Overton Overview'!$A143,Stock!$A$3:$A$94,0),MATCH('Overton Overview'!G$64,Stock!$A$3:$T$3,0)),0)</f>
        <v/>
      </c>
      <c r="H143" s="10" t="n"/>
    </row>
    <row r="144">
      <c r="A144" s="15" t="inlineStr">
        <is>
          <t>Summer Cheese</t>
        </is>
      </c>
      <c r="B144" s="15">
        <f>IFERROR(INDEX(Stock!$A$3:$T$94,MATCH('Overton Overview'!$A144,Stock!$A$3:$A$94,0),MATCH('Overton Overview'!B$64,Stock!$A$3:$T$3,0)),0)</f>
        <v/>
      </c>
      <c r="C144" s="15">
        <f>IFERROR(INDEX(Stock!$A$3:$T$94,MATCH('Overton Overview'!$A144,Stock!$A$3:$A$94,0),MATCH('Overton Overview'!C$64,Stock!$A$3:$T$3,0)),0)</f>
        <v/>
      </c>
      <c r="D144" s="15">
        <f>C144-B144</f>
        <v/>
      </c>
      <c r="E144" s="15" t="n"/>
      <c r="F144" s="15">
        <f>IFERROR(INDEX(Stock!$A$3:$T$94,MATCH('Overton Overview'!$A144,Stock!$A$3:$A$94,0),MATCH('Overton Overview'!F$64,Stock!$A$3:$T$3,0)),0)</f>
        <v/>
      </c>
      <c r="G144" s="133">
        <f>IFERROR(INDEX(Stock!$A$3:$T$94,MATCH('Overton Overview'!$A144,Stock!$A$3:$A$94,0),MATCH('Overton Overview'!G$64,Stock!$A$3:$T$3,0)),0)</f>
        <v/>
      </c>
      <c r="H144" s="10" t="n"/>
    </row>
    <row r="145">
      <c r="A145" s="17" t="inlineStr">
        <is>
          <t>Total value of production (sum of the above)</t>
        </is>
      </c>
      <c r="B145" s="134" t="n"/>
      <c r="C145" s="134" t="n"/>
      <c r="D145" s="134" t="n"/>
      <c r="E145" s="134" t="n"/>
      <c r="F145" s="134" t="n"/>
      <c r="G145" s="139">
        <f>SUM(G142:G144)</f>
        <v/>
      </c>
      <c r="H145" s="10" t="n"/>
    </row>
    <row r="146">
      <c r="A146" s="17" t="inlineStr">
        <is>
          <t>Value of sales</t>
        </is>
      </c>
      <c r="B146" s="134" t="n"/>
      <c r="C146" s="134" t="n"/>
      <c r="D146" s="134" t="n"/>
      <c r="E146" s="134" t="n"/>
      <c r="F146" s="134" t="n"/>
      <c r="G146" s="139">
        <f>SUM(F142:F144)</f>
        <v/>
      </c>
      <c r="H146" s="10" t="n"/>
    </row>
    <row r="147">
      <c r="A147" s="15" t="n"/>
      <c r="B147" s="15" t="n"/>
      <c r="C147" s="15" t="n"/>
      <c r="D147" s="15" t="n"/>
      <c r="E147" s="15" t="n"/>
      <c r="F147" s="15" t="n"/>
      <c r="G147" s="133" t="n"/>
      <c r="H147" s="10" t="n"/>
    </row>
    <row r="148" ht="17" customHeight="1">
      <c r="A148" s="15" t="n"/>
      <c r="B148" s="15" t="n"/>
      <c r="C148" s="15" t="n"/>
      <c r="D148" s="15" t="n"/>
      <c r="E148" s="15" t="n"/>
      <c r="F148" s="15" t="n"/>
      <c r="G148" s="133" t="n"/>
      <c r="H148" s="10" t="n"/>
    </row>
    <row r="149" ht="17" customHeight="1">
      <c r="A149" s="103" t="n"/>
      <c r="B149" s="104" t="inlineStr">
        <is>
          <t>Total in £</t>
        </is>
      </c>
      <c r="C149" s="105" t="n"/>
      <c r="D149" s="154" t="n"/>
      <c r="E149" s="155" t="n"/>
      <c r="F149" s="15" t="n"/>
      <c r="G149" s="133" t="n"/>
      <c r="H149" s="10" t="n"/>
    </row>
    <row r="150">
      <c r="A150" s="97" t="inlineStr">
        <is>
          <t>Total Production Value of all Output (Grange, Dairy, Livestock Sales, Wools, Skins - NO Mill)</t>
        </is>
      </c>
      <c r="B150" s="26">
        <f>G145+G139+G132+G124+G100+G92+G51</f>
        <v/>
      </c>
      <c r="C150" s="10" t="n"/>
      <c r="D150" s="9" t="n"/>
      <c r="E150" s="156" t="n"/>
      <c r="F150" s="15" t="n"/>
      <c r="G150" s="157" t="n"/>
      <c r="H150" s="10" t="n"/>
    </row>
    <row r="151">
      <c r="A151" s="98" t="inlineStr">
        <is>
          <t>Total Sales Value of all Output as defined above</t>
        </is>
      </c>
      <c r="B151" s="26">
        <f>G146+G139+G133+G125+G101+G92+G52</f>
        <v/>
      </c>
      <c r="C151" s="10" t="n"/>
      <c r="D151" s="9" t="n"/>
      <c r="E151" s="156" t="n"/>
      <c r="F151" s="15" t="n"/>
      <c r="G151" s="157" t="n"/>
      <c r="H151" s="10" t="n"/>
    </row>
    <row r="152">
      <c r="A152" s="98" t="inlineStr">
        <is>
          <t>Total Sales of Corn + Issues of the Manor as recorded in account</t>
        </is>
      </c>
      <c r="B152" s="26">
        <f>G9+G10</f>
        <v/>
      </c>
      <c r="C152" s="10" t="n"/>
      <c r="D152" s="9" t="n"/>
      <c r="E152" s="156" t="n"/>
      <c r="F152" s="15" t="n"/>
      <c r="G152" s="133" t="n"/>
      <c r="H152" s="10" t="n"/>
    </row>
    <row r="153">
      <c r="A153" s="98" t="inlineStr">
        <is>
          <t>Production Value + Cash Receipts (excl. Arrears, Issues, Corn and Mill)</t>
        </is>
      </c>
      <c r="B153" s="26">
        <f>B150+G5-G6-G7+G12+G11</f>
        <v/>
      </c>
      <c r="C153" s="10" t="n"/>
      <c r="D153" s="9" t="n"/>
      <c r="E153" s="156" t="n"/>
      <c r="F153" s="15" t="n"/>
      <c r="G153" s="133" t="n"/>
      <c r="H153" s="10" t="n"/>
    </row>
    <row r="154">
      <c r="A154" s="99" t="n"/>
      <c r="B154" s="9" t="n"/>
      <c r="C154" s="10" t="n"/>
      <c r="D154" s="9" t="n"/>
      <c r="E154" s="156" t="n"/>
      <c r="F154" s="15" t="n"/>
      <c r="G154" s="157" t="n"/>
      <c r="H154" s="10" t="n"/>
    </row>
    <row r="155">
      <c r="A155" s="100" t="inlineStr">
        <is>
          <t>% of capital expenses in terms of total production</t>
        </is>
      </c>
      <c r="B155" s="158">
        <f>G31/B150</f>
        <v/>
      </c>
      <c r="C155" s="40" t="n"/>
      <c r="D155" s="9" t="n"/>
      <c r="E155" s="156" t="n"/>
      <c r="F155" s="15" t="n"/>
      <c r="G155" s="133" t="n"/>
      <c r="H155" s="10" t="n"/>
    </row>
    <row r="156">
      <c r="A156" s="98" t="inlineStr">
        <is>
          <t>% of capital expenses in terms of total production + cash receipts</t>
        </is>
      </c>
      <c r="B156" s="158">
        <f>G31/B153</f>
        <v/>
      </c>
      <c r="C156" s="10" t="n"/>
      <c r="D156" s="9" t="n"/>
      <c r="E156" s="156" t="n"/>
      <c r="F156" s="15" t="n"/>
      <c r="G156" s="157" t="n"/>
      <c r="H156" s="10" t="n"/>
    </row>
    <row r="157">
      <c r="A157" s="99" t="n"/>
      <c r="B157" s="9" t="n"/>
      <c r="C157" s="10" t="n"/>
      <c r="D157" s="9" t="n"/>
      <c r="E157" s="156" t="n"/>
    </row>
    <row r="158" ht="17" customHeight="1">
      <c r="A158" s="101" t="inlineStr">
        <is>
          <t>% of capital expenses as calculated previously</t>
        </is>
      </c>
      <c r="B158" s="159" t="n">
        <v>0.0659</v>
      </c>
      <c r="C158" s="102" t="n"/>
      <c r="D158" s="160" t="n"/>
      <c r="E158" s="161" t="n"/>
    </row>
  </sheetData>
  <mergeCells count="1">
    <mergeCell ref="B42:C4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71"/>
  <sheetViews>
    <sheetView topLeftCell="A1" workbookViewId="0">
      <selection activeCell="A1" sqref="A1"/>
    </sheetView>
  </sheetViews>
  <sheetFormatPr baseColWidth="8" defaultRowHeight="15"/>
  <cols>
    <col width="63.1640625" customWidth="1" min="1" max="1"/>
    <col width="10.83203125" customWidth="1" min="6" max="6"/>
    <col width="10.83203125" customWidth="1" min="7" max="7"/>
  </cols>
  <sheetData>
    <row r="1">
      <c r="A1" t="inlineStr">
        <is>
          <t>Overton RECEIPTS</t>
        </is>
      </c>
      <c r="H1" s="10" t="n"/>
    </row>
    <row r="2">
      <c r="B2" s="89" t="inlineStr">
        <is>
          <t>£</t>
        </is>
      </c>
      <c r="C2" s="90" t="inlineStr">
        <is>
          <t xml:space="preserve">s </t>
        </is>
      </c>
      <c r="D2" s="90" t="inlineStr">
        <is>
          <t>d</t>
        </is>
      </c>
      <c r="E2" s="12" t="n"/>
      <c r="F2" s="162" t="inlineStr">
        <is>
          <t>Total in £</t>
        </is>
      </c>
      <c r="G2" s="163" t="inlineStr">
        <is>
          <t>Error</t>
        </is>
      </c>
      <c r="H2" s="12" t="inlineStr">
        <is>
          <t>Notes</t>
        </is>
      </c>
    </row>
    <row r="3">
      <c r="H3" s="10" t="n"/>
    </row>
    <row r="4">
      <c r="A4" s="12" t="inlineStr">
        <is>
          <t>Arrears</t>
        </is>
      </c>
      <c r="H4" s="10" t="n"/>
    </row>
    <row r="5">
      <c r="A5" t="inlineStr">
        <is>
          <t>Arrears total</t>
        </is>
      </c>
      <c r="B5" t="n">
        <v>17</v>
      </c>
      <c r="C5" t="n">
        <v>4</v>
      </c>
      <c r="D5" t="n">
        <v>3.5</v>
      </c>
      <c r="F5" s="164">
        <f>B5+C5/20+D5/240</f>
        <v/>
      </c>
      <c r="H5" s="10" t="n"/>
    </row>
    <row r="6">
      <c r="A6" t="inlineStr">
        <is>
          <t>of which delivered to treasurer of Wolvesey</t>
        </is>
      </c>
      <c r="B6" t="n">
        <v>17</v>
      </c>
      <c r="C6" t="n">
        <v>4</v>
      </c>
      <c r="D6" t="n">
        <v>3.5</v>
      </c>
      <c r="F6" s="164">
        <f>B6+C6/20+D6/240</f>
        <v/>
      </c>
      <c r="H6" s="10" t="n"/>
    </row>
    <row r="7"/>
    <row r="8">
      <c r="A8" s="12" t="inlineStr">
        <is>
          <t>Rents of assize</t>
        </is>
      </c>
    </row>
    <row r="9">
      <c r="A9" t="inlineStr">
        <is>
          <t>rents of assize Christmas</t>
        </is>
      </c>
      <c r="B9" t="n">
        <v>6</v>
      </c>
      <c r="C9" t="n">
        <v>6</v>
      </c>
      <c r="F9" s="164">
        <f>B9+C9/20+D9/240</f>
        <v/>
      </c>
    </row>
    <row r="10">
      <c r="A10" t="inlineStr">
        <is>
          <t>Easter</t>
        </is>
      </c>
      <c r="B10" t="n">
        <v>6</v>
      </c>
      <c r="C10" t="n">
        <v>11</v>
      </c>
      <c r="D10" t="n">
        <v>4</v>
      </c>
      <c r="F10" s="164">
        <f>B10+C10/20+D10/240</f>
        <v/>
      </c>
    </row>
    <row r="11">
      <c r="A11" t="inlineStr">
        <is>
          <t>Nativity</t>
        </is>
      </c>
      <c r="B11" t="n">
        <v>6</v>
      </c>
      <c r="C11" t="n">
        <v>3</v>
      </c>
      <c r="D11" t="n">
        <v>4</v>
      </c>
      <c r="F11" s="164">
        <f>B11+C11/20+D11/240</f>
        <v/>
      </c>
    </row>
    <row r="12">
      <c r="A12" t="inlineStr">
        <is>
          <t>Michaelmas</t>
        </is>
      </c>
      <c r="B12" t="n">
        <v>11</v>
      </c>
      <c r="C12" t="n">
        <v>19</v>
      </c>
      <c r="D12" t="n">
        <v>2.25</v>
      </c>
      <c r="F12" s="164">
        <f>B12+C12/20+D12/240</f>
        <v/>
      </c>
    </row>
    <row r="13">
      <c r="A13" s="12" t="inlineStr">
        <is>
          <t>Total recorded in accounts</t>
        </is>
      </c>
      <c r="B13" t="n">
        <v>30</v>
      </c>
      <c r="C13" t="n">
        <v>19</v>
      </c>
      <c r="D13" t="n">
        <v>10.25</v>
      </c>
      <c r="F13" s="164">
        <f>B13+C13/20+D13/240</f>
        <v/>
      </c>
    </row>
    <row r="14">
      <c r="A14" s="12" t="inlineStr">
        <is>
          <t>Rents of assize total</t>
        </is>
      </c>
      <c r="B14">
        <f>SUM(B9:B12)</f>
        <v/>
      </c>
      <c r="C14">
        <f>SUM(C9:C12)</f>
        <v/>
      </c>
      <c r="D14">
        <f>SUM(D9:D12)</f>
        <v/>
      </c>
      <c r="F14" s="164">
        <f>B14+C14/20+D14/240</f>
        <v/>
      </c>
      <c r="G14" s="138">
        <f>F14-F13</f>
        <v/>
      </c>
    </row>
    <row r="15"/>
    <row r="16">
      <c r="A16" s="12" t="inlineStr">
        <is>
          <t>Quittances</t>
        </is>
      </c>
    </row>
    <row r="17">
      <c r="A17" t="inlineStr">
        <is>
          <t>quittance for 1 reeve for the year</t>
        </is>
      </c>
      <c r="C17" t="n">
        <v>5</v>
      </c>
      <c r="F17" s="164">
        <f>B17+C17/20+D17/240</f>
        <v/>
      </c>
    </row>
    <row r="18">
      <c r="A18" t="inlineStr">
        <is>
          <t>1 bartoner for the year</t>
        </is>
      </c>
      <c r="C18" t="n">
        <v>3</v>
      </c>
      <c r="F18" s="164">
        <f>B18+C18/20+D18/240</f>
        <v/>
      </c>
    </row>
    <row r="19">
      <c r="A19" t="inlineStr">
        <is>
          <t>2 haywards</t>
        </is>
      </c>
      <c r="C19" t="n">
        <v>6</v>
      </c>
      <c r="F19" s="164">
        <f>B19+C19/20+D19/240</f>
        <v/>
      </c>
    </row>
    <row r="20">
      <c r="A20" t="inlineStr">
        <is>
          <t>3 ploughmen for the year</t>
        </is>
      </c>
      <c r="C20" t="n">
        <v>9</v>
      </c>
      <c r="F20" s="164">
        <f>B20+C20/20+D20/240</f>
        <v/>
      </c>
    </row>
    <row r="21">
      <c r="A21" t="inlineStr">
        <is>
          <t>1 ploughman</t>
        </is>
      </c>
      <c r="C21" t="n">
        <v>1</v>
      </c>
      <c r="D21" t="n">
        <v>6</v>
      </c>
      <c r="F21" s="164">
        <f>B21+C21/20+D21/240</f>
        <v/>
      </c>
    </row>
    <row r="22">
      <c r="A22" t="inlineStr">
        <is>
          <t>1 smith for the year</t>
        </is>
      </c>
      <c r="C22" t="n">
        <v>3</v>
      </c>
      <c r="F22" s="164">
        <f>B22+C22/20+D22/240</f>
        <v/>
      </c>
    </row>
    <row r="23">
      <c r="A23" t="inlineStr">
        <is>
          <t>2 shepherds for the year</t>
        </is>
      </c>
      <c r="C23" t="n">
        <v>6</v>
      </c>
      <c r="F23" s="164">
        <f>B23+C23/20+D23/240</f>
        <v/>
      </c>
    </row>
    <row r="24">
      <c r="A24" t="inlineStr">
        <is>
          <t>1 keeper of hoggs</t>
        </is>
      </c>
      <c r="D24" t="n">
        <v>6</v>
      </c>
      <c r="F24" s="164">
        <f>B24+C24/20+D24/240</f>
        <v/>
      </c>
    </row>
    <row r="25">
      <c r="A25" t="inlineStr">
        <is>
          <t>1 cowherd</t>
        </is>
      </c>
      <c r="C25" t="n">
        <v>3</v>
      </c>
      <c r="F25" s="164">
        <f>B25+C25/20+D25/240</f>
        <v/>
      </c>
    </row>
    <row r="26">
      <c r="F26" s="164">
        <f>B26+C26/20+D26/240</f>
        <v/>
      </c>
    </row>
    <row r="27">
      <c r="A27" s="12" t="inlineStr">
        <is>
          <t>Total recorded in accounts</t>
        </is>
      </c>
      <c r="B27" t="n">
        <v>1</v>
      </c>
      <c r="C27" t="n">
        <v>17</v>
      </c>
      <c r="F27" s="164">
        <f>B27+C27/20+D27/240</f>
        <v/>
      </c>
    </row>
    <row r="28">
      <c r="A28" s="12" t="inlineStr">
        <is>
          <t>Quittances total</t>
        </is>
      </c>
      <c r="B28">
        <f>SUM(B17:B26)</f>
        <v/>
      </c>
      <c r="C28">
        <f>SUM(C17:C26)</f>
        <v/>
      </c>
      <c r="D28">
        <f>SUM(D17:D26)</f>
        <v/>
      </c>
      <c r="F28" s="164">
        <f>B28+C28/20+D28/240</f>
        <v/>
      </c>
      <c r="G28" s="138">
        <f>F28-F27</f>
        <v/>
      </c>
    </row>
    <row r="29"/>
    <row r="30">
      <c r="A30" s="12" t="inlineStr">
        <is>
          <t>Defaults of rent</t>
        </is>
      </c>
    </row>
    <row r="31">
      <c r="A31" t="inlineStr">
        <is>
          <t>default of the mill of Lynch</t>
        </is>
      </c>
      <c r="B31" t="n">
        <v>1</v>
      </c>
      <c r="F31" s="164">
        <f>B31+C31/20+D31/240</f>
        <v/>
      </c>
    </row>
    <row r="32">
      <c r="A32" t="inlineStr">
        <is>
          <t>the land of Bascon drawn</t>
        </is>
      </c>
      <c r="C32" t="n">
        <v>3</v>
      </c>
      <c r="F32" s="164">
        <f>B32+C32/20+D32/240</f>
        <v/>
      </c>
    </row>
    <row r="33">
      <c r="A33" t="inlineStr">
        <is>
          <t>land of Strockyng drawn</t>
        </is>
      </c>
      <c r="C33" t="n">
        <v>3</v>
      </c>
      <c r="F33" s="164">
        <f>B33+C33/20+D33/240</f>
        <v/>
      </c>
    </row>
    <row r="34">
      <c r="A34" t="inlineStr">
        <is>
          <t>...</t>
        </is>
      </c>
      <c r="C34" t="n">
        <v>3</v>
      </c>
      <c r="F34" s="164">
        <f>B34+C34/20+D34/240</f>
        <v/>
      </c>
    </row>
    <row r="35">
      <c r="A35" t="inlineStr">
        <is>
          <t>...</t>
        </is>
      </c>
      <c r="C35" t="n">
        <v>1</v>
      </c>
      <c r="F35" s="164">
        <f>B35+C35/20+D35/240</f>
        <v/>
      </c>
    </row>
    <row r="36">
      <c r="A36" t="inlineStr">
        <is>
          <t>...</t>
        </is>
      </c>
      <c r="C36" t="n">
        <v>1</v>
      </c>
      <c r="D36" t="n">
        <v>6</v>
      </c>
      <c r="F36" s="164">
        <f>B36+C36/20+D36/240</f>
        <v/>
      </c>
    </row>
    <row r="37">
      <c r="A37" t="inlineStr">
        <is>
          <t>...</t>
        </is>
      </c>
      <c r="C37" t="n">
        <v>1</v>
      </c>
      <c r="D37" t="n">
        <v>6</v>
      </c>
      <c r="F37" s="164">
        <f>B37+C37/20+D37/240</f>
        <v/>
      </c>
    </row>
    <row r="38">
      <c r="A38" t="inlineStr">
        <is>
          <t>the land of le Cran</t>
        </is>
      </c>
      <c r="C38" t="n">
        <v>2</v>
      </c>
      <c r="F38" s="164">
        <f>B38+C38/20+D38/240</f>
        <v/>
      </c>
    </row>
    <row r="39">
      <c r="A39" t="inlineStr">
        <is>
          <t>...</t>
        </is>
      </c>
      <c r="C39" t="n">
        <v>2</v>
      </c>
      <c r="F39" s="164">
        <f>B39+C39/20+D39/240</f>
        <v/>
      </c>
    </row>
    <row r="40">
      <c r="A40" t="inlineStr">
        <is>
          <t>land of William</t>
        </is>
      </c>
      <c r="C40" t="n">
        <v>1</v>
      </c>
      <c r="D40" t="n">
        <v>6</v>
      </c>
      <c r="F40" s="164">
        <f>B40+C40/20+D40/240</f>
        <v/>
      </c>
    </row>
    <row r="41">
      <c r="A41" t="inlineStr">
        <is>
          <t>...</t>
        </is>
      </c>
      <c r="C41" t="n">
        <v>2</v>
      </c>
      <c r="F41" s="164">
        <f>B41+C41/20+D41/240</f>
        <v/>
      </c>
    </row>
    <row r="42">
      <c r="A42" t="inlineStr">
        <is>
          <t>land of Codeboye</t>
        </is>
      </c>
      <c r="C42" t="n">
        <v>2</v>
      </c>
      <c r="F42" s="164">
        <f>B42+C42/20+D42/240</f>
        <v/>
      </c>
    </row>
    <row r="43">
      <c r="A43" t="inlineStr">
        <is>
          <t>...</t>
        </is>
      </c>
      <c r="C43" t="n">
        <v>2</v>
      </c>
      <c r="F43" s="164">
        <f>B43+C43/20+D43/240</f>
        <v/>
      </c>
    </row>
    <row r="44">
      <c r="A44" t="inlineStr">
        <is>
          <t>...</t>
        </is>
      </c>
      <c r="C44" t="n">
        <v>1</v>
      </c>
      <c r="D44" t="n">
        <v>10</v>
      </c>
      <c r="F44" s="164">
        <f>B44+C44/20+D44/240</f>
        <v/>
      </c>
    </row>
    <row r="45">
      <c r="A45" t="inlineStr">
        <is>
          <t>Nicholas</t>
        </is>
      </c>
      <c r="C45" t="n">
        <v>1</v>
      </c>
      <c r="F45" s="164">
        <f>B45+C45/20+D45/240</f>
        <v/>
      </c>
    </row>
    <row r="46">
      <c r="A46" t="inlineStr">
        <is>
          <t>...</t>
        </is>
      </c>
      <c r="C46" t="n">
        <v>2</v>
      </c>
      <c r="F46" s="164">
        <f>B46+C46/20+D46/240</f>
        <v/>
      </c>
    </row>
    <row r="47">
      <c r="A47" t="inlineStr">
        <is>
          <t>...</t>
        </is>
      </c>
      <c r="C47" t="n">
        <v>1</v>
      </c>
      <c r="F47" s="164">
        <f>B47+C47/20+D47/240</f>
        <v/>
      </c>
    </row>
    <row r="48">
      <c r="A48" t="inlineStr">
        <is>
          <t>Thurbun</t>
        </is>
      </c>
      <c r="C48" t="n">
        <v>1</v>
      </c>
      <c r="D48" t="n">
        <v>6</v>
      </c>
      <c r="F48" s="164">
        <f>B48+C48/20+D48/240</f>
        <v/>
      </c>
    </row>
    <row r="49">
      <c r="A49" t="inlineStr">
        <is>
          <t>Bovette</t>
        </is>
      </c>
      <c r="C49" t="n">
        <v>2</v>
      </c>
      <c r="F49" s="164">
        <f>B49+C49/20+D49/240</f>
        <v/>
      </c>
    </row>
    <row r="50">
      <c r="A50" t="inlineStr">
        <is>
          <t>...</t>
        </is>
      </c>
      <c r="C50" t="n">
        <v>3</v>
      </c>
      <c r="F50" s="164">
        <f>B50+C50/20+D50/240</f>
        <v/>
      </c>
    </row>
    <row r="51">
      <c r="A51" t="inlineStr">
        <is>
          <t>...</t>
        </is>
      </c>
      <c r="D51" t="n">
        <v>6</v>
      </c>
      <c r="F51" s="164">
        <f>B51+C51/20+D51/240</f>
        <v/>
      </c>
    </row>
    <row r="52">
      <c r="A52" t="inlineStr">
        <is>
          <t>...</t>
        </is>
      </c>
      <c r="C52" t="n">
        <v>1</v>
      </c>
      <c r="F52" s="164">
        <f>B52+C52/20+D52/240</f>
        <v/>
      </c>
    </row>
    <row r="53">
      <c r="A53" t="inlineStr">
        <is>
          <t>...</t>
        </is>
      </c>
      <c r="C53" t="n">
        <v>2</v>
      </c>
      <c r="F53" s="164">
        <f>B53+C53/20+D53/240</f>
        <v/>
      </c>
    </row>
    <row r="54">
      <c r="A54" t="inlineStr">
        <is>
          <t>...</t>
        </is>
      </c>
      <c r="C54" t="n">
        <v>3</v>
      </c>
      <c r="D54" t="n">
        <v>6</v>
      </c>
      <c r="F54" s="164">
        <f>B54+C54/20+D54/240</f>
        <v/>
      </c>
    </row>
    <row r="55">
      <c r="A55" t="inlineStr">
        <is>
          <t>land of le Ber</t>
        </is>
      </c>
      <c r="C55" t="n">
        <v>3</v>
      </c>
      <c r="F55" s="164">
        <f>B55+C55/20+D55/240</f>
        <v/>
      </c>
    </row>
    <row r="56">
      <c r="A56" t="inlineStr">
        <is>
          <t>...</t>
        </is>
      </c>
      <c r="C56" t="n">
        <v>6</v>
      </c>
      <c r="F56" s="164">
        <f>B56+C56/20+D56/240</f>
        <v/>
      </c>
    </row>
    <row r="57">
      <c r="A57" t="inlineStr">
        <is>
          <t>...</t>
        </is>
      </c>
      <c r="C57" t="n">
        <v>12</v>
      </c>
      <c r="F57" s="164">
        <f>B57+C57/20+D57/240</f>
        <v/>
      </c>
    </row>
    <row r="58">
      <c r="A58" t="inlineStr">
        <is>
          <t>Tadley</t>
        </is>
      </c>
      <c r="C58" t="n">
        <v>4</v>
      </c>
      <c r="D58" t="n">
        <v>5</v>
      </c>
      <c r="F58" s="164">
        <f>B58+C58/20+D58/240</f>
        <v/>
      </c>
    </row>
    <row r="59">
      <c r="A59" t="inlineStr">
        <is>
          <t>the mill which belonged to Ralph Othyn</t>
        </is>
      </c>
      <c r="B59" t="n">
        <v>1</v>
      </c>
      <c r="F59" s="164">
        <f>B59+C59/20+D59/240</f>
        <v/>
      </c>
    </row>
    <row r="60">
      <c r="A60" s="12" t="inlineStr">
        <is>
          <t>Total recorded in accounts</t>
        </is>
      </c>
      <c r="B60" t="n">
        <v>5</v>
      </c>
      <c r="C60" t="n">
        <v>12</v>
      </c>
      <c r="D60" t="n">
        <v>3</v>
      </c>
      <c r="F60" s="164">
        <f>B60+C60/20+D60/240</f>
        <v/>
      </c>
    </row>
    <row r="61">
      <c r="A61" s="12" t="inlineStr">
        <is>
          <t>Defaults of rent total</t>
        </is>
      </c>
      <c r="B61">
        <f>SUM(B31:B59)</f>
        <v/>
      </c>
      <c r="C61">
        <f>SUM(C31:C59)</f>
        <v/>
      </c>
      <c r="D61">
        <f>SUM(D31:D59)</f>
        <v/>
      </c>
      <c r="F61" s="164">
        <f>B61+C61/20+D61/240</f>
        <v/>
      </c>
      <c r="G61" s="138">
        <f>F61-F60</f>
        <v/>
      </c>
    </row>
    <row r="62"/>
    <row r="63">
      <c r="A63" s="12" t="inlineStr">
        <is>
          <t>Total of rents remaining</t>
        </is>
      </c>
      <c r="B63" t="n">
        <v>23</v>
      </c>
      <c r="C63" t="n">
        <v>10</v>
      </c>
      <c r="D63" t="n">
        <v>7.25</v>
      </c>
      <c r="F63" s="164">
        <f>B63+C63/20+D63/240</f>
        <v/>
      </c>
      <c r="H63" t="inlineStr">
        <is>
          <t>not included in receipts</t>
        </is>
      </c>
    </row>
    <row r="64">
      <c r="F64" s="164" t="n"/>
    </row>
    <row r="65">
      <c r="A65" s="12" t="inlineStr">
        <is>
          <t>Wax</t>
        </is>
      </c>
      <c r="B65" t="n">
        <v>0</v>
      </c>
      <c r="C65" t="n">
        <v>0</v>
      </c>
      <c r="D65" t="n">
        <v>0</v>
      </c>
      <c r="F65" s="164" t="n"/>
    </row>
    <row r="66">
      <c r="A66" s="13" t="inlineStr">
        <is>
          <t>nothing</t>
        </is>
      </c>
      <c r="F66" s="164">
        <f>B66+C66/20+D66/240</f>
        <v/>
      </c>
    </row>
    <row r="67">
      <c r="A67" s="12" t="inlineStr">
        <is>
          <t>Total recorded in accounts</t>
        </is>
      </c>
      <c r="F67" s="164">
        <f>B67+C67/20+D67/240</f>
        <v/>
      </c>
      <c r="H67" t="inlineStr">
        <is>
          <t>total not recorded in accounts</t>
        </is>
      </c>
    </row>
    <row r="68">
      <c r="A68" s="12" t="inlineStr">
        <is>
          <t>Wax total</t>
        </is>
      </c>
      <c r="B68">
        <f>SUM(B66)</f>
        <v/>
      </c>
      <c r="C68">
        <f>SUM(C66)</f>
        <v/>
      </c>
      <c r="D68">
        <f>SUM(D66)</f>
        <v/>
      </c>
      <c r="F68" s="164">
        <f>B68+C68/20+D68/240</f>
        <v/>
      </c>
      <c r="G68" s="138">
        <f>F68-F67</f>
        <v/>
      </c>
    </row>
    <row r="69"/>
    <row r="70">
      <c r="A70" s="12" t="inlineStr">
        <is>
          <t>Annual recognizances</t>
        </is>
      </c>
    </row>
    <row r="71">
      <c r="A71" s="13" t="inlineStr">
        <is>
          <t>nothing</t>
        </is>
      </c>
      <c r="F71" s="164">
        <f>B71+C71/20+D71/240</f>
        <v/>
      </c>
    </row>
    <row r="72">
      <c r="A72" s="12" t="inlineStr">
        <is>
          <t>Total recorded in accounts</t>
        </is>
      </c>
      <c r="F72" s="164">
        <f>B72+C72/20+D72/240</f>
        <v/>
      </c>
    </row>
    <row r="73">
      <c r="A73" s="12" t="inlineStr">
        <is>
          <t>Annual recognizances total</t>
        </is>
      </c>
      <c r="B73">
        <f>SUM(B71:B71)</f>
        <v/>
      </c>
      <c r="C73">
        <f>SUM(C71:C71)</f>
        <v/>
      </c>
      <c r="D73">
        <f>SUM(D71:D71)</f>
        <v/>
      </c>
      <c r="F73" s="164">
        <f>B73+C73/20+D73/240</f>
        <v/>
      </c>
      <c r="G73" s="138">
        <f>F73-F72</f>
        <v/>
      </c>
    </row>
    <row r="74">
      <c r="A74" s="165" t="n"/>
    </row>
    <row r="75">
      <c r="A75" s="12" t="inlineStr">
        <is>
          <t>Issues of the manor</t>
        </is>
      </c>
    </row>
    <row r="76">
      <c r="A76" t="inlineStr">
        <is>
          <t>release from winter-ploughing</t>
        </is>
      </c>
      <c r="B76" t="n">
        <v>2</v>
      </c>
      <c r="C76" t="n">
        <v>15</v>
      </c>
      <c r="D76" t="n">
        <v>9</v>
      </c>
      <c r="F76" s="164">
        <f>B76+C76/20+D76/240</f>
        <v/>
      </c>
    </row>
    <row r="77">
      <c r="A77" t="inlineStr">
        <is>
          <t>from pannage of the pigs</t>
        </is>
      </c>
      <c r="B77" t="n">
        <v>1</v>
      </c>
      <c r="C77" t="n">
        <v>1</v>
      </c>
      <c r="D77" t="n">
        <v>5</v>
      </c>
      <c r="F77" s="164">
        <f>B77+C77/20+D77/240</f>
        <v/>
      </c>
    </row>
    <row r="78">
      <c r="A78" t="inlineStr">
        <is>
          <t>nothing from foreign pannage for a want of mast</t>
        </is>
      </c>
      <c r="F78" s="164">
        <f>B78+C78/20+D78/240</f>
        <v/>
      </c>
    </row>
    <row r="79">
      <c r="A79" t="inlineStr">
        <is>
          <t>from 9 pigs and 11 piglets</t>
        </is>
      </c>
      <c r="C79" t="n">
        <v>1</v>
      </c>
      <c r="D79" t="n">
        <v>2.5</v>
      </c>
      <c r="F79" s="164">
        <f>B79+C79/20+D79/240</f>
        <v/>
      </c>
    </row>
    <row r="80">
      <c r="A80" t="inlineStr">
        <is>
          <t>foreign pannage</t>
        </is>
      </c>
      <c r="C80" t="n">
        <v>15</v>
      </c>
      <c r="D80" t="n">
        <v>9</v>
      </c>
      <c r="F80" s="164">
        <f>B80+C80/20+D80/240</f>
        <v/>
      </c>
    </row>
    <row r="81">
      <c r="A81" t="inlineStr">
        <is>
          <t>1 old feeble and blind cart-horse sold</t>
        </is>
      </c>
      <c r="C81" t="n">
        <v>6</v>
      </c>
      <c r="F81" s="164">
        <f>B81+C81/20+D81/240</f>
        <v/>
      </c>
    </row>
    <row r="82">
      <c r="A82" t="inlineStr">
        <is>
          <t>2 oxen sold</t>
        </is>
      </c>
      <c r="C82" t="n">
        <v>19</v>
      </c>
      <c r="D82" t="n">
        <v>6</v>
      </c>
      <c r="F82" s="164">
        <f>B82+C82/20+D82/240</f>
        <v/>
      </c>
    </row>
    <row r="83">
      <c r="A83" t="inlineStr">
        <is>
          <t>1 bull sold</t>
        </is>
      </c>
      <c r="C83" t="n">
        <v>10</v>
      </c>
      <c r="F83" s="164">
        <f>B83+C83/20+D83/240</f>
        <v/>
      </c>
    </row>
    <row r="84">
      <c r="A84" t="inlineStr">
        <is>
          <t>2 cows sold</t>
        </is>
      </c>
      <c r="C84" t="n">
        <v>16</v>
      </c>
      <c r="F84" s="164">
        <f>B84+C84/20+D84/240</f>
        <v/>
      </c>
    </row>
    <row r="85">
      <c r="A85" t="inlineStr">
        <is>
          <t>1 female steer</t>
        </is>
      </c>
      <c r="C85" t="n">
        <v>7</v>
      </c>
      <c r="F85" s="164">
        <f>B85+C85/20+D85/240</f>
        <v/>
      </c>
    </row>
    <row r="86">
      <c r="A86" t="inlineStr">
        <is>
          <t>11 calves sold</t>
        </is>
      </c>
      <c r="C86" t="n">
        <v>9</v>
      </c>
      <c r="D86" t="n">
        <v>10</v>
      </c>
      <c r="F86" s="164">
        <f>B86+C86/20+D86/240</f>
        <v/>
      </c>
    </row>
    <row r="87">
      <c r="A87" t="inlineStr">
        <is>
          <t>29 ewes sold</t>
        </is>
      </c>
      <c r="B87" t="n">
        <v>1</v>
      </c>
      <c r="C87" t="n">
        <v>9</v>
      </c>
      <c r="D87" t="n">
        <v>3</v>
      </c>
      <c r="F87" s="164">
        <f>B87+C87/20+D87/240</f>
        <v/>
      </c>
    </row>
    <row r="88">
      <c r="A88" t="inlineStr">
        <is>
          <t>24 wethers sold</t>
        </is>
      </c>
      <c r="B88" t="n">
        <v>1</v>
      </c>
      <c r="C88" t="n">
        <v>12</v>
      </c>
      <c r="D88" t="n">
        <v>8</v>
      </c>
      <c r="F88" s="164">
        <f>B88+C88/20+D88/240</f>
        <v/>
      </c>
    </row>
    <row r="89">
      <c r="A89" t="inlineStr">
        <is>
          <t>12 hoggs</t>
        </is>
      </c>
      <c r="C89" t="n">
        <v>6</v>
      </c>
      <c r="F89" s="164">
        <f>B89+C89/20+D89/240</f>
        <v/>
      </c>
    </row>
    <row r="90">
      <c r="A90" t="inlineStr">
        <is>
          <t>2 pigs</t>
        </is>
      </c>
      <c r="C90" t="n">
        <v>7</v>
      </c>
      <c r="D90" t="n">
        <v>7</v>
      </c>
      <c r="F90" s="164">
        <f>B90+C90/20+D90/240</f>
        <v/>
      </c>
    </row>
    <row r="91">
      <c r="A91" t="inlineStr">
        <is>
          <t>16 cloves of wool locks sold</t>
        </is>
      </c>
      <c r="C91" t="n">
        <v>9</v>
      </c>
      <c r="D91" t="n">
        <v>4</v>
      </c>
      <c r="F91" s="164">
        <f>B91+C91/20+D91/240</f>
        <v/>
      </c>
    </row>
    <row r="92">
      <c r="A92" t="inlineStr">
        <is>
          <t>nothing from coarse wool or lambs wool because it was sent to Wolvesey</t>
        </is>
      </c>
      <c r="F92" s="164">
        <f>B92+C92/20+D92/240</f>
        <v/>
      </c>
    </row>
    <row r="93">
      <c r="A93" t="inlineStr">
        <is>
          <t>hide of a cow in murrain sold</t>
        </is>
      </c>
      <c r="C93" t="n">
        <v>1</v>
      </c>
      <c r="D93" t="n">
        <v>8</v>
      </c>
      <c r="F93" s="164">
        <f>B93+C93/20+D93/240</f>
        <v/>
      </c>
    </row>
    <row r="94">
      <c r="A94" t="inlineStr">
        <is>
          <t>hide of 1 yearling in murrain</t>
        </is>
      </c>
      <c r="D94" t="n">
        <v>10</v>
      </c>
      <c r="F94" s="164">
        <f>B94+C94/20+D94/240</f>
        <v/>
      </c>
    </row>
    <row r="95">
      <c r="A95" t="inlineStr">
        <is>
          <t>hides of 3 calves in murrain</t>
        </is>
      </c>
      <c r="D95" t="n">
        <v>3</v>
      </c>
      <c r="F95" s="164">
        <f>B95+C95/20+D95/240</f>
        <v/>
      </c>
    </row>
    <row r="96">
      <c r="A96" t="inlineStr">
        <is>
          <t>skins of 19 ewes sold</t>
        </is>
      </c>
      <c r="C96" t="n">
        <v>6</v>
      </c>
      <c r="D96" t="n">
        <v>4</v>
      </c>
      <c r="F96" s="164">
        <f>B96+C96/20+D96/240</f>
        <v/>
      </c>
    </row>
    <row r="97">
      <c r="A97" t="inlineStr">
        <is>
          <t>skins sold wholesale of 12 ewes, 4 wethers and 2 hoggs</t>
        </is>
      </c>
      <c r="C97" t="n">
        <v>1</v>
      </c>
      <c r="D97" t="n">
        <v>6</v>
      </c>
      <c r="F97" s="164">
        <f>B97+C97/20+D97/240</f>
        <v/>
      </c>
    </row>
    <row r="98">
      <c r="A98" t="inlineStr">
        <is>
          <t>skins of 61 lambs</t>
        </is>
      </c>
      <c r="C98" t="n">
        <v>5</v>
      </c>
      <c r="D98" t="n">
        <v>1</v>
      </c>
      <c r="F98" s="164">
        <f>B98+C98/20+D98/240</f>
        <v/>
      </c>
    </row>
    <row r="99">
      <c r="A99" t="inlineStr">
        <is>
          <t>skins sold wholesale of 14 lambs</t>
        </is>
      </c>
      <c r="D99" t="n">
        <v>4.5</v>
      </c>
      <c r="F99" s="164">
        <f>B99+C99/20+D99/240</f>
        <v/>
      </c>
    </row>
    <row r="100">
      <c r="A100" t="inlineStr">
        <is>
          <t>herbage of the cottars</t>
        </is>
      </c>
      <c r="C100" t="n">
        <v>7</v>
      </c>
      <c r="D100" t="n">
        <v>3</v>
      </c>
      <c r="F100" s="164">
        <f>B100+C100/20+D100/240</f>
        <v/>
      </c>
    </row>
    <row r="101">
      <c r="A101" t="inlineStr">
        <is>
          <t>winter pasturage</t>
        </is>
      </c>
      <c r="C101" t="n">
        <v>3</v>
      </c>
      <c r="F101" s="164">
        <f>B101+C101/20+D101/240</f>
        <v/>
      </c>
    </row>
    <row r="102">
      <c r="A102" t="inlineStr">
        <is>
          <t>winter pasturage</t>
        </is>
      </c>
      <c r="C102" t="n">
        <v>2</v>
      </c>
      <c r="F102" s="164">
        <f>B102+C102/20+D102/240</f>
        <v/>
      </c>
    </row>
    <row r="103">
      <c r="A103" t="inlineStr">
        <is>
          <t>winter pasturage</t>
        </is>
      </c>
      <c r="C103" t="n">
        <v>3</v>
      </c>
      <c r="D103" t="n">
        <v>6</v>
      </c>
      <c r="F103" s="164">
        <f>B103+C103/20+D103/240</f>
        <v/>
      </c>
    </row>
    <row r="104">
      <c r="A104" t="inlineStr">
        <is>
          <t>summer pasturage</t>
        </is>
      </c>
      <c r="C104" t="n">
        <v>6</v>
      </c>
      <c r="F104" s="164">
        <f>B104+C104/20+D104/240</f>
        <v/>
      </c>
    </row>
    <row r="105">
      <c r="A105" t="inlineStr">
        <is>
          <t>from the heath at Tadley, no honey</t>
        </is>
      </c>
      <c r="C105" t="n">
        <v>2</v>
      </c>
      <c r="F105" s="164">
        <f>B105+C105/20+D105/240</f>
        <v/>
      </c>
    </row>
    <row r="106">
      <c r="A106" t="inlineStr">
        <is>
          <t>from 1 wey 4 cloves of winter cheese</t>
        </is>
      </c>
      <c r="C106" t="n">
        <v>10</v>
      </c>
      <c r="D106" t="n">
        <v>4</v>
      </c>
      <c r="F106" s="164">
        <f>B106+C106/20+D106/240</f>
        <v/>
      </c>
    </row>
    <row r="107">
      <c r="A107" t="inlineStr">
        <is>
          <t>10 weyes of summer cheese</t>
        </is>
      </c>
      <c r="B107" t="n">
        <v>4</v>
      </c>
      <c r="C107" t="n">
        <v>10</v>
      </c>
      <c r="F107" s="164">
        <f>B107+C107/20+D107/240</f>
        <v/>
      </c>
    </row>
    <row r="108">
      <c r="A108" t="inlineStr">
        <is>
          <t>1 wey of butter</t>
        </is>
      </c>
      <c r="C108" t="n">
        <v>9</v>
      </c>
      <c r="F108" s="164">
        <f>B108+C108/20+D108/240</f>
        <v/>
      </c>
    </row>
    <row r="109">
      <c r="A109" t="inlineStr">
        <is>
          <t>from 72 hens from churchscot</t>
        </is>
      </c>
      <c r="C109" t="n">
        <v>6</v>
      </c>
      <c r="F109" s="164">
        <f>B109+C109/20+D109/240</f>
        <v/>
      </c>
    </row>
    <row r="110">
      <c r="A110" t="inlineStr">
        <is>
          <t>from 10 dozen pigeons</t>
        </is>
      </c>
      <c r="C110" t="n">
        <v>3</v>
      </c>
      <c r="D110" t="n">
        <v>4</v>
      </c>
      <c r="F110" s="164">
        <f>B110+C110/20+D110/240</f>
        <v/>
      </c>
    </row>
    <row r="111">
      <c r="A111" t="inlineStr">
        <is>
          <t>from the feathers and tails of 4 peackocks</t>
        </is>
      </c>
      <c r="D111" t="n">
        <v>10</v>
      </c>
      <c r="F111" s="164">
        <f>B111+C111/20+D111/240</f>
        <v/>
      </c>
    </row>
    <row r="112">
      <c r="A112" t="inlineStr">
        <is>
          <t>customary tenants for realse from harrowing this year</t>
        </is>
      </c>
      <c r="B112" t="n">
        <v>2</v>
      </c>
      <c r="C112" t="n">
        <v>6</v>
      </c>
      <c r="D112" t="n">
        <v>8</v>
      </c>
      <c r="F112" s="164">
        <f>B112+C112/20+D112/240</f>
        <v/>
      </c>
    </row>
    <row r="113">
      <c r="A113" t="inlineStr">
        <is>
          <t>from dairy produce sold at audit</t>
        </is>
      </c>
      <c r="C113" t="n">
        <v>7</v>
      </c>
      <c r="F113" s="164">
        <f>B113+C113/20+D113/240</f>
        <v/>
      </c>
    </row>
    <row r="114">
      <c r="A114" s="12" t="inlineStr">
        <is>
          <t>Total recorded in accounts</t>
        </is>
      </c>
      <c r="B114" t="n">
        <v>23</v>
      </c>
      <c r="C114" t="n">
        <v>3</v>
      </c>
      <c r="F114" s="164">
        <f>B114+C114/20+D114/240</f>
        <v/>
      </c>
    </row>
    <row r="115">
      <c r="A115" s="12" t="inlineStr">
        <is>
          <t>Issues of the manor total</t>
        </is>
      </c>
      <c r="B115">
        <f>SUM(B76:B113)</f>
        <v/>
      </c>
      <c r="C115">
        <f>SUM(C76:C113)</f>
        <v/>
      </c>
      <c r="D115">
        <f>SUM(D76:D113)</f>
        <v/>
      </c>
      <c r="F115" s="164">
        <f>B115+C115/20+D115/240</f>
        <v/>
      </c>
      <c r="G115" s="138">
        <f>F115-F114</f>
        <v/>
      </c>
    </row>
    <row r="116"/>
    <row r="117">
      <c r="A117" s="12" t="inlineStr">
        <is>
          <t>Sale of corn</t>
        </is>
      </c>
    </row>
    <row r="118">
      <c r="A118" t="inlineStr">
        <is>
          <t>wheat sold</t>
        </is>
      </c>
      <c r="B118" t="n">
        <v>14</v>
      </c>
      <c r="C118" t="n">
        <v>16</v>
      </c>
      <c r="D118" t="n">
        <v>4</v>
      </c>
      <c r="F118" s="26">
        <f>B118+C118/20+D118/240</f>
        <v/>
      </c>
    </row>
    <row r="119">
      <c r="A119" t="inlineStr">
        <is>
          <t>curall sold</t>
        </is>
      </c>
      <c r="C119" t="n">
        <v>9</v>
      </c>
      <c r="F119" s="26">
        <f>B119+C119/20+D119/240</f>
        <v/>
      </c>
    </row>
    <row r="120">
      <c r="A120" t="inlineStr">
        <is>
          <t>bere sold</t>
        </is>
      </c>
      <c r="B120" t="n">
        <v>7</v>
      </c>
      <c r="C120" t="n">
        <v>4</v>
      </c>
      <c r="D120" t="n">
        <v>9</v>
      </c>
      <c r="F120" s="26">
        <f>B120+C120/20+D120/240</f>
        <v/>
      </c>
    </row>
    <row r="121">
      <c r="A121" t="inlineStr">
        <is>
          <t>barley sold</t>
        </is>
      </c>
      <c r="B121" t="n">
        <v>14</v>
      </c>
      <c r="C121" t="n">
        <v>9</v>
      </c>
      <c r="F121" s="26">
        <f>B121+C121/20+D121/240</f>
        <v/>
      </c>
    </row>
    <row r="122">
      <c r="A122" t="inlineStr">
        <is>
          <t>oats sold</t>
        </is>
      </c>
      <c r="B122" t="n">
        <v>4</v>
      </c>
      <c r="C122" t="n">
        <v>3</v>
      </c>
      <c r="F122" s="26">
        <f>B122+C122/20+D122/240</f>
        <v/>
      </c>
    </row>
    <row r="123">
      <c r="A123" t="inlineStr">
        <is>
          <t>peas sold</t>
        </is>
      </c>
      <c r="C123" t="n">
        <v>3</v>
      </c>
      <c r="F123" s="26">
        <f>B123+C123/20+D123/240</f>
        <v/>
      </c>
    </row>
    <row r="124">
      <c r="A124" t="inlineStr">
        <is>
          <t>vetches sold</t>
        </is>
      </c>
      <c r="C124" t="n">
        <v>4</v>
      </c>
      <c r="D124" t="n">
        <v>4.5</v>
      </c>
      <c r="F124" s="26">
        <f>B124+C124/20+D124/240</f>
        <v/>
      </c>
    </row>
    <row r="125">
      <c r="A125" s="12" t="inlineStr">
        <is>
          <t>Total recorded in accounts</t>
        </is>
      </c>
      <c r="B125" t="n">
        <v>41</v>
      </c>
      <c r="C125" t="n">
        <v>9</v>
      </c>
      <c r="D125" t="n">
        <v>5.5</v>
      </c>
      <c r="F125" s="164">
        <f>B125+C125/20+D125/240</f>
        <v/>
      </c>
    </row>
    <row r="126">
      <c r="A126" s="12" t="inlineStr">
        <is>
          <t>Sale of corn total</t>
        </is>
      </c>
      <c r="B126">
        <f>SUM(B118:B124)</f>
        <v/>
      </c>
      <c r="C126">
        <f>SUM(C118:C124)</f>
        <v/>
      </c>
      <c r="D126">
        <f>SUM(D118:D124)</f>
        <v/>
      </c>
      <c r="F126" s="164">
        <f>B126+C126/20+D126/240</f>
        <v/>
      </c>
      <c r="G126" s="138">
        <f>F126-F125</f>
        <v/>
      </c>
    </row>
    <row r="127"/>
    <row r="128">
      <c r="A128" s="12" t="inlineStr">
        <is>
          <t>Town Mill</t>
        </is>
      </c>
    </row>
    <row r="129">
      <c r="A129" t="inlineStr">
        <is>
          <t>wheat from the issue of the town mill sold</t>
        </is>
      </c>
      <c r="C129" t="n">
        <v>16</v>
      </c>
      <c r="F129" s="26">
        <f>B129+C129/20+D129/240</f>
        <v/>
      </c>
    </row>
    <row r="130">
      <c r="A130" t="inlineStr">
        <is>
          <t>maslin sold</t>
        </is>
      </c>
      <c r="C130" t="n">
        <v>2</v>
      </c>
      <c r="D130" t="n">
        <v>6</v>
      </c>
      <c r="F130" s="26">
        <f>B130+C130/20+D130/240</f>
        <v/>
      </c>
    </row>
    <row r="131">
      <c r="A131" t="inlineStr">
        <is>
          <t>coarse-ground corn sold</t>
        </is>
      </c>
      <c r="B131" t="n">
        <v>1</v>
      </c>
      <c r="C131" t="n">
        <v>15</v>
      </c>
      <c r="D131" t="n">
        <v>3</v>
      </c>
      <c r="F131" s="26">
        <f>B131+C131/20+D131/240</f>
        <v/>
      </c>
    </row>
    <row r="132">
      <c r="A132" t="inlineStr">
        <is>
          <t>malt sold</t>
        </is>
      </c>
      <c r="B132" t="n">
        <v>2</v>
      </c>
      <c r="C132" t="n">
        <v>16</v>
      </c>
      <c r="D132" t="n">
        <v>3.5</v>
      </c>
      <c r="F132" s="26">
        <f>B132+C132/20+D132/240</f>
        <v/>
      </c>
    </row>
    <row r="133">
      <c r="A133" s="12" t="inlineStr">
        <is>
          <t>Total recorded in accounts</t>
        </is>
      </c>
      <c r="B133" t="n">
        <v>5</v>
      </c>
      <c r="C133" t="n">
        <v>10</v>
      </c>
      <c r="D133" t="n">
        <v>0.5</v>
      </c>
      <c r="F133" s="26">
        <f>B133+C133/20+D133/240</f>
        <v/>
      </c>
    </row>
    <row r="134">
      <c r="A134" s="12" t="inlineStr">
        <is>
          <t>Sale of total</t>
        </is>
      </c>
      <c r="B134">
        <f>SUM(B129:B132)</f>
        <v/>
      </c>
      <c r="C134">
        <f>SUM(C129:C132)</f>
        <v/>
      </c>
      <c r="D134">
        <f>SUM(D129:D132)</f>
        <v/>
      </c>
      <c r="F134" s="26">
        <f>B134+C134/20+D134/240</f>
        <v/>
      </c>
      <c r="G134" s="157">
        <f>F134-F133</f>
        <v/>
      </c>
    </row>
    <row r="135"/>
    <row r="136">
      <c r="A136" s="12" t="inlineStr">
        <is>
          <t>Mills of Lynch and Subhurn</t>
        </is>
      </c>
    </row>
    <row r="137">
      <c r="A137" t="inlineStr">
        <is>
          <t>from the mills let at farm</t>
        </is>
      </c>
      <c r="B137" t="n">
        <v>6</v>
      </c>
      <c r="F137" s="26">
        <f>B137+C137/20+D137/240</f>
        <v/>
      </c>
    </row>
    <row r="138">
      <c r="A138" s="12" t="inlineStr">
        <is>
          <t>Total recorded in accounts</t>
        </is>
      </c>
      <c r="B138" t="n">
        <v>6</v>
      </c>
      <c r="C138" t="n">
        <v>0</v>
      </c>
      <c r="D138" t="n">
        <v>0</v>
      </c>
      <c r="F138" s="26">
        <f>B138+C138/20+D138/240</f>
        <v/>
      </c>
    </row>
    <row r="139">
      <c r="A139" s="12" t="inlineStr">
        <is>
          <t>Sale of total</t>
        </is>
      </c>
      <c r="B139">
        <f>SUM(B137:B137)</f>
        <v/>
      </c>
      <c r="C139">
        <f>SUM(C137:C137)</f>
        <v/>
      </c>
      <c r="D139">
        <f>SUM(D137:D137)</f>
        <v/>
      </c>
      <c r="F139" s="26">
        <f>B139+C139/20+D139/240</f>
        <v/>
      </c>
      <c r="G139" s="157">
        <f>F139-F138</f>
        <v/>
      </c>
    </row>
    <row r="140"/>
    <row r="141">
      <c r="A141" s="12" t="inlineStr">
        <is>
          <t>Entry and marriage fines</t>
        </is>
      </c>
    </row>
    <row r="142">
      <c r="A142" t="inlineStr">
        <is>
          <t>from tithing ...</t>
        </is>
      </c>
      <c r="C142" t="n">
        <v>2</v>
      </c>
      <c r="F142" s="164">
        <f>B142+C142/20+D142/240</f>
        <v/>
      </c>
    </row>
    <row r="143">
      <c r="A143" t="inlineStr">
        <is>
          <t>from tithing ...</t>
        </is>
      </c>
      <c r="C143" t="n">
        <v>6</v>
      </c>
      <c r="F143" s="164">
        <f>B143+C143/20+D143/240</f>
        <v/>
      </c>
    </row>
    <row r="144">
      <c r="A144" t="inlineStr">
        <is>
          <t>from tithing ...</t>
        </is>
      </c>
      <c r="C144" t="n">
        <v>4</v>
      </c>
      <c r="F144" s="164">
        <f>B144+C144/20+D144/240</f>
        <v/>
      </c>
    </row>
    <row r="145">
      <c r="A145" t="inlineStr">
        <is>
          <t>from tithing ...</t>
        </is>
      </c>
      <c r="C145" t="n">
        <v>4</v>
      </c>
      <c r="F145" s="164">
        <f>B145+C145/20+D145/240</f>
        <v/>
      </c>
    </row>
    <row r="146">
      <c r="A146" t="inlineStr">
        <is>
          <t>from tithing ...</t>
        </is>
      </c>
      <c r="C146" t="n">
        <v>6</v>
      </c>
      <c r="F146" s="164">
        <f>B146+C146/20+D146/240</f>
        <v/>
      </c>
    </row>
    <row r="147">
      <c r="A147" t="inlineStr">
        <is>
          <t>from tithing ...</t>
        </is>
      </c>
      <c r="C147" t="n">
        <v>4</v>
      </c>
      <c r="F147" s="164">
        <f>B147+C147/20+D147/240</f>
        <v/>
      </c>
    </row>
    <row r="148">
      <c r="A148" t="inlineStr">
        <is>
          <t>from tithing ...</t>
        </is>
      </c>
      <c r="C148" t="n">
        <v>4</v>
      </c>
      <c r="F148" s="164">
        <f>B148+C148/20+D148/240</f>
        <v/>
      </c>
    </row>
    <row r="149">
      <c r="A149" t="inlineStr">
        <is>
          <t>from tithing ...</t>
        </is>
      </c>
      <c r="C149" t="n">
        <v>10</v>
      </c>
      <c r="F149" s="164">
        <f>B149+C149/20+D149/240</f>
        <v/>
      </c>
    </row>
    <row r="150">
      <c r="A150" t="inlineStr">
        <is>
          <t>...</t>
        </is>
      </c>
      <c r="C150" t="n">
        <v>10</v>
      </c>
      <c r="F150" s="164">
        <f>B150+C150/20+D150/240</f>
        <v/>
      </c>
    </row>
    <row r="151">
      <c r="A151" t="inlineStr">
        <is>
          <t>to have Agnes with 1.5 virgates of her land</t>
        </is>
      </c>
      <c r="B151" t="n">
        <v>1</v>
      </c>
      <c r="F151" s="164">
        <f>B151+C151/20+D151/240</f>
        <v/>
      </c>
    </row>
    <row r="152">
      <c r="A152" t="inlineStr">
        <is>
          <t>...</t>
        </is>
      </c>
      <c r="B152" t="n">
        <v>1</v>
      </c>
      <c r="F152" s="164">
        <f>B152+C152/20+D152/240</f>
        <v/>
      </c>
    </row>
    <row r="153">
      <c r="A153" t="inlineStr">
        <is>
          <t>...</t>
        </is>
      </c>
      <c r="C153" t="n">
        <v>1</v>
      </c>
      <c r="F153" s="164">
        <f>B153+C153/20+D153/240</f>
        <v/>
      </c>
    </row>
    <row r="154">
      <c r="A154" t="inlineStr">
        <is>
          <t>...</t>
        </is>
      </c>
      <c r="C154" t="n">
        <v>5</v>
      </c>
      <c r="F154" s="164">
        <f>B154+C154/20+D154/240</f>
        <v/>
      </c>
    </row>
    <row r="155">
      <c r="A155" s="12" t="inlineStr">
        <is>
          <t>Total recorded in accounts</t>
        </is>
      </c>
      <c r="B155" t="n">
        <v>4</v>
      </c>
      <c r="C155" t="n">
        <v>16</v>
      </c>
      <c r="F155" s="164">
        <f>B155+C155/20+D155/240</f>
        <v/>
      </c>
    </row>
    <row r="156">
      <c r="A156" s="12" t="inlineStr">
        <is>
          <t>Entry and marriage fines total</t>
        </is>
      </c>
      <c r="B156">
        <f>SUM(B142:B154)</f>
        <v/>
      </c>
      <c r="C156">
        <f>SUM(C142:C154)</f>
        <v/>
      </c>
      <c r="D156">
        <f>SUM(D142:D154)</f>
        <v/>
      </c>
      <c r="F156" s="164">
        <f>B156+C156/20+D156/240</f>
        <v/>
      </c>
      <c r="G156" s="138">
        <f>F156-F155</f>
        <v/>
      </c>
    </row>
    <row r="157">
      <c r="F157" s="164" t="n"/>
    </row>
    <row r="158">
      <c r="A158" s="12" t="inlineStr">
        <is>
          <t>Pleas and perquisites</t>
        </is>
      </c>
      <c r="F158" s="164">
        <f>B158+C158/20+D158/240</f>
        <v/>
      </c>
    </row>
    <row r="159">
      <c r="A159" t="inlineStr">
        <is>
          <t>for various transgressions</t>
        </is>
      </c>
      <c r="B159" t="n">
        <v>2</v>
      </c>
      <c r="C159" t="n">
        <v>18</v>
      </c>
      <c r="F159" s="164">
        <f>B159+C159/20+D159/240</f>
        <v/>
      </c>
    </row>
    <row r="160">
      <c r="A160" t="inlineStr">
        <is>
          <t>...</t>
        </is>
      </c>
      <c r="C160" t="n">
        <v>4</v>
      </c>
      <c r="F160" s="164">
        <f>B160+C160/20+D160/240</f>
        <v/>
      </c>
    </row>
    <row r="161">
      <c r="A161" t="inlineStr">
        <is>
          <t>...</t>
        </is>
      </c>
      <c r="B161" t="n">
        <v>1</v>
      </c>
      <c r="C161" t="n">
        <v>3</v>
      </c>
      <c r="D161" t="n">
        <v>3</v>
      </c>
      <c r="F161" s="164">
        <f>B161+C161/20+D161/240</f>
        <v/>
      </c>
    </row>
    <row r="162">
      <c r="A162" t="inlineStr">
        <is>
          <t>...</t>
        </is>
      </c>
      <c r="C162" t="n">
        <v>2</v>
      </c>
      <c r="F162" s="164">
        <f>B162+C162/20+D162/240</f>
        <v/>
      </c>
    </row>
    <row r="163">
      <c r="A163" t="inlineStr">
        <is>
          <t>...</t>
        </is>
      </c>
      <c r="C163" t="n">
        <v>10</v>
      </c>
      <c r="F163" s="164">
        <f>B163+C163/20+D163/240</f>
        <v/>
      </c>
    </row>
    <row r="164">
      <c r="A164" t="inlineStr">
        <is>
          <t>from William Pyris, bartoner, for not doing his office well for trespass</t>
        </is>
      </c>
      <c r="C164" t="n">
        <v>2</v>
      </c>
      <c r="F164" s="164">
        <f>B164+C164/20+D164/240</f>
        <v/>
      </c>
    </row>
    <row r="165">
      <c r="A165" s="12" t="inlineStr">
        <is>
          <t>Total recorded in accounts</t>
        </is>
      </c>
      <c r="B165" t="n">
        <v>4</v>
      </c>
      <c r="C165" t="n">
        <v>19</v>
      </c>
      <c r="D165" t="n">
        <v>3</v>
      </c>
      <c r="F165" s="164">
        <f>B165+C165/20+D165/240</f>
        <v/>
      </c>
    </row>
    <row r="166">
      <c r="A166" s="12" t="inlineStr">
        <is>
          <t>Pleas &amp; perquisites total</t>
        </is>
      </c>
      <c r="B166">
        <f>SUM(B159:B164)</f>
        <v/>
      </c>
      <c r="C166">
        <f>SUM(C159:C164)</f>
        <v/>
      </c>
      <c r="D166">
        <f>SUM(D159:D164)</f>
        <v/>
      </c>
      <c r="F166" s="164">
        <f>B166+C166/20+D166/240</f>
        <v/>
      </c>
      <c r="G166" s="157">
        <f>F166-F165</f>
        <v/>
      </c>
    </row>
    <row r="167"/>
    <row r="168">
      <c r="A168" s="8" t="inlineStr">
        <is>
          <t>Total of all receipts (sum of above excl. arrears)</t>
        </is>
      </c>
      <c r="F168" s="164">
        <f>F166+F156+F139+F134+F126+F115+F73+F68+F63</f>
        <v/>
      </c>
    </row>
    <row r="169">
      <c r="A169" s="8" t="inlineStr">
        <is>
          <t>Total of all receipts (sum of above incl. arrears)</t>
        </is>
      </c>
      <c r="F169" s="164">
        <f>F168+F5</f>
        <v/>
      </c>
    </row>
    <row r="170">
      <c r="A170" s="8" t="inlineStr">
        <is>
          <t>Total of all receipts in account excl.  arrears</t>
        </is>
      </c>
      <c r="B170" t="n">
        <v>109</v>
      </c>
      <c r="C170" t="n">
        <v>5</v>
      </c>
      <c r="D170" t="n">
        <v>7.75</v>
      </c>
      <c r="F170" s="164">
        <f>B170+C170/20+D170/240</f>
        <v/>
      </c>
      <c r="G170" s="138">
        <f>F170-F168</f>
        <v/>
      </c>
    </row>
    <row r="171">
      <c r="A171" s="8" t="inlineStr">
        <is>
          <t>Total of all receipts in account incl. arrears</t>
        </is>
      </c>
      <c r="F171" s="164">
        <f>B171+C171/20+D171/240</f>
        <v/>
      </c>
      <c r="G171" s="138"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157"/>
  <sheetViews>
    <sheetView topLeftCell="A1" workbookViewId="0">
      <selection activeCell="A1" sqref="A1"/>
    </sheetView>
  </sheetViews>
  <sheetFormatPr baseColWidth="8" defaultRowHeight="15"/>
  <cols>
    <col width="49.83203125" customWidth="1" min="1" max="1"/>
    <col width="10.83203125" customWidth="1" min="7" max="7"/>
    <col width="15.33203125" customWidth="1" min="10" max="10"/>
    <col width="18.5" customWidth="1" min="11" max="11"/>
  </cols>
  <sheetData>
    <row r="1">
      <c r="A1" s="15" t="inlineStr">
        <is>
          <t>OVERTON EXPENSES</t>
        </is>
      </c>
      <c r="B1" s="15" t="n"/>
      <c r="C1" s="15" t="n"/>
      <c r="D1" s="15" t="n"/>
      <c r="E1" s="15" t="n"/>
      <c r="F1" s="166" t="n"/>
      <c r="H1" s="10" t="n"/>
    </row>
    <row r="2">
      <c r="A2" s="15" t="n"/>
      <c r="B2" s="148" t="inlineStr">
        <is>
          <t>£</t>
        </is>
      </c>
      <c r="C2" s="147" t="inlineStr">
        <is>
          <t xml:space="preserve">s </t>
        </is>
      </c>
      <c r="D2" s="147" t="inlineStr">
        <is>
          <t>d</t>
        </is>
      </c>
      <c r="E2" s="8" t="n"/>
      <c r="F2" s="167" t="inlineStr">
        <is>
          <t>Total in £</t>
        </is>
      </c>
      <c r="G2" s="163" t="inlineStr">
        <is>
          <t>Error</t>
        </is>
      </c>
      <c r="H2" s="12" t="inlineStr">
        <is>
          <t>Notes</t>
        </is>
      </c>
      <c r="J2" s="12" t="inlineStr">
        <is>
          <t xml:space="preserve">fixed investment </t>
        </is>
      </c>
      <c r="K2" s="12" t="inlineStr">
        <is>
          <t>demesne investment</t>
        </is>
      </c>
    </row>
    <row r="3">
      <c r="A3" s="12" t="inlineStr">
        <is>
          <t>Cost of Ploughs</t>
        </is>
      </c>
    </row>
    <row r="4">
      <c r="A4" t="inlineStr">
        <is>
          <t>iron and steel</t>
        </is>
      </c>
      <c r="C4" t="n">
        <v>10</v>
      </c>
      <c r="D4" t="n">
        <v>6</v>
      </c>
      <c r="F4" s="165">
        <f>B4+C4/20+D4/240</f>
        <v/>
      </c>
      <c r="J4" s="165">
        <f>F4</f>
        <v/>
      </c>
      <c r="K4" s="165">
        <f>J4</f>
        <v/>
      </c>
    </row>
    <row r="5">
      <c r="A5" t="inlineStr">
        <is>
          <t>2 plougshares</t>
        </is>
      </c>
      <c r="C5" t="n">
        <v>1</v>
      </c>
      <c r="D5" t="n">
        <v>8</v>
      </c>
      <c r="F5" s="165">
        <f>B5+C5/20+D5/240</f>
        <v/>
      </c>
      <c r="J5" s="165">
        <f>F5</f>
        <v/>
      </c>
      <c r="K5" s="165">
        <f>J5</f>
        <v/>
      </c>
    </row>
    <row r="6">
      <c r="A6" t="inlineStr">
        <is>
          <t>plough feet</t>
        </is>
      </c>
      <c r="C6" t="n">
        <v>1</v>
      </c>
      <c r="D6" t="n">
        <v>9</v>
      </c>
      <c r="F6" s="165">
        <f>B6+C6/20+D6/240</f>
        <v/>
      </c>
      <c r="J6" s="165">
        <f>F6</f>
        <v/>
      </c>
      <c r="K6" s="165">
        <f>J6</f>
        <v/>
      </c>
    </row>
    <row r="7">
      <c r="A7" t="inlineStr">
        <is>
          <t>2 ploughs made anew</t>
        </is>
      </c>
      <c r="D7" t="n">
        <v>6</v>
      </c>
      <c r="F7" s="165">
        <f>B7+C7/20+D7/240</f>
        <v/>
      </c>
      <c r="J7" s="165">
        <f>F7</f>
        <v/>
      </c>
      <c r="K7" s="165">
        <f>J7</f>
        <v/>
      </c>
    </row>
    <row r="8">
      <c r="A8" t="inlineStr">
        <is>
          <t>fitting the same and others with iron tyres</t>
        </is>
      </c>
      <c r="D8" t="n">
        <v>6.5</v>
      </c>
      <c r="F8" s="165">
        <f>B8+C8/20+D8/240</f>
        <v/>
      </c>
      <c r="J8" s="165">
        <f>F8</f>
        <v/>
      </c>
      <c r="K8" s="165">
        <f>J8</f>
        <v/>
      </c>
    </row>
    <row r="9">
      <c r="A9" t="inlineStr">
        <is>
          <t>7 pairs of wheels</t>
        </is>
      </c>
      <c r="D9" t="n">
        <v>7</v>
      </c>
      <c r="F9" s="165">
        <f>B9+C9/20+D9/240</f>
        <v/>
      </c>
      <c r="J9" s="165">
        <f>F9</f>
        <v/>
      </c>
      <c r="K9" s="165">
        <f>J9</f>
        <v/>
      </c>
    </row>
    <row r="10">
      <c r="A10" t="inlineStr">
        <is>
          <t>old ploughs fitted with share-beams</t>
        </is>
      </c>
      <c r="D10" t="n">
        <v>6</v>
      </c>
      <c r="F10" s="165">
        <f>B10+C10/20+D10/240</f>
        <v/>
      </c>
      <c r="J10" s="165">
        <f>F10</f>
        <v/>
      </c>
      <c r="K10" s="165">
        <f>J10</f>
        <v/>
      </c>
    </row>
    <row r="11">
      <c r="A11" t="inlineStr">
        <is>
          <t>14 halters made</t>
        </is>
      </c>
      <c r="D11" t="n">
        <v>3.5</v>
      </c>
      <c r="F11" s="165">
        <f>B11+C11/20+D11/240</f>
        <v/>
      </c>
      <c r="J11" s="165">
        <f>F11</f>
        <v/>
      </c>
      <c r="K11" s="165">
        <f>J11</f>
        <v/>
      </c>
    </row>
    <row r="12">
      <c r="A12" t="inlineStr">
        <is>
          <t>shoeing 9 plough-horses</t>
        </is>
      </c>
      <c r="C12" t="n">
        <v>9</v>
      </c>
      <c r="F12" s="165">
        <f>B12+C12/20+D12/240</f>
        <v/>
      </c>
      <c r="J12" s="165">
        <f>F12</f>
        <v/>
      </c>
      <c r="K12" s="165">
        <f>J12</f>
        <v/>
      </c>
    </row>
    <row r="13">
      <c r="A13" t="inlineStr">
        <is>
          <t>shoeing horses</t>
        </is>
      </c>
      <c r="D13" t="n">
        <v>11</v>
      </c>
      <c r="F13" s="165">
        <f>B13+C13/20+D13/240</f>
        <v/>
      </c>
      <c r="J13" s="165">
        <f>F13</f>
        <v/>
      </c>
      <c r="K13" s="165">
        <f>J13</f>
        <v/>
      </c>
    </row>
    <row r="14">
      <c r="A14" t="inlineStr">
        <is>
          <t>in ale and relish for boon-works</t>
        </is>
      </c>
      <c r="C14" t="n">
        <v>6</v>
      </c>
      <c r="D14" t="n">
        <v>8</v>
      </c>
      <c r="F14" s="165">
        <f>B14+C14/20+D14/240</f>
        <v/>
      </c>
    </row>
    <row r="15">
      <c r="A15" t="inlineStr">
        <is>
          <t>stipend of 3 oxherds</t>
        </is>
      </c>
      <c r="C15" t="n">
        <v>9</v>
      </c>
      <c r="F15" s="165">
        <f>B15+C15/20+D15/240</f>
        <v/>
      </c>
    </row>
    <row r="16">
      <c r="A16" t="inlineStr">
        <is>
          <t>2 oxen bought</t>
        </is>
      </c>
      <c r="B16" t="n">
        <v>1</v>
      </c>
      <c r="C16" t="n">
        <v>2</v>
      </c>
      <c r="D16" t="n">
        <v>8</v>
      </c>
      <c r="F16" s="165">
        <f>B16+C16/20+D16/240</f>
        <v/>
      </c>
    </row>
    <row r="17">
      <c r="A17" t="inlineStr">
        <is>
          <t>wheat bought</t>
        </is>
      </c>
      <c r="C17" t="n">
        <v>6</v>
      </c>
      <c r="D17" t="n">
        <v>3</v>
      </c>
      <c r="F17" s="165">
        <f>B17+C17/20+D17/240</f>
        <v/>
      </c>
    </row>
    <row r="18">
      <c r="A18" t="inlineStr">
        <is>
          <t>bere bought</t>
        </is>
      </c>
      <c r="B18" t="n">
        <v>1</v>
      </c>
      <c r="C18" t="n">
        <v>4</v>
      </c>
      <c r="D18" t="n">
        <v>8.5</v>
      </c>
      <c r="F18" s="165">
        <f>B18+C18/20+D18/240</f>
        <v/>
      </c>
    </row>
    <row r="19">
      <c r="A19" t="inlineStr">
        <is>
          <t>barly bought</t>
        </is>
      </c>
      <c r="B19" t="n">
        <v>1</v>
      </c>
      <c r="C19" t="n">
        <v>6</v>
      </c>
      <c r="D19" t="n">
        <v>1.5</v>
      </c>
      <c r="F19" s="165">
        <f>B19+C19/20+D19/240</f>
        <v/>
      </c>
    </row>
    <row r="20">
      <c r="A20" t="inlineStr">
        <is>
          <t>peas bought</t>
        </is>
      </c>
      <c r="C20" t="n">
        <v>1</v>
      </c>
      <c r="D20" t="n">
        <v>8</v>
      </c>
      <c r="F20" s="165">
        <f>B20+C20/20+D20/240</f>
        <v/>
      </c>
    </row>
    <row r="21">
      <c r="A21" t="inlineStr">
        <is>
          <t>vetches bought</t>
        </is>
      </c>
      <c r="C21" t="n">
        <v>1</v>
      </c>
      <c r="D21" t="n">
        <v>10.5</v>
      </c>
      <c r="F21" s="165">
        <f>B21+C21/20+D21/240</f>
        <v/>
      </c>
    </row>
    <row r="22">
      <c r="A22" s="12" t="inlineStr">
        <is>
          <t>Total recorded in accounts</t>
        </is>
      </c>
      <c r="B22" t="n">
        <v>6</v>
      </c>
      <c r="C22" t="n">
        <v>5</v>
      </c>
      <c r="D22" t="n">
        <v>2.5</v>
      </c>
      <c r="F22" s="168">
        <f>B22+C22/20+D22/240</f>
        <v/>
      </c>
    </row>
    <row r="23">
      <c r="A23" s="12" t="inlineStr">
        <is>
          <t>Cost of ploughs total</t>
        </is>
      </c>
      <c r="B23">
        <f>SUM(B3:B21)</f>
        <v/>
      </c>
      <c r="C23">
        <f>SUM(C3:C21)</f>
        <v/>
      </c>
      <c r="D23">
        <f>SUM(D3:D21)</f>
        <v/>
      </c>
      <c r="F23" s="168">
        <f>B23+C23/20+D23/240</f>
        <v/>
      </c>
      <c r="G23" s="138">
        <f>F23-F22</f>
        <v/>
      </c>
    </row>
    <row r="24"/>
    <row r="25">
      <c r="A25" s="12" t="inlineStr">
        <is>
          <t>Purchase of Corn</t>
        </is>
      </c>
    </row>
    <row r="26">
      <c r="A26" s="13" t="inlineStr">
        <is>
          <t>nothing</t>
        </is>
      </c>
      <c r="F26" s="165">
        <f>B26+C26/20+D26/240</f>
        <v/>
      </c>
    </row>
    <row r="27">
      <c r="A27" s="12" t="inlineStr">
        <is>
          <t>Total recorded in accounts</t>
        </is>
      </c>
      <c r="F27" s="168">
        <f>B27+C27/20+D27/240</f>
        <v/>
      </c>
    </row>
    <row r="28">
      <c r="A28" s="12" t="inlineStr">
        <is>
          <t>Purchase of corn total</t>
        </is>
      </c>
      <c r="B28">
        <f>SUM(B26)</f>
        <v/>
      </c>
      <c r="C28">
        <f>SUM(C26)</f>
        <v/>
      </c>
      <c r="D28">
        <f>SUM(D26)</f>
        <v/>
      </c>
      <c r="F28" s="168">
        <f>B28+C28/20+D28/240</f>
        <v/>
      </c>
      <c r="G28" s="138">
        <f>F28-F27</f>
        <v/>
      </c>
    </row>
    <row r="29"/>
    <row r="30">
      <c r="A30" s="12" t="inlineStr">
        <is>
          <t>Cost of Carts and Wagons</t>
        </is>
      </c>
    </row>
    <row r="31">
      <c r="A31" t="inlineStr">
        <is>
          <t>1 pair of wheels</t>
        </is>
      </c>
      <c r="C31" t="n">
        <v>2</v>
      </c>
      <c r="F31" s="165">
        <f>B31+C31/20+D31/240</f>
        <v/>
      </c>
      <c r="J31" s="165">
        <f>F31</f>
        <v/>
      </c>
      <c r="K31" s="165">
        <f>J31</f>
        <v/>
      </c>
    </row>
    <row r="32">
      <c r="A32" t="inlineStr">
        <is>
          <t>fitting an old binding incl. stipend of smith</t>
        </is>
      </c>
      <c r="C32" t="n">
        <v>3</v>
      </c>
      <c r="D32" t="n">
        <v>4</v>
      </c>
      <c r="F32" s="165">
        <f>B32+C32/20+D32/240</f>
        <v/>
      </c>
      <c r="J32" s="165">
        <f>F32</f>
        <v/>
      </c>
      <c r="K32" s="165">
        <f>J32</f>
        <v/>
      </c>
    </row>
    <row r="33">
      <c r="A33" t="inlineStr">
        <is>
          <t>in hooping the felloes of the cart</t>
        </is>
      </c>
      <c r="D33" t="n">
        <v>3</v>
      </c>
      <c r="F33" s="165">
        <f>B33+C33/20+D33/240</f>
        <v/>
      </c>
      <c r="J33" s="165">
        <f>F33</f>
        <v/>
      </c>
      <c r="K33" s="165">
        <f>J33</f>
        <v/>
      </c>
    </row>
    <row r="34">
      <c r="A34" t="inlineStr">
        <is>
          <t>clouts, nails, grease and white leather</t>
        </is>
      </c>
      <c r="C34" t="n">
        <v>1</v>
      </c>
      <c r="D34" t="n">
        <v>0.5</v>
      </c>
      <c r="F34" s="165">
        <f>B34+C34/20+D34/240</f>
        <v/>
      </c>
      <c r="J34" s="165">
        <f>F34</f>
        <v/>
      </c>
      <c r="K34" s="165">
        <f>J34</f>
        <v/>
      </c>
    </row>
    <row r="35">
      <c r="A35" t="inlineStr">
        <is>
          <t>fitting the cart with axles</t>
        </is>
      </c>
      <c r="D35" t="n">
        <v>6</v>
      </c>
      <c r="F35" s="165">
        <f>B35+C35/20+D35/240</f>
        <v/>
      </c>
      <c r="J35" s="165">
        <f>F35</f>
        <v/>
      </c>
      <c r="K35" s="165">
        <f>J35</f>
        <v/>
      </c>
    </row>
    <row r="36">
      <c r="A36" t="inlineStr">
        <is>
          <t>mending the old cart</t>
        </is>
      </c>
      <c r="D36" t="n">
        <v>9</v>
      </c>
      <c r="F36" s="165">
        <f>B36+C36/20+D36/240</f>
        <v/>
      </c>
      <c r="J36" s="165">
        <f>F36</f>
        <v/>
      </c>
      <c r="K36" s="165">
        <f>J36</f>
        <v/>
      </c>
    </row>
    <row r="37">
      <c r="A37" t="inlineStr">
        <is>
          <t>1 pair of traces bought</t>
        </is>
      </c>
      <c r="D37" t="n">
        <v>4</v>
      </c>
      <c r="F37" s="165">
        <f>B37+C37/20+D37/240</f>
        <v/>
      </c>
      <c r="J37" s="165">
        <f>F37</f>
        <v/>
      </c>
      <c r="K37" s="165">
        <f>J37</f>
        <v/>
      </c>
    </row>
    <row r="38">
      <c r="A38" t="inlineStr">
        <is>
          <t>in 1 collar and 1 pair of tie-beams</t>
        </is>
      </c>
      <c r="C38" t="n">
        <v>1</v>
      </c>
      <c r="F38" s="165">
        <f>B38+C38/20+D38/240</f>
        <v/>
      </c>
      <c r="J38" s="165">
        <f>F38</f>
        <v/>
      </c>
      <c r="K38" s="165">
        <f>J38</f>
        <v/>
      </c>
    </row>
    <row r="39">
      <c r="A39" t="inlineStr">
        <is>
          <t>in 1 halter bought</t>
        </is>
      </c>
      <c r="D39" t="n">
        <v>0.5</v>
      </c>
      <c r="F39" s="165">
        <f>B39+C39/20+D39/240</f>
        <v/>
      </c>
      <c r="J39" s="165">
        <f>F39</f>
        <v/>
      </c>
      <c r="K39" s="165">
        <f>J39</f>
        <v/>
      </c>
    </row>
    <row r="40">
      <c r="A40" t="inlineStr">
        <is>
          <t>in 1 pair of wheels made for dung</t>
        </is>
      </c>
      <c r="D40" t="n">
        <v>9</v>
      </c>
      <c r="F40" s="165">
        <f>B40+C40/20+D40/240</f>
        <v/>
      </c>
      <c r="J40" s="165">
        <f>F40</f>
        <v/>
      </c>
      <c r="K40" s="165">
        <f>J40</f>
        <v/>
      </c>
    </row>
    <row r="41">
      <c r="A41" t="inlineStr">
        <is>
          <t>in shoeing 2 cart-horses</t>
        </is>
      </c>
      <c r="C41" t="n">
        <v>2</v>
      </c>
      <c r="D41" t="n">
        <v>6</v>
      </c>
      <c r="F41" s="165">
        <f>B41+C41/20+D41/240</f>
        <v/>
      </c>
      <c r="J41" s="165">
        <f>F41</f>
        <v/>
      </c>
      <c r="K41" s="165">
        <f>J41</f>
        <v/>
      </c>
    </row>
    <row r="42">
      <c r="A42" t="inlineStr">
        <is>
          <t>in 1 cart-horse bought</t>
        </is>
      </c>
      <c r="B42" t="n">
        <v>1</v>
      </c>
      <c r="F42" s="165">
        <f>B42+C42/20+D42/240</f>
        <v/>
      </c>
      <c r="J42" s="165" t="n"/>
    </row>
    <row r="43">
      <c r="A43" t="inlineStr">
        <is>
          <t>in stipend of 1 carter</t>
        </is>
      </c>
      <c r="C43" t="n">
        <v>3</v>
      </c>
      <c r="F43" s="165">
        <f>B43+C43/20+D43/240</f>
        <v/>
      </c>
    </row>
    <row r="44">
      <c r="A44" s="12" t="inlineStr">
        <is>
          <t>Total recorded in accounts</t>
        </is>
      </c>
      <c r="B44" t="n">
        <v>1</v>
      </c>
      <c r="C44" t="n">
        <v>15</v>
      </c>
      <c r="D44" t="n">
        <v>10</v>
      </c>
      <c r="F44" s="168">
        <f>B44+C44/20+D44/240</f>
        <v/>
      </c>
    </row>
    <row r="45">
      <c r="A45" s="12" t="inlineStr">
        <is>
          <t>Cost of carts and wagons total</t>
        </is>
      </c>
      <c r="B45">
        <f>SUM(B31:B43)</f>
        <v/>
      </c>
      <c r="C45">
        <f>SUM(C31:C43)</f>
        <v/>
      </c>
      <c r="D45">
        <f>SUM(D31:D43)</f>
        <v/>
      </c>
      <c r="F45" s="168">
        <f>B45+C45/20+D45/240</f>
        <v/>
      </c>
      <c r="G45" s="138">
        <f>F45-F44</f>
        <v/>
      </c>
    </row>
    <row r="46">
      <c r="A46" s="12" t="n"/>
      <c r="F46" s="168" t="n"/>
      <c r="G46" s="138" t="n"/>
    </row>
    <row r="47"/>
    <row r="48">
      <c r="A48" s="12" t="inlineStr">
        <is>
          <t>Cost of Dairy</t>
        </is>
      </c>
    </row>
    <row r="49">
      <c r="A49" t="inlineStr">
        <is>
          <t>salt for salting cheese</t>
        </is>
      </c>
      <c r="C49" t="n">
        <v>3</v>
      </c>
      <c r="D49" t="n">
        <v>6</v>
      </c>
      <c r="F49" s="165">
        <f>B49+C49/20+D49/240</f>
        <v/>
      </c>
      <c r="J49" s="165">
        <f>F49</f>
        <v/>
      </c>
      <c r="K49" s="165">
        <f>J49</f>
        <v/>
      </c>
    </row>
    <row r="50">
      <c r="A50" t="inlineStr">
        <is>
          <t>in linen and woolen cloth</t>
        </is>
      </c>
      <c r="D50" t="n">
        <v>8</v>
      </c>
      <c r="F50" s="165">
        <f>B50+C50/20+D50/240</f>
        <v/>
      </c>
      <c r="J50" s="165">
        <f>F50</f>
        <v/>
      </c>
      <c r="K50" s="165">
        <f>J50</f>
        <v/>
      </c>
    </row>
    <row r="51">
      <c r="A51" t="inlineStr">
        <is>
          <t>pots and pans</t>
        </is>
      </c>
      <c r="D51" t="n">
        <v>6</v>
      </c>
      <c r="F51" s="165">
        <f>B51+C51/20+D51/240</f>
        <v/>
      </c>
      <c r="J51" s="165">
        <f>F51</f>
        <v/>
      </c>
      <c r="K51" s="165">
        <f>J51</f>
        <v/>
      </c>
    </row>
    <row r="52">
      <c r="A52" t="inlineStr">
        <is>
          <t>press</t>
        </is>
      </c>
      <c r="D52" t="n">
        <v>6</v>
      </c>
      <c r="F52" s="165">
        <f>B52+C52/20+D52/240</f>
        <v/>
      </c>
      <c r="J52" s="165">
        <f>F52</f>
        <v/>
      </c>
      <c r="K52" s="165">
        <f>J52</f>
        <v/>
      </c>
    </row>
    <row r="53">
      <c r="A53" t="inlineStr">
        <is>
          <t>mending utensils</t>
        </is>
      </c>
      <c r="D53" t="n">
        <v>4</v>
      </c>
      <c r="F53" s="165">
        <f>B53+C53/20+D53/240</f>
        <v/>
      </c>
      <c r="J53" s="165">
        <f>F53</f>
        <v/>
      </c>
      <c r="K53" s="165">
        <f>J53</f>
        <v/>
      </c>
    </row>
    <row r="54">
      <c r="A54" t="inlineStr">
        <is>
          <t>stipend of dairymaid</t>
        </is>
      </c>
      <c r="C54" t="n">
        <v>2</v>
      </c>
      <c r="F54" s="165">
        <f>B54+C54/20+D54/240</f>
        <v/>
      </c>
    </row>
    <row r="55">
      <c r="A55" t="inlineStr">
        <is>
          <t>stipend keeper of hoggs and lambs</t>
        </is>
      </c>
      <c r="C55" t="n">
        <v>2</v>
      </c>
      <c r="F55" s="165">
        <f>B55+C55/20+D55/240</f>
        <v/>
      </c>
    </row>
    <row r="56">
      <c r="A56" t="inlineStr">
        <is>
          <t>2 sacks bough</t>
        </is>
      </c>
      <c r="C56" t="n">
        <v>1</v>
      </c>
      <c r="D56" t="n">
        <v>5</v>
      </c>
      <c r="F56" s="165">
        <f>B56+C56/20+D56/240</f>
        <v/>
      </c>
      <c r="J56" s="165">
        <f>F56</f>
        <v/>
      </c>
      <c r="K56" s="165">
        <f>J56</f>
        <v/>
      </c>
    </row>
    <row r="57">
      <c r="A57" s="12" t="inlineStr">
        <is>
          <t>Total recorded in accounts</t>
        </is>
      </c>
      <c r="C57" t="n">
        <v>11</v>
      </c>
      <c r="D57" t="n">
        <v>2</v>
      </c>
      <c r="F57" s="168">
        <f>B57+C57/20+D57/240</f>
        <v/>
      </c>
    </row>
    <row r="58">
      <c r="A58" s="12" t="inlineStr">
        <is>
          <t>Cost of dairy total</t>
        </is>
      </c>
      <c r="B58">
        <f>SUM(B49:B56)</f>
        <v/>
      </c>
      <c r="C58">
        <f>SUM(C49:C56)</f>
        <v/>
      </c>
      <c r="D58">
        <f>SUM(D49:D56)</f>
        <v/>
      </c>
      <c r="F58" s="168">
        <f>B58+C58/20+D58/240</f>
        <v/>
      </c>
      <c r="G58" s="138">
        <f>F58-F57</f>
        <v/>
      </c>
    </row>
    <row r="59">
      <c r="A59" s="12" t="n"/>
      <c r="F59" s="168" t="n"/>
      <c r="G59" s="138" t="n"/>
    </row>
    <row r="60"/>
    <row r="61">
      <c r="A61" s="12" t="inlineStr">
        <is>
          <t>Cost of mills</t>
        </is>
      </c>
      <c r="F61" s="165" t="n"/>
    </row>
    <row r="62">
      <c r="A62" t="inlineStr">
        <is>
          <t>roofing</t>
        </is>
      </c>
      <c r="D62" t="n">
        <v>6</v>
      </c>
      <c r="F62" s="165">
        <f>B62+C62/20+D62/240</f>
        <v/>
      </c>
      <c r="J62" s="138" t="inlineStr">
        <is>
          <t>no mills in investment</t>
        </is>
      </c>
      <c r="K62" s="165" t="n"/>
    </row>
    <row r="63">
      <c r="A63" t="inlineStr">
        <is>
          <t>repairing broken spindles with iron</t>
        </is>
      </c>
      <c r="D63" t="n">
        <v>4</v>
      </c>
      <c r="F63" s="165">
        <f>B63+C63/20+D63/240</f>
        <v/>
      </c>
      <c r="J63" s="165" t="n"/>
      <c r="K63" s="165" t="n"/>
    </row>
    <row r="64">
      <c r="A64" t="inlineStr">
        <is>
          <t>sharpening and steeling bills</t>
        </is>
      </c>
      <c r="D64" t="n">
        <v>3.5</v>
      </c>
      <c r="F64" s="165">
        <f>B64+C64/20+D64/240</f>
        <v/>
      </c>
      <c r="J64" s="165" t="n"/>
      <c r="K64" s="165" t="n"/>
    </row>
    <row r="65">
      <c r="A65" t="inlineStr">
        <is>
          <t>stopping and drawing the water up to renew sluice</t>
        </is>
      </c>
      <c r="D65" t="n">
        <v>10</v>
      </c>
      <c r="F65" s="165">
        <f>B65+C65/20+D65/240</f>
        <v/>
      </c>
      <c r="J65" s="165" t="n"/>
      <c r="K65" s="165" t="n"/>
    </row>
    <row r="66">
      <c r="A66" t="inlineStr">
        <is>
          <t>timber for new sluice</t>
        </is>
      </c>
      <c r="C66" t="n">
        <v>3</v>
      </c>
      <c r="F66" s="165">
        <f>B66+C66/20+D66/240</f>
        <v/>
      </c>
      <c r="J66" s="165" t="n"/>
      <c r="K66" s="165" t="n"/>
    </row>
    <row r="67">
      <c r="A67" t="inlineStr">
        <is>
          <t>roofing the buildings of the town mill</t>
        </is>
      </c>
      <c r="C67" t="n">
        <v>1</v>
      </c>
      <c r="D67" t="n">
        <v>4</v>
      </c>
      <c r="F67" s="165">
        <f>B67+C67/20+D67/240</f>
        <v/>
      </c>
      <c r="J67" s="165" t="n"/>
      <c r="K67" s="165" t="n"/>
    </row>
    <row r="68">
      <c r="A68" t="inlineStr">
        <is>
          <t>hooping the driving-shaft and wheels</t>
        </is>
      </c>
      <c r="C68" t="n">
        <v>1</v>
      </c>
      <c r="D68" t="n">
        <v>3</v>
      </c>
      <c r="F68" s="165">
        <f>B68+C68/20+D68/240</f>
        <v/>
      </c>
      <c r="J68" s="165" t="n"/>
      <c r="K68" s="165" t="n"/>
    </row>
    <row r="69">
      <c r="A69" t="inlineStr">
        <is>
          <t>steeling and sharpening bills</t>
        </is>
      </c>
      <c r="D69" t="n">
        <v>6</v>
      </c>
      <c r="F69" s="165">
        <f>B69+C69/20+D69/240</f>
        <v/>
      </c>
      <c r="J69" s="165" t="n"/>
      <c r="K69" s="165" t="n"/>
    </row>
    <row r="70">
      <c r="A70" t="inlineStr">
        <is>
          <t>stipend of 1 miller for the year</t>
        </is>
      </c>
      <c r="C70" t="n">
        <v>3</v>
      </c>
      <c r="F70" s="165">
        <f>B70+C70/20+D70/240</f>
        <v/>
      </c>
    </row>
    <row r="71">
      <c r="A71" s="12" t="inlineStr">
        <is>
          <t>Total recorded in accounts</t>
        </is>
      </c>
      <c r="C71">
        <f>4+6</f>
        <v/>
      </c>
      <c r="D71">
        <f>11.5+1</f>
        <v/>
      </c>
      <c r="F71" s="168">
        <f>B71+C71/20+D71/240</f>
        <v/>
      </c>
    </row>
    <row r="72">
      <c r="A72" s="12" t="inlineStr">
        <is>
          <t>Cost of mills total</t>
        </is>
      </c>
      <c r="B72">
        <f>SUM(B62:B70)</f>
        <v/>
      </c>
      <c r="C72">
        <f>SUM(C62:C70)</f>
        <v/>
      </c>
      <c r="D72">
        <f>SUM(D62:D70)</f>
        <v/>
      </c>
      <c r="F72" s="168">
        <f>B72+C72/20+D72/240</f>
        <v/>
      </c>
      <c r="G72" s="138">
        <f>F72-F71</f>
        <v/>
      </c>
    </row>
    <row r="73">
      <c r="A73" s="12" t="n"/>
      <c r="F73" s="168" t="n"/>
      <c r="G73" s="138" t="n"/>
    </row>
    <row r="74"/>
    <row r="75">
      <c r="A75" s="12" t="inlineStr">
        <is>
          <t>Purchase of Stock</t>
        </is>
      </c>
    </row>
    <row r="76">
      <c r="F76" s="165">
        <f>B76+C76/20+D76/240</f>
        <v/>
      </c>
    </row>
    <row r="77">
      <c r="F77" s="165">
        <f>B77+C77/20+D77/240</f>
        <v/>
      </c>
    </row>
    <row r="78">
      <c r="F78" s="165">
        <f>B78+C78/20+D78/240</f>
        <v/>
      </c>
    </row>
    <row r="79">
      <c r="A79" s="12" t="inlineStr">
        <is>
          <t>Total recorded in accounts</t>
        </is>
      </c>
      <c r="F79" s="168">
        <f>B79+C79/20+D79/240</f>
        <v/>
      </c>
    </row>
    <row r="80">
      <c r="A80" s="12" t="inlineStr">
        <is>
          <t>Purchase of stock total</t>
        </is>
      </c>
      <c r="B80">
        <f>SUM(B76:B78)</f>
        <v/>
      </c>
      <c r="C80">
        <f>SUM(C76:C78)</f>
        <v/>
      </c>
      <c r="D80">
        <f>SUM(D76:D78)</f>
        <v/>
      </c>
      <c r="F80" s="168">
        <f>B80+C80/20+D80/240</f>
        <v/>
      </c>
      <c r="G80" s="138">
        <f>F80-F79</f>
        <v/>
      </c>
    </row>
    <row r="81"/>
    <row r="82">
      <c r="A82" s="12" t="inlineStr">
        <is>
          <t>Sheepcote and Wool</t>
        </is>
      </c>
    </row>
    <row r="83">
      <c r="A83" t="inlineStr">
        <is>
          <t>24 ells of canvas bought for putting the wool in</t>
        </is>
      </c>
      <c r="C83" t="n">
        <v>7</v>
      </c>
      <c r="D83" t="n">
        <v>3</v>
      </c>
      <c r="F83" s="165">
        <f>B83+C83/20+D83/240</f>
        <v/>
      </c>
      <c r="J83" s="165">
        <f>F83</f>
        <v/>
      </c>
      <c r="K83" s="165">
        <f>J83</f>
        <v/>
      </c>
    </row>
    <row r="84">
      <c r="A84" t="inlineStr">
        <is>
          <t>making sacks and packing said wool</t>
        </is>
      </c>
      <c r="C84" t="n">
        <v>1</v>
      </c>
      <c r="F84" s="165">
        <f>B84+C84/20+D84/240</f>
        <v/>
      </c>
      <c r="J84" s="165">
        <f>F84</f>
        <v/>
      </c>
      <c r="K84" s="165">
        <f>J84</f>
        <v/>
      </c>
    </row>
    <row r="85">
      <c r="A85" t="inlineStr">
        <is>
          <t>re-roofing sheepcotes</t>
        </is>
      </c>
      <c r="C85" t="n">
        <v>2</v>
      </c>
      <c r="D85" t="n">
        <v>6</v>
      </c>
      <c r="F85" s="165">
        <f>B85+C85/20+D85/240</f>
        <v/>
      </c>
      <c r="J85" s="165">
        <f>F85</f>
        <v/>
      </c>
      <c r="K85" s="165">
        <f>J85</f>
        <v/>
      </c>
    </row>
    <row r="86">
      <c r="A86" t="inlineStr">
        <is>
          <t>carpenter mending the sheepcote</t>
        </is>
      </c>
      <c r="D86" t="n">
        <v>6</v>
      </c>
      <c r="F86" s="165">
        <f>B86+C86/20+D86/240</f>
        <v/>
      </c>
      <c r="J86" s="165">
        <f>F86</f>
        <v/>
      </c>
      <c r="K86" s="165">
        <f>J86</f>
        <v/>
      </c>
    </row>
    <row r="87">
      <c r="A87" t="inlineStr">
        <is>
          <t>roofing one part of the sheepcote</t>
        </is>
      </c>
      <c r="C87" t="n">
        <v>3</v>
      </c>
      <c r="D87" t="n">
        <v>2</v>
      </c>
      <c r="F87" s="165">
        <f>B87+C87/20+D87/240</f>
        <v/>
      </c>
      <c r="J87" s="165">
        <f>F87</f>
        <v/>
      </c>
      <c r="K87" s="165">
        <f>J87</f>
        <v/>
      </c>
    </row>
    <row r="88">
      <c r="A88" t="inlineStr">
        <is>
          <t>grease, copperas, vinegar and tar</t>
        </is>
      </c>
      <c r="B88" t="n">
        <v>1</v>
      </c>
      <c r="C88" t="n">
        <v>16</v>
      </c>
      <c r="D88" t="n">
        <v>9</v>
      </c>
      <c r="F88" s="165">
        <f>B88+C88/20+D88/240</f>
        <v/>
      </c>
      <c r="J88" s="165">
        <f>F88</f>
        <v/>
      </c>
      <c r="K88" s="165">
        <f>J88</f>
        <v/>
      </c>
    </row>
    <row r="89">
      <c r="A89" t="inlineStr">
        <is>
          <t>hurdles made</t>
        </is>
      </c>
      <c r="C89" t="n">
        <v>2</v>
      </c>
      <c r="F89" s="165">
        <f>B89+C89/20+D89/240</f>
        <v/>
      </c>
      <c r="J89" s="165">
        <f>F89</f>
        <v/>
      </c>
      <c r="K89" s="165">
        <f>J89</f>
        <v/>
      </c>
    </row>
    <row r="90">
      <c r="A90" t="inlineStr">
        <is>
          <t>wattling hurdles</t>
        </is>
      </c>
      <c r="C90" t="n">
        <v>1</v>
      </c>
      <c r="D90" t="n">
        <v>10</v>
      </c>
      <c r="F90" s="165">
        <f>B90+C90/20+D90/240</f>
        <v/>
      </c>
      <c r="J90" s="165">
        <f>F90</f>
        <v/>
      </c>
      <c r="K90" s="165">
        <f>J90</f>
        <v/>
      </c>
    </row>
    <row r="91">
      <c r="A91" t="inlineStr">
        <is>
          <t>in 39 ewes bought</t>
        </is>
      </c>
      <c r="B91" t="n">
        <v>1</v>
      </c>
      <c r="C91" t="n">
        <v>19</v>
      </c>
      <c r="F91" s="165">
        <f>B91+C91/20+D91/240</f>
        <v/>
      </c>
      <c r="K91" s="165" t="n"/>
    </row>
    <row r="92">
      <c r="A92" t="inlineStr">
        <is>
          <t>1 ram bought</t>
        </is>
      </c>
      <c r="C92" t="n">
        <v>1</v>
      </c>
      <c r="F92" s="165">
        <f>B92+C92/20+D92/240</f>
        <v/>
      </c>
      <c r="K92" s="165" t="n"/>
    </row>
    <row r="93">
      <c r="A93" t="inlineStr">
        <is>
          <t>carpenter rebuilding anew 1 sheepcote</t>
        </is>
      </c>
      <c r="B93" t="n">
        <v>1</v>
      </c>
      <c r="D93" t="n">
        <v>6</v>
      </c>
      <c r="F93" s="165">
        <f>B93+C93/20+D93/240</f>
        <v/>
      </c>
      <c r="J93" s="165">
        <f>F93</f>
        <v/>
      </c>
      <c r="K93" s="165">
        <f>J93</f>
        <v/>
      </c>
    </row>
    <row r="94">
      <c r="A94" t="inlineStr">
        <is>
          <t>roofing the same</t>
        </is>
      </c>
      <c r="C94" t="n">
        <v>5</v>
      </c>
      <c r="D94" t="n">
        <v>2</v>
      </c>
      <c r="F94" s="165">
        <f>B94+C94/20+D94/240</f>
        <v/>
      </c>
      <c r="J94" s="165">
        <f>F94</f>
        <v/>
      </c>
      <c r="K94" s="165">
        <f>J94</f>
        <v/>
      </c>
    </row>
    <row r="95">
      <c r="A95" t="inlineStr">
        <is>
          <t>in 4000 nails bought for laths</t>
        </is>
      </c>
      <c r="C95" t="n">
        <v>3</v>
      </c>
      <c r="F95" s="165">
        <f>B95+C95/20+D95/240</f>
        <v/>
      </c>
      <c r="J95" s="165">
        <f>F95</f>
        <v/>
      </c>
      <c r="K95" s="165">
        <f>J95</f>
        <v/>
      </c>
    </row>
    <row r="96">
      <c r="A96" t="inlineStr">
        <is>
          <t>hooks and hinges</t>
        </is>
      </c>
      <c r="C96" t="n">
        <v>1</v>
      </c>
      <c r="D96" t="n">
        <v>8</v>
      </c>
      <c r="F96" s="165">
        <f>B96+C96/20+D96/240</f>
        <v/>
      </c>
      <c r="J96" s="165">
        <f>F96</f>
        <v/>
      </c>
      <c r="K96" s="165">
        <f>J96</f>
        <v/>
      </c>
    </row>
    <row r="97">
      <c r="A97" t="inlineStr">
        <is>
          <t>iron for the door</t>
        </is>
      </c>
      <c r="D97" t="n">
        <v>5</v>
      </c>
      <c r="F97" s="165">
        <f>B97+C97/20+D97/240</f>
        <v/>
      </c>
      <c r="J97" s="165">
        <f>F97</f>
        <v/>
      </c>
      <c r="K97" s="165">
        <f>J97</f>
        <v/>
      </c>
    </row>
    <row r="98">
      <c r="A98" t="inlineStr">
        <is>
          <t>plastering the walls</t>
        </is>
      </c>
      <c r="C98" t="n">
        <v>5</v>
      </c>
      <c r="F98" s="165">
        <f>B98+C98/20+D98/240</f>
        <v/>
      </c>
      <c r="J98" s="165">
        <f>F98</f>
        <v/>
      </c>
      <c r="K98" s="165">
        <f>J98</f>
        <v/>
      </c>
    </row>
    <row r="99">
      <c r="A99" t="inlineStr">
        <is>
          <t>collecting stubble for roofing</t>
        </is>
      </c>
      <c r="C99" t="n">
        <v>2</v>
      </c>
      <c r="D99" t="n">
        <v>7</v>
      </c>
      <c r="F99" s="165">
        <f>B99+C99/20+D99/240</f>
        <v/>
      </c>
      <c r="J99" s="165">
        <f>F99</f>
        <v/>
      </c>
      <c r="K99" s="165">
        <f>J99</f>
        <v/>
      </c>
    </row>
    <row r="100">
      <c r="A100" t="inlineStr">
        <is>
          <t>hay bought</t>
        </is>
      </c>
      <c r="C100" t="n">
        <v>12</v>
      </c>
      <c r="F100" s="165">
        <f>B100+C100/20+D100/240</f>
        <v/>
      </c>
    </row>
    <row r="101">
      <c r="A101" s="12" t="inlineStr">
        <is>
          <t>Total recorded in accounts</t>
        </is>
      </c>
      <c r="B101" t="n">
        <v>6</v>
      </c>
      <c r="C101">
        <f>17+8</f>
        <v/>
      </c>
      <c r="D101" t="n">
        <v>1</v>
      </c>
      <c r="F101" s="168">
        <f>B101+C101/20+D101/240</f>
        <v/>
      </c>
    </row>
    <row r="102">
      <c r="A102" s="12" t="inlineStr">
        <is>
          <t>Sheepcote total</t>
        </is>
      </c>
      <c r="B102">
        <f>SUM(B83:B100)</f>
        <v/>
      </c>
      <c r="C102">
        <f>SUM(C83:C100)</f>
        <v/>
      </c>
      <c r="D102">
        <f>SUM(D83:D101)</f>
        <v/>
      </c>
      <c r="F102" s="168">
        <f>B102+C102/20+D102/240</f>
        <v/>
      </c>
      <c r="G102" s="138">
        <f>F102-F101</f>
        <v/>
      </c>
    </row>
    <row r="103">
      <c r="A103" s="12" t="n"/>
      <c r="F103" s="168" t="n"/>
      <c r="G103" s="138" t="n"/>
    </row>
    <row r="104"/>
    <row r="105">
      <c r="A105" s="12" t="inlineStr">
        <is>
          <t>Cost of Buildings</t>
        </is>
      </c>
    </row>
    <row r="106">
      <c r="A106" t="inlineStr">
        <is>
          <t>1200 new shingles on the hall + nails</t>
        </is>
      </c>
      <c r="C106" t="n">
        <v>4</v>
      </c>
      <c r="D106" t="n">
        <v>9.5</v>
      </c>
      <c r="F106" s="165">
        <f>B106+C106/20+D106/240</f>
        <v/>
      </c>
      <c r="J106" s="165">
        <f>F106</f>
        <v/>
      </c>
      <c r="K106" s="165" t="n"/>
    </row>
    <row r="107">
      <c r="A107" t="inlineStr">
        <is>
          <t>re-roofing the wheat and oat barns</t>
        </is>
      </c>
      <c r="C107" t="n">
        <v>3</v>
      </c>
      <c r="D107" t="n">
        <v>9</v>
      </c>
      <c r="F107" s="165">
        <f>B107+C107/20+D107/240</f>
        <v/>
      </c>
      <c r="J107" s="165">
        <f>F107</f>
        <v/>
      </c>
      <c r="K107" s="165">
        <f>J107</f>
        <v/>
      </c>
    </row>
    <row r="108">
      <c r="A108" t="inlineStr">
        <is>
          <t>roofing and mending the bake house</t>
        </is>
      </c>
      <c r="C108" t="n">
        <v>1</v>
      </c>
      <c r="D108" t="n">
        <v>6</v>
      </c>
      <c r="F108" s="165">
        <f>B108+C108/20+D108/240</f>
        <v/>
      </c>
      <c r="J108" s="165">
        <f>F108</f>
        <v/>
      </c>
      <c r="K108" s="165">
        <f>J108</f>
        <v/>
      </c>
    </row>
    <row r="109">
      <c r="A109" t="inlineStr">
        <is>
          <t>collecting stubble for the same</t>
        </is>
      </c>
      <c r="C109" t="n">
        <v>5</v>
      </c>
      <c r="D109" t="n">
        <v>10</v>
      </c>
      <c r="F109" s="165">
        <f>B109+C109/20+D109/240</f>
        <v/>
      </c>
      <c r="J109" s="165">
        <f>F109</f>
        <v/>
      </c>
      <c r="K109" s="165">
        <f>J109</f>
        <v/>
      </c>
    </row>
    <row r="110">
      <c r="A110" t="inlineStr">
        <is>
          <t>re-roofing the dovecot and kitchen, covering the wall between hall and dairy</t>
        </is>
      </c>
      <c r="C110" t="n">
        <v>1</v>
      </c>
      <c r="D110" t="n">
        <v>5</v>
      </c>
      <c r="F110" s="165">
        <f>B110+C110/20+D110/240</f>
        <v/>
      </c>
      <c r="J110" s="165">
        <f>F110</f>
        <v/>
      </c>
      <c r="K110" s="165">
        <f>J110</f>
        <v/>
      </c>
    </row>
    <row r="111">
      <c r="A111" t="inlineStr">
        <is>
          <t>4,000 tiles for the same</t>
        </is>
      </c>
      <c r="C111" t="n">
        <v>4</v>
      </c>
      <c r="D111" t="n">
        <v>4</v>
      </c>
      <c r="F111" s="165">
        <f>B111+C111/20+D111/240</f>
        <v/>
      </c>
      <c r="J111" s="165">
        <f>F111</f>
        <v/>
      </c>
      <c r="K111" s="165">
        <f>J111</f>
        <v/>
      </c>
    </row>
    <row r="112">
      <c r="A112" t="inlineStr">
        <is>
          <t>enclosing 76 perches around the curia and garden with hedges</t>
        </is>
      </c>
      <c r="C112" t="n">
        <v>1</v>
      </c>
      <c r="D112" t="n">
        <v>7</v>
      </c>
      <c r="F112" s="165">
        <f>B112+C112/20+D112/240</f>
        <v/>
      </c>
      <c r="J112" s="165">
        <f>F112</f>
        <v/>
      </c>
      <c r="K112" s="165">
        <f>J112</f>
        <v/>
      </c>
    </row>
    <row r="113">
      <c r="A113" t="inlineStr">
        <is>
          <t>in forage bought</t>
        </is>
      </c>
      <c r="C113" t="n">
        <v>7</v>
      </c>
      <c r="D113" t="n">
        <v>8</v>
      </c>
      <c r="F113" s="165">
        <f>B113+C113/20+D113/240</f>
        <v/>
      </c>
      <c r="J113" s="165" t="n"/>
      <c r="K113" s="165" t="n"/>
    </row>
    <row r="114">
      <c r="A114" t="inlineStr">
        <is>
          <t>in wheel for the wheelbarrow</t>
        </is>
      </c>
      <c r="D114" t="n">
        <v>2</v>
      </c>
      <c r="F114" s="165">
        <f>B114+C114/20+D114/240</f>
        <v/>
      </c>
      <c r="J114" s="165">
        <f>F114</f>
        <v/>
      </c>
      <c r="K114" s="165">
        <f>J114</f>
        <v/>
      </c>
    </row>
    <row r="115">
      <c r="A115" t="inlineStr">
        <is>
          <t>in 2 pigs bought</t>
        </is>
      </c>
      <c r="C115" t="n">
        <v>4</v>
      </c>
      <c r="D115" t="n">
        <v>6</v>
      </c>
      <c r="F115" s="165">
        <f>B115+C115/20+D115/240</f>
        <v/>
      </c>
      <c r="K115" s="165" t="n"/>
    </row>
    <row r="116">
      <c r="A116" t="inlineStr">
        <is>
          <t>in 2 pots and 2 brass pans bought</t>
        </is>
      </c>
      <c r="C116" t="n">
        <v>13</v>
      </c>
      <c r="D116" t="n">
        <v>6</v>
      </c>
      <c r="F116" s="165">
        <f>B116+C116/20+D116/240</f>
        <v/>
      </c>
      <c r="J116" s="165">
        <f>F116</f>
        <v/>
      </c>
      <c r="K116" s="165">
        <f>J116</f>
        <v/>
      </c>
    </row>
    <row r="117">
      <c r="A117" t="inlineStr">
        <is>
          <t>in 2 cider casks made</t>
        </is>
      </c>
      <c r="D117" t="n">
        <v>4</v>
      </c>
      <c r="F117" s="165">
        <f>B117+C117/20+D117/240</f>
        <v/>
      </c>
      <c r="J117" s="165">
        <f>F117</f>
        <v/>
      </c>
      <c r="K117" s="165">
        <f>J117</f>
        <v/>
      </c>
    </row>
    <row r="118">
      <c r="A118" s="12" t="inlineStr">
        <is>
          <t>Total recorded in accounts</t>
        </is>
      </c>
      <c r="B118" t="n">
        <v>2</v>
      </c>
      <c r="C118" t="n">
        <v>9</v>
      </c>
      <c r="D118" t="n">
        <v>4.5</v>
      </c>
      <c r="F118" s="168">
        <f>B118+C118/20+D118/240</f>
        <v/>
      </c>
    </row>
    <row r="119">
      <c r="A119" s="12" t="inlineStr">
        <is>
          <t>Cost of buildings total</t>
        </is>
      </c>
      <c r="B119">
        <f>SUM(B106:B116)</f>
        <v/>
      </c>
      <c r="C119">
        <f>SUM(C106:C116)</f>
        <v/>
      </c>
      <c r="D119">
        <f>SUM(D106:D118)</f>
        <v/>
      </c>
      <c r="F119" s="168">
        <f>B119+C119/20+D119/240</f>
        <v/>
      </c>
      <c r="G119" s="138">
        <f>F119-F118</f>
        <v/>
      </c>
    </row>
    <row r="120">
      <c r="A120" s="12" t="inlineStr">
        <is>
          <t>Total capital expenses</t>
        </is>
      </c>
      <c r="B120">
        <f>B106+B107+B108+B109+B110+B111+B114</f>
        <v/>
      </c>
      <c r="C120">
        <f>C106+C107+C108+C109+C110+C111+C114</f>
        <v/>
      </c>
      <c r="D120">
        <f>D106+D107+D108+D109+D110+D111+D114</f>
        <v/>
      </c>
      <c r="F120" s="168">
        <f>B120+C120/20+D120/240</f>
        <v/>
      </c>
      <c r="G120" s="138" t="n"/>
    </row>
    <row r="121"/>
    <row r="122">
      <c r="A122" s="12" t="inlineStr">
        <is>
          <t>Threshing</t>
        </is>
      </c>
    </row>
    <row r="123">
      <c r="A123" t="inlineStr">
        <is>
          <t>threshing and winnowing</t>
        </is>
      </c>
      <c r="C123" t="n">
        <v>8</v>
      </c>
      <c r="D123" t="n">
        <v>11.5</v>
      </c>
      <c r="F123" s="165">
        <f>B123+C123/20+D123/240</f>
        <v/>
      </c>
    </row>
    <row r="124">
      <c r="A124" t="inlineStr">
        <is>
          <t>threshing and winnowing</t>
        </is>
      </c>
      <c r="C124" t="n">
        <v>8</v>
      </c>
      <c r="D124" t="n">
        <v>9</v>
      </c>
      <c r="F124" s="165">
        <f>B124+C124/20+D124/240</f>
        <v/>
      </c>
    </row>
    <row r="125">
      <c r="A125" t="inlineStr">
        <is>
          <t>threshing and winnowing</t>
        </is>
      </c>
      <c r="C125" t="n">
        <v>6</v>
      </c>
      <c r="D125" t="n">
        <v>9.5</v>
      </c>
      <c r="F125" s="165">
        <f>B125+C125/20+D125/240</f>
        <v/>
      </c>
    </row>
    <row r="126">
      <c r="A126" t="inlineStr">
        <is>
          <t>threshing and winnowing</t>
        </is>
      </c>
      <c r="C126" t="n">
        <v>5</v>
      </c>
      <c r="D126" t="n">
        <v>4</v>
      </c>
      <c r="F126" s="165">
        <f>B126+C126/20+D126/240</f>
        <v/>
      </c>
    </row>
    <row r="127">
      <c r="A127" t="inlineStr">
        <is>
          <t>basket bought</t>
        </is>
      </c>
      <c r="D127" t="n">
        <v>4</v>
      </c>
      <c r="F127" s="165">
        <f>B127+C127/20+D127/240</f>
        <v/>
      </c>
    </row>
    <row r="128">
      <c r="A128" s="12" t="inlineStr">
        <is>
          <t>Total recorded in accounts</t>
        </is>
      </c>
      <c r="B128" t="n">
        <v>1</v>
      </c>
      <c r="C128" t="n">
        <v>10</v>
      </c>
      <c r="D128" t="n">
        <v>2</v>
      </c>
      <c r="F128" s="168">
        <f>B128+C128/20+D128/240</f>
        <v/>
      </c>
    </row>
    <row r="129">
      <c r="A129" s="12" t="inlineStr">
        <is>
          <t>Threshing total</t>
        </is>
      </c>
      <c r="B129">
        <f>SUM(B123:B127)</f>
        <v/>
      </c>
      <c r="C129">
        <f>SUM(C123:C127)</f>
        <v/>
      </c>
      <c r="D129">
        <f>SUM(D123:D127)</f>
        <v/>
      </c>
      <c r="F129" s="168">
        <f>B129+C129/20+D129/240</f>
        <v/>
      </c>
      <c r="G129" s="138">
        <f>F129-F128</f>
        <v/>
      </c>
    </row>
    <row r="130"/>
    <row r="131">
      <c r="A131" s="12" t="inlineStr">
        <is>
          <t>Expenses of the Harvest</t>
        </is>
      </c>
    </row>
    <row r="132">
      <c r="A132" t="inlineStr">
        <is>
          <t>ale and relish</t>
        </is>
      </c>
      <c r="C132" t="n">
        <v>13</v>
      </c>
      <c r="D132" t="n">
        <v>4</v>
      </c>
      <c r="F132" s="165">
        <f>B132+C132/20+D132/240</f>
        <v/>
      </c>
    </row>
    <row r="133">
      <c r="A133" t="inlineStr">
        <is>
          <t>reaping of bere and barley</t>
        </is>
      </c>
      <c r="C133" t="n">
        <v>11</v>
      </c>
      <c r="D133" t="n">
        <v>1.75</v>
      </c>
      <c r="F133" s="165">
        <f>B133+C133/20+D133/240</f>
        <v/>
      </c>
    </row>
    <row r="134">
      <c r="F134" s="165">
        <f>B134+C134/20+D134/240</f>
        <v/>
      </c>
    </row>
    <row r="135">
      <c r="F135" s="165">
        <f>B135+C135/20+D135/240</f>
        <v/>
      </c>
    </row>
    <row r="136">
      <c r="F136" s="165">
        <f>B136+C136/20+D136/240</f>
        <v/>
      </c>
    </row>
    <row r="137">
      <c r="A137" s="12" t="inlineStr">
        <is>
          <t>Total recorded in accounts</t>
        </is>
      </c>
      <c r="B137" t="n">
        <v>1</v>
      </c>
      <c r="C137" t="n">
        <v>4</v>
      </c>
      <c r="D137" t="n">
        <v>5.75</v>
      </c>
      <c r="F137" s="168">
        <f>B137+C137/20+D137/240</f>
        <v/>
      </c>
    </row>
    <row r="138">
      <c r="A138" s="12" t="inlineStr">
        <is>
          <t>Expenses of the harvest total</t>
        </is>
      </c>
      <c r="B138">
        <f>SUM(B132:B136)</f>
        <v/>
      </c>
      <c r="C138">
        <f>SUM(C132:C136)</f>
        <v/>
      </c>
      <c r="D138">
        <f>SUM(D132:D136)</f>
        <v/>
      </c>
      <c r="F138" s="168">
        <f>B138+C138/20+D138/240</f>
        <v/>
      </c>
      <c r="G138" s="138">
        <f>F138-F137</f>
        <v/>
      </c>
    </row>
    <row r="139"/>
    <row r="140">
      <c r="A140" s="12" t="inlineStr">
        <is>
          <t>Steward's Expenses + Bailiff</t>
        </is>
      </c>
    </row>
    <row r="141">
      <c r="A141" t="inlineStr">
        <is>
          <t>Martinmas</t>
        </is>
      </c>
      <c r="C141" t="n">
        <v>7</v>
      </c>
      <c r="F141" s="165">
        <f>B141+C141/20+D141/240</f>
        <v/>
      </c>
    </row>
    <row r="142">
      <c r="A142" t="inlineStr">
        <is>
          <t>St Barnabas</t>
        </is>
      </c>
      <c r="C142" t="n">
        <v>1</v>
      </c>
      <c r="D142" t="n">
        <v>5</v>
      </c>
      <c r="F142" s="165">
        <f>B142+C142/20+D142/240</f>
        <v/>
      </c>
    </row>
    <row r="143">
      <c r="A143" t="inlineStr">
        <is>
          <t>Master Richard for 1 visit</t>
        </is>
      </c>
      <c r="C143" t="n">
        <v>6</v>
      </c>
      <c r="F143" s="165">
        <f>B143+C143/20+D143/240</f>
        <v/>
      </c>
    </row>
    <row r="144">
      <c r="A144" t="inlineStr">
        <is>
          <t>bailiff for his visit</t>
        </is>
      </c>
      <c r="B144" t="n">
        <v>1</v>
      </c>
      <c r="C144" t="n">
        <v>10</v>
      </c>
      <c r="F144" s="165" t="n"/>
    </row>
    <row r="145">
      <c r="A145" s="12" t="inlineStr">
        <is>
          <t>Total recorded in accounts</t>
        </is>
      </c>
      <c r="B145" t="n">
        <v>1</v>
      </c>
      <c r="C145">
        <f>14+10</f>
        <v/>
      </c>
      <c r="D145" t="n">
        <v>5</v>
      </c>
      <c r="F145" s="168">
        <f>B145+C145/20+D145/240</f>
        <v/>
      </c>
    </row>
    <row r="146">
      <c r="A146" s="12" t="inlineStr">
        <is>
          <t>Steward's expenses total</t>
        </is>
      </c>
      <c r="B146">
        <f>SUM(B141:B144)</f>
        <v/>
      </c>
      <c r="C146">
        <f>SUM(C141:C144)</f>
        <v/>
      </c>
      <c r="D146">
        <f>SUM(D141:D144)</f>
        <v/>
      </c>
      <c r="F146" s="168">
        <f>B146+C146/20+D146/240</f>
        <v/>
      </c>
      <c r="G146" s="138">
        <f>F146-F145</f>
        <v/>
      </c>
    </row>
    <row r="147"/>
    <row r="148">
      <c r="A148" s="54" t="inlineStr">
        <is>
          <t>Total of all Expenses</t>
        </is>
      </c>
      <c r="B148" s="54" t="n">
        <v>25</v>
      </c>
      <c r="C148" s="54" t="n">
        <v>18</v>
      </c>
      <c r="D148" s="54" t="n">
        <v>6.25</v>
      </c>
      <c r="E148" s="54" t="n"/>
      <c r="F148" s="169">
        <f>B148+C148/20+D148/240</f>
        <v/>
      </c>
    </row>
    <row r="149">
      <c r="A149" s="54" t="inlineStr">
        <is>
          <t>Total of all Expenses (calculated)</t>
        </is>
      </c>
      <c r="B149" s="54" t="n"/>
      <c r="C149" s="54" t="n"/>
      <c r="D149" s="54" t="n"/>
      <c r="E149" s="54" t="n"/>
      <c r="F149" s="169">
        <f>F146+F138+F129+F119+F102+F80+F72+F58+F45+F28+F23</f>
        <v/>
      </c>
      <c r="G149" s="138">
        <f>F149-F148</f>
        <v/>
      </c>
    </row>
    <row r="150">
      <c r="F150" s="165" t="n"/>
      <c r="G150" s="138" t="n"/>
    </row>
    <row r="151">
      <c r="A151" s="54" t="inlineStr">
        <is>
          <t>And thus he owes</t>
        </is>
      </c>
      <c r="B151" s="54" t="n">
        <v>83</v>
      </c>
      <c r="C151" s="54" t="n">
        <v>7</v>
      </c>
      <c r="D151" s="54" t="n">
        <v>1.5</v>
      </c>
      <c r="E151" s="54" t="n"/>
      <c r="F151" s="169">
        <f>B151+C151/20+D151/240</f>
        <v/>
      </c>
    </row>
    <row r="152">
      <c r="A152" s="54" t="inlineStr">
        <is>
          <t>Delivered to Sir Geoffrey, treasurer of Wolvesey</t>
        </is>
      </c>
      <c r="B152" s="54" t="n">
        <v>36</v>
      </c>
      <c r="C152" s="54" t="n">
        <v>15</v>
      </c>
      <c r="D152" s="54" t="n"/>
      <c r="E152" s="54" t="n"/>
      <c r="F152" s="169">
        <f>B152+C152/20+D152/240</f>
        <v/>
      </c>
    </row>
    <row r="153">
      <c r="A153" s="54" t="inlineStr">
        <is>
          <t>Total of allowances and cash deliveries</t>
        </is>
      </c>
      <c r="B153" s="54" t="n">
        <v>40</v>
      </c>
      <c r="C153" s="54" t="n">
        <v>9</v>
      </c>
      <c r="D153" s="54" t="n"/>
      <c r="E153" s="54" t="n"/>
      <c r="F153" s="169">
        <f>B153+C153/20+D153/240</f>
        <v/>
      </c>
    </row>
    <row r="154">
      <c r="A154" s="54" t="inlineStr">
        <is>
          <t>and thus he owes clear</t>
        </is>
      </c>
      <c r="B154" s="54" t="n">
        <v>42</v>
      </c>
      <c r="C154" s="54" t="n">
        <v>18</v>
      </c>
      <c r="D154" s="54" t="n">
        <v>1.5</v>
      </c>
      <c r="E154" s="54" t="n"/>
      <c r="F154" s="169">
        <f>B154+C154/20+D154/240</f>
        <v/>
      </c>
    </row>
    <row r="155">
      <c r="F155" s="165" t="n"/>
    </row>
    <row r="156">
      <c r="A156" s="54" t="inlineStr">
        <is>
          <t>Total fixed capital expenses</t>
        </is>
      </c>
      <c r="B156" s="54" t="n"/>
      <c r="C156" s="54" t="n"/>
      <c r="D156" s="54" t="n"/>
      <c r="E156" s="54" t="n"/>
      <c r="F156" s="169">
        <f>SUM(J3:J119)</f>
        <v/>
      </c>
    </row>
    <row r="157">
      <c r="A157" s="54" t="inlineStr">
        <is>
          <t>Total demesne capital expenses</t>
        </is>
      </c>
      <c r="B157" s="54" t="n"/>
      <c r="C157" s="54" t="n"/>
      <c r="D157" s="54" t="n"/>
      <c r="E157" s="54" t="n"/>
      <c r="F157" s="169">
        <f>SUM(K4:K119)</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U25"/>
  <sheetViews>
    <sheetView topLeftCell="A1" workbookViewId="0">
      <selection activeCell="A1" sqref="A1"/>
    </sheetView>
  </sheetViews>
  <sheetFormatPr baseColWidth="8" defaultRowHeight="15"/>
  <cols>
    <col width="24.6640625" customWidth="1" min="12" max="12"/>
    <col width="19.5" customWidth="1" min="13" max="13"/>
  </cols>
  <sheetData>
    <row r="1">
      <c r="A1" s="38" t="n"/>
      <c r="B1" s="40" t="inlineStr">
        <is>
          <t>The issue of the grange account gives the total "yield" at the top of each heading in curly brackets, measurements used: fold, qrs, bus</t>
        </is>
      </c>
      <c r="K1" s="170" t="n"/>
      <c r="L1" s="170" t="n"/>
      <c r="S1" s="171" t="n"/>
      <c r="T1" s="171" t="n"/>
      <c r="U1" s="171" t="n"/>
    </row>
    <row r="2">
      <c r="A2" s="38" t="n"/>
      <c r="B2" s="172" t="inlineStr">
        <is>
          <t>In "Issues of the grange" (p.96ff)</t>
        </is>
      </c>
      <c r="C2" s="172" t="n"/>
      <c r="D2" s="172" t="n"/>
      <c r="E2" s="172" t="n"/>
      <c r="F2" s="172" t="n"/>
      <c r="G2" s="172" t="n"/>
      <c r="H2" s="172" t="n"/>
      <c r="I2" s="173" t="inlineStr">
        <is>
          <t>In "Sale of Corn" (p.93)</t>
        </is>
      </c>
      <c r="J2" s="173" t="n"/>
      <c r="K2" s="173" t="n"/>
      <c r="L2" s="173" t="n"/>
      <c r="M2" s="173" t="n"/>
      <c r="N2" s="173" t="n"/>
      <c r="O2" s="173" t="n"/>
      <c r="P2" s="173" t="n"/>
      <c r="Q2" s="173" t="n"/>
      <c r="R2" s="173" t="n"/>
      <c r="S2" s="174" t="n"/>
      <c r="T2" s="175" t="inlineStr">
        <is>
          <t>Value of Total Production</t>
        </is>
      </c>
      <c r="U2" s="175" t="n"/>
    </row>
    <row r="3">
      <c r="A3" s="38" t="inlineStr">
        <is>
          <t>Gross output</t>
        </is>
      </c>
      <c r="B3" s="171" t="inlineStr">
        <is>
          <t>Quantity</t>
        </is>
      </c>
      <c r="D3" s="171" t="inlineStr">
        <is>
          <t>Additional bought-in</t>
        </is>
      </c>
      <c r="F3" s="171" t="inlineStr">
        <is>
          <t>from previous year</t>
        </is>
      </c>
      <c r="H3" s="176" t="inlineStr">
        <is>
          <t>Quantity</t>
        </is>
      </c>
      <c r="I3" s="171" t="inlineStr">
        <is>
          <t>Quantity noted as sold</t>
        </is>
      </c>
      <c r="L3" s="177" t="inlineStr">
        <is>
          <t>Difference Produced vs. Sold</t>
        </is>
      </c>
      <c r="M3" s="170" t="inlineStr">
        <is>
          <t>Price 1</t>
        </is>
      </c>
      <c r="N3" s="170" t="inlineStr">
        <is>
          <t>Quantity 1</t>
        </is>
      </c>
      <c r="O3" s="170" t="inlineStr">
        <is>
          <t>Price 2</t>
        </is>
      </c>
      <c r="P3" s="170" t="inlineStr">
        <is>
          <t>Quantity 2</t>
        </is>
      </c>
      <c r="Q3" s="170" t="inlineStr">
        <is>
          <t>Price 3</t>
        </is>
      </c>
      <c r="R3" s="170" t="inlineStr">
        <is>
          <t>Quantity 3</t>
        </is>
      </c>
      <c r="S3" s="176" t="inlineStr">
        <is>
          <t>Unit price</t>
        </is>
      </c>
      <c r="T3" s="171" t="inlineStr">
        <is>
          <t>Value</t>
        </is>
      </c>
    </row>
    <row r="4">
      <c r="B4" s="178" t="inlineStr">
        <is>
          <t>qrs</t>
        </is>
      </c>
      <c r="C4" s="178" t="inlineStr">
        <is>
          <t>bus</t>
        </is>
      </c>
      <c r="D4" s="178" t="inlineStr">
        <is>
          <t>qrs</t>
        </is>
      </c>
      <c r="E4" s="178" t="inlineStr">
        <is>
          <t>bus</t>
        </is>
      </c>
      <c r="F4" s="178" t="inlineStr">
        <is>
          <t>qrs</t>
        </is>
      </c>
      <c r="G4" s="178" t="inlineStr">
        <is>
          <t>bus</t>
        </is>
      </c>
      <c r="H4" s="179" t="inlineStr">
        <is>
          <t>qrs</t>
        </is>
      </c>
      <c r="I4" s="178" t="inlineStr">
        <is>
          <t>qrs</t>
        </is>
      </c>
      <c r="J4" s="178" t="inlineStr">
        <is>
          <t>bus</t>
        </is>
      </c>
      <c r="K4" s="178" t="inlineStr">
        <is>
          <t>qrs</t>
        </is>
      </c>
      <c r="L4" s="179" t="n"/>
      <c r="M4" s="178" t="inlineStr">
        <is>
          <t>£</t>
        </is>
      </c>
      <c r="N4" s="178" t="inlineStr">
        <is>
          <t>qrs</t>
        </is>
      </c>
      <c r="O4" s="178" t="inlineStr">
        <is>
          <t>£</t>
        </is>
      </c>
      <c r="P4" s="178" t="inlineStr">
        <is>
          <t>qrs</t>
        </is>
      </c>
      <c r="Q4" s="178" t="inlineStr">
        <is>
          <t>£</t>
        </is>
      </c>
      <c r="R4" s="178" t="inlineStr">
        <is>
          <t>qrs</t>
        </is>
      </c>
      <c r="S4" s="179" t="inlineStr">
        <is>
          <t>£ per qr</t>
        </is>
      </c>
      <c r="T4" s="180" t="inlineStr">
        <is>
          <t>£</t>
        </is>
      </c>
      <c r="U4" s="181" t="n"/>
    </row>
    <row r="5">
      <c r="A5" t="inlineStr">
        <is>
          <t>Wheat</t>
        </is>
      </c>
      <c r="B5" t="n">
        <v>64</v>
      </c>
      <c r="C5" t="n">
        <v>7</v>
      </c>
      <c r="D5" t="n">
        <v>1</v>
      </c>
      <c r="E5" t="n">
        <v>2</v>
      </c>
      <c r="H5" s="182">
        <f>B5+D5+F5+C5/8+E5/8+G5/8</f>
        <v/>
      </c>
      <c r="I5" t="n">
        <v>50.5</v>
      </c>
      <c r="K5">
        <f>I5+J5/8</f>
        <v/>
      </c>
      <c r="L5" s="182">
        <f>H5-K5</f>
        <v/>
      </c>
      <c r="M5">
        <f>5/20+6/240</f>
        <v/>
      </c>
      <c r="N5" t="n">
        <v>1</v>
      </c>
      <c r="O5">
        <f>5/20+4/240</f>
        <v/>
      </c>
      <c r="P5" t="n">
        <v>1</v>
      </c>
      <c r="Q5">
        <f>6/20</f>
        <v/>
      </c>
      <c r="R5" t="n">
        <v>1</v>
      </c>
      <c r="S5" s="183">
        <f>IFERROR((M5+O5)/(N5+P5),0)</f>
        <v/>
      </c>
      <c r="T5" s="26">
        <f>S5*H5</f>
        <v/>
      </c>
    </row>
    <row r="6">
      <c r="A6" t="inlineStr">
        <is>
          <t>Curall</t>
        </is>
      </c>
      <c r="B6" t="n">
        <v>2</v>
      </c>
      <c r="C6" t="n">
        <v>2</v>
      </c>
      <c r="H6" s="182">
        <f>B6+D6+F6+C6/8+E6/8+G6/8</f>
        <v/>
      </c>
      <c r="I6" t="n">
        <v>2</v>
      </c>
      <c r="J6" t="n">
        <v>2</v>
      </c>
      <c r="K6">
        <f>I6+J6/8</f>
        <v/>
      </c>
      <c r="L6" s="182">
        <f>H6-K6</f>
        <v/>
      </c>
      <c r="M6">
        <f>4/20</f>
        <v/>
      </c>
      <c r="N6" t="n">
        <v>1</v>
      </c>
      <c r="S6" s="183">
        <f>IFERROR((M6+O6)/(N6+P6),0)</f>
        <v/>
      </c>
      <c r="T6" s="26">
        <f>S6*H6</f>
        <v/>
      </c>
    </row>
    <row r="7">
      <c r="A7" t="inlineStr">
        <is>
          <t>Bere</t>
        </is>
      </c>
      <c r="B7">
        <f>83+2+1+2</f>
        <v/>
      </c>
      <c r="C7" t="n">
        <v>3</v>
      </c>
      <c r="D7" t="n">
        <v>12</v>
      </c>
      <c r="E7" t="n">
        <v>2</v>
      </c>
      <c r="F7" t="n">
        <v>13.5</v>
      </c>
      <c r="H7" s="182">
        <f>B7+D7+F7+C7/8+E7/8+G7/8</f>
        <v/>
      </c>
      <c r="I7" t="n">
        <v>48</v>
      </c>
      <c r="J7" t="n">
        <v>2</v>
      </c>
      <c r="K7">
        <f>I7+J7/8</f>
        <v/>
      </c>
      <c r="L7" s="182">
        <f>H7-K7</f>
        <v/>
      </c>
      <c r="M7">
        <f>3/20</f>
        <v/>
      </c>
      <c r="N7" t="n">
        <v>1</v>
      </c>
      <c r="S7" s="183">
        <f>IFERROR((M7+O7)/(N7+P7),0)</f>
        <v/>
      </c>
      <c r="T7" s="26">
        <f>S7*H7</f>
        <v/>
      </c>
    </row>
    <row r="8">
      <c r="A8" t="inlineStr">
        <is>
          <t>Barley</t>
        </is>
      </c>
      <c r="B8" t="n">
        <v>81.5</v>
      </c>
      <c r="D8" t="n">
        <v>7</v>
      </c>
      <c r="E8" t="n">
        <v>1</v>
      </c>
      <c r="H8" s="182">
        <f>B8+D8+F8+C8/8+E8/8+G8/8</f>
        <v/>
      </c>
      <c r="I8" t="n">
        <v>75</v>
      </c>
      <c r="J8" t="n">
        <v>5</v>
      </c>
      <c r="K8">
        <f>I8+J8/8</f>
        <v/>
      </c>
      <c r="L8" s="182">
        <f>H8-K8</f>
        <v/>
      </c>
      <c r="M8">
        <f>3/20</f>
        <v/>
      </c>
      <c r="N8" t="n">
        <v>1</v>
      </c>
      <c r="O8">
        <f>4/20</f>
        <v/>
      </c>
      <c r="P8" t="n">
        <v>1</v>
      </c>
      <c r="S8" s="183">
        <f>IFERROR((M8+O8)/(N8+P8),0)</f>
        <v/>
      </c>
      <c r="T8" s="26">
        <f>S8*H8</f>
        <v/>
      </c>
    </row>
    <row r="9">
      <c r="A9" t="inlineStr">
        <is>
          <t>Oats</t>
        </is>
      </c>
      <c r="B9" t="n">
        <v>144</v>
      </c>
      <c r="C9" t="n">
        <v>3.5</v>
      </c>
      <c r="H9" s="182">
        <f>B9+D9+F9+C9/8+E9/8+G9/8</f>
        <v/>
      </c>
      <c r="I9" t="n">
        <v>37</v>
      </c>
      <c r="K9">
        <f>I9+J9/8</f>
        <v/>
      </c>
      <c r="L9" s="182">
        <f>H9-K9</f>
        <v/>
      </c>
      <c r="M9">
        <f>2/20</f>
        <v/>
      </c>
      <c r="N9" t="n">
        <v>1</v>
      </c>
      <c r="O9">
        <f>2/20+6/240</f>
        <v/>
      </c>
      <c r="P9" t="n">
        <v>1</v>
      </c>
      <c r="S9" s="183">
        <f>IFERROR((M9+O9)/(N9+P9),0)</f>
        <v/>
      </c>
      <c r="T9" s="26">
        <f>S9*H9</f>
        <v/>
      </c>
    </row>
    <row r="10">
      <c r="A10" t="inlineStr">
        <is>
          <t>Peas</t>
        </is>
      </c>
      <c r="B10" t="n">
        <v>1</v>
      </c>
      <c r="C10" t="n">
        <v>5</v>
      </c>
      <c r="H10" s="182">
        <f>B10+D10+F10+C10/8+E10/8+G10/8</f>
        <v/>
      </c>
      <c r="I10" t="n">
        <v>1</v>
      </c>
      <c r="J10" t="n">
        <v>1</v>
      </c>
      <c r="K10">
        <f>I10+J10/8</f>
        <v/>
      </c>
      <c r="L10" s="182">
        <f>H10-K10</f>
        <v/>
      </c>
      <c r="M10">
        <f>3/20</f>
        <v/>
      </c>
      <c r="N10" t="n">
        <v>1</v>
      </c>
      <c r="S10" s="183">
        <f>IFERROR((M10+O10)/(N10+P10),0)</f>
        <v/>
      </c>
      <c r="T10" s="26">
        <f>S10*H10</f>
        <v/>
      </c>
    </row>
    <row r="11">
      <c r="A11" t="inlineStr">
        <is>
          <t>Vetches</t>
        </is>
      </c>
      <c r="B11" t="n">
        <v>3</v>
      </c>
      <c r="C11" t="n">
        <v>3</v>
      </c>
      <c r="D11" t="n">
        <v>1</v>
      </c>
      <c r="E11" t="n">
        <v>1</v>
      </c>
      <c r="F11" t="n">
        <v>1</v>
      </c>
      <c r="H11" s="182">
        <f>B11+D11+F11+C11/8+E11/8+G11/8</f>
        <v/>
      </c>
      <c r="I11" t="n">
        <v>4</v>
      </c>
      <c r="J11" t="n">
        <v>3</v>
      </c>
      <c r="K11">
        <f>I11+J11/8</f>
        <v/>
      </c>
      <c r="L11" s="182">
        <f>H11-K11</f>
        <v/>
      </c>
      <c r="M11">
        <f>1/20</f>
        <v/>
      </c>
      <c r="N11" t="n">
        <v>1</v>
      </c>
      <c r="S11" s="183">
        <f>IFERROR((M11+O11)/(N11+P11),0)</f>
        <v/>
      </c>
      <c r="T11" s="26">
        <f>S11*H11</f>
        <v/>
      </c>
    </row>
    <row r="12"/>
    <row r="13">
      <c r="A13" s="184" t="inlineStr">
        <is>
          <t>Total Production</t>
        </is>
      </c>
      <c r="B13" s="54" t="n"/>
      <c r="C13" s="54" t="n"/>
      <c r="D13" s="54" t="n"/>
      <c r="E13" s="54" t="n"/>
      <c r="F13" s="54" t="n"/>
      <c r="G13" s="54" t="n"/>
      <c r="H13" s="55">
        <f>SUM(H5:H11)</f>
        <v/>
      </c>
      <c r="I13" s="54" t="n"/>
      <c r="J13" s="54" t="n"/>
      <c r="K13" s="54" t="n"/>
      <c r="L13" s="54" t="n"/>
      <c r="M13" s="54" t="n"/>
      <c r="N13" s="54" t="n"/>
      <c r="O13" s="54" t="n"/>
      <c r="P13" s="54" t="n"/>
      <c r="Q13" s="54" t="n"/>
      <c r="R13" s="54" t="n"/>
      <c r="S13" s="54" t="n"/>
      <c r="T13" s="55">
        <f>SUM(T5:T11)</f>
        <v/>
      </c>
      <c r="U13" s="67" t="inlineStr">
        <is>
          <t>Production value is significantly more, as much less was sold than what was produced</t>
        </is>
      </c>
    </row>
    <row r="14">
      <c r="A14" s="184" t="inlineStr">
        <is>
          <t>Sales of corn (as recorded in accounts)</t>
        </is>
      </c>
      <c r="B14" s="54" t="n"/>
      <c r="C14" s="54" t="n"/>
      <c r="D14" s="54" t="n"/>
      <c r="E14" s="54" t="n"/>
      <c r="F14" s="54" t="n"/>
      <c r="G14" s="54" t="n"/>
      <c r="H14" s="54">
        <f>SUM(K5:K11)</f>
        <v/>
      </c>
      <c r="I14" s="54" t="n"/>
      <c r="J14" s="54" t="n"/>
      <c r="K14" s="54" t="n"/>
      <c r="L14" s="54" t="n"/>
      <c r="M14" s="54" t="n"/>
      <c r="N14" s="54" t="n"/>
      <c r="O14" s="54" t="n"/>
      <c r="P14" s="54" t="n"/>
      <c r="Q14" s="54" t="n"/>
      <c r="R14" s="54" t="n"/>
      <c r="S14" s="54" t="n"/>
      <c r="T14" s="55">
        <f>41+9/20+5.5/240</f>
        <v/>
      </c>
      <c r="U14" s="54" t="n"/>
    </row>
    <row r="15"/>
    <row r="16"/>
    <row r="17" ht="68" customHeight="1">
      <c r="A17" s="38" t="inlineStr">
        <is>
          <t>Net output</t>
        </is>
      </c>
      <c r="B17" s="185" t="inlineStr">
        <is>
          <t>Gross output</t>
        </is>
      </c>
      <c r="C17" s="186" t="inlineStr">
        <is>
          <t>Seed</t>
        </is>
      </c>
      <c r="F17" s="186" t="n"/>
      <c r="G17" s="186" t="n"/>
      <c r="H17" t="inlineStr">
        <is>
          <t>tithe</t>
        </is>
      </c>
      <c r="I17" s="187" t="inlineStr">
        <is>
          <t>to manorial servants &amp; livestock</t>
        </is>
      </c>
      <c r="L17" s="185" t="inlineStr">
        <is>
          <t>Output net of tithe &amp; seed &amp; liveries to manorial servants</t>
        </is>
      </c>
      <c r="M17" t="inlineStr">
        <is>
          <t>in stock from last year</t>
        </is>
      </c>
      <c r="N17" s="188" t="inlineStr">
        <is>
          <t xml:space="preserve">Price </t>
        </is>
      </c>
      <c r="O17" s="185" t="inlineStr">
        <is>
          <t>Value of net output</t>
        </is>
      </c>
      <c r="P17" s="185" t="inlineStr">
        <is>
          <t>Value of sales (in "Sale of Corn")</t>
        </is>
      </c>
      <c r="Q17" s="185" t="n"/>
      <c r="R17" s="185" t="n"/>
    </row>
    <row r="18">
      <c r="B18" s="170" t="inlineStr">
        <is>
          <t>qrs</t>
        </is>
      </c>
      <c r="C18" s="170" t="inlineStr">
        <is>
          <t>qrs</t>
        </is>
      </c>
      <c r="D18" t="inlineStr">
        <is>
          <t>bus</t>
        </is>
      </c>
      <c r="E18" t="inlineStr">
        <is>
          <t>qrs</t>
        </is>
      </c>
      <c r="H18" t="inlineStr">
        <is>
          <t>qrs</t>
        </is>
      </c>
      <c r="I18" t="inlineStr">
        <is>
          <t>qrs</t>
        </is>
      </c>
      <c r="J18" t="inlineStr">
        <is>
          <t>bus</t>
        </is>
      </c>
      <c r="K18" s="183" t="inlineStr">
        <is>
          <t>qrs</t>
        </is>
      </c>
      <c r="L18" s="170" t="inlineStr">
        <is>
          <t>qrs</t>
        </is>
      </c>
      <c r="M18" s="183" t="inlineStr">
        <is>
          <t>qrs</t>
        </is>
      </c>
      <c r="N18" s="189" t="inlineStr">
        <is>
          <t>£ per qr</t>
        </is>
      </c>
      <c r="O18" s="170" t="inlineStr">
        <is>
          <t>£</t>
        </is>
      </c>
      <c r="P18" s="170" t="inlineStr">
        <is>
          <t>£</t>
        </is>
      </c>
      <c r="Q18" s="170" t="n"/>
      <c r="R18" s="170" t="n"/>
    </row>
    <row r="19">
      <c r="A19" t="inlineStr">
        <is>
          <t>Net wheat</t>
        </is>
      </c>
      <c r="B19" s="26">
        <f>B5</f>
        <v/>
      </c>
      <c r="C19" t="n">
        <v>11</v>
      </c>
      <c r="D19" t="n">
        <v>2</v>
      </c>
      <c r="E19">
        <f>C19+D19/8</f>
        <v/>
      </c>
      <c r="I19">
        <f>3+4</f>
        <v/>
      </c>
      <c r="K19" s="183">
        <f>I19+J19/8</f>
        <v/>
      </c>
      <c r="L19" s="26">
        <f>B19-(E19+H19+K19)</f>
        <v/>
      </c>
      <c r="M19" s="183" t="n"/>
      <c r="N19" s="190">
        <f>S5</f>
        <v/>
      </c>
      <c r="O19" s="26">
        <f>N19*L19</f>
        <v/>
      </c>
      <c r="P19" s="26">
        <f>S5*K5</f>
        <v/>
      </c>
      <c r="Q19" s="26" t="n"/>
      <c r="R19" s="26" t="n"/>
    </row>
    <row r="20">
      <c r="A20" t="inlineStr">
        <is>
          <t>Net curall</t>
        </is>
      </c>
      <c r="B20" s="26">
        <f>B6</f>
        <v/>
      </c>
      <c r="E20">
        <f>C20+D20/8</f>
        <v/>
      </c>
      <c r="K20" s="183">
        <f>I20+J20/8</f>
        <v/>
      </c>
      <c r="L20" s="26">
        <f>B20-(E20+H20+K20)</f>
        <v/>
      </c>
      <c r="M20" s="183" t="n"/>
      <c r="N20" s="190">
        <f>S6</f>
        <v/>
      </c>
      <c r="O20" s="26">
        <f>N20*L20</f>
        <v/>
      </c>
      <c r="P20" s="26">
        <f>S6*K6</f>
        <v/>
      </c>
      <c r="Q20" s="26" t="n"/>
      <c r="R20" s="26" t="n"/>
    </row>
    <row r="21">
      <c r="A21" t="inlineStr">
        <is>
          <t>Net barley</t>
        </is>
      </c>
      <c r="B21" s="26">
        <f>B8</f>
        <v/>
      </c>
      <c r="C21" t="n">
        <v>20</v>
      </c>
      <c r="D21" t="n">
        <v>1</v>
      </c>
      <c r="E21">
        <f>C21+D21/8</f>
        <v/>
      </c>
      <c r="I21">
        <f>26+4+4+1.5+3+2+1+2</f>
        <v/>
      </c>
      <c r="J21">
        <f>7</f>
        <v/>
      </c>
      <c r="K21" s="183">
        <f>I21+J21/8</f>
        <v/>
      </c>
      <c r="L21" s="26">
        <f>B21-(E21+H21+K21)</f>
        <v/>
      </c>
      <c r="M21" s="183" t="n"/>
      <c r="N21" s="190">
        <f>S8</f>
        <v/>
      </c>
      <c r="O21" s="26">
        <f>N21*L21</f>
        <v/>
      </c>
      <c r="P21" s="26">
        <f>S8*K8</f>
        <v/>
      </c>
      <c r="Q21" s="26" t="n"/>
      <c r="R21" s="26" t="n"/>
    </row>
    <row r="22">
      <c r="A22" t="inlineStr">
        <is>
          <t>Net oats</t>
        </is>
      </c>
      <c r="B22" s="26">
        <f>B9</f>
        <v/>
      </c>
      <c r="C22" t="n">
        <v>65</v>
      </c>
      <c r="E22">
        <f>C22+D22/8</f>
        <v/>
      </c>
      <c r="I22">
        <f>15+12+10+1+4</f>
        <v/>
      </c>
      <c r="J22">
        <f>2+1.5</f>
        <v/>
      </c>
      <c r="K22" s="183">
        <f>I22+J22/8</f>
        <v/>
      </c>
      <c r="L22" s="26">
        <f>B22-(E22+H22+K22)</f>
        <v/>
      </c>
      <c r="M22" s="183" t="n"/>
      <c r="N22" s="190">
        <f>S9</f>
        <v/>
      </c>
      <c r="O22" s="26">
        <f>N22*L22</f>
        <v/>
      </c>
      <c r="P22" s="26">
        <f>S9*K9</f>
        <v/>
      </c>
      <c r="Q22" s="26" t="n"/>
      <c r="R22" s="26" t="n"/>
    </row>
    <row r="23">
      <c r="A23" t="inlineStr">
        <is>
          <t>Net peas</t>
        </is>
      </c>
      <c r="B23" s="26">
        <f>B10</f>
        <v/>
      </c>
      <c r="D23" t="n">
        <v>4</v>
      </c>
      <c r="E23">
        <f>C23+D23/8</f>
        <v/>
      </c>
      <c r="K23" s="183">
        <f>I23+J23/8</f>
        <v/>
      </c>
      <c r="L23" s="26">
        <f>B23-(E23+H23+K23)</f>
        <v/>
      </c>
      <c r="M23" s="183" t="n"/>
      <c r="N23" s="190">
        <f>S10</f>
        <v/>
      </c>
      <c r="O23" s="26">
        <f>N23*L23</f>
        <v/>
      </c>
      <c r="P23" s="26">
        <f>S10*K10</f>
        <v/>
      </c>
      <c r="Q23" s="26" t="n"/>
      <c r="R23" s="26" t="n"/>
    </row>
    <row r="24">
      <c r="A24" t="inlineStr">
        <is>
          <t>Net vetches</t>
        </is>
      </c>
      <c r="B24" s="26">
        <f>B11</f>
        <v/>
      </c>
      <c r="C24" t="n">
        <v>1</v>
      </c>
      <c r="D24" t="n">
        <v>1</v>
      </c>
      <c r="E24">
        <f>C24+D24/8</f>
        <v/>
      </c>
      <c r="K24" s="183">
        <f>I24+J24/8</f>
        <v/>
      </c>
      <c r="L24" s="26">
        <f>B24-(E24+H24+K24)</f>
        <v/>
      </c>
      <c r="M24" s="183" t="n"/>
      <c r="N24" s="190">
        <f>S11</f>
        <v/>
      </c>
      <c r="O24" s="26">
        <f>N24*L24</f>
        <v/>
      </c>
      <c r="P24" s="26">
        <f>S11*K11</f>
        <v/>
      </c>
      <c r="Q24" s="26" t="n"/>
      <c r="R24" s="26" t="n"/>
    </row>
    <row r="25">
      <c r="A25" s="184" t="inlineStr">
        <is>
          <t>Total</t>
        </is>
      </c>
      <c r="B25" s="55">
        <f>SUM(B19:B24)</f>
        <v/>
      </c>
      <c r="C25" s="54" t="n"/>
      <c r="D25" s="54" t="n"/>
      <c r="E25" s="54">
        <f>SUM(E19:E24)</f>
        <v/>
      </c>
      <c r="F25" s="54" t="n"/>
      <c r="G25" s="54" t="n"/>
      <c r="H25" s="54" t="n"/>
      <c r="I25" s="54" t="n"/>
      <c r="J25" s="54" t="n"/>
      <c r="K25" s="54" t="n"/>
      <c r="L25" s="55">
        <f>SUM(L19:L24)</f>
        <v/>
      </c>
      <c r="M25" s="54" t="n"/>
      <c r="N25" s="54" t="n"/>
      <c r="O25" s="55">
        <f>SUM(O19:O24)</f>
        <v/>
      </c>
      <c r="P25" s="55">
        <f>SUM(P19:P24)</f>
        <v/>
      </c>
      <c r="Q25" s="55" t="n"/>
      <c r="R25" s="55" t="n"/>
    </row>
  </sheetData>
  <mergeCells count="6">
    <mergeCell ref="F3:G3"/>
    <mergeCell ref="B3:C3"/>
    <mergeCell ref="C17:E17"/>
    <mergeCell ref="I17:K17"/>
    <mergeCell ref="I3:K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Z12"/>
  <sheetViews>
    <sheetView topLeftCell="A1" workbookViewId="0">
      <selection activeCell="A1" sqref="A1"/>
    </sheetView>
  </sheetViews>
  <sheetFormatPr baseColWidth="8" defaultRowHeight="15"/>
  <cols>
    <col width="36.6640625" customWidth="1" min="1" max="1"/>
    <col width="17.6640625" customWidth="1" min="4" max="4"/>
    <col width="17.6640625" customWidth="1" min="5" max="5"/>
    <col width="24.5" customWidth="1" min="13" max="13"/>
    <col width="13.6640625" customWidth="1" min="16" max="16"/>
    <col width="20" customWidth="1" min="17" max="17"/>
    <col width="21.1640625" customWidth="1" min="18" max="18"/>
  </cols>
  <sheetData>
    <row r="1">
      <c r="A1" s="38" t="inlineStr">
        <is>
          <t>OVERTON MILL ACCOUNT</t>
        </is>
      </c>
      <c r="P1" s="191" t="n"/>
      <c r="Q1" s="26" t="n"/>
      <c r="R1" s="26" t="n"/>
    </row>
    <row r="2">
      <c r="A2" s="38" t="n"/>
      <c r="B2" s="192" t="inlineStr">
        <is>
          <t>In "Issue of the Mill" (p.98)</t>
        </is>
      </c>
      <c r="E2" s="193" t="n"/>
      <c r="F2" s="194" t="inlineStr">
        <is>
          <t>In "Mills" (p.95)</t>
        </is>
      </c>
      <c r="M2" s="195" t="n"/>
      <c r="N2" s="195" t="n"/>
      <c r="O2" s="195" t="n"/>
      <c r="P2" s="196" t="inlineStr">
        <is>
          <t>Value of Total Production</t>
        </is>
      </c>
    </row>
    <row r="3">
      <c r="B3" s="171" t="inlineStr">
        <is>
          <t>Quantity</t>
        </is>
      </c>
      <c r="D3" s="177" t="inlineStr">
        <is>
          <t>Quantity (produced)</t>
        </is>
      </c>
      <c r="E3" s="177" t="inlineStr">
        <is>
          <t>Quantity (produced)</t>
        </is>
      </c>
      <c r="F3" s="197" t="inlineStr">
        <is>
          <t>Prices per qr</t>
        </is>
      </c>
      <c r="H3" s="171" t="inlineStr">
        <is>
          <t>Prices per bus</t>
        </is>
      </c>
      <c r="J3" s="171" t="inlineStr">
        <is>
          <t>Quantities (noted as sold)</t>
        </is>
      </c>
      <c r="M3" s="171" t="inlineStr">
        <is>
          <t>Difference produced vs. sold</t>
        </is>
      </c>
      <c r="N3" s="171" t="inlineStr">
        <is>
          <t>Price</t>
        </is>
      </c>
      <c r="O3" s="171" t="inlineStr">
        <is>
          <t>Price</t>
        </is>
      </c>
      <c r="P3" s="198" t="inlineStr">
        <is>
          <t>Value avg price</t>
        </is>
      </c>
      <c r="Q3" s="199" t="inlineStr">
        <is>
          <t>Value avg price (busel)</t>
        </is>
      </c>
      <c r="R3" s="199" t="inlineStr">
        <is>
          <t>Value of production</t>
        </is>
      </c>
      <c r="S3" s="170" t="n"/>
    </row>
    <row r="4">
      <c r="B4" s="171" t="inlineStr">
        <is>
          <t>qrs</t>
        </is>
      </c>
      <c r="C4" s="171" t="inlineStr">
        <is>
          <t>bus</t>
        </is>
      </c>
      <c r="D4" s="177" t="inlineStr">
        <is>
          <t>qrs</t>
        </is>
      </c>
      <c r="E4" s="171" t="inlineStr">
        <is>
          <t>bus</t>
        </is>
      </c>
      <c r="F4" s="171" t="inlineStr">
        <is>
          <t>s</t>
        </is>
      </c>
      <c r="G4" s="171" t="inlineStr">
        <is>
          <t xml:space="preserve">d </t>
        </is>
      </c>
      <c r="H4" s="171" t="inlineStr">
        <is>
          <t>s</t>
        </is>
      </c>
      <c r="I4" s="171" t="inlineStr">
        <is>
          <t>d</t>
        </is>
      </c>
      <c r="J4" s="171" t="inlineStr">
        <is>
          <t>qrs</t>
        </is>
      </c>
      <c r="K4" s="171" t="inlineStr">
        <is>
          <t>bus</t>
        </is>
      </c>
      <c r="L4" s="171" t="inlineStr">
        <is>
          <t>qrs</t>
        </is>
      </c>
      <c r="M4" s="171" t="inlineStr">
        <is>
          <t>qrs</t>
        </is>
      </c>
      <c r="N4" s="171" t="inlineStr">
        <is>
          <t>£ per qr</t>
        </is>
      </c>
      <c r="O4" s="171" t="inlineStr">
        <is>
          <t>£ per bus</t>
        </is>
      </c>
      <c r="P4" s="200" t="inlineStr">
        <is>
          <t>£</t>
        </is>
      </c>
      <c r="Q4" s="201" t="n"/>
      <c r="R4" s="201" t="n"/>
    </row>
    <row r="5">
      <c r="A5" t="inlineStr">
        <is>
          <t>Wheat - Town Mill</t>
        </is>
      </c>
      <c r="B5" t="n">
        <v>3</v>
      </c>
      <c r="D5" s="183">
        <f>B5+C5/8</f>
        <v/>
      </c>
      <c r="F5" t="n">
        <v>5</v>
      </c>
      <c r="G5" t="n">
        <v>4</v>
      </c>
      <c r="J5" t="n">
        <v>3</v>
      </c>
      <c r="L5">
        <f>J5+K5/8</f>
        <v/>
      </c>
      <c r="M5">
        <f>D5-L5</f>
        <v/>
      </c>
      <c r="N5" s="26">
        <f>F5/20+G5/240</f>
        <v/>
      </c>
      <c r="O5" s="26" t="n"/>
      <c r="P5" s="191">
        <f>N5</f>
        <v/>
      </c>
      <c r="Q5" s="26" t="n"/>
      <c r="R5" s="26">
        <f>P5*D5</f>
        <v/>
      </c>
      <c r="S5" s="26" t="n"/>
    </row>
    <row r="6">
      <c r="A6" s="149" t="inlineStr">
        <is>
          <t>Maslin - Town Mill</t>
        </is>
      </c>
      <c r="B6" t="n">
        <v>4</v>
      </c>
      <c r="C6" t="n">
        <v>5</v>
      </c>
      <c r="D6" s="183">
        <f>B6+C6/8</f>
        <v/>
      </c>
      <c r="E6">
        <f>C6+B6*8</f>
        <v/>
      </c>
      <c r="I6" t="n">
        <v>6</v>
      </c>
      <c r="K6" t="n">
        <v>5</v>
      </c>
      <c r="L6">
        <f>J6+K6/8</f>
        <v/>
      </c>
      <c r="M6">
        <f>D6-L6</f>
        <v/>
      </c>
      <c r="N6" s="26" t="n"/>
      <c r="O6" s="26">
        <f>H6/20+I6/240</f>
        <v/>
      </c>
      <c r="P6" s="191" t="n"/>
      <c r="Q6" s="26">
        <f>O6</f>
        <v/>
      </c>
      <c r="R6" s="26">
        <f>Q6*E6</f>
        <v/>
      </c>
    </row>
    <row r="7">
      <c r="A7" s="149" t="inlineStr">
        <is>
          <t>Coarse-ground corn - Town Mill</t>
        </is>
      </c>
      <c r="B7" t="n">
        <v>5</v>
      </c>
      <c r="C7" t="n">
        <v>7</v>
      </c>
      <c r="D7" s="183">
        <f>B7+C7/8</f>
        <v/>
      </c>
      <c r="F7" t="n">
        <v>6</v>
      </c>
      <c r="J7" t="n">
        <v>5</v>
      </c>
      <c r="K7" t="n">
        <v>7</v>
      </c>
      <c r="L7">
        <f>J7+K7/8</f>
        <v/>
      </c>
      <c r="M7">
        <f>D7-L7</f>
        <v/>
      </c>
      <c r="N7" s="26">
        <f>F7/20+G7/240</f>
        <v/>
      </c>
      <c r="O7" s="26" t="n"/>
      <c r="P7" s="191">
        <f>N7</f>
        <v/>
      </c>
      <c r="Q7" s="26" t="n"/>
      <c r="R7" s="26">
        <f>P7*D7</f>
        <v/>
      </c>
    </row>
    <row r="8">
      <c r="A8" s="149" t="inlineStr">
        <is>
          <t>Malt - Town Hill</t>
        </is>
      </c>
      <c r="B8" t="n">
        <v>24</v>
      </c>
      <c r="C8" t="n">
        <v>1</v>
      </c>
      <c r="D8" s="183">
        <f>B8+C8/8</f>
        <v/>
      </c>
      <c r="F8" t="n">
        <v>2</v>
      </c>
      <c r="G8" t="n">
        <v>4</v>
      </c>
      <c r="J8" t="n">
        <v>24</v>
      </c>
      <c r="K8" t="n">
        <v>1</v>
      </c>
      <c r="L8">
        <f>J8+K8/8</f>
        <v/>
      </c>
      <c r="M8">
        <f>D8-L8</f>
        <v/>
      </c>
      <c r="N8" s="26">
        <f>F8/20+G8/240</f>
        <v/>
      </c>
      <c r="O8" s="26" t="n"/>
      <c r="P8" s="191">
        <f>N8</f>
        <v/>
      </c>
      <c r="Q8" s="26" t="n"/>
      <c r="R8" s="26">
        <f>P8*D8</f>
        <v/>
      </c>
    </row>
    <row r="9">
      <c r="A9" s="149" t="inlineStr">
        <is>
          <t>Mills of Lynch &amp; Subhurn</t>
        </is>
      </c>
      <c r="B9" t="inlineStr">
        <is>
          <t>nothing because at farm</t>
        </is>
      </c>
      <c r="N9" s="26" t="n"/>
      <c r="O9" s="26" t="n"/>
      <c r="P9" s="26" t="n"/>
      <c r="Q9" s="26" t="n"/>
      <c r="R9" s="26" t="n"/>
    </row>
    <row r="10"/>
    <row r="11">
      <c r="A11" s="53" t="inlineStr">
        <is>
          <t>Total production value - average</t>
        </is>
      </c>
      <c r="B11" s="54" t="n"/>
      <c r="C11" s="54" t="n"/>
      <c r="D11" s="54" t="n"/>
      <c r="E11" s="54" t="n"/>
      <c r="F11" s="54" t="n"/>
      <c r="G11" s="54" t="n"/>
      <c r="H11" s="54" t="n"/>
      <c r="I11" s="54" t="n"/>
      <c r="J11" s="54" t="n"/>
      <c r="K11" s="54" t="n"/>
      <c r="L11" s="54" t="n"/>
      <c r="M11" s="54" t="n"/>
      <c r="N11" s="54" t="n"/>
      <c r="O11" s="54" t="n"/>
      <c r="P11" s="202" t="n"/>
      <c r="Q11" s="55" t="n"/>
      <c r="R11" s="55">
        <f>SUM(R5:R8)</f>
        <v/>
      </c>
      <c r="S11" s="54" t="n"/>
      <c r="T11" s="54" t="n"/>
      <c r="U11" s="54" t="n"/>
      <c r="V11" s="54" t="n"/>
    </row>
    <row r="12">
      <c r="A12" s="53" t="inlineStr">
        <is>
          <t>Sale of mill corn (as noted in Mill Account)</t>
        </is>
      </c>
      <c r="B12" s="54" t="n"/>
      <c r="C12" s="54" t="n"/>
      <c r="D12" s="54" t="n"/>
      <c r="E12" s="54" t="n"/>
      <c r="F12" s="54" t="n"/>
      <c r="G12" s="54" t="n"/>
      <c r="H12" s="54" t="n"/>
      <c r="I12" s="54" t="n"/>
      <c r="J12" s="54" t="n"/>
      <c r="K12" s="54" t="n"/>
      <c r="L12" s="54" t="n"/>
      <c r="M12" s="54" t="n"/>
      <c r="N12" s="54" t="n"/>
      <c r="O12" s="54" t="n"/>
      <c r="P12" s="202" t="n"/>
      <c r="Q12" s="55" t="n"/>
      <c r="R12" s="55">
        <f>5+10/20+0.5/240</f>
        <v/>
      </c>
      <c r="S12" s="54" t="n"/>
      <c r="T12" s="54" t="n"/>
      <c r="U12" s="54" t="n"/>
      <c r="V12" s="54" t="n"/>
      <c r="Z12" s="26" t="n"/>
    </row>
  </sheetData>
  <mergeCells count="7">
    <mergeCell ref="F3:G3"/>
    <mergeCell ref="P2:R2"/>
    <mergeCell ref="B3:C3"/>
    <mergeCell ref="F2:L2"/>
    <mergeCell ref="J3:L3"/>
    <mergeCell ref="B2:D2"/>
    <mergeCell ref="H3:I3"/>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T100"/>
  <sheetViews>
    <sheetView topLeftCell="A1" workbookViewId="0">
      <selection activeCell="A1" sqref="A1"/>
    </sheetView>
  </sheetViews>
  <sheetFormatPr baseColWidth="8" defaultRowHeight="15"/>
  <cols>
    <col width="44.33203125" customWidth="1" min="1" max="1"/>
    <col width="8.5" customWidth="1" min="2" max="2"/>
    <col width="11.6640625" customWidth="1" min="14" max="14"/>
    <col width="10.83203125" customWidth="1" min="17" max="17"/>
    <col width="17.5" customWidth="1" min="18" max="18"/>
    <col width="10.83203125" customWidth="1" min="19" max="19"/>
  </cols>
  <sheetData>
    <row r="1">
      <c r="A1" s="8" t="inlineStr">
        <is>
          <t>EAST KNOYLE STOCK ACCOUNT</t>
        </is>
      </c>
      <c r="B1" s="15" t="n"/>
      <c r="C1" s="15" t="n"/>
      <c r="D1" s="15" t="n"/>
      <c r="E1" s="15" t="n"/>
      <c r="F1" s="15" t="n"/>
      <c r="G1" s="15" t="n"/>
      <c r="H1" s="15" t="n"/>
      <c r="I1" s="15" t="n"/>
      <c r="J1" s="15" t="n"/>
      <c r="K1" s="15" t="n"/>
      <c r="L1" s="133" t="n"/>
      <c r="M1" s="133" t="n"/>
      <c r="N1" s="15" t="n"/>
      <c r="O1" s="15" t="n"/>
      <c r="P1" s="15" t="n"/>
      <c r="Q1" s="133" t="n"/>
      <c r="R1" s="133" t="n"/>
      <c r="S1" s="133" t="n"/>
      <c r="T1" s="15" t="n"/>
    </row>
    <row r="2">
      <c r="A2" s="22" t="n"/>
      <c r="B2" s="15" t="n"/>
      <c r="C2" s="15" t="n"/>
      <c r="D2" s="15" t="n"/>
      <c r="E2" s="15" t="n"/>
      <c r="F2" s="15" t="n"/>
      <c r="G2" s="15" t="n"/>
      <c r="H2" s="15" t="n"/>
      <c r="I2" s="15" t="n"/>
      <c r="J2" s="15" t="n"/>
      <c r="K2" s="15" t="n"/>
      <c r="L2" s="133" t="n"/>
      <c r="M2" s="133" t="n"/>
      <c r="N2" s="15" t="n"/>
      <c r="O2" s="15" t="n"/>
      <c r="P2" s="15" t="n"/>
      <c r="Q2" s="133" t="n"/>
      <c r="R2" s="133" t="n"/>
      <c r="S2" s="133" t="n"/>
      <c r="T2" s="15" t="n"/>
    </row>
    <row r="3" ht="51" customHeight="1">
      <c r="A3" s="203" t="inlineStr">
        <is>
          <t>Livestock</t>
        </is>
      </c>
      <c r="B3" s="204" t="inlineStr">
        <is>
          <t>Inherited stock</t>
        </is>
      </c>
      <c r="C3" s="204" t="inlineStr">
        <is>
          <t>Bought</t>
        </is>
      </c>
      <c r="D3" s="204" t="inlineStr">
        <is>
          <t>Produced</t>
        </is>
      </c>
      <c r="E3" s="8" t="inlineStr">
        <is>
          <t>strays</t>
        </is>
      </c>
      <c r="F3" s="8" t="inlineStr">
        <is>
          <t>herbage</t>
        </is>
      </c>
      <c r="G3" s="204" t="inlineStr">
        <is>
          <t>sold</t>
        </is>
      </c>
      <c r="H3" s="204" t="inlineStr">
        <is>
          <t>in murrain</t>
        </is>
      </c>
      <c r="I3" s="204" t="inlineStr">
        <is>
          <t>accounted for elsewhere</t>
        </is>
      </c>
      <c r="J3" s="204" t="inlineStr">
        <is>
          <t>End-period  stock</t>
        </is>
      </c>
      <c r="K3" s="204" t="inlineStr">
        <is>
          <t>cross-check</t>
        </is>
      </c>
      <c r="L3" s="205" t="inlineStr">
        <is>
          <t>price 1</t>
        </is>
      </c>
      <c r="M3" s="205" t="inlineStr">
        <is>
          <t>units 1</t>
        </is>
      </c>
      <c r="N3" s="204" t="inlineStr">
        <is>
          <t>price 2</t>
        </is>
      </c>
      <c r="O3" s="204" t="inlineStr">
        <is>
          <t>units 2</t>
        </is>
      </c>
      <c r="P3" s="204" t="inlineStr">
        <is>
          <t>Weight (weys)</t>
        </is>
      </c>
      <c r="Q3" s="205" t="inlineStr">
        <is>
          <t>Unit price (£)</t>
        </is>
      </c>
      <c r="R3" s="206" t="inlineStr">
        <is>
          <t>Value of production (£) at sales prices</t>
        </is>
      </c>
      <c r="S3" s="206" t="inlineStr">
        <is>
          <t>Sales in (£)</t>
        </is>
      </c>
      <c r="T3" s="204" t="inlineStr">
        <is>
          <t>Details</t>
        </is>
      </c>
    </row>
    <row r="4" ht="17" customHeight="1">
      <c r="A4" s="22" t="inlineStr">
        <is>
          <t>Cart-horses</t>
        </is>
      </c>
      <c r="B4" s="15" t="n">
        <v>2</v>
      </c>
      <c r="C4" s="15" t="n">
        <v>1</v>
      </c>
      <c r="D4" s="15" t="n"/>
      <c r="E4" s="15" t="n"/>
      <c r="F4" s="15" t="n"/>
      <c r="G4" s="15" t="n">
        <v>1</v>
      </c>
      <c r="H4" s="15" t="n"/>
      <c r="I4" s="15" t="n"/>
      <c r="J4" s="15" t="n">
        <v>2</v>
      </c>
      <c r="K4" s="204">
        <f>B4+C4+D4+E4-F4-G4-H4-I4</f>
        <v/>
      </c>
      <c r="L4">
        <f>S4/G4</f>
        <v/>
      </c>
      <c r="Q4" s="133">
        <f>L4</f>
        <v/>
      </c>
      <c r="R4" s="133">
        <f>D4*Q4</f>
        <v/>
      </c>
      <c r="S4" s="133">
        <f>'Overton Receipts'!F81</f>
        <v/>
      </c>
      <c r="T4" s="15" t="n"/>
    </row>
    <row r="5" ht="17" customHeight="1">
      <c r="A5" s="22" t="inlineStr">
        <is>
          <t>Mares</t>
        </is>
      </c>
      <c r="B5" s="15" t="n"/>
      <c r="C5" s="15" t="n"/>
      <c r="D5" s="15" t="n"/>
      <c r="E5" s="15" t="n"/>
      <c r="F5" s="15" t="n"/>
      <c r="G5" s="15" t="n"/>
      <c r="H5" s="15" t="n"/>
      <c r="I5" s="15" t="n"/>
      <c r="J5" s="15" t="n"/>
      <c r="K5" s="204">
        <f>B5+C5+D5+E5-F5-G5-H5-I5</f>
        <v/>
      </c>
      <c r="M5" s="205" t="n"/>
      <c r="N5" s="204" t="n"/>
      <c r="O5" s="204" t="n"/>
      <c r="P5" s="204" t="n"/>
      <c r="Q5" s="133">
        <f>IFERROR((L5+N5)/(M5+O5),"")</f>
        <v/>
      </c>
      <c r="R5" s="133" t="n"/>
      <c r="S5" s="133">
        <f>IFERROR(Q5*G5,"")</f>
        <v/>
      </c>
      <c r="T5" s="15" t="n"/>
    </row>
    <row r="6">
      <c r="A6" s="15" t="inlineStr">
        <is>
          <t>Plough horses</t>
        </is>
      </c>
      <c r="B6" s="15" t="n">
        <v>9</v>
      </c>
      <c r="C6" s="15" t="n"/>
      <c r="D6" s="15" t="n"/>
      <c r="E6" s="15" t="n">
        <v>1</v>
      </c>
      <c r="F6" s="15" t="n"/>
      <c r="G6" s="15" t="n"/>
      <c r="H6" s="15" t="n"/>
      <c r="I6" s="15" t="n"/>
      <c r="J6" s="15" t="n">
        <v>10</v>
      </c>
      <c r="K6" s="204">
        <f>B6+C6+D6+E6-F6-G6-H6-I6</f>
        <v/>
      </c>
      <c r="M6" s="205" t="n"/>
      <c r="N6" s="204" t="n"/>
      <c r="O6" s="204" t="n"/>
      <c r="P6" s="204" t="n"/>
      <c r="Q6" s="133">
        <f>IFERROR((L6+N6)/(M6+O6),"")</f>
        <v/>
      </c>
      <c r="R6" s="133" t="n"/>
      <c r="S6" s="133">
        <f>IFERROR(Q6*G6,"")</f>
        <v/>
      </c>
      <c r="T6" s="15" t="n"/>
    </row>
    <row r="7">
      <c r="A7" s="15" t="inlineStr">
        <is>
          <t>Colts (2 years)</t>
        </is>
      </c>
      <c r="B7" s="15" t="n"/>
      <c r="C7" s="15" t="n"/>
      <c r="D7" s="15" t="n"/>
      <c r="E7" s="15" t="n"/>
      <c r="F7" s="15" t="n"/>
      <c r="G7" s="15" t="n"/>
      <c r="H7" s="15" t="n"/>
      <c r="I7" s="15" t="n"/>
      <c r="J7" s="15" t="n"/>
      <c r="K7" s="204">
        <f>B7+C7+D7+E7-F7-G7-H7-I7</f>
        <v/>
      </c>
      <c r="M7" s="205" t="n"/>
      <c r="N7" s="204" t="n"/>
      <c r="O7" s="204" t="n"/>
      <c r="P7" s="204" t="n"/>
      <c r="Q7" s="133">
        <f>IFERROR((L7+N7)/(M7+O7),"")</f>
        <v/>
      </c>
      <c r="R7" s="133" t="n"/>
      <c r="S7" s="133">
        <f>IFERROR(Q7*G7,"")</f>
        <v/>
      </c>
      <c r="T7" s="15" t="n"/>
    </row>
    <row r="8">
      <c r="A8" s="15" t="inlineStr">
        <is>
          <t>Colts (2 years)</t>
        </is>
      </c>
      <c r="B8" s="15" t="n"/>
      <c r="C8" s="15" t="n"/>
      <c r="D8" s="15" t="n"/>
      <c r="E8" s="15" t="n"/>
      <c r="F8" s="15" t="n"/>
      <c r="G8" s="15" t="n"/>
      <c r="H8" s="15" t="n"/>
      <c r="I8" s="15" t="n"/>
      <c r="J8" s="15" t="n"/>
      <c r="K8" s="204">
        <f>B8+C8+D8+E8-F8-G8-H8-I8</f>
        <v/>
      </c>
      <c r="M8" s="205" t="n"/>
      <c r="N8" s="204" t="n"/>
      <c r="O8" s="204" t="n"/>
      <c r="P8" s="204" t="n"/>
      <c r="Q8" s="133">
        <f>IFERROR((L8+N8)/(M8+O8),"")</f>
        <v/>
      </c>
      <c r="R8" s="133" t="n"/>
      <c r="S8" s="133">
        <f>IFERROR(Q8*G8,"")</f>
        <v/>
      </c>
      <c r="T8" s="15" t="n"/>
    </row>
    <row r="9">
      <c r="A9" s="15" t="inlineStr">
        <is>
          <t>Colts (1 year)</t>
        </is>
      </c>
      <c r="B9" s="15" t="n"/>
      <c r="C9" s="15" t="n"/>
      <c r="D9" s="15" t="n"/>
      <c r="E9" s="15" t="n"/>
      <c r="F9" s="15" t="n"/>
      <c r="G9" s="15" t="n"/>
      <c r="H9" s="15" t="n"/>
      <c r="I9" s="15" t="n"/>
      <c r="J9" s="15" t="n"/>
      <c r="K9" s="204">
        <f>B9+C9+D9+E9-F9-G9-H9-I9</f>
        <v/>
      </c>
      <c r="M9" s="205" t="n"/>
      <c r="N9" s="204" t="n"/>
      <c r="O9" s="204" t="n"/>
      <c r="P9" s="204" t="n"/>
      <c r="Q9" s="133">
        <f>IFERROR((L9+N9)/(M9+O9),"")</f>
        <v/>
      </c>
      <c r="R9" s="133" t="n"/>
      <c r="S9" s="133">
        <f>IFERROR(Q9*G9,"")</f>
        <v/>
      </c>
      <c r="T9" s="15" t="n"/>
    </row>
    <row r="10">
      <c r="A10" s="15" t="inlineStr">
        <is>
          <t>Foals</t>
        </is>
      </c>
      <c r="B10" s="15" t="n"/>
      <c r="C10" s="15" t="n"/>
      <c r="D10" s="15" t="n"/>
      <c r="E10" s="15" t="n"/>
      <c r="F10" s="15" t="n"/>
      <c r="G10" s="15" t="n"/>
      <c r="H10" s="15" t="n"/>
      <c r="I10" s="15" t="n"/>
      <c r="J10" s="15" t="n"/>
      <c r="K10" s="204">
        <f>B10+C10+D10+E10-F10-G10-H10-I10</f>
        <v/>
      </c>
      <c r="M10" s="205" t="n"/>
      <c r="N10" s="204" t="n"/>
      <c r="O10" s="204" t="n"/>
      <c r="P10" s="204" t="n"/>
      <c r="Q10" s="133">
        <f>IFERROR((L10+N10)/(M10+O10),"")</f>
        <v/>
      </c>
      <c r="R10" s="133" t="n"/>
      <c r="S10" s="133">
        <f>IFERROR(Q10*G10,"")</f>
        <v/>
      </c>
      <c r="T10" s="15" t="n"/>
    </row>
    <row r="11">
      <c r="A11" s="15" t="inlineStr">
        <is>
          <t>Oxen</t>
        </is>
      </c>
      <c r="B11" s="15" t="n">
        <v>20</v>
      </c>
      <c r="C11" s="15" t="n">
        <v>2</v>
      </c>
      <c r="D11" s="15" t="n"/>
      <c r="E11" s="15" t="n"/>
      <c r="F11" s="15" t="n"/>
      <c r="G11" s="15" t="n">
        <v>2</v>
      </c>
      <c r="H11" s="15" t="n"/>
      <c r="I11" s="15" t="n"/>
      <c r="J11" s="15" t="n">
        <v>20</v>
      </c>
      <c r="K11" s="204">
        <f>B11+C11+D11+E11-F11-G11-H11-I11</f>
        <v/>
      </c>
      <c r="L11" s="26">
        <f>S11/G11</f>
        <v/>
      </c>
      <c r="M11" s="207" t="n"/>
      <c r="N11" s="208" t="n"/>
      <c r="O11" s="208" t="n"/>
      <c r="P11" s="208" t="n"/>
      <c r="Q11" s="133">
        <f>L11</f>
        <v/>
      </c>
      <c r="R11" s="133">
        <f>D11*Q11</f>
        <v/>
      </c>
      <c r="S11" s="133">
        <f>'Overton Receipts'!F82</f>
        <v/>
      </c>
      <c r="T11" s="15" t="n"/>
    </row>
    <row r="12">
      <c r="A12" s="15" t="inlineStr">
        <is>
          <t>Bulls</t>
        </is>
      </c>
      <c r="B12" s="15" t="n">
        <v>1</v>
      </c>
      <c r="C12" s="15" t="n"/>
      <c r="D12" s="15" t="n">
        <v>1</v>
      </c>
      <c r="E12" s="15" t="n"/>
      <c r="F12" s="15" t="n"/>
      <c r="G12" s="15" t="n">
        <v>1</v>
      </c>
      <c r="H12" s="15" t="n"/>
      <c r="I12" s="15" t="n"/>
      <c r="J12" s="15" t="n">
        <v>1</v>
      </c>
      <c r="K12" s="204">
        <f>B12+C12+D12+E12-F12-G12-H12-I12</f>
        <v/>
      </c>
      <c r="L12" s="26">
        <f>S12/G12</f>
        <v/>
      </c>
      <c r="M12" s="207" t="n"/>
      <c r="N12" s="208" t="n"/>
      <c r="O12" s="208" t="n"/>
      <c r="P12" s="208" t="n"/>
      <c r="Q12" s="133">
        <f>L12</f>
        <v/>
      </c>
      <c r="R12" s="133">
        <f>D12*Q12</f>
        <v/>
      </c>
      <c r="S12" s="133">
        <f>'Overton Receipts'!F83</f>
        <v/>
      </c>
      <c r="T12" s="15" t="n"/>
    </row>
    <row r="13">
      <c r="A13" s="15" t="inlineStr">
        <is>
          <t>Cows</t>
        </is>
      </c>
      <c r="B13" s="15" t="n">
        <v>25</v>
      </c>
      <c r="C13" s="15" t="n"/>
      <c r="D13" s="15" t="n">
        <v>3</v>
      </c>
      <c r="E13" s="15" t="n">
        <v>1</v>
      </c>
      <c r="F13" s="15" t="n"/>
      <c r="G13" s="15" t="n">
        <v>2</v>
      </c>
      <c r="H13" s="15" t="n">
        <v>1</v>
      </c>
      <c r="I13" s="15" t="n"/>
      <c r="J13" s="15" t="n">
        <v>26</v>
      </c>
      <c r="K13" s="204">
        <f>B13+C13+D13+E13-F13-G13-H13-I13</f>
        <v/>
      </c>
      <c r="L13" s="26">
        <f>S13/G13</f>
        <v/>
      </c>
      <c r="M13" s="207" t="n"/>
      <c r="N13" s="208" t="n"/>
      <c r="O13" s="208" t="n"/>
      <c r="P13" s="208" t="n"/>
      <c r="Q13" s="133">
        <f>L13</f>
        <v/>
      </c>
      <c r="R13" s="133">
        <f>D13*Q13</f>
        <v/>
      </c>
      <c r="S13" s="133">
        <f>'Overton Receipts'!F84</f>
        <v/>
      </c>
      <c r="T13" s="15" t="n"/>
    </row>
    <row r="14">
      <c r="A14" s="15" t="inlineStr">
        <is>
          <t>Steers</t>
        </is>
      </c>
      <c r="B14" s="15" t="n">
        <v>5</v>
      </c>
      <c r="C14" s="15" t="n"/>
      <c r="D14" s="15" t="n"/>
      <c r="E14" s="15" t="n"/>
      <c r="F14" s="15" t="n"/>
      <c r="G14" s="15" t="n">
        <v>1</v>
      </c>
      <c r="H14" s="15" t="n"/>
      <c r="I14" s="15" t="n">
        <v>4</v>
      </c>
      <c r="J14" s="15" t="n">
        <v>0</v>
      </c>
      <c r="K14" s="204">
        <f>B14+C14+D14+E14-F14-G14-H14-I14</f>
        <v/>
      </c>
      <c r="L14" s="26">
        <f>S14/G14</f>
        <v/>
      </c>
      <c r="M14" s="207" t="n"/>
      <c r="N14" s="208" t="n"/>
      <c r="O14" s="208" t="n"/>
      <c r="P14" s="208" t="n"/>
      <c r="Q14" s="133">
        <f>L14</f>
        <v/>
      </c>
      <c r="R14" s="133">
        <f>D14*Q14</f>
        <v/>
      </c>
      <c r="S14" s="133">
        <f>'Overton Receipts'!F85</f>
        <v/>
      </c>
      <c r="T14" s="15" t="n"/>
    </row>
    <row r="15">
      <c r="A15" s="15" t="inlineStr">
        <is>
          <t>Bullocks</t>
        </is>
      </c>
      <c r="B15" s="15" t="n">
        <v>9</v>
      </c>
      <c r="C15" s="15" t="n"/>
      <c r="D15" s="15" t="n"/>
      <c r="E15" s="15" t="n"/>
      <c r="F15" s="15" t="n"/>
      <c r="G15" s="15" t="n"/>
      <c r="H15" s="15" t="n"/>
      <c r="I15" s="15" t="n"/>
      <c r="J15" s="15" t="n">
        <v>9</v>
      </c>
      <c r="K15" s="204">
        <f>B15+C15+D15+E15-F15-G15-H15-I15</f>
        <v/>
      </c>
      <c r="L15" s="26" t="n"/>
      <c r="M15" s="207" t="n"/>
      <c r="N15" s="208" t="n"/>
      <c r="O15" s="208" t="n"/>
      <c r="P15" s="208" t="n"/>
      <c r="Q15" s="133" t="n"/>
      <c r="R15" s="133" t="n"/>
      <c r="S15" s="133" t="n"/>
      <c r="T15" s="15" t="n"/>
    </row>
    <row r="16">
      <c r="A16" s="15" t="inlineStr">
        <is>
          <t>Yearlings</t>
        </is>
      </c>
      <c r="B16" s="15" t="n">
        <v>10</v>
      </c>
      <c r="C16" s="15" t="n"/>
      <c r="D16" s="15" t="n"/>
      <c r="E16" s="15" t="n"/>
      <c r="F16" s="15" t="n"/>
      <c r="G16" s="15" t="n"/>
      <c r="H16" s="15" t="n">
        <v>1</v>
      </c>
      <c r="I16" s="15" t="n"/>
      <c r="J16" s="15" t="n">
        <v>9</v>
      </c>
      <c r="K16" s="204">
        <f>B16+C16+D16+E16-F16-G16-H16-I16</f>
        <v/>
      </c>
      <c r="L16" s="26" t="n"/>
      <c r="M16" s="207" t="n"/>
      <c r="N16" s="208" t="n"/>
      <c r="O16" s="208" t="n"/>
      <c r="P16" s="208" t="n"/>
      <c r="Q16" s="133" t="n"/>
      <c r="R16" s="133" t="n"/>
      <c r="S16" s="133" t="n"/>
      <c r="T16" s="15" t="n"/>
    </row>
    <row r="17">
      <c r="A17" s="15" t="inlineStr">
        <is>
          <t>Calves</t>
        </is>
      </c>
      <c r="B17" s="15" t="n">
        <v>25</v>
      </c>
      <c r="C17" s="15" t="n"/>
      <c r="D17" s="15" t="n"/>
      <c r="E17" s="15" t="n"/>
      <c r="F17" s="15" t="n"/>
      <c r="G17" s="15" t="n">
        <v>11</v>
      </c>
      <c r="H17" s="15" t="n">
        <v>3</v>
      </c>
      <c r="I17" s="15" t="n">
        <v>2</v>
      </c>
      <c r="J17" s="15" t="n">
        <v>9</v>
      </c>
      <c r="K17" s="204">
        <f>B17+C17+D17+E17-F17-G17-H17-I17</f>
        <v/>
      </c>
      <c r="L17" s="26">
        <f>S17/G17</f>
        <v/>
      </c>
      <c r="M17" s="207" t="n"/>
      <c r="N17" s="208" t="n"/>
      <c r="O17" s="208" t="n"/>
      <c r="P17" s="208" t="n"/>
      <c r="Q17" s="133">
        <f>L17</f>
        <v/>
      </c>
      <c r="R17" s="133">
        <f>D17*Q17</f>
        <v/>
      </c>
      <c r="S17" s="133">
        <f>'Overton Receipts'!F86</f>
        <v/>
      </c>
      <c r="T17" s="15" t="n"/>
    </row>
    <row r="18">
      <c r="A18" s="15" t="inlineStr">
        <is>
          <t>Wethers</t>
        </is>
      </c>
      <c r="B18" s="15" t="n"/>
      <c r="C18" s="15" t="n"/>
      <c r="D18" s="15" t="n"/>
      <c r="E18" s="15" t="n"/>
      <c r="F18" s="15" t="n"/>
      <c r="G18" s="15" t="n"/>
      <c r="H18" s="15" t="n"/>
      <c r="I18" s="15" t="n"/>
      <c r="J18" s="15" t="n"/>
      <c r="K18" s="204">
        <f>B18+C18+D18+E18-F18-G18-H18-I18</f>
        <v/>
      </c>
      <c r="L18" s="26" t="n"/>
      <c r="M18" s="207" t="n"/>
      <c r="N18" s="208" t="n"/>
      <c r="O18" s="208" t="n"/>
      <c r="P18" s="208" t="n"/>
      <c r="Q18" s="133" t="n"/>
      <c r="R18" s="133" t="n"/>
      <c r="S18" s="133" t="n"/>
      <c r="T18" s="15" t="n"/>
    </row>
    <row r="19">
      <c r="A19" s="15" t="inlineStr">
        <is>
          <t>Rams</t>
        </is>
      </c>
      <c r="B19" s="15" t="n">
        <v>20</v>
      </c>
      <c r="C19" s="15" t="n">
        <v>1</v>
      </c>
      <c r="D19" s="15" t="n">
        <v>7</v>
      </c>
      <c r="E19" s="15" t="n"/>
      <c r="F19" s="15" t="n"/>
      <c r="G19" s="15" t="n"/>
      <c r="H19" s="15" t="n"/>
      <c r="I19" s="15" t="n">
        <v>11</v>
      </c>
      <c r="J19" s="15" t="n">
        <v>17</v>
      </c>
      <c r="K19" s="204">
        <f>B19+C19+D19+E19-F19-G19-H19-I19</f>
        <v/>
      </c>
      <c r="L19" s="26" t="n"/>
      <c r="M19" s="207" t="n"/>
      <c r="N19" s="208" t="n"/>
      <c r="O19" s="208" t="n"/>
      <c r="P19" s="208" t="n"/>
      <c r="Q19" s="133" t="n"/>
      <c r="R19" s="133" t="n"/>
      <c r="S19" s="133" t="n"/>
      <c r="T19" s="15" t="n"/>
    </row>
    <row r="20">
      <c r="A20" s="15" t="inlineStr">
        <is>
          <t>Ewes</t>
        </is>
      </c>
      <c r="B20" s="15" t="n">
        <v>495</v>
      </c>
      <c r="C20" s="15" t="n">
        <v>106</v>
      </c>
      <c r="D20" s="15" t="n">
        <v>102</v>
      </c>
      <c r="E20" s="15" t="n"/>
      <c r="F20" s="15" t="n"/>
      <c r="G20" s="15" t="n">
        <v>39</v>
      </c>
      <c r="H20" s="15">
        <f>7+14+12</f>
        <v/>
      </c>
      <c r="I20" s="15" t="n"/>
      <c r="J20" s="15" t="n">
        <v>631</v>
      </c>
      <c r="K20" s="204">
        <f>B20+C20+D20+E20-F20-G20-H20-I20</f>
        <v/>
      </c>
      <c r="L20" s="26">
        <f>S20/G20</f>
        <v/>
      </c>
      <c r="M20" s="207" t="n"/>
      <c r="N20" s="208" t="n"/>
      <c r="O20" s="208" t="n"/>
      <c r="P20" s="208" t="n"/>
      <c r="Q20" s="133">
        <f>L20</f>
        <v/>
      </c>
      <c r="R20" s="133">
        <f>D20*Q20</f>
        <v/>
      </c>
      <c r="S20" s="133">
        <f>'Overton Receipts'!F87</f>
        <v/>
      </c>
      <c r="T20" s="15" t="inlineStr">
        <is>
          <t>issues of the manor only records sale of 29 ewes</t>
        </is>
      </c>
    </row>
    <row r="21">
      <c r="A21" s="15" t="inlineStr">
        <is>
          <t>Hoggs</t>
        </is>
      </c>
      <c r="B21" s="15" t="n">
        <v>234</v>
      </c>
      <c r="C21" s="15" t="n"/>
      <c r="D21" s="15" t="n"/>
      <c r="E21" s="15" t="n"/>
      <c r="F21" s="15" t="n"/>
      <c r="G21" s="15" t="n">
        <v>12</v>
      </c>
      <c r="H21" s="15" t="n">
        <v>12</v>
      </c>
      <c r="I21" s="15">
        <f>102+7+101</f>
        <v/>
      </c>
      <c r="J21" s="15" t="n">
        <v>0</v>
      </c>
      <c r="K21" s="204">
        <f>B21+C21+D21+E21-F21-G21-H21-I21</f>
        <v/>
      </c>
      <c r="L21" s="26">
        <f>S21/G21</f>
        <v/>
      </c>
      <c r="M21" s="207" t="n"/>
      <c r="N21" s="208" t="n"/>
      <c r="O21" s="208" t="n"/>
      <c r="P21" s="208" t="n"/>
      <c r="Q21" s="133">
        <f>L21</f>
        <v/>
      </c>
      <c r="R21" s="133">
        <f>D21*Q21</f>
        <v/>
      </c>
      <c r="S21" s="133">
        <f>'Overton Receipts'!F89</f>
        <v/>
      </c>
      <c r="T21" s="15" t="n"/>
    </row>
    <row r="22">
      <c r="A22" s="15" t="inlineStr">
        <is>
          <t>Lambs</t>
        </is>
      </c>
      <c r="B22" s="15" t="n">
        <v>401</v>
      </c>
      <c r="C22" s="15" t="n"/>
      <c r="D22" s="15" t="n"/>
      <c r="E22" s="15" t="n"/>
      <c r="F22" s="15" t="n"/>
      <c r="G22" s="15" t="n"/>
      <c r="H22" s="15">
        <f>61+12+14</f>
        <v/>
      </c>
      <c r="I22" s="15">
        <f>34</f>
        <v/>
      </c>
      <c r="J22" s="15" t="n">
        <v>280</v>
      </c>
      <c r="K22" s="204">
        <f>B22+C22+D22+E22-F22-G22-H22-I22</f>
        <v/>
      </c>
      <c r="L22" s="26" t="n"/>
      <c r="M22" s="207" t="n"/>
      <c r="N22" s="208" t="n"/>
      <c r="O22" s="208" t="n"/>
      <c r="P22" s="208" t="n"/>
      <c r="Q22" s="133" t="n"/>
      <c r="R22" s="133" t="n"/>
      <c r="S22" s="133" t="n"/>
      <c r="T22" s="15" t="n"/>
    </row>
    <row r="23">
      <c r="A23" s="15" t="inlineStr">
        <is>
          <t>Boars</t>
        </is>
      </c>
      <c r="B23" s="15" t="n"/>
      <c r="C23" s="15" t="n"/>
      <c r="D23" s="15" t="n"/>
      <c r="E23" s="15" t="n"/>
      <c r="F23" s="15" t="n"/>
      <c r="G23" s="15" t="n"/>
      <c r="H23" s="15" t="n"/>
      <c r="I23" s="15" t="n"/>
      <c r="J23" s="15" t="n"/>
      <c r="K23" s="204">
        <f>B23+C23+D23+E23-F23-G23-H23-I23</f>
        <v/>
      </c>
      <c r="L23" s="26" t="n"/>
      <c r="M23" s="207" t="n"/>
      <c r="N23" s="208" t="n"/>
      <c r="O23" s="208" t="n"/>
      <c r="P23" s="208" t="n"/>
      <c r="Q23" s="133" t="n"/>
      <c r="R23" s="133" t="n"/>
      <c r="S23" s="133" t="n"/>
      <c r="T23" s="15" t="n"/>
    </row>
    <row r="24">
      <c r="A24" s="15" t="inlineStr">
        <is>
          <t>Sows</t>
        </is>
      </c>
      <c r="B24" s="15" t="n"/>
      <c r="C24" s="15" t="n"/>
      <c r="D24" s="15" t="n"/>
      <c r="E24" s="15" t="n"/>
      <c r="F24" s="15" t="n"/>
      <c r="G24" s="15" t="n"/>
      <c r="H24" s="15" t="n"/>
      <c r="I24" s="15" t="n"/>
      <c r="J24" s="15" t="n"/>
      <c r="K24" s="204">
        <f>B24+C24+D24+E24-F24-G24-H24-I24</f>
        <v/>
      </c>
      <c r="L24" s="26" t="n"/>
      <c r="M24" s="207" t="n"/>
      <c r="N24" s="208" t="n"/>
      <c r="O24" s="208" t="n"/>
      <c r="P24" s="208" t="n"/>
      <c r="Q24" s="133" t="n"/>
      <c r="R24" s="133" t="n"/>
      <c r="S24" s="133" t="n"/>
      <c r="T24" s="15" t="n"/>
    </row>
    <row r="25">
      <c r="A25" s="15" t="inlineStr">
        <is>
          <t>Pigs</t>
        </is>
      </c>
      <c r="B25" s="15" t="n"/>
      <c r="C25" s="15" t="n">
        <v>2</v>
      </c>
      <c r="D25" s="15" t="n"/>
      <c r="E25" s="15" t="n"/>
      <c r="F25" s="15" t="n"/>
      <c r="G25" s="15" t="n">
        <v>2</v>
      </c>
      <c r="H25" s="15" t="n"/>
      <c r="I25" s="15" t="n"/>
      <c r="J25" s="15" t="n"/>
      <c r="K25" s="204">
        <f>B25+C25+D25+E25-F25-G25-H25-I25</f>
        <v/>
      </c>
      <c r="L25" s="26">
        <f>S25/G25</f>
        <v/>
      </c>
      <c r="M25" s="207" t="n"/>
      <c r="N25" s="208" t="n"/>
      <c r="O25" s="208" t="n"/>
      <c r="P25" s="208" t="n"/>
      <c r="Q25" s="133">
        <f>L25</f>
        <v/>
      </c>
      <c r="R25" s="133">
        <f>D25*Q25</f>
        <v/>
      </c>
      <c r="S25" s="133">
        <f>'Overton Receipts'!F90</f>
        <v/>
      </c>
      <c r="T25" s="15" t="n"/>
    </row>
    <row r="26">
      <c r="A26" s="15" t="inlineStr">
        <is>
          <t>Hoggets</t>
        </is>
      </c>
      <c r="B26" s="15" t="n"/>
      <c r="C26" s="15" t="n"/>
      <c r="D26" s="15" t="n"/>
      <c r="E26" s="15" t="n"/>
      <c r="F26" s="15" t="n"/>
      <c r="G26" s="15" t="n"/>
      <c r="H26" s="15" t="n"/>
      <c r="I26" s="15" t="n"/>
      <c r="J26" s="15" t="n"/>
      <c r="K26" s="204">
        <f>B26+C26+D26+E26-F26-G26-H26-I26</f>
        <v/>
      </c>
      <c r="M26" s="207" t="n"/>
      <c r="N26" s="208" t="n"/>
      <c r="O26" s="208" t="n"/>
      <c r="P26" s="208" t="n"/>
      <c r="Q26" s="133">
        <f>IFERROR((L26+N26)/(M26+O26),"")</f>
        <v/>
      </c>
      <c r="R26" s="133">
        <f>IFERROR(D26*Q26,"")</f>
        <v/>
      </c>
      <c r="S26" s="133">
        <f>IFERROR(Q26*G26,"")</f>
        <v/>
      </c>
      <c r="T26" s="15" t="n"/>
    </row>
    <row r="27">
      <c r="A27" s="15" t="inlineStr">
        <is>
          <t>Piglets</t>
        </is>
      </c>
      <c r="B27" s="15" t="n"/>
      <c r="C27" s="15" t="n"/>
      <c r="D27" s="15" t="n"/>
      <c r="E27" s="15" t="n"/>
      <c r="F27" s="15" t="n"/>
      <c r="G27" s="15" t="n"/>
      <c r="H27" s="15" t="n"/>
      <c r="I27" s="15" t="n"/>
      <c r="J27" s="15" t="n"/>
      <c r="K27" s="204">
        <f>B27+C27+D27+E27-F27-G27-H27-I27</f>
        <v/>
      </c>
      <c r="M27" s="207" t="n"/>
      <c r="N27" s="208" t="n"/>
      <c r="O27" s="208" t="n"/>
      <c r="P27" s="208" t="n"/>
      <c r="Q27" s="133">
        <f>IFERROR((L27+N27)/(M27+O27),"")</f>
        <v/>
      </c>
      <c r="R27" s="133">
        <f>IFERROR(D27*Q27,"")</f>
        <v/>
      </c>
      <c r="S27" s="133">
        <f>IFERROR(Q27*G27,"")</f>
        <v/>
      </c>
      <c r="T27" s="15" t="n"/>
    </row>
    <row r="28">
      <c r="A28" s="15" t="inlineStr">
        <is>
          <t>Swans</t>
        </is>
      </c>
      <c r="B28" s="15" t="n"/>
      <c r="C28" s="15" t="n"/>
      <c r="D28" s="15" t="n"/>
      <c r="E28" s="15" t="n"/>
      <c r="F28" s="15" t="n"/>
      <c r="G28" s="15" t="n"/>
      <c r="H28" s="15" t="n"/>
      <c r="I28" s="15" t="n"/>
      <c r="J28" s="15" t="n"/>
      <c r="K28" s="204">
        <f>B28+C28+D28+E28-F28-G28-H28-I28</f>
        <v/>
      </c>
      <c r="M28" s="207" t="n"/>
      <c r="N28" s="208" t="n"/>
      <c r="O28" s="208" t="n"/>
      <c r="P28" s="208" t="n"/>
      <c r="Q28" s="133">
        <f>IFERROR((L28+N28)/(M28+O28),"")</f>
        <v/>
      </c>
      <c r="R28" s="133">
        <f>IFERROR(D28*Q28,"")</f>
        <v/>
      </c>
      <c r="S28" s="133">
        <f>IFERROR(Q28*G28,"")</f>
        <v/>
      </c>
      <c r="T28" s="15" t="n"/>
    </row>
    <row r="29">
      <c r="A29" s="15" t="inlineStr">
        <is>
          <t>Peacocks</t>
        </is>
      </c>
      <c r="B29" s="15" t="n">
        <v>10</v>
      </c>
      <c r="C29" s="15" t="n"/>
      <c r="D29" s="15" t="n">
        <v>2</v>
      </c>
      <c r="E29" s="15" t="n"/>
      <c r="F29" s="15" t="n"/>
      <c r="G29" s="15" t="n"/>
      <c r="H29" s="15" t="n">
        <v>1</v>
      </c>
      <c r="I29" s="15" t="n"/>
      <c r="J29" s="15" t="n">
        <v>11</v>
      </c>
      <c r="K29" s="204">
        <f>B29+C29+D29+E29-F29-G29-H29-I29</f>
        <v/>
      </c>
      <c r="M29" s="133" t="n"/>
      <c r="N29" s="15" t="n"/>
      <c r="O29" s="15" t="n"/>
      <c r="P29" s="15" t="n"/>
      <c r="Q29" s="133">
        <f>IFERROR((L29+N29)/(M29+O29),"")</f>
        <v/>
      </c>
      <c r="R29" s="133">
        <f>IFERROR(D29*Q29,"")</f>
        <v/>
      </c>
      <c r="S29" s="133">
        <f>IFERROR(Q29*G29,"")</f>
        <v/>
      </c>
      <c r="T29" s="15" t="n"/>
    </row>
    <row r="30">
      <c r="A30" s="209" t="inlineStr">
        <is>
          <t>Total</t>
        </is>
      </c>
      <c r="B30" s="209" t="n"/>
      <c r="C30" s="209" t="n"/>
      <c r="D30" s="209" t="n"/>
      <c r="E30" s="209" t="n"/>
      <c r="F30" s="209" t="n"/>
      <c r="G30" s="209" t="n"/>
      <c r="H30" s="209" t="n"/>
      <c r="I30" s="209" t="n"/>
      <c r="J30" s="209" t="n"/>
      <c r="K30" s="210" t="n"/>
      <c r="M30" s="211" t="n"/>
      <c r="N30" s="209" t="n"/>
      <c r="O30" s="209" t="n"/>
      <c r="P30" s="209" t="n"/>
      <c r="Q30" s="211" t="n"/>
      <c r="R30" s="211" t="n"/>
      <c r="S30" s="211">
        <f>SUM(S4:S29)</f>
        <v/>
      </c>
      <c r="T30" s="209" t="n"/>
    </row>
    <row r="31">
      <c r="A31" s="15" t="n"/>
      <c r="B31" s="15" t="n"/>
      <c r="C31" s="15" t="n"/>
      <c r="D31" s="15" t="n"/>
      <c r="E31" s="15" t="n"/>
      <c r="F31" s="15" t="n"/>
      <c r="G31" s="15" t="n"/>
      <c r="H31" s="15" t="n"/>
      <c r="I31" s="15" t="n"/>
      <c r="J31" s="15" t="n"/>
      <c r="K31" s="204" t="n"/>
      <c r="L31" s="133" t="n"/>
      <c r="M31" s="133" t="n"/>
      <c r="N31" s="15" t="n"/>
      <c r="O31" s="15" t="n"/>
      <c r="P31" s="15" t="n"/>
      <c r="Q31" s="133" t="n"/>
      <c r="R31" s="133" t="n"/>
      <c r="S31" s="133" t="n"/>
      <c r="T31" s="15" t="n"/>
    </row>
    <row r="32">
      <c r="A32" s="15" t="n"/>
      <c r="B32" s="15" t="n"/>
      <c r="C32" s="15" t="n"/>
      <c r="D32" s="15" t="n"/>
      <c r="E32" s="15" t="n"/>
      <c r="F32" s="15" t="n"/>
      <c r="G32" s="15" t="n"/>
      <c r="H32" s="15" t="n"/>
      <c r="I32" s="15" t="n"/>
      <c r="J32" s="15" t="n"/>
      <c r="K32" s="204" t="n"/>
      <c r="L32" s="133" t="n"/>
      <c r="M32" s="133" t="n"/>
      <c r="N32" s="15" t="n"/>
      <c r="O32" s="15" t="n"/>
      <c r="P32" s="15" t="n"/>
      <c r="Q32" s="133" t="n"/>
      <c r="R32" s="133" t="n"/>
      <c r="S32" s="133" t="n"/>
      <c r="T32" s="15" t="n"/>
    </row>
    <row r="33" ht="17" customHeight="1">
      <c r="A33" s="203" t="inlineStr">
        <is>
          <t>Wool</t>
        </is>
      </c>
      <c r="B33" s="212" t="n"/>
      <c r="C33" s="212" t="n"/>
      <c r="D33" s="212" t="n"/>
      <c r="E33" s="212" t="n"/>
      <c r="F33" s="15" t="n"/>
      <c r="G33" s="15" t="n"/>
      <c r="H33" s="15" t="n"/>
      <c r="I33" s="15" t="n"/>
      <c r="J33" s="15" t="n"/>
      <c r="K33" s="204">
        <f>B33+C33+D33+E33-F33-G33-H33-I33</f>
        <v/>
      </c>
      <c r="L33" s="133" t="n"/>
      <c r="M33" s="133" t="n"/>
      <c r="N33" s="15" t="n"/>
      <c r="O33" s="15" t="n"/>
      <c r="P33" s="15" t="n"/>
      <c r="Q33" s="133">
        <f>IFERROR((L33+N33)/(M33+O33),"")</f>
        <v/>
      </c>
      <c r="R33" s="133">
        <f>IFERROR(D33*Q33,"")</f>
        <v/>
      </c>
      <c r="S33" s="133">
        <f>IFERROR(Q33*G33,"")</f>
        <v/>
      </c>
      <c r="T33" s="15" t="n"/>
    </row>
    <row r="34" ht="17" customHeight="1">
      <c r="A34" s="22" t="inlineStr">
        <is>
          <t>Fleeces</t>
        </is>
      </c>
      <c r="B34" s="15" t="n"/>
      <c r="C34" s="15" t="n"/>
      <c r="D34" s="15" t="n">
        <v>1013</v>
      </c>
      <c r="E34" s="15" t="n"/>
      <c r="F34" s="15" t="n"/>
      <c r="G34" s="15" t="n"/>
      <c r="H34" s="15" t="n"/>
      <c r="I34" s="15">
        <f>101+2+910</f>
        <v/>
      </c>
      <c r="J34" s="15" t="n"/>
      <c r="K34" s="204">
        <f>B34+C34+D34+E34-F34-G34-H34-I34</f>
        <v/>
      </c>
      <c r="L34" s="133" t="n"/>
      <c r="M34" s="133" t="n"/>
      <c r="N34" s="15" t="n"/>
      <c r="O34" s="15" t="n"/>
      <c r="P34" s="15" t="n"/>
      <c r="Q34" s="133" t="n">
        <v>0.02</v>
      </c>
      <c r="R34" s="133">
        <f>IFERROR(D34*Q34,"")</f>
        <v/>
      </c>
      <c r="S34" s="133">
        <f>IFERROR(Q34*G34,"")</f>
        <v/>
      </c>
      <c r="T34" s="15" t="n"/>
    </row>
    <row r="35">
      <c r="A35" s="15" t="inlineStr">
        <is>
          <t>Coarse wool</t>
        </is>
      </c>
      <c r="B35" s="15" t="n"/>
      <c r="C35" s="15" t="n"/>
      <c r="D35" s="15" t="n"/>
      <c r="E35" s="15" t="n"/>
      <c r="F35" s="15" t="n"/>
      <c r="G35" s="15" t="n"/>
      <c r="H35" s="15" t="n"/>
      <c r="I35" s="15" t="n"/>
      <c r="J35" s="15" t="n"/>
      <c r="K35" s="204">
        <f>B35+C35+D35+E35-F35-G35-H35-I35</f>
        <v/>
      </c>
      <c r="L35" s="133" t="n"/>
      <c r="M35" s="133" t="n"/>
      <c r="N35" s="15" t="n"/>
      <c r="O35" s="15" t="n"/>
      <c r="P35" s="15" t="n"/>
      <c r="Q35" s="133">
        <f>IFERROR((L35+N35)/(M35+O35),"")</f>
        <v/>
      </c>
      <c r="R35" s="133">
        <f>IFERROR(D35*Q35,"")</f>
        <v/>
      </c>
      <c r="S35" s="133">
        <f>IFERROR(Q35*G35,"")</f>
        <v/>
      </c>
      <c r="T35" s="15" t="n"/>
    </row>
    <row r="36">
      <c r="A36" s="15" t="inlineStr">
        <is>
          <t>Lamb's wool</t>
        </is>
      </c>
      <c r="B36" s="15" t="n"/>
      <c r="C36" s="15" t="n"/>
      <c r="D36" s="15" t="n">
        <v>294</v>
      </c>
      <c r="E36" s="15" t="n"/>
      <c r="F36" s="15" t="n"/>
      <c r="G36" s="15" t="n"/>
      <c r="H36" s="15" t="n"/>
      <c r="I36" s="15" t="n">
        <v>294</v>
      </c>
      <c r="J36" s="15" t="n"/>
      <c r="K36" s="204">
        <f>B36+C36+D36+E36-F36-G36-H36-I36</f>
        <v/>
      </c>
      <c r="L36" s="133" t="n"/>
      <c r="M36" s="133" t="n"/>
      <c r="N36" s="15" t="n"/>
      <c r="O36" s="15" t="n"/>
      <c r="P36" s="15" t="n"/>
      <c r="Q36" s="133" t="n">
        <v>0.01</v>
      </c>
      <c r="R36" s="133">
        <f>IFERROR(D36*Q36,"")</f>
        <v/>
      </c>
      <c r="S36" s="133">
        <f>IFERROR(Q36*G36,"")</f>
        <v/>
      </c>
      <c r="T36" s="15" t="n"/>
    </row>
    <row r="37">
      <c r="A37" s="15" t="inlineStr">
        <is>
          <t>Wool locks</t>
        </is>
      </c>
      <c r="B37" s="15" t="n"/>
      <c r="C37" s="15" t="n"/>
      <c r="D37" s="15" t="n"/>
      <c r="E37" s="15" t="n"/>
      <c r="F37" s="15" t="n"/>
      <c r="G37" s="15" t="n"/>
      <c r="H37" s="15" t="n"/>
      <c r="I37" s="15" t="n"/>
      <c r="J37" s="15" t="n"/>
      <c r="K37" s="204">
        <f>B37+C37+D37+E37-F37-G37-H37-I37</f>
        <v/>
      </c>
      <c r="L37" s="133" t="n"/>
      <c r="M37" s="15" t="n"/>
      <c r="N37" s="15" t="n"/>
      <c r="O37" s="15" t="n"/>
      <c r="P37" s="15" t="n"/>
      <c r="Q37" s="133">
        <f>IFERROR((L37+N37)/(M37+O37),"")</f>
        <v/>
      </c>
      <c r="R37" s="133">
        <f>IFERROR(D37*Q37,"")</f>
        <v/>
      </c>
      <c r="S37" s="133">
        <f>'Overton Receipts'!F91</f>
        <v/>
      </c>
      <c r="T37" s="15" t="inlineStr">
        <is>
          <t>in issues of manor woollocks sold</t>
        </is>
      </c>
    </row>
    <row r="38">
      <c r="A38" s="15" t="inlineStr">
        <is>
          <t>Wool sold at shearing</t>
        </is>
      </c>
      <c r="B38" s="15" t="n"/>
      <c r="C38" s="15" t="n"/>
      <c r="D38" s="15" t="n"/>
      <c r="E38" s="15" t="n"/>
      <c r="F38" s="15" t="n"/>
      <c r="G38" s="15" t="n"/>
      <c r="H38" s="15" t="n"/>
      <c r="I38" s="15" t="n"/>
      <c r="J38" s="15" t="n"/>
      <c r="K38" s="204">
        <f>B38+C38+D38+E38-F38-G38-H38-I38</f>
        <v/>
      </c>
      <c r="L38" s="133" t="n"/>
      <c r="M38" s="133" t="n"/>
      <c r="N38" s="15" t="n"/>
      <c r="O38" s="15" t="n"/>
      <c r="P38" s="15" t="n"/>
      <c r="Q38" s="133">
        <f>IFERROR((L38+N38)/(M38+O38),"")</f>
        <v/>
      </c>
      <c r="R38" s="133">
        <f>IFERROR(D38*Q38,"")</f>
        <v/>
      </c>
      <c r="S38" s="133">
        <f>IFERROR(Q38*G38,"")</f>
        <v/>
      </c>
      <c r="T38" s="15" t="n"/>
    </row>
    <row r="39">
      <c r="A39" s="209" t="inlineStr">
        <is>
          <t>Total</t>
        </is>
      </c>
      <c r="B39" s="209" t="n"/>
      <c r="C39" s="209" t="n"/>
      <c r="D39" s="209" t="n"/>
      <c r="E39" s="209" t="n"/>
      <c r="F39" s="209" t="n"/>
      <c r="G39" s="209" t="n"/>
      <c r="H39" s="209" t="n"/>
      <c r="I39" s="209" t="n"/>
      <c r="J39" s="209" t="n"/>
      <c r="K39" s="210" t="n"/>
      <c r="L39" s="211" t="n"/>
      <c r="M39" s="211" t="n"/>
      <c r="N39" s="209" t="n"/>
      <c r="O39" s="209" t="n"/>
      <c r="P39" s="209" t="n"/>
      <c r="Q39" s="211" t="n"/>
      <c r="R39" s="211">
        <f>SUM(R34:R38)+S37</f>
        <v/>
      </c>
      <c r="S39" s="211" t="n"/>
      <c r="T39" s="209" t="n"/>
    </row>
    <row r="40">
      <c r="A40" s="15" t="n"/>
      <c r="B40" s="15" t="n"/>
      <c r="C40" s="15" t="n"/>
      <c r="D40" s="15" t="n"/>
      <c r="E40" s="15" t="n"/>
      <c r="F40" s="15" t="n"/>
      <c r="G40" s="15" t="n"/>
      <c r="H40" s="15" t="n"/>
      <c r="I40" s="15" t="n"/>
      <c r="J40" s="15" t="n"/>
      <c r="K40" s="204" t="n"/>
      <c r="L40" s="133" t="n"/>
      <c r="M40" s="133" t="n"/>
      <c r="N40" s="15" t="n"/>
      <c r="O40" s="15" t="n"/>
      <c r="P40" s="15" t="n"/>
      <c r="Q40" s="133" t="n"/>
      <c r="R40" s="133" t="n"/>
      <c r="S40" s="133" t="n"/>
      <c r="T40" s="15" t="n"/>
    </row>
    <row r="41">
      <c r="A41" s="15" t="n"/>
      <c r="B41" s="15" t="n"/>
      <c r="C41" s="15" t="n"/>
      <c r="D41" s="15" t="n"/>
      <c r="E41" s="15" t="n"/>
      <c r="F41" s="15" t="n"/>
      <c r="G41" s="15" t="n"/>
      <c r="H41" s="15" t="n"/>
      <c r="I41" s="15" t="n"/>
      <c r="J41" s="15" t="n"/>
      <c r="K41" s="204" t="n"/>
      <c r="L41" s="133" t="n"/>
      <c r="M41" s="133" t="n"/>
      <c r="N41" s="15" t="n"/>
      <c r="O41" s="15" t="n"/>
      <c r="P41" s="15" t="n"/>
      <c r="Q41" s="133" t="n"/>
      <c r="R41" s="133" t="n"/>
      <c r="S41" s="133" t="n"/>
      <c r="T41" s="15" t="n"/>
    </row>
    <row r="42" ht="17" customHeight="1">
      <c r="A42" s="203" t="inlineStr">
        <is>
          <t>Hides</t>
        </is>
      </c>
      <c r="B42" s="212" t="n"/>
      <c r="C42" s="212" t="n"/>
      <c r="D42" s="15" t="n"/>
      <c r="E42" s="15" t="n"/>
      <c r="F42" s="15" t="n"/>
      <c r="G42" s="15" t="n"/>
      <c r="H42" s="15" t="n"/>
      <c r="I42" s="15" t="n"/>
      <c r="J42" s="15" t="n"/>
      <c r="K42" s="204" t="n"/>
      <c r="L42" s="133" t="n"/>
      <c r="M42" s="133" t="n"/>
      <c r="N42" s="15" t="n"/>
      <c r="O42" s="15" t="n"/>
      <c r="P42" s="15" t="n"/>
      <c r="Q42" s="133">
        <f>IFERROR((L42+N42)/(M42+O42),"")</f>
        <v/>
      </c>
      <c r="R42" s="133">
        <f>IFERROR(D42*Q42,"")</f>
        <v/>
      </c>
      <c r="S42" s="133">
        <f>IFERROR(Q42*G42,"")</f>
        <v/>
      </c>
      <c r="T42" s="15" t="n"/>
    </row>
    <row r="43">
      <c r="A43" s="15" t="inlineStr">
        <is>
          <t>Ox hides</t>
        </is>
      </c>
      <c r="B43" s="15" t="n"/>
      <c r="C43" s="15" t="n"/>
      <c r="D43" s="15" t="n"/>
      <c r="E43" s="15" t="n"/>
      <c r="F43" s="15" t="n"/>
      <c r="G43" s="15" t="n"/>
      <c r="H43" s="15" t="n"/>
      <c r="I43" s="15" t="n"/>
      <c r="J43" s="15" t="n"/>
      <c r="K43" s="204">
        <f>B43+C43+D43+E43-F43-G43-H43-I43</f>
        <v/>
      </c>
      <c r="L43" s="133" t="n"/>
      <c r="M43" s="133" t="n"/>
      <c r="N43" s="15" t="n"/>
      <c r="O43" s="133" t="n"/>
      <c r="P43" s="133" t="n"/>
      <c r="Q43" s="133">
        <f>IFERROR((L43+N43)/(M43+O43),"")</f>
        <v/>
      </c>
      <c r="R43" s="133">
        <f>IFERROR(D43*Q43,"")</f>
        <v/>
      </c>
      <c r="S43" s="133">
        <f>IFERROR(Q43*G43,"")</f>
        <v/>
      </c>
      <c r="T43" s="15" t="n"/>
    </row>
    <row r="44">
      <c r="A44" s="15" t="inlineStr">
        <is>
          <t>Cow hides</t>
        </is>
      </c>
      <c r="B44" s="15" t="n"/>
      <c r="C44" s="15" t="n"/>
      <c r="D44" s="15" t="n"/>
      <c r="F44" s="15" t="n"/>
      <c r="G44" s="15" t="n"/>
      <c r="H44" s="15" t="n"/>
      <c r="I44" s="15" t="n"/>
      <c r="J44" s="15" t="n"/>
      <c r="K44" s="204">
        <f>B44+C44+D44+E44-F44-G44-H44-I44</f>
        <v/>
      </c>
      <c r="L44" s="133" t="n"/>
      <c r="M44" s="133" t="n"/>
      <c r="N44" s="15" t="n"/>
      <c r="O44" s="133" t="n"/>
      <c r="P44" s="133" t="n"/>
      <c r="Q44" s="133">
        <f>IFERROR((L44+N44)/(M44+O44),"")</f>
        <v/>
      </c>
      <c r="R44" s="133">
        <f>IFERROR(D44*Q44,"")</f>
        <v/>
      </c>
      <c r="S44" s="133">
        <f>IFERROR(Q44*G44,"")</f>
        <v/>
      </c>
      <c r="T44" s="15" t="n"/>
    </row>
    <row r="45">
      <c r="A45" s="15" t="inlineStr">
        <is>
          <t>Mare hides</t>
        </is>
      </c>
      <c r="B45" s="15" t="n"/>
      <c r="C45" s="15" t="n"/>
      <c r="D45" s="15" t="n"/>
      <c r="E45" s="15" t="n"/>
      <c r="F45" s="15" t="n"/>
      <c r="G45" s="15" t="n"/>
      <c r="H45" s="15" t="n"/>
      <c r="I45" s="15" t="n"/>
      <c r="J45" s="15" t="n"/>
      <c r="K45" s="204">
        <f>B45+C45+D45+E45-F45-G45-H45-I45</f>
        <v/>
      </c>
      <c r="L45" s="133" t="n"/>
      <c r="M45" s="133" t="n"/>
      <c r="N45" s="15" t="n"/>
      <c r="O45" s="15" t="n"/>
      <c r="P45" s="15" t="n"/>
      <c r="Q45" s="133">
        <f>IFERROR((L45+N45)/(M45+O45),"")</f>
        <v/>
      </c>
      <c r="R45" s="133">
        <f>IFERROR(D45*Q45,"")</f>
        <v/>
      </c>
      <c r="S45" s="133">
        <f>IFERROR(Q45*G45,"")</f>
        <v/>
      </c>
      <c r="T45" s="15" t="n"/>
    </row>
    <row r="46">
      <c r="A46" s="15" t="inlineStr">
        <is>
          <t>Steer hides</t>
        </is>
      </c>
      <c r="B46" s="15" t="n"/>
      <c r="C46" s="15" t="n"/>
      <c r="D46" s="15" t="n"/>
      <c r="F46" s="15" t="n"/>
      <c r="G46" s="15" t="n"/>
      <c r="H46" s="15" t="n"/>
      <c r="I46" s="15" t="n"/>
      <c r="J46" s="15" t="n"/>
      <c r="K46" s="204">
        <f>B46+C46+D46+E46-F46-G46-H46-I46</f>
        <v/>
      </c>
      <c r="L46" s="133" t="n"/>
      <c r="M46" s="133" t="n"/>
      <c r="N46" s="213" t="n"/>
      <c r="O46" s="15" t="n"/>
      <c r="P46" s="15" t="n"/>
      <c r="Q46" s="133">
        <f>IFERROR((L46+N46)/(M46+O46),"")</f>
        <v/>
      </c>
      <c r="R46" s="133">
        <f>IFERROR(D46*Q46,"")</f>
        <v/>
      </c>
      <c r="S46" s="133">
        <f>IFERROR(Q46*G46,"")</f>
        <v/>
      </c>
      <c r="T46" s="15" t="n"/>
    </row>
    <row r="47">
      <c r="A47" s="15" t="inlineStr">
        <is>
          <t>Yearling Calf hides</t>
        </is>
      </c>
      <c r="B47" s="15" t="n"/>
      <c r="C47" s="15" t="n"/>
      <c r="D47" s="15" t="n"/>
      <c r="E47" s="15" t="n"/>
      <c r="F47" s="15" t="n"/>
      <c r="G47" s="15" t="n"/>
      <c r="H47" s="15" t="n"/>
      <c r="I47" s="15" t="n"/>
      <c r="J47" s="15" t="n"/>
      <c r="K47" s="204">
        <f>B47+C47+D47+E47-F47-G47-H47-I47</f>
        <v/>
      </c>
      <c r="L47" s="133" t="n"/>
      <c r="M47" s="133" t="n"/>
      <c r="N47" s="15" t="n"/>
      <c r="O47" s="15" t="n"/>
      <c r="P47" s="15" t="n"/>
      <c r="Q47" s="133">
        <f>IFERROR((L47+N47)/(M47+O47),"")</f>
        <v/>
      </c>
      <c r="R47" s="133">
        <f>IFERROR(D47*Q47,"")</f>
        <v/>
      </c>
      <c r="S47" s="133">
        <f>IFERROR(Q47*G47,"")</f>
        <v/>
      </c>
      <c r="T47" s="15" t="n"/>
    </row>
    <row r="48">
      <c r="A48" s="15" t="inlineStr">
        <is>
          <t>Calf hides</t>
        </is>
      </c>
      <c r="B48" s="15" t="n"/>
      <c r="C48" s="15" t="n"/>
      <c r="D48" s="15" t="n"/>
      <c r="E48" s="15" t="n"/>
      <c r="F48" s="15" t="n"/>
      <c r="G48" s="15" t="n"/>
      <c r="H48" s="15" t="n"/>
      <c r="I48" s="15" t="n"/>
      <c r="J48" s="15" t="n"/>
      <c r="K48" s="204">
        <f>B48+C48+D48+E48-F48-G48-H48-I48</f>
        <v/>
      </c>
      <c r="L48" s="133" t="n"/>
      <c r="M48" s="133" t="n"/>
      <c r="N48" s="15" t="n"/>
      <c r="O48" s="15" t="n"/>
      <c r="P48" s="15" t="n"/>
      <c r="Q48" s="133">
        <f>IFERROR((L48+N48)/(M48+O48),"")</f>
        <v/>
      </c>
      <c r="R48" s="133">
        <f>IFERROR(D48*Q48,"")</f>
        <v/>
      </c>
      <c r="S48" s="133">
        <f>IFERROR(Q48*G48,"")</f>
        <v/>
      </c>
      <c r="T48" s="15" t="n"/>
    </row>
    <row r="49">
      <c r="A49" s="23" t="inlineStr">
        <is>
          <t>Pig hides</t>
        </is>
      </c>
      <c r="B49" s="15" t="n"/>
      <c r="C49" s="15" t="n"/>
      <c r="D49" s="15" t="n"/>
      <c r="E49" s="15" t="n"/>
      <c r="F49" s="15" t="n"/>
      <c r="G49" s="15" t="n"/>
      <c r="H49" s="15" t="n"/>
      <c r="I49" s="15" t="n"/>
      <c r="J49" s="15" t="n"/>
      <c r="K49" s="204">
        <f>B49+C49+D49+E49-F49-G49-H49-I49</f>
        <v/>
      </c>
      <c r="L49" s="133" t="n"/>
      <c r="M49" s="133" t="n"/>
      <c r="N49" s="15" t="n"/>
      <c r="O49" s="15" t="n"/>
      <c r="P49" s="15" t="n"/>
      <c r="Q49" s="133">
        <f>IFERROR((L49+N49)/(M49+O49),"")</f>
        <v/>
      </c>
      <c r="R49" s="133">
        <f>IFERROR(D49*Q49,"")</f>
        <v/>
      </c>
      <c r="S49" s="133">
        <f>IFERROR(Q49*G49,"")</f>
        <v/>
      </c>
      <c r="T49" s="15" t="n"/>
    </row>
    <row r="50">
      <c r="A50" s="24" t="inlineStr">
        <is>
          <t>Wether woolskins</t>
        </is>
      </c>
      <c r="B50" s="15" t="n"/>
      <c r="C50" s="15" t="n"/>
      <c r="D50" s="15" t="n">
        <v>6</v>
      </c>
      <c r="E50" s="15" t="n"/>
      <c r="F50" s="15" t="n"/>
      <c r="G50" s="15" t="n"/>
      <c r="H50" s="15" t="n"/>
      <c r="I50" s="15" t="n"/>
      <c r="J50" s="15" t="n"/>
      <c r="K50" s="204">
        <f>B50+C50+D50+E50-F50-G50-H50-I50</f>
        <v/>
      </c>
      <c r="L50" s="133" t="n"/>
      <c r="M50" s="133" t="n"/>
      <c r="N50" s="15" t="n"/>
      <c r="O50" s="15" t="n"/>
      <c r="P50" s="15" t="n"/>
      <c r="Q50" s="133">
        <f>IFERROR((L50+N50)/(M50+O50),"")</f>
        <v/>
      </c>
      <c r="R50" s="133">
        <f>IFERROR(D50*Q50,"")</f>
        <v/>
      </c>
      <c r="S50" s="133" t="n"/>
      <c r="T50" s="15" t="n"/>
    </row>
    <row r="51">
      <c r="A51" s="24" t="inlineStr">
        <is>
          <t>Ram woolskins</t>
        </is>
      </c>
      <c r="B51" s="15" t="n"/>
      <c r="C51" s="15" t="n"/>
      <c r="D51" s="15" t="n"/>
      <c r="E51" s="15" t="n"/>
      <c r="F51" s="15" t="n"/>
      <c r="G51" s="15" t="n"/>
      <c r="H51" s="15" t="n"/>
      <c r="I51" s="15" t="n"/>
      <c r="J51" s="15" t="n"/>
      <c r="K51" s="204">
        <f>B51+C51+D51+E51-F51-G51-H51-I51</f>
        <v/>
      </c>
      <c r="L51" s="133" t="n"/>
      <c r="M51" s="133" t="n"/>
      <c r="N51" s="15" t="n"/>
      <c r="O51" s="15" t="n"/>
      <c r="P51" s="15" t="n"/>
      <c r="Q51" s="133">
        <f>IFERROR((L51+N51)/(M51+O51),"")</f>
        <v/>
      </c>
      <c r="R51" s="133">
        <f>IFERROR(D51*Q51,"")</f>
        <v/>
      </c>
      <c r="S51" s="133">
        <f>IFERROR(Q51*G51,"")</f>
        <v/>
      </c>
      <c r="T51" s="15" t="n"/>
    </row>
    <row r="52">
      <c r="A52" s="24" t="inlineStr">
        <is>
          <t>Ewe woolskins</t>
        </is>
      </c>
      <c r="B52" s="15" t="n"/>
      <c r="C52" s="15" t="n"/>
      <c r="D52" s="15" t="n">
        <v>21</v>
      </c>
      <c r="E52" s="15" t="n"/>
      <c r="F52" s="15" t="n"/>
      <c r="G52" s="15" t="n"/>
      <c r="H52" s="15" t="n"/>
      <c r="I52" s="15" t="n"/>
      <c r="J52" s="15" t="n"/>
      <c r="K52" s="204">
        <f>B52+C52+D52+E52-F52-G52-H52-I52</f>
        <v/>
      </c>
      <c r="L52" s="133" t="n"/>
      <c r="M52" s="133" t="n"/>
      <c r="N52" s="15" t="n"/>
      <c r="O52" s="15" t="n"/>
      <c r="P52" s="15" t="n"/>
      <c r="Q52" s="133">
        <f>S52/D52</f>
        <v/>
      </c>
      <c r="R52" s="133">
        <f>IFERROR(D52*Q52,"")</f>
        <v/>
      </c>
      <c r="S52" s="133">
        <f>'Overton Receipts'!F96</f>
        <v/>
      </c>
      <c r="T52" s="15" t="n"/>
    </row>
    <row r="53">
      <c r="A53" s="24" t="inlineStr">
        <is>
          <t>Hogg woolskins</t>
        </is>
      </c>
      <c r="B53" s="15" t="n"/>
      <c r="C53" s="15" t="n"/>
      <c r="D53" s="15" t="n">
        <v>10</v>
      </c>
      <c r="E53" s="15" t="n"/>
      <c r="F53" s="15" t="n"/>
      <c r="G53" s="15" t="n"/>
      <c r="H53" s="15" t="n"/>
      <c r="I53" s="15" t="n"/>
      <c r="J53" s="15" t="n"/>
      <c r="K53" s="204">
        <f>B53+C53+D53+E53-F53-G53-H53-I53</f>
        <v/>
      </c>
      <c r="L53" s="133" t="n"/>
      <c r="M53" s="133" t="n"/>
      <c r="N53" s="15" t="n"/>
      <c r="O53" s="15" t="n"/>
      <c r="P53" s="15" t="n"/>
      <c r="Q53" s="133">
        <f>IFERROR((L53+N53)/(M53+O53),"")</f>
        <v/>
      </c>
      <c r="R53" s="133">
        <f>IFERROR(D53*Q53,"")</f>
        <v/>
      </c>
      <c r="S53" s="133">
        <f>IFERROR(Q53*G53,"")</f>
        <v/>
      </c>
      <c r="T53" s="15" t="n"/>
    </row>
    <row r="54">
      <c r="A54" s="214" t="inlineStr">
        <is>
          <t>Woolskins (total)</t>
        </is>
      </c>
      <c r="B54" s="209" t="n"/>
      <c r="C54" s="209" t="n"/>
      <c r="D54" s="209" t="n">
        <v>37</v>
      </c>
      <c r="E54" s="209" t="n"/>
      <c r="F54" s="209" t="n"/>
      <c r="G54" s="209" t="n">
        <v>34</v>
      </c>
      <c r="H54" s="209" t="n"/>
      <c r="I54" s="209" t="n">
        <v>3</v>
      </c>
      <c r="J54" s="209" t="n">
        <v>0</v>
      </c>
      <c r="K54" s="210">
        <f>B54+C54+D54+E54-F54-G54-H54-I54</f>
        <v/>
      </c>
      <c r="L54" s="211" t="n"/>
      <c r="M54" s="211" t="n"/>
      <c r="N54" s="209" t="n"/>
      <c r="O54" s="209" t="n"/>
      <c r="P54" s="209" t="n"/>
      <c r="Q54" s="211">
        <f>IFERROR((L54+N54)/(M54+O54),"")</f>
        <v/>
      </c>
      <c r="R54" s="211">
        <f>IFERROR(D54*Q54,"")</f>
        <v/>
      </c>
      <c r="S54" s="211">
        <f>SUM(S43:S53)</f>
        <v/>
      </c>
      <c r="T54" s="209" t="n"/>
    </row>
    <row r="55">
      <c r="A55" s="24" t="inlineStr">
        <is>
          <t>Wether bareskins</t>
        </is>
      </c>
      <c r="B55" s="15" t="n"/>
      <c r="C55" s="15" t="n"/>
      <c r="D55" s="15" t="n">
        <v>4</v>
      </c>
      <c r="E55" s="15" t="n"/>
      <c r="F55" s="15" t="n"/>
      <c r="G55" s="15" t="n"/>
      <c r="H55" s="15" t="n"/>
      <c r="I55" s="15" t="n"/>
      <c r="J55" s="15" t="n"/>
      <c r="K55" s="204" t="n"/>
      <c r="L55" s="133" t="n"/>
      <c r="M55" s="133" t="n"/>
      <c r="N55" s="15" t="n"/>
      <c r="O55" s="15" t="n"/>
      <c r="P55" s="15" t="n"/>
      <c r="Q55" s="133">
        <f>IFERROR((L55+N55)/(M55+O55),"")</f>
        <v/>
      </c>
      <c r="R55" s="133">
        <f>IFERROR(D55*Q55,"")</f>
        <v/>
      </c>
      <c r="S55" s="133">
        <f>IFERROR(Q55*G55,"")</f>
        <v/>
      </c>
      <c r="T55" s="15" t="n"/>
    </row>
    <row r="56">
      <c r="A56" s="24" t="inlineStr">
        <is>
          <t>Ram bareskins</t>
        </is>
      </c>
      <c r="B56" s="15" t="n"/>
      <c r="C56" s="15" t="n"/>
      <c r="D56" s="15" t="n"/>
      <c r="E56" s="15" t="n"/>
      <c r="F56" s="15" t="n"/>
      <c r="G56" s="15" t="n"/>
      <c r="H56" s="15" t="n"/>
      <c r="I56" s="15" t="n"/>
      <c r="J56" s="15" t="n"/>
      <c r="K56" s="204" t="n"/>
      <c r="L56" s="133" t="n"/>
      <c r="M56" s="133" t="n"/>
      <c r="N56" s="15" t="n"/>
      <c r="O56" s="15" t="n"/>
      <c r="P56" s="15" t="n"/>
      <c r="Q56" s="133">
        <f>IFERROR((L56+N56)/(M56+O56),"")</f>
        <v/>
      </c>
      <c r="R56" s="133">
        <f>IFERROR(D56*Q56,"")</f>
        <v/>
      </c>
      <c r="S56" s="133">
        <f>IFERROR(Q56*G56,"")</f>
        <v/>
      </c>
      <c r="T56" s="15" t="n"/>
    </row>
    <row r="57">
      <c r="A57" s="24" t="inlineStr">
        <is>
          <t>Ewe bareskins</t>
        </is>
      </c>
      <c r="B57" s="15" t="n"/>
      <c r="C57" s="15" t="n"/>
      <c r="D57" s="15" t="n">
        <v>12</v>
      </c>
      <c r="E57" s="15" t="n"/>
      <c r="F57" s="15" t="n"/>
      <c r="G57" s="15" t="n"/>
      <c r="H57" s="15" t="n"/>
      <c r="I57" s="15" t="n"/>
      <c r="J57" s="15" t="n"/>
      <c r="K57" s="204" t="n"/>
      <c r="L57" s="133" t="n"/>
      <c r="M57" s="133" t="n"/>
      <c r="N57" s="15" t="n"/>
      <c r="O57" s="15" t="n"/>
      <c r="P57" s="15" t="n"/>
      <c r="Q57" s="133">
        <f>IFERROR((L57+N57)/(M57+O57),"")</f>
        <v/>
      </c>
      <c r="R57" s="133">
        <f>IFERROR(D57*Q57,"")</f>
        <v/>
      </c>
      <c r="S57" s="133">
        <f>IFERROR(Q57*G57,"")</f>
        <v/>
      </c>
      <c r="T57" s="15" t="n"/>
    </row>
    <row r="58">
      <c r="A58" s="24" t="inlineStr">
        <is>
          <t>Hogg bareskins</t>
        </is>
      </c>
      <c r="B58" s="15" t="n"/>
      <c r="C58" s="15" t="n"/>
      <c r="D58" s="15" t="n"/>
      <c r="E58" s="15" t="n"/>
      <c r="F58" s="15" t="n"/>
      <c r="G58" s="15" t="n"/>
      <c r="H58" s="15" t="n"/>
      <c r="I58" s="15" t="n"/>
      <c r="J58" s="15" t="n"/>
      <c r="K58" s="204" t="n"/>
      <c r="L58" s="133" t="n"/>
      <c r="M58" s="133" t="n"/>
      <c r="N58" s="15" t="n"/>
      <c r="O58" s="15" t="n"/>
      <c r="P58" s="15" t="n"/>
      <c r="Q58" s="133">
        <f>IFERROR((L58+N58)/(M58+O58),"")</f>
        <v/>
      </c>
      <c r="R58" s="133">
        <f>IFERROR(D58*Q58,"")</f>
        <v/>
      </c>
      <c r="S58" s="133">
        <f>IFERROR(Q58*G58,"")</f>
        <v/>
      </c>
      <c r="T58" s="15" t="n"/>
    </row>
    <row r="59">
      <c r="A59" s="214" t="inlineStr">
        <is>
          <t>Bareskins (total)</t>
        </is>
      </c>
      <c r="B59" s="209" t="n"/>
      <c r="C59" s="209" t="n"/>
      <c r="D59" s="209" t="n">
        <v>16</v>
      </c>
      <c r="E59" s="209" t="n"/>
      <c r="F59" s="209" t="n"/>
      <c r="G59" s="209" t="n">
        <v>16</v>
      </c>
      <c r="H59" s="209" t="n"/>
      <c r="I59" s="209" t="n"/>
      <c r="J59" s="209" t="n">
        <v>0</v>
      </c>
      <c r="K59" s="210">
        <f>B59+C59+D59+E59-F59-G59-H59-I59</f>
        <v/>
      </c>
      <c r="L59" s="211" t="n"/>
      <c r="M59" s="211" t="n"/>
      <c r="N59" s="209" t="n"/>
      <c r="O59" s="209" t="n"/>
      <c r="P59" s="209" t="n"/>
      <c r="Q59" s="211">
        <f>S59/G59</f>
        <v/>
      </c>
      <c r="R59" s="211">
        <f>IFERROR(D59*Q59,"")</f>
        <v/>
      </c>
      <c r="S59" s="211">
        <f>'Overton Receipts'!F97</f>
        <v/>
      </c>
      <c r="T59" s="209" t="n"/>
    </row>
    <row r="60">
      <c r="A60" s="215" t="inlineStr">
        <is>
          <t>ewes</t>
        </is>
      </c>
      <c r="B60" s="15" t="n"/>
      <c r="C60" s="15" t="n"/>
      <c r="D60" s="15" t="n"/>
      <c r="E60" s="15" t="n"/>
      <c r="F60" s="15" t="n"/>
      <c r="G60" s="15" t="n"/>
      <c r="H60" s="15" t="n"/>
      <c r="I60" s="15" t="n"/>
      <c r="J60" s="15" t="n"/>
      <c r="K60" s="204" t="n"/>
      <c r="L60" s="133" t="n"/>
      <c r="M60" s="133" t="n"/>
      <c r="N60" s="15" t="n"/>
      <c r="O60" s="15" t="n"/>
      <c r="P60" s="15" t="n"/>
      <c r="Q60" s="133" t="n"/>
      <c r="R60" s="133" t="n"/>
      <c r="S60" s="133" t="n"/>
      <c r="T60" s="15" t="n"/>
    </row>
    <row r="61">
      <c r="A61" s="215" t="inlineStr">
        <is>
          <t>wethers</t>
        </is>
      </c>
      <c r="B61" s="15" t="n"/>
      <c r="C61" s="15" t="n"/>
      <c r="D61" s="15" t="n"/>
      <c r="E61" s="15" t="n"/>
      <c r="F61" s="15" t="n"/>
      <c r="G61" s="15" t="n"/>
      <c r="H61" s="15" t="n"/>
      <c r="I61" s="15" t="n"/>
      <c r="J61" s="15" t="n"/>
      <c r="K61" s="204" t="n"/>
      <c r="L61" s="133" t="n"/>
      <c r="M61" s="133" t="n"/>
      <c r="N61" s="15" t="n"/>
      <c r="O61" s="15" t="n"/>
      <c r="P61" s="15" t="n"/>
      <c r="Q61" s="133" t="n"/>
      <c r="R61" s="133" t="n"/>
      <c r="S61" s="133" t="n"/>
      <c r="T61" s="15" t="n"/>
    </row>
    <row r="62">
      <c r="A62" s="15" t="inlineStr">
        <is>
          <t>Lambskins</t>
        </is>
      </c>
      <c r="B62" s="15">
        <f>61+27</f>
        <v/>
      </c>
      <c r="C62" s="15" t="n"/>
      <c r="D62" s="15" t="n"/>
      <c r="E62" s="15" t="n"/>
      <c r="F62" s="15" t="n"/>
      <c r="G62" s="15">
        <f>55+27</f>
        <v/>
      </c>
      <c r="H62" s="15" t="n"/>
      <c r="I62" s="15" t="n">
        <v>6</v>
      </c>
      <c r="J62" s="15" t="n"/>
      <c r="K62" s="204">
        <f>B62+C62+D62+E62-F62-G62-H62-I62</f>
        <v/>
      </c>
      <c r="L62" s="133" t="n"/>
      <c r="M62" s="133" t="n"/>
      <c r="N62" s="213" t="n"/>
      <c r="O62" s="15" t="n"/>
      <c r="P62" s="15" t="n"/>
      <c r="Q62" s="133">
        <f>IFERROR((L62+N62)/(M62+O62),"")</f>
        <v/>
      </c>
      <c r="R62" s="133">
        <f>S62/G62</f>
        <v/>
      </c>
      <c r="S62" s="133">
        <f>'Overton Receipts'!F98+'Overton Receipts'!F99</f>
        <v/>
      </c>
      <c r="T62" s="15" t="n"/>
    </row>
    <row r="63">
      <c r="A63" s="15" t="inlineStr">
        <is>
          <t>Rotted skins</t>
        </is>
      </c>
      <c r="B63" s="15" t="n"/>
      <c r="C63" s="15" t="n"/>
      <c r="D63" s="15" t="n"/>
      <c r="E63" s="15" t="n"/>
      <c r="F63" s="15" t="n"/>
      <c r="G63" s="15" t="n"/>
      <c r="H63" s="15" t="n"/>
      <c r="I63" s="15" t="n"/>
      <c r="J63" s="15" t="n"/>
      <c r="K63" s="204" t="n"/>
      <c r="L63" s="133" t="n"/>
      <c r="M63" s="133" t="n"/>
      <c r="N63" s="15" t="n"/>
      <c r="O63" s="15" t="n"/>
      <c r="P63" s="15" t="n"/>
      <c r="Q63" s="133">
        <f>IFERROR((L63+N63)/(M63+O63),"")</f>
        <v/>
      </c>
      <c r="R63" s="133">
        <f>IFERROR(D63*Q63,"")</f>
        <v/>
      </c>
      <c r="S63" s="133">
        <f>IFERROR(Q63*G63,"")</f>
        <v/>
      </c>
      <c r="T63" s="15" t="n"/>
    </row>
    <row r="64">
      <c r="A64" s="15" t="inlineStr">
        <is>
          <t>Shorn skins</t>
        </is>
      </c>
      <c r="B64" s="15" t="n"/>
      <c r="C64" s="15" t="n"/>
      <c r="D64" s="15" t="n"/>
      <c r="E64" s="15" t="n"/>
      <c r="F64" s="15" t="n"/>
      <c r="G64" s="15" t="n"/>
      <c r="H64" s="15" t="n"/>
      <c r="I64" s="15" t="n"/>
      <c r="J64" s="15" t="n"/>
      <c r="K64" s="204" t="n"/>
      <c r="L64" s="133" t="n"/>
      <c r="M64" s="133" t="n"/>
      <c r="N64" s="15" t="n"/>
      <c r="O64" s="15" t="n"/>
      <c r="P64" s="15" t="n"/>
      <c r="Q64" s="133">
        <f>IFERROR((L64+N64)/(M64+O64),"")</f>
        <v/>
      </c>
      <c r="R64" s="133">
        <f>IFERROR(D64*Q64,"")</f>
        <v/>
      </c>
      <c r="S64" s="133">
        <f>IFERROR(Q64*G64,"")</f>
        <v/>
      </c>
      <c r="T64" s="15" t="n"/>
    </row>
    <row r="65">
      <c r="A65" s="209" t="inlineStr">
        <is>
          <t>Total</t>
        </is>
      </c>
      <c r="B65" s="209" t="n"/>
      <c r="C65" s="209" t="n"/>
      <c r="D65" s="209" t="n"/>
      <c r="E65" s="209" t="n"/>
      <c r="F65" s="209" t="n"/>
      <c r="G65" s="209" t="n"/>
      <c r="H65" s="209" t="n"/>
      <c r="I65" s="209" t="n"/>
      <c r="J65" s="209" t="n"/>
      <c r="K65" s="210" t="n"/>
      <c r="L65" s="211" t="n"/>
      <c r="M65" s="211" t="n"/>
      <c r="N65" s="209" t="n"/>
      <c r="O65" s="209" t="n"/>
      <c r="P65" s="209" t="n"/>
      <c r="Q65" s="211">
        <f>IFERROR((L65+N65)/(M65+O65),"")</f>
        <v/>
      </c>
      <c r="R65" s="211">
        <f>IFERROR(D65*Q65,"")</f>
        <v/>
      </c>
      <c r="S65" s="211">
        <f>S54+S59+S62</f>
        <v/>
      </c>
      <c r="T65" s="209" t="n"/>
    </row>
    <row r="66">
      <c r="A66" s="15" t="n"/>
      <c r="B66" s="15" t="n"/>
      <c r="C66" s="15" t="n"/>
      <c r="D66" s="15" t="n"/>
      <c r="E66" s="15" t="n"/>
      <c r="F66" s="15" t="n"/>
      <c r="G66" s="15" t="n"/>
      <c r="H66" s="15" t="n"/>
      <c r="I66" s="15" t="n"/>
      <c r="J66" s="15" t="n"/>
      <c r="K66" s="204" t="n"/>
      <c r="L66" s="133" t="n"/>
      <c r="M66" s="133" t="n"/>
      <c r="N66" s="15" t="n"/>
      <c r="O66" s="15" t="n"/>
      <c r="P66" s="15" t="n"/>
      <c r="Q66" s="133">
        <f>IFERROR((L66+N66)/(M66+O66),"")</f>
        <v/>
      </c>
      <c r="R66" s="133">
        <f>IFERROR(D66*Q66,"")</f>
        <v/>
      </c>
      <c r="S66" s="133">
        <f>IFERROR(Q66*G66,"")</f>
        <v/>
      </c>
      <c r="T66" s="15" t="n"/>
    </row>
    <row r="67" ht="17" customHeight="1">
      <c r="A67" s="203" t="inlineStr">
        <is>
          <t>Poultry stock</t>
        </is>
      </c>
      <c r="B67" s="212" t="n"/>
      <c r="C67" s="212" t="n"/>
      <c r="D67" s="15" t="n"/>
      <c r="E67" s="15" t="n"/>
      <c r="F67" s="15" t="n"/>
      <c r="G67" s="15" t="n"/>
      <c r="H67" s="15" t="n"/>
      <c r="I67" s="15" t="n"/>
      <c r="J67" s="15" t="n"/>
      <c r="K67" s="204" t="n"/>
      <c r="L67" s="133" t="n"/>
      <c r="M67" s="133" t="n"/>
      <c r="N67" s="15" t="n"/>
      <c r="O67" s="15" t="n"/>
      <c r="P67" s="15" t="n"/>
      <c r="Q67" s="133">
        <f>IFERROR((L67+N67)/(M67+O67),"")</f>
        <v/>
      </c>
      <c r="R67" s="133">
        <f>IFERROR(D67*Q67,"")</f>
        <v/>
      </c>
      <c r="S67" s="133">
        <f>IFERROR(Q67*G67,"")</f>
        <v/>
      </c>
      <c r="T67" s="15" t="n"/>
    </row>
    <row r="68" ht="17" customHeight="1">
      <c r="A68" s="22" t="inlineStr">
        <is>
          <t>Hens</t>
        </is>
      </c>
      <c r="B68" s="15" t="n">
        <v>88</v>
      </c>
      <c r="C68" s="15" t="n"/>
      <c r="D68" s="15" t="n"/>
      <c r="E68" s="15" t="n"/>
      <c r="F68" s="15" t="n"/>
      <c r="G68" s="15" t="n">
        <v>72</v>
      </c>
      <c r="H68" s="15" t="n"/>
      <c r="I68" s="15" t="n"/>
      <c r="J68" s="15" t="n"/>
      <c r="K68" s="204">
        <f>B68+C68+D68+E68-F68-G68-H68-I68</f>
        <v/>
      </c>
      <c r="L68" s="133" t="n"/>
      <c r="M68" s="133" t="n"/>
      <c r="N68" s="15" t="n"/>
      <c r="O68" s="15" t="n"/>
      <c r="P68" s="15" t="n"/>
      <c r="Q68" s="133">
        <f>IFERROR((L68+N68)/(M68+O68),"")</f>
        <v/>
      </c>
      <c r="R68" s="133">
        <f>S68/G68</f>
        <v/>
      </c>
      <c r="S68" s="133">
        <f>'Overton Receipts'!F109</f>
        <v/>
      </c>
      <c r="T68" s="15" t="n"/>
    </row>
    <row r="69">
      <c r="A69" s="15" t="inlineStr">
        <is>
          <t>Geese</t>
        </is>
      </c>
      <c r="B69" s="15" t="n"/>
      <c r="C69" s="15" t="n"/>
      <c r="D69" s="15" t="n"/>
      <c r="E69" s="15" t="n"/>
      <c r="F69" s="15" t="n"/>
      <c r="G69" s="15" t="n"/>
      <c r="H69" s="15" t="n"/>
      <c r="I69" s="15" t="n"/>
      <c r="J69" s="15" t="n"/>
      <c r="K69" s="204" t="n"/>
      <c r="L69" s="133" t="n"/>
      <c r="M69" s="133" t="n"/>
      <c r="N69" s="15" t="n"/>
      <c r="O69" s="15" t="n"/>
      <c r="P69" s="15" t="n"/>
      <c r="Q69" s="133">
        <f>IFERROR((L69+N69)/(M69+O69),"")</f>
        <v/>
      </c>
      <c r="R69" s="133">
        <f>IFERROR(D69*Q69,"")</f>
        <v/>
      </c>
      <c r="S69" s="133">
        <f>IFERROR(Q69*G69,"")</f>
        <v/>
      </c>
      <c r="T69" s="15" t="n"/>
    </row>
    <row r="70">
      <c r="A70" s="15" t="inlineStr">
        <is>
          <t>Capons (from chickens)</t>
        </is>
      </c>
      <c r="B70" s="15" t="n"/>
      <c r="C70" s="15" t="n"/>
      <c r="D70" s="15" t="n"/>
      <c r="E70" s="15" t="n"/>
      <c r="F70" s="15" t="n"/>
      <c r="G70" s="15" t="n"/>
      <c r="H70" s="15" t="n"/>
      <c r="I70" s="15" t="n"/>
      <c r="J70" s="15" t="n"/>
      <c r="K70" s="204" t="n"/>
      <c r="L70" s="133" t="n"/>
      <c r="M70" s="133" t="n"/>
      <c r="N70" s="15" t="n"/>
      <c r="O70" s="15" t="n"/>
      <c r="P70" s="15" t="n"/>
      <c r="Q70" s="133">
        <f>IFERROR((L70+N70)/(M70+O70),"")</f>
        <v/>
      </c>
      <c r="R70" s="133">
        <f>IFERROR(D70*Q70,"")</f>
        <v/>
      </c>
      <c r="S70" s="133">
        <f>IFERROR(Q70*G70,"")</f>
        <v/>
      </c>
      <c r="T70" s="15" t="n"/>
    </row>
    <row r="71">
      <c r="A71" s="15" t="inlineStr">
        <is>
          <t>Cocks &amp; hens</t>
        </is>
      </c>
      <c r="B71" s="15" t="n"/>
      <c r="C71" s="15" t="n"/>
      <c r="D71" s="15" t="n"/>
      <c r="E71" s="15" t="n"/>
      <c r="F71" s="15" t="n"/>
      <c r="G71" s="15" t="n"/>
      <c r="H71" s="15" t="n"/>
      <c r="I71" s="15" t="n"/>
      <c r="J71" s="15" t="n"/>
      <c r="K71" s="204" t="n"/>
      <c r="L71" s="133" t="n"/>
      <c r="M71" s="133" t="n"/>
      <c r="N71" s="15" t="n"/>
      <c r="O71" s="15" t="n"/>
      <c r="P71" s="15" t="n"/>
      <c r="Q71" s="133">
        <f>IFERROR((L71+N71)/(M71+O71),"")</f>
        <v/>
      </c>
      <c r="R71" s="133">
        <f>IFERROR(D71*Q71,"")</f>
        <v/>
      </c>
      <c r="S71" s="133">
        <f>IFERROR(Q71*G71,"")</f>
        <v/>
      </c>
      <c r="T71" s="15" t="n"/>
    </row>
    <row r="72">
      <c r="A72" s="209" t="inlineStr">
        <is>
          <t>Total</t>
        </is>
      </c>
      <c r="B72" s="209" t="n"/>
      <c r="C72" s="209" t="n"/>
      <c r="D72" s="209" t="n"/>
      <c r="E72" s="209" t="n"/>
      <c r="F72" s="209" t="n"/>
      <c r="G72" s="209" t="n"/>
      <c r="H72" s="209" t="n"/>
      <c r="I72" s="209" t="n"/>
      <c r="J72" s="209" t="n"/>
      <c r="K72" s="210" t="n"/>
      <c r="L72" s="211" t="n"/>
      <c r="M72" s="211" t="n"/>
      <c r="N72" s="209" t="n"/>
      <c r="O72" s="209" t="n"/>
      <c r="P72" s="209" t="n"/>
      <c r="Q72" s="211">
        <f>IFERROR((L72+N72)/(M72+O72),"")</f>
        <v/>
      </c>
      <c r="R72" s="211">
        <f>IFERROR(D72*Q72,"")</f>
        <v/>
      </c>
      <c r="S72" s="211">
        <f>SUM(S67:S71)</f>
        <v/>
      </c>
      <c r="T72" s="209" t="n"/>
    </row>
    <row r="73">
      <c r="A73" s="15" t="n"/>
      <c r="B73" s="15" t="n"/>
      <c r="C73" s="15" t="n"/>
      <c r="D73" s="15" t="n"/>
      <c r="E73" s="15" t="n"/>
      <c r="F73" s="15" t="n"/>
      <c r="G73" s="15" t="n"/>
      <c r="H73" s="15" t="n"/>
      <c r="I73" s="15" t="n"/>
      <c r="J73" s="15" t="n"/>
      <c r="K73" s="204" t="n"/>
      <c r="L73" s="133" t="n"/>
      <c r="M73" s="133" t="n"/>
      <c r="N73" s="15" t="n"/>
      <c r="O73" s="15" t="n"/>
      <c r="P73" s="15" t="n"/>
      <c r="Q73" s="133">
        <f>IFERROR((L73+N73)/(M73+O73),"")</f>
        <v/>
      </c>
      <c r="R73" s="133">
        <f>IFERROR(D73*Q73,"")</f>
        <v/>
      </c>
      <c r="S73" s="133">
        <f>IFERROR(Q73*G73,"")</f>
        <v/>
      </c>
      <c r="T73" s="15" t="n"/>
    </row>
    <row r="74">
      <c r="A74" s="8" t="inlineStr">
        <is>
          <t>Poultry production</t>
        </is>
      </c>
      <c r="B74" s="212" t="n"/>
      <c r="C74" s="212" t="n"/>
      <c r="D74" s="15" t="n"/>
      <c r="E74" s="15" t="n"/>
      <c r="F74" s="15" t="n"/>
      <c r="G74" s="15" t="n"/>
      <c r="H74" s="15" t="n"/>
      <c r="I74" s="15" t="n"/>
      <c r="J74" s="15" t="n"/>
      <c r="K74" s="204" t="n"/>
      <c r="L74" s="133" t="n"/>
      <c r="M74" s="133" t="n"/>
      <c r="N74" s="15" t="n"/>
      <c r="O74" s="15" t="n"/>
      <c r="P74" s="15" t="n"/>
      <c r="Q74" s="133">
        <f>IFERROR((L74+N74)/(M74+O74),"")</f>
        <v/>
      </c>
      <c r="R74" s="133">
        <f>IFERROR(D74*Q74,"")</f>
        <v/>
      </c>
      <c r="S74" s="133">
        <f>IFERROR(Q74*G74,"")</f>
        <v/>
      </c>
      <c r="T74" s="15" t="n"/>
    </row>
    <row r="75">
      <c r="A75" s="15" t="inlineStr">
        <is>
          <t>Eggs</t>
        </is>
      </c>
      <c r="B75" s="15" t="n"/>
      <c r="C75" s="15" t="n"/>
      <c r="D75" s="15" t="n"/>
      <c r="E75" s="15" t="n"/>
      <c r="F75" s="15" t="n"/>
      <c r="G75" s="15" t="n"/>
      <c r="H75" s="15" t="n"/>
      <c r="I75" s="15" t="n"/>
      <c r="J75" s="15" t="n"/>
      <c r="K75" s="204" t="n"/>
      <c r="L75" s="133" t="n"/>
      <c r="M75" s="133" t="n"/>
      <c r="N75" s="15" t="n"/>
      <c r="O75" s="15" t="n"/>
      <c r="P75" s="15" t="n"/>
      <c r="Q75" s="133">
        <f>IFERROR((L75+N75)/(M75+O75),"")</f>
        <v/>
      </c>
      <c r="R75" s="133">
        <f>IFERROR(D75*Q75,"")</f>
        <v/>
      </c>
      <c r="S75" s="133">
        <f>IFERROR(Q75*G75,"")</f>
        <v/>
      </c>
      <c r="T75" s="15" t="n"/>
    </row>
    <row r="76">
      <c r="A76" s="15" t="inlineStr">
        <is>
          <t>Cocks &amp; hens from churchscot of customary tenants</t>
        </is>
      </c>
      <c r="B76" s="15" t="n"/>
      <c r="C76" s="15" t="n"/>
      <c r="D76" s="15" t="n"/>
      <c r="E76" s="15" t="n"/>
      <c r="F76" s="15" t="n"/>
      <c r="G76" s="15" t="n"/>
      <c r="H76" s="15" t="n"/>
      <c r="I76" s="15" t="n"/>
      <c r="J76" s="15" t="n"/>
      <c r="K76" s="204" t="n"/>
      <c r="L76" s="133" t="n"/>
      <c r="M76" s="133" t="n"/>
      <c r="N76" s="15" t="n"/>
      <c r="O76" s="15" t="n"/>
      <c r="P76" s="15" t="n"/>
      <c r="Q76" s="133">
        <f>IFERROR((L76+N76)/(M76+O76),"")</f>
        <v/>
      </c>
      <c r="R76" s="133">
        <f>IFERROR(D76*Q76,"")</f>
        <v/>
      </c>
      <c r="S76" s="133">
        <f>IFERROR(Q76*G76,"")</f>
        <v/>
      </c>
      <c r="T76" s="15" t="n"/>
    </row>
    <row r="77">
      <c r="A77" s="15" t="n"/>
      <c r="B77" s="15" t="n"/>
      <c r="C77" s="15" t="n"/>
      <c r="D77" s="15" t="n"/>
      <c r="E77" s="15" t="n"/>
      <c r="F77" s="15" t="n"/>
      <c r="G77" s="15" t="n"/>
      <c r="H77" s="15" t="n"/>
      <c r="I77" s="15" t="n"/>
      <c r="J77" s="15" t="n"/>
      <c r="K77" s="204" t="n"/>
      <c r="L77" s="133" t="n"/>
      <c r="M77" s="133" t="n"/>
      <c r="N77" s="15" t="n"/>
      <c r="O77" s="15" t="n"/>
      <c r="P77" s="15" t="n"/>
      <c r="Q77" s="133">
        <f>IFERROR((L77+N77)/(M77+O77),"")</f>
        <v/>
      </c>
      <c r="R77" s="133">
        <f>IFERROR(D77*Q77,"")</f>
        <v/>
      </c>
      <c r="S77" s="133">
        <f>IFERROR(Q77*G77,"")</f>
        <v/>
      </c>
      <c r="T77" s="15" t="n"/>
    </row>
    <row r="78">
      <c r="A78" s="15" t="n"/>
      <c r="B78" s="15" t="n"/>
      <c r="C78" s="15" t="n"/>
      <c r="D78" s="15" t="n"/>
      <c r="E78" s="15" t="n"/>
      <c r="F78" s="15" t="n"/>
      <c r="G78" s="15" t="n"/>
      <c r="H78" s="15" t="n"/>
      <c r="I78" s="15" t="n"/>
      <c r="J78" s="15" t="n"/>
      <c r="K78" s="204" t="n"/>
      <c r="L78" s="133" t="n"/>
      <c r="M78" s="133" t="n"/>
      <c r="N78" s="15" t="n"/>
      <c r="O78" s="15" t="n"/>
      <c r="P78" s="15" t="n"/>
      <c r="Q78" s="133">
        <f>IFERROR((L78+N78)/(M78+O78),"")</f>
        <v/>
      </c>
      <c r="R78" s="133">
        <f>IFERROR(D78*Q78,"")</f>
        <v/>
      </c>
      <c r="S78" s="133">
        <f>IFERROR(Q78*G78,"")</f>
        <v/>
      </c>
      <c r="T78" s="15" t="n"/>
    </row>
    <row r="79">
      <c r="A79" s="8" t="inlineStr">
        <is>
          <t>Meat</t>
        </is>
      </c>
      <c r="B79" s="15" t="n"/>
      <c r="C79" s="15" t="n"/>
      <c r="D79" s="15" t="n"/>
      <c r="E79" s="15" t="n"/>
      <c r="F79" s="15" t="n"/>
      <c r="G79" s="15" t="n"/>
      <c r="H79" s="15" t="n"/>
      <c r="I79" s="15" t="n"/>
      <c r="J79" s="15" t="n"/>
      <c r="K79" s="204" t="n"/>
      <c r="L79" s="133" t="n"/>
      <c r="M79" s="133" t="n"/>
      <c r="N79" s="15" t="n"/>
      <c r="O79" s="15" t="n"/>
      <c r="P79" s="15" t="n"/>
      <c r="Q79" s="133">
        <f>IFERROR((L79+N79)/(M79+O79),"")</f>
        <v/>
      </c>
      <c r="R79" s="133">
        <f>IFERROR(D79*Q79,"")</f>
        <v/>
      </c>
      <c r="S79" s="133">
        <f>IFERROR(Q79*G79,"")</f>
        <v/>
      </c>
      <c r="T79" s="15" t="n"/>
    </row>
    <row r="80">
      <c r="A80" s="15" t="inlineStr">
        <is>
          <t>Beef</t>
        </is>
      </c>
      <c r="B80" s="15" t="n"/>
      <c r="C80" s="15" t="n"/>
      <c r="D80" s="15" t="n"/>
      <c r="E80" s="15" t="n"/>
      <c r="F80" s="15" t="n"/>
      <c r="G80" s="15" t="n"/>
      <c r="H80" s="15" t="n"/>
      <c r="I80" s="15" t="n"/>
      <c r="J80" s="15" t="n"/>
      <c r="K80" s="204" t="n"/>
      <c r="L80" s="133" t="n"/>
      <c r="M80" s="133" t="n"/>
      <c r="N80" s="15" t="n"/>
      <c r="O80" s="15" t="n"/>
      <c r="P80" s="15" t="n"/>
      <c r="Q80" s="133">
        <f>IFERROR((L80+N80)/(M80+O80),"")</f>
        <v/>
      </c>
      <c r="R80" s="133">
        <f>IFERROR(D80*Q80,"")</f>
        <v/>
      </c>
      <c r="S80" s="133">
        <f>IFERROR(Q80*G80,"")</f>
        <v/>
      </c>
      <c r="T80" s="15" t="n"/>
    </row>
    <row r="81">
      <c r="A81" s="15" t="inlineStr">
        <is>
          <t>Mutton</t>
        </is>
      </c>
      <c r="B81" s="15" t="n"/>
      <c r="C81" s="15" t="n"/>
      <c r="D81" s="15" t="n"/>
      <c r="E81" s="15" t="n"/>
      <c r="F81" s="15" t="n"/>
      <c r="G81" s="15" t="n"/>
      <c r="H81" s="15" t="n"/>
      <c r="I81" s="15" t="n"/>
      <c r="J81" s="15" t="n"/>
      <c r="K81" s="204" t="n"/>
      <c r="L81" s="133" t="n"/>
      <c r="M81" s="133" t="n"/>
      <c r="N81" s="15" t="n"/>
      <c r="O81" s="15" t="n"/>
      <c r="P81" s="15" t="n"/>
      <c r="Q81" s="133">
        <f>IFERROR((L81+N81)/(M81+O81),"")</f>
        <v/>
      </c>
      <c r="R81" s="133">
        <f>IFERROR(D81*Q81,"")</f>
        <v/>
      </c>
      <c r="S81" s="133">
        <f>IFERROR(Q81*G81,"")</f>
        <v/>
      </c>
      <c r="T81" s="15" t="n"/>
    </row>
    <row r="82">
      <c r="A82" s="15" t="inlineStr">
        <is>
          <t>Pork</t>
        </is>
      </c>
      <c r="B82" s="15" t="n"/>
      <c r="C82" s="15" t="n"/>
      <c r="D82" s="15" t="n"/>
      <c r="E82" s="15" t="n"/>
      <c r="F82" s="15" t="n"/>
      <c r="G82" s="15" t="n"/>
      <c r="H82" s="15" t="n"/>
      <c r="I82" s="15" t="n"/>
      <c r="J82" s="15" t="n"/>
      <c r="K82" s="204" t="n"/>
      <c r="L82" s="133" t="n"/>
      <c r="M82" s="133" t="n"/>
      <c r="N82" s="15" t="n"/>
      <c r="O82" s="15" t="n"/>
      <c r="P82" s="15" t="n"/>
      <c r="Q82" s="133">
        <f>IFERROR((L82+N82)/(M82+O82),"")</f>
        <v/>
      </c>
      <c r="R82" s="133">
        <f>IFERROR(D82*Q82,"")</f>
        <v/>
      </c>
      <c r="S82" s="133">
        <f>IFERROR(Q82*G82,"")</f>
        <v/>
      </c>
      <c r="T82" s="15" t="n"/>
    </row>
    <row r="83">
      <c r="A83" s="15" t="n"/>
      <c r="B83" s="15" t="n"/>
      <c r="C83" s="15" t="n"/>
      <c r="D83" s="15" t="n"/>
      <c r="E83" s="15" t="n"/>
      <c r="F83" s="15" t="n"/>
      <c r="G83" s="15" t="n"/>
      <c r="H83" s="15" t="n"/>
      <c r="I83" s="15" t="n"/>
      <c r="J83" s="15" t="n"/>
      <c r="K83" s="204" t="n"/>
      <c r="L83" s="133" t="n"/>
      <c r="M83" s="133" t="n"/>
      <c r="N83" s="15" t="n"/>
      <c r="O83" s="15" t="n"/>
      <c r="P83" s="15" t="n"/>
      <c r="Q83" s="133">
        <f>IFERROR((L83+N83)/(M83+O83),"")</f>
        <v/>
      </c>
      <c r="R83" s="133">
        <f>IFERROR(D83*Q83,"")</f>
        <v/>
      </c>
      <c r="S83" s="133">
        <f>IFERROR(Q83*G83,"")</f>
        <v/>
      </c>
      <c r="T83" s="15" t="n"/>
    </row>
    <row r="84">
      <c r="A84" s="15" t="n"/>
      <c r="B84" s="15" t="n"/>
      <c r="C84" s="15" t="n"/>
      <c r="D84" s="15" t="n"/>
      <c r="E84" s="15" t="n"/>
      <c r="F84" s="15" t="n"/>
      <c r="G84" s="15" t="n"/>
      <c r="H84" s="15" t="n"/>
      <c r="I84" s="15" t="n"/>
      <c r="J84" s="15" t="n"/>
      <c r="K84" s="204" t="n"/>
      <c r="L84" s="133" t="n"/>
      <c r="M84" s="133" t="n"/>
      <c r="N84" s="15" t="n"/>
      <c r="O84" s="15" t="n"/>
      <c r="P84" s="15" t="n"/>
      <c r="Q84" s="133">
        <f>IFERROR((L84+N84)/(M84+O84),"")</f>
        <v/>
      </c>
      <c r="R84" s="133">
        <f>IFERROR(D84*Q84,"")</f>
        <v/>
      </c>
      <c r="S84" s="133">
        <f>IFERROR(Q84*G84,"")</f>
        <v/>
      </c>
      <c r="T84" s="15" t="n"/>
    </row>
    <row r="85">
      <c r="A85" s="8" t="inlineStr">
        <is>
          <t>Cheese</t>
        </is>
      </c>
      <c r="B85" s="212" t="n"/>
      <c r="C85" s="212" t="n"/>
      <c r="D85" s="15" t="n"/>
      <c r="E85" s="15" t="n"/>
      <c r="F85" s="15" t="n"/>
      <c r="G85" s="15" t="n"/>
      <c r="H85" s="15" t="n"/>
      <c r="I85" s="15" t="n"/>
      <c r="J85" s="15" t="n"/>
      <c r="K85" s="204" t="n"/>
      <c r="L85" s="133" t="n"/>
      <c r="M85" s="133" t="n"/>
      <c r="N85" s="15" t="n"/>
      <c r="O85" s="15" t="n"/>
      <c r="P85" s="15" t="n"/>
      <c r="Q85" s="133">
        <f>IFERROR((L85+N85)/(M85+O85),"")</f>
        <v/>
      </c>
      <c r="R85" s="133">
        <f>IFERROR(D85*Q85,"")</f>
        <v/>
      </c>
      <c r="S85" s="133">
        <f>IFERROR(Q85*G85,"")</f>
        <v/>
      </c>
      <c r="T85" s="15" t="n"/>
    </row>
    <row r="86">
      <c r="A86" s="15" t="inlineStr">
        <is>
          <t>Winter cheese</t>
        </is>
      </c>
      <c r="B86" s="15" t="n"/>
      <c r="C86" s="15" t="n"/>
      <c r="D86" s="15">
        <f>25+4</f>
        <v/>
      </c>
      <c r="E86" s="15" t="n"/>
      <c r="F86" s="15" t="n"/>
      <c r="G86" s="15" t="n">
        <v>29</v>
      </c>
      <c r="H86" s="15" t="n"/>
      <c r="I86" s="15" t="n"/>
      <c r="J86" s="15" t="n">
        <v>0</v>
      </c>
      <c r="K86" s="204">
        <f>B86+C86+D86+E86-F86-G86-H86-I86</f>
        <v/>
      </c>
      <c r="L86" s="133" t="n"/>
      <c r="M86" s="133" t="n"/>
      <c r="N86" s="15" t="n"/>
      <c r="O86" s="15" t="n"/>
      <c r="P86" s="15">
        <f>1+6/25</f>
        <v/>
      </c>
      <c r="Q86" s="133">
        <f>S86/G86</f>
        <v/>
      </c>
      <c r="R86" s="133">
        <f>IFERROR(D86*Q86,"")</f>
        <v/>
      </c>
      <c r="S86" s="133">
        <f>'Overton Receipts'!F106</f>
        <v/>
      </c>
      <c r="T86" s="15" t="inlineStr">
        <is>
          <t>all sold</t>
        </is>
      </c>
    </row>
    <row r="87">
      <c r="A87" s="15" t="inlineStr">
        <is>
          <t>Summer cheese</t>
        </is>
      </c>
      <c r="B87" s="15" t="n"/>
      <c r="C87" s="15" t="n"/>
      <c r="D87" s="15" t="n">
        <v>173</v>
      </c>
      <c r="E87" s="15" t="n"/>
      <c r="F87" s="15" t="n"/>
      <c r="G87" s="15" t="n">
        <v>153</v>
      </c>
      <c r="H87" s="15" t="n"/>
      <c r="I87" s="15" t="n"/>
      <c r="J87" s="15" t="n">
        <v>0</v>
      </c>
      <c r="K87" s="204">
        <f>B87+C87+D87+E87-F87-G87-H87-I87</f>
        <v/>
      </c>
      <c r="L87" s="133" t="n"/>
      <c r="M87" s="133" t="n"/>
      <c r="N87" s="15" t="n"/>
      <c r="O87" s="15" t="n"/>
      <c r="P87" s="133">
        <f>(10/153)*173</f>
        <v/>
      </c>
      <c r="Q87" s="133">
        <f>S87/G87</f>
        <v/>
      </c>
      <c r="R87" s="133">
        <f>IFERROR(D87*Q87,"")</f>
        <v/>
      </c>
      <c r="S87" s="133">
        <f>'Overton Receipts'!F107</f>
        <v/>
      </c>
      <c r="T87" s="15" t="inlineStr">
        <is>
          <t>153 cheeses sold, 10 weys</t>
        </is>
      </c>
    </row>
    <row r="88">
      <c r="A88" s="209" t="inlineStr">
        <is>
          <t>Total</t>
        </is>
      </c>
      <c r="B88" s="209" t="n"/>
      <c r="C88" s="209" t="n"/>
      <c r="D88" s="209" t="n"/>
      <c r="E88" s="209" t="n"/>
      <c r="F88" s="209" t="n"/>
      <c r="G88" s="209" t="n"/>
      <c r="H88" s="209" t="n"/>
      <c r="I88" s="209" t="n"/>
      <c r="J88" s="209" t="n"/>
      <c r="K88" s="210" t="n"/>
      <c r="L88" s="211" t="n"/>
      <c r="M88" s="211" t="n"/>
      <c r="N88" s="209" t="n"/>
      <c r="O88" s="209" t="n"/>
      <c r="P88" s="209" t="n"/>
      <c r="Q88" s="211">
        <f>IFERROR((L88+N88)/(M88+O88),"")</f>
        <v/>
      </c>
      <c r="R88" s="211">
        <f>IFERROR(D88*Q88,"")</f>
        <v/>
      </c>
      <c r="S88" s="211">
        <f>SUM(S86:S87)</f>
        <v/>
      </c>
      <c r="T88" s="209" t="n"/>
    </row>
    <row r="89">
      <c r="A89" s="15" t="n"/>
      <c r="B89" s="15" t="n"/>
      <c r="C89" s="15" t="n"/>
      <c r="D89" s="15" t="n"/>
      <c r="E89" s="15" t="n"/>
      <c r="F89" s="15" t="n"/>
      <c r="G89" s="15" t="n"/>
      <c r="H89" s="15" t="n"/>
      <c r="I89" s="15" t="n"/>
      <c r="J89" s="15" t="n"/>
      <c r="K89" s="204" t="n"/>
      <c r="L89" s="133" t="n"/>
      <c r="M89" s="133" t="n"/>
      <c r="N89" s="15" t="n"/>
      <c r="O89" s="15" t="n"/>
      <c r="P89" s="15" t="n"/>
      <c r="Q89" s="133">
        <f>IFERROR((L89+N89)/(M89+O89),"")</f>
        <v/>
      </c>
      <c r="R89" s="133">
        <f>IFERROR(D89*Q89,"")</f>
        <v/>
      </c>
      <c r="S89" s="133">
        <f>IFERROR(Q89*G89,"")</f>
        <v/>
      </c>
      <c r="T89" s="15" t="n"/>
    </row>
    <row r="90">
      <c r="A90" s="8" t="inlineStr">
        <is>
          <t>Butter</t>
        </is>
      </c>
      <c r="B90" s="212" t="n"/>
      <c r="C90" s="212" t="n"/>
      <c r="D90" s="15" t="n"/>
      <c r="E90" s="15" t="n"/>
      <c r="F90" s="15" t="n"/>
      <c r="G90" s="15" t="n"/>
      <c r="H90" s="15" t="n"/>
      <c r="I90" s="15" t="n"/>
      <c r="J90" s="15" t="n"/>
      <c r="K90" s="204" t="n"/>
      <c r="L90" s="133" t="n"/>
      <c r="M90" s="15" t="n"/>
      <c r="N90" s="15" t="n"/>
      <c r="P90" s="15" t="n"/>
      <c r="Q90" s="133">
        <f>IFERROR((L90+N90)/(M90+O90),"")</f>
        <v/>
      </c>
      <c r="R90" s="133">
        <f>IFERROR(D90*Q90,"")</f>
        <v/>
      </c>
      <c r="S90" s="133">
        <f>IFERROR(Q90*G90,"")</f>
        <v/>
      </c>
      <c r="T90" s="15" t="n"/>
    </row>
    <row r="91">
      <c r="A91" s="15" t="inlineStr">
        <is>
          <t>1 wey of butter</t>
        </is>
      </c>
      <c r="B91" s="15" t="n"/>
      <c r="C91" s="15" t="n"/>
      <c r="D91" s="15" t="n">
        <v>25</v>
      </c>
      <c r="E91" s="15" t="n"/>
      <c r="F91" s="15" t="n"/>
      <c r="G91" s="15" t="n"/>
      <c r="H91" s="15" t="n"/>
      <c r="I91" s="15" t="n"/>
      <c r="J91" s="15" t="n"/>
      <c r="K91" s="204" t="n"/>
      <c r="L91" s="133" t="n"/>
      <c r="M91" s="133" t="n"/>
      <c r="N91" s="15" t="n"/>
      <c r="O91" s="15" t="n"/>
      <c r="P91" s="15" t="n">
        <v>1</v>
      </c>
      <c r="Q91" s="133">
        <f>S91/D91</f>
        <v/>
      </c>
      <c r="R91" s="133">
        <f>IFERROR(D91*Q91,"")</f>
        <v/>
      </c>
      <c r="S91" s="133">
        <f>'Overton Receipts'!F108</f>
        <v/>
      </c>
      <c r="T91" s="15" t="inlineStr">
        <is>
          <t>all sold</t>
        </is>
      </c>
    </row>
    <row r="92">
      <c r="A92" s="209" t="inlineStr">
        <is>
          <t>Total</t>
        </is>
      </c>
      <c r="B92" s="209" t="n"/>
      <c r="C92" s="209" t="n"/>
      <c r="D92" s="209" t="n"/>
      <c r="E92" s="209" t="n"/>
      <c r="F92" s="209" t="n"/>
      <c r="G92" s="209" t="n"/>
      <c r="H92" s="209" t="n"/>
      <c r="I92" s="209" t="n"/>
      <c r="J92" s="209" t="n"/>
      <c r="K92" s="210" t="n"/>
      <c r="L92" s="211" t="n"/>
      <c r="M92" s="211" t="n"/>
      <c r="N92" s="209" t="n"/>
      <c r="O92" s="209" t="n"/>
      <c r="P92" s="209" t="n"/>
      <c r="Q92" s="211" t="n"/>
      <c r="R92" s="211" t="n"/>
      <c r="S92" s="211">
        <f>S91</f>
        <v/>
      </c>
      <c r="T92" s="209" t="n"/>
    </row>
    <row r="93">
      <c r="A93" s="15" t="n"/>
      <c r="B93" s="15" t="n"/>
      <c r="C93" s="15" t="n"/>
      <c r="D93" s="15" t="n"/>
      <c r="E93" s="15" t="n"/>
      <c r="F93" s="15" t="n"/>
      <c r="G93" s="15" t="n"/>
      <c r="H93" s="15" t="n"/>
      <c r="I93" s="15" t="n"/>
      <c r="J93" s="15" t="n"/>
      <c r="K93" s="204" t="n"/>
      <c r="L93" s="133" t="n"/>
      <c r="M93" s="133" t="n"/>
      <c r="N93" s="15" t="n"/>
      <c r="O93" s="15" t="n"/>
      <c r="P93" s="15" t="n"/>
      <c r="Q93" s="133">
        <f>IFERROR((L93+N93)/(M93+O93),"")</f>
        <v/>
      </c>
      <c r="R93" s="133">
        <f>IFERROR(D93*Q93,"")</f>
        <v/>
      </c>
      <c r="S93" s="133">
        <f>IFERROR(Q93*G93,"")</f>
        <v/>
      </c>
      <c r="T93" s="15" t="n"/>
    </row>
    <row r="94">
      <c r="A94" s="8" t="inlineStr">
        <is>
          <t>Cider</t>
        </is>
      </c>
      <c r="B94" s="15" t="n"/>
      <c r="C94" s="15" t="n"/>
      <c r="D94" s="15" t="n"/>
      <c r="E94" s="15" t="n"/>
      <c r="F94" s="15" t="n"/>
      <c r="G94" s="15" t="n"/>
      <c r="H94" s="15" t="n"/>
      <c r="I94" s="15" t="n"/>
      <c r="J94" s="15" t="n"/>
      <c r="K94" s="204" t="n"/>
      <c r="L94" s="133" t="n"/>
      <c r="M94" s="133" t="n"/>
      <c r="N94" s="15" t="n"/>
      <c r="O94" s="15" t="n"/>
      <c r="P94" s="15" t="n"/>
      <c r="Q94" s="133">
        <f>IFERROR((L94+N94)/(M94+O94),"")</f>
        <v/>
      </c>
      <c r="R94" s="133">
        <f>IFERROR(D94*Q94,"")</f>
        <v/>
      </c>
      <c r="S94" s="133">
        <f>IFERROR(Q94*G94,"")</f>
        <v/>
      </c>
      <c r="T94" s="15" t="n"/>
    </row>
    <row r="95">
      <c r="A95" s="15" t="inlineStr">
        <is>
          <t>nothing</t>
        </is>
      </c>
      <c r="B95" s="15" t="n"/>
      <c r="C95" s="15" t="n"/>
      <c r="D95" s="15" t="n"/>
      <c r="E95" s="15" t="n"/>
      <c r="F95" s="15" t="n"/>
      <c r="G95" s="15" t="n"/>
      <c r="H95" s="15" t="n"/>
      <c r="I95" s="15" t="n"/>
      <c r="J95" s="15" t="n"/>
      <c r="K95" s="204" t="n"/>
      <c r="L95" s="133" t="n"/>
      <c r="M95" s="133" t="n"/>
      <c r="N95" s="15" t="n"/>
      <c r="O95" s="15" t="n"/>
      <c r="P95" s="15" t="n"/>
      <c r="Q95" s="133">
        <f>IFERROR((L95+N95)/(M95+O95),"")</f>
        <v/>
      </c>
      <c r="R95" s="133">
        <f>IFERROR(D95*Q95,"")</f>
        <v/>
      </c>
      <c r="S95" s="133">
        <f>IFERROR(Q95*G95,"")</f>
        <v/>
      </c>
      <c r="T95" s="15" t="n"/>
    </row>
    <row r="96">
      <c r="A96" s="15" t="n"/>
      <c r="B96" s="15" t="n"/>
      <c r="C96" s="15" t="n"/>
      <c r="D96" s="15" t="n"/>
      <c r="E96" s="15" t="n"/>
      <c r="F96" s="15" t="n"/>
      <c r="G96" s="15" t="n"/>
      <c r="H96" s="15" t="n"/>
      <c r="I96" s="15" t="n"/>
      <c r="J96" s="15" t="n"/>
      <c r="K96" s="204" t="n"/>
      <c r="L96" s="133" t="n"/>
      <c r="M96" s="133" t="n"/>
      <c r="N96" s="15" t="n"/>
      <c r="O96" s="15" t="n"/>
      <c r="P96" s="15" t="n"/>
      <c r="Q96" s="133">
        <f>IFERROR((L96+N96)/(M96+O96),"")</f>
        <v/>
      </c>
      <c r="R96" s="133">
        <f>IFERROR(D96*Q96,"")</f>
        <v/>
      </c>
      <c r="S96" s="133">
        <f>IFERROR(Q96*G96,"")</f>
        <v/>
      </c>
      <c r="T96" s="15" t="n"/>
    </row>
    <row r="97">
      <c r="A97" s="15" t="n"/>
      <c r="B97" s="15" t="n"/>
      <c r="C97" s="15" t="n"/>
      <c r="D97" s="15" t="n"/>
      <c r="E97" s="15" t="n"/>
      <c r="F97" s="15" t="n"/>
      <c r="G97" s="15" t="n"/>
      <c r="H97" s="15" t="n"/>
      <c r="I97" s="15" t="n"/>
      <c r="J97" s="15" t="n"/>
      <c r="K97" s="204" t="n"/>
      <c r="L97" s="133" t="n"/>
      <c r="M97" s="133" t="n"/>
      <c r="N97" s="15" t="n"/>
      <c r="O97" s="15" t="n"/>
      <c r="P97" s="15" t="n"/>
      <c r="Q97" s="133">
        <f>IFERROR((L97+N97)/(M97+O97),"")</f>
        <v/>
      </c>
      <c r="R97" s="133">
        <f>IFERROR(D97*Q97,"")</f>
        <v/>
      </c>
      <c r="S97" s="133">
        <f>IFERROR(Q97*G97,"")</f>
        <v/>
      </c>
      <c r="T97" s="15" t="n"/>
    </row>
    <row r="98">
      <c r="B98" s="212" t="n"/>
      <c r="C98" s="212" t="n"/>
      <c r="D98" s="15" t="n"/>
      <c r="E98" s="15" t="n"/>
      <c r="F98" s="15" t="n"/>
      <c r="G98" s="15" t="n"/>
      <c r="H98" s="15" t="n"/>
      <c r="I98" s="15" t="n"/>
      <c r="J98" s="15" t="n"/>
      <c r="K98" s="204" t="n"/>
      <c r="L98" s="133" t="n"/>
      <c r="M98" s="133" t="n"/>
      <c r="N98" s="15" t="n"/>
      <c r="O98" s="15" t="n"/>
      <c r="P98" s="15" t="n"/>
      <c r="Q98" s="133">
        <f>IFERROR((L98+N98)/(M98+O98),"")</f>
        <v/>
      </c>
      <c r="R98" s="133">
        <f>IFERROR(D98*Q98,"")</f>
        <v/>
      </c>
      <c r="S98" s="133">
        <f>IFERROR(Q98*G98,"")</f>
        <v/>
      </c>
      <c r="T98" s="15" t="n"/>
    </row>
    <row r="99">
      <c r="Q99" s="133">
        <f>IFERROR((L99+N99)/(M99+O99),"")</f>
        <v/>
      </c>
      <c r="R99" s="133">
        <f>IFERROR(D99*Q99,"")</f>
        <v/>
      </c>
      <c r="S99" s="133">
        <f>IFERROR(Q99*G99,"")</f>
        <v/>
      </c>
    </row>
    <row r="100">
      <c r="A100" s="12" t="n"/>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cols>
    <col width="12" customWidth="1" min="3" max="3"/>
    <col width="14.83203125" customWidth="1" min="4" max="4"/>
    <col width="14" customWidth="1" min="5" max="5"/>
    <col width="14.1640625" customWidth="1" min="6" max="6"/>
  </cols>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2025-12-18T10:17:17Z</dcterms:modified>
  <cp:lastModifiedBy>Kowalski, Kuba</cp:lastModifiedBy>
</cp:coreProperties>
</file>
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Ivinghoe Overview - Completed" sheetId="1" state="visible" r:id="rId1"/>
    <sheet xmlns:r="http://schemas.openxmlformats.org/officeDocument/2006/relationships" name="Prices" sheetId="2" state="visible" r:id="rId2"/>
    <sheet xmlns:r="http://schemas.openxmlformats.org/officeDocument/2006/relationships" name="Labour Rents" sheetId="3" state="visible" r:id="rId3"/>
    <sheet xmlns:r="http://schemas.openxmlformats.org/officeDocument/2006/relationships" name="Overview" sheetId="4" state="visible" r:id="rId4"/>
    <sheet xmlns:r="http://schemas.openxmlformats.org/officeDocument/2006/relationships" name="Receipts" sheetId="5" state="visible" r:id="rId5"/>
    <sheet xmlns:r="http://schemas.openxmlformats.org/officeDocument/2006/relationships" name="Expenses" sheetId="6" state="visible" r:id="rId6"/>
    <sheet xmlns:r="http://schemas.openxmlformats.org/officeDocument/2006/relationships" name="Issues of the Grange" sheetId="7" state="visible" r:id="rId7"/>
    <sheet xmlns:r="http://schemas.openxmlformats.org/officeDocument/2006/relationships" name="Issues of the Mills" sheetId="8" state="visible" r:id="rId8"/>
    <sheet xmlns:r="http://schemas.openxmlformats.org/officeDocument/2006/relationships" name="Stock" sheetId="9" state="visible" r:id="rId9"/>
    <sheet xmlns:r="http://schemas.openxmlformats.org/officeDocument/2006/relationships" name="raw data" sheetId="10" state="visible" r:id="rId10"/>
    <sheet xmlns:r="http://schemas.openxmlformats.org/officeDocument/2006/relationships" name="Issues of the Grange raw" sheetId="11" state="visible" r:id="rId11"/>
    <sheet xmlns:r="http://schemas.openxmlformats.org/officeDocument/2006/relationships" name="Sale of Corn Prices" sheetId="12" state="visible" r:id="rId12"/>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31">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
      <name val="Calibri"/>
      <family val="2"/>
      <color rgb="FFFF0000"/>
      <sz val="11"/>
      <scheme val="minor"/>
    </font>
    <font>
      <name val="Calibri (Body)"/>
      <color rgb="FFFF0000"/>
      <sz val="11"/>
    </font>
    <font>
      <name val="Calibri"/>
      <family val="2"/>
      <b val="1"/>
      <color rgb="FF000000"/>
      <sz val="11"/>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theme="2"/>
        <bgColor indexed="64"/>
      </patternFill>
    </fill>
  </fills>
  <borders count="20">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154">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2" fontId="28" fillId="0" borderId="0" pivotButton="0" quotePrefix="0" xfId="0"/>
    <xf numFmtId="2" fontId="9" fillId="0" borderId="0" pivotButton="0" quotePrefix="0" xfId="0"/>
    <xf numFmtId="2" fontId="0" fillId="5" borderId="0" pivotButton="0" quotePrefix="0" xfId="0"/>
    <xf numFmtId="0" fontId="28" fillId="5" borderId="0" pivotButton="0" quotePrefix="0" xfId="0"/>
    <xf numFmtId="0" fontId="20" fillId="5" borderId="0" pivotButton="0" quotePrefix="0" xfId="0"/>
    <xf numFmtId="0" fontId="0" fillId="0" borderId="17" pivotButton="0" quotePrefix="0" xfId="0"/>
    <xf numFmtId="2" fontId="0" fillId="0" borderId="18" pivotButton="0" quotePrefix="0" xfId="0"/>
    <xf numFmtId="0" fontId="0" fillId="0" borderId="18" pivotButton="0" quotePrefix="0" xfId="0"/>
    <xf numFmtId="10" fontId="0" fillId="0" borderId="18" pivotButton="0" quotePrefix="0" xfId="0"/>
    <xf numFmtId="0" fontId="0" fillId="0" borderId="19" pivotButton="0" quotePrefix="0" xfId="0"/>
    <xf numFmtId="0" fontId="29" fillId="0" borderId="0" pivotButton="0" quotePrefix="0" xfId="0"/>
    <xf numFmtId="2" fontId="29" fillId="0" borderId="0" pivotButton="0" quotePrefix="0" xfId="0"/>
    <xf numFmtId="2" fontId="9" fillId="0" borderId="0" applyAlignment="1" pivotButton="0" quotePrefix="0" xfId="0">
      <alignment horizontal="center"/>
    </xf>
    <xf numFmtId="2" fontId="19" fillId="0" borderId="0" applyAlignment="1" pivotButton="0" quotePrefix="0" xfId="0">
      <alignment horizontal="right" vertical="top"/>
    </xf>
    <xf numFmtId="2" fontId="28" fillId="0" borderId="0" applyAlignment="1" pivotButton="0" quotePrefix="0" xfId="0">
      <alignment horizontal="right" vertical="top"/>
    </xf>
    <xf numFmtId="2" fontId="7" fillId="0" borderId="0" applyAlignment="1" pivotButton="0" quotePrefix="0" xfId="0">
      <alignment horizontal="center" vertical="top"/>
    </xf>
    <xf numFmtId="2" fontId="28" fillId="0" borderId="0" applyAlignment="1" pivotButton="0" quotePrefix="0" xfId="0">
      <alignment horizontal="right"/>
    </xf>
    <xf numFmtId="0" fontId="7" fillId="0" borderId="0" applyAlignment="1" pivotButton="0" quotePrefix="0" xfId="0">
      <alignment horizontal="center" vertical="top" wrapText="1"/>
    </xf>
    <xf numFmtId="2" fontId="7" fillId="0" borderId="0" applyAlignment="1" pivotButton="0" quotePrefix="0" xfId="0">
      <alignment horizontal="center" vertical="top" wrapText="1"/>
    </xf>
    <xf numFmtId="0" fontId="0" fillId="11" borderId="0" pivotButton="0" quotePrefix="0" xfId="0"/>
    <xf numFmtId="0" fontId="20" fillId="0" borderId="0" applyAlignment="1" pivotButton="0" quotePrefix="0" xfId="0">
      <alignment horizontal="right" wrapText="1"/>
    </xf>
    <xf numFmtId="0" fontId="20" fillId="0" borderId="0" applyAlignment="1" pivotButton="0" quotePrefix="0" xfId="0">
      <alignment wrapText="1"/>
    </xf>
    <xf numFmtId="2" fontId="30" fillId="0" borderId="3" applyAlignment="1" pivotButton="0" quotePrefix="0" xfId="0">
      <alignment wrapText="1"/>
    </xf>
    <xf numFmtId="2" fontId="20" fillId="0" borderId="0" applyAlignment="1" pivotButton="0" quotePrefix="0" xfId="0">
      <alignment horizontal="right" wrapText="1"/>
    </xf>
    <xf numFmtId="2" fontId="0" fillId="0" borderId="3" pivotButton="0" quotePrefix="0" xfId="0"/>
    <xf numFmtId="2" fontId="9" fillId="0" borderId="0" applyAlignment="1" pivotButton="0" quotePrefix="0" xfId="0">
      <alignment horizontal="right" wrapText="1"/>
    </xf>
    <xf numFmtId="2" fontId="0" fillId="6"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C13" authorId="0" shapeId="0">
      <text>
        <t xml:space="preserve">Victoria Gierok:
from Issue of the grange </t>
      </text>
    </comment>
  </commentList>
</comments>
</file>

<file path=xl/comments/comment3.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9.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IVINGHOE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4.5</v>
      </c>
      <c r="D4" s="13" t="n"/>
      <c r="E4" s="13" t="n"/>
    </row>
    <row r="5">
      <c r="A5" s="15" t="inlineStr">
        <is>
          <t>Rents of assize total</t>
        </is>
      </c>
      <c r="B5" s="76" t="n">
        <v>25.96</v>
      </c>
    </row>
    <row r="6">
      <c r="A6" s="15" t="inlineStr">
        <is>
          <t>Quittances total</t>
        </is>
      </c>
      <c r="B6" s="76" t="n">
        <v>2.29</v>
      </c>
    </row>
    <row r="7">
      <c r="A7" s="15" t="inlineStr">
        <is>
          <t>Defaults of rent total</t>
        </is>
      </c>
      <c r="B7" s="76" t="n">
        <v>0.9</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3.2</v>
      </c>
    </row>
    <row r="12">
      <c r="A12" s="76" t="inlineStr">
        <is>
          <t>Total of rents remaining clear total</t>
        </is>
      </c>
      <c r="B12" s="76" t="n"/>
    </row>
    <row r="13">
      <c r="A13" s="76" t="inlineStr">
        <is>
          <t>Farms total</t>
        </is>
      </c>
      <c r="B13" s="76" t="n"/>
    </row>
    <row r="14">
      <c r="A14" s="15" t="inlineStr">
        <is>
          <t>Annual recognizances total</t>
        </is>
      </c>
      <c r="B14" s="76" t="n">
        <v>0.17</v>
      </c>
    </row>
    <row r="15">
      <c r="A15" s="15" t="inlineStr">
        <is>
          <t>Issues of the Manor total</t>
        </is>
      </c>
      <c r="B15" s="76" t="n">
        <v>12.75</v>
      </c>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v>9.18</v>
      </c>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SUM(B5:B22)</f>
        <v/>
      </c>
      <c r="C23" s="80" t="n"/>
    </row>
    <row r="24">
      <c r="A24" s="82" t="inlineStr">
        <is>
          <t>Total of all receipts (calculated here) incl arrears</t>
        </is>
      </c>
      <c r="B24">
        <f>SUM(B4:B22)</f>
        <v/>
      </c>
      <c r="D24" s="13" t="n"/>
      <c r="E24" s="13" t="n"/>
    </row>
    <row r="25">
      <c r="A25" s="83" t="inlineStr">
        <is>
          <t>Total recorded in the accounts excl. arrears</t>
        </is>
      </c>
      <c r="B25" s="76" t="n">
        <v>125.81</v>
      </c>
      <c r="C25" s="10">
        <f>B23-B25</f>
        <v/>
      </c>
    </row>
    <row r="26">
      <c r="A26" s="83" t="inlineStr">
        <is>
          <t>Total recorded in the accounts incl. arrears</t>
        </is>
      </c>
      <c r="B26">
        <f>B25+B4</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c r="B34" t="n">
        <v>2.43</v>
      </c>
    </row>
    <row r="35">
      <c r="A35" s="15" t="inlineStr">
        <is>
          <t>Sheepcote total</t>
        </is>
      </c>
    </row>
    <row r="36">
      <c r="A36" s="15" t="inlineStr">
        <is>
          <t>Cost of buildings total</t>
        </is>
      </c>
      <c r="B36" s="84" t="n"/>
    </row>
    <row r="37">
      <c r="A37" s="15" t="inlineStr">
        <is>
          <t>Threshing total</t>
        </is>
      </c>
      <c r="B37" t="n">
        <v>1.85</v>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1.194166666666667</v>
      </c>
    </row>
    <row r="43">
      <c r="A43" s="85" t="inlineStr">
        <is>
          <t>Annual fees</t>
        </is>
      </c>
      <c r="B43" s="86" t="n"/>
      <c r="C43" s="87" t="n"/>
      <c r="D43" s="88" t="n"/>
    </row>
    <row r="44">
      <c r="A44" s="82" t="inlineStr">
        <is>
          <t>Total of all expenses per account</t>
        </is>
      </c>
      <c r="B44" s="84" t="n">
        <v>31.64</v>
      </c>
    </row>
    <row r="45">
      <c r="A45" s="82" t="inlineStr">
        <is>
          <t>Total of all expenses (calculated here)</t>
        </is>
      </c>
      <c r="B45" s="84" t="n">
        <v>26.7625</v>
      </c>
    </row>
    <row r="46">
      <c r="A46" s="82" t="inlineStr">
        <is>
          <t>Total fixed investment</t>
        </is>
      </c>
      <c r="B46" s="84" t="n">
        <v>2.338333333333333</v>
      </c>
    </row>
    <row r="47">
      <c r="A47" s="82" t="inlineStr">
        <is>
          <t>Total Demesne fixed investment</t>
        </is>
      </c>
      <c r="B47" s="84" t="n">
        <v>1.903333333333334</v>
      </c>
    </row>
    <row r="48">
      <c r="A48" s="12" t="n"/>
    </row>
    <row r="49">
      <c r="A49" s="18" t="inlineStr">
        <is>
          <t>Owed by the reeve</t>
        </is>
      </c>
      <c r="B49" s="84">
        <f>B23-B45</f>
        <v/>
      </c>
    </row>
    <row r="50">
      <c r="A50" s="18" t="inlineStr">
        <is>
          <t>From accounts</t>
        </is>
      </c>
      <c r="B50" s="84" t="n">
        <v>31.64</v>
      </c>
    </row>
    <row r="51">
      <c r="A51" s="15" t="n"/>
    </row>
    <row r="52">
      <c r="A52" s="18" t="inlineStr">
        <is>
          <t>Allowances</t>
        </is>
      </c>
      <c r="B52" s="84" t="n"/>
    </row>
    <row r="53">
      <c r="A53" s="18" t="inlineStr">
        <is>
          <t>Cash deliveries</t>
        </is>
      </c>
      <c r="B53" s="84" t="n">
        <v>80</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220.375</v>
      </c>
      <c r="E62" t="n">
        <v>43.81249999999999</v>
      </c>
      <c r="F62" s="13" t="n"/>
    </row>
    <row r="63">
      <c r="A63" s="76" t="inlineStr">
        <is>
          <t>Rye</t>
        </is>
      </c>
      <c r="F63" s="13" t="n"/>
    </row>
    <row r="64">
      <c r="A64" s="76" t="inlineStr">
        <is>
          <t>Dredge</t>
        </is>
      </c>
      <c r="F64" s="13" t="n"/>
    </row>
    <row r="65">
      <c r="A65" s="76" t="inlineStr">
        <is>
          <t>Curall</t>
        </is>
      </c>
      <c r="B65" t="n">
        <v>10.375</v>
      </c>
      <c r="E65" t="n">
        <v>0</v>
      </c>
      <c r="F65" s="13" t="n"/>
    </row>
    <row r="66">
      <c r="A66" s="76" t="inlineStr">
        <is>
          <t>Barley</t>
        </is>
      </c>
      <c r="B66" t="n">
        <v>74</v>
      </c>
      <c r="E66" t="n">
        <v>1.739583333333334</v>
      </c>
      <c r="F66" s="13" t="n"/>
    </row>
    <row r="67">
      <c r="A67" s="76" t="inlineStr">
        <is>
          <t>Oats</t>
        </is>
      </c>
      <c r="B67" t="n">
        <v>216.25</v>
      </c>
      <c r="E67" t="n">
        <v>9.032493742177724</v>
      </c>
      <c r="F67" s="13" t="n"/>
    </row>
    <row r="68">
      <c r="A68" s="76" t="inlineStr">
        <is>
          <t>Beans</t>
        </is>
      </c>
      <c r="B68" t="n">
        <v>20.125</v>
      </c>
      <c r="F68" s="13" t="n"/>
    </row>
    <row r="69">
      <c r="A69" s="76" t="inlineStr">
        <is>
          <t>Peas</t>
        </is>
      </c>
      <c r="F69" s="13" t="n"/>
    </row>
    <row r="70">
      <c r="A70" s="76" t="inlineStr">
        <is>
          <t>Vetches</t>
        </is>
      </c>
    </row>
    <row r="71">
      <c r="A71" s="17" t="inlineStr">
        <is>
          <t>Total value of gross production (sum of the above)</t>
        </is>
      </c>
      <c r="B71" s="93" t="n"/>
      <c r="C71" s="94" t="n"/>
      <c r="D71" s="93" t="n"/>
      <c r="E71" s="93" t="n"/>
    </row>
    <row r="72">
      <c r="A72" s="17" t="inlineStr">
        <is>
          <t>Total value of net production</t>
        </is>
      </c>
      <c r="B72" s="93" t="n"/>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2</v>
      </c>
      <c r="C87" s="76" t="n">
        <v>2</v>
      </c>
      <c r="D87" s="76" t="n">
        <v>0</v>
      </c>
      <c r="F87" s="84">
        <f>'Stock'!K5*'Stock'!O5</f>
        <v/>
      </c>
      <c r="G87" s="84">
        <f>D87*'Stock'!O5</f>
        <v/>
      </c>
    </row>
    <row r="88">
      <c r="A88" s="22" t="inlineStr">
        <is>
          <t>Mares</t>
        </is>
      </c>
      <c r="B88" s="76" t="n"/>
      <c r="C88" s="76" t="n"/>
      <c r="D88" s="76">
        <f>C88-B88</f>
        <v/>
      </c>
      <c r="F88" s="84">
        <f>'Stock'!K6*'Stock'!O6</f>
        <v/>
      </c>
      <c r="G88" s="84">
        <f>D88*'Stock'!O6</f>
        <v/>
      </c>
    </row>
    <row r="89">
      <c r="A89" s="15" t="inlineStr">
        <is>
          <t>Plough horses</t>
        </is>
      </c>
      <c r="B89" s="76" t="n">
        <v>10</v>
      </c>
      <c r="C89" s="76" t="n">
        <v>4</v>
      </c>
      <c r="D89" s="76" t="n">
        <v>-6</v>
      </c>
      <c r="F89" s="84" t="n">
        <v>0.7666666666666666</v>
      </c>
      <c r="G89" s="84" t="n">
        <v>-1.15</v>
      </c>
    </row>
    <row r="90">
      <c r="A90" s="15" t="inlineStr">
        <is>
          <t>Colts (2 years)</t>
        </is>
      </c>
      <c r="B90" s="76" t="n"/>
      <c r="C90" s="76" t="n"/>
      <c r="D90" s="76">
        <f>C90-B90</f>
        <v/>
      </c>
      <c r="F90" s="84">
        <f>'Stock'!K9*'Stock'!O9</f>
        <v/>
      </c>
      <c r="G90" s="84">
        <f>D90*'Stock'!O9</f>
        <v/>
      </c>
    </row>
    <row r="91">
      <c r="A91" s="15" t="inlineStr">
        <is>
          <t>Colts (2 years)</t>
        </is>
      </c>
      <c r="B91" s="76" t="n"/>
      <c r="C91" s="76" t="n"/>
      <c r="D91" s="76">
        <f>C91-B91</f>
        <v/>
      </c>
      <c r="F91" s="84">
        <f>'Stock'!K9*'Stock'!O9</f>
        <v/>
      </c>
      <c r="G91" s="84">
        <f>D91*'Stock'!O9</f>
        <v/>
      </c>
    </row>
    <row r="92">
      <c r="A92" s="15" t="inlineStr">
        <is>
          <t>Colts (1 year)</t>
        </is>
      </c>
      <c r="B92" s="76" t="n"/>
      <c r="C92" s="76" t="n"/>
      <c r="D92" s="76">
        <f>C92-B92</f>
        <v/>
      </c>
      <c r="F92" s="84">
        <f>'Stock'!K10*'Stock'!O10</f>
        <v/>
      </c>
      <c r="G92" s="84">
        <f>D92*'Stock'!O10</f>
        <v/>
      </c>
    </row>
    <row r="93">
      <c r="A93" s="15" t="inlineStr">
        <is>
          <t>Foals</t>
        </is>
      </c>
      <c r="B93" s="76" t="n"/>
      <c r="C93" s="76" t="n"/>
      <c r="D93" s="76">
        <f>C93-B93</f>
        <v/>
      </c>
      <c r="F93" s="84">
        <f>'Stock'!K11*'Stock'!O11</f>
        <v/>
      </c>
      <c r="G93" s="84">
        <f>D93*'Stock'!O11</f>
        <v/>
      </c>
    </row>
    <row r="94">
      <c r="A94" s="15" t="inlineStr">
        <is>
          <t>Oxen</t>
        </is>
      </c>
      <c r="B94" s="76" t="n">
        <v>32</v>
      </c>
      <c r="C94" s="76" t="n">
        <v>42</v>
      </c>
      <c r="D94" s="76" t="n">
        <v>10</v>
      </c>
      <c r="F94" s="84" t="n">
        <v>20.79</v>
      </c>
      <c r="G94" s="84" t="n">
        <v>4.95</v>
      </c>
    </row>
    <row r="95">
      <c r="A95" s="15" t="inlineStr">
        <is>
          <t>Bulls</t>
        </is>
      </c>
      <c r="B95" s="76" t="n">
        <v>2</v>
      </c>
      <c r="C95" s="76" t="n">
        <v>1</v>
      </c>
      <c r="D95" s="76" t="n">
        <v>-1</v>
      </c>
      <c r="F95" s="84" t="n">
        <v>0.55</v>
      </c>
      <c r="G95" s="84" t="n">
        <v>-0.55</v>
      </c>
    </row>
    <row r="96">
      <c r="A96" s="15" t="inlineStr">
        <is>
          <t>Cows</t>
        </is>
      </c>
      <c r="B96" s="76" t="n">
        <v>22</v>
      </c>
      <c r="C96" s="76" t="n">
        <v>24</v>
      </c>
      <c r="D96" s="76" t="n">
        <v>2</v>
      </c>
      <c r="F96" s="84" t="n">
        <v>8.52</v>
      </c>
      <c r="G96" s="84" t="n">
        <v>0.71</v>
      </c>
    </row>
    <row r="97">
      <c r="A97" s="15" t="inlineStr">
        <is>
          <t>Steers</t>
        </is>
      </c>
      <c r="B97" s="76" t="n">
        <v>8</v>
      </c>
      <c r="C97" s="76" t="n">
        <v>0</v>
      </c>
      <c r="D97" s="76" t="n">
        <v>-8</v>
      </c>
      <c r="F97" s="84" t="n">
        <v>0</v>
      </c>
      <c r="G97" s="84" t="n">
        <v>-1.6</v>
      </c>
    </row>
    <row r="98">
      <c r="A98" s="15" t="inlineStr">
        <is>
          <t>Bullocks</t>
        </is>
      </c>
      <c r="B98" s="76" t="n">
        <v>3</v>
      </c>
      <c r="C98" s="76" t="n">
        <v>3</v>
      </c>
      <c r="D98" s="76" t="n">
        <v>0</v>
      </c>
      <c r="F98" s="84">
        <f>'Stock'!K16*'Stock'!O16</f>
        <v/>
      </c>
      <c r="G98" s="84">
        <f>D98*'Stock'!O16</f>
        <v/>
      </c>
    </row>
    <row r="99">
      <c r="A99" s="15" t="inlineStr">
        <is>
          <t>Yearlings</t>
        </is>
      </c>
      <c r="B99" s="76" t="n">
        <v>5</v>
      </c>
      <c r="C99" s="76" t="n">
        <v>3</v>
      </c>
      <c r="D99" s="76" t="n">
        <v>-2</v>
      </c>
      <c r="F99" s="84">
        <f>'Stock'!K17*'Stock'!O17</f>
        <v/>
      </c>
      <c r="G99" s="84">
        <f>D99*'Stock'!O17</f>
        <v/>
      </c>
    </row>
    <row r="100">
      <c r="A100" s="15" t="inlineStr">
        <is>
          <t>Calves</t>
        </is>
      </c>
      <c r="B100" s="76" t="n"/>
      <c r="C100" s="76" t="n">
        <v>6</v>
      </c>
      <c r="D100" s="76">
        <f>C100-B100</f>
        <v/>
      </c>
      <c r="F100" s="84" t="n">
        <v>0.2538461538461538</v>
      </c>
      <c r="G100" s="84">
        <f>D100*'Stock'!O18</f>
        <v/>
      </c>
    </row>
    <row r="101">
      <c r="A101" s="15" t="inlineStr">
        <is>
          <t>Wethers</t>
        </is>
      </c>
      <c r="B101" s="76" t="n">
        <v>175</v>
      </c>
      <c r="C101" s="76" t="n">
        <v>97</v>
      </c>
      <c r="D101" s="76" t="n">
        <v>-78</v>
      </c>
      <c r="F101" s="84" t="n">
        <v>4.304374999999999</v>
      </c>
      <c r="G101" s="84" t="n">
        <v>-3.46125</v>
      </c>
    </row>
    <row r="102">
      <c r="A102" s="15" t="inlineStr">
        <is>
          <t>Rams</t>
        </is>
      </c>
      <c r="B102" s="76" t="n"/>
      <c r="C102" s="76" t="n"/>
      <c r="D102" s="76">
        <f>C102-B102</f>
        <v/>
      </c>
      <c r="F102" s="84">
        <f>'Stock'!K20*'Stock'!O20</f>
        <v/>
      </c>
      <c r="G102" s="84">
        <f>D102*'Stock'!O20</f>
        <v/>
      </c>
    </row>
    <row r="103">
      <c r="A103" s="15" t="inlineStr">
        <is>
          <t>Ewes</t>
        </is>
      </c>
      <c r="B103" s="76" t="n">
        <v>85</v>
      </c>
      <c r="C103" s="76" t="n">
        <v>54</v>
      </c>
      <c r="D103" s="76" t="n">
        <v>-31</v>
      </c>
      <c r="F103" s="84">
        <f>'Stock'!K21*'Stock'!O21</f>
        <v/>
      </c>
      <c r="G103" s="84">
        <f>D103*'Stock'!O21</f>
        <v/>
      </c>
    </row>
    <row r="104">
      <c r="A104" s="15" t="inlineStr">
        <is>
          <t>Hoggs</t>
        </is>
      </c>
      <c r="B104" s="76" t="n">
        <v>56</v>
      </c>
      <c r="C104" s="76" t="n">
        <v>0</v>
      </c>
      <c r="D104" s="76" t="n">
        <v>-56</v>
      </c>
      <c r="F104" s="84">
        <f>'Stock'!K22*'Stock'!O22</f>
        <v/>
      </c>
      <c r="G104" s="84">
        <f>D104*'Stock'!O22</f>
        <v/>
      </c>
    </row>
    <row r="105">
      <c r="A105" s="15" t="inlineStr">
        <is>
          <t>Lambs</t>
        </is>
      </c>
      <c r="B105" s="76" t="n"/>
      <c r="C105" s="76" t="n">
        <v>26</v>
      </c>
      <c r="D105" s="76">
        <f>C105-B105</f>
        <v/>
      </c>
      <c r="F105" s="84" t="n">
        <v>0.13</v>
      </c>
      <c r="G105" s="84">
        <f>D105*'Stock'!O23</f>
        <v/>
      </c>
    </row>
    <row r="106">
      <c r="A106" s="15" t="inlineStr">
        <is>
          <t>Boars</t>
        </is>
      </c>
      <c r="B106" s="76" t="n">
        <v>1</v>
      </c>
      <c r="C106" s="76" t="n">
        <v>1</v>
      </c>
      <c r="D106" s="76" t="n">
        <v>0</v>
      </c>
      <c r="F106" s="84">
        <f>'Stock'!K24*'Stock'!O24</f>
        <v/>
      </c>
      <c r="G106" s="84">
        <f>D106*'Stock'!O24</f>
        <v/>
      </c>
    </row>
    <row r="107">
      <c r="A107" s="15" t="inlineStr">
        <is>
          <t>Sows</t>
        </is>
      </c>
      <c r="B107" s="76" t="n">
        <v>2</v>
      </c>
      <c r="C107" s="76" t="n">
        <v>2</v>
      </c>
      <c r="D107" s="76" t="n">
        <v>0</v>
      </c>
      <c r="F107" s="84">
        <f>'Stock'!K25*'Stock'!O25</f>
        <v/>
      </c>
      <c r="G107" s="84">
        <f>D107*'Stock'!O25</f>
        <v/>
      </c>
    </row>
    <row r="108">
      <c r="A108" s="15" t="inlineStr">
        <is>
          <t>Pigs</t>
        </is>
      </c>
      <c r="B108" s="76" t="n">
        <v>36</v>
      </c>
      <c r="C108" s="76" t="n">
        <v>30</v>
      </c>
      <c r="D108" s="76" t="n">
        <v>-6</v>
      </c>
      <c r="F108" s="84" t="n">
        <v>3.75</v>
      </c>
      <c r="G108" s="84" t="n">
        <v>-0.75</v>
      </c>
    </row>
    <row r="109">
      <c r="A109" s="15" t="inlineStr">
        <is>
          <t>Hoggets</t>
        </is>
      </c>
      <c r="B109" s="76" t="n">
        <v>25</v>
      </c>
      <c r="C109" s="76" t="n">
        <v>0</v>
      </c>
      <c r="D109" s="76" t="n">
        <v>-25</v>
      </c>
      <c r="F109" s="84">
        <f>'Stock'!K27*'Stock'!O27</f>
        <v/>
      </c>
      <c r="G109" s="84">
        <f>D109*'Stock'!O27</f>
        <v/>
      </c>
    </row>
    <row r="110">
      <c r="A110" s="15" t="inlineStr">
        <is>
          <t>Piglets</t>
        </is>
      </c>
      <c r="B110" s="76" t="n"/>
      <c r="C110" s="76" t="n">
        <v>27</v>
      </c>
      <c r="D110" s="76">
        <f>C110-B110</f>
        <v/>
      </c>
      <c r="F110" s="84">
        <f>'Stock'!K28*'Stock'!O28</f>
        <v/>
      </c>
      <c r="G110" s="84">
        <f>D110*'Stock'!O28</f>
        <v/>
      </c>
    </row>
    <row r="111">
      <c r="A111" s="15" t="inlineStr">
        <is>
          <t>Swans</t>
        </is>
      </c>
      <c r="B111" s="76" t="n"/>
      <c r="C111" s="76" t="n"/>
      <c r="D111" s="76">
        <f>C111-B111</f>
        <v/>
      </c>
      <c r="F111" s="84">
        <f>'Stock'!K29*'Stock'!O29</f>
        <v/>
      </c>
      <c r="G111" s="84">
        <f>D111*'Stock'!O29</f>
        <v/>
      </c>
    </row>
    <row r="112">
      <c r="A112" s="15" t="inlineStr">
        <is>
          <t>Peacocks</t>
        </is>
      </c>
      <c r="B112" s="76" t="n">
        <v>8</v>
      </c>
      <c r="C112" s="76" t="n">
        <v>3</v>
      </c>
      <c r="D112" s="76" t="n">
        <v>-5</v>
      </c>
      <c r="F112" s="84" t="n">
        <v>0.17</v>
      </c>
      <c r="G112" s="84" t="n">
        <v>-0.2833333333333333</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c r="D119" t="n">
        <v>158</v>
      </c>
      <c r="F119">
        <f>C119*'Stock'!O35</f>
        <v/>
      </c>
    </row>
    <row r="120">
      <c r="A120" s="15" t="inlineStr">
        <is>
          <t>Lamb's wool</t>
        </is>
      </c>
      <c r="F120">
        <f>C120*'Stock'!O36</f>
        <v/>
      </c>
    </row>
    <row r="121">
      <c r="A121" s="15" t="inlineStr">
        <is>
          <t>Wool locks</t>
        </is>
      </c>
      <c r="F121">
        <f>C121*'Stock'!O37</f>
        <v/>
      </c>
    </row>
    <row r="122">
      <c r="A122" s="15" t="inlineStr">
        <is>
          <t>Wool sold at shearing</t>
        </is>
      </c>
      <c r="F122">
        <f>C122*'Stock'!O38</f>
        <v/>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t="n">
        <v>0</v>
      </c>
      <c r="C151" s="76" t="n">
        <v>0</v>
      </c>
      <c r="D151" s="76" t="n">
        <v>0</v>
      </c>
      <c r="F151" s="76" t="n">
        <v>0</v>
      </c>
      <c r="G151" s="96" t="n"/>
    </row>
    <row r="152">
      <c r="A152" s="15" t="inlineStr">
        <is>
          <t>Geese</t>
        </is>
      </c>
      <c r="B152" s="76" t="n">
        <v>0</v>
      </c>
      <c r="C152" s="76" t="n">
        <v>0</v>
      </c>
      <c r="D152" s="76" t="n">
        <v>0</v>
      </c>
      <c r="F152" s="76" t="n">
        <v>0</v>
      </c>
    </row>
    <row r="153">
      <c r="A153" s="15" t="inlineStr">
        <is>
          <t>Capons (from chickens)</t>
        </is>
      </c>
      <c r="B153" s="76" t="n">
        <v>0</v>
      </c>
      <c r="C153" s="76" t="n">
        <v>0</v>
      </c>
      <c r="D153" s="76" t="n">
        <v>0</v>
      </c>
      <c r="F153" s="76" t="n">
        <v>0</v>
      </c>
    </row>
    <row r="154">
      <c r="A154" s="15" t="inlineStr">
        <is>
          <t>Cocks &amp; hens</t>
        </is>
      </c>
      <c r="B154" s="76" t="n">
        <v>0</v>
      </c>
      <c r="C154" s="76" t="n">
        <v>0</v>
      </c>
      <c r="D154" s="76" t="n">
        <v>0</v>
      </c>
      <c r="F154" s="76">
        <f>C154*'Stock'!O70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F159" t="n">
        <v>0</v>
      </c>
      <c r="G159" s="116" t="n"/>
    </row>
    <row r="160">
      <c r="A160" s="15" t="inlineStr">
        <is>
          <t>Cocks &amp; hens from churchscot of customary tenants</t>
        </is>
      </c>
      <c r="B160" t="n">
        <v>0</v>
      </c>
      <c r="C160" t="n">
        <v>0</v>
      </c>
      <c r="D160" t="n">
        <v>0</v>
      </c>
      <c r="F160">
        <f>C160*'Stock'!O76</f>
        <v/>
      </c>
    </row>
    <row r="161">
      <c r="A161" s="15" t="inlineStr">
        <is>
          <t>Sum of above</t>
        </is>
      </c>
    </row>
    <row r="162">
      <c r="A162" s="17" t="inlineStr">
        <is>
          <t>Total value of stock</t>
        </is>
      </c>
      <c r="B162" s="93" t="n"/>
      <c r="C162" s="94" t="n"/>
      <c r="D162" s="93" t="n"/>
      <c r="E162" s="93" t="n"/>
      <c r="F162" s="93" t="n"/>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F166">
        <f>C166*'Stock'!O93</f>
        <v/>
      </c>
      <c r="G166" s="116" t="n"/>
    </row>
    <row r="167">
      <c r="A167" s="15" t="inlineStr">
        <is>
          <t>Winter Cheese</t>
        </is>
      </c>
      <c r="B167" t="n">
        <v>0</v>
      </c>
      <c r="C167" t="n">
        <v>0</v>
      </c>
      <c r="D167" t="n">
        <v>0</v>
      </c>
      <c r="F167" t="n">
        <v>0</v>
      </c>
    </row>
    <row r="168">
      <c r="A168" s="15" t="inlineStr">
        <is>
          <t>Summer Cheese</t>
        </is>
      </c>
      <c r="B168" t="n">
        <v>0</v>
      </c>
      <c r="C168" t="n">
        <v>0</v>
      </c>
      <c r="D168" t="n">
        <v>0</v>
      </c>
      <c r="F168" t="n">
        <v>0</v>
      </c>
    </row>
    <row r="169">
      <c r="A169" s="17" t="inlineStr">
        <is>
          <t>Total value of production (sum of the above)</t>
        </is>
      </c>
      <c r="B169" s="93" t="n"/>
      <c r="C169" s="94" t="n"/>
      <c r="D169" s="93" t="n"/>
      <c r="E169" s="93" t="n"/>
      <c r="F169" s="93" t="n"/>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F169+F162+F156+F147+F123+F115+D71</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8"/>
  <sheetViews>
    <sheetView topLeftCell="A1" workbookViewId="0">
      <selection activeCell="A1" sqref="A1"/>
    </sheetView>
  </sheetViews>
  <sheetFormatPr baseColWidth="8" defaultColWidth="12.6328125" defaultRowHeight="14.5"/>
  <sheetData>
    <row r="1" ht="15.5" customHeight="1">
      <c r="A1" s="12" t="inlineStr">
        <is>
          <t>Meat &amp; Dairy Prices</t>
        </is>
      </c>
    </row>
    <row r="2">
      <c r="C2" t="n">
        <v>1301</v>
      </c>
      <c r="D2" t="n">
        <v>1302</v>
      </c>
      <c r="E2" s="28" t="inlineStr">
        <is>
          <t>Average</t>
        </is>
      </c>
    </row>
    <row r="3" ht="15.5" customHeight="1">
      <c r="A3" t="inlineStr">
        <is>
          <t>Beef</t>
        </is>
      </c>
      <c r="B3" t="inlineStr">
        <is>
          <t>£ per lb</t>
        </is>
      </c>
      <c r="C3" s="62" t="n">
        <v>0.003335185413087333</v>
      </c>
      <c r="D3" s="62" t="n">
        <v>0.003260853786849182</v>
      </c>
      <c r="E3" s="63">
        <f>AVERAGE(C3:D3)</f>
        <v/>
      </c>
    </row>
    <row r="4">
      <c r="A4" t="inlineStr">
        <is>
          <t>Mutton</t>
        </is>
      </c>
      <c r="B4" t="inlineStr">
        <is>
          <t>£ per lb</t>
        </is>
      </c>
      <c r="C4" s="63" t="n">
        <v>0.003659397726835158</v>
      </c>
      <c r="D4" s="63" t="n">
        <v>0.003712551295250783</v>
      </c>
      <c r="E4" s="63">
        <f>AVERAGE(C4:D4)</f>
        <v/>
      </c>
    </row>
    <row r="5">
      <c r="A5" t="inlineStr">
        <is>
          <t>Pork</t>
        </is>
      </c>
      <c r="B5" t="inlineStr">
        <is>
          <t>£ per lb</t>
        </is>
      </c>
      <c r="C5" s="63" t="n">
        <v>0.003843132608634785</v>
      </c>
      <c r="D5" s="63" t="n">
        <v>0.003757480310106574</v>
      </c>
      <c r="E5" s="63">
        <f>AVERAGE(C5:D5)</f>
        <v/>
      </c>
    </row>
    <row r="6">
      <c r="A6" t="inlineStr">
        <is>
          <t>Cheese</t>
        </is>
      </c>
      <c r="B6" t="inlineStr">
        <is>
          <t>£ per lb</t>
        </is>
      </c>
      <c r="C6" s="64" t="n">
        <v>0.005576875401355813</v>
      </c>
      <c r="D6" s="63" t="n">
        <v>0.005665489823647453</v>
      </c>
      <c r="E6" s="63">
        <f>AVERAGE(C6:D6)</f>
        <v/>
      </c>
    </row>
    <row r="7">
      <c r="A7" t="inlineStr">
        <is>
          <t>Butter</t>
        </is>
      </c>
      <c r="B7" t="inlineStr">
        <is>
          <t>£ per lb</t>
        </is>
      </c>
      <c r="C7" s="63" t="n">
        <v>0.00366262210285494</v>
      </c>
      <c r="D7" s="63" t="n">
        <v>0.003593507742292381</v>
      </c>
      <c r="E7" s="63">
        <f>AVERAGE(C7:D7)</f>
        <v/>
      </c>
    </row>
    <row r="8">
      <c r="A8" t="inlineStr">
        <is>
          <t>Milk</t>
        </is>
      </c>
      <c r="B8" t="inlineStr">
        <is>
          <t>£ per gallon</t>
        </is>
      </c>
      <c r="C8" s="65" t="n">
        <v>0.005576875401355813</v>
      </c>
      <c r="D8" s="63" t="n">
        <v>0.005665489823647453</v>
      </c>
      <c r="E8" s="63">
        <f>AVERAGE(C8:D8)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ColWidth="8.81640625" defaultRowHeight="14.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0"/>
  <sheetViews>
    <sheetView topLeftCell="A1" workbookViewId="0">
      <selection activeCell="A1" sqref="A1"/>
    </sheetView>
  </sheetViews>
  <sheetFormatPr baseColWidth="8" defaultRowHeight="15"/>
  <cols>
    <col width="80" customWidth="1" min="1" max="1"/>
    <col width="29.1640625" customWidth="1" min="2" max="2"/>
    <col width="8.83203125" customWidth="1" min="3" max="3"/>
    <col width="30.83203125" customWidth="1" min="5" max="5"/>
    <col width="29.33203125" customWidth="1" min="6" max="6"/>
  </cols>
  <sheetData>
    <row r="1">
      <c r="A1" s="8" t="inlineStr">
        <is>
          <t>IVINGHOE</t>
        </is>
      </c>
      <c r="B1" s="77" t="inlineStr">
        <is>
          <t>Total in £</t>
        </is>
      </c>
      <c r="C1" s="78" t="inlineStr">
        <is>
          <t>Error</t>
        </is>
      </c>
      <c r="D1" s="12" t="inlineStr">
        <is>
          <t>Note</t>
        </is>
      </c>
    </row>
    <row r="2">
      <c r="A2" s="8" t="inlineStr">
        <is>
          <t>CASH ACCOUNT</t>
        </is>
      </c>
    </row>
    <row r="3">
      <c r="A3" s="16" t="inlineStr">
        <is>
          <t>RECEIPTS</t>
        </is>
      </c>
    </row>
    <row r="4">
      <c r="A4" s="15" t="inlineStr">
        <is>
          <t>Arrears total</t>
        </is>
      </c>
    </row>
    <row r="5">
      <c r="A5" s="15" t="inlineStr">
        <is>
          <t>Rents of assize total</t>
        </is>
      </c>
    </row>
    <row r="6">
      <c r="A6" s="15" t="inlineStr">
        <is>
          <t>Quittances total</t>
        </is>
      </c>
    </row>
    <row r="7">
      <c r="A7" s="15" t="inlineStr">
        <is>
          <t>Defaults of rent total</t>
        </is>
      </c>
    </row>
    <row r="8">
      <c r="A8" s="9" t="inlineStr">
        <is>
          <t>Defaults of rent through the pestilence total</t>
        </is>
      </c>
    </row>
    <row r="9">
      <c r="A9" s="9" t="inlineStr">
        <is>
          <t>Cotlands defaults total</t>
        </is>
      </c>
    </row>
    <row r="10">
      <c r="A10" s="9" t="inlineStr">
        <is>
          <t>Cotlands total</t>
        </is>
      </c>
    </row>
    <row r="11">
      <c r="A11" s="9" t="inlineStr">
        <is>
          <t>Total of quittances and defaults of rent total</t>
        </is>
      </c>
    </row>
    <row r="12">
      <c r="A12" s="9" t="inlineStr">
        <is>
          <t>Total of rents remaining clear total</t>
        </is>
      </c>
    </row>
    <row r="13">
      <c r="A13" s="9" t="inlineStr">
        <is>
          <t>Farms total</t>
        </is>
      </c>
    </row>
    <row r="14">
      <c r="A14" s="15" t="inlineStr">
        <is>
          <t>Annual recognizances total</t>
        </is>
      </c>
    </row>
    <row r="15">
      <c r="A15" s="15" t="inlineStr">
        <is>
          <t>Issues of the Manor total</t>
        </is>
      </c>
    </row>
    <row r="16">
      <c r="A16" s="9" t="inlineStr">
        <is>
          <t>Issues of the tenements in the lord's hands total</t>
        </is>
      </c>
    </row>
    <row r="17">
      <c r="A17" s="9" t="inlineStr">
        <is>
          <t>Sale of labour services total</t>
        </is>
      </c>
    </row>
    <row r="18">
      <c r="A18" s="15" t="inlineStr">
        <is>
          <t>Sale of corn total</t>
        </is>
      </c>
    </row>
    <row r="19">
      <c r="A19" s="15" t="inlineStr">
        <is>
          <t>Entry and marriage fines total</t>
        </is>
      </c>
    </row>
    <row r="20">
      <c r="A20" s="15" t="inlineStr">
        <is>
          <t>Pleas &amp; perquisites total</t>
        </is>
      </c>
    </row>
    <row r="21">
      <c r="A21" s="9" t="inlineStr">
        <is>
          <t>Forfeited chattels total</t>
        </is>
      </c>
    </row>
    <row r="22">
      <c r="A22" s="9" t="inlineStr">
        <is>
          <t>Farm of the demesne land total</t>
        </is>
      </c>
    </row>
    <row r="23">
      <c r="A23" s="81" t="inlineStr">
        <is>
          <t>Total of all receipts (calculated here)</t>
        </is>
      </c>
      <c r="B23" s="72">
        <f>Receipts!F134</f>
        <v/>
      </c>
    </row>
    <row r="24">
      <c r="A24" s="82" t="inlineStr">
        <is>
          <t>Total of all receipts (calculated here) incl arrears</t>
        </is>
      </c>
      <c r="B24" s="72">
        <f>Receipts!F135</f>
        <v/>
      </c>
    </row>
    <row r="25">
      <c r="A25" s="83" t="inlineStr">
        <is>
          <t>Total recorded in the accounts excl. arrears</t>
        </is>
      </c>
      <c r="B25">
        <f>Receipts!F133</f>
        <v/>
      </c>
      <c r="C25" s="127">
        <f>B25-B23</f>
        <v/>
      </c>
    </row>
    <row r="26">
      <c r="A26" s="83" t="inlineStr">
        <is>
          <t>Total recorded in the accounts incl. arrears</t>
        </is>
      </c>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row>
    <row r="42">
      <c r="A42" s="15" t="inlineStr">
        <is>
          <t>Steward's expenses total</t>
        </is>
      </c>
    </row>
    <row r="43">
      <c r="A43" s="85" t="inlineStr">
        <is>
          <t>Annual fees</t>
        </is>
      </c>
    </row>
    <row r="44">
      <c r="A44" s="82" t="inlineStr">
        <is>
          <t>Total of all expenses per account</t>
        </is>
      </c>
      <c r="B44" s="72">
        <f>Expenses!F100</f>
        <v/>
      </c>
    </row>
    <row r="45">
      <c r="A45" s="82" t="inlineStr">
        <is>
          <t>Total of all expenses (calculated here)</t>
        </is>
      </c>
      <c r="B45" s="72">
        <f>Expenses!F101</f>
        <v/>
      </c>
    </row>
    <row r="46">
      <c r="A46" s="82" t="inlineStr">
        <is>
          <t>Total fixed investment</t>
        </is>
      </c>
      <c r="B46" s="72">
        <f>Expenses!F102</f>
        <v/>
      </c>
    </row>
    <row r="47">
      <c r="A47" s="82" t="inlineStr">
        <is>
          <t>Total Demesne fixed investment</t>
        </is>
      </c>
      <c r="B47" s="72">
        <f>Expenses!F103</f>
        <v/>
      </c>
    </row>
    <row r="48">
      <c r="A48" s="12" t="n"/>
    </row>
    <row r="49">
      <c r="A49" s="18" t="inlineStr">
        <is>
          <t>Owed by the reeve</t>
        </is>
      </c>
    </row>
    <row r="50">
      <c r="A50" s="18" t="inlineStr">
        <is>
          <t>From accounts</t>
        </is>
      </c>
    </row>
    <row r="51">
      <c r="A51" s="15" t="n"/>
    </row>
    <row r="52">
      <c r="A52" s="18" t="inlineStr">
        <is>
          <t>Allowances</t>
        </is>
      </c>
    </row>
    <row r="53">
      <c r="A53" s="18" t="inlineStr">
        <is>
          <t>Cash deliveries</t>
        </is>
      </c>
    </row>
    <row r="54">
      <c r="A54" s="19" t="inlineStr">
        <is>
          <t>Sum of the above</t>
        </is>
      </c>
    </row>
    <row r="55">
      <c r="A55" s="20" t="inlineStr">
        <is>
          <t>Total of all allowances and cash deliveries in accounts</t>
        </is>
      </c>
    </row>
    <row r="56">
      <c r="A56" s="15" t="n"/>
    </row>
    <row r="57">
      <c r="A57" s="18" t="inlineStr">
        <is>
          <t>Net amount owed</t>
        </is>
      </c>
    </row>
    <row r="58">
      <c r="A58" s="18" t="inlineStr">
        <is>
          <t>Net amount owed in accounts</t>
        </is>
      </c>
    </row>
    <row r="59">
      <c r="A59" s="15" t="n"/>
    </row>
    <row r="60">
      <c r="A60" s="16" t="inlineStr">
        <is>
          <t xml:space="preserve">GRANGE ACCOUNT </t>
        </is>
      </c>
      <c r="B60" s="120" t="inlineStr">
        <is>
          <t>Total Production</t>
        </is>
      </c>
      <c r="D60" s="54" t="n"/>
      <c r="E60" s="54" t="n"/>
      <c r="F60" s="55" t="n"/>
    </row>
    <row r="61">
      <c r="A61" s="8" t="inlineStr">
        <is>
          <t>Grange</t>
        </is>
      </c>
      <c r="B61" s="89" t="inlineStr">
        <is>
          <t>qrs</t>
        </is>
      </c>
      <c r="C61" s="90" t="n"/>
      <c r="D61" s="9" t="n"/>
      <c r="E61" s="128" t="inlineStr">
        <is>
          <t>Value of total gross production in £</t>
        </is>
      </c>
      <c r="F61" s="128" t="inlineStr">
        <is>
          <t>Value of total net production in £</t>
        </is>
      </c>
    </row>
    <row r="62" ht="15" customHeight="1">
      <c r="A62" t="inlineStr">
        <is>
          <t>wheat</t>
        </is>
      </c>
      <c r="B62">
        <f>'Issues of the Grange'!B2</f>
        <v/>
      </c>
      <c r="E62" s="72">
        <f>'Issues of the Grange'!I2</f>
        <v/>
      </c>
      <c r="F62" s="72">
        <f>'Issues of the Grange'!O14</f>
        <v/>
      </c>
    </row>
    <row r="63" ht="15" customHeight="1">
      <c r="A63" t="inlineStr">
        <is>
          <t>curall</t>
        </is>
      </c>
      <c r="B63">
        <f>'Issues of the Grange'!B3</f>
        <v/>
      </c>
      <c r="E63" s="72">
        <f>'Issues of the Grange'!I3</f>
        <v/>
      </c>
      <c r="F63" s="72">
        <f>'Issues of the Grange'!O15</f>
        <v/>
      </c>
    </row>
    <row r="64" ht="15" customHeight="1">
      <c r="A64" t="inlineStr">
        <is>
          <t>mancorn</t>
        </is>
      </c>
      <c r="B64">
        <f>'Issues of the Grange'!B4</f>
        <v/>
      </c>
      <c r="E64" s="72">
        <f>'Issues of the Grange'!I4</f>
        <v/>
      </c>
      <c r="F64" s="72">
        <f>'Issues of the Grange'!O16</f>
        <v/>
      </c>
    </row>
    <row r="65" ht="15" customHeight="1">
      <c r="A65" t="inlineStr">
        <is>
          <t>barley</t>
        </is>
      </c>
      <c r="B65">
        <f>'Issues of the Grange'!B5</f>
        <v/>
      </c>
      <c r="E65" s="72">
        <f>'Issues of the Grange'!I5</f>
        <v/>
      </c>
      <c r="F65" s="72">
        <f>'Issues of the Grange'!O17</f>
        <v/>
      </c>
    </row>
    <row r="66" ht="15" customHeight="1">
      <c r="A66" t="inlineStr">
        <is>
          <t>oats</t>
        </is>
      </c>
      <c r="B66">
        <f>'Issues of the Grange'!B6</f>
        <v/>
      </c>
      <c r="E66" s="72">
        <f>'Issues of the Grange'!I6</f>
        <v/>
      </c>
      <c r="F66" s="72">
        <f>'Issues of the Grange'!O18</f>
        <v/>
      </c>
    </row>
    <row r="67" ht="15" customHeight="1">
      <c r="A67" t="inlineStr">
        <is>
          <t>beans</t>
        </is>
      </c>
      <c r="B67">
        <f>'Issues of the Grange'!B7</f>
        <v/>
      </c>
      <c r="E67" s="72">
        <f>'Issues of the Grange'!I7</f>
        <v/>
      </c>
      <c r="F67" s="72">
        <f>'Issues of the Grange'!O19</f>
        <v/>
      </c>
    </row>
    <row r="68">
      <c r="A68" s="17" t="inlineStr">
        <is>
          <t>Total value of gross production (sum of the above)</t>
        </is>
      </c>
      <c r="B68" s="129">
        <f>SUM(E62:E67)</f>
        <v/>
      </c>
      <c r="C68" s="130" t="n"/>
      <c r="D68" s="70" t="n"/>
      <c r="E68" s="70" t="n"/>
      <c r="F68" s="70" t="n"/>
    </row>
    <row r="69">
      <c r="A69" s="17" t="inlineStr">
        <is>
          <t>Total value of net production</t>
        </is>
      </c>
      <c r="B69" s="129">
        <f>SUM(F62:F66)</f>
        <v/>
      </c>
      <c r="C69" s="130" t="n"/>
      <c r="D69" s="70" t="n"/>
      <c r="E69" s="70" t="n"/>
      <c r="F69" s="70" t="n"/>
    </row>
    <row r="70">
      <c r="A70" s="17" t="inlineStr">
        <is>
          <t>Value of sales</t>
        </is>
      </c>
      <c r="B70" s="129">
        <f>Receipts!F92</f>
        <v/>
      </c>
      <c r="C70" s="130" t="n"/>
      <c r="D70" s="70" t="n"/>
      <c r="E70" s="70" t="n"/>
      <c r="F70" s="70" t="n"/>
    </row>
    <row r="71">
      <c r="A71" s="15" t="n"/>
    </row>
    <row r="72">
      <c r="A72" s="16" t="inlineStr">
        <is>
          <t>MILL ACCOUNT</t>
        </is>
      </c>
    </row>
    <row r="73">
      <c r="A73" s="8" t="inlineStr">
        <is>
          <t>Issues of the mill</t>
        </is>
      </c>
    </row>
    <row r="74">
      <c r="A74" s="15" t="inlineStr">
        <is>
          <t>Wheat</t>
        </is>
      </c>
    </row>
    <row r="75">
      <c r="A75" s="15" t="inlineStr">
        <is>
          <t>Oatmeal</t>
        </is>
      </c>
    </row>
    <row r="76">
      <c r="A76" s="15" t="inlineStr">
        <is>
          <t>1st grade malt</t>
        </is>
      </c>
    </row>
    <row r="77">
      <c r="A77" s="15" t="inlineStr">
        <is>
          <t>2nd grade malt</t>
        </is>
      </c>
    </row>
    <row r="78">
      <c r="A78" s="15" t="inlineStr">
        <is>
          <t>Maslin</t>
        </is>
      </c>
    </row>
    <row r="79">
      <c r="A79" s="17" t="inlineStr">
        <is>
          <t>Total value of production (sum of the above)</t>
        </is>
      </c>
    </row>
    <row r="80">
      <c r="A80" s="17" t="inlineStr">
        <is>
          <t>Value of sales</t>
        </is>
      </c>
    </row>
    <row r="81">
      <c r="A81" s="15" t="n"/>
    </row>
    <row r="82">
      <c r="A82" s="92" t="inlineStr">
        <is>
          <t>STOCK ACCOUNT</t>
        </is>
      </c>
      <c r="B82" s="70" t="n"/>
    </row>
    <row r="83">
      <c r="A83" s="21" t="inlineStr">
        <is>
          <t>Livestock</t>
        </is>
      </c>
      <c r="B83" s="131" t="inlineStr">
        <is>
          <t>Sales value in £</t>
        </is>
      </c>
    </row>
    <row r="84" ht="17" customHeight="1">
      <c r="A84" s="22" t="inlineStr">
        <is>
          <t>Cart-horses</t>
        </is>
      </c>
      <c r="B84" s="72">
        <f>Stock!R5</f>
        <v/>
      </c>
    </row>
    <row r="85" ht="17" customHeight="1">
      <c r="A85" s="22" t="inlineStr">
        <is>
          <t>Mares</t>
        </is>
      </c>
      <c r="B85" s="72">
        <f>Stock!R6</f>
        <v/>
      </c>
    </row>
    <row r="86">
      <c r="A86" s="15" t="inlineStr">
        <is>
          <t>Plough horses</t>
        </is>
      </c>
      <c r="B86" s="72">
        <f>Stock!R7</f>
        <v/>
      </c>
    </row>
    <row r="87">
      <c r="A87" s="15" t="inlineStr">
        <is>
          <t>Colts (2 years)</t>
        </is>
      </c>
      <c r="B87" s="72">
        <f>Stock!R8</f>
        <v/>
      </c>
    </row>
    <row r="88">
      <c r="A88" s="15" t="inlineStr">
        <is>
          <t>Colts (2 years)</t>
        </is>
      </c>
      <c r="B88" s="72">
        <f>Stock!R9</f>
        <v/>
      </c>
    </row>
    <row r="89">
      <c r="A89" s="15" t="inlineStr">
        <is>
          <t>Colts (1 year)</t>
        </is>
      </c>
      <c r="B89" s="72">
        <f>Stock!R10</f>
        <v/>
      </c>
    </row>
    <row r="90">
      <c r="A90" s="15" t="inlineStr">
        <is>
          <t>Foals</t>
        </is>
      </c>
      <c r="B90" s="72">
        <f>Stock!R11</f>
        <v/>
      </c>
    </row>
    <row r="91">
      <c r="A91" s="15" t="inlineStr">
        <is>
          <t>Oxen</t>
        </is>
      </c>
      <c r="B91" s="72">
        <f>Stock!R12</f>
        <v/>
      </c>
    </row>
    <row r="92">
      <c r="A92" s="15" t="inlineStr">
        <is>
          <t>Bulls</t>
        </is>
      </c>
      <c r="B92" s="72">
        <f>Stock!R13</f>
        <v/>
      </c>
    </row>
    <row r="93">
      <c r="A93" s="15" t="inlineStr">
        <is>
          <t>Cows</t>
        </is>
      </c>
      <c r="B93" s="72">
        <f>Stock!R14</f>
        <v/>
      </c>
    </row>
    <row r="94">
      <c r="A94" s="15" t="inlineStr">
        <is>
          <t>Steers</t>
        </is>
      </c>
      <c r="B94" s="72">
        <f>Stock!R15</f>
        <v/>
      </c>
    </row>
    <row r="95">
      <c r="A95" s="15" t="inlineStr">
        <is>
          <t>Bullocks</t>
        </is>
      </c>
      <c r="B95" s="72">
        <f>Stock!R16</f>
        <v/>
      </c>
    </row>
    <row r="96">
      <c r="A96" s="15" t="inlineStr">
        <is>
          <t>Yearlings</t>
        </is>
      </c>
      <c r="B96" s="72">
        <f>Stock!R17</f>
        <v/>
      </c>
    </row>
    <row r="97">
      <c r="A97" s="15" t="inlineStr">
        <is>
          <t>Calves</t>
        </is>
      </c>
      <c r="B97" s="72">
        <f>Stock!R18</f>
        <v/>
      </c>
    </row>
    <row r="98">
      <c r="A98" s="15" t="inlineStr">
        <is>
          <t>Wethers</t>
        </is>
      </c>
      <c r="B98" s="72">
        <f>Stock!R19</f>
        <v/>
      </c>
    </row>
    <row r="99">
      <c r="A99" s="15" t="inlineStr">
        <is>
          <t>Rams</t>
        </is>
      </c>
      <c r="B99" s="72">
        <f>Stock!R20</f>
        <v/>
      </c>
    </row>
    <row r="100">
      <c r="A100" s="15" t="inlineStr">
        <is>
          <t>Ewes</t>
        </is>
      </c>
      <c r="B100" s="72">
        <f>Stock!R21</f>
        <v/>
      </c>
    </row>
    <row r="101">
      <c r="A101" s="15" t="inlineStr">
        <is>
          <t>Hoggs</t>
        </is>
      </c>
      <c r="B101" s="72">
        <f>Stock!R22</f>
        <v/>
      </c>
    </row>
    <row r="102">
      <c r="A102" s="15" t="inlineStr">
        <is>
          <t>Lambs</t>
        </is>
      </c>
      <c r="B102" s="72">
        <f>Stock!R23</f>
        <v/>
      </c>
    </row>
    <row r="103">
      <c r="A103" s="15" t="inlineStr">
        <is>
          <t>Boars</t>
        </is>
      </c>
      <c r="B103" s="72">
        <f>Stock!R24</f>
        <v/>
      </c>
    </row>
    <row r="104">
      <c r="A104" s="15" t="inlineStr">
        <is>
          <t>Sows</t>
        </is>
      </c>
      <c r="B104" s="72">
        <f>Stock!R25</f>
        <v/>
      </c>
    </row>
    <row r="105">
      <c r="A105" s="15" t="inlineStr">
        <is>
          <t>Pigs</t>
        </is>
      </c>
      <c r="B105" s="72">
        <f>Stock!R26</f>
        <v/>
      </c>
    </row>
    <row r="106">
      <c r="A106" s="15" t="inlineStr">
        <is>
          <t>Hoggets</t>
        </is>
      </c>
      <c r="B106" s="72">
        <f>Stock!R27</f>
        <v/>
      </c>
    </row>
    <row r="107">
      <c r="A107" s="15" t="inlineStr">
        <is>
          <t>Piglets</t>
        </is>
      </c>
      <c r="B107" s="72">
        <f>Stock!R28</f>
        <v/>
      </c>
    </row>
    <row r="108">
      <c r="A108" s="15" t="inlineStr">
        <is>
          <t>Swans</t>
        </is>
      </c>
      <c r="B108" s="72">
        <f>Stock!R29</f>
        <v/>
      </c>
    </row>
    <row r="109">
      <c r="A109" s="15" t="inlineStr">
        <is>
          <t>Peacocks</t>
        </is>
      </c>
      <c r="B109" s="72">
        <f>Stock!R30</f>
        <v/>
      </c>
    </row>
    <row r="110">
      <c r="A110" s="17" t="inlineStr">
        <is>
          <t>Total value of stock (sum of the above)</t>
        </is>
      </c>
      <c r="B110" s="70" t="n"/>
    </row>
    <row r="111">
      <c r="A111" s="17" t="inlineStr">
        <is>
          <t>Total value of production</t>
        </is>
      </c>
      <c r="B111" s="70" t="n"/>
    </row>
    <row r="112">
      <c r="A112" s="17" t="inlineStr">
        <is>
          <t>Value of sales</t>
        </is>
      </c>
      <c r="B112" s="129">
        <f>Stock!R31</f>
        <v/>
      </c>
    </row>
    <row r="113">
      <c r="A113" s="15" t="n"/>
    </row>
    <row r="114">
      <c r="A114" s="16" t="inlineStr">
        <is>
          <t>Wool</t>
        </is>
      </c>
      <c r="B114" s="131" t="inlineStr">
        <is>
          <t>Value of production at sales prices £</t>
        </is>
      </c>
    </row>
    <row r="115" ht="17" customHeight="1">
      <c r="A115" s="22" t="inlineStr">
        <is>
          <t>Fleeces</t>
        </is>
      </c>
    </row>
    <row r="116">
      <c r="A116" s="15" t="inlineStr">
        <is>
          <t>Coarse wool</t>
        </is>
      </c>
      <c r="B116">
        <f>Stock!T35</f>
        <v/>
      </c>
    </row>
    <row r="117">
      <c r="A117" s="15" t="inlineStr">
        <is>
          <t>Lamb's wool</t>
        </is>
      </c>
      <c r="B117">
        <f>Stock!T36</f>
        <v/>
      </c>
    </row>
    <row r="118">
      <c r="A118" s="15" t="inlineStr">
        <is>
          <t>Wool locks</t>
        </is>
      </c>
      <c r="B118">
        <f>Stock!T37</f>
        <v/>
      </c>
    </row>
    <row r="119">
      <c r="A119" s="15" t="inlineStr">
        <is>
          <t>Wool sold at shearing</t>
        </is>
      </c>
      <c r="B119">
        <f>Stock!T38</f>
        <v/>
      </c>
    </row>
    <row r="120">
      <c r="A120" s="119" t="inlineStr">
        <is>
          <t>Total value of production (sum of the above)</t>
        </is>
      </c>
      <c r="B120" s="70">
        <f>Stock!T39</f>
        <v/>
      </c>
    </row>
    <row r="121">
      <c r="A121" s="119" t="inlineStr">
        <is>
          <t>Value of sales</t>
        </is>
      </c>
      <c r="B121" s="129">
        <f>Stock!R39</f>
        <v/>
      </c>
    </row>
    <row r="122">
      <c r="A122" s="8" t="n"/>
    </row>
    <row r="123">
      <c r="A123" s="16" t="inlineStr">
        <is>
          <t>Hides</t>
        </is>
      </c>
      <c r="B123" s="131" t="inlineStr">
        <is>
          <t>Value of production at sales prices £</t>
        </is>
      </c>
    </row>
    <row r="124">
      <c r="A124" s="15" t="inlineStr">
        <is>
          <t>Ox hides</t>
        </is>
      </c>
      <c r="B124">
        <f>Stock!T43</f>
        <v/>
      </c>
    </row>
    <row r="125">
      <c r="A125" s="15" t="inlineStr">
        <is>
          <t>Cow hides</t>
        </is>
      </c>
      <c r="B125">
        <f>Stock!T44</f>
        <v/>
      </c>
    </row>
    <row r="126">
      <c r="A126" s="15" t="inlineStr">
        <is>
          <t>Mare hides</t>
        </is>
      </c>
      <c r="B126">
        <f>Stock!T45</f>
        <v/>
      </c>
    </row>
    <row r="127">
      <c r="A127" s="15" t="inlineStr">
        <is>
          <t>Steer hides</t>
        </is>
      </c>
      <c r="B127">
        <f>Stock!T46</f>
        <v/>
      </c>
    </row>
    <row r="128">
      <c r="A128" s="15" t="inlineStr">
        <is>
          <t>Yearling Calf hides</t>
        </is>
      </c>
      <c r="B128">
        <f>Stock!T47</f>
        <v/>
      </c>
    </row>
    <row r="129">
      <c r="A129" s="15" t="inlineStr">
        <is>
          <t>Calf hides</t>
        </is>
      </c>
      <c r="B129">
        <f>Stock!T48</f>
        <v/>
      </c>
    </row>
    <row r="130">
      <c r="A130" s="23" t="inlineStr">
        <is>
          <t>Pig hides</t>
        </is>
      </c>
      <c r="B130">
        <f>Stock!T49</f>
        <v/>
      </c>
    </row>
    <row r="131">
      <c r="A131" s="24" t="inlineStr">
        <is>
          <t>Wether woolskins</t>
        </is>
      </c>
      <c r="B131">
        <f>Stock!T50</f>
        <v/>
      </c>
    </row>
    <row r="132">
      <c r="A132" s="24" t="inlineStr">
        <is>
          <t>Ram woolskins</t>
        </is>
      </c>
      <c r="B132">
        <f>Stock!T51</f>
        <v/>
      </c>
    </row>
    <row r="133">
      <c r="A133" s="24" t="inlineStr">
        <is>
          <t>Ewe woolskins</t>
        </is>
      </c>
      <c r="B133">
        <f>Stock!T52</f>
        <v/>
      </c>
    </row>
    <row r="134">
      <c r="A134" s="24" t="inlineStr">
        <is>
          <t>Hogg woolskins</t>
        </is>
      </c>
      <c r="B134">
        <f>Stock!T53</f>
        <v/>
      </c>
    </row>
    <row r="135">
      <c r="A135" s="25" t="inlineStr">
        <is>
          <t>Woolskins (total)</t>
        </is>
      </c>
      <c r="B135">
        <f>Stock!T54</f>
        <v/>
      </c>
    </row>
    <row r="136">
      <c r="A136" s="24" t="inlineStr">
        <is>
          <t>Wether bareskins</t>
        </is>
      </c>
      <c r="B136">
        <f>Stock!T55</f>
        <v/>
      </c>
    </row>
    <row r="137">
      <c r="A137" s="24" t="inlineStr">
        <is>
          <t>Ram bareskins</t>
        </is>
      </c>
      <c r="B137">
        <f>Stock!T56</f>
        <v/>
      </c>
    </row>
    <row r="138">
      <c r="A138" s="24" t="inlineStr">
        <is>
          <t>Ewe bareskins</t>
        </is>
      </c>
      <c r="B138">
        <f>Stock!T57</f>
        <v/>
      </c>
    </row>
    <row r="139">
      <c r="A139" s="24" t="inlineStr">
        <is>
          <t>Hogg bareskins</t>
        </is>
      </c>
      <c r="B139">
        <f>Stock!T58</f>
        <v/>
      </c>
    </row>
    <row r="140">
      <c r="A140" s="25" t="inlineStr">
        <is>
          <t>Bareskins (total)</t>
        </is>
      </c>
      <c r="B140">
        <f>Stock!T59</f>
        <v/>
      </c>
    </row>
    <row r="141">
      <c r="A141" s="15" t="inlineStr">
        <is>
          <t>Lambskins</t>
        </is>
      </c>
      <c r="B141">
        <f>Stock!T60</f>
        <v/>
      </c>
    </row>
    <row r="142">
      <c r="A142" s="15" t="inlineStr">
        <is>
          <t>Rotted skins</t>
        </is>
      </c>
      <c r="B142">
        <f>Stock!T61</f>
        <v/>
      </c>
    </row>
    <row r="143">
      <c r="A143" s="15" t="inlineStr">
        <is>
          <t>Shorn skins</t>
        </is>
      </c>
      <c r="B143">
        <f>Stock!T62</f>
        <v/>
      </c>
    </row>
    <row r="144">
      <c r="A144" s="17" t="inlineStr">
        <is>
          <t>Total value of production (sum of the above)</t>
        </is>
      </c>
      <c r="B144" s="129">
        <f>Stock!T63</f>
        <v/>
      </c>
    </row>
    <row r="145">
      <c r="A145" s="17" t="inlineStr">
        <is>
          <t>Value of sales</t>
        </is>
      </c>
      <c r="B145" s="129">
        <f>Stock!R63</f>
        <v/>
      </c>
    </row>
    <row r="146">
      <c r="A146" s="15" t="n"/>
    </row>
    <row r="147">
      <c r="A147" s="16" t="inlineStr">
        <is>
          <t>Poultry stock</t>
        </is>
      </c>
      <c r="B147" s="131" t="inlineStr">
        <is>
          <t>Value of production at sales prices £</t>
        </is>
      </c>
    </row>
    <row r="148" ht="17" customHeight="1">
      <c r="A148" s="22" t="inlineStr">
        <is>
          <t>Hens</t>
        </is>
      </c>
      <c r="B148">
        <f>Stock!T67</f>
        <v/>
      </c>
    </row>
    <row r="149">
      <c r="A149" s="15" t="inlineStr">
        <is>
          <t>Geese</t>
        </is>
      </c>
      <c r="B149">
        <f>Stock!T68</f>
        <v/>
      </c>
    </row>
    <row r="150">
      <c r="A150" s="15" t="inlineStr">
        <is>
          <t>Capons (from chickens)</t>
        </is>
      </c>
      <c r="B150">
        <f>Stock!T69</f>
        <v/>
      </c>
    </row>
    <row r="151">
      <c r="A151" s="15" t="inlineStr">
        <is>
          <t>Cocks &amp; hens</t>
        </is>
      </c>
      <c r="B151">
        <f>Stock!T70</f>
        <v/>
      </c>
    </row>
    <row r="152">
      <c r="A152" s="119" t="inlineStr">
        <is>
          <t>Total value of production (sum of the above)</t>
        </is>
      </c>
      <c r="B152" s="70">
        <f>Stock!T71</f>
        <v/>
      </c>
    </row>
    <row r="153">
      <c r="A153" s="119" t="inlineStr">
        <is>
          <t>Value of sales</t>
        </is>
      </c>
      <c r="B153" s="129">
        <f>Stock!R71</f>
        <v/>
      </c>
    </row>
    <row r="154">
      <c r="A154" s="15" t="n"/>
    </row>
    <row r="155">
      <c r="A155" s="16" t="inlineStr">
        <is>
          <t>Poultry production</t>
        </is>
      </c>
      <c r="B155" s="131" t="inlineStr">
        <is>
          <t>Value of production at sales prices £</t>
        </is>
      </c>
    </row>
    <row r="156">
      <c r="A156" s="15" t="inlineStr">
        <is>
          <t>Eggs</t>
        </is>
      </c>
      <c r="B156">
        <f>Stock!T75</f>
        <v/>
      </c>
    </row>
    <row r="157">
      <c r="A157" s="15" t="inlineStr">
        <is>
          <t>Cocks &amp; hens from churchscot of customary tenants</t>
        </is>
      </c>
      <c r="B157">
        <f>Stock!T76</f>
        <v/>
      </c>
    </row>
    <row r="158">
      <c r="A158" s="15" t="inlineStr">
        <is>
          <t>Sum of above</t>
        </is>
      </c>
      <c r="B158">
        <f>Stock!T77</f>
        <v/>
      </c>
    </row>
    <row r="159">
      <c r="A159" s="17" t="inlineStr">
        <is>
          <t>Total value of stock</t>
        </is>
      </c>
      <c r="B159" s="70">
        <f>Stock!T78</f>
        <v/>
      </c>
    </row>
    <row r="160">
      <c r="A160" s="17" t="inlineStr">
        <is>
          <t>Value of sales</t>
        </is>
      </c>
      <c r="B160" s="70" t="n"/>
    </row>
    <row r="161">
      <c r="A161" s="15" t="n"/>
    </row>
    <row r="162">
      <c r="A162" s="16" t="inlineStr">
        <is>
          <t>Dairy Production</t>
        </is>
      </c>
      <c r="B162" s="131" t="inlineStr">
        <is>
          <t>Value of production at sales prices £</t>
        </is>
      </c>
    </row>
    <row r="163">
      <c r="A163" s="15" t="inlineStr">
        <is>
          <t>Butter</t>
        </is>
      </c>
      <c r="B163" s="72">
        <f>Stock!T93</f>
        <v/>
      </c>
    </row>
    <row r="164">
      <c r="A164" s="15" t="inlineStr">
        <is>
          <t>Winter Cheese</t>
        </is>
      </c>
      <c r="B164" s="72">
        <f>Stock!T88</f>
        <v/>
      </c>
    </row>
    <row r="165">
      <c r="A165" s="15" t="inlineStr">
        <is>
          <t>Summer Cheese</t>
        </is>
      </c>
      <c r="B165" s="72">
        <f>Stock!T89</f>
        <v/>
      </c>
    </row>
    <row r="166">
      <c r="A166" s="17" t="inlineStr">
        <is>
          <t>Total value of production (sum of the above)</t>
        </is>
      </c>
      <c r="B166" s="129">
        <f>SUM(B163:B165)</f>
        <v/>
      </c>
    </row>
    <row r="167">
      <c r="A167" s="17" t="inlineStr">
        <is>
          <t>Value of sales</t>
        </is>
      </c>
      <c r="B167" s="129">
        <f>Stock!R94+Stock!R90</f>
        <v/>
      </c>
    </row>
    <row r="168">
      <c r="A168" s="15" t="n"/>
    </row>
    <row r="169">
      <c r="A169" s="15" t="n"/>
    </row>
    <row r="170" ht="17" customHeight="1"/>
    <row r="171" ht="17" customHeight="1">
      <c r="A171" s="103" t="n"/>
      <c r="B171" s="132" t="n"/>
    </row>
    <row r="172">
      <c r="A172" s="97" t="inlineStr">
        <is>
          <t>Total Production Value of all Output (Grange, Dairy, Livestock Sales, Wools, Skins - NO Mill)</t>
        </is>
      </c>
      <c r="B172" s="133">
        <f>B166+B159+B152+B144+B120+B112+B69</f>
        <v/>
      </c>
    </row>
    <row r="173">
      <c r="A173" s="98" t="inlineStr">
        <is>
          <t>Total Sales Value of all Output as defined above</t>
        </is>
      </c>
      <c r="B173" s="133">
        <f>B167+B160+B153+B145+B121+B112+B70</f>
        <v/>
      </c>
    </row>
    <row r="174">
      <c r="A174" s="98" t="inlineStr">
        <is>
          <t>Total Sales of Corn + Issues of the Manor as recorded in account</t>
        </is>
      </c>
      <c r="B174" s="133">
        <f>Receipts!F92+Receipts!F65</f>
        <v/>
      </c>
    </row>
    <row r="175">
      <c r="A175" s="98" t="inlineStr">
        <is>
          <t>Production Value + Cash Receipts (excl. Arrears, Issues, Corn and Mill)</t>
        </is>
      </c>
      <c r="B175" s="133">
        <f>B172+Receipts!F13-Receipts!F32+Receipts!F109+Receipts!F126+Receipts!F131</f>
        <v/>
      </c>
    </row>
    <row r="176">
      <c r="A176" s="99" t="n"/>
      <c r="B176" s="134" t="n"/>
    </row>
    <row r="177">
      <c r="A177" s="100" t="inlineStr">
        <is>
          <t>% of capital expenses in terms of total production</t>
        </is>
      </c>
      <c r="B177" s="135">
        <f>B47/B172</f>
        <v/>
      </c>
    </row>
    <row r="178">
      <c r="A178" s="98" t="inlineStr">
        <is>
          <t>% of capital expenses in terms of total production + cash receipts</t>
        </is>
      </c>
      <c r="B178" s="135">
        <f>B47/B175</f>
        <v/>
      </c>
    </row>
    <row r="179">
      <c r="A179" s="99" t="n"/>
      <c r="B179" s="134" t="n"/>
    </row>
    <row r="180" ht="17" customHeight="1">
      <c r="A180" s="101" t="inlineStr">
        <is>
          <t>% of capital expenses as calculated previously</t>
        </is>
      </c>
      <c r="B180" s="136" t="n"/>
    </row>
  </sheetData>
  <mergeCells count="1">
    <mergeCell ref="B60:C6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35"/>
  <sheetViews>
    <sheetView topLeftCell="A1" workbookViewId="0">
      <selection activeCell="A1" sqref="A1"/>
    </sheetView>
  </sheetViews>
  <sheetFormatPr baseColWidth="8" defaultRowHeight="15"/>
  <cols>
    <col width="30.5" customWidth="1" min="1" max="1"/>
    <col width="8.83203125" customWidth="1" min="7" max="7"/>
  </cols>
  <sheetData>
    <row r="1" ht="16" customHeight="1">
      <c r="A1" s="2" t="inlineStr">
        <is>
          <t>IVINGHOE RECEIPTS</t>
        </is>
      </c>
    </row>
    <row r="2" ht="16" customHeight="1">
      <c r="A2" s="11" t="inlineStr">
        <is>
          <t>Heading</t>
        </is>
      </c>
      <c r="B2" s="3" t="inlineStr">
        <is>
          <t>£</t>
        </is>
      </c>
      <c r="C2" s="4" t="inlineStr">
        <is>
          <t xml:space="preserve">s </t>
        </is>
      </c>
      <c r="D2" s="4" t="inlineStr">
        <is>
          <t>d</t>
        </is>
      </c>
      <c r="E2" s="4" t="n"/>
      <c r="F2" s="5" t="inlineStr">
        <is>
          <t>Total in £</t>
        </is>
      </c>
      <c r="G2" s="6" t="inlineStr">
        <is>
          <t>Error</t>
        </is>
      </c>
      <c r="H2" s="7" t="inlineStr">
        <is>
          <t>Notes</t>
        </is>
      </c>
      <c r="I2" s="14" t="inlineStr">
        <is>
          <t>Own notes</t>
        </is>
      </c>
    </row>
    <row r="3">
      <c r="A3" t="inlineStr">
        <is>
          <t>Arrears</t>
        </is>
      </c>
      <c r="B3" t="n">
        <v>2</v>
      </c>
      <c r="C3" t="n">
        <v>5</v>
      </c>
      <c r="D3" t="n">
        <v>1</v>
      </c>
      <c r="F3" t="n">
        <v>2.25</v>
      </c>
      <c r="H3" t="inlineStr">
        <is>
          <t>William, bailiff, and William, reeve, render account for £2 5 shilling 1pence of arrears from the previous year.</t>
        </is>
      </c>
    </row>
    <row r="4">
      <c r="A4" t="inlineStr">
        <is>
          <t>Arrears</t>
        </is>
      </c>
      <c r="B4" t="n">
        <v>2</v>
      </c>
      <c r="C4" t="n">
        <v>5</v>
      </c>
      <c r="D4" t="n">
        <v>1</v>
      </c>
      <c r="F4" t="n">
        <v>2.25</v>
      </c>
      <c r="H4" t="inlineStr">
        <is>
          <t>Delivered to Sir Geoffrey, treasurer of Wolvesey, £2 5 shilling 1pence by 1 tally.</t>
        </is>
      </c>
    </row>
    <row r="5">
      <c r="A5" t="inlineStr">
        <is>
          <t>Arrears</t>
        </is>
      </c>
      <c r="B5" t="n">
        <v>0</v>
      </c>
      <c r="C5" t="n">
        <v>0</v>
      </c>
      <c r="D5" t="n">
        <v>0</v>
      </c>
      <c r="F5" t="n">
        <v>0</v>
      </c>
      <c r="H5" t="inlineStr">
        <is>
          <t>They are quit.</t>
        </is>
      </c>
    </row>
    <row r="6">
      <c r="A6" t="inlineStr">
        <is>
          <t>Arrears</t>
        </is>
      </c>
      <c r="F6" t="n">
        <v>4.5</v>
      </c>
      <c r="G6" s="137" t="n">
        <v>4.5</v>
      </c>
      <c r="H6" t="inlineStr">
        <is>
          <t>Total</t>
        </is>
      </c>
    </row>
    <row r="7"/>
    <row r="8">
      <c r="A8" t="inlineStr">
        <is>
          <t>Rents of assize</t>
        </is>
      </c>
      <c r="B8" t="n">
        <v>6</v>
      </c>
      <c r="C8" t="n">
        <v>9</v>
      </c>
      <c r="D8" t="n">
        <v>10.5</v>
      </c>
      <c r="F8" t="n">
        <v>6.49</v>
      </c>
      <c r="H8" t="inlineStr">
        <is>
          <t>The same render account for £6 9 shilling 10.5pence for all rents of assize at Christmas.</t>
        </is>
      </c>
    </row>
    <row r="9">
      <c r="A9" t="inlineStr">
        <is>
          <t>Rents of assize</t>
        </is>
      </c>
      <c r="B9" t="n">
        <v>6</v>
      </c>
      <c r="C9" t="n">
        <v>9</v>
      </c>
      <c r="D9" t="n">
        <v>10.5</v>
      </c>
      <c r="F9" t="n">
        <v>6.49</v>
      </c>
      <c r="H9" t="inlineStr">
        <is>
          <t>£6 9 shilling 10.5pence at the Annunciation (25 March).</t>
        </is>
      </c>
    </row>
    <row r="10">
      <c r="A10" t="inlineStr">
        <is>
          <t>Rents of assize</t>
        </is>
      </c>
      <c r="B10" t="n">
        <v>6</v>
      </c>
      <c r="C10" t="n">
        <v>9</v>
      </c>
      <c r="D10" t="n">
        <v>10.5</v>
      </c>
      <c r="F10" t="n">
        <v>6.49</v>
      </c>
      <c r="H10" t="inlineStr">
        <is>
          <t>£6 9 shilling 10.5pence at the Nativity of the blessed John the Baptist (24 June).</t>
        </is>
      </c>
    </row>
    <row r="11">
      <c r="A11" t="inlineStr">
        <is>
          <t>Rents of assize</t>
        </is>
      </c>
      <c r="B11" t="n">
        <v>6</v>
      </c>
      <c r="C11" t="n">
        <v>9</v>
      </c>
      <c r="D11" t="n">
        <v>10.75</v>
      </c>
      <c r="F11" t="n">
        <v>6.49</v>
      </c>
      <c r="H11" t="inlineStr">
        <is>
          <t>£6 9 shilling 10.75pence at Michaelmas (29 September).</t>
        </is>
      </c>
    </row>
    <row r="12">
      <c r="A12" t="inlineStr">
        <is>
          <t>Rents of assize</t>
        </is>
      </c>
      <c r="B12" t="n">
        <v>25</v>
      </c>
      <c r="C12" t="n">
        <v>19</v>
      </c>
      <c r="D12" t="n">
        <v>6.25</v>
      </c>
      <c r="F12" t="n">
        <v>25.98</v>
      </c>
      <c r="H12" t="inlineStr">
        <is>
          <t>Total of all rents for the year, £25 19 shilling 6.25pence</t>
        </is>
      </c>
    </row>
    <row r="13">
      <c r="A13" t="inlineStr">
        <is>
          <t>Rents of assize</t>
        </is>
      </c>
      <c r="F13" t="n">
        <v>25.96</v>
      </c>
      <c r="G13" s="137" t="n">
        <v>-0.01999999999999957</v>
      </c>
      <c r="H13" t="inlineStr">
        <is>
          <t>Total</t>
        </is>
      </c>
    </row>
    <row r="14"/>
    <row r="15">
      <c r="A15" t="inlineStr">
        <is>
          <t>Quittances</t>
        </is>
      </c>
      <c r="B15" t="n">
        <v>0</v>
      </c>
      <c r="C15" t="n">
        <v>5</v>
      </c>
      <c r="D15" t="n">
        <v>0</v>
      </c>
      <c r="F15" t="n">
        <v>0.25</v>
      </c>
      <c r="H15" t="inlineStr">
        <is>
          <t>In quittance of 1 reeve for the year 5 shilling.</t>
        </is>
      </c>
    </row>
    <row r="16">
      <c r="A16" t="inlineStr">
        <is>
          <t>Quittances</t>
        </is>
      </c>
      <c r="B16" t="n">
        <v>0</v>
      </c>
      <c r="C16" t="n">
        <v>2</v>
      </c>
      <c r="D16" t="n">
        <v>0</v>
      </c>
      <c r="F16" t="n">
        <v>0.1</v>
      </c>
      <c r="H16" t="inlineStr">
        <is>
          <t>1 beadle who is hayward and sowed corn for the year 2 shilling.</t>
        </is>
      </c>
    </row>
    <row r="17">
      <c r="A17" t="inlineStr">
        <is>
          <t>Quittances</t>
        </is>
      </c>
      <c r="B17" t="n">
        <v>0</v>
      </c>
      <c r="C17" t="n">
        <v>2</v>
      </c>
      <c r="D17" t="n">
        <v>2</v>
      </c>
      <c r="F17" t="n">
        <v>0.11</v>
      </c>
      <c r="H17" t="inlineStr">
        <is>
          <t>1 forester who kept Cherlewod' and Cumbe for the year 2 shilling 2pence.</t>
        </is>
      </c>
    </row>
    <row r="18">
      <c r="A18" t="inlineStr">
        <is>
          <t>Quittances</t>
        </is>
      </c>
      <c r="B18" t="n">
        <v>0</v>
      </c>
      <c r="C18" t="n">
        <v>2</v>
      </c>
      <c r="D18" t="n">
        <v>0</v>
      </c>
      <c r="F18" t="n">
        <v>0.1</v>
      </c>
      <c r="H18" t="inlineStr">
        <is>
          <t>1 swineherd for the year 2 shilling.</t>
        </is>
      </c>
    </row>
    <row r="19">
      <c r="A19" t="inlineStr">
        <is>
          <t>Quittances</t>
        </is>
      </c>
      <c r="B19" t="n">
        <v>0</v>
      </c>
      <c r="C19" t="n">
        <v>15</v>
      </c>
      <c r="D19" t="n">
        <v>0</v>
      </c>
      <c r="F19" t="n">
        <v>0.75</v>
      </c>
      <c r="H19" t="inlineStr">
        <is>
          <t>5 of the lord's ploughmen for the year 15 shilling, or 3 shilling each.</t>
        </is>
      </c>
    </row>
    <row r="20">
      <c r="A20" t="inlineStr">
        <is>
          <t>Quittances</t>
        </is>
      </c>
      <c r="B20" t="n">
        <v>0</v>
      </c>
      <c r="C20" t="n">
        <v>3</v>
      </c>
      <c r="D20" t="n">
        <v>10</v>
      </c>
      <c r="F20" t="n">
        <v>0.19</v>
      </c>
      <c r="H20" t="inlineStr">
        <is>
          <t>4 workers working every day apart from Saturday from Michaelmas until Christmas who, together with the cart-horses of the curia, harrowed lands for wheat and drained water from the same, 3 shilling 10pence, of whom I was quit of 1 shilling 3pence, 1 of 1 shilling, 1 of 10pence, and 1 of 9pence.</t>
        </is>
      </c>
    </row>
    <row r="21">
      <c r="A21" t="inlineStr">
        <is>
          <t>Quittances</t>
        </is>
      </c>
      <c r="B21" t="n">
        <v>0</v>
      </c>
      <c r="C21" t="n">
        <v>3</v>
      </c>
      <c r="D21" t="n">
        <v>10</v>
      </c>
      <c r="F21" t="n">
        <v>0.19</v>
      </c>
      <c r="H21" t="inlineStr">
        <is>
          <t>4 workers working the same between Christmas and the Annunciation who, together with the cart-horses of the curia, harrowed lands for oats, 3 shilling 10pence, of whom 3 were each quit of 1 shilling, and 1 of 10pence.</t>
        </is>
      </c>
    </row>
    <row r="22">
      <c r="A22" t="inlineStr">
        <is>
          <t>Quittances</t>
        </is>
      </c>
      <c r="B22" t="n">
        <v>0</v>
      </c>
      <c r="C22" t="n">
        <v>1</v>
      </c>
      <c r="D22" t="n">
        <v>10.5</v>
      </c>
      <c r="F22" t="n">
        <v>0.09</v>
      </c>
      <c r="H22" t="inlineStr">
        <is>
          <t>2 workers working the same between the Annunciation and the Nativity of the blessed John the Baptist who harrowed lands for barley and enclosed with hedges, 1 shilling 10.5pence, of whom 1 was quit of 1 shilling, and 1 of 10.5pence.</t>
        </is>
      </c>
    </row>
    <row r="23">
      <c r="A23" t="inlineStr">
        <is>
          <t>Quittances</t>
        </is>
      </c>
      <c r="B23" t="n">
        <v>0</v>
      </c>
      <c r="C23" t="n">
        <v>10</v>
      </c>
      <c r="D23" t="n">
        <v>3</v>
      </c>
      <c r="F23" t="n">
        <v>0.51</v>
      </c>
      <c r="H23" t="inlineStr">
        <is>
          <t>10 workers working the same between the feast of St John the Baptist and Michaelmas who weeded corn, mowed and gathered hay, and carried corn, 10 shilling 3pence, of whom 1 was quit of 1 shilling 3pence, and 9 of 1 shilling each.</t>
        </is>
      </c>
    </row>
    <row r="24">
      <c r="A24" t="inlineStr">
        <is>
          <t>Quittances</t>
        </is>
      </c>
      <c r="B24" t="n">
        <v>2</v>
      </c>
      <c r="C24" t="n">
        <v>5</v>
      </c>
      <c r="D24" t="n">
        <v>11.5</v>
      </c>
      <c r="F24" t="n">
        <v>2.3</v>
      </c>
      <c r="H24" t="inlineStr">
        <is>
          <t>Total of quittances, £2 5 shilling 11.5pence</t>
        </is>
      </c>
    </row>
    <row r="25">
      <c r="A25" t="inlineStr">
        <is>
          <t>Quittances</t>
        </is>
      </c>
      <c r="F25" t="n">
        <v>2.29</v>
      </c>
      <c r="G25" s="137" t="n">
        <v>-0.009999999999999787</v>
      </c>
      <c r="H25" t="inlineStr">
        <is>
          <t>Total</t>
        </is>
      </c>
    </row>
    <row r="26"/>
    <row r="27">
      <c r="A27" t="inlineStr">
        <is>
          <t>Defaults of rent</t>
        </is>
      </c>
      <c r="B27" t="n">
        <v>0</v>
      </c>
      <c r="C27" t="n">
        <v>18</v>
      </c>
      <c r="D27" t="n">
        <v>0</v>
      </c>
      <c r="F27" t="n">
        <v>0.9</v>
      </c>
      <c r="H27" t="inlineStr">
        <is>
          <t>In default of the land of the earl of Salisbury at Gaddesden 18 shilling</t>
        </is>
      </c>
    </row>
    <row r="28">
      <c r="A28" t="inlineStr">
        <is>
          <t>Defaults of rent</t>
        </is>
      </c>
      <c r="B28" t="n">
        <v>0</v>
      </c>
      <c r="C28" t="n">
        <v>18</v>
      </c>
      <c r="D28" t="n">
        <v>0</v>
      </c>
      <c r="F28" t="n">
        <v>0.9</v>
      </c>
      <c r="H28" t="inlineStr">
        <is>
          <t>Total of defaults of rent, 18 shilling</t>
        </is>
      </c>
    </row>
    <row r="29">
      <c r="A29" t="inlineStr">
        <is>
          <t>Defaults of rent</t>
        </is>
      </c>
      <c r="F29" t="n">
        <v>0.9</v>
      </c>
      <c r="G29" s="137" t="n">
        <v>0</v>
      </c>
      <c r="H29" t="inlineStr">
        <is>
          <t>Total</t>
        </is>
      </c>
    </row>
    <row r="30"/>
    <row r="31">
      <c r="A31" t="inlineStr">
        <is>
          <t>Total of quittances and defaults of rent</t>
        </is>
      </c>
      <c r="B31" t="n">
        <v>3</v>
      </c>
      <c r="C31" t="n">
        <v>3</v>
      </c>
      <c r="D31" t="n">
        <v>11.5</v>
      </c>
      <c r="F31" t="n">
        <v>3.2</v>
      </c>
      <c r="H31" t="inlineStr">
        <is>
          <t>Total of quittances and defaults of rent, £3 3 shilling 11.5pence</t>
        </is>
      </c>
    </row>
    <row r="32">
      <c r="A32" t="inlineStr">
        <is>
          <t>Total of quittances and defaults of rent</t>
        </is>
      </c>
      <c r="F32" t="n">
        <v>3.2</v>
      </c>
      <c r="G32" s="137">
        <f>F32-F31</f>
        <v/>
      </c>
      <c r="H32" t="inlineStr">
        <is>
          <t>Total</t>
        </is>
      </c>
    </row>
    <row r="33"/>
    <row r="34">
      <c r="A34" t="inlineStr">
        <is>
          <t>Issues of the manor</t>
        </is>
      </c>
      <c r="B34" t="n">
        <v>0</v>
      </c>
      <c r="C34" t="n">
        <v>9</v>
      </c>
      <c r="D34" t="n">
        <v>8</v>
      </c>
      <c r="F34" t="n">
        <v>0.48</v>
      </c>
      <c r="H34" t="inlineStr">
        <is>
          <t>The same render account for 9 shilling 8pence from pannage of pigs of the whole vill.</t>
        </is>
      </c>
    </row>
    <row r="35">
      <c r="A35" t="inlineStr">
        <is>
          <t>Issues of the manor</t>
        </is>
      </c>
      <c r="B35" t="n">
        <v>0</v>
      </c>
      <c r="C35" t="n">
        <v>0</v>
      </c>
      <c r="D35" t="n">
        <v>0</v>
      </c>
      <c r="F35" t="n">
        <v>0</v>
      </c>
      <c r="H35" t="inlineStr">
        <is>
          <t>nothing from foreign pannage because there was no mast.</t>
        </is>
      </c>
    </row>
    <row r="36">
      <c r="A36" t="inlineStr">
        <is>
          <t>Issues of the manor</t>
        </is>
      </c>
      <c r="B36" t="n">
        <v>1</v>
      </c>
      <c r="C36" t="n">
        <v>0</v>
      </c>
      <c r="D36" t="n">
        <v>0</v>
      </c>
      <c r="F36" t="n">
        <v>1</v>
      </c>
      <c r="H36" t="inlineStr">
        <is>
          <t>£1 from dead wood blown down by the wind in Cherlewod'.</t>
        </is>
      </c>
    </row>
    <row r="37">
      <c r="A37" t="inlineStr">
        <is>
          <t>Issues of the manor</t>
        </is>
      </c>
      <c r="B37" t="n">
        <v>0</v>
      </c>
      <c r="C37" t="n">
        <v>10</v>
      </c>
      <c r="D37" t="n">
        <v>6</v>
      </c>
      <c r="F37" t="n">
        <v>0.53</v>
      </c>
      <c r="H37" t="inlineStr">
        <is>
          <t>10 shilling from winter ploughing this year, that is, 6pence a ploughman from 20 ploughmen.</t>
        </is>
      </c>
    </row>
    <row r="38">
      <c r="A38" t="inlineStr">
        <is>
          <t>Issues of the manor</t>
        </is>
      </c>
      <c r="B38" t="n">
        <v>0</v>
      </c>
      <c r="C38" t="n">
        <v>0</v>
      </c>
      <c r="D38" t="n">
        <v>0</v>
      </c>
      <c r="F38" t="n">
        <v>0</v>
      </c>
      <c r="H38" t="inlineStr">
        <is>
          <t>nothing from Lenten ploughing because it was ploughed.</t>
        </is>
      </c>
    </row>
    <row r="39">
      <c r="A39" t="inlineStr">
        <is>
          <t>Issues of the manor</t>
        </is>
      </c>
      <c r="B39" t="n">
        <v>0</v>
      </c>
      <c r="C39" t="n">
        <v>5</v>
      </c>
      <c r="D39" t="n">
        <v>6</v>
      </c>
      <c r="F39" t="n">
        <v>0.28</v>
      </c>
      <c r="H39" t="inlineStr">
        <is>
          <t>5 shilling from 10 ploughmen for release from summer ploughing, at 6pence a ploughman.</t>
        </is>
      </c>
    </row>
    <row r="40">
      <c r="A40" t="inlineStr">
        <is>
          <t>Issues of the manor</t>
        </is>
      </c>
      <c r="B40" t="n">
        <v>1</v>
      </c>
      <c r="C40" t="n">
        <v>10</v>
      </c>
      <c r="D40" t="n">
        <v>3</v>
      </c>
      <c r="F40" t="n">
        <v>1.51</v>
      </c>
      <c r="H40" t="inlineStr">
        <is>
          <t>£1 10 shilling 3pence from 60.5 virgates of land for release from transport-service this year, at 6pence a virgate, because no transport-service was done to London or elsewhere.</t>
        </is>
      </c>
    </row>
    <row r="41">
      <c r="A41" t="inlineStr">
        <is>
          <t>Issues of the manor</t>
        </is>
      </c>
      <c r="B41" t="n">
        <v>0</v>
      </c>
      <c r="C41" t="n">
        <v>12</v>
      </c>
      <c r="D41" t="n">
        <v>6</v>
      </c>
      <c r="F41" t="n">
        <v>0.62</v>
      </c>
      <c r="H41" t="inlineStr">
        <is>
          <t>12 shilling from the agistment of 6 old beasts (av') and 18 bullocks in the pasture of the grove for the summer, at 6pence an old beast and 4pence a bullock.</t>
        </is>
      </c>
    </row>
    <row r="42">
      <c r="A42" t="inlineStr">
        <is>
          <t>Issues of the manor</t>
        </is>
      </c>
      <c r="B42" t="n">
        <v>0</v>
      </c>
      <c r="C42" t="n">
        <v>0</v>
      </c>
      <c r="D42" t="n">
        <v>0</v>
      </c>
      <c r="F42" t="n">
        <v>0</v>
      </c>
      <c r="H42" t="inlineStr">
        <is>
          <t>nothing from coarse wool this year because it is sent to Wolvesey.</t>
        </is>
      </c>
    </row>
    <row r="43">
      <c r="A43" t="inlineStr">
        <is>
          <t>Issues of the manor</t>
        </is>
      </c>
      <c r="B43" t="n">
        <v>0</v>
      </c>
      <c r="C43" t="n">
        <v>0</v>
      </c>
      <c r="D43" t="n">
        <v>0</v>
      </c>
      <c r="F43" t="n">
        <v>0</v>
      </c>
      <c r="H43" t="inlineStr">
        <is>
          <t>nothing from lambs' fleeces this year because the lambs were not sheared.</t>
        </is>
      </c>
    </row>
    <row r="44">
      <c r="A44" t="inlineStr">
        <is>
          <t>Issues of the manor</t>
        </is>
      </c>
      <c r="B44" t="n">
        <v>0</v>
      </c>
      <c r="C44" t="n">
        <v>1</v>
      </c>
      <c r="D44" t="n">
        <v>3</v>
      </c>
      <c r="F44" t="n">
        <v>0.06</v>
      </c>
      <c r="H44" t="inlineStr">
        <is>
          <t>1 shilling 3pence from wool locks this year.</t>
        </is>
      </c>
    </row>
    <row r="45">
      <c r="A45" t="inlineStr">
        <is>
          <t>Issues of the manor</t>
        </is>
      </c>
      <c r="B45" t="n">
        <v>0</v>
      </c>
      <c r="C45" t="n">
        <v>3</v>
      </c>
      <c r="D45" t="n">
        <v>1</v>
      </c>
      <c r="F45" t="n">
        <v>0.15</v>
      </c>
      <c r="H45" t="inlineStr">
        <is>
          <t>3 shilling 1pence from winter cheese sold.</t>
        </is>
      </c>
    </row>
    <row r="46">
      <c r="A46" t="inlineStr">
        <is>
          <t>Issues of the manor</t>
        </is>
      </c>
      <c r="B46" t="n">
        <v>2</v>
      </c>
      <c r="C46" t="n">
        <v>17</v>
      </c>
      <c r="D46" t="n">
        <v>6</v>
      </c>
      <c r="F46" t="n">
        <v>2.88</v>
      </c>
      <c r="H46" t="inlineStr">
        <is>
          <t>£2 17 shilling 6pence from 5.75 weys of summer cheese sold, at 10 shilling a wey.</t>
        </is>
      </c>
    </row>
    <row r="47">
      <c r="A47" t="inlineStr">
        <is>
          <t>Issues of the manor</t>
        </is>
      </c>
      <c r="B47" t="n">
        <v>0</v>
      </c>
      <c r="C47" t="n">
        <v>7</v>
      </c>
      <c r="D47" t="n">
        <v>1</v>
      </c>
      <c r="F47" t="n">
        <v>0.35</v>
      </c>
      <c r="H47" t="inlineStr">
        <is>
          <t>7 shilling 1pence from 17 gallons of butter sold, at 5pence a gallon.</t>
        </is>
      </c>
    </row>
    <row r="48">
      <c r="A48" t="inlineStr">
        <is>
          <t>Issues of the manor</t>
        </is>
      </c>
      <c r="B48" t="n">
        <v>0</v>
      </c>
      <c r="C48" t="n">
        <v>0</v>
      </c>
      <c r="D48" t="n">
        <v>5.5</v>
      </c>
      <c r="F48" t="n">
        <v>0.02</v>
      </c>
      <c r="H48" t="inlineStr">
        <is>
          <t>5.5pence from honey and wax sold from stock.</t>
        </is>
      </c>
    </row>
    <row r="49">
      <c r="A49" t="inlineStr">
        <is>
          <t>Issues of the manor</t>
        </is>
      </c>
      <c r="B49" t="n">
        <v>0</v>
      </c>
      <c r="C49" t="n">
        <v>3</v>
      </c>
      <c r="D49" t="n">
        <v>8</v>
      </c>
      <c r="F49" t="n">
        <v>0.18</v>
      </c>
      <c r="H49" t="inlineStr">
        <is>
          <t>3 shilling 8pence from stubble sold.</t>
        </is>
      </c>
    </row>
    <row r="50">
      <c r="A50" t="inlineStr">
        <is>
          <t>Issues of the manor</t>
        </is>
      </c>
      <c r="B50" t="n">
        <v>0</v>
      </c>
      <c r="C50" t="n">
        <v>9</v>
      </c>
      <c r="D50" t="n">
        <v>0</v>
      </c>
      <c r="F50" t="n">
        <v>0.45</v>
      </c>
      <c r="H50" t="inlineStr">
        <is>
          <t>9 shilling from old hay sold.</t>
        </is>
      </c>
    </row>
    <row r="51">
      <c r="A51" t="inlineStr">
        <is>
          <t>Issues of the manor</t>
        </is>
      </c>
      <c r="B51" t="n">
        <v>0</v>
      </c>
      <c r="C51" t="n">
        <v>17</v>
      </c>
      <c r="D51" t="n">
        <v>0</v>
      </c>
      <c r="F51" t="n">
        <v>0.85</v>
      </c>
      <c r="H51" t="inlineStr">
        <is>
          <t>17 shilling from old hay sold for the queen's use.</t>
        </is>
      </c>
    </row>
    <row r="52">
      <c r="A52" t="inlineStr">
        <is>
          <t>Issues of the manor</t>
        </is>
      </c>
      <c r="B52" t="n">
        <v>1</v>
      </c>
      <c r="C52" t="n">
        <v>0</v>
      </c>
      <c r="D52" t="n">
        <v>0</v>
      </c>
      <c r="F52" t="n">
        <v>1</v>
      </c>
      <c r="H52" t="inlineStr">
        <is>
          <t>£1 from hay sold this year.</t>
        </is>
      </c>
    </row>
    <row r="53">
      <c r="A53" t="inlineStr">
        <is>
          <t>Issues of the manor</t>
        </is>
      </c>
      <c r="B53" t="n">
        <v>0</v>
      </c>
      <c r="C53" t="n">
        <v>1</v>
      </c>
      <c r="D53" t="n">
        <v>4</v>
      </c>
      <c r="F53" t="n">
        <v>0.07000000000000001</v>
      </c>
      <c r="H53" t="inlineStr">
        <is>
          <t>1 shilling 4pence from taverns.</t>
        </is>
      </c>
    </row>
    <row r="54">
      <c r="A54" t="inlineStr">
        <is>
          <t>Issues of the manor</t>
        </is>
      </c>
      <c r="B54" t="n">
        <v>0</v>
      </c>
      <c r="C54" t="n">
        <v>1</v>
      </c>
      <c r="D54" t="n">
        <v>4</v>
      </c>
      <c r="F54" t="n">
        <v>0.07000000000000001</v>
      </c>
      <c r="H54" t="inlineStr">
        <is>
          <t>1 shilling 4pence from 2 quarters of apples sold.</t>
        </is>
      </c>
    </row>
    <row r="55">
      <c r="A55" t="inlineStr">
        <is>
          <t>Issues of the manor</t>
        </is>
      </c>
      <c r="B55" t="n">
        <v>0</v>
      </c>
      <c r="C55" t="n">
        <v>10</v>
      </c>
      <c r="D55" t="n">
        <v>3</v>
      </c>
      <c r="F55" t="n">
        <v>0.51</v>
      </c>
      <c r="H55" t="inlineStr">
        <is>
          <t>10 shilling from 40 geese sold, received from the beadle at Michaelmas according to custom, at 3pence a goose.</t>
        </is>
      </c>
    </row>
    <row r="56">
      <c r="A56" t="inlineStr">
        <is>
          <t>Issues of the manor</t>
        </is>
      </c>
      <c r="B56" t="n">
        <v>0</v>
      </c>
      <c r="C56" t="n">
        <v>3</v>
      </c>
      <c r="D56" t="n">
        <v>4</v>
      </c>
      <c r="F56" t="n">
        <v>0.17</v>
      </c>
      <c r="H56" t="inlineStr">
        <is>
          <t>3 shilling 4pence from 80 chickens sold, received from the same beadle at the same Michaelmas according to custom.</t>
        </is>
      </c>
    </row>
    <row r="57">
      <c r="A57" t="inlineStr">
        <is>
          <t>Issues of the manor</t>
        </is>
      </c>
      <c r="B57" t="n">
        <v>0</v>
      </c>
      <c r="C57" t="n">
        <v>1</v>
      </c>
      <c r="D57" t="n">
        <v>0</v>
      </c>
      <c r="F57" t="n">
        <v>0.05</v>
      </c>
      <c r="H57" t="inlineStr">
        <is>
          <t>1 shilling from 303 eggs sold, received from the same beadle at Easter according to custom.</t>
        </is>
      </c>
    </row>
    <row r="58">
      <c r="A58" t="inlineStr">
        <is>
          <t>Issues of the manor</t>
        </is>
      </c>
      <c r="B58" t="n">
        <v>0</v>
      </c>
      <c r="C58" t="n">
        <v>8</v>
      </c>
      <c r="D58" t="n">
        <v>0</v>
      </c>
      <c r="F58" t="n">
        <v>0.4</v>
      </c>
      <c r="H58" t="inlineStr">
        <is>
          <t>8 shilling from the men of Netley for release from their labour service at harvest-time this year.</t>
        </is>
      </c>
    </row>
    <row r="59">
      <c r="A59" t="inlineStr">
        <is>
          <t>Issues of the manor</t>
        </is>
      </c>
      <c r="B59" t="n">
        <v>0</v>
      </c>
      <c r="C59" t="n">
        <v>0</v>
      </c>
      <c r="D59" t="n">
        <v>2.5</v>
      </c>
      <c r="F59" t="n">
        <v>0.01</v>
      </c>
      <c r="H59" t="inlineStr">
        <is>
          <t>2.5pence from the tail and feathers of 1 peacock sold.</t>
        </is>
      </c>
    </row>
    <row r="60">
      <c r="A60" t="inlineStr">
        <is>
          <t>Issues of the manor</t>
        </is>
      </c>
      <c r="B60" t="n">
        <v>0</v>
      </c>
      <c r="C60" t="n">
        <v>0</v>
      </c>
      <c r="D60" t="n">
        <v>0</v>
      </c>
      <c r="F60" t="n">
        <v>0</v>
      </c>
      <c r="H60" t="inlineStr">
        <is>
          <t>nothing from weaning lambs this year because the corn was thin.</t>
        </is>
      </c>
    </row>
    <row r="61">
      <c r="A61" t="inlineStr">
        <is>
          <t>Issues of the manor</t>
        </is>
      </c>
      <c r="B61" t="n">
        <v>0</v>
      </c>
      <c r="C61" t="n">
        <v>2</v>
      </c>
      <c r="D61" t="n">
        <v>2</v>
      </c>
      <c r="F61" t="n">
        <v>0.11</v>
      </c>
      <c r="H61" t="inlineStr">
        <is>
          <t>2 shilling 2pence from 1 tunic from the heriot of Richard Sutoris sold.</t>
        </is>
      </c>
    </row>
    <row r="62">
      <c r="A62" t="inlineStr">
        <is>
          <t>Issues of the manor</t>
        </is>
      </c>
      <c r="B62" t="n">
        <v>0</v>
      </c>
      <c r="C62" t="n">
        <v>0</v>
      </c>
      <c r="D62" t="n">
        <v>4</v>
      </c>
      <c r="F62" t="n">
        <v>0.02</v>
      </c>
      <c r="H62" t="inlineStr">
        <is>
          <t>4pence from 1 axe from the heriot of William Peck' sold.</t>
        </is>
      </c>
    </row>
    <row r="63">
      <c r="A63" t="inlineStr">
        <is>
          <t>Issues of the manor</t>
        </is>
      </c>
      <c r="B63" t="n">
        <v>0</v>
      </c>
      <c r="C63" t="n">
        <v>19</v>
      </c>
      <c r="D63" t="n">
        <v>8</v>
      </c>
      <c r="F63" t="n">
        <v>0.98</v>
      </c>
      <c r="H63" t="inlineStr">
        <is>
          <t>19 shilling 8pence from dairy produce sold at the audit.</t>
        </is>
      </c>
    </row>
    <row r="64">
      <c r="A64" t="inlineStr">
        <is>
          <t>Issues of the manor</t>
        </is>
      </c>
      <c r="B64" t="n">
        <v>12</v>
      </c>
      <c r="C64" t="n">
        <v>13</v>
      </c>
      <c r="D64" t="n">
        <v>4</v>
      </c>
      <c r="F64" t="n">
        <v>12.67</v>
      </c>
      <c r="H64" t="inlineStr">
        <is>
          <t>Total, £12 13 shilling 4pence</t>
        </is>
      </c>
    </row>
    <row r="65">
      <c r="A65" t="inlineStr">
        <is>
          <t>Issues of the manor</t>
        </is>
      </c>
      <c r="F65" t="n">
        <v>12.75</v>
      </c>
      <c r="G65" s="137" t="n">
        <v>0.08000000000000007</v>
      </c>
      <c r="H65" t="inlineStr">
        <is>
          <t>Total</t>
        </is>
      </c>
    </row>
    <row r="66"/>
    <row r="67">
      <c r="A67" t="inlineStr">
        <is>
          <t>Issues of stock</t>
        </is>
      </c>
      <c r="B67" t="n">
        <v>1</v>
      </c>
      <c r="C67" t="n">
        <v>3</v>
      </c>
      <c r="D67" t="n">
        <v>0</v>
      </c>
      <c r="F67" t="n">
        <v>1.15</v>
      </c>
      <c r="H67" t="inlineStr">
        <is>
          <t>The same render account for £1 3 shilling from 6 old and feeble plough-horses sold, at 5 shilling each for 2, 3 shilling 6pence each for 2, and 3 shilling each for 2.</t>
        </is>
      </c>
    </row>
    <row r="68">
      <c r="A68" t="inlineStr">
        <is>
          <t>Issues of stock</t>
        </is>
      </c>
      <c r="B68" t="n">
        <v>3</v>
      </c>
      <c r="C68" t="n">
        <v>19</v>
      </c>
      <c r="D68" t="n">
        <v>2</v>
      </c>
      <c r="F68" t="n">
        <v>3.96</v>
      </c>
      <c r="H68" t="inlineStr">
        <is>
          <t>£3 19 shilling 2pence from 8 oxen sold, at 11 shilling each for 4, 10 shilling each for 3, and 5 shilling 2pence for 1 killed for fear of murrain.</t>
        </is>
      </c>
    </row>
    <row r="69">
      <c r="A69" t="inlineStr">
        <is>
          <t>Issues of stock</t>
        </is>
      </c>
      <c r="B69" t="n">
        <v>0</v>
      </c>
      <c r="C69" t="n">
        <v>11</v>
      </c>
      <c r="D69" t="n">
        <v>0</v>
      </c>
      <c r="F69" t="n">
        <v>0.55</v>
      </c>
      <c r="H69" t="inlineStr">
        <is>
          <t>11 shilling from 1 bull sold.</t>
        </is>
      </c>
    </row>
    <row r="70">
      <c r="A70" t="inlineStr">
        <is>
          <t>Issues of stock</t>
        </is>
      </c>
      <c r="B70" t="n">
        <v>1</v>
      </c>
      <c r="C70" t="n">
        <v>8</v>
      </c>
      <c r="D70" t="n">
        <v>6</v>
      </c>
      <c r="F70" t="n">
        <v>1.42</v>
      </c>
      <c r="H70" t="inlineStr">
        <is>
          <t>£1 8 shilling 6pence from 4 cows sold, 3 of them at Martinmas, at 8 shilling 6pence each for 2, 7 shilling 6pence for 1, and 4 shilling for 1 sick cow before calving.</t>
        </is>
      </c>
    </row>
    <row r="71">
      <c r="A71" t="inlineStr">
        <is>
          <t>Issues of stock</t>
        </is>
      </c>
      <c r="B71" t="n">
        <v>0</v>
      </c>
      <c r="C71" t="n">
        <v>4</v>
      </c>
      <c r="D71" t="n">
        <v>0</v>
      </c>
      <c r="F71" t="n">
        <v>0.2</v>
      </c>
      <c r="H71" t="inlineStr">
        <is>
          <t>4 shilling from 1 steer sold.</t>
        </is>
      </c>
    </row>
    <row r="72">
      <c r="A72" t="inlineStr">
        <is>
          <t>Issues of stock</t>
        </is>
      </c>
      <c r="B72" t="n">
        <v>0</v>
      </c>
      <c r="C72" t="n">
        <v>10</v>
      </c>
      <c r="D72" t="n">
        <v>11</v>
      </c>
      <c r="F72" t="n">
        <v>0.55</v>
      </c>
      <c r="H72" t="inlineStr">
        <is>
          <t>10 shilling from 11 calves sold, at 1 shilling each for 4, 11pence each for 2, and 10pence each for 5.</t>
        </is>
      </c>
    </row>
    <row r="73">
      <c r="A73" t="inlineStr">
        <is>
          <t>Issues of stock</t>
        </is>
      </c>
      <c r="B73" t="n">
        <v>0</v>
      </c>
      <c r="C73" t="n">
        <v>2</v>
      </c>
      <c r="D73" t="n">
        <v>4</v>
      </c>
      <c r="F73" t="n">
        <v>0.12</v>
      </c>
      <c r="H73" t="inlineStr">
        <is>
          <t>2 shilling 4pence from the hide sold of 1 ox in murrain.</t>
        </is>
      </c>
    </row>
    <row r="74">
      <c r="A74" t="inlineStr">
        <is>
          <t>Issues of stock</t>
        </is>
      </c>
      <c r="B74" t="n">
        <v>0</v>
      </c>
      <c r="C74" t="n">
        <v>1</v>
      </c>
      <c r="D74" t="n">
        <v>0</v>
      </c>
      <c r="F74" t="n">
        <v>0.05</v>
      </c>
      <c r="H74" t="inlineStr">
        <is>
          <t>1 shilling from the hides sold of 2 yearlings in murrain.</t>
        </is>
      </c>
    </row>
    <row r="75">
      <c r="A75" t="inlineStr">
        <is>
          <t>Issues of stock</t>
        </is>
      </c>
      <c r="B75" t="n">
        <v>1</v>
      </c>
      <c r="C75" t="n">
        <v>15</v>
      </c>
      <c r="D75" t="n">
        <v>0</v>
      </c>
      <c r="F75" t="n">
        <v>1.75</v>
      </c>
      <c r="H75" t="inlineStr">
        <is>
          <t>£1 15 shilling from 26 wethers and 4 ewes sold at Martinmas, at 1 shilling 2pence each.</t>
        </is>
      </c>
    </row>
    <row r="76">
      <c r="A76" t="inlineStr">
        <is>
          <t>Issues of stock</t>
        </is>
      </c>
      <c r="B76" t="n">
        <v>14</v>
      </c>
      <c r="C76" t="n">
        <v>0</v>
      </c>
      <c r="D76" t="n">
        <v>0</v>
      </c>
      <c r="F76" t="n">
        <v>14</v>
      </c>
      <c r="H76" t="inlineStr">
        <is>
          <t>£14 shilling 6pence from the skins sold of 40 wethers, 31 ewes and 26 hoggs in murrain before shearing, at 4pence a wether, 3pence a ewe, and 2.5pence a hogg.</t>
        </is>
      </c>
    </row>
    <row r="77">
      <c r="A77" t="inlineStr">
        <is>
          <t>Issues of stock</t>
        </is>
      </c>
      <c r="B77" t="n">
        <v>0</v>
      </c>
      <c r="C77" t="n">
        <v>1</v>
      </c>
      <c r="D77" t="n">
        <v>2.5</v>
      </c>
      <c r="F77" t="n">
        <v>0.06</v>
      </c>
      <c r="H77" t="inlineStr">
        <is>
          <t>1 shilling 2.5pence from the skins sold of 1 wether, 5 ewes, in murrain after shearing, and 5 lambs, at 2pence a wether, 1.5pence a ewe, and 1pence a lamb.</t>
        </is>
      </c>
    </row>
    <row r="78">
      <c r="A78" t="inlineStr">
        <is>
          <t>Issues of stock</t>
        </is>
      </c>
      <c r="B78" t="n">
        <v>0</v>
      </c>
      <c r="C78" t="n">
        <v>3</v>
      </c>
      <c r="D78" t="n">
        <v>4</v>
      </c>
      <c r="F78" t="n">
        <v>0.17</v>
      </c>
      <c r="H78" t="inlineStr">
        <is>
          <t>3 shilling 4pence from 3 peacocks sold, 1 of them a male.</t>
        </is>
      </c>
    </row>
    <row r="79">
      <c r="A79" t="inlineStr">
        <is>
          <t>Issues of stock</t>
        </is>
      </c>
      <c r="B79" t="n">
        <v>3</v>
      </c>
      <c r="C79" t="n">
        <v>15</v>
      </c>
      <c r="D79" t="n">
        <v>0</v>
      </c>
      <c r="F79" t="n">
        <v>3.75</v>
      </c>
      <c r="H79" t="inlineStr">
        <is>
          <t>£3 15 shilling from 30 gelded pigs sold, at 3 shilling each for 10, 2 shilling 6pence each for 10, and 2 shilling each for 10.</t>
        </is>
      </c>
    </row>
    <row r="80">
      <c r="A80" t="inlineStr">
        <is>
          <t>Issues of stock</t>
        </is>
      </c>
      <c r="B80" t="n">
        <v>0</v>
      </c>
      <c r="C80" t="n">
        <v>2</v>
      </c>
      <c r="D80" t="n">
        <v>0</v>
      </c>
      <c r="F80" t="n">
        <v>0.1</v>
      </c>
      <c r="H80" t="inlineStr">
        <is>
          <t>2 shilling from 2 calves sold at the audit.</t>
        </is>
      </c>
    </row>
    <row r="81">
      <c r="A81" t="inlineStr">
        <is>
          <t>Issues of stock</t>
        </is>
      </c>
      <c r="B81" t="n">
        <v>1</v>
      </c>
      <c r="C81" t="n">
        <v>16</v>
      </c>
      <c r="D81" t="n">
        <v>0</v>
      </c>
      <c r="F81" t="n">
        <v>1.8</v>
      </c>
      <c r="H81" t="inlineStr">
        <is>
          <t>£1 16 shilling from 54 wethers sold at Martinmas because sick, at 8pence each.</t>
        </is>
      </c>
    </row>
    <row r="82">
      <c r="A82" t="inlineStr">
        <is>
          <t>Issues of stock</t>
        </is>
      </c>
      <c r="B82" t="n">
        <v>16</v>
      </c>
      <c r="C82" t="n">
        <v>15</v>
      </c>
      <c r="D82" t="n">
        <v>11.5</v>
      </c>
      <c r="F82" t="n">
        <v>16.8</v>
      </c>
      <c r="H82" t="inlineStr">
        <is>
          <t>Total, £16 15 shilling 11.5pence</t>
        </is>
      </c>
    </row>
    <row r="83"/>
    <row r="84">
      <c r="A84" t="inlineStr">
        <is>
          <t>Wheat, barley, oats and beans sold</t>
        </is>
      </c>
      <c r="B84" t="n">
        <v>41</v>
      </c>
      <c r="C84" t="n">
        <v>14</v>
      </c>
      <c r="D84" t="n">
        <v>0</v>
      </c>
      <c r="F84" t="n">
        <v>41.7</v>
      </c>
      <c r="H84" t="inlineStr">
        <is>
          <t>The same render account for £41 14 shilling from 168 quarters of wheat sold, at 5 shilling a quarters for 162 quarters, and 4 shilling a quarters for 6 quarters.</t>
        </is>
      </c>
    </row>
    <row r="85">
      <c r="A85" t="inlineStr">
        <is>
          <t>Wheat, barley, oats and beans sold</t>
        </is>
      </c>
      <c r="B85" t="n">
        <v>2</v>
      </c>
      <c r="C85" t="n">
        <v>2</v>
      </c>
      <c r="D85" t="n">
        <v>3</v>
      </c>
      <c r="F85" t="n">
        <v>2.11</v>
      </c>
      <c r="H85" t="inlineStr">
        <is>
          <t>£2 2 shilling 3pence from 9 quarters 6 bushels of wheat sold for the queen's use, at 4 shilling 4pence a quarters.</t>
        </is>
      </c>
    </row>
    <row r="86">
      <c r="A86" t="inlineStr">
        <is>
          <t>Wheat, barley, oats and beans sold</t>
        </is>
      </c>
      <c r="B86" t="n">
        <v>1</v>
      </c>
      <c r="C86" t="n">
        <v>13</v>
      </c>
      <c r="D86" t="n">
        <v>4</v>
      </c>
      <c r="F86" t="n">
        <v>1.67</v>
      </c>
      <c r="H86" t="inlineStr">
        <is>
          <t>£1 13 shilling 4pence from 10 quarters of barley sold, at 3 shilling 4pence a quarters.</t>
        </is>
      </c>
    </row>
    <row r="87">
      <c r="A87" t="inlineStr">
        <is>
          <t>Wheat, barley, oats and beans sold</t>
        </is>
      </c>
      <c r="B87" t="n">
        <v>5</v>
      </c>
      <c r="C87" t="n">
        <v>1</v>
      </c>
      <c r="D87" t="n">
        <v>0</v>
      </c>
      <c r="F87" t="n">
        <v>5.05</v>
      </c>
      <c r="H87" t="inlineStr">
        <is>
          <t>£5 1 shilling from 60.5 quarters of oats from the demesne sold, at 2 shilling a quarters for 20.5 quarters, and 1 shilling 6pence a quarters for 40 quarters.</t>
        </is>
      </c>
    </row>
    <row r="88">
      <c r="A88" t="inlineStr">
        <is>
          <t>Wheat, barley, oats and beans sold</t>
        </is>
      </c>
      <c r="B88" t="n">
        <v>3</v>
      </c>
      <c r="C88" t="n">
        <v>18</v>
      </c>
      <c r="D88" t="n">
        <v>9</v>
      </c>
      <c r="F88" t="n">
        <v>3.94</v>
      </c>
      <c r="H88" t="inlineStr">
        <is>
          <t>£3 18 shilling 9pence from 39 quarters 3 bushels of oats from the vill sold according to custom, at 2 shilling a quarters.</t>
        </is>
      </c>
    </row>
    <row r="89">
      <c r="A89" t="inlineStr">
        <is>
          <t>Wheat, barley, oats and beans sold</t>
        </is>
      </c>
      <c r="B89" t="n">
        <v>0</v>
      </c>
      <c r="C89" t="n">
        <v>12</v>
      </c>
      <c r="D89" t="n">
        <v>3</v>
      </c>
      <c r="F89" t="n">
        <v>0.61</v>
      </c>
      <c r="H89" t="inlineStr">
        <is>
          <t>12 shilling 3pence from 6 quarters 1 bushels of beans sold, at 2 shilling a quarters.</t>
        </is>
      </c>
    </row>
    <row r="90">
      <c r="A90" t="inlineStr">
        <is>
          <t>Wheat, barley, oats and beans sold</t>
        </is>
      </c>
      <c r="B90" t="n">
        <v>0</v>
      </c>
      <c r="C90" t="n">
        <v>1</v>
      </c>
      <c r="D90" t="n">
        <v>5.5</v>
      </c>
      <c r="F90" s="72">
        <f>B90+C90/20+D90/240</f>
        <v/>
      </c>
      <c r="H90" t="inlineStr">
        <is>
          <t xml:space="preserve">1 shilling 5.5pence from 3.5 bushels of barley sold at the audit, at 5pence a bushels </t>
        </is>
      </c>
    </row>
    <row r="91">
      <c r="A91" t="inlineStr">
        <is>
          <t>Wheat, barley, oats and beans sold</t>
        </is>
      </c>
      <c r="B91" t="n">
        <v>55</v>
      </c>
      <c r="C91" t="n">
        <v>3</v>
      </c>
      <c r="D91" t="n">
        <v>0.5</v>
      </c>
      <c r="F91" t="n">
        <v>55.15</v>
      </c>
      <c r="H91" t="inlineStr">
        <is>
          <t>Total of all corn sold, £55 3 shilling 0.5pence</t>
        </is>
      </c>
    </row>
    <row r="92">
      <c r="A92" t="inlineStr">
        <is>
          <t>Wheat, barley, oats and beans sold</t>
        </is>
      </c>
      <c r="F92" s="72">
        <f>SUM(F84:F90)</f>
        <v/>
      </c>
      <c r="G92" s="138">
        <f>F92-F91</f>
        <v/>
      </c>
      <c r="H92" t="inlineStr">
        <is>
          <t>Total</t>
        </is>
      </c>
    </row>
    <row r="93"/>
    <row r="94">
      <c r="A94" t="inlineStr">
        <is>
          <t>Corn and malt mill'</t>
        </is>
      </c>
      <c r="B94" t="n">
        <v>2</v>
      </c>
      <c r="C94" t="n">
        <v>19</v>
      </c>
      <c r="D94" t="n">
        <v>11</v>
      </c>
      <c r="F94" t="n">
        <v>3</v>
      </c>
      <c r="H94" t="inlineStr">
        <is>
          <t>The same render account for £2 19 shilling 11pence from 23 quarters 5 bushels of corn from the whole issue of the mill sold, at 3 shilling a quarters for 8 quarters, 2 shilling 8pence a quarters for 7 quarters, and 2 shilling a quarters for 8 quarters 5 bushels.</t>
        </is>
      </c>
    </row>
    <row r="95">
      <c r="A95" t="inlineStr">
        <is>
          <t>Corn and malt mill'</t>
        </is>
      </c>
      <c r="B95" t="n">
        <v>0</v>
      </c>
      <c r="C95" t="n">
        <v>10</v>
      </c>
      <c r="D95" t="n">
        <v>4</v>
      </c>
      <c r="F95">
        <f>B95+C95/20+D95/240</f>
        <v/>
      </c>
      <c r="H95" t="inlineStr">
        <is>
          <t xml:space="preserve">10 shilling 4pence from 3 quarters 5 bushels of malfsold, at 3 shilling a quarters for 2 quarters, and 2 shilling 8pence a quarters for 1 quarters 5 bushels </t>
        </is>
      </c>
    </row>
    <row r="96">
      <c r="A96" t="inlineStr">
        <is>
          <t>Corn and malt mill'</t>
        </is>
      </c>
      <c r="B96" t="n">
        <v>3</v>
      </c>
      <c r="C96" t="n">
        <v>10</v>
      </c>
      <c r="D96" t="n">
        <v>3</v>
      </c>
      <c r="F96" t="n">
        <v>3.51</v>
      </c>
      <c r="H96" t="inlineStr">
        <is>
          <t>Total, £3 10 shilling 3pence</t>
        </is>
      </c>
    </row>
    <row r="97">
      <c r="A97" t="inlineStr">
        <is>
          <t>Corn and malt mill'</t>
        </is>
      </c>
      <c r="F97">
        <f>SUM(F94:F95)</f>
        <v/>
      </c>
      <c r="G97" s="137">
        <f>F97-F96</f>
        <v/>
      </c>
      <c r="H97" t="inlineStr">
        <is>
          <t>Total</t>
        </is>
      </c>
    </row>
    <row r="98"/>
    <row r="99">
      <c r="A99" t="inlineStr">
        <is>
          <t>Annual recognizance</t>
        </is>
      </c>
      <c r="B99" t="n">
        <v>0</v>
      </c>
      <c r="C99" t="n">
        <v>0</v>
      </c>
      <c r="D99" t="n">
        <v>6</v>
      </c>
      <c r="F99" t="n">
        <v>0.03</v>
      </c>
      <c r="H99" t="inlineStr">
        <is>
          <t>The same render account for 6pence from Gilbert son of Richard for annual recognizance.</t>
        </is>
      </c>
    </row>
    <row r="100">
      <c r="A100" t="inlineStr">
        <is>
          <t>Annual recognizance</t>
        </is>
      </c>
      <c r="B100" t="n">
        <v>0</v>
      </c>
      <c r="C100" t="n">
        <v>0</v>
      </c>
      <c r="D100" t="n">
        <v>3</v>
      </c>
      <c r="F100" t="n">
        <v>0.01</v>
      </c>
      <c r="H100" t="inlineStr">
        <is>
          <t>3pence from Gilbert Lylye for the same.</t>
        </is>
      </c>
    </row>
    <row r="101">
      <c r="A101" t="inlineStr">
        <is>
          <t>Annual recognizance</t>
        </is>
      </c>
      <c r="B101" t="n">
        <v>0</v>
      </c>
      <c r="C101" t="n">
        <v>0</v>
      </c>
      <c r="D101" t="n">
        <v>6</v>
      </c>
      <c r="F101" t="n">
        <v>0.03</v>
      </c>
      <c r="H101" t="inlineStr">
        <is>
          <t>6pence from Richard son of Gilbert for the same.</t>
        </is>
      </c>
    </row>
    <row r="102">
      <c r="A102" t="inlineStr">
        <is>
          <t>Annual recognizance</t>
        </is>
      </c>
      <c r="B102" t="n">
        <v>0</v>
      </c>
      <c r="C102" t="n">
        <v>0</v>
      </c>
      <c r="D102" t="n">
        <v>6</v>
      </c>
      <c r="F102" t="n">
        <v>0.03</v>
      </c>
      <c r="H102" t="inlineStr">
        <is>
          <t>nothing from Richard Sutor' this year because he is dead, that is, 6pence from Martin Faber of Netley for the same.</t>
        </is>
      </c>
    </row>
    <row r="103">
      <c r="A103" t="inlineStr">
        <is>
          <t>Annual recognizance</t>
        </is>
      </c>
      <c r="B103" t="n">
        <v>0</v>
      </c>
      <c r="C103" t="n">
        <v>0</v>
      </c>
      <c r="D103" t="n">
        <v>3</v>
      </c>
      <c r="F103" t="n">
        <v>0.01</v>
      </c>
      <c r="H103" t="inlineStr">
        <is>
          <t>3pence from Hugh Reygnild' for the same.</t>
        </is>
      </c>
    </row>
    <row r="104">
      <c r="A104" t="inlineStr">
        <is>
          <t>Annual recognizance</t>
        </is>
      </c>
      <c r="B104" t="n">
        <v>0</v>
      </c>
      <c r="C104" t="n">
        <v>0</v>
      </c>
      <c r="D104" t="n">
        <v>3</v>
      </c>
      <c r="F104" t="n">
        <v>0.01</v>
      </c>
      <c r="H104" t="inlineStr">
        <is>
          <t>nothing from Gervase de Asschewoll' this year because he is dead, that is, 3pence from Thomas le Boltere for the same.</t>
        </is>
      </c>
    </row>
    <row r="105">
      <c r="A105" t="inlineStr">
        <is>
          <t>Annual recognizance</t>
        </is>
      </c>
      <c r="B105" t="n">
        <v>0</v>
      </c>
      <c r="C105" t="n">
        <v>0</v>
      </c>
      <c r="D105" t="n">
        <v>6</v>
      </c>
      <c r="F105" t="n">
        <v>0.03</v>
      </c>
      <c r="H105" t="inlineStr">
        <is>
          <t>6pence from John le Nywebond' for the same.</t>
        </is>
      </c>
    </row>
    <row r="106">
      <c r="A106" t="inlineStr">
        <is>
          <t>Annual recognizance</t>
        </is>
      </c>
      <c r="B106" t="n">
        <v>0</v>
      </c>
      <c r="C106" t="n">
        <v>0</v>
      </c>
      <c r="D106" t="n">
        <v>3</v>
      </c>
      <c r="F106" t="n">
        <v>0.01</v>
      </c>
      <c r="H106" t="inlineStr">
        <is>
          <t>3pence from Guy Careter for the same.</t>
        </is>
      </c>
    </row>
    <row r="107">
      <c r="A107" t="inlineStr">
        <is>
          <t>Annual recognizance</t>
        </is>
      </c>
      <c r="B107" t="n">
        <v>0</v>
      </c>
      <c r="C107" t="n">
        <v>0</v>
      </c>
      <c r="D107" t="n">
        <v>3</v>
      </c>
      <c r="F107" t="n">
        <v>0.01</v>
      </c>
      <c r="H107" t="inlineStr">
        <is>
          <t>3pence from Peter son of Michael for the same.</t>
        </is>
      </c>
    </row>
    <row r="108">
      <c r="A108" t="inlineStr">
        <is>
          <t>Annual recognizance</t>
        </is>
      </c>
      <c r="B108" t="n">
        <v>0</v>
      </c>
      <c r="C108" t="n">
        <v>3</v>
      </c>
      <c r="D108" t="n">
        <v>3</v>
      </c>
      <c r="F108" t="n">
        <v>0.16</v>
      </c>
      <c r="H108" t="inlineStr">
        <is>
          <t>Total, 3 shilling 3pence</t>
        </is>
      </c>
    </row>
    <row r="109">
      <c r="A109" t="inlineStr">
        <is>
          <t>Annual recognizance</t>
        </is>
      </c>
      <c r="F109" t="n">
        <v>0.17</v>
      </c>
      <c r="G109" s="137" t="n">
        <v>0.01000000000000001</v>
      </c>
      <c r="H109" t="inlineStr">
        <is>
          <t>Total</t>
        </is>
      </c>
    </row>
    <row r="110"/>
    <row r="111">
      <c r="A111" t="inlineStr">
        <is>
          <t>Entry and marriage fines</t>
        </is>
      </c>
      <c r="B111" t="n">
        <v>0</v>
      </c>
      <c r="C111" t="n">
        <v>2</v>
      </c>
      <c r="D111" t="n">
        <v>0</v>
      </c>
      <c r="F111" t="n">
        <v>0.1</v>
      </c>
      <c r="H111" t="inlineStr">
        <is>
          <t>The same render account for 2 shilling from Geoffrey atte Slade for marrying Matilda his daughter outside.</t>
        </is>
      </c>
    </row>
    <row r="112">
      <c r="A112" t="inlineStr">
        <is>
          <t>Entry and marriage fines</t>
        </is>
      </c>
      <c r="B112" t="n">
        <v>0</v>
      </c>
      <c r="C112" t="n">
        <v>1</v>
      </c>
      <c r="D112" t="n">
        <v>0</v>
      </c>
      <c r="F112" t="n">
        <v>0.05</v>
      </c>
      <c r="H112" t="inlineStr">
        <is>
          <t>1 shilling from Agnes atte Slad' for marrying herself within.</t>
        </is>
      </c>
    </row>
    <row r="113">
      <c r="A113" t="inlineStr">
        <is>
          <t>Entry and marriage fines</t>
        </is>
      </c>
      <c r="B113" t="n">
        <v>0</v>
      </c>
      <c r="C113" t="n">
        <v>2</v>
      </c>
      <c r="D113" t="n">
        <v>0</v>
      </c>
      <c r="F113" t="n">
        <v>0.1</v>
      </c>
      <c r="H113" t="inlineStr">
        <is>
          <t>2 shilling from Matilda la Dreyestr' for marrying Alice her daughter outside.</t>
        </is>
      </c>
    </row>
    <row r="114">
      <c r="A114" t="inlineStr">
        <is>
          <t>Entry and marriage fines</t>
        </is>
      </c>
      <c r="B114" t="n">
        <v>0</v>
      </c>
      <c r="C114" t="n">
        <v>2</v>
      </c>
      <c r="D114" t="n">
        <v>0</v>
      </c>
      <c r="F114" t="n">
        <v>0.1</v>
      </c>
      <c r="H114" t="inlineStr">
        <is>
          <t>2 shilling from Muriel, who was wife of William Peck', to retain 1 house and .5 acre of assarted land which belonged to the said William her husband.</t>
        </is>
      </c>
    </row>
    <row r="115">
      <c r="A115" t="inlineStr">
        <is>
          <t>Entry and marriage fines</t>
        </is>
      </c>
      <c r="B115" t="n">
        <v>0</v>
      </c>
      <c r="C115" t="n">
        <v>13</v>
      </c>
      <c r="D115" t="n">
        <v>4</v>
      </c>
      <c r="F115" t="n">
        <v>0.67</v>
      </c>
      <c r="H115" t="inlineStr">
        <is>
          <t>13 shilling 4pence from Walter Molendinarius to have Alice atte Pund' with her land.</t>
        </is>
      </c>
    </row>
    <row r="116">
      <c r="A116" t="inlineStr">
        <is>
          <t>Entry and marriage fines</t>
        </is>
      </c>
      <c r="B116" t="n">
        <v>0</v>
      </c>
      <c r="C116" t="n">
        <v>2</v>
      </c>
      <c r="D116" t="n">
        <v>0</v>
      </c>
      <c r="F116" t="n">
        <v>0.1</v>
      </c>
      <c r="H116" t="inlineStr">
        <is>
          <t>2 shilling from Juliana, who was wife of Richard Sutoris, to have entry to 1 house which Richard Sutor formerly held.</t>
        </is>
      </c>
    </row>
    <row r="117">
      <c r="A117" t="inlineStr">
        <is>
          <t>Entry and marriage fines</t>
        </is>
      </c>
      <c r="B117" t="n">
        <v>1</v>
      </c>
      <c r="C117" t="n">
        <v>6</v>
      </c>
      <c r="D117" t="n">
        <v>8</v>
      </c>
      <c r="F117" t="n">
        <v>1.33</v>
      </c>
      <c r="H117" t="inlineStr">
        <is>
          <t>£1 6 shilling 8pence from John, son of John Jacob, for entry to two virgates of land which the said John his father held.</t>
        </is>
      </c>
    </row>
    <row r="118">
      <c r="A118" t="inlineStr">
        <is>
          <t>Entry and marriage fines</t>
        </is>
      </c>
      <c r="B118" t="n">
        <v>0</v>
      </c>
      <c r="C118" t="n">
        <v>4</v>
      </c>
      <c r="D118" t="n">
        <v>0</v>
      </c>
      <c r="F118" t="n">
        <v>0.2</v>
      </c>
      <c r="H118" t="inlineStr">
        <is>
          <t>4 shilling from Richard le Wych' for marrying Leticia his daughter within.</t>
        </is>
      </c>
    </row>
    <row r="119">
      <c r="A119" t="inlineStr">
        <is>
          <t>Entry and marriage fines</t>
        </is>
      </c>
      <c r="B119" t="n">
        <v>0</v>
      </c>
      <c r="C119" t="n">
        <v>6</v>
      </c>
      <c r="D119" t="n">
        <v>8</v>
      </c>
      <c r="F119" t="n">
        <v>0.33</v>
      </c>
      <c r="H119" t="inlineStr">
        <is>
          <t>6 shilling 8pence from Walter Bast for marrying Matilda his daughter outside.</t>
        </is>
      </c>
    </row>
    <row r="120">
      <c r="A120" t="inlineStr">
        <is>
          <t>Entry and marriage fines</t>
        </is>
      </c>
      <c r="B120" t="n">
        <v>0</v>
      </c>
      <c r="C120" t="n">
        <v>3</v>
      </c>
      <c r="D120" t="n">
        <v>4</v>
      </c>
      <c r="F120" t="n">
        <v>0.17</v>
      </c>
      <c r="H120" t="inlineStr">
        <is>
          <t>3 shilling 4pence from John Bucok' to have entry to 1 butt of land by concession and surrender of John Hod, and he will relieve the said John Hod of 4pence annual rent.</t>
        </is>
      </c>
    </row>
    <row r="121">
      <c r="A121" t="inlineStr">
        <is>
          <t>Entry and marriage fines</t>
        </is>
      </c>
      <c r="B121" t="n">
        <v>0</v>
      </c>
      <c r="C121" t="n">
        <v>3</v>
      </c>
      <c r="D121" t="n">
        <v>6</v>
      </c>
      <c r="F121" t="n">
        <v>0.17</v>
      </c>
      <c r="H121" t="inlineStr">
        <is>
          <t>3 shilling 6pence from William le Careter to have entry to 1.5 acres of assart by concession and surrender of Robert de Chyssend'.</t>
        </is>
      </c>
    </row>
    <row r="122">
      <c r="A122" t="inlineStr">
        <is>
          <t>Entry and marriage fines</t>
        </is>
      </c>
      <c r="B122" t="n">
        <v>4</v>
      </c>
      <c r="C122" t="n">
        <v>0</v>
      </c>
      <c r="D122" t="n">
        <v>0</v>
      </c>
      <c r="F122" t="n">
        <v>4</v>
      </c>
      <c r="H122" t="inlineStr">
        <is>
          <t>£4 from William, son of Herbert Reygnild, to have entry to 1 messuage with 1 virgate of customary land which he has held of his father because his elder brother John said in full court that he was unwilling to fine for the said land, that is, he quitclaimed wholly his right to the use of the said William.</t>
        </is>
      </c>
    </row>
    <row r="123">
      <c r="A123" t="inlineStr">
        <is>
          <t>Entry and marriage fines</t>
        </is>
      </c>
      <c r="B123" t="n">
        <v>0</v>
      </c>
      <c r="C123" t="n">
        <v>18</v>
      </c>
      <c r="D123" t="n">
        <v>8</v>
      </c>
      <c r="F123" t="n">
        <v>0.93</v>
      </c>
      <c r="H123" t="inlineStr">
        <is>
          <t>18 shilling 8pence from 10 tithings for tithingpenny at the hundred-court of Martinmas.</t>
        </is>
      </c>
    </row>
    <row r="124">
      <c r="A124" t="inlineStr">
        <is>
          <t>Entry and marriage fines</t>
        </is>
      </c>
      <c r="B124" t="n">
        <v>0</v>
      </c>
      <c r="C124" t="n">
        <v>18</v>
      </c>
      <c r="D124" t="n">
        <v>8</v>
      </c>
      <c r="F124" t="n">
        <v>0.93</v>
      </c>
      <c r="H124" t="inlineStr">
        <is>
          <t>18 shilling 8pence from the same tithings for tithingpenny at the hundred-court of Hockday.</t>
        </is>
      </c>
    </row>
    <row r="125">
      <c r="A125" t="inlineStr">
        <is>
          <t>Entry and marriage fines</t>
        </is>
      </c>
      <c r="B125" t="n">
        <v>9</v>
      </c>
      <c r="C125" t="n">
        <v>3</v>
      </c>
      <c r="D125" t="n">
        <v>10</v>
      </c>
      <c r="F125" t="n">
        <v>9.19</v>
      </c>
      <c r="H125" t="inlineStr">
        <is>
          <t>Total, £9 3 shilling 10pence</t>
        </is>
      </c>
    </row>
    <row r="126">
      <c r="A126" t="inlineStr">
        <is>
          <t>Entry and marriage fines</t>
        </is>
      </c>
      <c r="F126" t="n">
        <v>9.18</v>
      </c>
      <c r="G126" s="137" t="n">
        <v>-0.009999999999999787</v>
      </c>
      <c r="H126" t="inlineStr">
        <is>
          <t>Total</t>
        </is>
      </c>
    </row>
    <row r="127"/>
    <row r="128">
      <c r="A128" t="inlineStr">
        <is>
          <t>Pleas and perquisites</t>
        </is>
      </c>
      <c r="B128" t="n">
        <v>3</v>
      </c>
      <c r="C128" t="n">
        <v>10</v>
      </c>
      <c r="D128" t="n">
        <v>0</v>
      </c>
      <c r="F128" t="n">
        <v>3.5</v>
      </c>
      <c r="H128" t="inlineStr">
        <is>
          <t>The same render account for £3 10 shilling I 1pence from the pleas and perquisites of all the courts this year.</t>
        </is>
      </c>
    </row>
    <row r="129">
      <c r="A129" t="inlineStr">
        <is>
          <t>Pleas and perquisites</t>
        </is>
      </c>
      <c r="B129" t="n">
        <v>2</v>
      </c>
      <c r="C129" t="n">
        <v>0</v>
      </c>
      <c r="D129" t="n">
        <v>0</v>
      </c>
      <c r="F129" t="n">
        <v>2</v>
      </c>
      <c r="H129" t="inlineStr">
        <is>
          <t>£2 from the reeve for many transgressions of which he was convicted at the audit.</t>
        </is>
      </c>
    </row>
    <row r="130">
      <c r="A130" t="inlineStr">
        <is>
          <t>Pleas and perquisites</t>
        </is>
      </c>
      <c r="B130" t="n">
        <v>5</v>
      </c>
      <c r="C130" t="n">
        <v>10</v>
      </c>
      <c r="D130" t="n">
        <v>11</v>
      </c>
      <c r="F130" t="n">
        <v>5.55</v>
      </c>
      <c r="H130" t="inlineStr">
        <is>
          <t>Total, £5 10 shilling 11pence</t>
        </is>
      </c>
    </row>
    <row r="131">
      <c r="A131" t="inlineStr">
        <is>
          <t>Pleas and perquisites</t>
        </is>
      </c>
      <c r="F131" t="n">
        <v>5.5</v>
      </c>
      <c r="G131" s="137" t="n">
        <v>-0.04999999999999982</v>
      </c>
      <c r="H131" t="inlineStr">
        <is>
          <t>Total</t>
        </is>
      </c>
    </row>
    <row r="132"/>
    <row r="133">
      <c r="A133" s="38" t="inlineStr">
        <is>
          <t>Total of all receipts recorded in accounts</t>
        </is>
      </c>
      <c r="B133" t="n">
        <v>125</v>
      </c>
      <c r="C133" t="n">
        <v>16</v>
      </c>
      <c r="D133" t="n">
        <v>1.75</v>
      </c>
      <c r="F133" t="n">
        <v>125.81</v>
      </c>
      <c r="H133" t="inlineStr">
        <is>
          <t>Total of all receipts, £125 16 shilling 1.75pence</t>
        </is>
      </c>
    </row>
    <row r="134" ht="16" customHeight="1">
      <c r="A134" s="9" t="inlineStr">
        <is>
          <t>Total cross-check without arrears</t>
        </is>
      </c>
      <c r="F134" s="72">
        <f>F131+F126+F109+F82+F65+F13-F32+F92+F97</f>
        <v/>
      </c>
      <c r="G134" s="138">
        <f>F134-F133</f>
        <v/>
      </c>
    </row>
    <row r="135" ht="16" customHeight="1">
      <c r="A135" s="9" t="inlineStr">
        <is>
          <t>Total cross-check with arrears</t>
        </is>
      </c>
      <c r="F135">
        <f>F134+F6</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03"/>
  <sheetViews>
    <sheetView topLeftCell="A1" workbookViewId="0">
      <selection activeCell="A1" sqref="A1"/>
    </sheetView>
  </sheetViews>
  <sheetFormatPr baseColWidth="8" defaultRowHeight="15"/>
  <cols>
    <col width="33.1640625" customWidth="1" min="1" max="1"/>
    <col width="8.83203125" customWidth="1" min="6" max="6"/>
    <col width="8.83203125" customWidth="1" min="7" max="7"/>
    <col width="31.5" customWidth="1" min="8" max="8"/>
    <col width="17.6640625" customWidth="1" min="11" max="11"/>
    <col width="20.5" customWidth="1" min="12" max="12"/>
  </cols>
  <sheetData>
    <row r="1" ht="16" customHeight="1">
      <c r="A1" s="2" t="inlineStr">
        <is>
          <t>IVINGHOE EXPENSES</t>
        </is>
      </c>
    </row>
    <row r="2" ht="34" customHeight="1">
      <c r="A2" s="11" t="inlineStr">
        <is>
          <t>Heading</t>
        </is>
      </c>
      <c r="B2" s="3" t="inlineStr">
        <is>
          <t>£</t>
        </is>
      </c>
      <c r="C2" s="4" t="inlineStr">
        <is>
          <t xml:space="preserve">s </t>
        </is>
      </c>
      <c r="D2" s="4" t="inlineStr">
        <is>
          <t>d</t>
        </is>
      </c>
      <c r="E2" s="4" t="n"/>
      <c r="F2" s="139" t="inlineStr">
        <is>
          <t>Total in £</t>
        </is>
      </c>
      <c r="G2" s="140" t="inlineStr">
        <is>
          <t>Error</t>
        </is>
      </c>
      <c r="H2" s="7" t="inlineStr">
        <is>
          <t>Notes</t>
        </is>
      </c>
      <c r="I2" s="14" t="inlineStr">
        <is>
          <t>Own notes</t>
        </is>
      </c>
      <c r="K2" s="52" t="inlineStr">
        <is>
          <t>Fixed investment</t>
        </is>
      </c>
      <c r="L2" s="52" t="inlineStr">
        <is>
          <t>Demesne fixed investment</t>
        </is>
      </c>
    </row>
    <row r="3">
      <c r="A3" t="inlineStr">
        <is>
          <t>Expenses for ploughs</t>
        </is>
      </c>
      <c r="B3" t="n">
        <v>0</v>
      </c>
      <c r="C3" t="n">
        <v>7</v>
      </c>
      <c r="D3" t="n">
        <v>10</v>
      </c>
      <c r="E3" s="37" t="n"/>
      <c r="F3" s="72" t="n">
        <v>0.39</v>
      </c>
      <c r="G3" s="141" t="n"/>
      <c r="H3" t="inlineStr">
        <is>
          <t>In ironwork of 5 ploughs for the year 7 shilling 10pence.</t>
        </is>
      </c>
      <c r="K3" s="72">
        <f>F3</f>
        <v/>
      </c>
      <c r="L3" s="72">
        <f>F3</f>
        <v/>
      </c>
    </row>
    <row r="4">
      <c r="A4" t="inlineStr">
        <is>
          <t>Expenses for ploughs</t>
        </is>
      </c>
      <c r="B4" t="n">
        <v>0</v>
      </c>
      <c r="C4" t="n">
        <v>1</v>
      </c>
      <c r="D4" t="n">
        <v>6</v>
      </c>
      <c r="E4" s="37" t="n"/>
      <c r="F4" s="72" t="n">
        <v>0.08</v>
      </c>
      <c r="G4" s="141" t="n"/>
      <c r="H4" t="inlineStr">
        <is>
          <t>2 ploughshares bought 1 shilling 6pence Moreover they have 1 ploughshare as made clear above.</t>
        </is>
      </c>
      <c r="K4" s="72">
        <f>F4</f>
        <v/>
      </c>
      <c r="L4" s="72">
        <f>F4</f>
        <v/>
      </c>
    </row>
    <row r="5">
      <c r="A5" t="inlineStr">
        <is>
          <t>Expenses for ploughs</t>
        </is>
      </c>
      <c r="B5" t="n">
        <v>0</v>
      </c>
      <c r="C5" t="n">
        <v>0</v>
      </c>
      <c r="D5" t="n">
        <v>0</v>
      </c>
      <c r="E5" s="37" t="n"/>
      <c r="F5" s="72" t="n">
        <v>0</v>
      </c>
      <c r="G5" s="141" t="n"/>
      <c r="H5" t="inlineStr">
        <is>
          <t>Nothing accounted for forging the said ironwork because the smith takes 2 acres of wheat as they lie in the field for forging the same when the ploughmen are ploughing for the whole year.</t>
        </is>
      </c>
      <c r="K5" s="72">
        <f>F5</f>
        <v/>
      </c>
      <c r="L5" s="72">
        <f>F5</f>
        <v/>
      </c>
    </row>
    <row r="6">
      <c r="A6" t="inlineStr">
        <is>
          <t>Expenses for ploughs</t>
        </is>
      </c>
      <c r="B6" t="n">
        <v>0</v>
      </c>
      <c r="C6" t="n">
        <v>0</v>
      </c>
      <c r="D6" t="n">
        <v>8</v>
      </c>
      <c r="E6" s="37" t="n"/>
      <c r="F6" s="72" t="n">
        <v>0.03</v>
      </c>
      <c r="G6" s="141" t="n"/>
      <c r="H6" t="inlineStr">
        <is>
          <t>4 iron spurs bought 8pence.</t>
        </is>
      </c>
      <c r="K6" s="72">
        <f>F6</f>
        <v/>
      </c>
      <c r="L6" s="72">
        <f>F6</f>
        <v/>
      </c>
    </row>
    <row r="7">
      <c r="A7" t="inlineStr">
        <is>
          <t>Expenses for ploughs</t>
        </is>
      </c>
      <c r="B7" t="n">
        <v>0</v>
      </c>
      <c r="C7" t="n">
        <v>3</v>
      </c>
      <c r="D7" t="n">
        <v>2</v>
      </c>
      <c r="E7" s="37" t="n"/>
      <c r="F7" s="72" t="n">
        <v>0.16</v>
      </c>
      <c r="G7" s="141" t="n"/>
      <c r="H7" t="inlineStr">
        <is>
          <t>stipend of 1 carpenter making new ploughs, repairing old ploughs, and making harrows and yokes from the lord's timber 3 shilling 2pence, because the manorial servant who by custom made these is deapence.</t>
        </is>
      </c>
      <c r="K7" s="72">
        <f>F7</f>
        <v/>
      </c>
      <c r="L7" s="72">
        <f>K7/2</f>
        <v/>
      </c>
    </row>
    <row r="8">
      <c r="A8" t="inlineStr">
        <is>
          <t>Expenses for ploughs</t>
        </is>
      </c>
      <c r="B8" t="n">
        <v>8</v>
      </c>
      <c r="C8" t="n">
        <v>18</v>
      </c>
      <c r="D8" t="n">
        <v>2</v>
      </c>
      <c r="E8" s="37" t="n"/>
      <c r="F8" s="72" t="n">
        <v>8.91</v>
      </c>
      <c r="G8" s="141" t="n"/>
      <c r="H8" t="inlineStr">
        <is>
          <t>15 oxen bought £8 18 shilling 2pence, at 13 shilling 5pence each for 2, 12 shilling 6pence each for 4, 12 shilling each for 3, 11 shilling 5pence each for 3, 10 shilling 6.51. each for 2, and 10 shilling for 1..</t>
        </is>
      </c>
      <c r="K8" s="72" t="n"/>
      <c r="L8" s="72" t="n"/>
    </row>
    <row r="9">
      <c r="A9" t="inlineStr">
        <is>
          <t>Expenses for ploughs</t>
        </is>
      </c>
      <c r="B9" t="n">
        <v>2</v>
      </c>
      <c r="C9" t="n">
        <v>4</v>
      </c>
      <c r="D9" t="n">
        <v>11</v>
      </c>
      <c r="E9" s="37" t="n"/>
      <c r="F9" s="72" t="n">
        <v>2.25</v>
      </c>
      <c r="G9" s="141" t="n"/>
      <c r="H9" t="inlineStr">
        <is>
          <t>12 quarters 2 bushels of wheat bought for sowing £2 4 shilling 11pence, at 3 shilling 8pence a quarters.</t>
        </is>
      </c>
      <c r="K9" s="72" t="n"/>
      <c r="L9" s="72" t="n"/>
    </row>
    <row r="10">
      <c r="A10" t="inlineStr">
        <is>
          <t>Expenses for ploughs</t>
        </is>
      </c>
      <c r="B10" t="n">
        <v>4</v>
      </c>
      <c r="C10" t="n">
        <v>4</v>
      </c>
      <c r="D10" t="n">
        <v>0</v>
      </c>
      <c r="E10" s="37" t="n"/>
      <c r="F10" s="72" t="n">
        <v>4.2</v>
      </c>
      <c r="G10" s="141" t="n"/>
      <c r="H10" t="inlineStr">
        <is>
          <t>34 quarters of maslin bought for the liveries of the manorial servants £4 4 shilling, at 3 shilling a quarters for 8 quarters, 2 shilling 8pence a quarters for 12 quarters, and 2 shilling a quarters for 14 quarters.</t>
        </is>
      </c>
      <c r="K10" s="72" t="n"/>
      <c r="L10" s="72" t="n"/>
    </row>
    <row r="11">
      <c r="A11" t="inlineStr">
        <is>
          <t>Expenses for ploughs</t>
        </is>
      </c>
      <c r="B11" t="n">
        <v>0</v>
      </c>
      <c r="C11" t="n">
        <v>6</v>
      </c>
      <c r="D11" t="n">
        <v>9</v>
      </c>
      <c r="E11" s="37" t="n"/>
      <c r="F11" s="72" t="n">
        <v>0.34</v>
      </c>
      <c r="G11" s="141" t="n"/>
      <c r="H11" t="inlineStr">
        <is>
          <t>4.5 quarters of oats bought for fodder of horses 6 shilling 9pence, at 1 shilling 6pence a quarters.</t>
        </is>
      </c>
      <c r="K11" s="72" t="n"/>
      <c r="L11" s="72" t="n"/>
    </row>
    <row r="12">
      <c r="A12" t="inlineStr">
        <is>
          <t>Expenses for ploughs</t>
        </is>
      </c>
      <c r="B12" t="n">
        <v>1</v>
      </c>
      <c r="C12" t="n">
        <v>0</v>
      </c>
      <c r="D12" t="n">
        <v>0</v>
      </c>
      <c r="E12" s="37" t="n"/>
      <c r="F12" s="72" t="n">
        <v>1</v>
      </c>
      <c r="G12" s="141" t="n"/>
      <c r="H12" t="inlineStr">
        <is>
          <t>hay bought £1, because hay was taken for the queen's use.</t>
        </is>
      </c>
      <c r="K12" s="72" t="n"/>
      <c r="L12" s="72" t="n"/>
    </row>
    <row r="13">
      <c r="A13" t="inlineStr">
        <is>
          <t>Expenses for ploughs</t>
        </is>
      </c>
      <c r="B13" t="n">
        <v>1</v>
      </c>
      <c r="C13" t="n">
        <v>16</v>
      </c>
      <c r="D13" t="n">
        <v>0</v>
      </c>
      <c r="E13" s="37" t="n"/>
      <c r="F13" s="72" t="n">
        <v>1.8</v>
      </c>
      <c r="G13" s="141" t="n"/>
      <c r="H13" t="inlineStr">
        <is>
          <t>forage bought for stock £1 16 shilling Ipence.</t>
        </is>
      </c>
      <c r="K13" s="72" t="n"/>
      <c r="L13" s="72" t="n"/>
    </row>
    <row r="14">
      <c r="A14" t="inlineStr">
        <is>
          <t>Expenses for ploughs</t>
        </is>
      </c>
      <c r="B14" t="n">
        <v>0</v>
      </c>
      <c r="C14" t="n">
        <v>6</v>
      </c>
      <c r="D14" t="n">
        <v>8</v>
      </c>
      <c r="E14" s="37" t="n"/>
      <c r="F14" s="72">
        <f>B14+C14/20+D14/240</f>
        <v/>
      </c>
      <c r="G14" s="141" t="n"/>
      <c r="H14" t="inlineStr">
        <is>
          <t xml:space="preserve">stipend of 5 oxherds for .5 year in winter 6 shilling 8pence, or 1 shilling 4pence each, because each manorial servant takes corn at harvest-time for the other .5 year in summer, that is,' acre of wheat and .5 acre of oats as they lie in the fie1pence </t>
        </is>
      </c>
      <c r="K14" s="72" t="n"/>
      <c r="L14" s="72" t="n"/>
    </row>
    <row r="15">
      <c r="A15" t="inlineStr">
        <is>
          <t>Expenses for ploughs</t>
        </is>
      </c>
      <c r="B15" t="n">
        <v>19</v>
      </c>
      <c r="C15" t="n">
        <v>8</v>
      </c>
      <c r="D15" t="n">
        <v>3</v>
      </c>
      <c r="E15" s="37" t="n"/>
      <c r="F15" s="72" t="n">
        <v>19.41</v>
      </c>
      <c r="G15" s="141" t="n"/>
      <c r="H15" t="inlineStr">
        <is>
          <t>Total, £19 8 shilling 3pence</t>
        </is>
      </c>
    </row>
    <row r="16">
      <c r="A16" t="inlineStr">
        <is>
          <t>Expenses for ploughs</t>
        </is>
      </c>
      <c r="E16" s="37" t="n"/>
      <c r="F16" s="72">
        <f>SUM(F3:F14)</f>
        <v/>
      </c>
      <c r="G16" s="141">
        <f>F16-F15</f>
        <v/>
      </c>
      <c r="H16" t="inlineStr">
        <is>
          <t>Total</t>
        </is>
      </c>
    </row>
    <row r="17">
      <c r="E17" s="37" t="n"/>
      <c r="G17" s="141" t="n"/>
    </row>
    <row r="18">
      <c r="A18" t="inlineStr">
        <is>
          <t>Expenses for carts and wagons</t>
        </is>
      </c>
      <c r="B18" t="n">
        <v>0</v>
      </c>
      <c r="C18" t="n">
        <v>1</v>
      </c>
      <c r="D18" t="n">
        <v>2</v>
      </c>
      <c r="E18" s="37" t="n"/>
      <c r="F18" s="72" t="n">
        <v>0.06</v>
      </c>
      <c r="G18" s="141" t="n"/>
      <c r="H18" t="inlineStr">
        <is>
          <t>In clouts and nails for the cart for the year 1 shilling 2pence.</t>
        </is>
      </c>
      <c r="K18" s="72">
        <f>F18</f>
        <v/>
      </c>
      <c r="L18" s="72">
        <f>K18</f>
        <v/>
      </c>
    </row>
    <row r="19">
      <c r="A19" t="inlineStr">
        <is>
          <t>Expenses for carts and wagons</t>
        </is>
      </c>
      <c r="B19" t="n">
        <v>0</v>
      </c>
      <c r="C19" t="n">
        <v>1</v>
      </c>
      <c r="D19" t="n">
        <v>1</v>
      </c>
      <c r="E19" s="37" t="n"/>
      <c r="F19" s="72" t="n">
        <v>0.05</v>
      </c>
      <c r="G19" s="141" t="n"/>
      <c r="H19" t="inlineStr">
        <is>
          <t>white leather for mending harnesses of the cart 1 shilling 1pence.</t>
        </is>
      </c>
      <c r="K19" s="72">
        <f>F19</f>
        <v/>
      </c>
      <c r="L19" s="72">
        <f>K19</f>
        <v/>
      </c>
    </row>
    <row r="20">
      <c r="A20" t="inlineStr">
        <is>
          <t>Expenses for carts and wagons</t>
        </is>
      </c>
      <c r="B20" t="n">
        <v>0</v>
      </c>
      <c r="C20" t="n">
        <v>0</v>
      </c>
      <c r="D20" t="n">
        <v>4</v>
      </c>
      <c r="E20" s="37" t="n"/>
      <c r="F20" s="72" t="n">
        <v>0.02</v>
      </c>
      <c r="G20" s="141" t="n"/>
      <c r="H20" t="inlineStr">
        <is>
          <t>grease bought for the year 4pence.</t>
        </is>
      </c>
      <c r="K20" s="72">
        <f>F20</f>
        <v/>
      </c>
      <c r="L20" s="72">
        <f>K20</f>
        <v/>
      </c>
    </row>
    <row r="21">
      <c r="A21" t="inlineStr">
        <is>
          <t>Expenses for carts and wagons</t>
        </is>
      </c>
      <c r="B21" t="n">
        <v>0</v>
      </c>
      <c r="C21" t="n">
        <v>0</v>
      </c>
      <c r="D21" t="n">
        <v>1</v>
      </c>
      <c r="E21" s="37" t="n"/>
      <c r="F21" s="72" t="n">
        <v>0</v>
      </c>
      <c r="G21" s="141" t="n"/>
      <c r="H21" t="inlineStr">
        <is>
          <t>5 halters for plough-horses made from their own hair 1pence.</t>
        </is>
      </c>
      <c r="K21" s="72">
        <f>F21</f>
        <v/>
      </c>
      <c r="L21" s="72">
        <f>K21</f>
        <v/>
      </c>
    </row>
    <row r="22">
      <c r="A22" t="inlineStr">
        <is>
          <t>Expenses for carts and wagons</t>
        </is>
      </c>
      <c r="B22" t="n">
        <v>0</v>
      </c>
      <c r="C22" t="n">
        <v>0</v>
      </c>
      <c r="D22" t="n">
        <v>1.5</v>
      </c>
      <c r="E22" s="37" t="n"/>
      <c r="F22" s="72" t="n">
        <v>0.01</v>
      </c>
      <c r="G22" s="141" t="n"/>
      <c r="H22" t="inlineStr">
        <is>
          <t>mending saddle-pads 1.5pence.</t>
        </is>
      </c>
      <c r="K22" s="72">
        <f>F22</f>
        <v/>
      </c>
      <c r="L22" s="72">
        <f>K22</f>
        <v/>
      </c>
    </row>
    <row r="23">
      <c r="A23" t="inlineStr">
        <is>
          <t>Expenses for carts and wagons</t>
        </is>
      </c>
      <c r="B23" t="n">
        <v>0</v>
      </c>
      <c r="C23" t="n">
        <v>0</v>
      </c>
      <c r="D23" t="n">
        <v>6</v>
      </c>
      <c r="E23" s="37" t="n"/>
      <c r="F23" s="72" t="n">
        <v>0.03</v>
      </c>
      <c r="G23" s="141" t="n"/>
      <c r="H23" t="inlineStr">
        <is>
          <t>1 collar bought 6pence.</t>
        </is>
      </c>
      <c r="K23" s="72">
        <f>F23</f>
        <v/>
      </c>
      <c r="L23" s="72">
        <f>K23</f>
        <v/>
      </c>
    </row>
    <row r="24">
      <c r="A24" t="inlineStr">
        <is>
          <t>Expenses for carts and wagons</t>
        </is>
      </c>
      <c r="B24" t="n">
        <v>0</v>
      </c>
      <c r="C24" t="n">
        <v>0</v>
      </c>
      <c r="D24" t="n">
        <v>1.5</v>
      </c>
      <c r="E24" s="37" t="n"/>
      <c r="F24" s="72" t="n">
        <v>0.01</v>
      </c>
      <c r="G24" s="141" t="n"/>
      <c r="H24" t="inlineStr">
        <is>
          <t>a wooden base for 1 cart-saddle 1.5pence.</t>
        </is>
      </c>
      <c r="K24" s="72">
        <f>F24</f>
        <v/>
      </c>
      <c r="L24" s="72">
        <f>K24</f>
        <v/>
      </c>
    </row>
    <row r="25">
      <c r="A25" t="inlineStr">
        <is>
          <t>Expenses for carts and wagons</t>
        </is>
      </c>
      <c r="B25" t="n">
        <v>0</v>
      </c>
      <c r="C25" t="n">
        <v>0</v>
      </c>
      <c r="D25" t="n">
        <v>1</v>
      </c>
      <c r="E25" s="37" t="n"/>
      <c r="F25" s="72" t="n">
        <v>0</v>
      </c>
      <c r="G25" s="141" t="n"/>
      <c r="H25" t="inlineStr">
        <is>
          <t>repairing old collars 1pence.</t>
        </is>
      </c>
      <c r="K25" s="72">
        <f>F25</f>
        <v/>
      </c>
      <c r="L25" s="72">
        <f>K25</f>
        <v/>
      </c>
    </row>
    <row r="26">
      <c r="A26" t="inlineStr">
        <is>
          <t>Expenses for carts and wagons</t>
        </is>
      </c>
      <c r="B26" t="n">
        <v>0</v>
      </c>
      <c r="C26" t="n">
        <v>0</v>
      </c>
      <c r="D26" t="n">
        <v>7</v>
      </c>
      <c r="E26" s="37" t="n"/>
      <c r="F26" s="72" t="n">
        <v>0.03</v>
      </c>
      <c r="G26" s="141" t="n"/>
      <c r="H26" t="inlineStr">
        <is>
          <t>1 pair of traces bought 7pence.</t>
        </is>
      </c>
      <c r="K26" s="72">
        <f>F26</f>
        <v/>
      </c>
      <c r="L26" s="72">
        <f>K26</f>
        <v/>
      </c>
    </row>
    <row r="27">
      <c r="A27" t="inlineStr">
        <is>
          <t>Expenses for carts and wagons</t>
        </is>
      </c>
      <c r="B27" t="n">
        <v>0</v>
      </c>
      <c r="C27" t="n">
        <v>0</v>
      </c>
      <c r="D27" t="n">
        <v>0</v>
      </c>
      <c r="E27" s="37" t="n"/>
      <c r="F27" s="72" t="n">
        <v>0</v>
      </c>
      <c r="G27" s="141" t="n"/>
      <c r="H27" t="inlineStr">
        <is>
          <t>making 2 pairs of wheels from the lord's timber for the cart with iron tyres and for clearing dung.</t>
        </is>
      </c>
      <c r="K27" s="72">
        <f>F27</f>
        <v/>
      </c>
      <c r="L27" s="72">
        <f>K27</f>
        <v/>
      </c>
    </row>
    <row r="28">
      <c r="A28" t="inlineStr">
        <is>
          <t>Expenses for carts and wagons</t>
        </is>
      </c>
      <c r="B28" t="n">
        <v>0</v>
      </c>
      <c r="C28" t="n">
        <v>6</v>
      </c>
      <c r="D28" t="n">
        <v>2</v>
      </c>
      <c r="E28" s="37" t="n"/>
      <c r="F28" s="72" t="n">
        <v>0.31</v>
      </c>
      <c r="G28" s="141" t="n"/>
      <c r="H28" t="inlineStr">
        <is>
          <t>new large nails and clamps and frets with the stipend of the smith fitting 1 pair of wheels with old iron tyres 6 shilling 2pence.</t>
        </is>
      </c>
      <c r="K28" s="72">
        <f>F28</f>
        <v/>
      </c>
      <c r="L28" s="72">
        <f>K28</f>
        <v/>
      </c>
    </row>
    <row r="29">
      <c r="A29" t="inlineStr">
        <is>
          <t>Expenses for carts and wagons</t>
        </is>
      </c>
      <c r="B29" t="n">
        <v>0</v>
      </c>
      <c r="C29" t="n">
        <v>0</v>
      </c>
      <c r="D29" t="n">
        <v>4</v>
      </c>
      <c r="E29" s="37" t="n"/>
      <c r="F29" s="72" t="n">
        <v>0.02</v>
      </c>
      <c r="G29" s="141" t="n"/>
      <c r="H29" t="inlineStr">
        <is>
          <t>fitting the cart with axles for the year 4pence.</t>
        </is>
      </c>
      <c r="K29" s="72">
        <f>F29</f>
        <v/>
      </c>
      <c r="L29" s="72">
        <f>K29</f>
        <v/>
      </c>
    </row>
    <row r="30">
      <c r="A30" t="inlineStr">
        <is>
          <t>Expenses for carts and wagons</t>
        </is>
      </c>
      <c r="B30" t="n">
        <v>0</v>
      </c>
      <c r="C30" t="n">
        <v>2</v>
      </c>
      <c r="D30" t="n">
        <v>0</v>
      </c>
      <c r="E30" s="37" t="n"/>
      <c r="F30" s="72" t="n">
        <v>0.1</v>
      </c>
      <c r="G30" s="141" t="n"/>
      <c r="H30" t="inlineStr">
        <is>
          <t>shoeing 2 cart-horses for the year by piece-work 2 shilling.</t>
        </is>
      </c>
      <c r="K30" s="72">
        <f>F30</f>
        <v/>
      </c>
      <c r="L30" s="72">
        <f>K30</f>
        <v/>
      </c>
    </row>
    <row r="31">
      <c r="A31" t="inlineStr">
        <is>
          <t>Expenses for carts and wagons</t>
        </is>
      </c>
      <c r="B31" t="n">
        <v>0</v>
      </c>
      <c r="C31" t="n">
        <v>1</v>
      </c>
      <c r="D31" t="n">
        <v>4</v>
      </c>
      <c r="E31" s="37" t="n"/>
      <c r="F31" s="72" t="n">
        <v>0.07000000000000001</v>
      </c>
      <c r="G31" s="141" t="n"/>
      <c r="H31" t="inlineStr">
        <is>
          <t>stipend of 1 carter for' year in winter 1 shilling 4pence, because for the other .5 year he takes corn in the field like the rest of the manorial servants.</t>
        </is>
      </c>
      <c r="K31" s="72">
        <f>F31</f>
        <v/>
      </c>
      <c r="L31" s="72">
        <f>K31/2</f>
        <v/>
      </c>
    </row>
    <row r="32">
      <c r="A32" t="inlineStr">
        <is>
          <t>Expenses for carts and wagons</t>
        </is>
      </c>
      <c r="B32" t="n">
        <v>0</v>
      </c>
      <c r="C32" t="n">
        <v>0</v>
      </c>
      <c r="D32" t="n">
        <v>6</v>
      </c>
      <c r="E32" s="37" t="n"/>
      <c r="F32" s="72" t="n">
        <v>0.03</v>
      </c>
      <c r="G32" s="141" t="n"/>
      <c r="H32" t="inlineStr">
        <is>
          <t>clouts and nails bought for wagons 6pence.</t>
        </is>
      </c>
      <c r="K32" s="72">
        <f>F32</f>
        <v/>
      </c>
      <c r="L32" s="72">
        <f>K32</f>
        <v/>
      </c>
    </row>
    <row r="33">
      <c r="A33" t="inlineStr">
        <is>
          <t>Expenses for carts and wagons</t>
        </is>
      </c>
      <c r="B33" t="n">
        <v>0</v>
      </c>
      <c r="C33" t="n">
        <v>0</v>
      </c>
      <c r="D33" t="n">
        <v>2</v>
      </c>
      <c r="F33" s="72">
        <f>B33+C33/20+D33/240</f>
        <v/>
      </c>
      <c r="G33" s="141" t="n"/>
      <c r="H33" t="inlineStr">
        <is>
          <t>grease and tallow bought for the same 2pence</t>
        </is>
      </c>
      <c r="K33" s="72">
        <f>F33</f>
        <v/>
      </c>
      <c r="L33" s="72">
        <f>K33</f>
        <v/>
      </c>
    </row>
    <row r="34">
      <c r="A34" t="inlineStr">
        <is>
          <t>Expenses for carts and wagons</t>
        </is>
      </c>
      <c r="B34" t="n">
        <v>0</v>
      </c>
      <c r="C34" t="n">
        <v>15</v>
      </c>
      <c r="D34" t="n">
        <v>2</v>
      </c>
      <c r="E34" s="37" t="n"/>
      <c r="F34" s="72" t="n">
        <v>0.76</v>
      </c>
      <c r="G34" s="141" t="n"/>
      <c r="H34" t="inlineStr">
        <is>
          <t>Total, 15 shilling 5pence</t>
        </is>
      </c>
    </row>
    <row r="35">
      <c r="A35" t="inlineStr">
        <is>
          <t>Expenses for carts and wagons</t>
        </is>
      </c>
      <c r="E35" s="37" t="n"/>
      <c r="F35" s="72">
        <f>SUM(F18:F33)</f>
        <v/>
      </c>
      <c r="G35" s="141">
        <f>F35-F34</f>
        <v/>
      </c>
      <c r="H35" t="inlineStr">
        <is>
          <t>Total</t>
        </is>
      </c>
    </row>
    <row r="36">
      <c r="A36" s="37" t="n"/>
      <c r="B36" s="37" t="n"/>
      <c r="C36" s="37" t="n"/>
      <c r="D36" s="37" t="n"/>
      <c r="E36" s="37" t="n"/>
      <c r="F36" s="142" t="n"/>
      <c r="G36" s="141" t="n"/>
      <c r="H36" s="37" t="n"/>
    </row>
    <row r="37">
      <c r="A37" t="inlineStr">
        <is>
          <t>Dairy</t>
        </is>
      </c>
      <c r="B37" t="n">
        <v>0</v>
      </c>
      <c r="C37" t="n">
        <v>0</v>
      </c>
      <c r="D37" t="n">
        <v>3</v>
      </c>
      <c r="F37" s="72" t="n">
        <v>0.01</v>
      </c>
      <c r="H37" t="inlineStr">
        <is>
          <t>In linen cloth for the dairy 3pence.</t>
        </is>
      </c>
      <c r="K37" s="72">
        <f>F37</f>
        <v/>
      </c>
      <c r="L37" s="72">
        <f>F37</f>
        <v/>
      </c>
    </row>
    <row r="38">
      <c r="A38" t="inlineStr">
        <is>
          <t>Dairy</t>
        </is>
      </c>
      <c r="B38" t="n">
        <v>0</v>
      </c>
      <c r="C38" t="n">
        <v>0</v>
      </c>
      <c r="D38" t="n">
        <v>3.5</v>
      </c>
      <c r="F38" s="72" t="n">
        <v>0.01</v>
      </c>
      <c r="H38" t="inlineStr">
        <is>
          <t>earthenware pots and pans bought 3.5pence.</t>
        </is>
      </c>
      <c r="K38" s="72">
        <f>F38</f>
        <v/>
      </c>
      <c r="L38" s="72">
        <f>F38</f>
        <v/>
      </c>
    </row>
    <row r="39">
      <c r="A39" t="inlineStr">
        <is>
          <t>Dairy</t>
        </is>
      </c>
      <c r="B39" t="n">
        <v>0</v>
      </c>
      <c r="C39" t="n">
        <v>0</v>
      </c>
      <c r="D39" t="n">
        <v>3</v>
      </c>
      <c r="F39" s="72" t="n">
        <v>0.01</v>
      </c>
      <c r="H39" t="inlineStr">
        <is>
          <t>a press 3pence.</t>
        </is>
      </c>
      <c r="K39" s="72">
        <f>F39</f>
        <v/>
      </c>
      <c r="L39" s="72">
        <f>F39</f>
        <v/>
      </c>
    </row>
    <row r="40">
      <c r="A40" t="inlineStr">
        <is>
          <t>Dairy</t>
        </is>
      </c>
      <c r="B40" t="n">
        <v>0</v>
      </c>
      <c r="C40" t="n">
        <v>1</v>
      </c>
      <c r="D40" t="n">
        <v>10</v>
      </c>
      <c r="F40" s="72" t="n">
        <v>0.09</v>
      </c>
      <c r="H40" t="inlineStr">
        <is>
          <t>.5 qr of salt bought 1 shilling 10pence, at 7pence for 1 bushels, and 5pence each for 3 bushels.</t>
        </is>
      </c>
      <c r="K40" s="72">
        <f>F40</f>
        <v/>
      </c>
      <c r="L40" s="72">
        <f>F40</f>
        <v/>
      </c>
    </row>
    <row r="41">
      <c r="A41" t="inlineStr">
        <is>
          <t>Dairy</t>
        </is>
      </c>
      <c r="B41" t="n">
        <v>0</v>
      </c>
      <c r="C41" t="n">
        <v>0</v>
      </c>
      <c r="D41" t="n">
        <v>1.5</v>
      </c>
      <c r="F41" s="72" t="n">
        <v>0.01</v>
      </c>
      <c r="H41" t="inlineStr">
        <is>
          <t>1 colander bought 1.5pence.</t>
        </is>
      </c>
      <c r="K41" s="72">
        <f>F41</f>
        <v/>
      </c>
      <c r="L41" s="72">
        <f>F41</f>
        <v/>
      </c>
    </row>
    <row r="42">
      <c r="A42" t="inlineStr">
        <is>
          <t>Dairy</t>
        </is>
      </c>
      <c r="B42" t="n">
        <v>0</v>
      </c>
      <c r="C42" t="n">
        <v>5</v>
      </c>
      <c r="D42" t="n">
        <v>3</v>
      </c>
      <c r="F42" s="72" t="n">
        <v>0.26</v>
      </c>
      <c r="H42" t="inlineStr">
        <is>
          <t>vinegar and pigs' fat for greasing sick sheep 5 shilling 3pence.</t>
        </is>
      </c>
      <c r="K42" s="72">
        <f>F42</f>
        <v/>
      </c>
      <c r="L42" s="72">
        <f>F42</f>
        <v/>
      </c>
    </row>
    <row r="43">
      <c r="A43" t="inlineStr">
        <is>
          <t>Dairy</t>
        </is>
      </c>
      <c r="B43" t="n">
        <v>0</v>
      </c>
      <c r="C43" t="n">
        <v>0</v>
      </c>
      <c r="D43" t="n">
        <v>0</v>
      </c>
      <c r="F43" s="72" t="n">
        <v>0</v>
      </c>
      <c r="H43" t="inlineStr">
        <is>
          <t>hurdles for the fold, nothing this year.</t>
        </is>
      </c>
      <c r="K43" s="72">
        <f>F43</f>
        <v/>
      </c>
      <c r="L43" s="72">
        <f>F43</f>
        <v/>
      </c>
    </row>
    <row r="44">
      <c r="A44" t="inlineStr">
        <is>
          <t>Dairy</t>
        </is>
      </c>
      <c r="B44" t="n">
        <v>0</v>
      </c>
      <c r="C44" t="n">
        <v>1</v>
      </c>
      <c r="D44" t="n">
        <v>1.5</v>
      </c>
      <c r="F44" s="72" t="n">
        <v>0.06</v>
      </c>
      <c r="H44" t="inlineStr">
        <is>
          <t>5 ells of canvas for packing wool 1 shilling 1.5pence, at 2.5pence an ell.</t>
        </is>
      </c>
      <c r="K44" s="72">
        <f>F44</f>
        <v/>
      </c>
      <c r="L44" s="72">
        <f>F44</f>
        <v/>
      </c>
    </row>
    <row r="45">
      <c r="A45" t="inlineStr">
        <is>
          <t>Dairy</t>
        </is>
      </c>
      <c r="B45" t="n">
        <v>0</v>
      </c>
      <c r="C45" t="n">
        <v>2</v>
      </c>
      <c r="D45" t="n">
        <v>0</v>
      </c>
      <c r="F45" s="72" t="n">
        <v>0.1</v>
      </c>
      <c r="H45" t="inlineStr">
        <is>
          <t>stipend of 1 shepherd and 1 cowherd in winter 2 shilling, because for the other .5 year they take corn in the field like the rest of the manorial servants.</t>
        </is>
      </c>
    </row>
    <row r="46">
      <c r="A46" t="inlineStr">
        <is>
          <t>Dairy</t>
        </is>
      </c>
      <c r="B46" t="n">
        <v>0</v>
      </c>
      <c r="C46" t="n">
        <v>2</v>
      </c>
      <c r="D46" t="n">
        <v>6</v>
      </c>
      <c r="F46" s="72" t="n">
        <v>0.12</v>
      </c>
      <c r="H46" t="inlineStr">
        <is>
          <t>stipend of 1 dairymaid this year 2 shilling 6pence, because for 13 weeks there was no dairymaipence.</t>
        </is>
      </c>
    </row>
    <row r="47">
      <c r="A47" t="inlineStr">
        <is>
          <t>Dairy</t>
        </is>
      </c>
      <c r="B47" t="n">
        <v>0</v>
      </c>
      <c r="C47" t="n">
        <v>0</v>
      </c>
      <c r="D47" t="n">
        <v>4</v>
      </c>
      <c r="F47" s="72">
        <f>B47+C47/20+D47/240</f>
        <v/>
      </c>
      <c r="H47" t="inlineStr">
        <is>
          <t xml:space="preserve">carrying wool to Wolvesey 4pence </t>
        </is>
      </c>
    </row>
    <row r="48">
      <c r="A48" t="inlineStr">
        <is>
          <t>Dairy</t>
        </is>
      </c>
      <c r="B48" t="n">
        <v>0</v>
      </c>
      <c r="C48" t="n">
        <v>13</v>
      </c>
      <c r="D48" t="n">
        <v>4</v>
      </c>
      <c r="F48" s="72" t="n">
        <v>0.67</v>
      </c>
      <c r="H48" t="inlineStr">
        <is>
          <t>Total, 13 shilling 11.5pence</t>
        </is>
      </c>
    </row>
    <row r="49">
      <c r="A49" t="inlineStr">
        <is>
          <t>Dairy</t>
        </is>
      </c>
      <c r="F49" s="72">
        <f>SUM(F37:F47)</f>
        <v/>
      </c>
      <c r="G49" s="143">
        <f>F49-F48</f>
        <v/>
      </c>
      <c r="H49" t="inlineStr">
        <is>
          <t>Total</t>
        </is>
      </c>
    </row>
    <row r="50"/>
    <row r="51">
      <c r="A51" t="inlineStr">
        <is>
          <t>Expenses of buildings and small necessaries</t>
        </is>
      </c>
      <c r="B51" t="n">
        <v>0</v>
      </c>
      <c r="C51" t="n">
        <v>0</v>
      </c>
      <c r="D51" t="n">
        <v>2</v>
      </c>
      <c r="F51" t="n">
        <v>0.01</v>
      </c>
      <c r="H51" t="inlineStr">
        <is>
          <t>In propping up the wardrobe of the bishop's chamber 2pence.</t>
        </is>
      </c>
      <c r="K51">
        <f>F51</f>
        <v/>
      </c>
    </row>
    <row r="52">
      <c r="A52" t="inlineStr">
        <is>
          <t>Expenses of buildings and small necessaries</t>
        </is>
      </c>
      <c r="B52" t="n">
        <v>0</v>
      </c>
      <c r="C52" t="n">
        <v>1</v>
      </c>
      <c r="D52" t="n">
        <v>8</v>
      </c>
      <c r="F52" t="n">
        <v>0.08</v>
      </c>
      <c r="H52" t="inlineStr">
        <is>
          <t>re-roofing in places the larger barn, unroofed by the wind, where it was necessary 1 shilling 8pence.</t>
        </is>
      </c>
      <c r="K52">
        <f>F52</f>
        <v/>
      </c>
      <c r="L52">
        <f>K52</f>
        <v/>
      </c>
    </row>
    <row r="53">
      <c r="A53" t="inlineStr">
        <is>
          <t>Expenses of buildings and small necessaries</t>
        </is>
      </c>
      <c r="B53" t="n">
        <v>0</v>
      </c>
      <c r="C53" t="n">
        <v>0</v>
      </c>
      <c r="D53" t="n">
        <v>8</v>
      </c>
      <c r="F53" t="n">
        <v>0.03</v>
      </c>
      <c r="H53" t="inlineStr">
        <is>
          <t>re-roofing the small barn in places 8pence.</t>
        </is>
      </c>
      <c r="K53">
        <f>F53</f>
        <v/>
      </c>
      <c r="L53">
        <f>K53</f>
        <v/>
      </c>
    </row>
    <row r="54">
      <c r="A54" t="inlineStr">
        <is>
          <t>Expenses of buildings and small necessaries</t>
        </is>
      </c>
      <c r="B54" t="n">
        <v>0</v>
      </c>
      <c r="C54" t="n">
        <v>0</v>
      </c>
      <c r="D54" t="n">
        <v>10</v>
      </c>
      <c r="F54" t="n">
        <v>0.04</v>
      </c>
      <c r="H54" t="inlineStr">
        <is>
          <t>roofing one part of the long stable throughout 10pence.</t>
        </is>
      </c>
      <c r="K54">
        <f>F54</f>
        <v/>
      </c>
      <c r="L54">
        <f>K54</f>
        <v/>
      </c>
    </row>
    <row r="55">
      <c r="A55" t="inlineStr">
        <is>
          <t>Expenses of buildings and small necessaries</t>
        </is>
      </c>
      <c r="B55" t="n">
        <v>0</v>
      </c>
      <c r="C55" t="n">
        <v>0</v>
      </c>
      <c r="D55" t="n">
        <v>1.5</v>
      </c>
      <c r="F55" t="n">
        <v>0.01</v>
      </c>
      <c r="H55" t="inlineStr">
        <is>
          <t>1 lock with a key bought for the garden-gate 1.5pence.</t>
        </is>
      </c>
      <c r="K55">
        <f>F55</f>
        <v/>
      </c>
      <c r="L55">
        <f>K55</f>
        <v/>
      </c>
    </row>
    <row r="56">
      <c r="A56" t="inlineStr">
        <is>
          <t>Expenses of buildings and small necessaries</t>
        </is>
      </c>
      <c r="B56" t="n">
        <v>0</v>
      </c>
      <c r="C56" t="n">
        <v>0</v>
      </c>
      <c r="D56" t="n">
        <v>10</v>
      </c>
      <c r="F56" t="n">
        <v>0.04</v>
      </c>
      <c r="H56" t="inlineStr">
        <is>
          <t>iplantingl and watering beans 10pence.</t>
        </is>
      </c>
    </row>
    <row r="57">
      <c r="A57" t="inlineStr">
        <is>
          <t>Expenses of buildings and small necessaries</t>
        </is>
      </c>
      <c r="B57" t="n">
        <v>0</v>
      </c>
      <c r="C57" t="n">
        <v>0</v>
      </c>
      <c r="D57" t="n">
        <v>5.5</v>
      </c>
      <c r="F57" s="72">
        <f>B57+C57/20+D57/240</f>
        <v/>
      </c>
      <c r="H57" t="inlineStr">
        <is>
          <t>gelding (masculand') 26 piglets 5.5pence</t>
        </is>
      </c>
    </row>
    <row r="58">
      <c r="A58" t="inlineStr">
        <is>
          <t>Expenses of buildings and small necessaries</t>
        </is>
      </c>
      <c r="B58" t="n">
        <v>0</v>
      </c>
      <c r="C58" t="n">
        <v>4</v>
      </c>
      <c r="D58" t="n">
        <v>5.5</v>
      </c>
      <c r="F58" t="n">
        <v>0.22</v>
      </c>
      <c r="H58" t="inlineStr">
        <is>
          <t xml:space="preserve"> Total, 4 shilling 9pence</t>
        </is>
      </c>
    </row>
    <row r="59">
      <c r="A59" t="inlineStr">
        <is>
          <t>Expenses of buildings and small necessaries</t>
        </is>
      </c>
      <c r="F59" s="72">
        <f>SUM(F51:F57)</f>
        <v/>
      </c>
      <c r="G59" s="143">
        <f>F59-F58</f>
        <v/>
      </c>
      <c r="H59" t="inlineStr">
        <is>
          <t>Total</t>
        </is>
      </c>
    </row>
    <row r="60"/>
    <row r="61">
      <c r="A61" t="inlineStr">
        <is>
          <t>Mowing</t>
        </is>
      </c>
      <c r="B61" t="n">
        <v>0</v>
      </c>
      <c r="C61" t="n">
        <v>1</v>
      </c>
      <c r="D61" t="n">
        <v>0</v>
      </c>
      <c r="F61" t="n">
        <v>0.05</v>
      </c>
      <c r="H61" t="inlineStr">
        <is>
          <t xml:space="preserve">In customary payment for the mowing of the meadow 1 shilling </t>
        </is>
      </c>
    </row>
    <row r="62">
      <c r="A62" t="inlineStr">
        <is>
          <t>Mowing</t>
        </is>
      </c>
      <c r="B62" t="n">
        <v>0</v>
      </c>
      <c r="C62" t="n">
        <v>1</v>
      </c>
      <c r="D62" t="n">
        <v>0</v>
      </c>
      <c r="F62" t="n">
        <v>0.05</v>
      </c>
      <c r="G62" s="143">
        <f>F62-F61</f>
        <v/>
      </c>
      <c r="H62" t="inlineStr">
        <is>
          <t>Total, 1 shilling</t>
        </is>
      </c>
    </row>
    <row r="63"/>
    <row r="64">
      <c r="A64" t="inlineStr">
        <is>
          <t>Purchase of stock</t>
        </is>
      </c>
      <c r="B64" t="n">
        <v>2</v>
      </c>
      <c r="C64" t="n">
        <v>8</v>
      </c>
      <c r="D64" t="n">
        <v>7</v>
      </c>
      <c r="F64" s="72" t="n">
        <v>2.43</v>
      </c>
      <c r="H64" t="inlineStr">
        <is>
          <t xml:space="preserve">In 28 wethers bought before shearing £2 8 shilling 7pence, at 1 shilling 9pence each for 18, and 1s 8.5pence each for 10. </t>
        </is>
      </c>
    </row>
    <row r="65">
      <c r="A65" t="inlineStr">
        <is>
          <t>Purchase of stock</t>
        </is>
      </c>
      <c r="B65" t="n">
        <v>2</v>
      </c>
      <c r="C65" t="n">
        <v>8</v>
      </c>
      <c r="D65" t="n">
        <v>7</v>
      </c>
      <c r="F65" s="72" t="n">
        <v>2.43</v>
      </c>
      <c r="H65" t="inlineStr">
        <is>
          <t>Total, £2 8 shilling 7pence</t>
        </is>
      </c>
    </row>
    <row r="66">
      <c r="A66" t="inlineStr">
        <is>
          <t>Purchase of stock</t>
        </is>
      </c>
      <c r="F66" s="72" t="n">
        <v>2.43</v>
      </c>
      <c r="G66" s="143" t="n">
        <v>0</v>
      </c>
      <c r="H66" t="inlineStr">
        <is>
          <t>Total</t>
        </is>
      </c>
    </row>
    <row r="67"/>
    <row r="68">
      <c r="A68" t="inlineStr">
        <is>
          <t>Threshing and winnowing</t>
        </is>
      </c>
      <c r="B68" t="n">
        <v>0</v>
      </c>
      <c r="C68" t="n">
        <v>0</v>
      </c>
      <c r="D68" t="n">
        <v>3.5</v>
      </c>
      <c r="F68" s="72" t="n">
        <v>0.01</v>
      </c>
      <c r="H68" t="inlineStr">
        <is>
          <t>In mending 1 new sieve and other old ones 3.5pence.</t>
        </is>
      </c>
    </row>
    <row r="69">
      <c r="A69" t="inlineStr">
        <is>
          <t>Threshing and winnowing</t>
        </is>
      </c>
      <c r="B69" t="n">
        <v>0</v>
      </c>
      <c r="C69" t="n">
        <v>0</v>
      </c>
      <c r="D69" t="n">
        <v>2</v>
      </c>
      <c r="F69" s="72" t="n">
        <v>0.01</v>
      </c>
      <c r="H69" t="inlineStr">
        <is>
          <t>1 new sack bought 9.25d remaking (refit') old broken baskets 2pence.</t>
        </is>
      </c>
    </row>
    <row r="70">
      <c r="A70" t="inlineStr">
        <is>
          <t>Threshing and winnowing</t>
        </is>
      </c>
      <c r="B70" t="n">
        <v>1</v>
      </c>
      <c r="C70" t="n">
        <v>8</v>
      </c>
      <c r="D70" t="n">
        <v>3</v>
      </c>
      <c r="F70" s="72" t="n">
        <v>1.41</v>
      </c>
      <c r="H70" t="inlineStr">
        <is>
          <t>threshing 169.5 quarters of wheat with £1 8 shilling 3pence, at 2pence a qr.</t>
        </is>
      </c>
    </row>
    <row r="71">
      <c r="A71" t="inlineStr">
        <is>
          <t>Threshing and winnowing</t>
        </is>
      </c>
      <c r="B71" t="n">
        <v>0</v>
      </c>
      <c r="C71" t="n">
        <v>0</v>
      </c>
      <c r="D71" t="n">
        <v>0</v>
      </c>
      <c r="F71" s="72" t="n">
        <v>0</v>
      </c>
      <c r="H71" t="inlineStr">
        <is>
          <t>winnowing, nothing, because it was winnowed by laboura service.</t>
        </is>
      </c>
    </row>
    <row r="72">
      <c r="A72" t="inlineStr">
        <is>
          <t>Threshing and winnowing</t>
        </is>
      </c>
      <c r="B72" t="n">
        <v>0</v>
      </c>
      <c r="C72" t="n">
        <v>0</v>
      </c>
      <c r="D72" t="n">
        <v>0</v>
      </c>
      <c r="F72" s="72" t="n">
        <v>0</v>
      </c>
      <c r="H72" t="inlineStr">
        <is>
          <t>threshing barley and beans, nothing this year, because it was threshed by the lord's manorial servants.</t>
        </is>
      </c>
    </row>
    <row r="73">
      <c r="A73" t="inlineStr">
        <is>
          <t>Threshing and winnowing</t>
        </is>
      </c>
      <c r="B73" t="n">
        <v>0</v>
      </c>
      <c r="C73" t="n">
        <v>0</v>
      </c>
      <c r="D73" t="n">
        <v>0</v>
      </c>
      <c r="F73" s="72" t="n">
        <v>0</v>
      </c>
      <c r="H73" t="inlineStr">
        <is>
          <t>winnowing, nothing, for the above' reason.</t>
        </is>
      </c>
    </row>
    <row r="74">
      <c r="A74" t="inlineStr">
        <is>
          <t>Threshing and winnowing</t>
        </is>
      </c>
      <c r="B74" t="n">
        <v>0</v>
      </c>
      <c r="C74" t="n">
        <v>8</v>
      </c>
      <c r="D74" t="n">
        <v>4.5</v>
      </c>
      <c r="F74" s="72" t="n">
        <v>0.42</v>
      </c>
      <c r="H74" t="inlineStr">
        <is>
          <t>threshing 134 quarters of oats 8 shilling 4.5pence, at .75pence a qr, and winnowed by labour service as above.</t>
        </is>
      </c>
    </row>
    <row r="75">
      <c r="A75" t="inlineStr">
        <is>
          <t>Threshing and winnowing</t>
        </is>
      </c>
      <c r="B75" t="n">
        <v>1</v>
      </c>
      <c r="C75" t="n">
        <v>17</v>
      </c>
      <c r="D75" t="n">
        <v>10.25</v>
      </c>
      <c r="F75" s="72" t="n">
        <v>1.89</v>
      </c>
      <c r="H75" t="inlineStr">
        <is>
          <t>Total, £1 17 shilling 10.25pence</t>
        </is>
      </c>
    </row>
    <row r="76">
      <c r="A76" t="inlineStr">
        <is>
          <t>Threshing and winnowing</t>
        </is>
      </c>
      <c r="F76" s="72" t="n">
        <v>1.85</v>
      </c>
      <c r="G76" s="143" t="n">
        <v>-0.03999999999999981</v>
      </c>
      <c r="H76" t="inlineStr">
        <is>
          <t>Total</t>
        </is>
      </c>
    </row>
    <row r="77"/>
    <row r="78">
      <c r="A78" t="inlineStr">
        <is>
          <t>Cost of the mill</t>
        </is>
      </c>
      <c r="B78" t="n">
        <v>0</v>
      </c>
      <c r="C78" t="n">
        <v>5</v>
      </c>
      <c r="D78" t="n">
        <v>3.5</v>
      </c>
      <c r="F78" s="72" t="n">
        <v>0.26</v>
      </c>
      <c r="H78" t="inlineStr">
        <is>
          <t>In 20 ells of canvas bought for the sails of the mill 5 shilling, at 3.5pence each for 10, and 3d each for 10..</t>
        </is>
      </c>
      <c r="K78" s="72">
        <f>F78</f>
        <v/>
      </c>
    </row>
    <row r="79">
      <c r="A79" t="inlineStr">
        <is>
          <t>Cost of the mill</t>
        </is>
      </c>
      <c r="B79" t="n">
        <v>0</v>
      </c>
      <c r="C79" t="n">
        <v>0</v>
      </c>
      <c r="D79" t="n">
        <v>3</v>
      </c>
      <c r="F79" s="72" t="n">
        <v>0.01</v>
      </c>
      <c r="H79" t="inlineStr">
        <is>
          <t>steeling and sharpening bills for the year 3pence.</t>
        </is>
      </c>
      <c r="K79" s="72">
        <f>F79</f>
        <v/>
      </c>
    </row>
    <row r="80">
      <c r="A80" t="inlineStr">
        <is>
          <t>Cost of the mill</t>
        </is>
      </c>
      <c r="B80" t="n">
        <v>0</v>
      </c>
      <c r="C80" t="n">
        <v>0</v>
      </c>
      <c r="D80" t="n">
        <v>6</v>
      </c>
      <c r="F80" s="72" t="n">
        <v>0.03</v>
      </c>
      <c r="H80" t="inlineStr">
        <is>
          <t>tallow and grease bought for the same for the year 6pence.</t>
        </is>
      </c>
      <c r="K80" s="72">
        <f>F80</f>
        <v/>
      </c>
    </row>
    <row r="81">
      <c r="A81" t="inlineStr">
        <is>
          <t>Cost of the mill</t>
        </is>
      </c>
      <c r="B81" t="n">
        <v>0</v>
      </c>
      <c r="C81" t="n">
        <v>0</v>
      </c>
      <c r="D81" t="n">
        <v>2</v>
      </c>
      <c r="F81" s="72" t="n">
        <v>0.01</v>
      </c>
      <c r="H81" t="inlineStr">
        <is>
          <t>white leather for the clapper of the mill 2pence.</t>
        </is>
      </c>
      <c r="K81" s="72">
        <f>F81</f>
        <v/>
      </c>
    </row>
    <row r="82">
      <c r="A82" t="inlineStr">
        <is>
          <t>Cost of the mill</t>
        </is>
      </c>
      <c r="B82" t="n">
        <v>0</v>
      </c>
      <c r="C82" t="n">
        <v>1</v>
      </c>
      <c r="D82" t="n">
        <v>0</v>
      </c>
      <c r="F82" s="72" t="n">
        <v>0.05</v>
      </c>
      <c r="H82" t="inlineStr">
        <is>
          <t>stipend of 1 miller for' year in winter 1 shilling, because for the other .5 year he takes corn at harvest-time.</t>
        </is>
      </c>
    </row>
    <row r="83">
      <c r="A83" t="inlineStr">
        <is>
          <t>Cost of the mill</t>
        </is>
      </c>
      <c r="B83" t="n">
        <v>0</v>
      </c>
      <c r="C83" t="n">
        <v>6</v>
      </c>
      <c r="D83" t="n">
        <v>11</v>
      </c>
      <c r="F83" s="72" t="n">
        <v>0.35</v>
      </c>
      <c r="H83" t="inlineStr">
        <is>
          <t>Total, 6 shilling 11pence</t>
        </is>
      </c>
    </row>
    <row r="84">
      <c r="A84" t="inlineStr">
        <is>
          <t>Cost of the mill</t>
        </is>
      </c>
      <c r="F84" s="72" t="n">
        <v>0.36</v>
      </c>
      <c r="G84" s="143" t="n">
        <v>0.01000000000000001</v>
      </c>
      <c r="H84" t="inlineStr">
        <is>
          <t>Total</t>
        </is>
      </c>
    </row>
    <row r="85"/>
    <row r="86">
      <c r="A86" t="inlineStr">
        <is>
          <t>Expenses of the steward</t>
        </is>
      </c>
      <c r="B86" t="n">
        <v>0</v>
      </c>
      <c r="C86" t="n">
        <v>8</v>
      </c>
      <c r="D86" t="n">
        <v>0</v>
      </c>
      <c r="F86" s="72" t="n">
        <v>0.4</v>
      </c>
      <c r="H86" t="inlineStr">
        <is>
          <t>In expenses of the steward at the hundred-court of Martinmas 8 shilling.</t>
        </is>
      </c>
    </row>
    <row r="87">
      <c r="A87" t="inlineStr">
        <is>
          <t>Expenses of the steward</t>
        </is>
      </c>
      <c r="B87" t="n">
        <v>0</v>
      </c>
      <c r="C87" t="n">
        <v>5</v>
      </c>
      <c r="D87" t="n">
        <v>9.25</v>
      </c>
      <c r="F87" s="72" t="n">
        <v>0.29</v>
      </c>
      <c r="H87" t="inlineStr">
        <is>
          <t>expenses of the steward for his 1 visit about the Purification (2 February) 5 shilling 9.25pence.</t>
        </is>
      </c>
    </row>
    <row r="88">
      <c r="A88" t="inlineStr">
        <is>
          <t>Expenses of the steward</t>
        </is>
      </c>
      <c r="B88" t="n">
        <v>0</v>
      </c>
      <c r="C88" t="n">
        <v>10</v>
      </c>
      <c r="D88" t="n">
        <v>1</v>
      </c>
      <c r="F88" s="72">
        <f>B88+C88/20+D88/240</f>
        <v/>
      </c>
      <c r="H88" t="inlineStr">
        <is>
          <t xml:space="preserve">expenses of Simon de Farham holding the tourn of Hockday (1 May) 10 shilling 1pence </t>
        </is>
      </c>
    </row>
    <row r="89">
      <c r="A89" t="inlineStr">
        <is>
          <t>Expenses of the steward</t>
        </is>
      </c>
      <c r="B89" t="n">
        <v>1</v>
      </c>
      <c r="C89" t="n">
        <v>3</v>
      </c>
      <c r="D89" t="n">
        <v>10.5</v>
      </c>
      <c r="F89" s="72">
        <f>B89+C89/20+D89/240</f>
        <v/>
      </c>
      <c r="H89" t="inlineStr">
        <is>
          <t>Total, £1 3shilling 10.5pence</t>
        </is>
      </c>
    </row>
    <row r="90">
      <c r="A90" t="inlineStr">
        <is>
          <t>Expenses of the steward</t>
        </is>
      </c>
      <c r="F90" s="72">
        <f>SUM(F86:F88)</f>
        <v/>
      </c>
      <c r="G90" s="143">
        <f>F90-F89</f>
        <v/>
      </c>
      <c r="H90" t="inlineStr">
        <is>
          <t>Total</t>
        </is>
      </c>
    </row>
    <row r="91"/>
    <row r="92">
      <c r="A92" t="inlineStr">
        <is>
          <t>Total of all expenses</t>
        </is>
      </c>
      <c r="B92" t="n">
        <v>31</v>
      </c>
      <c r="C92" t="n">
        <v>12</v>
      </c>
      <c r="D92" t="n">
        <v>10</v>
      </c>
      <c r="F92" s="72" t="n">
        <v>31.64</v>
      </c>
      <c r="H92" t="inlineStr">
        <is>
          <t>Total of all expenses, £31 12 shilling 10pence</t>
        </is>
      </c>
    </row>
    <row r="93"/>
    <row r="94">
      <c r="A94" t="inlineStr">
        <is>
          <t>And he owes</t>
        </is>
      </c>
      <c r="B94" t="n">
        <v>94</v>
      </c>
      <c r="C94" t="n">
        <v>3</v>
      </c>
      <c r="D94" t="n">
        <v>3.75</v>
      </c>
      <c r="F94" s="72" t="n">
        <v>94.17</v>
      </c>
      <c r="H94" t="inlineStr">
        <is>
          <t>And he owes, £94 3 shilling 3.75pence</t>
        </is>
      </c>
    </row>
    <row r="95">
      <c r="A95" t="inlineStr">
        <is>
          <t>And he owes</t>
        </is>
      </c>
      <c r="F95" s="72" t="n">
        <v>94.17</v>
      </c>
      <c r="G95" s="143" t="n">
        <v>0</v>
      </c>
      <c r="H95" t="inlineStr">
        <is>
          <t>Total</t>
        </is>
      </c>
    </row>
    <row r="96"/>
    <row r="97">
      <c r="A97" t="inlineStr">
        <is>
          <t>Cash deliveries</t>
        </is>
      </c>
      <c r="B97" t="n">
        <v>80</v>
      </c>
      <c r="C97" t="n">
        <v>0</v>
      </c>
      <c r="D97" t="n">
        <v>0</v>
      </c>
      <c r="F97" s="72" t="n">
        <v>80</v>
      </c>
      <c r="H97" t="inlineStr">
        <is>
          <t>Delivered to Sir Geoffrey, treasurer of Wolvesey, by 1 tally, £80.</t>
        </is>
      </c>
    </row>
    <row r="98">
      <c r="A98" t="inlineStr">
        <is>
          <t>Cash deliveries</t>
        </is>
      </c>
      <c r="B98" t="n">
        <v>14</v>
      </c>
      <c r="C98" t="n">
        <v>3</v>
      </c>
      <c r="D98" t="n">
        <v>3.75</v>
      </c>
      <c r="F98" s="72" t="n">
        <v>14.17</v>
      </c>
      <c r="H98" t="inlineStr">
        <is>
          <t>And thus he owes clear, £14 3 shilling 3.75pence</t>
        </is>
      </c>
    </row>
    <row r="99"/>
    <row r="100" ht="16" customHeight="1">
      <c r="A100" s="12" t="inlineStr">
        <is>
          <t>Total of all expenses per account</t>
        </is>
      </c>
      <c r="F100" s="72">
        <f>F92</f>
        <v/>
      </c>
    </row>
    <row r="101" ht="16" customHeight="1">
      <c r="A101" s="12" t="inlineStr">
        <is>
          <t>Total of all expenses (calculated here)</t>
        </is>
      </c>
      <c r="F101" s="72">
        <f>F90+F84+F76+F66+F49+F35+F16</f>
        <v/>
      </c>
    </row>
    <row r="102" ht="16" customHeight="1">
      <c r="A102" s="12" t="inlineStr">
        <is>
          <t>Total fixed investment</t>
        </is>
      </c>
      <c r="F102" s="72">
        <f>SUM(K3:K83)</f>
        <v/>
      </c>
    </row>
    <row r="103" ht="16" customHeight="1">
      <c r="A103" s="12" t="inlineStr">
        <is>
          <t>Total Demesne fixed investment</t>
        </is>
      </c>
      <c r="F103" s="72">
        <f>SUM(L3:L82)</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1"/>
  <sheetViews>
    <sheetView topLeftCell="A1" workbookViewId="0">
      <selection activeCell="A1" sqref="A1"/>
    </sheetView>
  </sheetViews>
  <sheetFormatPr baseColWidth="8" defaultRowHeight="15"/>
  <cols>
    <col width="30" customWidth="1" min="1" max="1"/>
    <col width="12.1640625" customWidth="1" min="2" max="2"/>
    <col width="15.1640625" customWidth="1" min="3" max="3"/>
    <col width="20" customWidth="1" min="4" max="4"/>
    <col width="16.1640625" customWidth="1" min="5" max="5"/>
    <col width="15.83203125" customWidth="1" min="6" max="6"/>
    <col width="18.6640625" customWidth="1" min="7" max="7"/>
    <col width="17.33203125" customWidth="1" min="8" max="8"/>
    <col width="17.5" customWidth="1" min="9" max="9"/>
    <col width="18.83203125" customWidth="1" min="10" max="10"/>
    <col width="20.33203125" customWidth="1" min="11" max="11"/>
    <col width="19.33203125" customWidth="1" min="12" max="12"/>
    <col width="12.1640625" customWidth="1" min="13" max="13"/>
    <col width="8.1640625" customWidth="1" min="14" max="14"/>
    <col width="14.33203125" customWidth="1" min="15" max="15"/>
    <col width="20" customWidth="1" min="16" max="16"/>
  </cols>
  <sheetData>
    <row r="1" ht="48" customHeight="1">
      <c r="A1" s="144" t="inlineStr">
        <is>
          <t>Gross Output</t>
        </is>
      </c>
      <c r="B1" s="144" t="inlineStr">
        <is>
          <t>Total Quantity</t>
        </is>
      </c>
      <c r="C1" s="144" t="inlineStr">
        <is>
          <t>Account Total Quarters</t>
        </is>
      </c>
      <c r="D1" s="144" t="inlineStr">
        <is>
          <t>Bought in Total Quarters</t>
        </is>
      </c>
      <c r="E1" s="144" t="inlineStr">
        <is>
          <t>Received from churchscot</t>
        </is>
      </c>
      <c r="F1" s="144" t="inlineStr">
        <is>
          <t>Sold Total Quarters</t>
        </is>
      </c>
      <c r="G1" s="144" t="inlineStr">
        <is>
          <t>Difference Produced+Bought-Sold</t>
        </is>
      </c>
      <c r="H1" s="144" t="inlineStr">
        <is>
          <t>Weighted Average Price per Quarter</t>
        </is>
      </c>
      <c r="I1" s="145" t="inlineStr">
        <is>
          <t>Value of Total Production weighted</t>
        </is>
      </c>
    </row>
    <row r="2">
      <c r="A2" t="inlineStr">
        <is>
          <t>wheat</t>
        </is>
      </c>
      <c r="B2" t="n">
        <v>220.375</v>
      </c>
      <c r="C2" t="n">
        <v>201.625</v>
      </c>
      <c r="D2" t="n">
        <v>12.25</v>
      </c>
      <c r="F2" t="n">
        <v>177.75</v>
      </c>
      <c r="G2">
        <f>B2-F2</f>
        <v/>
      </c>
      <c r="H2" s="72" t="n">
        <v>0.2464838255977496</v>
      </c>
      <c r="I2" s="72">
        <f>H2*B2</f>
        <v/>
      </c>
    </row>
    <row r="3">
      <c r="A3" t="inlineStr">
        <is>
          <t>curall</t>
        </is>
      </c>
      <c r="B3" t="n">
        <v>10.375</v>
      </c>
      <c r="C3" t="n">
        <v>10.375</v>
      </c>
      <c r="D3" t="n">
        <v>0</v>
      </c>
      <c r="F3" t="n">
        <v>0</v>
      </c>
      <c r="G3">
        <f>B3-F3</f>
        <v/>
      </c>
      <c r="H3" s="72" t="n"/>
      <c r="I3" s="72">
        <f>H3*B3</f>
        <v/>
      </c>
    </row>
    <row r="4">
      <c r="A4" t="inlineStr">
        <is>
          <t>mancorn</t>
        </is>
      </c>
      <c r="B4" t="n">
        <v>0</v>
      </c>
      <c r="C4" t="n">
        <v>0</v>
      </c>
      <c r="D4" t="n">
        <v>0</v>
      </c>
      <c r="F4" t="n">
        <v>0</v>
      </c>
      <c r="G4">
        <f>B4-F4</f>
        <v/>
      </c>
      <c r="H4" s="72" t="n"/>
      <c r="I4" s="72">
        <f>H4*B4</f>
        <v/>
      </c>
    </row>
    <row r="5">
      <c r="A5" t="inlineStr">
        <is>
          <t>barley</t>
        </is>
      </c>
      <c r="B5" t="n">
        <v>74</v>
      </c>
      <c r="C5">
        <f>19.75+20.25</f>
        <v/>
      </c>
      <c r="D5" t="n">
        <v>34</v>
      </c>
      <c r="F5" t="n">
        <v>10.4375</v>
      </c>
      <c r="G5">
        <f>B5-F5</f>
        <v/>
      </c>
      <c r="H5" s="72" t="n">
        <v>0.1666666666666667</v>
      </c>
      <c r="I5" s="72">
        <f>H5*B5</f>
        <v/>
      </c>
    </row>
    <row r="6">
      <c r="A6" t="inlineStr">
        <is>
          <t>oats</t>
        </is>
      </c>
      <c r="B6">
        <f>216+2/8</f>
        <v/>
      </c>
      <c r="C6">
        <f>B6-D6</f>
        <v/>
      </c>
      <c r="D6">
        <f>4.5</f>
        <v/>
      </c>
      <c r="F6" t="n">
        <v>99.875</v>
      </c>
      <c r="G6">
        <f>B6-F6</f>
        <v/>
      </c>
      <c r="H6" s="72" t="n">
        <v>0.08998748435544432</v>
      </c>
      <c r="I6" s="72">
        <f>H6*B6</f>
        <v/>
      </c>
    </row>
    <row r="7">
      <c r="A7" t="inlineStr">
        <is>
          <t>beans</t>
        </is>
      </c>
      <c r="B7" t="n">
        <v>20.125</v>
      </c>
      <c r="C7" t="n">
        <v>20.125</v>
      </c>
      <c r="D7" t="n">
        <v>0</v>
      </c>
      <c r="F7" t="n">
        <v>6.125</v>
      </c>
      <c r="G7">
        <f>B7-F7</f>
        <v/>
      </c>
      <c r="H7" s="72" t="n">
        <v>0.1</v>
      </c>
      <c r="I7" s="72">
        <f>H7*B7</f>
        <v/>
      </c>
    </row>
    <row r="8"/>
    <row r="9">
      <c r="A9" s="146" t="inlineStr">
        <is>
          <t>Total Production</t>
        </is>
      </c>
    </row>
    <row r="10">
      <c r="A10" s="146" t="inlineStr">
        <is>
          <t>Sales of corn (as recorded in accounts)</t>
        </is>
      </c>
    </row>
    <row r="11"/>
    <row r="12"/>
    <row r="13" ht="32" customHeight="1">
      <c r="A13" s="38" t="inlineStr">
        <is>
          <t>Net output</t>
        </is>
      </c>
      <c r="B13" s="147" t="inlineStr">
        <is>
          <t>Gross output</t>
        </is>
      </c>
      <c r="C13" s="148" t="inlineStr">
        <is>
          <t>Seed quarters</t>
        </is>
      </c>
      <c r="D13" s="148" t="inlineStr">
        <is>
          <t>Seed bushels</t>
        </is>
      </c>
      <c r="E13" s="148" t="inlineStr">
        <is>
          <t>Seed total quarters</t>
        </is>
      </c>
      <c r="F13" s="38" t="inlineStr">
        <is>
          <t>tithe quarters</t>
        </is>
      </c>
      <c r="G13" s="148" t="inlineStr">
        <is>
          <t>tithe bushels</t>
        </is>
      </c>
      <c r="H13" s="148" t="inlineStr">
        <is>
          <t>tithe total</t>
        </is>
      </c>
      <c r="I13" s="148" t="inlineStr">
        <is>
          <t>manorial servants quarters</t>
        </is>
      </c>
      <c r="J13" s="148" t="inlineStr">
        <is>
          <t>manorial servants bushels</t>
        </is>
      </c>
      <c r="K13" s="149" t="inlineStr">
        <is>
          <t>manorial servants total quarters</t>
        </is>
      </c>
      <c r="L13" s="148" t="inlineStr">
        <is>
          <t>output net of tithe, seed, liveries</t>
        </is>
      </c>
      <c r="M13" s="148" t="inlineStr">
        <is>
          <t>in stock from last year</t>
        </is>
      </c>
      <c r="N13" s="150" t="inlineStr">
        <is>
          <t>Price in £</t>
        </is>
      </c>
      <c r="O13" s="150" t="inlineStr">
        <is>
          <t>Value of net output in £</t>
        </is>
      </c>
      <c r="P13" s="147" t="inlineStr">
        <is>
          <t>Value of sales (in "Sale of Corn") in £</t>
        </is>
      </c>
    </row>
    <row r="14">
      <c r="A14" t="inlineStr">
        <is>
          <t>wheat</t>
        </is>
      </c>
      <c r="B14">
        <f>B2</f>
        <v/>
      </c>
      <c r="C14" t="n">
        <v>32</v>
      </c>
      <c r="D14" t="n">
        <v>2</v>
      </c>
      <c r="E14">
        <f>C14+D14/8</f>
        <v/>
      </c>
      <c r="I14">
        <f>1.5+6.5+0.5</f>
        <v/>
      </c>
      <c r="J14">
        <f>6+3+3+3</f>
        <v/>
      </c>
      <c r="K14" s="151">
        <f>I14+J14/8</f>
        <v/>
      </c>
      <c r="L14" s="72">
        <f>B14-E14-K14</f>
        <v/>
      </c>
      <c r="N14" s="72">
        <f>H2</f>
        <v/>
      </c>
      <c r="O14" s="72">
        <f>N14*L14</f>
        <v/>
      </c>
    </row>
    <row r="15">
      <c r="A15" t="inlineStr">
        <is>
          <t>curall</t>
        </is>
      </c>
      <c r="B15">
        <f>B3</f>
        <v/>
      </c>
      <c r="E15">
        <f>C15+D15/8</f>
        <v/>
      </c>
      <c r="I15" t="n">
        <v>10</v>
      </c>
      <c r="J15" t="n">
        <v>3</v>
      </c>
      <c r="K15" s="151">
        <f>I15+J15/8</f>
        <v/>
      </c>
      <c r="L15" s="72">
        <f>B15-E15-K15</f>
        <v/>
      </c>
      <c r="N15" s="72">
        <f>H3</f>
        <v/>
      </c>
      <c r="O15" s="72">
        <f>N15*L15</f>
        <v/>
      </c>
    </row>
    <row r="16">
      <c r="A16" t="inlineStr">
        <is>
          <t>mancorn</t>
        </is>
      </c>
      <c r="B16">
        <f>B4</f>
        <v/>
      </c>
      <c r="E16">
        <f>C16+D16/8</f>
        <v/>
      </c>
      <c r="K16" s="151">
        <f>I16+J16/8</f>
        <v/>
      </c>
      <c r="L16" s="72">
        <f>B16-E16-K16</f>
        <v/>
      </c>
      <c r="N16" s="72">
        <f>H4</f>
        <v/>
      </c>
      <c r="O16" s="72">
        <f>N16*L16</f>
        <v/>
      </c>
    </row>
    <row r="17">
      <c r="A17" t="inlineStr">
        <is>
          <t>barley</t>
        </is>
      </c>
      <c r="B17">
        <f>B5</f>
        <v/>
      </c>
      <c r="C17" t="n">
        <v>4</v>
      </c>
      <c r="D17" t="n">
        <v>3</v>
      </c>
      <c r="E17">
        <f>C17+D17/8</f>
        <v/>
      </c>
      <c r="I17">
        <f>39+18+1</f>
        <v/>
      </c>
      <c r="J17">
        <f>6.5+3</f>
        <v/>
      </c>
      <c r="K17" s="151">
        <f>I17+J17/8</f>
        <v/>
      </c>
      <c r="L17" s="72">
        <f>B17-E17-K17</f>
        <v/>
      </c>
      <c r="N17" s="72">
        <f>H5</f>
        <v/>
      </c>
      <c r="O17" s="72">
        <f>N17*L17</f>
        <v/>
      </c>
    </row>
    <row r="18">
      <c r="A18" t="inlineStr">
        <is>
          <t>oats</t>
        </is>
      </c>
      <c r="B18">
        <f>B6</f>
        <v/>
      </c>
      <c r="C18" t="n">
        <v>90</v>
      </c>
      <c r="D18" t="n">
        <v>5</v>
      </c>
      <c r="E18">
        <f>C18+D18/8</f>
        <v/>
      </c>
      <c r="I18">
        <f>15+0.5+1+4.5+0.5+2</f>
        <v/>
      </c>
      <c r="J18">
        <f>7+2+5</f>
        <v/>
      </c>
      <c r="K18" s="151">
        <f>I18+J18/8</f>
        <v/>
      </c>
      <c r="L18" s="72">
        <f>B18-E18-K18</f>
        <v/>
      </c>
      <c r="N18" s="72">
        <f>H6</f>
        <v/>
      </c>
      <c r="O18" s="72">
        <f>N18*L18</f>
        <v/>
      </c>
    </row>
    <row r="19">
      <c r="A19" t="inlineStr">
        <is>
          <t>beans</t>
        </is>
      </c>
      <c r="B19">
        <f>B7</f>
        <v/>
      </c>
      <c r="C19" t="n">
        <v>4</v>
      </c>
      <c r="D19" t="n">
        <v>1</v>
      </c>
      <c r="E19">
        <f>C19+D19/8</f>
        <v/>
      </c>
      <c r="I19" t="n">
        <v>9</v>
      </c>
      <c r="J19" t="n">
        <v>7</v>
      </c>
      <c r="K19" s="151">
        <f>I19+J19/8</f>
        <v/>
      </c>
      <c r="L19" s="72">
        <f>B19-E19-K19</f>
        <v/>
      </c>
      <c r="N19" s="72">
        <f>H7</f>
        <v/>
      </c>
      <c r="O19" s="72">
        <f>N19*L19</f>
        <v/>
      </c>
    </row>
    <row r="20"/>
    <row r="21">
      <c r="A21" s="42" t="inlineStr">
        <is>
          <t>Total</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129"/>
  <sheetViews>
    <sheetView topLeftCell="A1" workbookViewId="0">
      <selection activeCell="A1" sqref="A1"/>
    </sheetView>
  </sheetViews>
  <sheetFormatPr baseColWidth="8" defaultRowHeight="15"/>
  <cols>
    <col width="44.33203125" customWidth="1" min="1" max="1"/>
    <col width="6.83203125" customWidth="1" min="6" max="6"/>
    <col width="11.1640625" customWidth="1" min="7" max="7"/>
    <col width="19.83203125" customWidth="1" min="10" max="10"/>
    <col width="12.5" customWidth="1" min="11" max="11"/>
    <col width="15.83203125" customWidth="1" min="14" max="14"/>
    <col width="8.83203125" customWidth="1" min="15" max="15"/>
    <col width="17.5" customWidth="1" min="16" max="16"/>
    <col width="19.6640625" customWidth="1" min="17" max="17"/>
    <col width="8.83203125" customWidth="1" min="18" max="18"/>
    <col width="16.33203125" customWidth="1" min="19" max="19"/>
    <col width="18.33203125" customWidth="1" min="20" max="20"/>
  </cols>
  <sheetData>
    <row r="1" ht="16" customHeight="1">
      <c r="A1" s="12" t="inlineStr">
        <is>
          <t>IVINGHOE STOCK ACCOUNT</t>
        </is>
      </c>
    </row>
    <row r="2" ht="16" customHeight="1">
      <c r="A2" s="12" t="n"/>
    </row>
    <row r="3">
      <c r="A3" s="44" t="n"/>
      <c r="B3" s="44" t="n"/>
      <c r="C3" s="125" t="inlineStr">
        <is>
          <t>added</t>
        </is>
      </c>
      <c r="G3" s="126" t="inlineStr">
        <is>
          <t>subtracted</t>
        </is>
      </c>
      <c r="K3" s="44" t="n"/>
      <c r="L3" s="44" t="n"/>
      <c r="M3" s="44" t="n"/>
      <c r="N3" s="44" t="n"/>
      <c r="O3" s="73" t="n"/>
      <c r="P3" s="73" t="n"/>
      <c r="Q3" s="44" t="n"/>
      <c r="R3" s="73" t="n"/>
      <c r="S3" s="44" t="n"/>
      <c r="T3" s="44" t="n"/>
    </row>
    <row r="4" ht="34" customHeight="1">
      <c r="A4" s="66" t="inlineStr">
        <is>
          <t>Livestock</t>
        </is>
      </c>
      <c r="B4" s="29" t="inlineStr">
        <is>
          <t>Inherited stock</t>
        </is>
      </c>
      <c r="C4" s="29" t="inlineStr">
        <is>
          <t>added</t>
        </is>
      </c>
      <c r="D4" s="12" t="inlineStr">
        <is>
          <t>strays</t>
        </is>
      </c>
      <c r="E4" s="12" t="inlineStr">
        <is>
          <t>herbage</t>
        </is>
      </c>
      <c r="F4" s="66" t="inlineStr">
        <is>
          <t>churchscot</t>
        </is>
      </c>
      <c r="G4" s="66"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152" t="inlineStr">
        <is>
          <t>Unit price (£)</t>
        </is>
      </c>
      <c r="P4" s="74" t="inlineStr">
        <is>
          <t>Value of stock  (£) at given value</t>
        </is>
      </c>
      <c r="Q4" s="66" t="inlineStr">
        <is>
          <t>Value of stock  (£) at sales prices</t>
        </is>
      </c>
      <c r="R4" s="74" t="inlineStr">
        <is>
          <t>Sales in (£)</t>
        </is>
      </c>
      <c r="S4" s="66" t="inlineStr">
        <is>
          <t>Value of stock building (£)</t>
        </is>
      </c>
      <c r="T4" s="118" t="inlineStr">
        <is>
          <t>Value of production (£) at sales prices</t>
        </is>
      </c>
      <c r="U4" s="29" t="inlineStr">
        <is>
          <t>Details</t>
        </is>
      </c>
    </row>
    <row r="5" ht="16" customHeight="1">
      <c r="A5" s="44" t="inlineStr">
        <is>
          <t>Cart-horses</t>
        </is>
      </c>
      <c r="B5" t="n">
        <v>2</v>
      </c>
      <c r="K5" t="n">
        <v>2</v>
      </c>
    </row>
    <row r="6" ht="16" customHeight="1">
      <c r="A6" s="44" t="inlineStr">
        <is>
          <t>Mares</t>
        </is>
      </c>
    </row>
    <row r="7">
      <c r="A7" t="inlineStr">
        <is>
          <t>Plough horses</t>
        </is>
      </c>
      <c r="B7" t="n">
        <v>10</v>
      </c>
      <c r="H7" t="n">
        <v>6</v>
      </c>
      <c r="K7" t="n">
        <v>4</v>
      </c>
      <c r="O7" s="72">
        <f>R7/H7</f>
        <v/>
      </c>
      <c r="R7" s="72">
        <f>Receipts!F67</f>
        <v/>
      </c>
      <c r="T7" s="72">
        <f>O7*C7</f>
        <v/>
      </c>
    </row>
    <row r="8">
      <c r="A8" t="inlineStr">
        <is>
          <t>Colts (unspecified years)</t>
        </is>
      </c>
      <c r="T8" s="72">
        <f>O8*C8</f>
        <v/>
      </c>
    </row>
    <row r="9">
      <c r="A9" t="inlineStr">
        <is>
          <t>Colts (2 years)</t>
        </is>
      </c>
      <c r="T9" s="72">
        <f>O9*C9</f>
        <v/>
      </c>
    </row>
    <row r="10">
      <c r="A10" t="inlineStr">
        <is>
          <t>Colts (1 year)</t>
        </is>
      </c>
      <c r="T10" s="72">
        <f>O10*C10</f>
        <v/>
      </c>
    </row>
    <row r="11">
      <c r="A11" t="inlineStr">
        <is>
          <t>Foals</t>
        </is>
      </c>
      <c r="T11" s="72">
        <f>O11*C11</f>
        <v/>
      </c>
    </row>
    <row r="12">
      <c r="A12" t="inlineStr">
        <is>
          <t>Oxen</t>
        </is>
      </c>
      <c r="B12" t="n">
        <v>32</v>
      </c>
      <c r="C12">
        <f>2+1+1+15</f>
        <v/>
      </c>
      <c r="H12">
        <f>1+7</f>
        <v/>
      </c>
      <c r="I12">
        <f>1</f>
        <v/>
      </c>
      <c r="K12" t="n">
        <v>42</v>
      </c>
      <c r="O12" s="72">
        <f>R12/H12</f>
        <v/>
      </c>
      <c r="R12" s="72">
        <f>Receipts!F68</f>
        <v/>
      </c>
      <c r="T12" s="72">
        <f>O12*C12</f>
        <v/>
      </c>
    </row>
    <row r="13">
      <c r="A13" t="inlineStr">
        <is>
          <t>Bulls</t>
        </is>
      </c>
      <c r="B13" t="n">
        <v>2</v>
      </c>
      <c r="H13" t="n">
        <v>1</v>
      </c>
      <c r="K13" t="n">
        <v>1</v>
      </c>
      <c r="O13" s="72">
        <f>R13/H13</f>
        <v/>
      </c>
      <c r="R13" s="72">
        <f>Receipts!F69</f>
        <v/>
      </c>
      <c r="T13" s="72">
        <f>O13*C13</f>
        <v/>
      </c>
    </row>
    <row r="14">
      <c r="A14" t="inlineStr">
        <is>
          <t>Cows</t>
        </is>
      </c>
      <c r="B14" t="n">
        <v>22</v>
      </c>
      <c r="C14">
        <f>5+1</f>
        <v/>
      </c>
      <c r="H14">
        <f>1+3</f>
        <v/>
      </c>
      <c r="K14" t="n">
        <v>24</v>
      </c>
      <c r="O14" s="72">
        <f>R14/H14</f>
        <v/>
      </c>
      <c r="R14" s="72">
        <f>Receipts!F70</f>
        <v/>
      </c>
      <c r="T14" s="72">
        <f>O14*C14</f>
        <v/>
      </c>
    </row>
    <row r="15">
      <c r="A15" t="inlineStr">
        <is>
          <t>Steers</t>
        </is>
      </c>
      <c r="B15" t="n">
        <v>8</v>
      </c>
      <c r="H15">
        <f>1</f>
        <v/>
      </c>
      <c r="J15">
        <f>2+5</f>
        <v/>
      </c>
      <c r="K15" t="n">
        <v>0</v>
      </c>
      <c r="O15" s="72">
        <f>R15/H15</f>
        <v/>
      </c>
      <c r="R15" s="72">
        <f>Receipts!F71</f>
        <v/>
      </c>
      <c r="T15" s="72">
        <f>O15*C15</f>
        <v/>
      </c>
    </row>
    <row r="16">
      <c r="A16" t="inlineStr">
        <is>
          <t>Bullocks</t>
        </is>
      </c>
      <c r="B16" t="n">
        <v>3</v>
      </c>
      <c r="K16" t="n">
        <v>3</v>
      </c>
      <c r="T16" s="72">
        <f>O16*C16</f>
        <v/>
      </c>
    </row>
    <row r="17">
      <c r="A17" t="inlineStr">
        <is>
          <t>Yearlings</t>
        </is>
      </c>
      <c r="B17" t="n">
        <v>5</v>
      </c>
      <c r="I17" t="n">
        <v>2</v>
      </c>
      <c r="K17" t="n">
        <v>3</v>
      </c>
      <c r="T17" s="72">
        <f>O17*C17</f>
        <v/>
      </c>
    </row>
    <row r="18">
      <c r="A18" t="inlineStr">
        <is>
          <t>Calves</t>
        </is>
      </c>
      <c r="C18">
        <f>21+2</f>
        <v/>
      </c>
      <c r="H18">
        <f>11+2</f>
        <v/>
      </c>
      <c r="K18" t="n">
        <v>6</v>
      </c>
      <c r="O18" s="72">
        <f>R18/H18</f>
        <v/>
      </c>
      <c r="R18" s="72">
        <f>Receipts!F72</f>
        <v/>
      </c>
      <c r="T18" s="72">
        <f>O18*C18</f>
        <v/>
      </c>
    </row>
    <row r="19">
      <c r="A19" t="inlineStr">
        <is>
          <t>Wethers</t>
        </is>
      </c>
      <c r="B19" t="n">
        <v>175</v>
      </c>
      <c r="C19">
        <f>16+28</f>
        <v/>
      </c>
      <c r="H19">
        <f>54+26</f>
        <v/>
      </c>
      <c r="I19">
        <f>40+1</f>
        <v/>
      </c>
      <c r="J19">
        <f>1</f>
        <v/>
      </c>
      <c r="K19" t="n">
        <v>97</v>
      </c>
      <c r="O19" s="72">
        <f>R19/H19</f>
        <v/>
      </c>
      <c r="R19" s="72">
        <f>Receipts!F75+Receipts!F81</f>
        <v/>
      </c>
      <c r="T19" s="72">
        <f>O19*C19</f>
        <v/>
      </c>
    </row>
    <row r="20">
      <c r="A20" t="inlineStr">
        <is>
          <t>Rams</t>
        </is>
      </c>
      <c r="T20" s="72">
        <f>O20*C20</f>
        <v/>
      </c>
    </row>
    <row r="21">
      <c r="A21" t="inlineStr">
        <is>
          <t>Ewes</t>
        </is>
      </c>
      <c r="B21" t="n">
        <v>85</v>
      </c>
      <c r="C21" t="n">
        <v>11</v>
      </c>
      <c r="I21">
        <f>33+5+4</f>
        <v/>
      </c>
      <c r="K21" t="n">
        <v>54</v>
      </c>
      <c r="T21" s="72">
        <f>O21*C21</f>
        <v/>
      </c>
    </row>
    <row r="22">
      <c r="A22" t="inlineStr">
        <is>
          <t>Hoggs</t>
        </is>
      </c>
      <c r="B22" t="n">
        <v>56</v>
      </c>
      <c r="I22">
        <f>29+16+11</f>
        <v/>
      </c>
      <c r="K22" t="n">
        <v>0</v>
      </c>
      <c r="T22" s="72">
        <f>O22*C22</f>
        <v/>
      </c>
    </row>
    <row r="23">
      <c r="A23" t="inlineStr">
        <is>
          <t>Lambs</t>
        </is>
      </c>
      <c r="C23" t="n">
        <v>34</v>
      </c>
      <c r="H23">
        <f>4</f>
        <v/>
      </c>
      <c r="I23">
        <f>33+5</f>
        <v/>
      </c>
      <c r="J23">
        <f>3</f>
        <v/>
      </c>
      <c r="K23" t="n">
        <v>26</v>
      </c>
      <c r="O23" s="72">
        <f>R23/H23</f>
        <v/>
      </c>
      <c r="R23" s="72" t="n">
        <v>0.02</v>
      </c>
      <c r="T23" s="72">
        <f>O23*C23</f>
        <v/>
      </c>
      <c r="U23" t="inlineStr">
        <is>
          <t>taken from lamb price in composite sale</t>
        </is>
      </c>
    </row>
    <row r="24">
      <c r="A24" t="inlineStr">
        <is>
          <t>Boars</t>
        </is>
      </c>
      <c r="B24" t="n">
        <v>1</v>
      </c>
      <c r="K24" t="n">
        <v>1</v>
      </c>
      <c r="T24" s="72">
        <f>O24*C24</f>
        <v/>
      </c>
    </row>
    <row r="25">
      <c r="A25" t="inlineStr">
        <is>
          <t>Sows</t>
        </is>
      </c>
      <c r="B25" t="n">
        <v>2</v>
      </c>
      <c r="K25" t="n">
        <v>2</v>
      </c>
      <c r="T25" s="72">
        <f>O25*C25</f>
        <v/>
      </c>
    </row>
    <row r="26">
      <c r="A26" t="inlineStr">
        <is>
          <t>Pigs</t>
        </is>
      </c>
      <c r="B26" t="n">
        <v>36</v>
      </c>
      <c r="C26" t="n">
        <v>24</v>
      </c>
      <c r="H26" t="n">
        <v>30</v>
      </c>
      <c r="K26" t="n">
        <v>30</v>
      </c>
      <c r="O26" s="72">
        <f>R26/H26</f>
        <v/>
      </c>
      <c r="R26" s="72">
        <f>Receipts!F79</f>
        <v/>
      </c>
      <c r="T26" s="72">
        <f>O26*C26</f>
        <v/>
      </c>
    </row>
    <row r="27">
      <c r="A27" t="inlineStr">
        <is>
          <t>Hoggets</t>
        </is>
      </c>
      <c r="B27" t="n">
        <v>25</v>
      </c>
      <c r="I27">
        <f>1</f>
        <v/>
      </c>
      <c r="J27" t="n">
        <v>24</v>
      </c>
      <c r="K27" t="n">
        <v>0</v>
      </c>
      <c r="T27" s="72">
        <f>O27*C27</f>
        <v/>
      </c>
    </row>
    <row r="28">
      <c r="A28" t="inlineStr">
        <is>
          <t>Piglets</t>
        </is>
      </c>
      <c r="C28">
        <f>18+13</f>
        <v/>
      </c>
      <c r="J28">
        <f>3+1</f>
        <v/>
      </c>
      <c r="K28" t="n">
        <v>27</v>
      </c>
      <c r="T28" s="72">
        <f>O28*C28</f>
        <v/>
      </c>
    </row>
    <row r="29">
      <c r="A29" t="inlineStr">
        <is>
          <t>Swans</t>
        </is>
      </c>
      <c r="T29" s="72">
        <f>O29*C29</f>
        <v/>
      </c>
    </row>
    <row r="30">
      <c r="A30" t="inlineStr">
        <is>
          <t>Peacocks</t>
        </is>
      </c>
      <c r="B30" t="n">
        <v>8</v>
      </c>
      <c r="H30" t="n">
        <v>3</v>
      </c>
      <c r="J30" t="n">
        <v>2</v>
      </c>
      <c r="K30" t="n">
        <v>3</v>
      </c>
      <c r="O30" s="72">
        <f>R30/H30</f>
        <v/>
      </c>
      <c r="R30" s="72">
        <f>Receipts!F78</f>
        <v/>
      </c>
      <c r="T30" s="72">
        <f>O30*C30</f>
        <v/>
      </c>
    </row>
    <row r="31" ht="16" customHeight="1">
      <c r="A31" s="67" t="inlineStr">
        <is>
          <t>Total Value</t>
        </is>
      </c>
      <c r="O31" s="153" t="n"/>
      <c r="R31" s="153">
        <f>SUM(R5:R30)</f>
        <v/>
      </c>
      <c r="T31" s="153">
        <f>SUM(T7:T30)</f>
        <v/>
      </c>
    </row>
    <row r="32"/>
    <row r="33"/>
    <row r="34" ht="17" customHeight="1">
      <c r="A34" s="66" t="inlineStr">
        <is>
          <t>Wool</t>
        </is>
      </c>
    </row>
    <row r="35">
      <c r="A35" t="inlineStr">
        <is>
          <t>Coarse wool</t>
        </is>
      </c>
      <c r="C35" t="n">
        <v>158</v>
      </c>
      <c r="J35">
        <f>13+1+144</f>
        <v/>
      </c>
      <c r="O35" s="72" t="n">
        <v>0.02</v>
      </c>
      <c r="T35">
        <f>O35*J35</f>
        <v/>
      </c>
    </row>
    <row r="36">
      <c r="A36" t="inlineStr">
        <is>
          <t>Lamb's wool</t>
        </is>
      </c>
    </row>
    <row r="37">
      <c r="A37" t="inlineStr">
        <is>
          <t>Wool locks</t>
        </is>
      </c>
    </row>
    <row r="38">
      <c r="A38" t="inlineStr">
        <is>
          <t>Wool sold at shearing</t>
        </is>
      </c>
    </row>
    <row r="39" ht="16" customHeight="1">
      <c r="A39" s="67" t="inlineStr">
        <is>
          <t>Total wool</t>
        </is>
      </c>
      <c r="O39" s="153" t="n"/>
      <c r="R39" s="153" t="n"/>
      <c r="T39" s="39">
        <f>SUM(T35:T38)</f>
        <v/>
      </c>
    </row>
    <row r="40"/>
    <row r="41"/>
    <row r="42" ht="17" customHeight="1">
      <c r="A42" s="66" t="inlineStr">
        <is>
          <t>Hides</t>
        </is>
      </c>
    </row>
    <row r="43">
      <c r="A43" t="inlineStr">
        <is>
          <t>Ox hides</t>
        </is>
      </c>
    </row>
    <row r="44">
      <c r="A44" t="inlineStr">
        <is>
          <t>Mare</t>
        </is>
      </c>
    </row>
    <row r="45">
      <c r="A45" t="inlineStr">
        <is>
          <t>Steer</t>
        </is>
      </c>
    </row>
    <row r="46">
      <c r="A46" t="inlineStr">
        <is>
          <t>calves</t>
        </is>
      </c>
    </row>
    <row r="47">
      <c r="A47" s="68" t="inlineStr">
        <is>
          <t>pigs</t>
        </is>
      </c>
    </row>
    <row r="48">
      <c r="A48" t="inlineStr">
        <is>
          <t>Woolskins</t>
        </is>
      </c>
    </row>
    <row r="49">
      <c r="A49" s="28" t="inlineStr">
        <is>
          <t>wethers</t>
        </is>
      </c>
      <c r="C49" t="n">
        <v>94</v>
      </c>
    </row>
    <row r="50">
      <c r="A50" s="28" t="inlineStr">
        <is>
          <t>rams</t>
        </is>
      </c>
    </row>
    <row r="51">
      <c r="A51" s="28" t="inlineStr">
        <is>
          <t>ewes</t>
        </is>
      </c>
      <c r="C51" t="n">
        <v>34</v>
      </c>
    </row>
    <row r="52">
      <c r="A52" s="28" t="inlineStr">
        <is>
          <t>hoggs</t>
        </is>
      </c>
      <c r="C52" t="n">
        <v>29</v>
      </c>
    </row>
    <row r="53">
      <c r="A53" s="69" t="inlineStr">
        <is>
          <t>Woolskins</t>
        </is>
      </c>
      <c r="C53">
        <f>SUM(C49:C52)</f>
        <v/>
      </c>
      <c r="H53" t="n">
        <v>146</v>
      </c>
      <c r="I53" t="n">
        <v>47</v>
      </c>
      <c r="J53">
        <f>11</f>
        <v/>
      </c>
      <c r="O53" s="72">
        <f>R53/H53</f>
        <v/>
      </c>
      <c r="R53" s="72">
        <f>Receipts!F76</f>
        <v/>
      </c>
      <c r="T53" s="72">
        <f>O53*C53</f>
        <v/>
      </c>
    </row>
    <row r="54">
      <c r="A54" s="43" t="inlineStr">
        <is>
          <t>Bareskins</t>
        </is>
      </c>
      <c r="T54" s="72">
        <f>O54*C54</f>
        <v/>
      </c>
    </row>
    <row r="55">
      <c r="A55" s="28" t="inlineStr">
        <is>
          <t>wethers</t>
        </is>
      </c>
      <c r="C55" t="n">
        <v>1</v>
      </c>
      <c r="H55" t="n">
        <v>1</v>
      </c>
      <c r="O55" s="72">
        <f>R55/(H55+H57+H60)</f>
        <v/>
      </c>
      <c r="R55" s="72">
        <f>Receipts!F77</f>
        <v/>
      </c>
      <c r="T55" s="72">
        <f>O55*C55</f>
        <v/>
      </c>
    </row>
    <row r="56">
      <c r="A56" s="28" t="inlineStr">
        <is>
          <t>rams</t>
        </is>
      </c>
      <c r="T56" s="72">
        <f>O56*C56</f>
        <v/>
      </c>
    </row>
    <row r="57">
      <c r="A57" s="28" t="inlineStr">
        <is>
          <t>ewes</t>
        </is>
      </c>
      <c r="C57" t="n">
        <v>5</v>
      </c>
      <c r="H57" t="n">
        <v>5</v>
      </c>
      <c r="O57" s="72">
        <f>R57/(H57+H59+H62)</f>
        <v/>
      </c>
      <c r="R57" s="72">
        <f>Receipts!F77</f>
        <v/>
      </c>
      <c r="T57" s="72">
        <f>O57*C57</f>
        <v/>
      </c>
    </row>
    <row r="58">
      <c r="A58" s="28" t="inlineStr">
        <is>
          <t>hoggs</t>
        </is>
      </c>
      <c r="T58" s="72">
        <f>O58*C58</f>
        <v/>
      </c>
    </row>
    <row r="59">
      <c r="A59" s="69" t="inlineStr">
        <is>
          <t>Bareskins (total)</t>
        </is>
      </c>
      <c r="T59" s="72">
        <f>O59*C59</f>
        <v/>
      </c>
    </row>
    <row r="60">
      <c r="A60" t="inlineStr">
        <is>
          <t>Lambskins</t>
        </is>
      </c>
      <c r="C60" t="n">
        <v>5</v>
      </c>
      <c r="H60" t="n">
        <v>5</v>
      </c>
      <c r="O60" s="72">
        <f>R60/(H60+H62+H65)</f>
        <v/>
      </c>
      <c r="R60" s="72">
        <f>Receipts!F77</f>
        <v/>
      </c>
      <c r="T60" s="72">
        <f>O60*C60</f>
        <v/>
      </c>
    </row>
    <row r="61">
      <c r="A61" t="inlineStr">
        <is>
          <t>Rotted skins</t>
        </is>
      </c>
      <c r="T61" s="72" t="n"/>
    </row>
    <row r="62">
      <c r="A62" t="inlineStr">
        <is>
          <t>Shorn skins</t>
        </is>
      </c>
      <c r="T62" s="72" t="n"/>
    </row>
    <row r="63">
      <c r="A63" s="39" t="inlineStr">
        <is>
          <t xml:space="preserve">Total </t>
        </is>
      </c>
      <c r="O63" s="153" t="n"/>
      <c r="R63" s="153">
        <f>SUM(R44:R62)</f>
        <v/>
      </c>
      <c r="T63" s="153">
        <f>SUM(T53:T60)</f>
        <v/>
      </c>
    </row>
    <row r="64"/>
    <row r="65"/>
    <row r="66" ht="17" customHeight="1">
      <c r="A66" s="66" t="inlineStr">
        <is>
          <t>Poultry stock</t>
        </is>
      </c>
    </row>
    <row r="67" ht="16" customHeight="1">
      <c r="A67" s="44" t="inlineStr">
        <is>
          <t>Hens</t>
        </is>
      </c>
    </row>
    <row r="68">
      <c r="A68" t="inlineStr">
        <is>
          <t>Geese</t>
        </is>
      </c>
      <c r="C68" t="n">
        <v>40</v>
      </c>
      <c r="H68" t="n">
        <v>40</v>
      </c>
      <c r="O68" s="72">
        <f>R68/H68</f>
        <v/>
      </c>
      <c r="R68" s="72">
        <f>Receipts!F55</f>
        <v/>
      </c>
      <c r="T68">
        <f>O68*C68</f>
        <v/>
      </c>
    </row>
    <row r="69">
      <c r="A69" t="inlineStr">
        <is>
          <t>Chickens</t>
        </is>
      </c>
      <c r="C69" t="n">
        <v>80</v>
      </c>
      <c r="H69" t="n">
        <v>80</v>
      </c>
      <c r="O69" s="72">
        <f>R69/H69</f>
        <v/>
      </c>
      <c r="R69" s="72">
        <f>Receipts!F56</f>
        <v/>
      </c>
      <c r="T69">
        <f>O69*C69</f>
        <v/>
      </c>
    </row>
    <row r="70">
      <c r="A70" t="inlineStr">
        <is>
          <t>Cocks &amp; hens</t>
        </is>
      </c>
    </row>
    <row r="71">
      <c r="A71" s="39" t="inlineStr">
        <is>
          <t>Total poultry stock</t>
        </is>
      </c>
      <c r="O71" s="153" t="n"/>
      <c r="R71" s="153">
        <f>SUM(R67:R70)</f>
        <v/>
      </c>
      <c r="T71" s="39">
        <f>SUM(T68:T70)</f>
        <v/>
      </c>
    </row>
    <row r="72">
      <c r="A72" s="71" t="inlineStr">
        <is>
          <t>Total poultry excluding churchscot</t>
        </is>
      </c>
    </row>
    <row r="73"/>
    <row r="74" ht="16" customHeight="1">
      <c r="A74" s="12" t="inlineStr">
        <is>
          <t>Poultry production</t>
        </is>
      </c>
    </row>
    <row r="75">
      <c r="A75" t="inlineStr">
        <is>
          <t>Eggs</t>
        </is>
      </c>
      <c r="C75" t="n">
        <v>303</v>
      </c>
      <c r="H75" t="n">
        <v>303</v>
      </c>
      <c r="O75" s="72">
        <f>R75/H75</f>
        <v/>
      </c>
      <c r="R75" s="72">
        <f>Receipts!F57</f>
        <v/>
      </c>
      <c r="T75">
        <f>O75*C75</f>
        <v/>
      </c>
    </row>
    <row r="76">
      <c r="A76" t="inlineStr">
        <is>
          <t>Cocks &amp; hens from churchscot of customary tenants</t>
        </is>
      </c>
    </row>
    <row r="77">
      <c r="A77" t="inlineStr">
        <is>
          <t>Sum of above</t>
        </is>
      </c>
    </row>
    <row r="78">
      <c r="A78" s="39" t="inlineStr">
        <is>
          <t>Total</t>
        </is>
      </c>
      <c r="O78" s="153" t="n"/>
      <c r="R78" s="153">
        <f>SUM(R75:R77)</f>
        <v/>
      </c>
      <c r="T78" s="39">
        <f>SUM(T75:T77)</f>
        <v/>
      </c>
    </row>
    <row r="79"/>
    <row r="80"/>
    <row r="81" ht="16" customHeight="1">
      <c r="A81" s="12" t="inlineStr">
        <is>
          <t>Meat</t>
        </is>
      </c>
    </row>
    <row r="82">
      <c r="A82" t="inlineStr">
        <is>
          <t>Beef</t>
        </is>
      </c>
    </row>
    <row r="83">
      <c r="A83" t="inlineStr">
        <is>
          <t>Mutton</t>
        </is>
      </c>
    </row>
    <row r="84">
      <c r="A84" t="inlineStr">
        <is>
          <t>Pork</t>
        </is>
      </c>
    </row>
    <row r="85" ht="16" customHeight="1">
      <c r="A85" s="57" t="inlineStr">
        <is>
          <t xml:space="preserve">Total </t>
        </is>
      </c>
    </row>
    <row r="86"/>
    <row r="87" ht="16" customHeight="1">
      <c r="A87" s="12" t="inlineStr">
        <is>
          <t>Cheese</t>
        </is>
      </c>
    </row>
    <row r="88">
      <c r="A88" t="inlineStr">
        <is>
          <t>Winter cheese</t>
        </is>
      </c>
      <c r="C88" t="n">
        <v>41</v>
      </c>
      <c r="H88" t="n">
        <v>41</v>
      </c>
      <c r="O88" s="72">
        <f>R88/H88</f>
        <v/>
      </c>
      <c r="R88" s="72">
        <f>Receipts!F45</f>
        <v/>
      </c>
      <c r="T88" s="72">
        <f>O88*C88</f>
        <v/>
      </c>
    </row>
    <row r="89">
      <c r="A89" t="inlineStr">
        <is>
          <t>Summer cheese</t>
        </is>
      </c>
      <c r="C89" t="n">
        <v>158</v>
      </c>
      <c r="H89" t="n">
        <v>142</v>
      </c>
      <c r="I89">
        <f>15+1</f>
        <v/>
      </c>
      <c r="O89" s="72">
        <f>R89/H89</f>
        <v/>
      </c>
      <c r="R89" s="72">
        <f>Receipts!F46</f>
        <v/>
      </c>
      <c r="T89" s="72">
        <f>O89*C89</f>
        <v/>
      </c>
    </row>
    <row r="90" ht="16" customHeight="1">
      <c r="A90" s="67" t="inlineStr">
        <is>
          <t>Total</t>
        </is>
      </c>
      <c r="O90" s="153" t="n"/>
      <c r="R90" s="153">
        <f>SUM(R88:R89)</f>
        <v/>
      </c>
      <c r="T90" s="153">
        <f>SUM(T88:T89)</f>
        <v/>
      </c>
    </row>
    <row r="91"/>
    <row r="92" ht="16" customHeight="1">
      <c r="A92" s="12" t="inlineStr">
        <is>
          <t>Butter</t>
        </is>
      </c>
    </row>
    <row r="93">
      <c r="A93" t="inlineStr">
        <is>
          <t>Butter</t>
        </is>
      </c>
      <c r="C93" t="n">
        <v>17</v>
      </c>
      <c r="H93" t="n">
        <v>17</v>
      </c>
      <c r="R93" s="72">
        <f>Receipts!F47</f>
        <v/>
      </c>
      <c r="T93" s="72">
        <f>R93</f>
        <v/>
      </c>
    </row>
    <row r="94" ht="16" customHeight="1">
      <c r="A94" s="67" t="inlineStr">
        <is>
          <t>Total</t>
        </is>
      </c>
      <c r="O94" s="153" t="n"/>
      <c r="R94" s="153">
        <f>R93</f>
        <v/>
      </c>
      <c r="T94" s="153">
        <f>SUM(T93)</f>
        <v/>
      </c>
    </row>
    <row r="95" ht="16" customHeight="1">
      <c r="A95" s="13" t="n"/>
    </row>
    <row r="96" ht="16" customHeight="1">
      <c r="A96" s="57" t="inlineStr">
        <is>
          <t>Total Dairy Sales</t>
        </is>
      </c>
    </row>
    <row r="97"/>
    <row r="98"/>
    <row r="99" ht="16" customHeight="1">
      <c r="A99" s="12" t="inlineStr">
        <is>
          <t>Honey</t>
        </is>
      </c>
    </row>
    <row r="100">
      <c r="A100" t="inlineStr">
        <is>
          <t>Honey</t>
        </is>
      </c>
      <c r="R100" s="72">
        <f>Receipts!F48</f>
        <v/>
      </c>
      <c r="T100" s="72">
        <f>R100</f>
        <v/>
      </c>
    </row>
    <row r="101">
      <c r="A101" s="39" t="inlineStr">
        <is>
          <t>Total</t>
        </is>
      </c>
      <c r="O101" s="153" t="n"/>
      <c r="R101" s="153">
        <f>R100</f>
        <v/>
      </c>
      <c r="T101" s="153">
        <f>SUM(T100)</f>
        <v/>
      </c>
    </row>
    <row r="102"/>
    <row r="103" ht="16" customHeight="1">
      <c r="A103" s="13" t="inlineStr">
        <is>
          <t>Additional Information (not necessarily useful)</t>
        </is>
      </c>
    </row>
    <row r="104" ht="16" customHeight="1">
      <c r="A104" s="12" t="inlineStr">
        <is>
          <t>Utensils</t>
        </is>
      </c>
    </row>
    <row r="105">
      <c r="A105" t="inlineStr">
        <is>
          <t>ploughs</t>
        </is>
      </c>
    </row>
    <row r="106">
      <c r="A106" t="inlineStr">
        <is>
          <t>carts</t>
        </is>
      </c>
    </row>
    <row r="107">
      <c r="A107" t="inlineStr">
        <is>
          <t>cart-ropes</t>
        </is>
      </c>
    </row>
    <row r="108">
      <c r="A108" t="inlineStr">
        <is>
          <t>corn baskets</t>
        </is>
      </c>
    </row>
    <row r="109">
      <c r="A109" t="inlineStr">
        <is>
          <t>seed-sacks</t>
        </is>
      </c>
    </row>
    <row r="110">
      <c r="A110" t="inlineStr">
        <is>
          <t>seed basket</t>
        </is>
      </c>
    </row>
    <row r="111">
      <c r="A111" t="inlineStr">
        <is>
          <t>locks for the doors</t>
        </is>
      </c>
    </row>
    <row r="112">
      <c r="A112" t="inlineStr">
        <is>
          <t>lead vessel</t>
        </is>
      </c>
    </row>
    <row r="113">
      <c r="A113" t="inlineStr">
        <is>
          <t>brass pots</t>
        </is>
      </c>
    </row>
    <row r="114">
      <c r="A114" t="inlineStr">
        <is>
          <t>pans</t>
        </is>
      </c>
    </row>
    <row r="115">
      <c r="A115" t="inlineStr">
        <is>
          <t>tripods</t>
        </is>
      </c>
    </row>
    <row r="116">
      <c r="A116" t="inlineStr">
        <is>
          <t>mortar</t>
        </is>
      </c>
    </row>
    <row r="117">
      <c r="A117" t="inlineStr">
        <is>
          <t>axe</t>
        </is>
      </c>
    </row>
    <row r="118">
      <c r="A118" t="inlineStr">
        <is>
          <t>casks</t>
        </is>
      </c>
    </row>
    <row r="119">
      <c r="A119" t="inlineStr">
        <is>
          <t>tubs</t>
        </is>
      </c>
    </row>
    <row r="120">
      <c r="A120" t="inlineStr">
        <is>
          <t>troughs</t>
        </is>
      </c>
    </row>
    <row r="121">
      <c r="A121" t="inlineStr">
        <is>
          <t>bucket</t>
        </is>
      </c>
    </row>
    <row r="122">
      <c r="A122" t="inlineStr">
        <is>
          <t>cheese basket</t>
        </is>
      </c>
    </row>
    <row r="123">
      <c r="A123" t="inlineStr">
        <is>
          <t>tables</t>
        </is>
      </c>
    </row>
    <row r="124">
      <c r="A124" t="inlineStr">
        <is>
          <t>table with trestles</t>
        </is>
      </c>
    </row>
    <row r="125">
      <c r="A125" t="inlineStr">
        <is>
          <t>benches</t>
        </is>
      </c>
    </row>
    <row r="126">
      <c r="A126" t="inlineStr">
        <is>
          <t>ewer with a basin</t>
        </is>
      </c>
    </row>
    <row r="127">
      <c r="A127" t="inlineStr">
        <is>
          <t>ladders</t>
        </is>
      </c>
    </row>
    <row r="128">
      <c r="A128" t="inlineStr">
        <is>
          <t>cloth</t>
        </is>
      </c>
    </row>
    <row r="129">
      <c r="A129"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AJ263"/>
  <sheetViews>
    <sheetView topLeftCell="A1" workbookViewId="0">
      <selection activeCell="A1" sqref="A1"/>
    </sheetView>
  </sheetViews>
  <sheetFormatPr baseColWidth="8" defaultRowHeight="15"/>
  <cols>
    <col width="35.33203125" customWidth="1" min="1" max="1"/>
  </cols>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shilling a quarter 1</t>
        </is>
      </c>
      <c r="V1" s="1" t="inlineStr">
        <is>
          <t>pence a quarter 1</t>
        </is>
      </c>
      <c r="W1" s="1" t="inlineStr">
        <is>
          <t>shilling a quarter 2</t>
        </is>
      </c>
      <c r="X1" s="1" t="inlineStr">
        <is>
          <t>pence a quarter 2</t>
        </is>
      </c>
      <c r="Y1" s="1" t="inlineStr">
        <is>
          <t>shilling a quarter 3</t>
        </is>
      </c>
      <c r="Z1" s="1" t="inlineStr">
        <is>
          <t>pence a quarter 3</t>
        </is>
      </c>
      <c r="AA1" s="1" t="inlineStr">
        <is>
          <t>shilling a quarter 4</t>
        </is>
      </c>
      <c r="AB1" s="1" t="inlineStr">
        <is>
          <t>pence a quarter 4</t>
        </is>
      </c>
      <c r="AC1" s="1" t="inlineStr">
        <is>
          <t>shilling a bushel 1</t>
        </is>
      </c>
      <c r="AD1" s="1" t="inlineStr">
        <is>
          <t>pence a bushel 1</t>
        </is>
      </c>
      <c r="AE1" s="1" t="inlineStr">
        <is>
          <t>shilling a bushel 2</t>
        </is>
      </c>
      <c r="AF1" s="1" t="inlineStr">
        <is>
          <t>pence a bushel 2</t>
        </is>
      </c>
      <c r="AG1" s="1" t="inlineStr">
        <is>
          <t>shilling a bushel 3</t>
        </is>
      </c>
      <c r="AH1" s="1" t="inlineStr">
        <is>
          <t>pence a bushel 3</t>
        </is>
      </c>
      <c r="AI1" s="1" t="inlineStr">
        <is>
          <t>shilling a bushel 4</t>
        </is>
      </c>
      <c r="AJ1" s="1" t="inlineStr">
        <is>
          <t>pence a bushel 4</t>
        </is>
      </c>
    </row>
    <row r="2">
      <c r="A2" t="inlineStr">
        <is>
          <t>Arrears</t>
        </is>
      </c>
      <c r="B2" t="inlineStr">
        <is>
          <t>William, bailiff, and William, reeve, render account for £2 5 shilling 1pence of arrears from the previous year.</t>
        </is>
      </c>
      <c r="C2" t="n">
        <v>2.25</v>
      </c>
      <c r="D2" t="n">
        <v>2</v>
      </c>
      <c r="E2" t="n">
        <v>5</v>
      </c>
      <c r="F2" t="n">
        <v>1</v>
      </c>
      <c r="H2" t="n">
        <v>0</v>
      </c>
      <c r="I2" t="n">
        <v>0</v>
      </c>
      <c r="J2" t="n">
        <v>0</v>
      </c>
      <c r="K2" t="n">
        <v>0</v>
      </c>
      <c r="L2" t="n">
        <v>0</v>
      </c>
      <c r="M2" t="n">
        <v>0</v>
      </c>
      <c r="N2" t="n">
        <v>0</v>
      </c>
    </row>
    <row r="3">
      <c r="A3" t="inlineStr">
        <is>
          <t>Arrears</t>
        </is>
      </c>
      <c r="B3" t="inlineStr">
        <is>
          <t>Delivered to Sir Geoffrey, treasurer of Wolvesey, £2 5 shilling 1pence by 1 tally.</t>
        </is>
      </c>
      <c r="C3" t="n">
        <v>2.25</v>
      </c>
      <c r="D3" t="n">
        <v>2</v>
      </c>
      <c r="E3" t="n">
        <v>5</v>
      </c>
      <c r="F3" t="n">
        <v>1</v>
      </c>
      <c r="H3" t="n">
        <v>0</v>
      </c>
      <c r="I3" t="n">
        <v>0</v>
      </c>
      <c r="J3" t="n">
        <v>0</v>
      </c>
      <c r="K3" t="n">
        <v>0</v>
      </c>
      <c r="L3" t="n">
        <v>0</v>
      </c>
      <c r="M3" t="n">
        <v>0</v>
      </c>
      <c r="N3" t="n">
        <v>0</v>
      </c>
    </row>
    <row r="4">
      <c r="A4" t="inlineStr">
        <is>
          <t>Arrears</t>
        </is>
      </c>
      <c r="B4" t="inlineStr">
        <is>
          <t>They are quit.</t>
        </is>
      </c>
      <c r="C4" t="n">
        <v>0</v>
      </c>
      <c r="D4" t="n">
        <v>0</v>
      </c>
      <c r="E4" t="n">
        <v>0</v>
      </c>
      <c r="F4" t="n">
        <v>0</v>
      </c>
      <c r="H4" t="n">
        <v>0</v>
      </c>
      <c r="I4" t="n">
        <v>0</v>
      </c>
      <c r="J4" t="n">
        <v>0</v>
      </c>
      <c r="K4" t="n">
        <v>0</v>
      </c>
      <c r="L4" t="n">
        <v>0</v>
      </c>
      <c r="M4" t="n">
        <v>0</v>
      </c>
      <c r="N4" t="n">
        <v>0</v>
      </c>
    </row>
    <row r="5">
      <c r="A5" t="inlineStr">
        <is>
          <t>Rents of assize</t>
        </is>
      </c>
      <c r="B5" t="inlineStr">
        <is>
          <t>The same render account for £6 9 shilling 10.5pence for all rents of assize at Christmas.</t>
        </is>
      </c>
      <c r="C5" t="n">
        <v>6.49</v>
      </c>
      <c r="D5" t="n">
        <v>6</v>
      </c>
      <c r="E5" t="n">
        <v>9</v>
      </c>
      <c r="F5" t="n">
        <v>10.5</v>
      </c>
      <c r="H5" t="n">
        <v>0</v>
      </c>
      <c r="I5" t="n">
        <v>0</v>
      </c>
      <c r="J5" t="n">
        <v>0</v>
      </c>
      <c r="K5" t="n">
        <v>0</v>
      </c>
      <c r="L5" t="n">
        <v>0</v>
      </c>
      <c r="M5" t="n">
        <v>0</v>
      </c>
      <c r="N5" t="n">
        <v>0</v>
      </c>
    </row>
    <row r="6">
      <c r="A6" t="inlineStr">
        <is>
          <t>Rents of assize</t>
        </is>
      </c>
      <c r="B6" t="inlineStr">
        <is>
          <t>£6 9 shilling 10.5pence at the Annunciation (25 March).</t>
        </is>
      </c>
      <c r="C6" t="n">
        <v>6.49</v>
      </c>
      <c r="D6" t="n">
        <v>6</v>
      </c>
      <c r="E6" t="n">
        <v>9</v>
      </c>
      <c r="F6" t="n">
        <v>10.5</v>
      </c>
      <c r="H6" t="n">
        <v>0</v>
      </c>
      <c r="I6" t="n">
        <v>0</v>
      </c>
      <c r="J6" t="n">
        <v>0</v>
      </c>
      <c r="K6" t="n">
        <v>0</v>
      </c>
      <c r="L6" t="n">
        <v>0</v>
      </c>
      <c r="M6" t="n">
        <v>0</v>
      </c>
      <c r="N6" t="n">
        <v>0</v>
      </c>
    </row>
    <row r="7">
      <c r="A7" t="inlineStr">
        <is>
          <t>Rents of assize</t>
        </is>
      </c>
      <c r="B7" t="inlineStr">
        <is>
          <t>£6 9 shilling 10.5pence at the Nativity of the blessed John the Baptist (24 June).</t>
        </is>
      </c>
      <c r="C7" t="n">
        <v>6.49</v>
      </c>
      <c r="D7" t="n">
        <v>6</v>
      </c>
      <c r="E7" t="n">
        <v>9</v>
      </c>
      <c r="F7" t="n">
        <v>10.5</v>
      </c>
      <c r="H7" t="n">
        <v>0</v>
      </c>
      <c r="I7" t="n">
        <v>0</v>
      </c>
      <c r="J7" t="n">
        <v>0</v>
      </c>
      <c r="K7" t="n">
        <v>0</v>
      </c>
      <c r="L7" t="n">
        <v>0</v>
      </c>
      <c r="M7" t="n">
        <v>0</v>
      </c>
      <c r="N7" t="n">
        <v>0</v>
      </c>
    </row>
    <row r="8">
      <c r="A8" t="inlineStr">
        <is>
          <t>Rents of assize</t>
        </is>
      </c>
      <c r="B8" t="inlineStr">
        <is>
          <t>£6 9 shilling 10.75pence at Michaelmas (29 September).</t>
        </is>
      </c>
      <c r="C8" t="n">
        <v>6.49</v>
      </c>
      <c r="D8" t="n">
        <v>6</v>
      </c>
      <c r="E8" t="n">
        <v>9</v>
      </c>
      <c r="F8" t="n">
        <v>10.75</v>
      </c>
      <c r="H8" t="n">
        <v>0</v>
      </c>
      <c r="I8" t="n">
        <v>0</v>
      </c>
      <c r="J8" t="n">
        <v>0</v>
      </c>
      <c r="K8" t="n">
        <v>0</v>
      </c>
      <c r="L8" t="n">
        <v>0</v>
      </c>
      <c r="M8" t="n">
        <v>0</v>
      </c>
      <c r="N8" t="n">
        <v>0</v>
      </c>
    </row>
    <row r="9">
      <c r="A9" t="inlineStr">
        <is>
          <t>Rents of assize</t>
        </is>
      </c>
      <c r="B9" t="inlineStr">
        <is>
          <t>Total of all rents for the year, £25 19 shilling 6.25pence</t>
        </is>
      </c>
      <c r="C9" t="n">
        <v>25.98</v>
      </c>
      <c r="D9" t="n">
        <v>25</v>
      </c>
      <c r="E9" t="n">
        <v>19</v>
      </c>
      <c r="F9" t="n">
        <v>6.25</v>
      </c>
      <c r="H9" t="n">
        <v>0</v>
      </c>
      <c r="I9" t="n">
        <v>0</v>
      </c>
      <c r="J9" t="n">
        <v>0</v>
      </c>
      <c r="K9" t="n">
        <v>0</v>
      </c>
      <c r="L9" t="n">
        <v>0</v>
      </c>
      <c r="M9" t="n">
        <v>0</v>
      </c>
      <c r="N9" t="n">
        <v>0</v>
      </c>
    </row>
    <row r="10">
      <c r="A10" t="inlineStr">
        <is>
          <t>Quittances</t>
        </is>
      </c>
      <c r="B10" t="inlineStr">
        <is>
          <t>In quittance of 1 reeve for the year 5 shilling.</t>
        </is>
      </c>
      <c r="C10" t="n">
        <v>0.25</v>
      </c>
      <c r="D10" t="n">
        <v>0</v>
      </c>
      <c r="E10" t="n">
        <v>5</v>
      </c>
      <c r="F10" t="n">
        <v>0</v>
      </c>
      <c r="H10" t="n">
        <v>0</v>
      </c>
      <c r="I10" t="n">
        <v>0</v>
      </c>
      <c r="J10" t="n">
        <v>0</v>
      </c>
      <c r="K10" t="n">
        <v>0</v>
      </c>
      <c r="L10" t="n">
        <v>0</v>
      </c>
      <c r="M10" t="n">
        <v>0</v>
      </c>
      <c r="N10" t="n">
        <v>0</v>
      </c>
    </row>
    <row r="11">
      <c r="A11" t="inlineStr">
        <is>
          <t>Quittances</t>
        </is>
      </c>
      <c r="B11" t="inlineStr">
        <is>
          <t>1 beadle who is hayward and sowed corn for the year 2 shilling.</t>
        </is>
      </c>
      <c r="C11" t="n">
        <v>0.1</v>
      </c>
      <c r="D11" t="n">
        <v>0</v>
      </c>
      <c r="E11" t="n">
        <v>2</v>
      </c>
      <c r="F11" t="n">
        <v>0</v>
      </c>
      <c r="H11" t="n">
        <v>0</v>
      </c>
      <c r="I11" t="n">
        <v>0</v>
      </c>
      <c r="J11" t="n">
        <v>0</v>
      </c>
      <c r="K11" t="n">
        <v>0</v>
      </c>
      <c r="L11" t="n">
        <v>0</v>
      </c>
      <c r="M11" t="n">
        <v>0</v>
      </c>
      <c r="N11" t="n">
        <v>0</v>
      </c>
    </row>
    <row r="12">
      <c r="A12" t="inlineStr">
        <is>
          <t>Quittances</t>
        </is>
      </c>
      <c r="B12" t="inlineStr">
        <is>
          <t>1 forester who kept Cherlewod' and Cumbe for the year 2 shilling 2pence.</t>
        </is>
      </c>
      <c r="C12" t="n">
        <v>0.11</v>
      </c>
      <c r="D12" t="n">
        <v>0</v>
      </c>
      <c r="E12" t="n">
        <v>2</v>
      </c>
      <c r="F12" t="n">
        <v>2</v>
      </c>
      <c r="H12" t="n">
        <v>0</v>
      </c>
      <c r="I12" t="n">
        <v>0</v>
      </c>
      <c r="J12" t="n">
        <v>0</v>
      </c>
      <c r="K12" t="n">
        <v>0</v>
      </c>
      <c r="L12" t="n">
        <v>0</v>
      </c>
      <c r="M12" t="n">
        <v>0</v>
      </c>
      <c r="N12" t="n">
        <v>0</v>
      </c>
    </row>
    <row r="13">
      <c r="A13" t="inlineStr">
        <is>
          <t>Quittances</t>
        </is>
      </c>
      <c r="B13" t="inlineStr">
        <is>
          <t>1 swineherd for the year 2 shilling.</t>
        </is>
      </c>
      <c r="C13" t="n">
        <v>0.1</v>
      </c>
      <c r="D13" t="n">
        <v>0</v>
      </c>
      <c r="E13" t="n">
        <v>2</v>
      </c>
      <c r="F13" t="n">
        <v>0</v>
      </c>
      <c r="H13" t="n">
        <v>0</v>
      </c>
      <c r="I13" t="n">
        <v>0</v>
      </c>
      <c r="J13" t="n">
        <v>0</v>
      </c>
      <c r="K13" t="n">
        <v>0</v>
      </c>
      <c r="L13" t="n">
        <v>0</v>
      </c>
      <c r="M13" t="n">
        <v>0</v>
      </c>
      <c r="N13" t="n">
        <v>0</v>
      </c>
    </row>
    <row r="14">
      <c r="A14" t="inlineStr">
        <is>
          <t>Quittances</t>
        </is>
      </c>
      <c r="B14" t="inlineStr">
        <is>
          <t>5 of the lord's ploughmen for the year 15 shilling, or 3 shilling each.</t>
        </is>
      </c>
      <c r="C14" t="n">
        <v>0.75</v>
      </c>
      <c r="D14" t="n">
        <v>0</v>
      </c>
      <c r="E14" t="n">
        <v>15</v>
      </c>
      <c r="F14" t="n">
        <v>0</v>
      </c>
      <c r="H14" t="n">
        <v>0</v>
      </c>
      <c r="I14" t="n">
        <v>0</v>
      </c>
      <c r="J14" t="n">
        <v>0</v>
      </c>
      <c r="K14" t="n">
        <v>0</v>
      </c>
      <c r="L14" t="n">
        <v>0</v>
      </c>
      <c r="M14" t="n">
        <v>0</v>
      </c>
      <c r="N14" t="n">
        <v>0</v>
      </c>
    </row>
    <row r="15">
      <c r="A15" t="inlineStr">
        <is>
          <t>Quittances</t>
        </is>
      </c>
      <c r="B15" t="inlineStr">
        <is>
          <t>4 workers working every day apart from Saturday from Michaelmas until Christmas who, together with the cart-horses of the curia, harrowed lands for wheat and drained water from the same, 3 shilling 10pence, of whom I was quit of 1 shilling 3pence, 1 of 1 shilling, 1 of 10pence, and 1 of 9pence.</t>
        </is>
      </c>
      <c r="C15" t="n">
        <v>0.19</v>
      </c>
      <c r="D15" t="n">
        <v>0</v>
      </c>
      <c r="E15" t="n">
        <v>3</v>
      </c>
      <c r="F15" t="n">
        <v>10</v>
      </c>
      <c r="G15" t="inlineStr">
        <is>
          <t>wheat</t>
        </is>
      </c>
      <c r="H15" t="n">
        <v>0</v>
      </c>
      <c r="I15" t="n">
        <v>0</v>
      </c>
      <c r="J15" t="n">
        <v>0</v>
      </c>
      <c r="K15" t="n">
        <v>0</v>
      </c>
      <c r="L15" t="n">
        <v>0</v>
      </c>
      <c r="M15" t="n">
        <v>0</v>
      </c>
      <c r="N15" t="n">
        <v>0</v>
      </c>
    </row>
    <row r="16">
      <c r="A16" t="inlineStr">
        <is>
          <t>Quittances</t>
        </is>
      </c>
      <c r="B16" t="inlineStr">
        <is>
          <t>4 workers working the same between Christmas and the Annunciation who, together with the cart-horses of the curia, harrowed lands for oats, 3 shilling 10pence, of whom 3 were each quit of 1 shilling, and 1 of 10pence.</t>
        </is>
      </c>
      <c r="C16" t="n">
        <v>0.19</v>
      </c>
      <c r="D16" t="n">
        <v>0</v>
      </c>
      <c r="E16" t="n">
        <v>3</v>
      </c>
      <c r="F16" t="n">
        <v>10</v>
      </c>
      <c r="G16" t="inlineStr">
        <is>
          <t>oats</t>
        </is>
      </c>
      <c r="H16" t="n">
        <v>0</v>
      </c>
      <c r="I16" t="n">
        <v>0</v>
      </c>
      <c r="J16" t="n">
        <v>0</v>
      </c>
      <c r="K16" t="n">
        <v>0</v>
      </c>
      <c r="L16" t="n">
        <v>0</v>
      </c>
      <c r="M16" t="n">
        <v>0</v>
      </c>
      <c r="N16" t="n">
        <v>0</v>
      </c>
    </row>
    <row r="17">
      <c r="A17" t="inlineStr">
        <is>
          <t>Quittances</t>
        </is>
      </c>
      <c r="B17" t="inlineStr">
        <is>
          <t>2 workers working the same between the Annunciation and the Nativity of the blessed John the Baptist who harrowed lands for barley and enclosed with hedges, 1 shilling 10.5pence, of whom 1 was quit of 1 shilling, and 1 of 10.5pence.</t>
        </is>
      </c>
      <c r="C17" t="n">
        <v>0.09</v>
      </c>
      <c r="D17" t="n">
        <v>0</v>
      </c>
      <c r="E17" t="n">
        <v>1</v>
      </c>
      <c r="F17" t="n">
        <v>10.5</v>
      </c>
      <c r="G17" t="inlineStr">
        <is>
          <t>barley</t>
        </is>
      </c>
      <c r="H17" t="n">
        <v>0</v>
      </c>
      <c r="I17" t="n">
        <v>0</v>
      </c>
      <c r="J17" t="n">
        <v>0</v>
      </c>
      <c r="K17" t="n">
        <v>0</v>
      </c>
      <c r="L17" t="n">
        <v>0</v>
      </c>
      <c r="M17" t="n">
        <v>0</v>
      </c>
      <c r="N17" t="n">
        <v>0</v>
      </c>
    </row>
    <row r="18">
      <c r="A18" t="inlineStr">
        <is>
          <t>Quittances</t>
        </is>
      </c>
      <c r="B18" t="inlineStr">
        <is>
          <t>10 workers working the same between the feast of St John the Baptist and Michaelmas who weeded corn, mowed and gathered hay, and carried corn, 10 shilling 3pence, of whom 1 was quit of 1 shilling 3pence, and 9 of 1 shilling each.</t>
        </is>
      </c>
      <c r="C18" t="n">
        <v>0.51</v>
      </c>
      <c r="D18" t="n">
        <v>0</v>
      </c>
      <c r="E18" t="n">
        <v>10</v>
      </c>
      <c r="F18" t="n">
        <v>3</v>
      </c>
      <c r="H18" t="n">
        <v>0</v>
      </c>
      <c r="I18" t="n">
        <v>0</v>
      </c>
      <c r="J18" t="n">
        <v>0</v>
      </c>
      <c r="K18" t="n">
        <v>0</v>
      </c>
      <c r="L18" t="n">
        <v>0</v>
      </c>
      <c r="M18" t="n">
        <v>0</v>
      </c>
      <c r="N18" t="n">
        <v>0</v>
      </c>
    </row>
    <row r="19">
      <c r="A19" t="inlineStr">
        <is>
          <t>Quittances</t>
        </is>
      </c>
      <c r="B19" t="inlineStr">
        <is>
          <t>Total of quittances, £2 5 shilling 11.5pence</t>
        </is>
      </c>
      <c r="C19" t="n">
        <v>2.3</v>
      </c>
      <c r="D19" t="n">
        <v>2</v>
      </c>
      <c r="E19" t="n">
        <v>5</v>
      </c>
      <c r="F19" t="n">
        <v>11.5</v>
      </c>
      <c r="H19" t="n">
        <v>0</v>
      </c>
      <c r="I19" t="n">
        <v>0</v>
      </c>
      <c r="J19" t="n">
        <v>0</v>
      </c>
      <c r="K19" t="n">
        <v>0</v>
      </c>
      <c r="L19" t="n">
        <v>0</v>
      </c>
      <c r="M19" t="n">
        <v>0</v>
      </c>
      <c r="N19" t="n">
        <v>0</v>
      </c>
    </row>
    <row r="20">
      <c r="A20" t="inlineStr">
        <is>
          <t>Defaults of rent</t>
        </is>
      </c>
      <c r="B20" t="inlineStr">
        <is>
          <t>In default of the land of the earl of Salisbury at Gaddesden 18 shilling Total of defaults of rent, 18 shilling</t>
        </is>
      </c>
      <c r="C20" t="n">
        <v>0.9</v>
      </c>
      <c r="D20" t="n">
        <v>0</v>
      </c>
      <c r="E20" t="n">
        <v>18</v>
      </c>
      <c r="F20" t="n">
        <v>0</v>
      </c>
      <c r="H20" t="n">
        <v>0</v>
      </c>
      <c r="I20" t="n">
        <v>0</v>
      </c>
      <c r="J20" t="n">
        <v>0</v>
      </c>
      <c r="K20" t="n">
        <v>0</v>
      </c>
      <c r="L20" t="n">
        <v>0</v>
      </c>
      <c r="M20" t="n">
        <v>0</v>
      </c>
      <c r="N20" t="n">
        <v>0</v>
      </c>
    </row>
    <row r="21">
      <c r="A21" t="inlineStr">
        <is>
          <t>Total of quittances and defaults of rent</t>
        </is>
      </c>
      <c r="B21" t="inlineStr">
        <is>
          <t>Total of quittances and defaults of rent, £3 3 shilling 11.5pence</t>
        </is>
      </c>
      <c r="C21" t="n">
        <v>3.2</v>
      </c>
      <c r="D21" t="n">
        <v>3</v>
      </c>
      <c r="E21" t="n">
        <v>3</v>
      </c>
      <c r="F21" t="n">
        <v>11.5</v>
      </c>
      <c r="H21" t="n">
        <v>0</v>
      </c>
      <c r="I21" t="n">
        <v>0</v>
      </c>
      <c r="J21" t="n">
        <v>0</v>
      </c>
      <c r="K21" t="n">
        <v>0</v>
      </c>
      <c r="L21" t="n">
        <v>0</v>
      </c>
      <c r="M21" t="n">
        <v>0</v>
      </c>
      <c r="N21" t="n">
        <v>0</v>
      </c>
    </row>
    <row r="22">
      <c r="A22" t="inlineStr">
        <is>
          <t>Total remaining</t>
        </is>
      </c>
      <c r="B22" t="inlineStr">
        <is>
          <t>Total remaining, £22 15 shilling 6.25pence</t>
        </is>
      </c>
      <c r="C22" t="n">
        <v>22.78</v>
      </c>
      <c r="D22" t="n">
        <v>22</v>
      </c>
      <c r="E22" t="n">
        <v>15</v>
      </c>
      <c r="F22" t="n">
        <v>6.25</v>
      </c>
      <c r="H22" t="n">
        <v>0</v>
      </c>
      <c r="I22" t="n">
        <v>0</v>
      </c>
      <c r="J22" t="n">
        <v>0</v>
      </c>
      <c r="K22" t="n">
        <v>0</v>
      </c>
      <c r="L22" t="n">
        <v>0</v>
      </c>
      <c r="M22" t="n">
        <v>0</v>
      </c>
      <c r="N22" t="n">
        <v>0</v>
      </c>
    </row>
    <row r="23">
      <c r="A23" t="inlineStr">
        <is>
          <t>Issues of the manor</t>
        </is>
      </c>
      <c r="B23" t="inlineStr">
        <is>
          <t>The same render account for 9 shilling 8pence from pannage of pigs of the whole vill.</t>
        </is>
      </c>
      <c r="C23" t="n">
        <v>0.48</v>
      </c>
      <c r="D23" t="n">
        <v>0</v>
      </c>
      <c r="E23" t="n">
        <v>9</v>
      </c>
      <c r="F23" t="n">
        <v>8</v>
      </c>
      <c r="H23" t="n">
        <v>0</v>
      </c>
      <c r="I23" t="n">
        <v>0</v>
      </c>
      <c r="J23" t="n">
        <v>0</v>
      </c>
      <c r="K23" t="n">
        <v>0</v>
      </c>
      <c r="L23" t="n">
        <v>0</v>
      </c>
      <c r="M23" t="n">
        <v>0</v>
      </c>
      <c r="N23" t="n">
        <v>0</v>
      </c>
    </row>
    <row r="24">
      <c r="A24" t="inlineStr">
        <is>
          <t>Issues of the manor</t>
        </is>
      </c>
      <c r="B24" t="inlineStr">
        <is>
          <t>nothing from foreign pannage because there was no mast.</t>
        </is>
      </c>
      <c r="C24" t="n">
        <v>0</v>
      </c>
      <c r="D24" t="n">
        <v>0</v>
      </c>
      <c r="E24" t="n">
        <v>0</v>
      </c>
      <c r="F24" t="n">
        <v>0</v>
      </c>
      <c r="H24" t="n">
        <v>0</v>
      </c>
      <c r="I24" t="n">
        <v>0</v>
      </c>
      <c r="J24" t="n">
        <v>0</v>
      </c>
      <c r="K24" t="n">
        <v>0</v>
      </c>
      <c r="L24" t="n">
        <v>0</v>
      </c>
      <c r="M24" t="n">
        <v>0</v>
      </c>
      <c r="N24" t="n">
        <v>0</v>
      </c>
    </row>
    <row r="25">
      <c r="A25" t="inlineStr">
        <is>
          <t>Issues of the manor</t>
        </is>
      </c>
      <c r="B25" t="inlineStr">
        <is>
          <t>£1 from dead wood blown down by the wind in Cherlewod'.</t>
        </is>
      </c>
      <c r="C25" t="n">
        <v>1</v>
      </c>
      <c r="D25" t="n">
        <v>1</v>
      </c>
      <c r="E25" t="n">
        <v>0</v>
      </c>
      <c r="F25" t="n">
        <v>0</v>
      </c>
      <c r="H25" t="n">
        <v>0</v>
      </c>
      <c r="I25" t="n">
        <v>0</v>
      </c>
      <c r="J25" t="n">
        <v>0</v>
      </c>
      <c r="K25" t="n">
        <v>0</v>
      </c>
      <c r="L25" t="n">
        <v>0</v>
      </c>
      <c r="M25" t="n">
        <v>0</v>
      </c>
      <c r="N25" t="n">
        <v>0</v>
      </c>
    </row>
    <row r="26">
      <c r="A26" t="inlineStr">
        <is>
          <t>Issues of the manor</t>
        </is>
      </c>
      <c r="B26" t="inlineStr">
        <is>
          <t>10 shilling from winter ploughing this year, that is, 6pence a ploughman from 20 ploughmen.</t>
        </is>
      </c>
      <c r="C26" t="n">
        <v>0.53</v>
      </c>
      <c r="D26" t="n">
        <v>0</v>
      </c>
      <c r="E26" t="n">
        <v>10</v>
      </c>
      <c r="F26" t="n">
        <v>6</v>
      </c>
      <c r="H26" t="n">
        <v>0</v>
      </c>
      <c r="I26" t="n">
        <v>0</v>
      </c>
      <c r="J26" t="n">
        <v>0</v>
      </c>
      <c r="K26" t="n">
        <v>0</v>
      </c>
      <c r="L26" t="n">
        <v>0</v>
      </c>
      <c r="M26" t="n">
        <v>0</v>
      </c>
      <c r="N26" t="n">
        <v>0</v>
      </c>
    </row>
    <row r="27">
      <c r="A27" t="inlineStr">
        <is>
          <t>Issues of the manor</t>
        </is>
      </c>
      <c r="B27" t="inlineStr">
        <is>
          <t>nothing from Lenten ploughing because it was ploughed.</t>
        </is>
      </c>
      <c r="C27" t="n">
        <v>0</v>
      </c>
      <c r="D27" t="n">
        <v>0</v>
      </c>
      <c r="E27" t="n">
        <v>0</v>
      </c>
      <c r="F27" t="n">
        <v>0</v>
      </c>
      <c r="H27" t="n">
        <v>0</v>
      </c>
      <c r="I27" t="n">
        <v>0</v>
      </c>
      <c r="J27" t="n">
        <v>0</v>
      </c>
      <c r="K27" t="n">
        <v>0</v>
      </c>
      <c r="L27" t="n">
        <v>0</v>
      </c>
      <c r="M27" t="n">
        <v>0</v>
      </c>
      <c r="N27" t="n">
        <v>0</v>
      </c>
    </row>
    <row r="28">
      <c r="A28" t="inlineStr">
        <is>
          <t>Issues of the manor</t>
        </is>
      </c>
      <c r="B28" t="inlineStr">
        <is>
          <t>5 shilling from 10 ploughmen for release from summer ploughing, at 6pence a ploughman.</t>
        </is>
      </c>
      <c r="C28" t="n">
        <v>0.28</v>
      </c>
      <c r="D28" t="n">
        <v>0</v>
      </c>
      <c r="E28" t="n">
        <v>5</v>
      </c>
      <c r="F28" t="n">
        <v>6</v>
      </c>
      <c r="H28" t="n">
        <v>0</v>
      </c>
      <c r="I28" t="n">
        <v>0</v>
      </c>
      <c r="J28" t="n">
        <v>0</v>
      </c>
      <c r="K28" t="n">
        <v>0</v>
      </c>
      <c r="L28" t="n">
        <v>0</v>
      </c>
      <c r="M28" t="n">
        <v>0</v>
      </c>
      <c r="N28" t="n">
        <v>0</v>
      </c>
    </row>
    <row r="29">
      <c r="A29" t="inlineStr">
        <is>
          <t>Issues of the manor</t>
        </is>
      </c>
      <c r="B29" t="inlineStr">
        <is>
          <t>£1 10 shilling 3pence from 60.5 virgates of land for release from transport-service this year, at 6pence a virgate, because no transport-service was done to London or elsewhere.</t>
        </is>
      </c>
      <c r="C29" t="n">
        <v>1.51</v>
      </c>
      <c r="D29" t="n">
        <v>1</v>
      </c>
      <c r="E29" t="n">
        <v>10</v>
      </c>
      <c r="F29" t="n">
        <v>3</v>
      </c>
      <c r="H29" t="n">
        <v>0</v>
      </c>
      <c r="I29" t="n">
        <v>0</v>
      </c>
      <c r="J29" t="n">
        <v>0</v>
      </c>
      <c r="K29" t="n">
        <v>0</v>
      </c>
      <c r="L29" t="n">
        <v>0</v>
      </c>
      <c r="M29" t="n">
        <v>0</v>
      </c>
      <c r="N29" t="n">
        <v>0</v>
      </c>
    </row>
    <row r="30">
      <c r="A30" t="inlineStr">
        <is>
          <t>Issues of the manor</t>
        </is>
      </c>
      <c r="B30" t="inlineStr">
        <is>
          <t>12 shilling from the agistment of 6 old beasts (av') and 18 bullocks in the pasture of the grove for the summer, at 6pence an old beast and 4pence a bullock.</t>
        </is>
      </c>
      <c r="C30" t="n">
        <v>0.62</v>
      </c>
      <c r="D30" t="n">
        <v>0</v>
      </c>
      <c r="E30" t="n">
        <v>12</v>
      </c>
      <c r="F30" t="n">
        <v>6</v>
      </c>
      <c r="H30" t="n">
        <v>0</v>
      </c>
      <c r="I30" t="n">
        <v>0</v>
      </c>
      <c r="J30" t="n">
        <v>0</v>
      </c>
      <c r="K30" t="n">
        <v>0</v>
      </c>
      <c r="L30" t="n">
        <v>0</v>
      </c>
      <c r="M30" t="n">
        <v>0</v>
      </c>
      <c r="N30" t="n">
        <v>0</v>
      </c>
    </row>
    <row r="31">
      <c r="A31" t="inlineStr">
        <is>
          <t>Issues of the manor</t>
        </is>
      </c>
      <c r="B31" t="inlineStr">
        <is>
          <t>nothing from coarse wool this year because it is sent to Wolvesey.</t>
        </is>
      </c>
      <c r="C31" t="n">
        <v>0</v>
      </c>
      <c r="D31" t="n">
        <v>0</v>
      </c>
      <c r="E31" t="n">
        <v>0</v>
      </c>
      <c r="F31" t="n">
        <v>0</v>
      </c>
      <c r="H31" t="n">
        <v>0</v>
      </c>
      <c r="I31" t="n">
        <v>0</v>
      </c>
      <c r="J31" t="n">
        <v>0</v>
      </c>
      <c r="K31" t="n">
        <v>0</v>
      </c>
      <c r="L31" t="n">
        <v>0</v>
      </c>
      <c r="M31" t="n">
        <v>0</v>
      </c>
      <c r="N31" t="n">
        <v>0</v>
      </c>
    </row>
    <row r="32">
      <c r="A32" t="inlineStr">
        <is>
          <t>Issues of the manor</t>
        </is>
      </c>
      <c r="B32" t="inlineStr">
        <is>
          <t>nothing from lambs' fleeces this year because the lambs were not sheared.</t>
        </is>
      </c>
      <c r="C32" t="n">
        <v>0</v>
      </c>
      <c r="D32" t="n">
        <v>0</v>
      </c>
      <c r="E32" t="n">
        <v>0</v>
      </c>
      <c r="F32" t="n">
        <v>0</v>
      </c>
      <c r="H32" t="n">
        <v>0</v>
      </c>
      <c r="I32" t="n">
        <v>0</v>
      </c>
      <c r="J32" t="n">
        <v>0</v>
      </c>
      <c r="K32" t="n">
        <v>0</v>
      </c>
      <c r="L32" t="n">
        <v>0</v>
      </c>
      <c r="M32" t="n">
        <v>0</v>
      </c>
      <c r="N32" t="n">
        <v>0</v>
      </c>
    </row>
    <row r="33">
      <c r="A33" t="inlineStr">
        <is>
          <t>Issues of the manor</t>
        </is>
      </c>
      <c r="B33" t="inlineStr">
        <is>
          <t>1 shilling 3pence from wool locks this year.</t>
        </is>
      </c>
      <c r="C33" t="n">
        <v>0.06</v>
      </c>
      <c r="D33" t="n">
        <v>0</v>
      </c>
      <c r="E33" t="n">
        <v>1</v>
      </c>
      <c r="F33" t="n">
        <v>3</v>
      </c>
      <c r="H33" t="n">
        <v>0</v>
      </c>
      <c r="I33" t="n">
        <v>0</v>
      </c>
      <c r="J33" t="n">
        <v>0</v>
      </c>
      <c r="K33" t="n">
        <v>0</v>
      </c>
      <c r="L33" t="n">
        <v>0</v>
      </c>
      <c r="M33" t="n">
        <v>0</v>
      </c>
      <c r="N33" t="n">
        <v>0</v>
      </c>
    </row>
    <row r="34">
      <c r="A34" t="inlineStr">
        <is>
          <t>Issues of the manor</t>
        </is>
      </c>
      <c r="B34" t="inlineStr">
        <is>
          <t>3 shilling 1pence from winter cheese sold.</t>
        </is>
      </c>
      <c r="C34" t="n">
        <v>0.15</v>
      </c>
      <c r="D34" t="n">
        <v>0</v>
      </c>
      <c r="E34" t="n">
        <v>3</v>
      </c>
      <c r="F34" t="n">
        <v>1</v>
      </c>
      <c r="H34" t="n">
        <v>0</v>
      </c>
      <c r="I34" t="n">
        <v>0</v>
      </c>
      <c r="J34" t="n">
        <v>0</v>
      </c>
      <c r="K34" t="n">
        <v>0</v>
      </c>
      <c r="L34" t="n">
        <v>0</v>
      </c>
      <c r="M34" t="n">
        <v>0</v>
      </c>
      <c r="N34" t="n">
        <v>0</v>
      </c>
    </row>
    <row r="35">
      <c r="A35" t="inlineStr">
        <is>
          <t>Issues of the manor</t>
        </is>
      </c>
      <c r="B35" t="inlineStr">
        <is>
          <t>£2 17 shilling 6pence from 5.75 weys of summer cheese sold, at 10 shilling a wey.</t>
        </is>
      </c>
      <c r="C35" t="n">
        <v>2.88</v>
      </c>
      <c r="D35" t="n">
        <v>2</v>
      </c>
      <c r="E35" t="n">
        <v>17</v>
      </c>
      <c r="F35" t="n">
        <v>6</v>
      </c>
      <c r="H35" t="n">
        <v>0</v>
      </c>
      <c r="I35" t="n">
        <v>0</v>
      </c>
      <c r="J35" t="n">
        <v>0</v>
      </c>
      <c r="K35" t="n">
        <v>0</v>
      </c>
      <c r="L35" t="n">
        <v>0</v>
      </c>
      <c r="M35" t="n">
        <v>0</v>
      </c>
      <c r="N35" t="n">
        <v>0</v>
      </c>
    </row>
    <row r="36">
      <c r="A36" t="inlineStr">
        <is>
          <t>Issues of the manor</t>
        </is>
      </c>
      <c r="B36" t="inlineStr">
        <is>
          <t>7 shilling 1pence from 17 gallons of butter sold, at 5pence a gallon.</t>
        </is>
      </c>
      <c r="C36" t="n">
        <v>0.35</v>
      </c>
      <c r="D36" t="n">
        <v>0</v>
      </c>
      <c r="E36" t="n">
        <v>7</v>
      </c>
      <c r="F36" t="n">
        <v>1</v>
      </c>
      <c r="H36" t="n">
        <v>0</v>
      </c>
      <c r="I36" t="n">
        <v>0</v>
      </c>
      <c r="J36" t="n">
        <v>0</v>
      </c>
      <c r="K36" t="n">
        <v>0</v>
      </c>
      <c r="L36" t="n">
        <v>0</v>
      </c>
      <c r="M36" t="n">
        <v>0</v>
      </c>
      <c r="N36" t="n">
        <v>0</v>
      </c>
    </row>
    <row r="37">
      <c r="A37" t="inlineStr">
        <is>
          <t>Issues of the manor</t>
        </is>
      </c>
      <c r="B37" t="inlineStr">
        <is>
          <t>5.5pence from honey and wax sold from stock.</t>
        </is>
      </c>
      <c r="C37" t="n">
        <v>0.02</v>
      </c>
      <c r="D37" t="n">
        <v>0</v>
      </c>
      <c r="E37" t="n">
        <v>0</v>
      </c>
      <c r="F37" t="n">
        <v>5.5</v>
      </c>
      <c r="H37" t="n">
        <v>0</v>
      </c>
      <c r="I37" t="n">
        <v>0</v>
      </c>
      <c r="J37" t="n">
        <v>0</v>
      </c>
      <c r="K37" t="n">
        <v>0</v>
      </c>
      <c r="L37" t="n">
        <v>0</v>
      </c>
      <c r="M37" t="n">
        <v>0</v>
      </c>
      <c r="N37" t="n">
        <v>0</v>
      </c>
    </row>
    <row r="38">
      <c r="A38" t="inlineStr">
        <is>
          <t>Issues of the manor</t>
        </is>
      </c>
      <c r="B38" t="inlineStr">
        <is>
          <t>3 shilling 8pence from stubble sold.</t>
        </is>
      </c>
      <c r="C38" t="n">
        <v>0.18</v>
      </c>
      <c r="D38" t="n">
        <v>0</v>
      </c>
      <c r="E38" t="n">
        <v>3</v>
      </c>
      <c r="F38" t="n">
        <v>8</v>
      </c>
      <c r="H38" t="n">
        <v>0</v>
      </c>
      <c r="I38" t="n">
        <v>0</v>
      </c>
      <c r="J38" t="n">
        <v>0</v>
      </c>
      <c r="K38" t="n">
        <v>0</v>
      </c>
      <c r="L38" t="n">
        <v>0</v>
      </c>
      <c r="M38" t="n">
        <v>0</v>
      </c>
      <c r="N38" t="n">
        <v>0</v>
      </c>
    </row>
    <row r="39">
      <c r="A39" t="inlineStr">
        <is>
          <t>Issues of the manor</t>
        </is>
      </c>
      <c r="B39" t="inlineStr">
        <is>
          <t>9 shilling from old hay sold.</t>
        </is>
      </c>
      <c r="C39" t="n">
        <v>0.45</v>
      </c>
      <c r="D39" t="n">
        <v>0</v>
      </c>
      <c r="E39" t="n">
        <v>9</v>
      </c>
      <c r="F39" t="n">
        <v>0</v>
      </c>
      <c r="H39" t="n">
        <v>0</v>
      </c>
      <c r="I39" t="n">
        <v>0</v>
      </c>
      <c r="J39" t="n">
        <v>0</v>
      </c>
      <c r="K39" t="n">
        <v>0</v>
      </c>
      <c r="L39" t="n">
        <v>0</v>
      </c>
      <c r="M39" t="n">
        <v>0</v>
      </c>
      <c r="N39" t="n">
        <v>0</v>
      </c>
    </row>
    <row r="40">
      <c r="A40" t="inlineStr">
        <is>
          <t>Issues of the manor</t>
        </is>
      </c>
      <c r="B40" t="inlineStr">
        <is>
          <t>17 shilling from old hay sold for the queen's use.</t>
        </is>
      </c>
      <c r="C40" t="n">
        <v>0.85</v>
      </c>
      <c r="D40" t="n">
        <v>0</v>
      </c>
      <c r="E40" t="n">
        <v>17</v>
      </c>
      <c r="F40" t="n">
        <v>0</v>
      </c>
      <c r="H40" t="n">
        <v>0</v>
      </c>
      <c r="I40" t="n">
        <v>0</v>
      </c>
      <c r="J40" t="n">
        <v>0</v>
      </c>
      <c r="K40" t="n">
        <v>0</v>
      </c>
      <c r="L40" t="n">
        <v>0</v>
      </c>
      <c r="M40" t="n">
        <v>0</v>
      </c>
      <c r="N40" t="n">
        <v>0</v>
      </c>
    </row>
    <row r="41">
      <c r="A41" t="inlineStr">
        <is>
          <t>Issues of the manor</t>
        </is>
      </c>
      <c r="B41" t="inlineStr">
        <is>
          <t>£1 from hay sold this year.</t>
        </is>
      </c>
      <c r="C41" t="n">
        <v>1</v>
      </c>
      <c r="D41" t="n">
        <v>1</v>
      </c>
      <c r="E41" t="n">
        <v>0</v>
      </c>
      <c r="F41" t="n">
        <v>0</v>
      </c>
      <c r="H41" t="n">
        <v>0</v>
      </c>
      <c r="I41" t="n">
        <v>0</v>
      </c>
      <c r="J41" t="n">
        <v>0</v>
      </c>
      <c r="K41" t="n">
        <v>0</v>
      </c>
      <c r="L41" t="n">
        <v>0</v>
      </c>
      <c r="M41" t="n">
        <v>0</v>
      </c>
      <c r="N41" t="n">
        <v>0</v>
      </c>
    </row>
    <row r="42">
      <c r="A42" t="inlineStr">
        <is>
          <t>Issues of the manor</t>
        </is>
      </c>
      <c r="B42" t="inlineStr">
        <is>
          <t>1 shilling 4pence from taverns.</t>
        </is>
      </c>
      <c r="C42" t="n">
        <v>0.07000000000000001</v>
      </c>
      <c r="D42" t="n">
        <v>0</v>
      </c>
      <c r="E42" t="n">
        <v>1</v>
      </c>
      <c r="F42" t="n">
        <v>4</v>
      </c>
      <c r="H42" t="n">
        <v>0</v>
      </c>
      <c r="I42" t="n">
        <v>0</v>
      </c>
      <c r="J42" t="n">
        <v>0</v>
      </c>
      <c r="K42" t="n">
        <v>0</v>
      </c>
      <c r="L42" t="n">
        <v>0</v>
      </c>
      <c r="M42" t="n">
        <v>0</v>
      </c>
      <c r="N42" t="n">
        <v>0</v>
      </c>
    </row>
    <row r="43">
      <c r="A43" t="inlineStr">
        <is>
          <t>Issues of the manor</t>
        </is>
      </c>
      <c r="B43" t="inlineStr">
        <is>
          <t>1 shilling 4pence from 2 quarters of apples sold.</t>
        </is>
      </c>
      <c r="C43" t="n">
        <v>0.07000000000000001</v>
      </c>
      <c r="D43" t="n">
        <v>0</v>
      </c>
      <c r="E43" t="n">
        <v>1</v>
      </c>
      <c r="F43" t="n">
        <v>4</v>
      </c>
      <c r="H43" t="n">
        <v>2</v>
      </c>
      <c r="I43" t="n">
        <v>0</v>
      </c>
      <c r="J43" t="n">
        <v>2</v>
      </c>
      <c r="K43" t="n">
        <v>2</v>
      </c>
      <c r="L43" t="n">
        <v>0</v>
      </c>
      <c r="M43" t="n">
        <v>2</v>
      </c>
      <c r="N43" t="n">
        <v>0</v>
      </c>
    </row>
    <row r="44">
      <c r="A44" t="inlineStr">
        <is>
          <t>Issues of the manor</t>
        </is>
      </c>
      <c r="B44" t="inlineStr">
        <is>
          <t>10 shilling from 40 geese sold, received from the beadle at Michaelmas according to custom, at 3pence a goose.</t>
        </is>
      </c>
      <c r="C44" t="n">
        <v>0.51</v>
      </c>
      <c r="D44" t="n">
        <v>0</v>
      </c>
      <c r="E44" t="n">
        <v>10</v>
      </c>
      <c r="F44" t="n">
        <v>3</v>
      </c>
      <c r="H44" t="n">
        <v>0</v>
      </c>
      <c r="I44" t="n">
        <v>0</v>
      </c>
      <c r="J44" t="n">
        <v>0</v>
      </c>
      <c r="K44" t="n">
        <v>0</v>
      </c>
      <c r="L44" t="n">
        <v>0</v>
      </c>
      <c r="M44" t="n">
        <v>0</v>
      </c>
      <c r="N44" t="n">
        <v>0</v>
      </c>
    </row>
    <row r="45">
      <c r="A45" t="inlineStr">
        <is>
          <t>Issues of the manor</t>
        </is>
      </c>
      <c r="B45" t="inlineStr">
        <is>
          <t>3 shilling 4pence from 80 chickens sold, received from the same beadle at the same Michaelmas according to custom.</t>
        </is>
      </c>
      <c r="C45" t="n">
        <v>0.17</v>
      </c>
      <c r="D45" t="n">
        <v>0</v>
      </c>
      <c r="E45" t="n">
        <v>3</v>
      </c>
      <c r="F45" t="n">
        <v>4</v>
      </c>
      <c r="H45" t="n">
        <v>0</v>
      </c>
      <c r="I45" t="n">
        <v>0</v>
      </c>
      <c r="J45" t="n">
        <v>0</v>
      </c>
      <c r="K45" t="n">
        <v>0</v>
      </c>
      <c r="L45" t="n">
        <v>0</v>
      </c>
      <c r="M45" t="n">
        <v>0</v>
      </c>
      <c r="N45" t="n">
        <v>0</v>
      </c>
    </row>
    <row r="46">
      <c r="A46" t="inlineStr">
        <is>
          <t>Issues of the manor</t>
        </is>
      </c>
      <c r="B46" t="inlineStr">
        <is>
          <t>1 shilling from 303 eggs sold, received from the same beadle at Easter according to custom.</t>
        </is>
      </c>
      <c r="C46" t="n">
        <v>0.05</v>
      </c>
      <c r="D46" t="n">
        <v>0</v>
      </c>
      <c r="E46" t="n">
        <v>1</v>
      </c>
      <c r="F46" t="n">
        <v>0</v>
      </c>
      <c r="H46" t="n">
        <v>0</v>
      </c>
      <c r="I46" t="n">
        <v>0</v>
      </c>
      <c r="J46" t="n">
        <v>0</v>
      </c>
      <c r="K46" t="n">
        <v>0</v>
      </c>
      <c r="L46" t="n">
        <v>0</v>
      </c>
      <c r="M46" t="n">
        <v>0</v>
      </c>
      <c r="N46" t="n">
        <v>0</v>
      </c>
    </row>
    <row r="47">
      <c r="A47" t="inlineStr">
        <is>
          <t>Issues of the manor</t>
        </is>
      </c>
      <c r="B47" t="inlineStr">
        <is>
          <t>8 shilling from the men of Netley for release from their labour service at harvest-time this year.</t>
        </is>
      </c>
      <c r="C47" t="n">
        <v>0.4</v>
      </c>
      <c r="D47" t="n">
        <v>0</v>
      </c>
      <c r="E47" t="n">
        <v>8</v>
      </c>
      <c r="F47" t="n">
        <v>0</v>
      </c>
      <c r="H47" t="n">
        <v>0</v>
      </c>
      <c r="I47" t="n">
        <v>0</v>
      </c>
      <c r="J47" t="n">
        <v>0</v>
      </c>
      <c r="K47" t="n">
        <v>0</v>
      </c>
      <c r="L47" t="n">
        <v>0</v>
      </c>
      <c r="M47" t="n">
        <v>0</v>
      </c>
      <c r="N47" t="n">
        <v>0</v>
      </c>
    </row>
    <row r="48">
      <c r="A48" t="inlineStr">
        <is>
          <t>Issues of the manor</t>
        </is>
      </c>
      <c r="B48" t="inlineStr">
        <is>
          <t>2.5pence from the tail and feathers of 1 peacock sold.</t>
        </is>
      </c>
      <c r="C48" t="n">
        <v>0.01</v>
      </c>
      <c r="D48" t="n">
        <v>0</v>
      </c>
      <c r="E48" t="n">
        <v>0</v>
      </c>
      <c r="F48" t="n">
        <v>2.5</v>
      </c>
      <c r="H48" t="n">
        <v>0</v>
      </c>
      <c r="I48" t="n">
        <v>0</v>
      </c>
      <c r="J48" t="n">
        <v>0</v>
      </c>
      <c r="K48" t="n">
        <v>0</v>
      </c>
      <c r="L48" t="n">
        <v>0</v>
      </c>
      <c r="M48" t="n">
        <v>0</v>
      </c>
      <c r="N48" t="n">
        <v>0</v>
      </c>
    </row>
    <row r="49">
      <c r="A49" t="inlineStr">
        <is>
          <t>Issues of the manor</t>
        </is>
      </c>
      <c r="B49" t="inlineStr">
        <is>
          <t>nothing from weaning lambs this year because the corn was thin.</t>
        </is>
      </c>
      <c r="C49" t="n">
        <v>0</v>
      </c>
      <c r="D49" t="n">
        <v>0</v>
      </c>
      <c r="E49" t="n">
        <v>0</v>
      </c>
      <c r="F49" t="n">
        <v>0</v>
      </c>
      <c r="H49" t="n">
        <v>0</v>
      </c>
      <c r="I49" t="n">
        <v>0</v>
      </c>
      <c r="J49" t="n">
        <v>0</v>
      </c>
      <c r="K49" t="n">
        <v>0</v>
      </c>
      <c r="L49" t="n">
        <v>0</v>
      </c>
      <c r="M49" t="n">
        <v>0</v>
      </c>
      <c r="N49" t="n">
        <v>0</v>
      </c>
    </row>
    <row r="50">
      <c r="A50" t="inlineStr">
        <is>
          <t>Issues of the manor</t>
        </is>
      </c>
      <c r="B50" t="inlineStr">
        <is>
          <t>2 shilling 2pence from 1 tunic from the heriot of Richard Sutoris sold.</t>
        </is>
      </c>
      <c r="C50" t="n">
        <v>0.11</v>
      </c>
      <c r="D50" t="n">
        <v>0</v>
      </c>
      <c r="E50" t="n">
        <v>2</v>
      </c>
      <c r="F50" t="n">
        <v>2</v>
      </c>
      <c r="H50" t="n">
        <v>0</v>
      </c>
      <c r="I50" t="n">
        <v>0</v>
      </c>
      <c r="J50" t="n">
        <v>0</v>
      </c>
      <c r="K50" t="n">
        <v>0</v>
      </c>
      <c r="L50" t="n">
        <v>0</v>
      </c>
      <c r="M50" t="n">
        <v>0</v>
      </c>
      <c r="N50" t="n">
        <v>0</v>
      </c>
    </row>
    <row r="51">
      <c r="A51" t="inlineStr">
        <is>
          <t>Issues of the manor</t>
        </is>
      </c>
      <c r="B51" t="inlineStr">
        <is>
          <t>4pence from 1 axe from the heriot of William Peck' sold.</t>
        </is>
      </c>
      <c r="C51" t="n">
        <v>0.02</v>
      </c>
      <c r="D51" t="n">
        <v>0</v>
      </c>
      <c r="E51" t="n">
        <v>0</v>
      </c>
      <c r="F51" t="n">
        <v>4</v>
      </c>
      <c r="H51" t="n">
        <v>0</v>
      </c>
      <c r="I51" t="n">
        <v>0</v>
      </c>
      <c r="J51" t="n">
        <v>0</v>
      </c>
      <c r="K51" t="n">
        <v>0</v>
      </c>
      <c r="L51" t="n">
        <v>0</v>
      </c>
      <c r="M51" t="n">
        <v>0</v>
      </c>
      <c r="N51" t="n">
        <v>0</v>
      </c>
    </row>
    <row r="52">
      <c r="A52" t="inlineStr">
        <is>
          <t>Issues of the manor</t>
        </is>
      </c>
      <c r="B52" t="inlineStr">
        <is>
          <t>19 shilling 8pence from dairy produce sold at the audit.</t>
        </is>
      </c>
      <c r="C52" t="n">
        <v>0.98</v>
      </c>
      <c r="D52" t="n">
        <v>0</v>
      </c>
      <c r="E52" t="n">
        <v>19</v>
      </c>
      <c r="F52" t="n">
        <v>8</v>
      </c>
      <c r="H52" t="n">
        <v>0</v>
      </c>
      <c r="I52" t="n">
        <v>0</v>
      </c>
      <c r="J52" t="n">
        <v>0</v>
      </c>
      <c r="K52" t="n">
        <v>0</v>
      </c>
      <c r="L52" t="n">
        <v>0</v>
      </c>
      <c r="M52" t="n">
        <v>0</v>
      </c>
      <c r="N52" t="n">
        <v>0</v>
      </c>
    </row>
    <row r="53">
      <c r="A53" t="inlineStr">
        <is>
          <t>Issues of the manor</t>
        </is>
      </c>
      <c r="B53" t="inlineStr">
        <is>
          <t>Total, £12 13 shilling 4pence</t>
        </is>
      </c>
      <c r="C53" t="n">
        <v>12.67</v>
      </c>
      <c r="D53" t="n">
        <v>12</v>
      </c>
      <c r="E53" t="n">
        <v>13</v>
      </c>
      <c r="F53" t="n">
        <v>4</v>
      </c>
      <c r="H53" t="n">
        <v>0</v>
      </c>
      <c r="I53" t="n">
        <v>0</v>
      </c>
      <c r="J53" t="n">
        <v>0</v>
      </c>
      <c r="K53" t="n">
        <v>0</v>
      </c>
      <c r="L53" t="n">
        <v>0</v>
      </c>
      <c r="M53" t="n">
        <v>0</v>
      </c>
      <c r="N53" t="n">
        <v>0</v>
      </c>
    </row>
    <row r="54">
      <c r="A54" t="inlineStr">
        <is>
          <t>Issues of stock</t>
        </is>
      </c>
      <c r="B54" t="inlineStr">
        <is>
          <t>The same render account for £1 3 shilling from 6 old and feeble plough-horses sold, at 5 shilling each for 2, 3 shilling 6pence each for 2, and 3 shilling each for 2.</t>
        </is>
      </c>
      <c r="C54" t="n">
        <v>1.15</v>
      </c>
      <c r="D54" t="n">
        <v>1</v>
      </c>
      <c r="E54" t="n">
        <v>3</v>
      </c>
      <c r="F54" t="n">
        <v>0</v>
      </c>
      <c r="H54" t="n">
        <v>0</v>
      </c>
      <c r="I54" t="n">
        <v>0</v>
      </c>
      <c r="J54" t="n">
        <v>0</v>
      </c>
      <c r="K54" t="n">
        <v>0</v>
      </c>
      <c r="L54" t="n">
        <v>0</v>
      </c>
      <c r="M54" t="n">
        <v>0</v>
      </c>
      <c r="N54" t="n">
        <v>0</v>
      </c>
    </row>
    <row r="55">
      <c r="A55" t="inlineStr">
        <is>
          <t>Issues of stock</t>
        </is>
      </c>
      <c r="B55" t="inlineStr">
        <is>
          <t>£3 19 shilling 2pence from 8 oxen sold, at 11 shilling each for 4, 10 shilling each for 3, and 5 shilling 2pence for 1 killed for fear of murrain.</t>
        </is>
      </c>
      <c r="C55" t="n">
        <v>3.96</v>
      </c>
      <c r="D55" t="n">
        <v>3</v>
      </c>
      <c r="E55" t="n">
        <v>19</v>
      </c>
      <c r="F55" t="n">
        <v>2</v>
      </c>
      <c r="H55" t="n">
        <v>0</v>
      </c>
      <c r="I55" t="n">
        <v>0</v>
      </c>
      <c r="J55" t="n">
        <v>0</v>
      </c>
      <c r="K55" t="n">
        <v>0</v>
      </c>
      <c r="L55" t="n">
        <v>0</v>
      </c>
      <c r="M55" t="n">
        <v>0</v>
      </c>
      <c r="N55" t="n">
        <v>0</v>
      </c>
    </row>
    <row r="56">
      <c r="A56" t="inlineStr">
        <is>
          <t>Issues of stock</t>
        </is>
      </c>
      <c r="B56" t="inlineStr">
        <is>
          <t>11 shilling from 1 bull sold.</t>
        </is>
      </c>
      <c r="C56" t="n">
        <v>0.55</v>
      </c>
      <c r="D56" t="n">
        <v>0</v>
      </c>
      <c r="E56" t="n">
        <v>11</v>
      </c>
      <c r="F56" t="n">
        <v>0</v>
      </c>
      <c r="H56" t="n">
        <v>0</v>
      </c>
      <c r="I56" t="n">
        <v>0</v>
      </c>
      <c r="J56" t="n">
        <v>0</v>
      </c>
      <c r="K56" t="n">
        <v>0</v>
      </c>
      <c r="L56" t="n">
        <v>0</v>
      </c>
      <c r="M56" t="n">
        <v>0</v>
      </c>
      <c r="N56" t="n">
        <v>0</v>
      </c>
    </row>
    <row r="57">
      <c r="A57" t="inlineStr">
        <is>
          <t>Issues of stock</t>
        </is>
      </c>
      <c r="B57" t="inlineStr">
        <is>
          <t>£1 8 shilling 6pence from 4 cows sold, 3 of them at Martinmas, at 8 shilling 6pence each for 2, 7 shilling 6pence for 1, and 4 shilling for 1 sick cow before calving.</t>
        </is>
      </c>
      <c r="C57" t="n">
        <v>1.42</v>
      </c>
      <c r="D57" t="n">
        <v>1</v>
      </c>
      <c r="E57" t="n">
        <v>8</v>
      </c>
      <c r="F57" t="n">
        <v>6</v>
      </c>
      <c r="H57" t="n">
        <v>0</v>
      </c>
      <c r="I57" t="n">
        <v>0</v>
      </c>
      <c r="J57" t="n">
        <v>0</v>
      </c>
      <c r="K57" t="n">
        <v>0</v>
      </c>
      <c r="L57" t="n">
        <v>0</v>
      </c>
      <c r="M57" t="n">
        <v>0</v>
      </c>
      <c r="N57" t="n">
        <v>0</v>
      </c>
    </row>
    <row r="58">
      <c r="A58" t="inlineStr">
        <is>
          <t>Issues of stock</t>
        </is>
      </c>
      <c r="B58" t="inlineStr">
        <is>
          <t>4 shilling from 1 steer sold.</t>
        </is>
      </c>
      <c r="C58" t="n">
        <v>0.2</v>
      </c>
      <c r="D58" t="n">
        <v>0</v>
      </c>
      <c r="E58" t="n">
        <v>4</v>
      </c>
      <c r="F58" t="n">
        <v>0</v>
      </c>
      <c r="H58" t="n">
        <v>0</v>
      </c>
      <c r="I58" t="n">
        <v>0</v>
      </c>
      <c r="J58" t="n">
        <v>0</v>
      </c>
      <c r="K58" t="n">
        <v>0</v>
      </c>
      <c r="L58" t="n">
        <v>0</v>
      </c>
      <c r="M58" t="n">
        <v>0</v>
      </c>
      <c r="N58" t="n">
        <v>0</v>
      </c>
    </row>
    <row r="59">
      <c r="A59" t="inlineStr">
        <is>
          <t>Issues of stock</t>
        </is>
      </c>
      <c r="B59" t="inlineStr">
        <is>
          <t>10 shilling from 11 calves sold, at 1 shilling each for 4, 11pence each for 2, and 10pence each for 5.</t>
        </is>
      </c>
      <c r="C59" t="n">
        <v>0.55</v>
      </c>
      <c r="D59" t="n">
        <v>0</v>
      </c>
      <c r="E59" t="n">
        <v>10</v>
      </c>
      <c r="F59" t="n">
        <v>11</v>
      </c>
      <c r="H59" t="n">
        <v>0</v>
      </c>
      <c r="I59" t="n">
        <v>0</v>
      </c>
      <c r="J59" t="n">
        <v>0</v>
      </c>
      <c r="K59" t="n">
        <v>0</v>
      </c>
      <c r="L59" t="n">
        <v>0</v>
      </c>
      <c r="M59" t="n">
        <v>0</v>
      </c>
      <c r="N59" t="n">
        <v>0</v>
      </c>
    </row>
    <row r="60">
      <c r="A60" t="inlineStr">
        <is>
          <t>Issues of stock</t>
        </is>
      </c>
      <c r="B60" t="inlineStr">
        <is>
          <t>2 shilling 4pence from the hide sold of 1 ox in murrain.</t>
        </is>
      </c>
      <c r="C60" t="n">
        <v>0.12</v>
      </c>
      <c r="D60" t="n">
        <v>0</v>
      </c>
      <c r="E60" t="n">
        <v>2</v>
      </c>
      <c r="F60" t="n">
        <v>4</v>
      </c>
      <c r="H60" t="n">
        <v>0</v>
      </c>
      <c r="I60" t="n">
        <v>0</v>
      </c>
      <c r="J60" t="n">
        <v>0</v>
      </c>
      <c r="K60" t="n">
        <v>0</v>
      </c>
      <c r="L60" t="n">
        <v>0</v>
      </c>
      <c r="M60" t="n">
        <v>0</v>
      </c>
      <c r="N60" t="n">
        <v>0</v>
      </c>
    </row>
    <row r="61">
      <c r="A61" t="inlineStr">
        <is>
          <t>Issues of stock</t>
        </is>
      </c>
      <c r="B61" t="inlineStr">
        <is>
          <t>1 shilling from the hides sold of 2 yearlings in murrain.</t>
        </is>
      </c>
      <c r="C61" t="n">
        <v>0.05</v>
      </c>
      <c r="D61" t="n">
        <v>0</v>
      </c>
      <c r="E61" t="n">
        <v>1</v>
      </c>
      <c r="F61" t="n">
        <v>0</v>
      </c>
      <c r="H61" t="n">
        <v>0</v>
      </c>
      <c r="I61" t="n">
        <v>0</v>
      </c>
      <c r="J61" t="n">
        <v>0</v>
      </c>
      <c r="K61" t="n">
        <v>0</v>
      </c>
      <c r="L61" t="n">
        <v>0</v>
      </c>
      <c r="M61" t="n">
        <v>0</v>
      </c>
      <c r="N61" t="n">
        <v>0</v>
      </c>
    </row>
    <row r="62">
      <c r="A62" t="inlineStr">
        <is>
          <t>Issues of stock</t>
        </is>
      </c>
      <c r="B62" t="inlineStr">
        <is>
          <t>£1 15 shilling from 26 wethers and 4 ewes sold at Martinmas, at 1 shilling 2pence each.</t>
        </is>
      </c>
      <c r="C62" t="n">
        <v>1.75</v>
      </c>
      <c r="D62" t="n">
        <v>1</v>
      </c>
      <c r="E62" t="n">
        <v>15</v>
      </c>
      <c r="F62" t="n">
        <v>0</v>
      </c>
      <c r="H62" t="n">
        <v>0</v>
      </c>
      <c r="I62" t="n">
        <v>0</v>
      </c>
      <c r="J62" t="n">
        <v>0</v>
      </c>
      <c r="K62" t="n">
        <v>0</v>
      </c>
      <c r="L62" t="n">
        <v>0</v>
      </c>
      <c r="M62" t="n">
        <v>0</v>
      </c>
      <c r="N62" t="n">
        <v>0</v>
      </c>
    </row>
    <row r="63">
      <c r="A63" t="inlineStr">
        <is>
          <t>Issues of stock</t>
        </is>
      </c>
      <c r="B63" t="inlineStr">
        <is>
          <t>£14 shilling 6pence from the skins sold of 40 wethers, 31 ewes and 26 hoggs in murrain before shearing, at 4pence a wether, 3pence a ewe, and 2.5pence a hogg.</t>
        </is>
      </c>
      <c r="C63" t="n">
        <v>14</v>
      </c>
      <c r="D63" t="n">
        <v>14</v>
      </c>
      <c r="E63" t="n">
        <v>0</v>
      </c>
      <c r="F63" t="n">
        <v>0</v>
      </c>
      <c r="H63" t="n">
        <v>0</v>
      </c>
      <c r="I63" t="n">
        <v>0</v>
      </c>
      <c r="J63" t="n">
        <v>0</v>
      </c>
      <c r="K63" t="n">
        <v>0</v>
      </c>
      <c r="L63" t="n">
        <v>0</v>
      </c>
      <c r="M63" t="n">
        <v>0</v>
      </c>
      <c r="N63" t="n">
        <v>0</v>
      </c>
    </row>
    <row r="64">
      <c r="A64" t="inlineStr">
        <is>
          <t>Issues of stock</t>
        </is>
      </c>
      <c r="B64" t="inlineStr">
        <is>
          <t>1 shilling 2.5pence from the skins sold of 1 wether, 5 ewes, in murrain after shearing, and 5 lambs, at 2pence a wether, 1.5pence a ewe, and 1pence a lamb.</t>
        </is>
      </c>
      <c r="C64" t="n">
        <v>0.06</v>
      </c>
      <c r="D64" t="n">
        <v>0</v>
      </c>
      <c r="E64" t="n">
        <v>1</v>
      </c>
      <c r="F64" t="n">
        <v>2.5</v>
      </c>
      <c r="H64" t="n">
        <v>0</v>
      </c>
      <c r="I64" t="n">
        <v>0</v>
      </c>
      <c r="J64" t="n">
        <v>0</v>
      </c>
      <c r="K64" t="n">
        <v>0</v>
      </c>
      <c r="L64" t="n">
        <v>0</v>
      </c>
      <c r="M64" t="n">
        <v>0</v>
      </c>
      <c r="N64" t="n">
        <v>0</v>
      </c>
    </row>
    <row r="65">
      <c r="A65" t="inlineStr">
        <is>
          <t>Issues of stock</t>
        </is>
      </c>
      <c r="B65" t="inlineStr">
        <is>
          <t>3 shilling 4pence from 3 peacocks sold, 1 of them a male.</t>
        </is>
      </c>
      <c r="C65" t="n">
        <v>0.17</v>
      </c>
      <c r="D65" t="n">
        <v>0</v>
      </c>
      <c r="E65" t="n">
        <v>3</v>
      </c>
      <c r="F65" t="n">
        <v>4</v>
      </c>
      <c r="H65" t="n">
        <v>0</v>
      </c>
      <c r="I65" t="n">
        <v>0</v>
      </c>
      <c r="J65" t="n">
        <v>0</v>
      </c>
      <c r="K65" t="n">
        <v>0</v>
      </c>
      <c r="L65" t="n">
        <v>0</v>
      </c>
      <c r="M65" t="n">
        <v>0</v>
      </c>
      <c r="N65" t="n">
        <v>0</v>
      </c>
    </row>
    <row r="66">
      <c r="A66" t="inlineStr">
        <is>
          <t>Issues of stock</t>
        </is>
      </c>
      <c r="B66" t="inlineStr">
        <is>
          <t>£3 15 shilling from 30 gelded pigs sold, at 3 shilling each for 10, 2 shilling 6pence each for 10, and 2 shilling each for 10.</t>
        </is>
      </c>
      <c r="C66" t="n">
        <v>3.75</v>
      </c>
      <c r="D66" t="n">
        <v>3</v>
      </c>
      <c r="E66" t="n">
        <v>15</v>
      </c>
      <c r="F66" t="n">
        <v>0</v>
      </c>
      <c r="H66" t="n">
        <v>0</v>
      </c>
      <c r="I66" t="n">
        <v>0</v>
      </c>
      <c r="J66" t="n">
        <v>0</v>
      </c>
      <c r="K66" t="n">
        <v>0</v>
      </c>
      <c r="L66" t="n">
        <v>0</v>
      </c>
      <c r="M66" t="n">
        <v>0</v>
      </c>
      <c r="N66" t="n">
        <v>0</v>
      </c>
    </row>
    <row r="67">
      <c r="A67" t="inlineStr">
        <is>
          <t>Issues of stock</t>
        </is>
      </c>
      <c r="B67" t="inlineStr">
        <is>
          <t>2 shilling from 2 calves sold at the audit.</t>
        </is>
      </c>
      <c r="C67" t="n">
        <v>0.1</v>
      </c>
      <c r="D67" t="n">
        <v>0</v>
      </c>
      <c r="E67" t="n">
        <v>2</v>
      </c>
      <c r="F67" t="n">
        <v>0</v>
      </c>
      <c r="H67" t="n">
        <v>0</v>
      </c>
      <c r="I67" t="n">
        <v>0</v>
      </c>
      <c r="J67" t="n">
        <v>0</v>
      </c>
      <c r="K67" t="n">
        <v>0</v>
      </c>
      <c r="L67" t="n">
        <v>0</v>
      </c>
      <c r="M67" t="n">
        <v>0</v>
      </c>
      <c r="N67" t="n">
        <v>0</v>
      </c>
    </row>
    <row r="68">
      <c r="A68" t="inlineStr">
        <is>
          <t>Issues of stock</t>
        </is>
      </c>
      <c r="B68" t="inlineStr">
        <is>
          <t>£1 16 shilling from 54 wethers sold at Martinmas because sick, at 8pence each.</t>
        </is>
      </c>
      <c r="C68" t="n">
        <v>1.8</v>
      </c>
      <c r="D68" t="n">
        <v>1</v>
      </c>
      <c r="E68" t="n">
        <v>16</v>
      </c>
      <c r="F68" t="n">
        <v>0</v>
      </c>
      <c r="H68" t="n">
        <v>0</v>
      </c>
      <c r="I68" t="n">
        <v>0</v>
      </c>
      <c r="J68" t="n">
        <v>0</v>
      </c>
      <c r="K68" t="n">
        <v>0</v>
      </c>
      <c r="L68" t="n">
        <v>0</v>
      </c>
      <c r="M68" t="n">
        <v>0</v>
      </c>
      <c r="N68" t="n">
        <v>0</v>
      </c>
    </row>
    <row r="69">
      <c r="A69" t="inlineStr">
        <is>
          <t>Issues of stock</t>
        </is>
      </c>
      <c r="B69" t="inlineStr">
        <is>
          <t>Total, £16 15 shilling 11.5pence</t>
        </is>
      </c>
      <c r="C69" t="n">
        <v>16.8</v>
      </c>
      <c r="D69" t="n">
        <v>16</v>
      </c>
      <c r="E69" t="n">
        <v>15</v>
      </c>
      <c r="F69" t="n">
        <v>11.5</v>
      </c>
      <c r="H69" t="n">
        <v>0</v>
      </c>
      <c r="I69" t="n">
        <v>0</v>
      </c>
      <c r="J69" t="n">
        <v>0</v>
      </c>
      <c r="K69" t="n">
        <v>0</v>
      </c>
      <c r="L69" t="n">
        <v>0</v>
      </c>
      <c r="M69" t="n">
        <v>0</v>
      </c>
      <c r="N69" t="n">
        <v>0</v>
      </c>
    </row>
    <row r="70">
      <c r="A70" t="inlineStr">
        <is>
          <t>Annual recognizance</t>
        </is>
      </c>
      <c r="B70" t="inlineStr">
        <is>
          <t>The same render account for 6pence from Gilbert son of Richard for annual recognizance.</t>
        </is>
      </c>
      <c r="C70" t="n">
        <v>0.03</v>
      </c>
      <c r="D70" t="n">
        <v>0</v>
      </c>
      <c r="E70" t="n">
        <v>0</v>
      </c>
      <c r="F70" t="n">
        <v>6</v>
      </c>
      <c r="H70" t="n">
        <v>0</v>
      </c>
      <c r="I70" t="n">
        <v>0</v>
      </c>
      <c r="J70" t="n">
        <v>0</v>
      </c>
      <c r="K70" t="n">
        <v>0</v>
      </c>
      <c r="L70" t="n">
        <v>0</v>
      </c>
      <c r="M70" t="n">
        <v>0</v>
      </c>
      <c r="N70" t="n">
        <v>0</v>
      </c>
    </row>
    <row r="71">
      <c r="A71" t="inlineStr">
        <is>
          <t>Annual recognizance</t>
        </is>
      </c>
      <c r="B71" t="inlineStr">
        <is>
          <t>3pence from Gilbert Lylye for the same.</t>
        </is>
      </c>
      <c r="C71" t="n">
        <v>0.01</v>
      </c>
      <c r="D71" t="n">
        <v>0</v>
      </c>
      <c r="E71" t="n">
        <v>0</v>
      </c>
      <c r="F71" t="n">
        <v>3</v>
      </c>
      <c r="H71" t="n">
        <v>0</v>
      </c>
      <c r="I71" t="n">
        <v>0</v>
      </c>
      <c r="J71" t="n">
        <v>0</v>
      </c>
      <c r="K71" t="n">
        <v>0</v>
      </c>
      <c r="L71" t="n">
        <v>0</v>
      </c>
      <c r="M71" t="n">
        <v>0</v>
      </c>
      <c r="N71" t="n">
        <v>0</v>
      </c>
    </row>
    <row r="72">
      <c r="A72" t="inlineStr">
        <is>
          <t>Annual recognizance</t>
        </is>
      </c>
      <c r="B72" t="inlineStr">
        <is>
          <t>6pence from Richard son of Gilbert for the same.</t>
        </is>
      </c>
      <c r="C72" t="n">
        <v>0.03</v>
      </c>
      <c r="D72" t="n">
        <v>0</v>
      </c>
      <c r="E72" t="n">
        <v>0</v>
      </c>
      <c r="F72" t="n">
        <v>6</v>
      </c>
      <c r="H72" t="n">
        <v>0</v>
      </c>
      <c r="I72" t="n">
        <v>0</v>
      </c>
      <c r="J72" t="n">
        <v>0</v>
      </c>
      <c r="K72" t="n">
        <v>0</v>
      </c>
      <c r="L72" t="n">
        <v>0</v>
      </c>
      <c r="M72" t="n">
        <v>0</v>
      </c>
      <c r="N72" t="n">
        <v>0</v>
      </c>
    </row>
    <row r="73">
      <c r="A73" t="inlineStr">
        <is>
          <t>Annual recognizance</t>
        </is>
      </c>
      <c r="B73" t="inlineStr">
        <is>
          <t>nothing from Richard Sutor' this year because he is dead, that is, 6pence from Martin Faber of Netley for the same.</t>
        </is>
      </c>
      <c r="C73" t="n">
        <v>0.03</v>
      </c>
      <c r="D73" t="n">
        <v>0</v>
      </c>
      <c r="E73" t="n">
        <v>0</v>
      </c>
      <c r="F73" t="n">
        <v>6</v>
      </c>
      <c r="H73" t="n">
        <v>0</v>
      </c>
      <c r="I73" t="n">
        <v>0</v>
      </c>
      <c r="J73" t="n">
        <v>0</v>
      </c>
      <c r="K73" t="n">
        <v>0</v>
      </c>
      <c r="L73" t="n">
        <v>0</v>
      </c>
      <c r="M73" t="n">
        <v>0</v>
      </c>
      <c r="N73" t="n">
        <v>0</v>
      </c>
    </row>
    <row r="74">
      <c r="A74" t="inlineStr">
        <is>
          <t>Annual recognizance</t>
        </is>
      </c>
      <c r="B74" t="inlineStr">
        <is>
          <t>3pence from Hugh Reygnild' for the same.</t>
        </is>
      </c>
      <c r="C74" t="n">
        <v>0.01</v>
      </c>
      <c r="D74" t="n">
        <v>0</v>
      </c>
      <c r="E74" t="n">
        <v>0</v>
      </c>
      <c r="F74" t="n">
        <v>3</v>
      </c>
      <c r="H74" t="n">
        <v>0</v>
      </c>
      <c r="I74" t="n">
        <v>0</v>
      </c>
      <c r="J74" t="n">
        <v>0</v>
      </c>
      <c r="K74" t="n">
        <v>0</v>
      </c>
      <c r="L74" t="n">
        <v>0</v>
      </c>
      <c r="M74" t="n">
        <v>0</v>
      </c>
      <c r="N74" t="n">
        <v>0</v>
      </c>
    </row>
    <row r="75">
      <c r="A75" t="inlineStr">
        <is>
          <t>Annual recognizance</t>
        </is>
      </c>
      <c r="B75" t="inlineStr">
        <is>
          <t>nothing from Gervase de Asschewoll' this year because he is dead, that is, 3pence from Thomas le Boltere for the same.</t>
        </is>
      </c>
      <c r="C75" t="n">
        <v>0.01</v>
      </c>
      <c r="D75" t="n">
        <v>0</v>
      </c>
      <c r="E75" t="n">
        <v>0</v>
      </c>
      <c r="F75" t="n">
        <v>3</v>
      </c>
      <c r="H75" t="n">
        <v>0</v>
      </c>
      <c r="I75" t="n">
        <v>0</v>
      </c>
      <c r="J75" t="n">
        <v>0</v>
      </c>
      <c r="K75" t="n">
        <v>0</v>
      </c>
      <c r="L75" t="n">
        <v>0</v>
      </c>
      <c r="M75" t="n">
        <v>0</v>
      </c>
      <c r="N75" t="n">
        <v>0</v>
      </c>
    </row>
    <row r="76">
      <c r="A76" t="inlineStr">
        <is>
          <t>Annual recognizance</t>
        </is>
      </c>
      <c r="B76" t="inlineStr">
        <is>
          <t>6pence from John le Nywebond' for the same.</t>
        </is>
      </c>
      <c r="C76" t="n">
        <v>0.03</v>
      </c>
      <c r="D76" t="n">
        <v>0</v>
      </c>
      <c r="E76" t="n">
        <v>0</v>
      </c>
      <c r="F76" t="n">
        <v>6</v>
      </c>
      <c r="H76" t="n">
        <v>0</v>
      </c>
      <c r="I76" t="n">
        <v>0</v>
      </c>
      <c r="J76" t="n">
        <v>0</v>
      </c>
      <c r="K76" t="n">
        <v>0</v>
      </c>
      <c r="L76" t="n">
        <v>0</v>
      </c>
      <c r="M76" t="n">
        <v>0</v>
      </c>
      <c r="N76" t="n">
        <v>0</v>
      </c>
    </row>
    <row r="77">
      <c r="A77" t="inlineStr">
        <is>
          <t>Annual recognizance</t>
        </is>
      </c>
      <c r="B77" t="inlineStr">
        <is>
          <t>3pence from Guy Careter for the same.</t>
        </is>
      </c>
      <c r="C77" t="n">
        <v>0.01</v>
      </c>
      <c r="D77" t="n">
        <v>0</v>
      </c>
      <c r="E77" t="n">
        <v>0</v>
      </c>
      <c r="F77" t="n">
        <v>3</v>
      </c>
      <c r="H77" t="n">
        <v>0</v>
      </c>
      <c r="I77" t="n">
        <v>0</v>
      </c>
      <c r="J77" t="n">
        <v>0</v>
      </c>
      <c r="K77" t="n">
        <v>0</v>
      </c>
      <c r="L77" t="n">
        <v>0</v>
      </c>
      <c r="M77" t="n">
        <v>0</v>
      </c>
      <c r="N77" t="n">
        <v>0</v>
      </c>
    </row>
    <row r="78">
      <c r="A78" t="inlineStr">
        <is>
          <t>Annual recognizance</t>
        </is>
      </c>
      <c r="B78" t="inlineStr">
        <is>
          <t>3pence from Peter son of Michael for the same.</t>
        </is>
      </c>
      <c r="C78" t="n">
        <v>0.01</v>
      </c>
      <c r="D78" t="n">
        <v>0</v>
      </c>
      <c r="E78" t="n">
        <v>0</v>
      </c>
      <c r="F78" t="n">
        <v>3</v>
      </c>
      <c r="H78" t="n">
        <v>0</v>
      </c>
      <c r="I78" t="n">
        <v>0</v>
      </c>
      <c r="J78" t="n">
        <v>0</v>
      </c>
      <c r="K78" t="n">
        <v>0</v>
      </c>
      <c r="L78" t="n">
        <v>0</v>
      </c>
      <c r="M78" t="n">
        <v>0</v>
      </c>
      <c r="N78" t="n">
        <v>0</v>
      </c>
    </row>
    <row r="79">
      <c r="A79" t="inlineStr">
        <is>
          <t>Annual recognizance</t>
        </is>
      </c>
      <c r="B79" t="inlineStr">
        <is>
          <t>Total, 3 shilling 3pence</t>
        </is>
      </c>
      <c r="C79" t="n">
        <v>0.16</v>
      </c>
      <c r="D79" t="n">
        <v>0</v>
      </c>
      <c r="E79" t="n">
        <v>3</v>
      </c>
      <c r="F79" t="n">
        <v>3</v>
      </c>
      <c r="H79" t="n">
        <v>0</v>
      </c>
      <c r="I79" t="n">
        <v>0</v>
      </c>
      <c r="J79" t="n">
        <v>0</v>
      </c>
      <c r="K79" t="n">
        <v>0</v>
      </c>
      <c r="L79" t="n">
        <v>0</v>
      </c>
      <c r="M79" t="n">
        <v>0</v>
      </c>
      <c r="N79" t="n">
        <v>0</v>
      </c>
    </row>
    <row r="80">
      <c r="A80" t="inlineStr">
        <is>
          <t>Corn and malt mill'</t>
        </is>
      </c>
      <c r="B80" t="inlineStr">
        <is>
          <t>The same render account for £2 19 shilling 11pence from 23 quarters 5 bushels of corn from the whole issue of the mill sold, at 3 shilling a quarters for 8 quarters, 2 shilling 8pence a quarters for 7 quarters, and 2 shilling a quarters for 8 quarters 5 bushels.</t>
        </is>
      </c>
      <c r="C80" t="n">
        <v>3</v>
      </c>
      <c r="D80" t="n">
        <v>2</v>
      </c>
      <c r="E80" t="n">
        <v>19</v>
      </c>
      <c r="F80" t="n">
        <v>11</v>
      </c>
      <c r="H80" t="n">
        <v>23</v>
      </c>
      <c r="I80" t="n">
        <v>5</v>
      </c>
      <c r="J80" t="n">
        <v>23.625</v>
      </c>
      <c r="K80" t="n">
        <v>23.625</v>
      </c>
      <c r="L80" t="n">
        <v>0</v>
      </c>
      <c r="M80" t="n">
        <v>23</v>
      </c>
      <c r="N80" t="n">
        <v>5</v>
      </c>
      <c r="O80" t="n">
        <v>8</v>
      </c>
      <c r="P80" t="n">
        <v>0</v>
      </c>
      <c r="Q80" t="n">
        <v>7</v>
      </c>
      <c r="R80" t="n">
        <v>0</v>
      </c>
      <c r="S80" t="n">
        <v>8</v>
      </c>
      <c r="T80" t="n">
        <v>5</v>
      </c>
      <c r="U80" t="n">
        <v>3</v>
      </c>
      <c r="V80" t="n">
        <v>0</v>
      </c>
      <c r="W80" t="n">
        <v>2</v>
      </c>
      <c r="X80" t="n">
        <v>8</v>
      </c>
      <c r="Y80" t="n">
        <v>2</v>
      </c>
      <c r="Z80" t="n">
        <v>0</v>
      </c>
    </row>
    <row r="81">
      <c r="A81" t="inlineStr">
        <is>
          <t>Corn and malt mill'</t>
        </is>
      </c>
      <c r="B81" t="inlineStr">
        <is>
          <t>10 shilling 4pence from 3 quarters 5 bushels of malfsold, at 3 shilling a quarters for 2 quarters, and 2 shilling 8pence a quarters for 1 quarters 5 bushels Total, £3 10 shilling 3pence</t>
        </is>
      </c>
      <c r="C81" t="n">
        <v>3.51</v>
      </c>
      <c r="D81" t="n">
        <v>3</v>
      </c>
      <c r="E81" t="n">
        <v>10</v>
      </c>
      <c r="F81" t="n">
        <v>3</v>
      </c>
      <c r="H81" t="n">
        <v>3</v>
      </c>
      <c r="I81" t="n">
        <v>5</v>
      </c>
      <c r="J81" t="n">
        <v>3.625</v>
      </c>
      <c r="K81" t="n">
        <v>3.625</v>
      </c>
      <c r="L81" t="n">
        <v>0</v>
      </c>
      <c r="M81" t="n">
        <v>3</v>
      </c>
      <c r="N81" t="n">
        <v>5</v>
      </c>
      <c r="O81" t="n">
        <v>2</v>
      </c>
      <c r="P81" t="n">
        <v>0</v>
      </c>
      <c r="Q81" t="n">
        <v>1</v>
      </c>
      <c r="R81" t="n">
        <v>5</v>
      </c>
      <c r="U81" t="n">
        <v>3</v>
      </c>
      <c r="V81" t="n">
        <v>0</v>
      </c>
      <c r="W81" t="n">
        <v>2</v>
      </c>
      <c r="X81" t="n">
        <v>8</v>
      </c>
    </row>
    <row r="82">
      <c r="A82" t="inlineStr">
        <is>
          <t>Wheat, barley, oats and beans sold</t>
        </is>
      </c>
      <c r="B82" t="inlineStr">
        <is>
          <t>The same render account for £41 14 shilling from 168 quarters of wheat sold, at 5 shilling a quarters for 162 quarters, and 4 shilling a quarters for 6 quarters.</t>
        </is>
      </c>
      <c r="C82" t="n">
        <v>41.7</v>
      </c>
      <c r="D82" t="n">
        <v>41</v>
      </c>
      <c r="E82" t="n">
        <v>14</v>
      </c>
      <c r="F82" t="n">
        <v>0</v>
      </c>
      <c r="G82" t="inlineStr">
        <is>
          <t>wheat</t>
        </is>
      </c>
      <c r="H82" t="n">
        <v>168</v>
      </c>
      <c r="I82" t="n">
        <v>0</v>
      </c>
      <c r="J82" t="n">
        <v>168</v>
      </c>
      <c r="K82" t="n">
        <v>168</v>
      </c>
      <c r="L82" t="n">
        <v>0</v>
      </c>
      <c r="M82" t="n">
        <v>168</v>
      </c>
      <c r="N82" t="n">
        <v>0</v>
      </c>
      <c r="O82" t="n">
        <v>162</v>
      </c>
      <c r="P82" t="n">
        <v>0</v>
      </c>
      <c r="Q82" t="n">
        <v>6</v>
      </c>
      <c r="R82" t="n">
        <v>0</v>
      </c>
      <c r="U82" t="n">
        <v>5</v>
      </c>
      <c r="V82" t="n">
        <v>0</v>
      </c>
      <c r="W82" t="n">
        <v>4</v>
      </c>
      <c r="X82" t="n">
        <v>0</v>
      </c>
    </row>
    <row r="83">
      <c r="A83" t="inlineStr">
        <is>
          <t>Wheat, barley, oats and beans sold</t>
        </is>
      </c>
      <c r="B83" t="inlineStr">
        <is>
          <t>£2 2 shilling 3pence from 9 quarters 6 bushels of wheat sold for the queen's use, at 4 shilling 4pence a quarters.</t>
        </is>
      </c>
      <c r="C83" t="n">
        <v>2.11</v>
      </c>
      <c r="D83" t="n">
        <v>2</v>
      </c>
      <c r="E83" t="n">
        <v>2</v>
      </c>
      <c r="F83" t="n">
        <v>3</v>
      </c>
      <c r="G83" t="inlineStr">
        <is>
          <t>wheat</t>
        </is>
      </c>
      <c r="H83" t="n">
        <v>9</v>
      </c>
      <c r="I83" t="n">
        <v>6</v>
      </c>
      <c r="J83" t="n">
        <v>9.75</v>
      </c>
      <c r="K83" t="n">
        <v>9.75</v>
      </c>
      <c r="L83" t="n">
        <v>0</v>
      </c>
      <c r="M83" t="n">
        <v>9</v>
      </c>
      <c r="N83" t="n">
        <v>6</v>
      </c>
      <c r="U83" t="n">
        <v>4</v>
      </c>
      <c r="V83" t="n">
        <v>4</v>
      </c>
    </row>
    <row r="84">
      <c r="A84" t="inlineStr">
        <is>
          <t>Wheat, barley, oats and beans sold</t>
        </is>
      </c>
      <c r="B84" t="inlineStr">
        <is>
          <t>£1 13 shilling 4pence from 10 quarters of barley sold, at 3 shilling 4pence a quarters.</t>
        </is>
      </c>
      <c r="C84" t="n">
        <v>1.67</v>
      </c>
      <c r="D84" t="n">
        <v>1</v>
      </c>
      <c r="E84" t="n">
        <v>13</v>
      </c>
      <c r="F84" t="n">
        <v>4</v>
      </c>
      <c r="G84" t="inlineStr">
        <is>
          <t>barley</t>
        </is>
      </c>
      <c r="H84" t="n">
        <v>10</v>
      </c>
      <c r="I84" t="n">
        <v>0</v>
      </c>
      <c r="J84" t="n">
        <v>10</v>
      </c>
      <c r="K84" t="n">
        <v>10</v>
      </c>
      <c r="L84" t="n">
        <v>0</v>
      </c>
      <c r="M84" t="n">
        <v>10</v>
      </c>
      <c r="N84" t="n">
        <v>0</v>
      </c>
      <c r="U84" t="n">
        <v>3</v>
      </c>
      <c r="V84" t="n">
        <v>4</v>
      </c>
    </row>
    <row r="85">
      <c r="A85" t="inlineStr">
        <is>
          <t>Wheat, barley, oats and beans sold</t>
        </is>
      </c>
      <c r="B85" t="inlineStr">
        <is>
          <t>£5 1 shilling from 60.5 quarters of oats from the demesne sold, at 2 shilling a quarters for 20.5 quarters, and 1 shilling 6pence a quarters for 40 quarters.</t>
        </is>
      </c>
      <c r="C85" t="n">
        <v>5.05</v>
      </c>
      <c r="D85" t="n">
        <v>5</v>
      </c>
      <c r="E85" t="n">
        <v>1</v>
      </c>
      <c r="F85" t="n">
        <v>0</v>
      </c>
      <c r="G85" t="inlineStr">
        <is>
          <t>oats</t>
        </is>
      </c>
      <c r="H85" t="n">
        <v>60.5</v>
      </c>
      <c r="I85" t="n">
        <v>0</v>
      </c>
      <c r="J85" t="n">
        <v>60.5</v>
      </c>
      <c r="K85" t="n">
        <v>60.5</v>
      </c>
      <c r="L85" t="n">
        <v>0</v>
      </c>
      <c r="M85" t="n">
        <v>60.5</v>
      </c>
      <c r="N85" t="n">
        <v>0</v>
      </c>
      <c r="O85" t="n">
        <v>20.5</v>
      </c>
      <c r="P85" t="n">
        <v>0</v>
      </c>
      <c r="Q85" t="n">
        <v>40</v>
      </c>
      <c r="R85" t="n">
        <v>0</v>
      </c>
      <c r="U85" t="n">
        <v>2</v>
      </c>
      <c r="V85" t="n">
        <v>0</v>
      </c>
      <c r="W85" t="n">
        <v>1</v>
      </c>
      <c r="X85" t="n">
        <v>6</v>
      </c>
    </row>
    <row r="86">
      <c r="A86" t="inlineStr">
        <is>
          <t>Wheat, barley, oats and beans sold</t>
        </is>
      </c>
      <c r="B86" t="inlineStr">
        <is>
          <t>£3 18 shilling 9pence from 39 quarters 3 bushels of oats from the vill sold according to custom, at 2 shilling a quarters.</t>
        </is>
      </c>
      <c r="C86" t="n">
        <v>3.94</v>
      </c>
      <c r="D86" t="n">
        <v>3</v>
      </c>
      <c r="E86" t="n">
        <v>18</v>
      </c>
      <c r="F86" t="n">
        <v>9</v>
      </c>
      <c r="G86" t="inlineStr">
        <is>
          <t>oats</t>
        </is>
      </c>
      <c r="H86" t="n">
        <v>39</v>
      </c>
      <c r="I86" t="n">
        <v>3</v>
      </c>
      <c r="J86" t="n">
        <v>39.375</v>
      </c>
      <c r="K86" t="n">
        <v>39.375</v>
      </c>
      <c r="L86" t="n">
        <v>0</v>
      </c>
      <c r="M86" t="n">
        <v>39</v>
      </c>
      <c r="N86" t="n">
        <v>3</v>
      </c>
      <c r="U86" t="n">
        <v>2</v>
      </c>
      <c r="V86" t="n">
        <v>0</v>
      </c>
    </row>
    <row r="87">
      <c r="A87" t="inlineStr">
        <is>
          <t>Wheat, barley, oats and beans sold</t>
        </is>
      </c>
      <c r="B87" t="inlineStr">
        <is>
          <t>12 shilling 3pence from 6 quarters 1 bushels of beans sold, at 2 shilling a quarters.</t>
        </is>
      </c>
      <c r="C87" t="n">
        <v>0.61</v>
      </c>
      <c r="D87" t="n">
        <v>0</v>
      </c>
      <c r="E87" t="n">
        <v>12</v>
      </c>
      <c r="F87" t="n">
        <v>3</v>
      </c>
      <c r="G87" t="inlineStr">
        <is>
          <t>beans</t>
        </is>
      </c>
      <c r="H87" t="n">
        <v>6</v>
      </c>
      <c r="I87" t="n">
        <v>1</v>
      </c>
      <c r="J87" t="n">
        <v>6.125</v>
      </c>
      <c r="K87" t="n">
        <v>6.125</v>
      </c>
      <c r="L87" t="n">
        <v>0</v>
      </c>
      <c r="M87" t="n">
        <v>6</v>
      </c>
      <c r="N87" t="n">
        <v>1</v>
      </c>
      <c r="U87" t="n">
        <v>2</v>
      </c>
      <c r="V87" t="n">
        <v>0</v>
      </c>
    </row>
    <row r="88">
      <c r="A88" t="inlineStr">
        <is>
          <t>Wheat, barley, oats and beans sold</t>
        </is>
      </c>
      <c r="B88" t="inlineStr">
        <is>
          <t>1 shilling 5.5pence from 3.5 bushels of barley sold at the audit, at 5pence a bushels Total of all corn sold, £55 3 shilling 0.5pence</t>
        </is>
      </c>
      <c r="C88" t="n">
        <v>55.15</v>
      </c>
      <c r="D88" t="n">
        <v>55</v>
      </c>
      <c r="E88" t="n">
        <v>3</v>
      </c>
      <c r="F88" t="n">
        <v>0.5</v>
      </c>
      <c r="G88" t="inlineStr">
        <is>
          <t>barley</t>
        </is>
      </c>
      <c r="H88" t="n">
        <v>0</v>
      </c>
      <c r="I88" t="n">
        <v>3.5</v>
      </c>
      <c r="J88" t="n">
        <v>0.4375</v>
      </c>
      <c r="K88" t="n">
        <v>0.4375</v>
      </c>
      <c r="L88" t="n">
        <v>0</v>
      </c>
      <c r="M88" t="n">
        <v>0</v>
      </c>
      <c r="N88" t="n">
        <v>3.5</v>
      </c>
      <c r="AC88" t="n">
        <v>0</v>
      </c>
      <c r="AD88" t="n">
        <v>5</v>
      </c>
    </row>
    <row r="89">
      <c r="A89" t="inlineStr">
        <is>
          <t>Entry and marriage fines</t>
        </is>
      </c>
      <c r="B89" t="inlineStr">
        <is>
          <t>The same render account for 2 shilling from Geoffrey atte Slade for marrying Matilda his daughter outside.</t>
        </is>
      </c>
      <c r="C89" t="n">
        <v>0.1</v>
      </c>
      <c r="D89" t="n">
        <v>0</v>
      </c>
      <c r="E89" t="n">
        <v>2</v>
      </c>
      <c r="F89" t="n">
        <v>0</v>
      </c>
      <c r="H89" t="n">
        <v>0</v>
      </c>
      <c r="I89" t="n">
        <v>0</v>
      </c>
      <c r="J89" t="n">
        <v>0</v>
      </c>
      <c r="K89" t="n">
        <v>0</v>
      </c>
      <c r="L89" t="n">
        <v>0</v>
      </c>
      <c r="M89" t="n">
        <v>0</v>
      </c>
      <c r="N89" t="n">
        <v>0</v>
      </c>
    </row>
    <row r="90">
      <c r="A90" t="inlineStr">
        <is>
          <t>Entry and marriage fines</t>
        </is>
      </c>
      <c r="B90" t="inlineStr">
        <is>
          <t>1 shilling from Agnes atte Slad' for marrying herself within.</t>
        </is>
      </c>
      <c r="C90" t="n">
        <v>0.05</v>
      </c>
      <c r="D90" t="n">
        <v>0</v>
      </c>
      <c r="E90" t="n">
        <v>1</v>
      </c>
      <c r="F90" t="n">
        <v>0</v>
      </c>
      <c r="H90" t="n">
        <v>0</v>
      </c>
      <c r="I90" t="n">
        <v>0</v>
      </c>
      <c r="J90" t="n">
        <v>0</v>
      </c>
      <c r="K90" t="n">
        <v>0</v>
      </c>
      <c r="L90" t="n">
        <v>0</v>
      </c>
      <c r="M90" t="n">
        <v>0</v>
      </c>
      <c r="N90" t="n">
        <v>0</v>
      </c>
    </row>
    <row r="91">
      <c r="A91" t="inlineStr">
        <is>
          <t>Entry and marriage fines</t>
        </is>
      </c>
      <c r="B91" t="inlineStr">
        <is>
          <t>2 shilling from Matilda la Dreyestr' for marrying Alice her daughter outside.</t>
        </is>
      </c>
      <c r="C91" t="n">
        <v>0.1</v>
      </c>
      <c r="D91" t="n">
        <v>0</v>
      </c>
      <c r="E91" t="n">
        <v>2</v>
      </c>
      <c r="F91" t="n">
        <v>0</v>
      </c>
      <c r="H91" t="n">
        <v>0</v>
      </c>
      <c r="I91" t="n">
        <v>0</v>
      </c>
      <c r="J91" t="n">
        <v>0</v>
      </c>
      <c r="K91" t="n">
        <v>0</v>
      </c>
      <c r="L91" t="n">
        <v>0</v>
      </c>
      <c r="M91" t="n">
        <v>0</v>
      </c>
      <c r="N91" t="n">
        <v>0</v>
      </c>
    </row>
    <row r="92">
      <c r="A92" t="inlineStr">
        <is>
          <t>Entry and marriage fines</t>
        </is>
      </c>
      <c r="B92" t="inlineStr">
        <is>
          <t>2 shilling from Muriel, who was wife of William Peck', to retain 1 house and .5 acre of assarted land which belonged to the said William her husband.</t>
        </is>
      </c>
      <c r="C92" t="n">
        <v>0.1</v>
      </c>
      <c r="D92" t="n">
        <v>0</v>
      </c>
      <c r="E92" t="n">
        <v>2</v>
      </c>
      <c r="F92" t="n">
        <v>0</v>
      </c>
      <c r="H92" t="n">
        <v>0</v>
      </c>
      <c r="I92" t="n">
        <v>0</v>
      </c>
      <c r="J92" t="n">
        <v>0</v>
      </c>
      <c r="K92" t="n">
        <v>0</v>
      </c>
      <c r="L92" t="n">
        <v>0</v>
      </c>
      <c r="M92" t="n">
        <v>0</v>
      </c>
      <c r="N92" t="n">
        <v>0</v>
      </c>
    </row>
    <row r="93">
      <c r="A93" t="inlineStr">
        <is>
          <t>Entry and marriage fines</t>
        </is>
      </c>
      <c r="B93" t="inlineStr">
        <is>
          <t>13 shilling 4pence from Walter Molendinarius to have Alice atte Pund' with her land.</t>
        </is>
      </c>
      <c r="C93" t="n">
        <v>0.67</v>
      </c>
      <c r="D93" t="n">
        <v>0</v>
      </c>
      <c r="E93" t="n">
        <v>13</v>
      </c>
      <c r="F93" t="n">
        <v>4</v>
      </c>
      <c r="H93" t="n">
        <v>0</v>
      </c>
      <c r="I93" t="n">
        <v>0</v>
      </c>
      <c r="J93" t="n">
        <v>0</v>
      </c>
      <c r="K93" t="n">
        <v>0</v>
      </c>
      <c r="L93" t="n">
        <v>0</v>
      </c>
      <c r="M93" t="n">
        <v>0</v>
      </c>
      <c r="N93" t="n">
        <v>0</v>
      </c>
    </row>
    <row r="94">
      <c r="A94" t="inlineStr">
        <is>
          <t>Entry and marriage fines</t>
        </is>
      </c>
      <c r="B94" t="inlineStr">
        <is>
          <t>2 shilling from Juliana, who was wife of Richard Sutoris, to have entry to 1 house which Richard Sutor formerly held.</t>
        </is>
      </c>
      <c r="C94" t="n">
        <v>0.1</v>
      </c>
      <c r="D94" t="n">
        <v>0</v>
      </c>
      <c r="E94" t="n">
        <v>2</v>
      </c>
      <c r="F94" t="n">
        <v>0</v>
      </c>
      <c r="H94" t="n">
        <v>0</v>
      </c>
      <c r="I94" t="n">
        <v>0</v>
      </c>
      <c r="J94" t="n">
        <v>0</v>
      </c>
      <c r="K94" t="n">
        <v>0</v>
      </c>
      <c r="L94" t="n">
        <v>0</v>
      </c>
      <c r="M94" t="n">
        <v>0</v>
      </c>
      <c r="N94" t="n">
        <v>0</v>
      </c>
    </row>
    <row r="95">
      <c r="A95" t="inlineStr">
        <is>
          <t>Entry and marriage fines</t>
        </is>
      </c>
      <c r="B95" t="inlineStr">
        <is>
          <t>£1 6 shilling 8pence from John, son of John Jacob, for entry to two virgates of land which the said John his father held.</t>
        </is>
      </c>
      <c r="C95" t="n">
        <v>1.33</v>
      </c>
      <c r="D95" t="n">
        <v>1</v>
      </c>
      <c r="E95" t="n">
        <v>6</v>
      </c>
      <c r="F95" t="n">
        <v>8</v>
      </c>
      <c r="H95" t="n">
        <v>0</v>
      </c>
      <c r="I95" t="n">
        <v>0</v>
      </c>
      <c r="J95" t="n">
        <v>0</v>
      </c>
      <c r="K95" t="n">
        <v>0</v>
      </c>
      <c r="L95" t="n">
        <v>0</v>
      </c>
      <c r="M95" t="n">
        <v>0</v>
      </c>
      <c r="N95" t="n">
        <v>0</v>
      </c>
    </row>
    <row r="96">
      <c r="A96" t="inlineStr">
        <is>
          <t>Entry and marriage fines</t>
        </is>
      </c>
      <c r="B96" t="inlineStr">
        <is>
          <t>4 shilling from Richard le Wych' for marrying Leticia his daughter within.</t>
        </is>
      </c>
      <c r="C96" t="n">
        <v>0.2</v>
      </c>
      <c r="D96" t="n">
        <v>0</v>
      </c>
      <c r="E96" t="n">
        <v>4</v>
      </c>
      <c r="F96" t="n">
        <v>0</v>
      </c>
      <c r="H96" t="n">
        <v>0</v>
      </c>
      <c r="I96" t="n">
        <v>0</v>
      </c>
      <c r="J96" t="n">
        <v>0</v>
      </c>
      <c r="K96" t="n">
        <v>0</v>
      </c>
      <c r="L96" t="n">
        <v>0</v>
      </c>
      <c r="M96" t="n">
        <v>0</v>
      </c>
      <c r="N96" t="n">
        <v>0</v>
      </c>
    </row>
    <row r="97">
      <c r="A97" t="inlineStr">
        <is>
          <t>Entry and marriage fines</t>
        </is>
      </c>
      <c r="B97" t="inlineStr">
        <is>
          <t>6 shilling 8pence from Walter Bast for marrying Matilda his daughter outside.</t>
        </is>
      </c>
      <c r="C97" t="n">
        <v>0.33</v>
      </c>
      <c r="D97" t="n">
        <v>0</v>
      </c>
      <c r="E97" t="n">
        <v>6</v>
      </c>
      <c r="F97" t="n">
        <v>8</v>
      </c>
      <c r="H97" t="n">
        <v>0</v>
      </c>
      <c r="I97" t="n">
        <v>0</v>
      </c>
      <c r="J97" t="n">
        <v>0</v>
      </c>
      <c r="K97" t="n">
        <v>0</v>
      </c>
      <c r="L97" t="n">
        <v>0</v>
      </c>
      <c r="M97" t="n">
        <v>0</v>
      </c>
      <c r="N97" t="n">
        <v>0</v>
      </c>
    </row>
    <row r="98">
      <c r="A98" t="inlineStr">
        <is>
          <t>Entry and marriage fines</t>
        </is>
      </c>
      <c r="B98" t="inlineStr">
        <is>
          <t>3 shilling 4pence from John Bucok' to have entry to 1 butt of land by concession and surrender of John Hod, and he will relieve the said John Hod of 4pence annual rent.</t>
        </is>
      </c>
      <c r="C98" t="n">
        <v>0.17</v>
      </c>
      <c r="D98" t="n">
        <v>0</v>
      </c>
      <c r="E98" t="n">
        <v>3</v>
      </c>
      <c r="F98" t="n">
        <v>4</v>
      </c>
      <c r="H98" t="n">
        <v>0</v>
      </c>
      <c r="I98" t="n">
        <v>0</v>
      </c>
      <c r="J98" t="n">
        <v>0</v>
      </c>
      <c r="K98" t="n">
        <v>0</v>
      </c>
      <c r="L98" t="n">
        <v>0</v>
      </c>
      <c r="M98" t="n">
        <v>0</v>
      </c>
      <c r="N98" t="n">
        <v>0</v>
      </c>
    </row>
    <row r="99">
      <c r="A99" t="inlineStr">
        <is>
          <t>Entry and marriage fines</t>
        </is>
      </c>
      <c r="B99" t="inlineStr">
        <is>
          <t>3 shilling 6pence from William le Careter to have entry to 1.5 acres of assart by concession and surrender of Robert de Chyssend'.</t>
        </is>
      </c>
      <c r="C99" t="n">
        <v>0.17</v>
      </c>
      <c r="D99" t="n">
        <v>0</v>
      </c>
      <c r="E99" t="n">
        <v>3</v>
      </c>
      <c r="F99" t="n">
        <v>6</v>
      </c>
      <c r="H99" t="n">
        <v>0</v>
      </c>
      <c r="I99" t="n">
        <v>0</v>
      </c>
      <c r="J99" t="n">
        <v>0</v>
      </c>
      <c r="K99" t="n">
        <v>0</v>
      </c>
      <c r="L99" t="n">
        <v>0</v>
      </c>
      <c r="M99" t="n">
        <v>0</v>
      </c>
      <c r="N99" t="n">
        <v>0</v>
      </c>
    </row>
    <row r="100">
      <c r="A100" t="inlineStr">
        <is>
          <t>Entry and marriage fines</t>
        </is>
      </c>
      <c r="B100" t="inlineStr">
        <is>
          <t>£4 from William, son of Herbert Reygnild, to have entry to 1 messuage with 1 virgate of customary land which he has held of his father because his elder brother John said in full court that he was unwilling to fine for the said land, that is, he quitclaimed wholly his right to the use of the said William.</t>
        </is>
      </c>
      <c r="C100" t="n">
        <v>4</v>
      </c>
      <c r="D100" t="n">
        <v>4</v>
      </c>
      <c r="E100" t="n">
        <v>0</v>
      </c>
      <c r="F100" t="n">
        <v>0</v>
      </c>
      <c r="H100" t="n">
        <v>0</v>
      </c>
      <c r="I100" t="n">
        <v>0</v>
      </c>
      <c r="J100" t="n">
        <v>0</v>
      </c>
      <c r="K100" t="n">
        <v>0</v>
      </c>
      <c r="L100" t="n">
        <v>0</v>
      </c>
      <c r="M100" t="n">
        <v>0</v>
      </c>
      <c r="N100" t="n">
        <v>0</v>
      </c>
    </row>
    <row r="101">
      <c r="A101" t="inlineStr">
        <is>
          <t>Entry and marriage fines</t>
        </is>
      </c>
      <c r="B101" t="inlineStr">
        <is>
          <t>18 shilling 8pence from 10 tithings for tithingpenny at the hundred-court of Martinmas.</t>
        </is>
      </c>
      <c r="C101" t="n">
        <v>0.93</v>
      </c>
      <c r="D101" t="n">
        <v>0</v>
      </c>
      <c r="E101" t="n">
        <v>18</v>
      </c>
      <c r="F101" t="n">
        <v>8</v>
      </c>
      <c r="H101" t="n">
        <v>0</v>
      </c>
      <c r="I101" t="n">
        <v>0</v>
      </c>
      <c r="J101" t="n">
        <v>0</v>
      </c>
      <c r="K101" t="n">
        <v>0</v>
      </c>
      <c r="L101" t="n">
        <v>0</v>
      </c>
      <c r="M101" t="n">
        <v>0</v>
      </c>
      <c r="N101" t="n">
        <v>0</v>
      </c>
    </row>
    <row r="102">
      <c r="A102" t="inlineStr">
        <is>
          <t>Entry and marriage fines</t>
        </is>
      </c>
      <c r="B102" t="inlineStr">
        <is>
          <t>18 shilling 8pence from the same tithings for tithingpenny at the hundred-court of Hockday.</t>
        </is>
      </c>
      <c r="C102" t="n">
        <v>0.93</v>
      </c>
      <c r="D102" t="n">
        <v>0</v>
      </c>
      <c r="E102" t="n">
        <v>18</v>
      </c>
      <c r="F102" t="n">
        <v>8</v>
      </c>
      <c r="H102" t="n">
        <v>0</v>
      </c>
      <c r="I102" t="n">
        <v>0</v>
      </c>
      <c r="J102" t="n">
        <v>0</v>
      </c>
      <c r="K102" t="n">
        <v>0</v>
      </c>
      <c r="L102" t="n">
        <v>0</v>
      </c>
      <c r="M102" t="n">
        <v>0</v>
      </c>
      <c r="N102" t="n">
        <v>0</v>
      </c>
    </row>
    <row r="103">
      <c r="A103" t="inlineStr">
        <is>
          <t>Entry and marriage fines</t>
        </is>
      </c>
      <c r="B103" t="inlineStr">
        <is>
          <t>Total, £9 3 shilling 10pence</t>
        </is>
      </c>
      <c r="C103" t="n">
        <v>9.19</v>
      </c>
      <c r="D103" t="n">
        <v>9</v>
      </c>
      <c r="E103" t="n">
        <v>3</v>
      </c>
      <c r="F103" t="n">
        <v>10</v>
      </c>
      <c r="H103" t="n">
        <v>0</v>
      </c>
      <c r="I103" t="n">
        <v>0</v>
      </c>
      <c r="J103" t="n">
        <v>0</v>
      </c>
      <c r="K103" t="n">
        <v>0</v>
      </c>
      <c r="L103" t="n">
        <v>0</v>
      </c>
      <c r="M103" t="n">
        <v>0</v>
      </c>
      <c r="N103" t="n">
        <v>0</v>
      </c>
    </row>
    <row r="104">
      <c r="A104" t="inlineStr">
        <is>
          <t>Pleas and perquisites</t>
        </is>
      </c>
      <c r="B104" t="inlineStr">
        <is>
          <t>The same render account for £3 10 shilling I 1pence from the pleas and perquisites of all the courts this year.</t>
        </is>
      </c>
      <c r="C104" t="n">
        <v>3.5</v>
      </c>
      <c r="D104" t="n">
        <v>3</v>
      </c>
      <c r="E104" t="n">
        <v>10</v>
      </c>
      <c r="F104" t="n">
        <v>0</v>
      </c>
      <c r="H104" t="n">
        <v>0</v>
      </c>
      <c r="I104" t="n">
        <v>0</v>
      </c>
      <c r="J104" t="n">
        <v>0</v>
      </c>
      <c r="K104" t="n">
        <v>0</v>
      </c>
      <c r="L104" t="n">
        <v>0</v>
      </c>
      <c r="M104" t="n">
        <v>0</v>
      </c>
      <c r="N104" t="n">
        <v>0</v>
      </c>
    </row>
    <row r="105">
      <c r="A105" t="inlineStr">
        <is>
          <t>Pleas and perquisites</t>
        </is>
      </c>
      <c r="B105" t="inlineStr">
        <is>
          <t>£2 from the reeve for many transgressions of which he was convicted at the audit.</t>
        </is>
      </c>
      <c r="C105" t="n">
        <v>2</v>
      </c>
      <c r="D105" t="n">
        <v>2</v>
      </c>
      <c r="E105" t="n">
        <v>0</v>
      </c>
      <c r="F105" t="n">
        <v>0</v>
      </c>
      <c r="H105" t="n">
        <v>0</v>
      </c>
      <c r="I105" t="n">
        <v>0</v>
      </c>
      <c r="J105" t="n">
        <v>0</v>
      </c>
      <c r="K105" t="n">
        <v>0</v>
      </c>
      <c r="L105" t="n">
        <v>0</v>
      </c>
      <c r="M105" t="n">
        <v>0</v>
      </c>
      <c r="N105" t="n">
        <v>0</v>
      </c>
    </row>
    <row r="106">
      <c r="A106" t="inlineStr">
        <is>
          <t>Pleas and perquisites</t>
        </is>
      </c>
      <c r="B106" t="inlineStr">
        <is>
          <t>Total, £5 10 shilling 11pence</t>
        </is>
      </c>
      <c r="C106" t="n">
        <v>5.55</v>
      </c>
      <c r="D106" t="n">
        <v>5</v>
      </c>
      <c r="E106" t="n">
        <v>10</v>
      </c>
      <c r="F106" t="n">
        <v>11</v>
      </c>
      <c r="H106" t="n">
        <v>0</v>
      </c>
      <c r="I106" t="n">
        <v>0</v>
      </c>
      <c r="J106" t="n">
        <v>0</v>
      </c>
      <c r="K106" t="n">
        <v>0</v>
      </c>
      <c r="L106" t="n">
        <v>0</v>
      </c>
      <c r="M106" t="n">
        <v>0</v>
      </c>
      <c r="N106" t="n">
        <v>0</v>
      </c>
    </row>
    <row r="107">
      <c r="A107" t="inlineStr">
        <is>
          <t>Total of entry fines with perquisites</t>
        </is>
      </c>
      <c r="B107" t="inlineStr">
        <is>
          <t>Total of entry fines with perquisites, £14 14 shilling 9pence</t>
        </is>
      </c>
      <c r="C107" t="n">
        <v>14.74</v>
      </c>
      <c r="D107" t="n">
        <v>14</v>
      </c>
      <c r="E107" t="n">
        <v>14</v>
      </c>
      <c r="F107" t="n">
        <v>9</v>
      </c>
      <c r="H107" t="n">
        <v>0</v>
      </c>
      <c r="I107" t="n">
        <v>0</v>
      </c>
      <c r="J107" t="n">
        <v>0</v>
      </c>
      <c r="K107" t="n">
        <v>0</v>
      </c>
      <c r="L107" t="n">
        <v>0</v>
      </c>
      <c r="M107" t="n">
        <v>0</v>
      </c>
      <c r="N107" t="n">
        <v>0</v>
      </c>
    </row>
    <row r="108">
      <c r="A108" t="inlineStr">
        <is>
          <t>Total of all receipts</t>
        </is>
      </c>
      <c r="B108" t="inlineStr">
        <is>
          <t>Total of all receipts, £125 16 shilling 1.75pence</t>
        </is>
      </c>
      <c r="C108" t="n">
        <v>125.81</v>
      </c>
      <c r="D108" t="n">
        <v>125</v>
      </c>
      <c r="E108" t="n">
        <v>16</v>
      </c>
      <c r="F108" t="n">
        <v>1.75</v>
      </c>
      <c r="H108" t="n">
        <v>0</v>
      </c>
      <c r="I108" t="n">
        <v>0</v>
      </c>
      <c r="J108" t="n">
        <v>0</v>
      </c>
      <c r="K108" t="n">
        <v>0</v>
      </c>
      <c r="L108" t="n">
        <v>0</v>
      </c>
      <c r="M108" t="n">
        <v>0</v>
      </c>
      <c r="N108" t="n">
        <v>0</v>
      </c>
    </row>
    <row r="109">
      <c r="A109" t="inlineStr">
        <is>
          <t>Expenses for ploughs</t>
        </is>
      </c>
      <c r="B109" t="inlineStr">
        <is>
          <t>In ironwork of 5 ploughs for the year 7 shilling 10pence.</t>
        </is>
      </c>
      <c r="C109" t="n">
        <v>0.39</v>
      </c>
      <c r="D109" t="n">
        <v>0</v>
      </c>
      <c r="E109" t="n">
        <v>7</v>
      </c>
      <c r="F109" t="n">
        <v>10</v>
      </c>
      <c r="H109" t="n">
        <v>0</v>
      </c>
      <c r="I109" t="n">
        <v>0</v>
      </c>
      <c r="J109" t="n">
        <v>0</v>
      </c>
      <c r="K109" t="n">
        <v>0</v>
      </c>
      <c r="L109" t="n">
        <v>0</v>
      </c>
      <c r="M109" t="n">
        <v>0</v>
      </c>
      <c r="N109" t="n">
        <v>0</v>
      </c>
    </row>
    <row r="110">
      <c r="A110" t="inlineStr">
        <is>
          <t>Expenses for ploughs</t>
        </is>
      </c>
      <c r="B110" t="inlineStr">
        <is>
          <t>2 ploughshares bought 1 shilling 6pence Moreover they have 1 ploughshare as made clear above.</t>
        </is>
      </c>
      <c r="C110" t="n">
        <v>0.08</v>
      </c>
      <c r="D110" t="n">
        <v>0</v>
      </c>
      <c r="E110" t="n">
        <v>1</v>
      </c>
      <c r="F110" t="n">
        <v>6</v>
      </c>
      <c r="H110" t="n">
        <v>0</v>
      </c>
      <c r="I110" t="n">
        <v>0</v>
      </c>
      <c r="J110" t="n">
        <v>0</v>
      </c>
      <c r="K110" t="n">
        <v>0</v>
      </c>
      <c r="L110" t="n">
        <v>0</v>
      </c>
      <c r="M110" t="n">
        <v>0</v>
      </c>
      <c r="N110" t="n">
        <v>0</v>
      </c>
    </row>
    <row r="111">
      <c r="A111" t="inlineStr">
        <is>
          <t>Expenses for ploughs</t>
        </is>
      </c>
      <c r="B111" t="inlineStr">
        <is>
          <t>Nothing accounted for forging the said ironwork because the smith takes 2 acres of wheat as they lie in the field for forging the same when the ploughmen are ploughing for the whole year.</t>
        </is>
      </c>
      <c r="C111" t="n">
        <v>0</v>
      </c>
      <c r="D111" t="n">
        <v>0</v>
      </c>
      <c r="E111" t="n">
        <v>0</v>
      </c>
      <c r="F111" t="n">
        <v>0</v>
      </c>
      <c r="G111" t="inlineStr">
        <is>
          <t>wheat</t>
        </is>
      </c>
      <c r="H111" t="n">
        <v>0</v>
      </c>
      <c r="I111" t="n">
        <v>0</v>
      </c>
      <c r="J111" t="n">
        <v>0</v>
      </c>
      <c r="K111" t="n">
        <v>0</v>
      </c>
      <c r="L111" t="n">
        <v>0</v>
      </c>
      <c r="M111" t="n">
        <v>0</v>
      </c>
      <c r="N111" t="n">
        <v>0</v>
      </c>
    </row>
    <row r="112">
      <c r="A112" t="inlineStr">
        <is>
          <t>Expenses for ploughs</t>
        </is>
      </c>
      <c r="B112" t="inlineStr">
        <is>
          <t>.</t>
        </is>
      </c>
      <c r="C112" t="n">
        <v>0</v>
      </c>
      <c r="D112" t="n">
        <v>0</v>
      </c>
      <c r="E112" t="n">
        <v>0</v>
      </c>
      <c r="F112" t="n">
        <v>0</v>
      </c>
      <c r="H112" t="n">
        <v>0</v>
      </c>
      <c r="I112" t="n">
        <v>0</v>
      </c>
      <c r="J112" t="n">
        <v>0</v>
      </c>
      <c r="K112" t="n">
        <v>0</v>
      </c>
      <c r="L112" t="n">
        <v>0</v>
      </c>
      <c r="M112" t="n">
        <v>0</v>
      </c>
      <c r="N112" t="n">
        <v>0</v>
      </c>
    </row>
    <row r="113">
      <c r="A113" t="inlineStr">
        <is>
          <t>Expenses for ploughs</t>
        </is>
      </c>
      <c r="B113" t="inlineStr">
        <is>
          <t>4 iron spurs bought 8pence.</t>
        </is>
      </c>
      <c r="C113" t="n">
        <v>0.03</v>
      </c>
      <c r="D113" t="n">
        <v>0</v>
      </c>
      <c r="E113" t="n">
        <v>0</v>
      </c>
      <c r="F113" t="n">
        <v>8</v>
      </c>
      <c r="H113" t="n">
        <v>0</v>
      </c>
      <c r="I113" t="n">
        <v>0</v>
      </c>
      <c r="J113" t="n">
        <v>0</v>
      </c>
      <c r="K113" t="n">
        <v>0</v>
      </c>
      <c r="L113" t="n">
        <v>0</v>
      </c>
      <c r="M113" t="n">
        <v>0</v>
      </c>
      <c r="N113" t="n">
        <v>0</v>
      </c>
    </row>
    <row r="114">
      <c r="A114" t="inlineStr">
        <is>
          <t>Expenses for ploughs</t>
        </is>
      </c>
      <c r="B114" t="inlineStr">
        <is>
          <t>stipend of 1 carpenter making new ploughs, repairing old ploughs, and making harrows and yokes from the lord's timber 3 shilling 2pence, because the manorial servant who by custom made these is deapence.</t>
        </is>
      </c>
      <c r="C114" t="n">
        <v>0.16</v>
      </c>
      <c r="D114" t="n">
        <v>0</v>
      </c>
      <c r="E114" t="n">
        <v>3</v>
      </c>
      <c r="F114" t="n">
        <v>2</v>
      </c>
      <c r="H114" t="n">
        <v>0</v>
      </c>
      <c r="I114" t="n">
        <v>0</v>
      </c>
      <c r="J114" t="n">
        <v>0</v>
      </c>
      <c r="K114" t="n">
        <v>0</v>
      </c>
      <c r="L114" t="n">
        <v>0</v>
      </c>
      <c r="M114" t="n">
        <v>0</v>
      </c>
      <c r="N114" t="n">
        <v>0</v>
      </c>
    </row>
    <row r="115">
      <c r="A115" t="inlineStr">
        <is>
          <t>Expenses for ploughs</t>
        </is>
      </c>
      <c r="B115" t="inlineStr">
        <is>
          <t>15 oxen bought £8 18 shilling 2pence, at 13 shilling 5pence each for 2, 12 shilling 6pence each for 4, 12 shilling each for 3, 11 shilling 5pence each for 3, 10 shilling 6.51. each for 2, and 10 shilling for 1..</t>
        </is>
      </c>
      <c r="C115" t="n">
        <v>8.91</v>
      </c>
      <c r="D115" t="n">
        <v>8</v>
      </c>
      <c r="E115" t="n">
        <v>18</v>
      </c>
      <c r="F115" t="n">
        <v>2</v>
      </c>
      <c r="H115" t="n">
        <v>0</v>
      </c>
      <c r="I115" t="n">
        <v>0</v>
      </c>
      <c r="J115" t="n">
        <v>0</v>
      </c>
      <c r="K115" t="n">
        <v>0</v>
      </c>
      <c r="L115" t="n">
        <v>0</v>
      </c>
      <c r="M115" t="n">
        <v>0</v>
      </c>
      <c r="N115" t="n">
        <v>0</v>
      </c>
    </row>
    <row r="116">
      <c r="A116" t="inlineStr">
        <is>
          <t>Expenses for ploughs</t>
        </is>
      </c>
      <c r="B116" t="inlineStr">
        <is>
          <t>12 quarters 2 bushels of wheat bought for sowing £2 4 shilling 11pence, at 3 shilling 8pence a quarters.</t>
        </is>
      </c>
      <c r="C116" t="n">
        <v>2.25</v>
      </c>
      <c r="D116" t="n">
        <v>2</v>
      </c>
      <c r="E116" t="n">
        <v>4</v>
      </c>
      <c r="F116" t="n">
        <v>11</v>
      </c>
      <c r="G116" t="inlineStr">
        <is>
          <t>wheat</t>
        </is>
      </c>
      <c r="H116" t="n">
        <v>12</v>
      </c>
      <c r="I116" t="n">
        <v>2</v>
      </c>
      <c r="J116" t="n">
        <v>12.25</v>
      </c>
      <c r="K116" t="n">
        <v>12.25</v>
      </c>
      <c r="L116" t="n">
        <v>0</v>
      </c>
      <c r="M116" t="n">
        <v>12</v>
      </c>
      <c r="N116" t="n">
        <v>2</v>
      </c>
      <c r="U116" t="n">
        <v>3</v>
      </c>
      <c r="V116" t="n">
        <v>8</v>
      </c>
    </row>
    <row r="117">
      <c r="A117" t="inlineStr">
        <is>
          <t>Expenses for ploughs</t>
        </is>
      </c>
      <c r="B117" t="inlineStr">
        <is>
          <t>.</t>
        </is>
      </c>
      <c r="C117" t="n">
        <v>0</v>
      </c>
      <c r="D117" t="n">
        <v>0</v>
      </c>
      <c r="E117" t="n">
        <v>0</v>
      </c>
      <c r="F117" t="n">
        <v>0</v>
      </c>
      <c r="H117" t="n">
        <v>0</v>
      </c>
      <c r="I117" t="n">
        <v>0</v>
      </c>
      <c r="J117" t="n">
        <v>0</v>
      </c>
      <c r="K117" t="n">
        <v>0</v>
      </c>
      <c r="L117" t="n">
        <v>0</v>
      </c>
      <c r="M117" t="n">
        <v>0</v>
      </c>
      <c r="N117" t="n">
        <v>0</v>
      </c>
    </row>
    <row r="118">
      <c r="A118" t="inlineStr">
        <is>
          <t>Expenses for ploughs</t>
        </is>
      </c>
      <c r="B118" t="inlineStr">
        <is>
          <t>34 quarters of maslin bought for the liveries of the manorial servants £4 4 shilling, at 3 shilling a quarters for 8 quarters, 2 shilling 8pence a quarters for 12 quarters, and 2 shilling a quarters for 14 quarters.</t>
        </is>
      </c>
      <c r="C118" t="n">
        <v>4.2</v>
      </c>
      <c r="D118" t="n">
        <v>4</v>
      </c>
      <c r="E118" t="n">
        <v>4</v>
      </c>
      <c r="F118" t="n">
        <v>0</v>
      </c>
      <c r="G118" t="inlineStr">
        <is>
          <t>maslin</t>
        </is>
      </c>
      <c r="H118" t="n">
        <v>34</v>
      </c>
      <c r="I118" t="n">
        <v>0</v>
      </c>
      <c r="J118" t="n">
        <v>34</v>
      </c>
      <c r="K118" t="n">
        <v>34</v>
      </c>
      <c r="L118" t="n">
        <v>0</v>
      </c>
      <c r="M118" t="n">
        <v>34</v>
      </c>
      <c r="N118" t="n">
        <v>0</v>
      </c>
      <c r="O118" t="n">
        <v>8</v>
      </c>
      <c r="P118" t="n">
        <v>0</v>
      </c>
      <c r="Q118" t="n">
        <v>12</v>
      </c>
      <c r="R118" t="n">
        <v>0</v>
      </c>
      <c r="S118" t="n">
        <v>14</v>
      </c>
      <c r="T118" t="n">
        <v>0</v>
      </c>
      <c r="U118" t="n">
        <v>3</v>
      </c>
      <c r="V118" t="n">
        <v>0</v>
      </c>
      <c r="W118" t="n">
        <v>2</v>
      </c>
      <c r="X118" t="n">
        <v>8</v>
      </c>
      <c r="Y118" t="n">
        <v>2</v>
      </c>
      <c r="Z118" t="n">
        <v>0</v>
      </c>
    </row>
    <row r="119">
      <c r="A119" t="inlineStr">
        <is>
          <t>Expenses for ploughs</t>
        </is>
      </c>
      <c r="B119" t="inlineStr">
        <is>
          <t>.</t>
        </is>
      </c>
      <c r="C119" t="n">
        <v>0</v>
      </c>
      <c r="D119" t="n">
        <v>0</v>
      </c>
      <c r="E119" t="n">
        <v>0</v>
      </c>
      <c r="F119" t="n">
        <v>0</v>
      </c>
      <c r="H119" t="n">
        <v>0</v>
      </c>
      <c r="I119" t="n">
        <v>0</v>
      </c>
      <c r="J119" t="n">
        <v>0</v>
      </c>
      <c r="K119" t="n">
        <v>0</v>
      </c>
      <c r="L119" t="n">
        <v>0</v>
      </c>
      <c r="M119" t="n">
        <v>0</v>
      </c>
      <c r="N119" t="n">
        <v>0</v>
      </c>
    </row>
    <row r="120">
      <c r="A120" t="inlineStr">
        <is>
          <t>Expenses for ploughs</t>
        </is>
      </c>
      <c r="B120" t="inlineStr">
        <is>
          <t>4.5 quarters of oats bought for fodder of horses 6 shilling 9pence, at 1 shilling 6pence a quarters.</t>
        </is>
      </c>
      <c r="C120" t="n">
        <v>0.34</v>
      </c>
      <c r="D120" t="n">
        <v>0</v>
      </c>
      <c r="E120" t="n">
        <v>6</v>
      </c>
      <c r="F120" t="n">
        <v>9</v>
      </c>
      <c r="G120" t="inlineStr">
        <is>
          <t>oats</t>
        </is>
      </c>
      <c r="H120" t="n">
        <v>4.5</v>
      </c>
      <c r="I120" t="n">
        <v>0</v>
      </c>
      <c r="J120" t="n">
        <v>4.5</v>
      </c>
      <c r="K120" t="n">
        <v>4.5</v>
      </c>
      <c r="L120" t="n">
        <v>0</v>
      </c>
      <c r="M120" t="n">
        <v>4.5</v>
      </c>
      <c r="N120" t="n">
        <v>0</v>
      </c>
      <c r="U120" t="n">
        <v>1</v>
      </c>
      <c r="V120" t="n">
        <v>6</v>
      </c>
    </row>
    <row r="121">
      <c r="A121" t="inlineStr">
        <is>
          <t>Expenses for ploughs</t>
        </is>
      </c>
      <c r="B121" t="inlineStr">
        <is>
          <t>.</t>
        </is>
      </c>
      <c r="C121" t="n">
        <v>0</v>
      </c>
      <c r="D121" t="n">
        <v>0</v>
      </c>
      <c r="E121" t="n">
        <v>0</v>
      </c>
      <c r="F121" t="n">
        <v>0</v>
      </c>
      <c r="H121" t="n">
        <v>0</v>
      </c>
      <c r="I121" t="n">
        <v>0</v>
      </c>
      <c r="J121" t="n">
        <v>0</v>
      </c>
      <c r="K121" t="n">
        <v>0</v>
      </c>
      <c r="L121" t="n">
        <v>0</v>
      </c>
      <c r="M121" t="n">
        <v>0</v>
      </c>
      <c r="N121" t="n">
        <v>0</v>
      </c>
    </row>
    <row r="122">
      <c r="A122" t="inlineStr">
        <is>
          <t>Expenses for ploughs</t>
        </is>
      </c>
      <c r="B122" t="inlineStr">
        <is>
          <t>hay bought £1, because hay was taken for the queen's use.</t>
        </is>
      </c>
      <c r="C122" t="n">
        <v>1</v>
      </c>
      <c r="D122" t="n">
        <v>1</v>
      </c>
      <c r="E122" t="n">
        <v>0</v>
      </c>
      <c r="F122" t="n">
        <v>0</v>
      </c>
      <c r="H122" t="n">
        <v>0</v>
      </c>
      <c r="I122" t="n">
        <v>0</v>
      </c>
      <c r="J122" t="n">
        <v>0</v>
      </c>
      <c r="K122" t="n">
        <v>0</v>
      </c>
      <c r="L122" t="n">
        <v>0</v>
      </c>
      <c r="M122" t="n">
        <v>0</v>
      </c>
      <c r="N122" t="n">
        <v>0</v>
      </c>
    </row>
    <row r="123">
      <c r="A123" t="inlineStr">
        <is>
          <t>Expenses for ploughs</t>
        </is>
      </c>
      <c r="B123" t="inlineStr">
        <is>
          <t>.</t>
        </is>
      </c>
      <c r="C123" t="n">
        <v>0</v>
      </c>
      <c r="D123" t="n">
        <v>0</v>
      </c>
      <c r="E123" t="n">
        <v>0</v>
      </c>
      <c r="F123" t="n">
        <v>0</v>
      </c>
      <c r="H123" t="n">
        <v>0</v>
      </c>
      <c r="I123" t="n">
        <v>0</v>
      </c>
      <c r="J123" t="n">
        <v>0</v>
      </c>
      <c r="K123" t="n">
        <v>0</v>
      </c>
      <c r="L123" t="n">
        <v>0</v>
      </c>
      <c r="M123" t="n">
        <v>0</v>
      </c>
      <c r="N123" t="n">
        <v>0</v>
      </c>
    </row>
    <row r="124">
      <c r="A124" t="inlineStr">
        <is>
          <t>Expenses for ploughs</t>
        </is>
      </c>
      <c r="B124" t="inlineStr">
        <is>
          <t>forage bought for stock £1 16 shilling Ipence.</t>
        </is>
      </c>
      <c r="C124" t="n">
        <v>1.8</v>
      </c>
      <c r="D124" t="n">
        <v>1</v>
      </c>
      <c r="E124" t="n">
        <v>16</v>
      </c>
      <c r="F124" t="n">
        <v>0</v>
      </c>
      <c r="H124" t="n">
        <v>0</v>
      </c>
      <c r="I124" t="n">
        <v>0</v>
      </c>
      <c r="J124" t="n">
        <v>0</v>
      </c>
      <c r="K124" t="n">
        <v>0</v>
      </c>
      <c r="L124" t="n">
        <v>0</v>
      </c>
      <c r="M124" t="n">
        <v>0</v>
      </c>
      <c r="N124" t="n">
        <v>0</v>
      </c>
    </row>
    <row r="125">
      <c r="A125" t="inlineStr">
        <is>
          <t>Expenses for ploughs</t>
        </is>
      </c>
      <c r="B125" t="inlineStr">
        <is>
          <t>stipend of 5 oxherds for .5 year in winter 6 shilling 8pence, or 1 shilling 4pence each, because each manorial servant takes corn at harvest-time for the other .5 year in summer, that is,' acre of wheat and .5 acre of oats as they lie in the fie1pence Total, £19 8 shilling 3pence</t>
        </is>
      </c>
      <c r="C125" t="n">
        <v>19.41</v>
      </c>
      <c r="D125" t="n">
        <v>19</v>
      </c>
      <c r="E125" t="n">
        <v>8</v>
      </c>
      <c r="F125" t="n">
        <v>3</v>
      </c>
      <c r="G125" t="inlineStr">
        <is>
          <t>oats, wheat</t>
        </is>
      </c>
      <c r="H125" t="n">
        <v>0</v>
      </c>
      <c r="I125" t="n">
        <v>0</v>
      </c>
      <c r="J125" t="n">
        <v>0</v>
      </c>
      <c r="K125" t="n">
        <v>0</v>
      </c>
      <c r="L125" t="n">
        <v>0</v>
      </c>
      <c r="M125" t="n">
        <v>0</v>
      </c>
      <c r="N125" t="n">
        <v>0</v>
      </c>
    </row>
    <row r="126">
      <c r="A126" t="inlineStr">
        <is>
          <t>Expenses for carts and wagons</t>
        </is>
      </c>
      <c r="B126" t="inlineStr">
        <is>
          <t>In clouts and nails for the cart for the year 1 shilling 2pence.</t>
        </is>
      </c>
      <c r="C126" t="n">
        <v>0.06</v>
      </c>
      <c r="D126" t="n">
        <v>0</v>
      </c>
      <c r="E126" t="n">
        <v>1</v>
      </c>
      <c r="F126" t="n">
        <v>2</v>
      </c>
      <c r="H126" t="n">
        <v>0</v>
      </c>
      <c r="I126" t="n">
        <v>0</v>
      </c>
      <c r="J126" t="n">
        <v>0</v>
      </c>
      <c r="K126" t="n">
        <v>0</v>
      </c>
      <c r="L126" t="n">
        <v>0</v>
      </c>
      <c r="M126" t="n">
        <v>0</v>
      </c>
      <c r="N126" t="n">
        <v>0</v>
      </c>
    </row>
    <row r="127">
      <c r="A127" t="inlineStr">
        <is>
          <t>Expenses for carts and wagons</t>
        </is>
      </c>
      <c r="B127" t="inlineStr">
        <is>
          <t>white leather for mending harnesses of the cart 1 shilling 1pence.</t>
        </is>
      </c>
      <c r="C127" t="n">
        <v>0.05</v>
      </c>
      <c r="D127" t="n">
        <v>0</v>
      </c>
      <c r="E127" t="n">
        <v>1</v>
      </c>
      <c r="F127" t="n">
        <v>1</v>
      </c>
      <c r="H127" t="n">
        <v>0</v>
      </c>
      <c r="I127" t="n">
        <v>0</v>
      </c>
      <c r="J127" t="n">
        <v>0</v>
      </c>
      <c r="K127" t="n">
        <v>0</v>
      </c>
      <c r="L127" t="n">
        <v>0</v>
      </c>
      <c r="M127" t="n">
        <v>0</v>
      </c>
      <c r="N127" t="n">
        <v>0</v>
      </c>
    </row>
    <row r="128">
      <c r="A128" t="inlineStr">
        <is>
          <t>Expenses for carts and wagons</t>
        </is>
      </c>
      <c r="B128" t="inlineStr">
        <is>
          <t>grease bought for the year 4pence.</t>
        </is>
      </c>
      <c r="C128" t="n">
        <v>0.02</v>
      </c>
      <c r="D128" t="n">
        <v>0</v>
      </c>
      <c r="E128" t="n">
        <v>0</v>
      </c>
      <c r="F128" t="n">
        <v>4</v>
      </c>
      <c r="H128" t="n">
        <v>0</v>
      </c>
      <c r="I128" t="n">
        <v>0</v>
      </c>
      <c r="J128" t="n">
        <v>0</v>
      </c>
      <c r="K128" t="n">
        <v>0</v>
      </c>
      <c r="L128" t="n">
        <v>0</v>
      </c>
      <c r="M128" t="n">
        <v>0</v>
      </c>
      <c r="N128" t="n">
        <v>0</v>
      </c>
    </row>
    <row r="129">
      <c r="A129" t="inlineStr">
        <is>
          <t>Expenses for carts and wagons</t>
        </is>
      </c>
      <c r="B129" t="inlineStr">
        <is>
          <t>5 halters for plough-horses made from their own hair 1pence.</t>
        </is>
      </c>
      <c r="C129" t="n">
        <v>0</v>
      </c>
      <c r="D129" t="n">
        <v>0</v>
      </c>
      <c r="E129" t="n">
        <v>0</v>
      </c>
      <c r="F129" t="n">
        <v>1</v>
      </c>
      <c r="H129" t="n">
        <v>0</v>
      </c>
      <c r="I129" t="n">
        <v>0</v>
      </c>
      <c r="J129" t="n">
        <v>0</v>
      </c>
      <c r="K129" t="n">
        <v>0</v>
      </c>
      <c r="L129" t="n">
        <v>0</v>
      </c>
      <c r="M129" t="n">
        <v>0</v>
      </c>
      <c r="N129" t="n">
        <v>0</v>
      </c>
    </row>
    <row r="130">
      <c r="A130" t="inlineStr">
        <is>
          <t>Expenses for carts and wagons</t>
        </is>
      </c>
      <c r="B130" t="inlineStr">
        <is>
          <t>mending saddle-pads 1.5pence.</t>
        </is>
      </c>
      <c r="C130" t="n">
        <v>0.01</v>
      </c>
      <c r="D130" t="n">
        <v>0</v>
      </c>
      <c r="E130" t="n">
        <v>0</v>
      </c>
      <c r="F130" t="n">
        <v>1.5</v>
      </c>
      <c r="H130" t="n">
        <v>0</v>
      </c>
      <c r="I130" t="n">
        <v>0</v>
      </c>
      <c r="J130" t="n">
        <v>0</v>
      </c>
      <c r="K130" t="n">
        <v>0</v>
      </c>
      <c r="L130" t="n">
        <v>0</v>
      </c>
      <c r="M130" t="n">
        <v>0</v>
      </c>
      <c r="N130" t="n">
        <v>0</v>
      </c>
    </row>
    <row r="131">
      <c r="A131" t="inlineStr">
        <is>
          <t>Expenses for carts and wagons</t>
        </is>
      </c>
      <c r="B131" t="inlineStr">
        <is>
          <t>1 collar bought 6pence.</t>
        </is>
      </c>
      <c r="C131" t="n">
        <v>0.03</v>
      </c>
      <c r="D131" t="n">
        <v>0</v>
      </c>
      <c r="E131" t="n">
        <v>0</v>
      </c>
      <c r="F131" t="n">
        <v>6</v>
      </c>
      <c r="H131" t="n">
        <v>0</v>
      </c>
      <c r="I131" t="n">
        <v>0</v>
      </c>
      <c r="J131" t="n">
        <v>0</v>
      </c>
      <c r="K131" t="n">
        <v>0</v>
      </c>
      <c r="L131" t="n">
        <v>0</v>
      </c>
      <c r="M131" t="n">
        <v>0</v>
      </c>
      <c r="N131" t="n">
        <v>0</v>
      </c>
    </row>
    <row r="132">
      <c r="A132" t="inlineStr">
        <is>
          <t>Expenses for carts and wagons</t>
        </is>
      </c>
      <c r="B132" t="inlineStr">
        <is>
          <t>a wooden base for 1 cart-saddle 1.5pence.</t>
        </is>
      </c>
      <c r="C132" t="n">
        <v>0.01</v>
      </c>
      <c r="D132" t="n">
        <v>0</v>
      </c>
      <c r="E132" t="n">
        <v>0</v>
      </c>
      <c r="F132" t="n">
        <v>1.5</v>
      </c>
      <c r="H132" t="n">
        <v>0</v>
      </c>
      <c r="I132" t="n">
        <v>0</v>
      </c>
      <c r="J132" t="n">
        <v>0</v>
      </c>
      <c r="K132" t="n">
        <v>0</v>
      </c>
      <c r="L132" t="n">
        <v>0</v>
      </c>
      <c r="M132" t="n">
        <v>0</v>
      </c>
      <c r="N132" t="n">
        <v>0</v>
      </c>
    </row>
    <row r="133">
      <c r="A133" t="inlineStr">
        <is>
          <t>Expenses for carts and wagons</t>
        </is>
      </c>
      <c r="B133" t="inlineStr">
        <is>
          <t>repairing old collars 1pence.</t>
        </is>
      </c>
      <c r="C133" t="n">
        <v>0</v>
      </c>
      <c r="D133" t="n">
        <v>0</v>
      </c>
      <c r="E133" t="n">
        <v>0</v>
      </c>
      <c r="F133" t="n">
        <v>1</v>
      </c>
      <c r="H133" t="n">
        <v>0</v>
      </c>
      <c r="I133" t="n">
        <v>0</v>
      </c>
      <c r="J133" t="n">
        <v>0</v>
      </c>
      <c r="K133" t="n">
        <v>0</v>
      </c>
      <c r="L133" t="n">
        <v>0</v>
      </c>
      <c r="M133" t="n">
        <v>0</v>
      </c>
      <c r="N133" t="n">
        <v>0</v>
      </c>
    </row>
    <row r="134">
      <c r="A134" t="inlineStr">
        <is>
          <t>Expenses for carts and wagons</t>
        </is>
      </c>
      <c r="B134" t="inlineStr">
        <is>
          <t>1 pair of traces bought 7pence.</t>
        </is>
      </c>
      <c r="C134" t="n">
        <v>0.03</v>
      </c>
      <c r="D134" t="n">
        <v>0</v>
      </c>
      <c r="E134" t="n">
        <v>0</v>
      </c>
      <c r="F134" t="n">
        <v>7</v>
      </c>
      <c r="H134" t="n">
        <v>0</v>
      </c>
      <c r="I134" t="n">
        <v>0</v>
      </c>
      <c r="J134" t="n">
        <v>0</v>
      </c>
      <c r="K134" t="n">
        <v>0</v>
      </c>
      <c r="L134" t="n">
        <v>0</v>
      </c>
      <c r="M134" t="n">
        <v>0</v>
      </c>
      <c r="N134" t="n">
        <v>0</v>
      </c>
    </row>
    <row r="135">
      <c r="A135" t="inlineStr">
        <is>
          <t>Expenses for carts and wagons</t>
        </is>
      </c>
      <c r="B135" t="inlineStr">
        <is>
          <t>making 2 pairs of wheels from the lord's timber for the cart with iron tyres and for clearing dung.</t>
        </is>
      </c>
      <c r="C135" t="n">
        <v>0</v>
      </c>
      <c r="D135" t="n">
        <v>0</v>
      </c>
      <c r="E135" t="n">
        <v>0</v>
      </c>
      <c r="F135" t="n">
        <v>0</v>
      </c>
      <c r="H135" t="n">
        <v>0</v>
      </c>
      <c r="I135" t="n">
        <v>0</v>
      </c>
      <c r="J135" t="n">
        <v>0</v>
      </c>
      <c r="K135" t="n">
        <v>0</v>
      </c>
      <c r="L135" t="n">
        <v>0</v>
      </c>
      <c r="M135" t="n">
        <v>0</v>
      </c>
      <c r="N135" t="n">
        <v>0</v>
      </c>
    </row>
    <row r="136">
      <c r="A136" t="inlineStr">
        <is>
          <t>Expenses for carts and wagons</t>
        </is>
      </c>
      <c r="B136" t="inlineStr">
        <is>
          <t>.</t>
        </is>
      </c>
      <c r="C136" t="n">
        <v>0</v>
      </c>
      <c r="D136" t="n">
        <v>0</v>
      </c>
      <c r="E136" t="n">
        <v>0</v>
      </c>
      <c r="F136" t="n">
        <v>0</v>
      </c>
      <c r="H136" t="n">
        <v>0</v>
      </c>
      <c r="I136" t="n">
        <v>0</v>
      </c>
      <c r="J136" t="n">
        <v>0</v>
      </c>
      <c r="K136" t="n">
        <v>0</v>
      </c>
      <c r="L136" t="n">
        <v>0</v>
      </c>
      <c r="M136" t="n">
        <v>0</v>
      </c>
      <c r="N136" t="n">
        <v>0</v>
      </c>
    </row>
    <row r="137">
      <c r="A137" t="inlineStr">
        <is>
          <t>Expenses for carts and wagons</t>
        </is>
      </c>
      <c r="B137" t="inlineStr">
        <is>
          <t>new large nails and clamps and frets with the stipend of the smith fitting 1 pair of wheels with old iron tyres 6 shilling 2pence.</t>
        </is>
      </c>
      <c r="C137" t="n">
        <v>0.31</v>
      </c>
      <c r="D137" t="n">
        <v>0</v>
      </c>
      <c r="E137" t="n">
        <v>6</v>
      </c>
      <c r="F137" t="n">
        <v>2</v>
      </c>
      <c r="H137" t="n">
        <v>0</v>
      </c>
      <c r="I137" t="n">
        <v>0</v>
      </c>
      <c r="J137" t="n">
        <v>0</v>
      </c>
      <c r="K137" t="n">
        <v>0</v>
      </c>
      <c r="L137" t="n">
        <v>0</v>
      </c>
      <c r="M137" t="n">
        <v>0</v>
      </c>
      <c r="N137" t="n">
        <v>0</v>
      </c>
    </row>
    <row r="138">
      <c r="A138" t="inlineStr">
        <is>
          <t>Expenses for carts and wagons</t>
        </is>
      </c>
      <c r="B138" t="inlineStr">
        <is>
          <t>fitting the cart with axles for the year 4pence.</t>
        </is>
      </c>
      <c r="C138" t="n">
        <v>0.02</v>
      </c>
      <c r="D138" t="n">
        <v>0</v>
      </c>
      <c r="E138" t="n">
        <v>0</v>
      </c>
      <c r="F138" t="n">
        <v>4</v>
      </c>
      <c r="H138" t="n">
        <v>0</v>
      </c>
      <c r="I138" t="n">
        <v>0</v>
      </c>
      <c r="J138" t="n">
        <v>0</v>
      </c>
      <c r="K138" t="n">
        <v>0</v>
      </c>
      <c r="L138" t="n">
        <v>0</v>
      </c>
      <c r="M138" t="n">
        <v>0</v>
      </c>
      <c r="N138" t="n">
        <v>0</v>
      </c>
    </row>
    <row r="139">
      <c r="A139" t="inlineStr">
        <is>
          <t>Expenses for carts and wagons</t>
        </is>
      </c>
      <c r="B139" t="inlineStr">
        <is>
          <t>shoeing 2 cart-horses for the year by piece-work 2 shilling.</t>
        </is>
      </c>
      <c r="C139" t="n">
        <v>0.1</v>
      </c>
      <c r="D139" t="n">
        <v>0</v>
      </c>
      <c r="E139" t="n">
        <v>2</v>
      </c>
      <c r="F139" t="n">
        <v>0</v>
      </c>
      <c r="H139" t="n">
        <v>0</v>
      </c>
      <c r="I139" t="n">
        <v>0</v>
      </c>
      <c r="J139" t="n">
        <v>0</v>
      </c>
      <c r="K139" t="n">
        <v>0</v>
      </c>
      <c r="L139" t="n">
        <v>0</v>
      </c>
      <c r="M139" t="n">
        <v>0</v>
      </c>
      <c r="N139" t="n">
        <v>0</v>
      </c>
    </row>
    <row r="140">
      <c r="A140" t="inlineStr">
        <is>
          <t>Expenses for carts and wagons</t>
        </is>
      </c>
      <c r="B140" t="inlineStr">
        <is>
          <t>stipend of 1 carter for' year in winter 1 shilling 4pence, because for the other .5 year he takes corn in the field like the rest of the manorial servants.</t>
        </is>
      </c>
      <c r="C140" t="n">
        <v>0.07000000000000001</v>
      </c>
      <c r="D140" t="n">
        <v>0</v>
      </c>
      <c r="E140" t="n">
        <v>1</v>
      </c>
      <c r="F140" t="n">
        <v>4</v>
      </c>
      <c r="H140" t="n">
        <v>0</v>
      </c>
      <c r="I140" t="n">
        <v>0</v>
      </c>
      <c r="J140" t="n">
        <v>0</v>
      </c>
      <c r="K140" t="n">
        <v>0</v>
      </c>
      <c r="L140" t="n">
        <v>0</v>
      </c>
      <c r="M140" t="n">
        <v>0</v>
      </c>
      <c r="N140" t="n">
        <v>0</v>
      </c>
    </row>
    <row r="141">
      <c r="A141" t="inlineStr">
        <is>
          <t>Expenses for carts and wagons</t>
        </is>
      </c>
      <c r="B141" t="inlineStr">
        <is>
          <t>.</t>
        </is>
      </c>
      <c r="C141" t="n">
        <v>0</v>
      </c>
      <c r="D141" t="n">
        <v>0</v>
      </c>
      <c r="E141" t="n">
        <v>0</v>
      </c>
      <c r="F141" t="n">
        <v>0</v>
      </c>
      <c r="H141" t="n">
        <v>0</v>
      </c>
      <c r="I141" t="n">
        <v>0</v>
      </c>
      <c r="J141" t="n">
        <v>0</v>
      </c>
      <c r="K141" t="n">
        <v>0</v>
      </c>
      <c r="L141" t="n">
        <v>0</v>
      </c>
      <c r="M141" t="n">
        <v>0</v>
      </c>
      <c r="N141" t="n">
        <v>0</v>
      </c>
    </row>
    <row r="142">
      <c r="A142" t="inlineStr">
        <is>
          <t>Expenses for carts and wagons</t>
        </is>
      </c>
      <c r="B142" t="inlineStr">
        <is>
          <t>clouts and nails bought for wagons 6pence.</t>
        </is>
      </c>
      <c r="C142" t="n">
        <v>0.03</v>
      </c>
      <c r="D142" t="n">
        <v>0</v>
      </c>
      <c r="E142" t="n">
        <v>0</v>
      </c>
      <c r="F142" t="n">
        <v>6</v>
      </c>
      <c r="H142" t="n">
        <v>0</v>
      </c>
      <c r="I142" t="n">
        <v>0</v>
      </c>
      <c r="J142" t="n">
        <v>0</v>
      </c>
      <c r="K142" t="n">
        <v>0</v>
      </c>
      <c r="L142" t="n">
        <v>0</v>
      </c>
      <c r="M142" t="n">
        <v>0</v>
      </c>
      <c r="N142" t="n">
        <v>0</v>
      </c>
    </row>
    <row r="143">
      <c r="A143" t="inlineStr">
        <is>
          <t>Expenses for carts and wagons</t>
        </is>
      </c>
      <c r="B143" t="inlineStr">
        <is>
          <t>grease and tallow bought for the same 2pence Total, 15 shilling 5pence</t>
        </is>
      </c>
      <c r="C143" t="n">
        <v>0.76</v>
      </c>
      <c r="D143" t="n">
        <v>0</v>
      </c>
      <c r="E143" t="n">
        <v>15</v>
      </c>
      <c r="F143" t="n">
        <v>2</v>
      </c>
      <c r="H143" t="n">
        <v>0</v>
      </c>
      <c r="I143" t="n">
        <v>0</v>
      </c>
      <c r="J143" t="n">
        <v>0</v>
      </c>
      <c r="K143" t="n">
        <v>0</v>
      </c>
      <c r="L143" t="n">
        <v>0</v>
      </c>
      <c r="M143" t="n">
        <v>0</v>
      </c>
      <c r="N143" t="n">
        <v>0</v>
      </c>
    </row>
    <row r="144">
      <c r="A144" t="inlineStr">
        <is>
          <t>Dairy</t>
        </is>
      </c>
      <c r="B144" t="inlineStr">
        <is>
          <t>In linen cloth for the dairy 3pence.</t>
        </is>
      </c>
      <c r="C144" t="n">
        <v>0.01</v>
      </c>
      <c r="D144" t="n">
        <v>0</v>
      </c>
      <c r="E144" t="n">
        <v>0</v>
      </c>
      <c r="F144" t="n">
        <v>3</v>
      </c>
      <c r="H144" t="n">
        <v>0</v>
      </c>
      <c r="I144" t="n">
        <v>0</v>
      </c>
      <c r="J144" t="n">
        <v>0</v>
      </c>
      <c r="K144" t="n">
        <v>0</v>
      </c>
      <c r="L144" t="n">
        <v>0</v>
      </c>
      <c r="M144" t="n">
        <v>0</v>
      </c>
      <c r="N144" t="n">
        <v>0</v>
      </c>
    </row>
    <row r="145">
      <c r="A145" t="inlineStr">
        <is>
          <t>Dairy</t>
        </is>
      </c>
      <c r="B145" t="inlineStr">
        <is>
          <t>earthenware pots and pans bought 3.5pence.</t>
        </is>
      </c>
      <c r="C145" t="n">
        <v>0.01</v>
      </c>
      <c r="D145" t="n">
        <v>0</v>
      </c>
      <c r="E145" t="n">
        <v>0</v>
      </c>
      <c r="F145" t="n">
        <v>3.5</v>
      </c>
      <c r="H145" t="n">
        <v>0</v>
      </c>
      <c r="I145" t="n">
        <v>0</v>
      </c>
      <c r="J145" t="n">
        <v>0</v>
      </c>
      <c r="K145" t="n">
        <v>0</v>
      </c>
      <c r="L145" t="n">
        <v>0</v>
      </c>
      <c r="M145" t="n">
        <v>0</v>
      </c>
      <c r="N145" t="n">
        <v>0</v>
      </c>
    </row>
    <row r="146">
      <c r="A146" t="inlineStr">
        <is>
          <t>Dairy</t>
        </is>
      </c>
      <c r="B146" t="inlineStr">
        <is>
          <t>a press 3pence.</t>
        </is>
      </c>
      <c r="C146" t="n">
        <v>0.01</v>
      </c>
      <c r="D146" t="n">
        <v>0</v>
      </c>
      <c r="E146" t="n">
        <v>0</v>
      </c>
      <c r="F146" t="n">
        <v>3</v>
      </c>
      <c r="H146" t="n">
        <v>0</v>
      </c>
      <c r="I146" t="n">
        <v>0</v>
      </c>
      <c r="J146" t="n">
        <v>0</v>
      </c>
      <c r="K146" t="n">
        <v>0</v>
      </c>
      <c r="L146" t="n">
        <v>0</v>
      </c>
      <c r="M146" t="n">
        <v>0</v>
      </c>
      <c r="N146" t="n">
        <v>0</v>
      </c>
    </row>
    <row r="147">
      <c r="A147" t="inlineStr">
        <is>
          <t>Dairy</t>
        </is>
      </c>
      <c r="B147" t="inlineStr">
        <is>
          <t>.5 quarters of salt bought 1 shilling 10pence, at 7pence for 1 bushels, and 5pence each for 3 bushels.</t>
        </is>
      </c>
      <c r="C147" t="n">
        <v>0.09</v>
      </c>
      <c r="D147" t="n">
        <v>0</v>
      </c>
      <c r="E147" t="n">
        <v>1</v>
      </c>
      <c r="F147" t="n">
        <v>10</v>
      </c>
      <c r="H147" t="n">
        <v>5</v>
      </c>
      <c r="I147" t="n">
        <v>4</v>
      </c>
      <c r="J147" t="n">
        <v>5.5</v>
      </c>
      <c r="K147" t="n">
        <v>5</v>
      </c>
      <c r="L147" t="n">
        <v>0.5</v>
      </c>
      <c r="M147" t="n">
        <v>5</v>
      </c>
      <c r="N147" t="n">
        <v>0</v>
      </c>
      <c r="O147" t="n">
        <v>0</v>
      </c>
      <c r="P147" t="n">
        <v>1</v>
      </c>
      <c r="Q147" t="n">
        <v>0</v>
      </c>
      <c r="R147" t="n">
        <v>3</v>
      </c>
    </row>
    <row r="148">
      <c r="A148" t="inlineStr">
        <is>
          <t>Dairy</t>
        </is>
      </c>
      <c r="B148" t="inlineStr">
        <is>
          <t>1 colander bought 1.5pence.</t>
        </is>
      </c>
      <c r="C148" t="n">
        <v>0.01</v>
      </c>
      <c r="D148" t="n">
        <v>0</v>
      </c>
      <c r="E148" t="n">
        <v>0</v>
      </c>
      <c r="F148" t="n">
        <v>1.5</v>
      </c>
      <c r="H148" t="n">
        <v>0</v>
      </c>
      <c r="I148" t="n">
        <v>0</v>
      </c>
      <c r="J148" t="n">
        <v>0</v>
      </c>
      <c r="K148" t="n">
        <v>0</v>
      </c>
      <c r="L148" t="n">
        <v>0</v>
      </c>
      <c r="M148" t="n">
        <v>0</v>
      </c>
      <c r="N148" t="n">
        <v>0</v>
      </c>
    </row>
    <row r="149">
      <c r="A149" t="inlineStr">
        <is>
          <t>Dairy</t>
        </is>
      </c>
      <c r="B149" t="inlineStr">
        <is>
          <t>vinegar and pigs' fat for greasing sick sheep 5 shilling 3pence.</t>
        </is>
      </c>
      <c r="C149" t="n">
        <v>0.26</v>
      </c>
      <c r="D149" t="n">
        <v>0</v>
      </c>
      <c r="E149" t="n">
        <v>5</v>
      </c>
      <c r="F149" t="n">
        <v>3</v>
      </c>
      <c r="H149" t="n">
        <v>0</v>
      </c>
      <c r="I149" t="n">
        <v>0</v>
      </c>
      <c r="J149" t="n">
        <v>0</v>
      </c>
      <c r="K149" t="n">
        <v>0</v>
      </c>
      <c r="L149" t="n">
        <v>0</v>
      </c>
      <c r="M149" t="n">
        <v>0</v>
      </c>
      <c r="N149" t="n">
        <v>0</v>
      </c>
    </row>
    <row r="150">
      <c r="A150" t="inlineStr">
        <is>
          <t>Dairy</t>
        </is>
      </c>
      <c r="B150" t="inlineStr">
        <is>
          <t>hurdles for the fold, nothing this year.</t>
        </is>
      </c>
      <c r="C150" t="n">
        <v>0</v>
      </c>
      <c r="D150" t="n">
        <v>0</v>
      </c>
      <c r="E150" t="n">
        <v>0</v>
      </c>
      <c r="F150" t="n">
        <v>0</v>
      </c>
      <c r="H150" t="n">
        <v>0</v>
      </c>
      <c r="I150" t="n">
        <v>0</v>
      </c>
      <c r="J150" t="n">
        <v>0</v>
      </c>
      <c r="K150" t="n">
        <v>0</v>
      </c>
      <c r="L150" t="n">
        <v>0</v>
      </c>
      <c r="M150" t="n">
        <v>0</v>
      </c>
      <c r="N150" t="n">
        <v>0</v>
      </c>
    </row>
    <row r="151">
      <c r="A151" t="inlineStr">
        <is>
          <t>Dairy</t>
        </is>
      </c>
      <c r="B151" t="inlineStr">
        <is>
          <t>.</t>
        </is>
      </c>
      <c r="C151" t="n">
        <v>0</v>
      </c>
      <c r="D151" t="n">
        <v>0</v>
      </c>
      <c r="E151" t="n">
        <v>0</v>
      </c>
      <c r="F151" t="n">
        <v>0</v>
      </c>
      <c r="H151" t="n">
        <v>0</v>
      </c>
      <c r="I151" t="n">
        <v>0</v>
      </c>
      <c r="J151" t="n">
        <v>0</v>
      </c>
      <c r="K151" t="n">
        <v>0</v>
      </c>
      <c r="L151" t="n">
        <v>0</v>
      </c>
      <c r="M151" t="n">
        <v>0</v>
      </c>
      <c r="N151" t="n">
        <v>0</v>
      </c>
    </row>
    <row r="152">
      <c r="A152" t="inlineStr">
        <is>
          <t>Dairy</t>
        </is>
      </c>
      <c r="B152" t="inlineStr">
        <is>
          <t>5 ells of canvas for packing wool 1 shilling 1.5pence, at 2.5pence an ell.</t>
        </is>
      </c>
      <c r="C152" t="n">
        <v>0.06</v>
      </c>
      <c r="D152" t="n">
        <v>0</v>
      </c>
      <c r="E152" t="n">
        <v>1</v>
      </c>
      <c r="F152" t="n">
        <v>1.5</v>
      </c>
      <c r="H152" t="n">
        <v>0</v>
      </c>
      <c r="I152" t="n">
        <v>0</v>
      </c>
      <c r="J152" t="n">
        <v>0</v>
      </c>
      <c r="K152" t="n">
        <v>0</v>
      </c>
      <c r="L152" t="n">
        <v>0</v>
      </c>
      <c r="M152" t="n">
        <v>0</v>
      </c>
      <c r="N152" t="n">
        <v>0</v>
      </c>
    </row>
    <row r="153">
      <c r="A153" t="inlineStr">
        <is>
          <t>Dairy</t>
        </is>
      </c>
      <c r="B153" t="inlineStr">
        <is>
          <t>.</t>
        </is>
      </c>
      <c r="C153" t="n">
        <v>0</v>
      </c>
      <c r="D153" t="n">
        <v>0</v>
      </c>
      <c r="E153" t="n">
        <v>0</v>
      </c>
      <c r="F153" t="n">
        <v>0</v>
      </c>
      <c r="H153" t="n">
        <v>0</v>
      </c>
      <c r="I153" t="n">
        <v>0</v>
      </c>
      <c r="J153" t="n">
        <v>0</v>
      </c>
      <c r="K153" t="n">
        <v>0</v>
      </c>
      <c r="L153" t="n">
        <v>0</v>
      </c>
      <c r="M153" t="n">
        <v>0</v>
      </c>
      <c r="N153" t="n">
        <v>0</v>
      </c>
    </row>
    <row r="154">
      <c r="A154" t="inlineStr">
        <is>
          <t>Dairy</t>
        </is>
      </c>
      <c r="B154" t="inlineStr">
        <is>
          <t>stipend of 1 shepherd and 1 cowherd in winter 2 shilling, because for the other .5 year they take corn in the field like the rest of the manorial servants.</t>
        </is>
      </c>
      <c r="C154" t="n">
        <v>0.1</v>
      </c>
      <c r="D154" t="n">
        <v>0</v>
      </c>
      <c r="E154" t="n">
        <v>2</v>
      </c>
      <c r="F154" t="n">
        <v>0</v>
      </c>
      <c r="H154" t="n">
        <v>0</v>
      </c>
      <c r="I154" t="n">
        <v>0</v>
      </c>
      <c r="J154" t="n">
        <v>0</v>
      </c>
      <c r="K154" t="n">
        <v>0</v>
      </c>
      <c r="L154" t="n">
        <v>0</v>
      </c>
      <c r="M154" t="n">
        <v>0</v>
      </c>
      <c r="N154" t="n">
        <v>0</v>
      </c>
    </row>
    <row r="155">
      <c r="A155" t="inlineStr">
        <is>
          <t>Dairy</t>
        </is>
      </c>
      <c r="B155" t="inlineStr">
        <is>
          <t>.</t>
        </is>
      </c>
      <c r="C155" t="n">
        <v>0</v>
      </c>
      <c r="D155" t="n">
        <v>0</v>
      </c>
      <c r="E155" t="n">
        <v>0</v>
      </c>
      <c r="F155" t="n">
        <v>0</v>
      </c>
      <c r="H155" t="n">
        <v>0</v>
      </c>
      <c r="I155" t="n">
        <v>0</v>
      </c>
      <c r="J155" t="n">
        <v>0</v>
      </c>
      <c r="K155" t="n">
        <v>0</v>
      </c>
      <c r="L155" t="n">
        <v>0</v>
      </c>
      <c r="M155" t="n">
        <v>0</v>
      </c>
      <c r="N155" t="n">
        <v>0</v>
      </c>
    </row>
    <row r="156">
      <c r="A156" t="inlineStr">
        <is>
          <t>Dairy</t>
        </is>
      </c>
      <c r="B156" t="inlineStr">
        <is>
          <t>stipend of 1 dairymaid this year 2 shilling 6pence, because for 13 weeks there was no dairymaipence.</t>
        </is>
      </c>
      <c r="C156" t="n">
        <v>0.12</v>
      </c>
      <c r="D156" t="n">
        <v>0</v>
      </c>
      <c r="E156" t="n">
        <v>2</v>
      </c>
      <c r="F156" t="n">
        <v>6</v>
      </c>
      <c r="H156" t="n">
        <v>0</v>
      </c>
      <c r="I156" t="n">
        <v>0</v>
      </c>
      <c r="J156" t="n">
        <v>0</v>
      </c>
      <c r="K156" t="n">
        <v>0</v>
      </c>
      <c r="L156" t="n">
        <v>0</v>
      </c>
      <c r="M156" t="n">
        <v>0</v>
      </c>
      <c r="N156" t="n">
        <v>0</v>
      </c>
    </row>
    <row r="157">
      <c r="A157" t="inlineStr">
        <is>
          <t>Dairy</t>
        </is>
      </c>
      <c r="B157" t="inlineStr">
        <is>
          <t>carrying wool to Wolvesey 4pence Total, 13 shilling 11.5pence</t>
        </is>
      </c>
      <c r="C157" t="n">
        <v>0.67</v>
      </c>
      <c r="D157" t="n">
        <v>0</v>
      </c>
      <c r="E157" t="n">
        <v>13</v>
      </c>
      <c r="F157" t="n">
        <v>4</v>
      </c>
      <c r="H157" t="n">
        <v>0</v>
      </c>
      <c r="I157" t="n">
        <v>0</v>
      </c>
      <c r="J157" t="n">
        <v>0</v>
      </c>
      <c r="K157" t="n">
        <v>0</v>
      </c>
      <c r="L157" t="n">
        <v>0</v>
      </c>
      <c r="M157" t="n">
        <v>0</v>
      </c>
      <c r="N157" t="n">
        <v>0</v>
      </c>
    </row>
    <row r="158">
      <c r="A158" t="inlineStr">
        <is>
          <t>Expenses of buildings and small necessaries</t>
        </is>
      </c>
      <c r="B158" t="inlineStr">
        <is>
          <t>In propping up the wardrobe of the bishop's chamber 2pence.</t>
        </is>
      </c>
      <c r="C158" t="n">
        <v>0.01</v>
      </c>
      <c r="D158" t="n">
        <v>0</v>
      </c>
      <c r="E158" t="n">
        <v>0</v>
      </c>
      <c r="F158" t="n">
        <v>2</v>
      </c>
      <c r="H158" t="n">
        <v>0</v>
      </c>
      <c r="I158" t="n">
        <v>0</v>
      </c>
      <c r="J158" t="n">
        <v>0</v>
      </c>
      <c r="K158" t="n">
        <v>0</v>
      </c>
      <c r="L158" t="n">
        <v>0</v>
      </c>
      <c r="M158" t="n">
        <v>0</v>
      </c>
      <c r="N158" t="n">
        <v>0</v>
      </c>
    </row>
    <row r="159">
      <c r="A159" t="inlineStr">
        <is>
          <t>Expenses of buildings and small necessaries</t>
        </is>
      </c>
      <c r="B159" t="inlineStr">
        <is>
          <t>re-roofing in places the larger barn, unroofed by the wind, where it was necessary 1 shilling 8pence.</t>
        </is>
      </c>
      <c r="C159" t="n">
        <v>0.08</v>
      </c>
      <c r="D159" t="n">
        <v>0</v>
      </c>
      <c r="E159" t="n">
        <v>1</v>
      </c>
      <c r="F159" t="n">
        <v>8</v>
      </c>
      <c r="H159" t="n">
        <v>0</v>
      </c>
      <c r="I159" t="n">
        <v>0</v>
      </c>
      <c r="J159" t="n">
        <v>0</v>
      </c>
      <c r="K159" t="n">
        <v>0</v>
      </c>
      <c r="L159" t="n">
        <v>0</v>
      </c>
      <c r="M159" t="n">
        <v>0</v>
      </c>
      <c r="N159" t="n">
        <v>0</v>
      </c>
    </row>
    <row r="160">
      <c r="A160" t="inlineStr">
        <is>
          <t>Expenses of buildings and small necessaries</t>
        </is>
      </c>
      <c r="B160" t="inlineStr">
        <is>
          <t>re-roofing the small barn in places 8pence.</t>
        </is>
      </c>
      <c r="C160" t="n">
        <v>0.03</v>
      </c>
      <c r="D160" t="n">
        <v>0</v>
      </c>
      <c r="E160" t="n">
        <v>0</v>
      </c>
      <c r="F160" t="n">
        <v>8</v>
      </c>
      <c r="H160" t="n">
        <v>0</v>
      </c>
      <c r="I160" t="n">
        <v>0</v>
      </c>
      <c r="J160" t="n">
        <v>0</v>
      </c>
      <c r="K160" t="n">
        <v>0</v>
      </c>
      <c r="L160" t="n">
        <v>0</v>
      </c>
      <c r="M160" t="n">
        <v>0</v>
      </c>
      <c r="N160" t="n">
        <v>0</v>
      </c>
    </row>
    <row r="161">
      <c r="A161" t="inlineStr">
        <is>
          <t>Expenses of buildings and small necessaries</t>
        </is>
      </c>
      <c r="B161" t="inlineStr">
        <is>
          <t>roofing one part of the long stable throughout 10pence.</t>
        </is>
      </c>
      <c r="C161" t="n">
        <v>0.04</v>
      </c>
      <c r="D161" t="n">
        <v>0</v>
      </c>
      <c r="E161" t="n">
        <v>0</v>
      </c>
      <c r="F161" t="n">
        <v>10</v>
      </c>
      <c r="H161" t="n">
        <v>0</v>
      </c>
      <c r="I161" t="n">
        <v>0</v>
      </c>
      <c r="J161" t="n">
        <v>0</v>
      </c>
      <c r="K161" t="n">
        <v>0</v>
      </c>
      <c r="L161" t="n">
        <v>0</v>
      </c>
      <c r="M161" t="n">
        <v>0</v>
      </c>
      <c r="N161" t="n">
        <v>0</v>
      </c>
    </row>
    <row r="162">
      <c r="A162" t="inlineStr">
        <is>
          <t>Expenses of buildings and small necessaries</t>
        </is>
      </c>
      <c r="B162" t="inlineStr">
        <is>
          <t>1 lock with a key bought for the garden-gate 1.5pence.</t>
        </is>
      </c>
      <c r="C162" t="n">
        <v>0.01</v>
      </c>
      <c r="D162" t="n">
        <v>0</v>
      </c>
      <c r="E162" t="n">
        <v>0</v>
      </c>
      <c r="F162" t="n">
        <v>1.5</v>
      </c>
      <c r="H162" t="n">
        <v>0</v>
      </c>
      <c r="I162" t="n">
        <v>0</v>
      </c>
      <c r="J162" t="n">
        <v>0</v>
      </c>
      <c r="K162" t="n">
        <v>0</v>
      </c>
      <c r="L162" t="n">
        <v>0</v>
      </c>
      <c r="M162" t="n">
        <v>0</v>
      </c>
      <c r="N162" t="n">
        <v>0</v>
      </c>
    </row>
    <row r="163">
      <c r="A163" t="inlineStr">
        <is>
          <t>Expenses of buildings and small necessaries</t>
        </is>
      </c>
      <c r="B163" t="inlineStr">
        <is>
          <t>iplantingl and watering beans 10pence.</t>
        </is>
      </c>
      <c r="C163" t="n">
        <v>0.04</v>
      </c>
      <c r="D163" t="n">
        <v>0</v>
      </c>
      <c r="E163" t="n">
        <v>0</v>
      </c>
      <c r="F163" t="n">
        <v>10</v>
      </c>
      <c r="G163" t="inlineStr">
        <is>
          <t>beans</t>
        </is>
      </c>
      <c r="H163" t="n">
        <v>0</v>
      </c>
      <c r="I163" t="n">
        <v>0</v>
      </c>
      <c r="J163" t="n">
        <v>0</v>
      </c>
      <c r="K163" t="n">
        <v>0</v>
      </c>
      <c r="L163" t="n">
        <v>0</v>
      </c>
      <c r="M163" t="n">
        <v>0</v>
      </c>
      <c r="N163" t="n">
        <v>0</v>
      </c>
    </row>
    <row r="164">
      <c r="A164" t="inlineStr">
        <is>
          <t>Expenses of buildings and small necessaries</t>
        </is>
      </c>
      <c r="B164" t="inlineStr">
        <is>
          <t>gelding (masculand') 26 piglets 5.5pence Total, 4 shilling 9pence</t>
        </is>
      </c>
      <c r="C164" t="n">
        <v>0.22</v>
      </c>
      <c r="D164" t="n">
        <v>0</v>
      </c>
      <c r="E164" t="n">
        <v>4</v>
      </c>
      <c r="F164" t="n">
        <v>5.5</v>
      </c>
      <c r="H164" t="n">
        <v>0</v>
      </c>
      <c r="I164" t="n">
        <v>0</v>
      </c>
      <c r="J164" t="n">
        <v>0</v>
      </c>
      <c r="K164" t="n">
        <v>0</v>
      </c>
      <c r="L164" t="n">
        <v>0</v>
      </c>
      <c r="M164" t="n">
        <v>0</v>
      </c>
      <c r="N164" t="n">
        <v>0</v>
      </c>
    </row>
    <row r="165">
      <c r="A165" t="inlineStr">
        <is>
          <t>Mowing of the meadow</t>
        </is>
      </c>
      <c r="B165" t="inlineStr">
        <is>
          <t>In customary payment for the mowing of the meadow 1 shilling Total, 1 shilling</t>
        </is>
      </c>
      <c r="C165" t="n">
        <v>0.05</v>
      </c>
      <c r="D165" t="n">
        <v>0</v>
      </c>
      <c r="E165" t="n">
        <v>1</v>
      </c>
      <c r="F165" t="n">
        <v>0</v>
      </c>
      <c r="H165" t="n">
        <v>0</v>
      </c>
      <c r="I165" t="n">
        <v>0</v>
      </c>
      <c r="J165" t="n">
        <v>0</v>
      </c>
      <c r="K165" t="n">
        <v>0</v>
      </c>
      <c r="L165" t="n">
        <v>0</v>
      </c>
      <c r="M165" t="n">
        <v>0</v>
      </c>
      <c r="N165" t="n">
        <v>0</v>
      </c>
    </row>
    <row r="166">
      <c r="A166" t="inlineStr">
        <is>
          <t>Purchase of stock</t>
        </is>
      </c>
      <c r="B166" t="inlineStr">
        <is>
          <t>In 28 wethers bought before shearing £2 8 shilling 7pence, at 1 shilling 9pence each for 18, and 1s 8.5pence each for 10. Total, £2 8 shilling 7pence</t>
        </is>
      </c>
      <c r="C166" t="n">
        <v>2.43</v>
      </c>
      <c r="D166" t="n">
        <v>2</v>
      </c>
      <c r="E166" t="n">
        <v>8</v>
      </c>
      <c r="F166" t="n">
        <v>7</v>
      </c>
      <c r="H166" t="n">
        <v>0</v>
      </c>
      <c r="I166" t="n">
        <v>0</v>
      </c>
      <c r="J166" t="n">
        <v>0</v>
      </c>
      <c r="K166" t="n">
        <v>0</v>
      </c>
      <c r="L166" t="n">
        <v>0</v>
      </c>
      <c r="M166" t="n">
        <v>0</v>
      </c>
      <c r="N166" t="n">
        <v>0</v>
      </c>
    </row>
    <row r="167">
      <c r="A167" t="inlineStr">
        <is>
          <t>Threshing and winnowing</t>
        </is>
      </c>
      <c r="B167" t="inlineStr">
        <is>
          <t>In mending 1 new sieve and other old ones 3.5pence.</t>
        </is>
      </c>
      <c r="C167" t="n">
        <v>0.01</v>
      </c>
      <c r="D167" t="n">
        <v>0</v>
      </c>
      <c r="E167" t="n">
        <v>0</v>
      </c>
      <c r="F167" t="n">
        <v>3.5</v>
      </c>
      <c r="H167" t="n">
        <v>0</v>
      </c>
      <c r="I167" t="n">
        <v>0</v>
      </c>
      <c r="J167" t="n">
        <v>0</v>
      </c>
      <c r="K167" t="n">
        <v>0</v>
      </c>
      <c r="L167" t="n">
        <v>0</v>
      </c>
      <c r="M167" t="n">
        <v>0</v>
      </c>
      <c r="N167" t="n">
        <v>0</v>
      </c>
    </row>
    <row r="168">
      <c r="A168" t="inlineStr">
        <is>
          <t>Threshing and winnowing</t>
        </is>
      </c>
      <c r="B168" t="inlineStr">
        <is>
          <t>1 new sack bought 9.25d remaking (refit') old broken baskets 2pence.</t>
        </is>
      </c>
      <c r="C168" t="n">
        <v>0.01</v>
      </c>
      <c r="D168" t="n">
        <v>0</v>
      </c>
      <c r="E168" t="n">
        <v>0</v>
      </c>
      <c r="F168" t="n">
        <v>2</v>
      </c>
      <c r="H168" t="n">
        <v>0</v>
      </c>
      <c r="I168" t="n">
        <v>0</v>
      </c>
      <c r="J168" t="n">
        <v>0</v>
      </c>
      <c r="K168" t="n">
        <v>0</v>
      </c>
      <c r="L168" t="n">
        <v>0</v>
      </c>
      <c r="M168" t="n">
        <v>0</v>
      </c>
      <c r="N168" t="n">
        <v>0</v>
      </c>
    </row>
    <row r="169">
      <c r="A169" t="inlineStr">
        <is>
          <t>Threshing and winnowing</t>
        </is>
      </c>
      <c r="B169" t="inlineStr">
        <is>
          <t>threshing 169.5 quarters of wheat with £1 8 shilling 3pence, at 2pence a quarters.</t>
        </is>
      </c>
      <c r="C169" t="n">
        <v>1.41</v>
      </c>
      <c r="D169" t="n">
        <v>1</v>
      </c>
      <c r="E169" t="n">
        <v>8</v>
      </c>
      <c r="F169" t="n">
        <v>3</v>
      </c>
      <c r="G169" t="inlineStr">
        <is>
          <t>wheat</t>
        </is>
      </c>
      <c r="H169" t="n">
        <v>169.5</v>
      </c>
      <c r="I169" t="n">
        <v>0</v>
      </c>
      <c r="J169" t="n">
        <v>169.5</v>
      </c>
      <c r="K169" t="n">
        <v>169.5</v>
      </c>
      <c r="L169" t="n">
        <v>0</v>
      </c>
      <c r="M169" t="n">
        <v>169.5</v>
      </c>
      <c r="N169" t="n">
        <v>0</v>
      </c>
    </row>
    <row r="170">
      <c r="A170" t="inlineStr">
        <is>
          <t>Threshing and winnowing</t>
        </is>
      </c>
      <c r="B170" t="inlineStr">
        <is>
          <t>.</t>
        </is>
      </c>
      <c r="C170" t="n">
        <v>0</v>
      </c>
      <c r="D170" t="n">
        <v>0</v>
      </c>
      <c r="E170" t="n">
        <v>0</v>
      </c>
      <c r="F170" t="n">
        <v>0</v>
      </c>
      <c r="H170" t="n">
        <v>0</v>
      </c>
      <c r="I170" t="n">
        <v>0</v>
      </c>
      <c r="J170" t="n">
        <v>0</v>
      </c>
      <c r="K170" t="n">
        <v>0</v>
      </c>
      <c r="L170" t="n">
        <v>0</v>
      </c>
      <c r="M170" t="n">
        <v>0</v>
      </c>
      <c r="N170" t="n">
        <v>0</v>
      </c>
    </row>
    <row r="171">
      <c r="A171" t="inlineStr">
        <is>
          <t>Threshing and winnowing</t>
        </is>
      </c>
      <c r="B171" t="inlineStr">
        <is>
          <t>winnowing, nothing, because it was winnowed by laboura service.</t>
        </is>
      </c>
      <c r="C171" t="n">
        <v>0</v>
      </c>
      <c r="D171" t="n">
        <v>0</v>
      </c>
      <c r="E171" t="n">
        <v>0</v>
      </c>
      <c r="F171" t="n">
        <v>0</v>
      </c>
      <c r="H171" t="n">
        <v>0</v>
      </c>
      <c r="I171" t="n">
        <v>0</v>
      </c>
      <c r="J171" t="n">
        <v>0</v>
      </c>
      <c r="K171" t="n">
        <v>0</v>
      </c>
      <c r="L171" t="n">
        <v>0</v>
      </c>
      <c r="M171" t="n">
        <v>0</v>
      </c>
      <c r="N171" t="n">
        <v>0</v>
      </c>
    </row>
    <row r="172">
      <c r="A172" t="inlineStr">
        <is>
          <t>Threshing and winnowing</t>
        </is>
      </c>
      <c r="B172" t="inlineStr">
        <is>
          <t>.</t>
        </is>
      </c>
      <c r="C172" t="n">
        <v>0</v>
      </c>
      <c r="D172" t="n">
        <v>0</v>
      </c>
      <c r="E172" t="n">
        <v>0</v>
      </c>
      <c r="F172" t="n">
        <v>0</v>
      </c>
      <c r="H172" t="n">
        <v>0</v>
      </c>
      <c r="I172" t="n">
        <v>0</v>
      </c>
      <c r="J172" t="n">
        <v>0</v>
      </c>
      <c r="K172" t="n">
        <v>0</v>
      </c>
      <c r="L172" t="n">
        <v>0</v>
      </c>
      <c r="M172" t="n">
        <v>0</v>
      </c>
      <c r="N172" t="n">
        <v>0</v>
      </c>
    </row>
    <row r="173">
      <c r="A173" t="inlineStr">
        <is>
          <t>Threshing and winnowing</t>
        </is>
      </c>
      <c r="B173" t="inlineStr">
        <is>
          <t>threshing barley and beans, nothing this year, because it was threshed by the lord's manorial servants.</t>
        </is>
      </c>
      <c r="C173" t="n">
        <v>0</v>
      </c>
      <c r="D173" t="n">
        <v>0</v>
      </c>
      <c r="E173" t="n">
        <v>0</v>
      </c>
      <c r="F173" t="n">
        <v>0</v>
      </c>
      <c r="G173" t="inlineStr">
        <is>
          <t>barley, beans</t>
        </is>
      </c>
      <c r="H173" t="n">
        <v>0</v>
      </c>
      <c r="I173" t="n">
        <v>0</v>
      </c>
      <c r="J173" t="n">
        <v>0</v>
      </c>
      <c r="K173" t="n">
        <v>0</v>
      </c>
      <c r="L173" t="n">
        <v>0</v>
      </c>
      <c r="M173" t="n">
        <v>0</v>
      </c>
      <c r="N173" t="n">
        <v>0</v>
      </c>
    </row>
    <row r="174">
      <c r="A174" t="inlineStr">
        <is>
          <t>Threshing and winnowing</t>
        </is>
      </c>
      <c r="B174" t="inlineStr">
        <is>
          <t>.</t>
        </is>
      </c>
      <c r="C174" t="n">
        <v>0</v>
      </c>
      <c r="D174" t="n">
        <v>0</v>
      </c>
      <c r="E174" t="n">
        <v>0</v>
      </c>
      <c r="F174" t="n">
        <v>0</v>
      </c>
      <c r="H174" t="n">
        <v>0</v>
      </c>
      <c r="I174" t="n">
        <v>0</v>
      </c>
      <c r="J174" t="n">
        <v>0</v>
      </c>
      <c r="K174" t="n">
        <v>0</v>
      </c>
      <c r="L174" t="n">
        <v>0</v>
      </c>
      <c r="M174" t="n">
        <v>0</v>
      </c>
      <c r="N174" t="n">
        <v>0</v>
      </c>
    </row>
    <row r="175">
      <c r="A175" t="inlineStr">
        <is>
          <t>Threshing and winnowing</t>
        </is>
      </c>
      <c r="B175" t="inlineStr">
        <is>
          <t>winnowing, nothing, for the above' reason.</t>
        </is>
      </c>
      <c r="C175" t="n">
        <v>0</v>
      </c>
      <c r="D175" t="n">
        <v>0</v>
      </c>
      <c r="E175" t="n">
        <v>0</v>
      </c>
      <c r="F175" t="n">
        <v>0</v>
      </c>
      <c r="H175" t="n">
        <v>0</v>
      </c>
      <c r="I175" t="n">
        <v>0</v>
      </c>
      <c r="J175" t="n">
        <v>0</v>
      </c>
      <c r="K175" t="n">
        <v>0</v>
      </c>
      <c r="L175" t="n">
        <v>0</v>
      </c>
      <c r="M175" t="n">
        <v>0</v>
      </c>
      <c r="N175" t="n">
        <v>0</v>
      </c>
    </row>
    <row r="176">
      <c r="A176" t="inlineStr">
        <is>
          <t>Threshing and winnowing</t>
        </is>
      </c>
      <c r="B176" t="inlineStr">
        <is>
          <t>.</t>
        </is>
      </c>
      <c r="C176" t="n">
        <v>0</v>
      </c>
      <c r="D176" t="n">
        <v>0</v>
      </c>
      <c r="E176" t="n">
        <v>0</v>
      </c>
      <c r="F176" t="n">
        <v>0</v>
      </c>
      <c r="H176" t="n">
        <v>0</v>
      </c>
      <c r="I176" t="n">
        <v>0</v>
      </c>
      <c r="J176" t="n">
        <v>0</v>
      </c>
      <c r="K176" t="n">
        <v>0</v>
      </c>
      <c r="L176" t="n">
        <v>0</v>
      </c>
      <c r="M176" t="n">
        <v>0</v>
      </c>
      <c r="N176" t="n">
        <v>0</v>
      </c>
    </row>
    <row r="177">
      <c r="A177" t="inlineStr">
        <is>
          <t>Threshing and winnowing</t>
        </is>
      </c>
      <c r="B177" t="inlineStr">
        <is>
          <t>threshing 134 quarters of oats 8 shilling 4.5pence, at .75pence a quarters, and winnowed by labour service as above.</t>
        </is>
      </c>
      <c r="C177" t="n">
        <v>0.42</v>
      </c>
      <c r="D177" t="n">
        <v>0</v>
      </c>
      <c r="E177" t="n">
        <v>8</v>
      </c>
      <c r="F177" t="n">
        <v>4.5</v>
      </c>
      <c r="G177" t="inlineStr">
        <is>
          <t>oats</t>
        </is>
      </c>
      <c r="H177" t="n">
        <v>134</v>
      </c>
      <c r="I177" t="n">
        <v>0</v>
      </c>
      <c r="J177" t="n">
        <v>134</v>
      </c>
      <c r="K177" t="n">
        <v>134</v>
      </c>
      <c r="L177" t="n">
        <v>0</v>
      </c>
      <c r="M177" t="n">
        <v>134</v>
      </c>
      <c r="N177" t="n">
        <v>0</v>
      </c>
    </row>
    <row r="178">
      <c r="A178" t="inlineStr">
        <is>
          <t>Threshing and winnowing</t>
        </is>
      </c>
      <c r="B178" t="inlineStr">
        <is>
          <t>Total, £1 17 shilling 10.25pence</t>
        </is>
      </c>
      <c r="C178" t="n">
        <v>1.89</v>
      </c>
      <c r="D178" t="n">
        <v>1</v>
      </c>
      <c r="E178" t="n">
        <v>17</v>
      </c>
      <c r="F178" t="n">
        <v>10.25</v>
      </c>
      <c r="H178" t="n">
        <v>0</v>
      </c>
      <c r="I178" t="n">
        <v>0</v>
      </c>
      <c r="J178" t="n">
        <v>0</v>
      </c>
      <c r="K178" t="n">
        <v>0</v>
      </c>
      <c r="L178" t="n">
        <v>0</v>
      </c>
      <c r="M178" t="n">
        <v>0</v>
      </c>
      <c r="N178" t="n">
        <v>0</v>
      </c>
    </row>
    <row r="179">
      <c r="A179" t="inlineStr">
        <is>
          <t>Cost of the mill</t>
        </is>
      </c>
      <c r="B179" t="inlineStr">
        <is>
          <t>In 20 ells of canvas bought for the sails of the mill 5 shilling, at 3.5pence each for 10, and 3d each for 10..</t>
        </is>
      </c>
      <c r="C179" t="n">
        <v>0.26</v>
      </c>
      <c r="D179" t="n">
        <v>0</v>
      </c>
      <c r="E179" t="n">
        <v>5</v>
      </c>
      <c r="F179" t="n">
        <v>3.5</v>
      </c>
      <c r="H179" t="n">
        <v>0</v>
      </c>
      <c r="I179" t="n">
        <v>0</v>
      </c>
      <c r="J179" t="n">
        <v>0</v>
      </c>
      <c r="K179" t="n">
        <v>0</v>
      </c>
      <c r="L179" t="n">
        <v>0</v>
      </c>
      <c r="M179" t="n">
        <v>0</v>
      </c>
      <c r="N179" t="n">
        <v>0</v>
      </c>
    </row>
    <row r="180">
      <c r="A180" t="inlineStr">
        <is>
          <t>Cost of the mill</t>
        </is>
      </c>
      <c r="B180" t="inlineStr">
        <is>
          <t>steeling and sharpening bills for the year 3pence.</t>
        </is>
      </c>
      <c r="C180" t="n">
        <v>0.01</v>
      </c>
      <c r="D180" t="n">
        <v>0</v>
      </c>
      <c r="E180" t="n">
        <v>0</v>
      </c>
      <c r="F180" t="n">
        <v>3</v>
      </c>
      <c r="H180" t="n">
        <v>0</v>
      </c>
      <c r="I180" t="n">
        <v>0</v>
      </c>
      <c r="J180" t="n">
        <v>0</v>
      </c>
      <c r="K180" t="n">
        <v>0</v>
      </c>
      <c r="L180" t="n">
        <v>0</v>
      </c>
      <c r="M180" t="n">
        <v>0</v>
      </c>
      <c r="N180" t="n">
        <v>0</v>
      </c>
    </row>
    <row r="181">
      <c r="A181" t="inlineStr">
        <is>
          <t>Cost of the mill</t>
        </is>
      </c>
      <c r="B181" t="inlineStr">
        <is>
          <t>tallow and grease bought for the same for the year 6pence.</t>
        </is>
      </c>
      <c r="C181" t="n">
        <v>0.03</v>
      </c>
      <c r="D181" t="n">
        <v>0</v>
      </c>
      <c r="E181" t="n">
        <v>0</v>
      </c>
      <c r="F181" t="n">
        <v>6</v>
      </c>
      <c r="H181" t="n">
        <v>0</v>
      </c>
      <c r="I181" t="n">
        <v>0</v>
      </c>
      <c r="J181" t="n">
        <v>0</v>
      </c>
      <c r="K181" t="n">
        <v>0</v>
      </c>
      <c r="L181" t="n">
        <v>0</v>
      </c>
      <c r="M181" t="n">
        <v>0</v>
      </c>
      <c r="N181" t="n">
        <v>0</v>
      </c>
    </row>
    <row r="182">
      <c r="A182" t="inlineStr">
        <is>
          <t>Cost of the mill</t>
        </is>
      </c>
      <c r="B182" t="inlineStr">
        <is>
          <t>white leather for the clapper of the mill 2pence.</t>
        </is>
      </c>
      <c r="C182" t="n">
        <v>0.01</v>
      </c>
      <c r="D182" t="n">
        <v>0</v>
      </c>
      <c r="E182" t="n">
        <v>0</v>
      </c>
      <c r="F182" t="n">
        <v>2</v>
      </c>
      <c r="H182" t="n">
        <v>0</v>
      </c>
      <c r="I182" t="n">
        <v>0</v>
      </c>
      <c r="J182" t="n">
        <v>0</v>
      </c>
      <c r="K182" t="n">
        <v>0</v>
      </c>
      <c r="L182" t="n">
        <v>0</v>
      </c>
      <c r="M182" t="n">
        <v>0</v>
      </c>
      <c r="N182" t="n">
        <v>0</v>
      </c>
    </row>
    <row r="183">
      <c r="A183" t="inlineStr">
        <is>
          <t>Cost of the mill</t>
        </is>
      </c>
      <c r="B183" t="inlineStr">
        <is>
          <t>stipend of 1 miller for' year in winter 1 shilling, because for the other .5 year he takes corn at harvest-time.</t>
        </is>
      </c>
      <c r="C183" t="n">
        <v>0.05</v>
      </c>
      <c r="D183" t="n">
        <v>0</v>
      </c>
      <c r="E183" t="n">
        <v>1</v>
      </c>
      <c r="F183" t="n">
        <v>0</v>
      </c>
      <c r="H183" t="n">
        <v>0</v>
      </c>
      <c r="I183" t="n">
        <v>0</v>
      </c>
      <c r="J183" t="n">
        <v>0</v>
      </c>
      <c r="K183" t="n">
        <v>0</v>
      </c>
      <c r="L183" t="n">
        <v>0</v>
      </c>
      <c r="M183" t="n">
        <v>0</v>
      </c>
      <c r="N183" t="n">
        <v>0</v>
      </c>
    </row>
    <row r="184">
      <c r="A184" t="inlineStr">
        <is>
          <t>Cost of the mill</t>
        </is>
      </c>
      <c r="B184" t="inlineStr">
        <is>
          <t>Total, 6 shilling 11pence</t>
        </is>
      </c>
      <c r="C184" t="n">
        <v>0.35</v>
      </c>
      <c r="D184" t="n">
        <v>0</v>
      </c>
      <c r="E184" t="n">
        <v>6</v>
      </c>
      <c r="F184" t="n">
        <v>11</v>
      </c>
      <c r="H184" t="n">
        <v>0</v>
      </c>
      <c r="I184" t="n">
        <v>0</v>
      </c>
      <c r="J184" t="n">
        <v>0</v>
      </c>
      <c r="K184" t="n">
        <v>0</v>
      </c>
      <c r="L184" t="n">
        <v>0</v>
      </c>
      <c r="M184" t="n">
        <v>0</v>
      </c>
      <c r="N184" t="n">
        <v>0</v>
      </c>
    </row>
    <row r="185">
      <c r="A185" t="inlineStr">
        <is>
          <t>Expenses of the steward</t>
        </is>
      </c>
      <c r="B185" t="inlineStr">
        <is>
          <t>In expenses of the steward at the hundred-court of Martinmas 8 shilling.</t>
        </is>
      </c>
      <c r="C185" t="n">
        <v>0.4</v>
      </c>
      <c r="D185" t="n">
        <v>0</v>
      </c>
      <c r="E185" t="n">
        <v>8</v>
      </c>
      <c r="F185" t="n">
        <v>0</v>
      </c>
      <c r="H185" t="n">
        <v>0</v>
      </c>
      <c r="I185" t="n">
        <v>0</v>
      </c>
      <c r="J185" t="n">
        <v>0</v>
      </c>
      <c r="K185" t="n">
        <v>0</v>
      </c>
      <c r="L185" t="n">
        <v>0</v>
      </c>
      <c r="M185" t="n">
        <v>0</v>
      </c>
      <c r="N185" t="n">
        <v>0</v>
      </c>
    </row>
    <row r="186">
      <c r="A186" t="inlineStr">
        <is>
          <t>Expenses of the steward</t>
        </is>
      </c>
      <c r="B186" t="inlineStr">
        <is>
          <t>expenses of the steward for his 1 visit about the Purification (2 February) 5 shilling 9.25pence.</t>
        </is>
      </c>
      <c r="C186" t="n">
        <v>0.29</v>
      </c>
      <c r="D186" t="n">
        <v>0</v>
      </c>
      <c r="E186" t="n">
        <v>5</v>
      </c>
      <c r="F186" t="n">
        <v>9.25</v>
      </c>
      <c r="H186" t="n">
        <v>0</v>
      </c>
      <c r="I186" t="n">
        <v>0</v>
      </c>
      <c r="J186" t="n">
        <v>0</v>
      </c>
      <c r="K186" t="n">
        <v>0</v>
      </c>
      <c r="L186" t="n">
        <v>0</v>
      </c>
      <c r="M186" t="n">
        <v>0</v>
      </c>
      <c r="N186" t="n">
        <v>0</v>
      </c>
    </row>
    <row r="187">
      <c r="A187" t="inlineStr">
        <is>
          <t>Expenses of the steward</t>
        </is>
      </c>
      <c r="B187" t="inlineStr">
        <is>
          <t>expenses of Simon de Farham holding the tourn of Hockday (1 May) 10 shilling 1pence Total, £13 shilling 10.5pence</t>
        </is>
      </c>
      <c r="C187" t="n">
        <v>13</v>
      </c>
      <c r="D187" t="n">
        <v>13</v>
      </c>
      <c r="E187" t="n">
        <v>0</v>
      </c>
      <c r="F187" t="n">
        <v>0</v>
      </c>
      <c r="H187" t="n">
        <v>0</v>
      </c>
      <c r="I187" t="n">
        <v>0</v>
      </c>
      <c r="J187" t="n">
        <v>0</v>
      </c>
      <c r="K187" t="n">
        <v>0</v>
      </c>
      <c r="L187" t="n">
        <v>0</v>
      </c>
      <c r="M187" t="n">
        <v>0</v>
      </c>
      <c r="N187" t="n">
        <v>0</v>
      </c>
    </row>
    <row r="188">
      <c r="A188" t="inlineStr">
        <is>
          <t>Expenses of the bailiff</t>
        </is>
      </c>
      <c r="B188" t="inlineStr">
        <is>
          <t>In expenses of the bailiff until the feast of St Thomas the Apostle (21 December) 7 shilling 11pence.</t>
        </is>
      </c>
      <c r="C188" t="n">
        <v>0.4</v>
      </c>
      <c r="D188" t="n">
        <v>0</v>
      </c>
      <c r="E188" t="n">
        <v>7</v>
      </c>
      <c r="F188" t="n">
        <v>11</v>
      </c>
      <c r="H188" t="n">
        <v>0</v>
      </c>
      <c r="I188" t="n">
        <v>0</v>
      </c>
      <c r="J188" t="n">
        <v>0</v>
      </c>
      <c r="K188" t="n">
        <v>0</v>
      </c>
      <c r="L188" t="n">
        <v>0</v>
      </c>
      <c r="M188" t="n">
        <v>0</v>
      </c>
      <c r="N188" t="n">
        <v>0</v>
      </c>
    </row>
    <row r="189">
      <c r="A189" t="inlineStr">
        <is>
          <t>Expenses of the bailiff</t>
        </is>
      </c>
      <c r="B189" t="inlineStr">
        <is>
          <t>wages of the same bailiff from the feast of St Thomas the Apostle until Michaelmas £3 15 shilling.</t>
        </is>
      </c>
      <c r="C189" t="n">
        <v>3.75</v>
      </c>
      <c r="D189" t="n">
        <v>3</v>
      </c>
      <c r="E189" t="n">
        <v>15</v>
      </c>
      <c r="F189" t="n">
        <v>0</v>
      </c>
      <c r="H189" t="n">
        <v>0</v>
      </c>
      <c r="I189" t="n">
        <v>0</v>
      </c>
      <c r="J189" t="n">
        <v>0</v>
      </c>
      <c r="K189" t="n">
        <v>0</v>
      </c>
      <c r="L189" t="n">
        <v>0</v>
      </c>
      <c r="M189" t="n">
        <v>0</v>
      </c>
      <c r="N189" t="n">
        <v>0</v>
      </c>
    </row>
    <row r="190">
      <c r="A190" t="inlineStr">
        <is>
          <t>Expenses of the bailiff</t>
        </is>
      </c>
      <c r="B190" t="inlineStr">
        <is>
          <t>fur for the winter livery of the same 2 shilling Total, £4 4 shilling 11pence</t>
        </is>
      </c>
      <c r="C190" t="n">
        <v>4.25</v>
      </c>
      <c r="D190" t="n">
        <v>4</v>
      </c>
      <c r="E190" t="n">
        <v>4</v>
      </c>
      <c r="F190" t="n">
        <v>11</v>
      </c>
      <c r="H190" t="n">
        <v>0</v>
      </c>
      <c r="I190" t="n">
        <v>0</v>
      </c>
      <c r="J190" t="n">
        <v>0</v>
      </c>
      <c r="K190" t="n">
        <v>0</v>
      </c>
      <c r="L190" t="n">
        <v>0</v>
      </c>
      <c r="M190" t="n">
        <v>0</v>
      </c>
      <c r="N190" t="n">
        <v>0</v>
      </c>
    </row>
    <row r="191">
      <c r="A191" t="inlineStr">
        <is>
          <t>Expenses of the sheriff</t>
        </is>
      </c>
      <c r="B191" t="inlineStr">
        <is>
          <t>In expenses of the sheriff of Buckinghamshire for his 1 visit about the feast of St Vincent (22 January) 5 shilling 9pence.</t>
        </is>
      </c>
      <c r="C191" t="n">
        <v>0.29</v>
      </c>
      <c r="D191" t="n">
        <v>0</v>
      </c>
      <c r="E191" t="n">
        <v>5</v>
      </c>
      <c r="F191" t="n">
        <v>9</v>
      </c>
      <c r="H191" t="n">
        <v>0</v>
      </c>
      <c r="I191" t="n">
        <v>0</v>
      </c>
      <c r="J191" t="n">
        <v>0</v>
      </c>
      <c r="K191" t="n">
        <v>0</v>
      </c>
      <c r="L191" t="n">
        <v>0</v>
      </c>
      <c r="M191" t="n">
        <v>0</v>
      </c>
      <c r="N191" t="n">
        <v>0</v>
      </c>
    </row>
    <row r="192">
      <c r="A192" t="inlineStr">
        <is>
          <t>Expenses of the sheriff</t>
        </is>
      </c>
      <c r="B192" t="inlineStr">
        <is>
          <t>expenses of the assessors of the fifteenth to have their favour in the assessment 1 shilling 7pence Total, 7 shilling 4pence</t>
        </is>
      </c>
      <c r="C192" t="n">
        <v>0.08</v>
      </c>
      <c r="D192" t="n">
        <v>0</v>
      </c>
      <c r="E192" t="n">
        <v>1</v>
      </c>
      <c r="F192" t="n">
        <v>7</v>
      </c>
      <c r="H192" t="n">
        <v>0</v>
      </c>
      <c r="I192" t="n">
        <v>0</v>
      </c>
      <c r="J192" t="n">
        <v>0</v>
      </c>
      <c r="K192" t="n">
        <v>0</v>
      </c>
      <c r="L192" t="n">
        <v>0</v>
      </c>
      <c r="M192" t="n">
        <v>0</v>
      </c>
      <c r="N192" t="n">
        <v>0</v>
      </c>
    </row>
    <row r="193">
      <c r="A193" t="inlineStr">
        <is>
          <t>Total of all expenses</t>
        </is>
      </c>
      <c r="B193" t="inlineStr">
        <is>
          <t>Total of all expenses, £31 12 shilling 10pence</t>
        </is>
      </c>
      <c r="C193" t="n">
        <v>31.64</v>
      </c>
      <c r="D193" t="n">
        <v>31</v>
      </c>
      <c r="E193" t="n">
        <v>12</v>
      </c>
      <c r="F193" t="n">
        <v>10</v>
      </c>
      <c r="H193" t="n">
        <v>0</v>
      </c>
      <c r="I193" t="n">
        <v>0</v>
      </c>
      <c r="J193" t="n">
        <v>0</v>
      </c>
      <c r="K193" t="n">
        <v>0</v>
      </c>
      <c r="L193" t="n">
        <v>0</v>
      </c>
      <c r="M193" t="n">
        <v>0</v>
      </c>
      <c r="N193" t="n">
        <v>0</v>
      </c>
    </row>
    <row r="194">
      <c r="A194" t="inlineStr">
        <is>
          <t>Total of all expenses</t>
        </is>
      </c>
      <c r="B194" t="inlineStr">
        <is>
          <t>And he owes, £94 3 shilling 3.75pence</t>
        </is>
      </c>
      <c r="C194" t="n">
        <v>94.17</v>
      </c>
      <c r="D194" t="n">
        <v>94</v>
      </c>
      <c r="E194" t="n">
        <v>3</v>
      </c>
      <c r="F194" t="n">
        <v>3.75</v>
      </c>
      <c r="H194" t="n">
        <v>0</v>
      </c>
      <c r="I194" t="n">
        <v>0</v>
      </c>
      <c r="J194" t="n">
        <v>0</v>
      </c>
      <c r="K194" t="n">
        <v>0</v>
      </c>
      <c r="L194" t="n">
        <v>0</v>
      </c>
      <c r="M194" t="n">
        <v>0</v>
      </c>
      <c r="N194" t="n">
        <v>0</v>
      </c>
    </row>
    <row r="195">
      <c r="A195" t="inlineStr">
        <is>
          <t>Cash deliveries</t>
        </is>
      </c>
      <c r="B195" t="inlineStr">
        <is>
          <t>Delivered to Sir Geoffrey, treasurer of Wolvesey, by 1 tally, £80.</t>
        </is>
      </c>
      <c r="C195" t="n">
        <v>80</v>
      </c>
      <c r="D195" t="n">
        <v>80</v>
      </c>
      <c r="E195" t="n">
        <v>0</v>
      </c>
      <c r="F195" t="n">
        <v>0</v>
      </c>
      <c r="H195" t="n">
        <v>0</v>
      </c>
      <c r="I195" t="n">
        <v>0</v>
      </c>
      <c r="J195" t="n">
        <v>0</v>
      </c>
      <c r="K195" t="n">
        <v>0</v>
      </c>
      <c r="L195" t="n">
        <v>0</v>
      </c>
      <c r="M195" t="n">
        <v>0</v>
      </c>
      <c r="N195" t="n">
        <v>0</v>
      </c>
    </row>
    <row r="196">
      <c r="A196" t="inlineStr">
        <is>
          <t>Cash deliveries</t>
        </is>
      </c>
      <c r="B196" t="inlineStr">
        <is>
          <t>And thus he owes clear, £14 3 shilling 3.75pence</t>
        </is>
      </c>
      <c r="C196" t="n">
        <v>14.17</v>
      </c>
      <c r="D196" t="n">
        <v>14</v>
      </c>
      <c r="E196" t="n">
        <v>3</v>
      </c>
      <c r="F196" t="n">
        <v>3.75</v>
      </c>
      <c r="H196" t="n">
        <v>0</v>
      </c>
      <c r="I196" t="n">
        <v>0</v>
      </c>
      <c r="J196" t="n">
        <v>0</v>
      </c>
      <c r="K196" t="n">
        <v>0</v>
      </c>
      <c r="L196" t="n">
        <v>0</v>
      </c>
      <c r="M196" t="n">
        <v>0</v>
      </c>
      <c r="N196" t="n">
        <v>0</v>
      </c>
    </row>
    <row r="197">
      <c r="A197" t="inlineStr">
        <is>
          <t>Issues of the mill</t>
        </is>
      </c>
      <c r="B197" t="inlineStr">
        <is>
          <t>The same render account for 23 quarters 5 bushels from the whole issue of the corn mill, and all sold as noted above.</t>
        </is>
      </c>
      <c r="C197" t="n">
        <v>0</v>
      </c>
      <c r="D197" t="n">
        <v>0</v>
      </c>
      <c r="E197" t="n">
        <v>0</v>
      </c>
      <c r="F197" t="n">
        <v>0</v>
      </c>
      <c r="H197" t="n">
        <v>23</v>
      </c>
      <c r="I197" t="n">
        <v>5</v>
      </c>
      <c r="J197" t="n">
        <v>23.625</v>
      </c>
      <c r="K197" t="n">
        <v>23.625</v>
      </c>
      <c r="L197" t="n">
        <v>0</v>
      </c>
      <c r="M197" t="n">
        <v>23</v>
      </c>
      <c r="N197" t="n">
        <v>5</v>
      </c>
    </row>
    <row r="198">
      <c r="A198" t="inlineStr">
        <is>
          <t>Issues of the mill</t>
        </is>
      </c>
      <c r="B198" t="inlineStr">
        <is>
          <t>3 quarters 5 bushels from the whole issue of the malt mill, and all sold as noted above.</t>
        </is>
      </c>
      <c r="C198" t="n">
        <v>0</v>
      </c>
      <c r="D198" t="n">
        <v>0</v>
      </c>
      <c r="E198" t="n">
        <v>0</v>
      </c>
      <c r="F198" t="n">
        <v>0</v>
      </c>
      <c r="H198" t="n">
        <v>3</v>
      </c>
      <c r="I198" t="n">
        <v>5</v>
      </c>
      <c r="J198" t="n">
        <v>3.625</v>
      </c>
      <c r="K198" t="n">
        <v>3.625</v>
      </c>
      <c r="L198" t="n">
        <v>0</v>
      </c>
      <c r="M198" t="n">
        <v>3</v>
      </c>
      <c r="N198" t="n">
        <v>5</v>
      </c>
    </row>
    <row r="199">
      <c r="A199" t="inlineStr">
        <is>
          <t>Wheat</t>
        </is>
      </c>
      <c r="B199" t="inlineStr">
        <is>
          <t>(yield: 5-fold less . . . quarters 2 bushels}</t>
        </is>
      </c>
      <c r="C199" t="n">
        <v>0</v>
      </c>
      <c r="D199" t="n">
        <v>0</v>
      </c>
      <c r="E199" t="n">
        <v>0</v>
      </c>
      <c r="F199" t="n">
        <v>0</v>
      </c>
      <c r="H199" t="n">
        <v>0</v>
      </c>
      <c r="I199" t="n">
        <v>2</v>
      </c>
      <c r="J199" t="n">
        <v>0.25</v>
      </c>
      <c r="K199" t="n">
        <v>0.25</v>
      </c>
      <c r="L199" t="n">
        <v>0</v>
      </c>
      <c r="M199" t="n">
        <v>0</v>
      </c>
      <c r="N199" t="n">
        <v>2</v>
      </c>
    </row>
    <row r="200">
      <c r="A200" t="inlineStr">
        <is>
          <t>Wheat</t>
        </is>
      </c>
      <c r="B200" t="inlineStr">
        <is>
          <t>The same render account for 201 quarters 5 bushels of wheat from the whole issue of the grange in the granary by struck measure.</t>
        </is>
      </c>
      <c r="C200" t="n">
        <v>0</v>
      </c>
      <c r="D200" t="n">
        <v>0</v>
      </c>
      <c r="E200" t="n">
        <v>0</v>
      </c>
      <c r="F200" t="n">
        <v>0</v>
      </c>
      <c r="G200" t="inlineStr">
        <is>
          <t>wheat</t>
        </is>
      </c>
      <c r="H200" t="n">
        <v>201</v>
      </c>
      <c r="I200" t="n">
        <v>5</v>
      </c>
      <c r="J200" t="n">
        <v>201.625</v>
      </c>
      <c r="K200" t="n">
        <v>201.625</v>
      </c>
      <c r="L200" t="n">
        <v>0</v>
      </c>
      <c r="M200" t="n">
        <v>201</v>
      </c>
      <c r="N200" t="n">
        <v>5</v>
      </c>
    </row>
    <row r="201">
      <c r="A201" t="inlineStr">
        <is>
          <t>Wheat</t>
        </is>
      </c>
      <c r="B201" t="inlineStr">
        <is>
          <t>6.5 quarters by estimation given to the manorial servants in acres as they lie in the field.</t>
        </is>
      </c>
      <c r="C201" t="n">
        <v>0</v>
      </c>
      <c r="D201" t="n">
        <v>0</v>
      </c>
      <c r="E201" t="n">
        <v>0</v>
      </c>
      <c r="F201" t="n">
        <v>0</v>
      </c>
      <c r="H201" t="n">
        <v>6.5</v>
      </c>
      <c r="I201" t="n">
        <v>0</v>
      </c>
      <c r="J201" t="n">
        <v>6.5</v>
      </c>
      <c r="K201" t="n">
        <v>6.5</v>
      </c>
      <c r="L201" t="n">
        <v>0</v>
      </c>
      <c r="M201" t="n">
        <v>6.5</v>
      </c>
      <c r="N201" t="n">
        <v>0</v>
      </c>
    </row>
    <row r="202">
      <c r="A202" t="inlineStr">
        <is>
          <t>Wheat</t>
        </is>
      </c>
      <c r="B202" t="inlineStr">
        <is>
          <t>12 quarters 2 bushels bought.</t>
        </is>
      </c>
      <c r="C202" t="n">
        <v>0</v>
      </c>
      <c r="D202" t="n">
        <v>0</v>
      </c>
      <c r="E202" t="n">
        <v>0</v>
      </c>
      <c r="F202" t="n">
        <v>0</v>
      </c>
      <c r="H202" t="n">
        <v>12</v>
      </c>
      <c r="I202" t="n">
        <v>2</v>
      </c>
      <c r="J202" t="n">
        <v>12.25</v>
      </c>
      <c r="K202" t="n">
        <v>12.25</v>
      </c>
      <c r="L202" t="n">
        <v>0</v>
      </c>
      <c r="M202" t="n">
        <v>12</v>
      </c>
      <c r="N202" t="n">
        <v>2</v>
      </c>
    </row>
    <row r="203">
      <c r="A203" t="inlineStr">
        <is>
          <t>Wheat</t>
        </is>
      </c>
      <c r="B203" t="inlineStr">
        <is>
          <t>Total, 220 quarters 3 bushels Sown over 84 acres measured by the perch which lie in the middle field, 32 quarters 2 bushels.</t>
        </is>
      </c>
      <c r="C203" t="n">
        <v>0</v>
      </c>
      <c r="D203" t="n">
        <v>0</v>
      </c>
      <c r="E203" t="n">
        <v>0</v>
      </c>
      <c r="F203" t="n">
        <v>0</v>
      </c>
      <c r="H203" t="n">
        <v>32</v>
      </c>
      <c r="I203" t="n">
        <v>2</v>
      </c>
      <c r="J203" t="n">
        <v>32.25</v>
      </c>
      <c r="K203" t="n">
        <v>220.375</v>
      </c>
      <c r="L203" t="n">
        <v>-188.125</v>
      </c>
      <c r="M203" t="n">
        <v>220</v>
      </c>
      <c r="N203" t="n">
        <v>3</v>
      </c>
      <c r="O203" t="n">
        <v>32</v>
      </c>
      <c r="P203" t="n">
        <v>2</v>
      </c>
    </row>
    <row r="204">
      <c r="A204" t="inlineStr">
        <is>
          <t>Wheat</t>
        </is>
      </c>
      <c r="B204" t="inlineStr">
        <is>
          <t>that 3 bushels an acre, plus 6 bushels in all, because the sowing season was showery and miry.</t>
        </is>
      </c>
      <c r="C204" t="n">
        <v>0</v>
      </c>
      <c r="D204" t="n">
        <v>0</v>
      </c>
      <c r="E204" t="n">
        <v>0</v>
      </c>
      <c r="F204" t="n">
        <v>0</v>
      </c>
      <c r="H204" t="n">
        <v>0</v>
      </c>
      <c r="I204" t="n">
        <v>6</v>
      </c>
      <c r="J204" t="n">
        <v>0.75</v>
      </c>
      <c r="K204" t="n">
        <v>0.375</v>
      </c>
      <c r="L204" t="n">
        <v>0.375</v>
      </c>
      <c r="M204" t="n">
        <v>0</v>
      </c>
      <c r="N204" t="n">
        <v>3</v>
      </c>
      <c r="O204" t="n">
        <v>0</v>
      </c>
      <c r="P204" t="n">
        <v>6</v>
      </c>
    </row>
    <row r="205">
      <c r="A205" t="inlineStr">
        <is>
          <t>Wheat</t>
        </is>
      </c>
      <c r="B205" t="inlineStr">
        <is>
          <t>and know that two roods were sown by workers with their own seepence.</t>
        </is>
      </c>
      <c r="C205" t="n">
        <v>0</v>
      </c>
      <c r="D205" t="n">
        <v>0</v>
      </c>
      <c r="E205" t="n">
        <v>0</v>
      </c>
      <c r="F205" t="n">
        <v>0</v>
      </c>
      <c r="H205" t="n">
        <v>0</v>
      </c>
      <c r="I205" t="n">
        <v>0</v>
      </c>
      <c r="J205" t="n">
        <v>0</v>
      </c>
      <c r="K205" t="n">
        <v>0</v>
      </c>
      <c r="L205" t="n">
        <v>0</v>
      </c>
      <c r="M205" t="n">
        <v>0</v>
      </c>
      <c r="N205" t="n">
        <v>0</v>
      </c>
    </row>
    <row r="206">
      <c r="A206" t="inlineStr">
        <is>
          <t>Wheat</t>
        </is>
      </c>
      <c r="B206" t="inlineStr">
        <is>
          <t>customary payment for the mowing of the meadows, 6 bushels.</t>
        </is>
      </c>
      <c r="C206" t="n">
        <v>0</v>
      </c>
      <c r="D206" t="n">
        <v>0</v>
      </c>
      <c r="E206" t="n">
        <v>0</v>
      </c>
      <c r="F206" t="n">
        <v>0</v>
      </c>
      <c r="H206" t="n">
        <v>0</v>
      </c>
      <c r="I206" t="n">
        <v>6</v>
      </c>
      <c r="J206" t="n">
        <v>0.75</v>
      </c>
      <c r="K206" t="n">
        <v>0.75</v>
      </c>
      <c r="L206" t="n">
        <v>0</v>
      </c>
      <c r="M206" t="n">
        <v>0</v>
      </c>
      <c r="N206" t="n">
        <v>6</v>
      </c>
    </row>
    <row r="207">
      <c r="A207" t="inlineStr">
        <is>
          <t>Wheat</t>
        </is>
      </c>
      <c r="B207" t="inlineStr">
        <is>
          <t>provision of the steward at the hundred-court of Martinmas, 3 bushels.</t>
        </is>
      </c>
      <c r="C207" t="n">
        <v>0</v>
      </c>
      <c r="D207" t="n">
        <v>0</v>
      </c>
      <c r="E207" t="n">
        <v>0</v>
      </c>
      <c r="F207" t="n">
        <v>0</v>
      </c>
      <c r="H207" t="n">
        <v>0</v>
      </c>
      <c r="I207" t="n">
        <v>3</v>
      </c>
      <c r="J207" t="n">
        <v>0.375</v>
      </c>
      <c r="K207" t="n">
        <v>0.375</v>
      </c>
      <c r="L207" t="n">
        <v>0</v>
      </c>
      <c r="M207" t="n">
        <v>0</v>
      </c>
      <c r="N207" t="n">
        <v>3</v>
      </c>
    </row>
    <row r="208">
      <c r="A208" t="inlineStr">
        <is>
          <t>Wheat</t>
        </is>
      </c>
      <c r="B208" t="inlineStr">
        <is>
          <t>provision of the same at the hundred-court of Hockday in bread, 3 bushels.</t>
        </is>
      </c>
      <c r="C208" t="n">
        <v>0</v>
      </c>
      <c r="D208" t="n">
        <v>0</v>
      </c>
      <c r="E208" t="n">
        <v>0</v>
      </c>
      <c r="F208" t="n">
        <v>0</v>
      </c>
      <c r="H208" t="n">
        <v>0</v>
      </c>
      <c r="I208" t="n">
        <v>3</v>
      </c>
      <c r="J208" t="n">
        <v>0.375</v>
      </c>
      <c r="K208" t="n">
        <v>0.375</v>
      </c>
      <c r="L208" t="n">
        <v>0</v>
      </c>
      <c r="M208" t="n">
        <v>0</v>
      </c>
      <c r="N208" t="n">
        <v>3</v>
      </c>
    </row>
    <row r="209">
      <c r="A209" t="inlineStr">
        <is>
          <t>Wheat</t>
        </is>
      </c>
      <c r="B209" t="inlineStr">
        <is>
          <t>provision of the bailiff from Michaelmas until the feast of St Thomas the Apostle (21 December) in bread, 1.5 quarters, because he took the rest at West Wycombe.</t>
        </is>
      </c>
      <c r="C209" t="n">
        <v>0</v>
      </c>
      <c r="D209" t="n">
        <v>0</v>
      </c>
      <c r="E209" t="n">
        <v>0</v>
      </c>
      <c r="F209" t="n">
        <v>0</v>
      </c>
      <c r="H209" t="n">
        <v>1.5</v>
      </c>
      <c r="I209" t="n">
        <v>0</v>
      </c>
      <c r="J209" t="n">
        <v>1.5</v>
      </c>
      <c r="K209" t="n">
        <v>1.5</v>
      </c>
      <c r="L209" t="n">
        <v>0</v>
      </c>
      <c r="M209" t="n">
        <v>1.5</v>
      </c>
      <c r="N209" t="n">
        <v>0</v>
      </c>
    </row>
    <row r="210">
      <c r="A210" t="inlineStr">
        <is>
          <t>Wheat</t>
        </is>
      </c>
      <c r="B210" t="inlineStr">
        <is>
          <t>Given to the manorial servants for their stipend by estimation in acres as they lie in the field, 6.5 quarters.</t>
        </is>
      </c>
      <c r="C210" t="n">
        <v>0</v>
      </c>
      <c r="D210" t="n">
        <v>0</v>
      </c>
      <c r="E210" t="n">
        <v>0</v>
      </c>
      <c r="F210" t="n">
        <v>0</v>
      </c>
      <c r="H210" t="n">
        <v>6.5</v>
      </c>
      <c r="I210" t="n">
        <v>0</v>
      </c>
      <c r="J210" t="n">
        <v>6.5</v>
      </c>
      <c r="K210" t="n">
        <v>6.5</v>
      </c>
      <c r="L210" t="n">
        <v>0</v>
      </c>
      <c r="M210" t="n">
        <v>6.5</v>
      </c>
      <c r="N210" t="n">
        <v>0</v>
      </c>
    </row>
    <row r="211">
      <c r="A211" t="inlineStr">
        <is>
          <t>Wheat</t>
        </is>
      </c>
      <c r="B211" t="inlineStr">
        <is>
          <t>that is, 2 quarters to 1 smith for the year, 4.5 quarters to 1 carter, 5 ploughmen, 1 miller, 1 cowherd and 1 shepherd for 0.5 year in summer. (Henceforth the manorial servants should be hired for money just like the [other] workers in the manor and the corn be reserved for the use of the lord).</t>
        </is>
      </c>
      <c r="C211" t="n">
        <v>0</v>
      </c>
      <c r="D211" t="n">
        <v>0</v>
      </c>
      <c r="E211" t="n">
        <v>0</v>
      </c>
      <c r="F211" t="n">
        <v>0</v>
      </c>
      <c r="H211" t="n">
        <v>4.5</v>
      </c>
      <c r="I211" t="n">
        <v>0</v>
      </c>
      <c r="J211" t="n">
        <v>4.5</v>
      </c>
      <c r="K211" t="n">
        <v>2</v>
      </c>
      <c r="L211" t="n">
        <v>2.5</v>
      </c>
      <c r="M211" t="n">
        <v>2</v>
      </c>
      <c r="N211" t="n">
        <v>0</v>
      </c>
      <c r="O211" t="n">
        <v>4.5</v>
      </c>
      <c r="P211" t="n">
        <v>0</v>
      </c>
    </row>
    <row r="212">
      <c r="A212" t="inlineStr">
        <is>
          <t>Wheat</t>
        </is>
      </c>
      <c r="B212" t="inlineStr">
        <is>
          <t>provision of the sheriff for his 1 visit about the feast of St Vincent (22 January) in bread, 3 bushels Given to a certain marshal purveying for the Lord Edward, son of the king, in preparation for the tournament at Dunstable, to have his favour, 0.5 quarters of oats and hay.</t>
        </is>
      </c>
      <c r="C212" t="n">
        <v>0</v>
      </c>
      <c r="D212" t="n">
        <v>0</v>
      </c>
      <c r="E212" t="n">
        <v>0</v>
      </c>
      <c r="F212" t="n">
        <v>0</v>
      </c>
      <c r="G212" t="inlineStr">
        <is>
          <t>oats</t>
        </is>
      </c>
      <c r="H212" t="n">
        <v>0.5</v>
      </c>
      <c r="I212" t="n">
        <v>3</v>
      </c>
      <c r="J212" t="n">
        <v>0.875</v>
      </c>
      <c r="K212" t="n">
        <v>0.375</v>
      </c>
      <c r="L212" t="n">
        <v>0.5</v>
      </c>
      <c r="M212" t="n">
        <v>0</v>
      </c>
      <c r="N212" t="n">
        <v>3</v>
      </c>
      <c r="O212" t="n">
        <v>0.5</v>
      </c>
      <c r="P212" t="n">
        <v>0</v>
      </c>
    </row>
    <row r="213">
      <c r="A213" t="inlineStr">
        <is>
          <t>Wheat</t>
        </is>
      </c>
      <c r="B213" t="inlineStr">
        <is>
          <t>Sold as noted above, 177 quarters 6 bushels</t>
        </is>
      </c>
      <c r="C213" t="n">
        <v>0</v>
      </c>
      <c r="D213" t="n">
        <v>0</v>
      </c>
      <c r="E213" t="n">
        <v>0</v>
      </c>
      <c r="F213" t="n">
        <v>0</v>
      </c>
      <c r="H213" t="n">
        <v>177</v>
      </c>
      <c r="I213" t="n">
        <v>6</v>
      </c>
      <c r="J213" t="n">
        <v>177.75</v>
      </c>
      <c r="K213" t="n">
        <v>177.75</v>
      </c>
      <c r="L213" t="n">
        <v>0</v>
      </c>
      <c r="M213" t="n">
        <v>177</v>
      </c>
      <c r="N213" t="n">
        <v>6</v>
      </c>
    </row>
    <row r="214">
      <c r="A214" t="inlineStr">
        <is>
          <t>Curall</t>
        </is>
      </c>
      <c r="B214" t="inlineStr">
        <is>
          <t>The same render account for 10 quarters 3 bushels from the whole issue of curall, of the same wheat, from the grange in the granary by struck measure.</t>
        </is>
      </c>
      <c r="C214" t="n">
        <v>0</v>
      </c>
      <c r="D214" t="n">
        <v>0</v>
      </c>
      <c r="E214" t="n">
        <v>0</v>
      </c>
      <c r="F214" t="n">
        <v>0</v>
      </c>
      <c r="G214" t="inlineStr">
        <is>
          <t>curall, wheat</t>
        </is>
      </c>
      <c r="H214" t="n">
        <v>10</v>
      </c>
      <c r="I214" t="n">
        <v>3</v>
      </c>
      <c r="J214" t="n">
        <v>10.375</v>
      </c>
      <c r="K214" t="n">
        <v>10.375</v>
      </c>
      <c r="L214" t="n">
        <v>0</v>
      </c>
      <c r="M214" t="n">
        <v>10</v>
      </c>
      <c r="N214" t="n">
        <v>3</v>
      </c>
    </row>
    <row r="215">
      <c r="A215" t="inlineStr">
        <is>
          <t>Curall</t>
        </is>
      </c>
      <c r="B215" t="inlineStr">
        <is>
          <t>all mixed below with barley for the liveries of the manorial servants.</t>
        </is>
      </c>
      <c r="C215" t="n">
        <v>0</v>
      </c>
      <c r="D215" t="n">
        <v>0</v>
      </c>
      <c r="E215" t="n">
        <v>0</v>
      </c>
      <c r="F215" t="n">
        <v>0</v>
      </c>
      <c r="G215" t="inlineStr">
        <is>
          <t>barley</t>
        </is>
      </c>
      <c r="H215" t="n">
        <v>0</v>
      </c>
      <c r="I215" t="n">
        <v>0</v>
      </c>
      <c r="J215" t="n">
        <v>0</v>
      </c>
      <c r="K215" t="n">
        <v>0</v>
      </c>
      <c r="L215" t="n">
        <v>0</v>
      </c>
      <c r="M215" t="n">
        <v>0</v>
      </c>
      <c r="N215" t="n">
        <v>0</v>
      </c>
    </row>
    <row r="216">
      <c r="A216" t="inlineStr">
        <is>
          <t>Mancorn</t>
        </is>
      </c>
      <c r="B216" t="inlineStr">
        <is>
          <t>Nothing from mancorn this year because the white field (albus camp') is not sown.</t>
        </is>
      </c>
      <c r="C216" t="n">
        <v>0</v>
      </c>
      <c r="D216" t="n">
        <v>0</v>
      </c>
      <c r="E216" t="n">
        <v>0</v>
      </c>
      <c r="F216" t="n">
        <v>0</v>
      </c>
      <c r="G216" t="inlineStr">
        <is>
          <t>mancorn</t>
        </is>
      </c>
      <c r="H216" t="n">
        <v>0</v>
      </c>
      <c r="I216" t="n">
        <v>0</v>
      </c>
      <c r="J216" t="n">
        <v>0</v>
      </c>
      <c r="K216" t="n">
        <v>0</v>
      </c>
      <c r="L216" t="n">
        <v>0</v>
      </c>
      <c r="M216" t="n">
        <v>0</v>
      </c>
      <c r="N216" t="n">
        <v>0</v>
      </c>
    </row>
    <row r="217">
      <c r="A217" t="inlineStr">
        <is>
          <t>Barley</t>
        </is>
      </c>
      <c r="B217" t="inlineStr">
        <is>
          <t>(yield: 4-fold plus 1 quarters 6 bushels)</t>
        </is>
      </c>
      <c r="C217" t="n">
        <v>0</v>
      </c>
      <c r="D217" t="n">
        <v>0</v>
      </c>
      <c r="E217" t="n">
        <v>0</v>
      </c>
      <c r="F217" t="n">
        <v>0</v>
      </c>
      <c r="H217" t="n">
        <v>1</v>
      </c>
      <c r="I217" t="n">
        <v>6</v>
      </c>
      <c r="J217" t="n">
        <v>1.75</v>
      </c>
      <c r="K217" t="n">
        <v>1.75</v>
      </c>
      <c r="L217" t="n">
        <v>0</v>
      </c>
      <c r="M217" t="n">
        <v>1</v>
      </c>
      <c r="N217" t="n">
        <v>6</v>
      </c>
    </row>
    <row r="218">
      <c r="A218" t="inlineStr">
        <is>
          <t>Barley</t>
        </is>
      </c>
      <c r="B218" t="inlineStr">
        <is>
          <t>The same render account for 19 quarters 6 bushels from the whole issue of barley from the grange in the granary by struck measure.</t>
        </is>
      </c>
      <c r="C218" t="n">
        <v>0</v>
      </c>
      <c r="D218" t="n">
        <v>0</v>
      </c>
      <c r="E218" t="n">
        <v>0</v>
      </c>
      <c r="F218" t="n">
        <v>0</v>
      </c>
      <c r="G218" t="inlineStr">
        <is>
          <t>barley</t>
        </is>
      </c>
      <c r="H218" t="n">
        <v>19</v>
      </c>
      <c r="I218" t="n">
        <v>6</v>
      </c>
      <c r="J218" t="n">
        <v>19.75</v>
      </c>
      <c r="K218" t="n">
        <v>19.75</v>
      </c>
      <c r="L218" t="n">
        <v>0</v>
      </c>
      <c r="M218" t="n">
        <v>19</v>
      </c>
      <c r="N218" t="n">
        <v>6</v>
      </c>
    </row>
    <row r="219">
      <c r="A219" t="inlineStr">
        <is>
          <t>Barley</t>
        </is>
      </c>
      <c r="B219" t="inlineStr">
        <is>
          <t>10 quarters 3 bushels of curall received above and mixed with that for the liveries of the manorial servants.</t>
        </is>
      </c>
      <c r="C219" t="n">
        <v>0</v>
      </c>
      <c r="D219" t="n">
        <v>0</v>
      </c>
      <c r="E219" t="n">
        <v>0</v>
      </c>
      <c r="F219" t="n">
        <v>0</v>
      </c>
      <c r="G219" t="inlineStr">
        <is>
          <t>curall</t>
        </is>
      </c>
      <c r="H219" t="n">
        <v>10</v>
      </c>
      <c r="I219" t="n">
        <v>3</v>
      </c>
      <c r="J219" t="n">
        <v>10.375</v>
      </c>
      <c r="K219" t="n">
        <v>10.375</v>
      </c>
      <c r="L219" t="n">
        <v>0</v>
      </c>
      <c r="M219" t="n">
        <v>10</v>
      </c>
      <c r="N219" t="n">
        <v>3</v>
      </c>
    </row>
    <row r="220">
      <c r="A220" t="inlineStr">
        <is>
          <t>Barley</t>
        </is>
      </c>
      <c r="B220" t="inlineStr">
        <is>
          <t>9 quarters 7 bushels of beans received below and mixed with barley for the same.</t>
        </is>
      </c>
      <c r="C220" t="n">
        <v>0</v>
      </c>
      <c r="D220" t="n">
        <v>0</v>
      </c>
      <c r="E220" t="n">
        <v>0</v>
      </c>
      <c r="F220" t="n">
        <v>0</v>
      </c>
      <c r="G220" t="inlineStr">
        <is>
          <t>barley, beans</t>
        </is>
      </c>
      <c r="H220" t="n">
        <v>9</v>
      </c>
      <c r="I220" t="n">
        <v>7</v>
      </c>
      <c r="J220" t="n">
        <v>9.875</v>
      </c>
      <c r="K220" t="n">
        <v>9.875</v>
      </c>
      <c r="L220" t="n">
        <v>0</v>
      </c>
      <c r="M220" t="n">
        <v>9</v>
      </c>
      <c r="N220" t="n">
        <v>7</v>
      </c>
    </row>
    <row r="221">
      <c r="A221" t="inlineStr">
        <is>
          <t>Barley</t>
        </is>
      </c>
      <c r="B221" t="inlineStr">
        <is>
          <t>34 quarters of maslin bought above and mixed with that for the same.</t>
        </is>
      </c>
      <c r="C221" t="n">
        <v>0</v>
      </c>
      <c r="D221" t="n">
        <v>0</v>
      </c>
      <c r="E221" t="n">
        <v>0</v>
      </c>
      <c r="F221" t="n">
        <v>0</v>
      </c>
      <c r="G221" t="inlineStr">
        <is>
          <t>maslin</t>
        </is>
      </c>
      <c r="H221" t="n">
        <v>34</v>
      </c>
      <c r="I221" t="n">
        <v>0</v>
      </c>
      <c r="J221" t="n">
        <v>34</v>
      </c>
      <c r="K221" t="n">
        <v>34</v>
      </c>
      <c r="L221" t="n">
        <v>0</v>
      </c>
      <c r="M221" t="n">
        <v>34</v>
      </c>
      <c r="N221" t="n">
        <v>0</v>
      </c>
    </row>
    <row r="222">
      <c r="A222" t="inlineStr">
        <is>
          <t>Barley</t>
        </is>
      </c>
      <c r="B222" t="inlineStr">
        <is>
          <t>Total, 74 quarters.</t>
        </is>
      </c>
      <c r="C222" t="n">
        <v>0</v>
      </c>
      <c r="D222" t="n">
        <v>0</v>
      </c>
      <c r="E222" t="n">
        <v>0</v>
      </c>
      <c r="F222" t="n">
        <v>0</v>
      </c>
      <c r="H222" t="n">
        <v>74</v>
      </c>
      <c r="I222" t="n">
        <v>0</v>
      </c>
      <c r="J222" t="n">
        <v>74</v>
      </c>
      <c r="K222" t="n">
        <v>74</v>
      </c>
      <c r="L222" t="n">
        <v>0</v>
      </c>
      <c r="M222" t="n">
        <v>74</v>
      </c>
      <c r="N222" t="n">
        <v>0</v>
      </c>
    </row>
    <row r="223">
      <c r="A223" t="inlineStr">
        <is>
          <t>Barley</t>
        </is>
      </c>
      <c r="B223" t="inlineStr">
        <is>
          <t>Sown over 8.5 acres and 1 rood measured by the perch which lie above Benam, 4 quarters 3 bushels.</t>
        </is>
      </c>
      <c r="C223" t="n">
        <v>0</v>
      </c>
      <c r="D223" t="n">
        <v>0</v>
      </c>
      <c r="E223" t="n">
        <v>0</v>
      </c>
      <c r="F223" t="n">
        <v>0</v>
      </c>
      <c r="H223" t="n">
        <v>4</v>
      </c>
      <c r="I223" t="n">
        <v>3</v>
      </c>
      <c r="J223" t="n">
        <v>4.375</v>
      </c>
      <c r="K223" t="n">
        <v>4.375</v>
      </c>
      <c r="L223" t="n">
        <v>0</v>
      </c>
      <c r="M223" t="n">
        <v>4</v>
      </c>
      <c r="N223" t="n">
        <v>3</v>
      </c>
    </row>
    <row r="224">
      <c r="A224" t="inlineStr">
        <is>
          <t>Barley</t>
        </is>
      </c>
      <c r="B224" t="inlineStr">
        <is>
          <t>that is, .5 quarters an acre.</t>
        </is>
      </c>
      <c r="C224" t="n">
        <v>0</v>
      </c>
      <c r="D224" t="n">
        <v>0</v>
      </c>
      <c r="E224" t="n">
        <v>0</v>
      </c>
      <c r="F224" t="n">
        <v>0</v>
      </c>
      <c r="H224" t="n">
        <v>5</v>
      </c>
      <c r="I224" t="n">
        <v>0</v>
      </c>
      <c r="J224" t="n">
        <v>5</v>
      </c>
      <c r="K224" t="n">
        <v>5</v>
      </c>
      <c r="L224" t="n">
        <v>0</v>
      </c>
      <c r="M224" t="n">
        <v>5</v>
      </c>
      <c r="N224" t="n">
        <v>0</v>
      </c>
    </row>
    <row r="225">
      <c r="A225" t="inlineStr">
        <is>
          <t>Barley</t>
        </is>
      </c>
      <c r="B225" t="inlineStr">
        <is>
          <t>Delivered to 1 carter, 5 ploughmen, who each take a quarter every 8 weeks for the year, 39 quarters.</t>
        </is>
      </c>
      <c r="C225" t="n">
        <v>0</v>
      </c>
      <c r="D225" t="n">
        <v>0</v>
      </c>
      <c r="E225" t="n">
        <v>0</v>
      </c>
      <c r="F225" t="n">
        <v>0</v>
      </c>
      <c r="H225" t="n">
        <v>39</v>
      </c>
      <c r="I225" t="n">
        <v>0</v>
      </c>
      <c r="J225" t="n">
        <v>39</v>
      </c>
      <c r="K225" t="n">
        <v>39</v>
      </c>
      <c r="L225" t="n">
        <v>0</v>
      </c>
      <c r="M225" t="n">
        <v>39</v>
      </c>
      <c r="N225" t="n">
        <v>0</v>
      </c>
    </row>
    <row r="226">
      <c r="A226" t="inlineStr">
        <is>
          <t>Barley</t>
        </is>
      </c>
      <c r="B226" t="inlineStr">
        <is>
          <t>Delivered to 1 miller, 1 shepherd, 1 cowherd and 1 dairymaid, who each take a quarter every 10 weeks for the year, except the dairymaid who takes one every 12 weeks, 18 quarters 6.5 bushels, because there was no dairymaid for 13 weeks for a want of milking.</t>
        </is>
      </c>
      <c r="C226" t="n">
        <v>0</v>
      </c>
      <c r="D226" t="n">
        <v>0</v>
      </c>
      <c r="E226" t="n">
        <v>0</v>
      </c>
      <c r="F226" t="n">
        <v>0</v>
      </c>
      <c r="H226" t="n">
        <v>18</v>
      </c>
      <c r="I226" t="n">
        <v>6.5</v>
      </c>
      <c r="J226" t="n">
        <v>18.8125</v>
      </c>
      <c r="K226" t="n">
        <v>18.8125</v>
      </c>
      <c r="L226" t="n">
        <v>0</v>
      </c>
      <c r="M226" t="n">
        <v>18</v>
      </c>
      <c r="N226" t="n">
        <v>6.5</v>
      </c>
    </row>
    <row r="227">
      <c r="A227" t="inlineStr">
        <is>
          <t>Barley</t>
        </is>
      </c>
      <c r="B227" t="inlineStr">
        <is>
          <t>Delivered to 1 keeper of lambs for the time of their weaning, that is, from Wednesday the feast of St Mark the Evangelist (25 April) until Wedenesday before the feast of St Barnabas the Apostle (6 June), for 6 weeks, 3 bushels.</t>
        </is>
      </c>
      <c r="C227" t="n">
        <v>0</v>
      </c>
      <c r="D227" t="n">
        <v>0</v>
      </c>
      <c r="E227" t="n">
        <v>0</v>
      </c>
      <c r="F227" t="n">
        <v>0</v>
      </c>
      <c r="H227" t="n">
        <v>0</v>
      </c>
      <c r="I227" t="n">
        <v>3</v>
      </c>
      <c r="J227" t="n">
        <v>0.375</v>
      </c>
      <c r="K227" t="n">
        <v>0.375</v>
      </c>
      <c r="L227" t="n">
        <v>0</v>
      </c>
      <c r="M227" t="n">
        <v>0</v>
      </c>
      <c r="N227" t="n">
        <v>3</v>
      </c>
    </row>
    <row r="228">
      <c r="A228" t="inlineStr">
        <is>
          <t>Barley</t>
        </is>
      </c>
      <c r="B228" t="inlineStr">
        <is>
          <t>supporting pigs and piglets in winter, 1 quarters.</t>
        </is>
      </c>
      <c r="C228" t="n">
        <v>0</v>
      </c>
      <c r="D228" t="n">
        <v>0</v>
      </c>
      <c r="E228" t="n">
        <v>0</v>
      </c>
      <c r="F228" t="n">
        <v>0</v>
      </c>
      <c r="H228" t="n">
        <v>1</v>
      </c>
      <c r="I228" t="n">
        <v>0</v>
      </c>
      <c r="J228" t="n">
        <v>1</v>
      </c>
      <c r="K228" t="n">
        <v>1</v>
      </c>
      <c r="L228" t="n">
        <v>0</v>
      </c>
      <c r="M228" t="n">
        <v>1</v>
      </c>
      <c r="N228" t="n">
        <v>0</v>
      </c>
    </row>
    <row r="229">
      <c r="A229" t="inlineStr">
        <is>
          <t>Barley</t>
        </is>
      </c>
      <c r="B229" t="inlineStr">
        <is>
          <t>Sold as noted above, 10 quarters.</t>
        </is>
      </c>
      <c r="C229" t="n">
        <v>0</v>
      </c>
      <c r="D229" t="n">
        <v>0</v>
      </c>
      <c r="E229" t="n">
        <v>0</v>
      </c>
      <c r="F229" t="n">
        <v>0</v>
      </c>
      <c r="H229" t="n">
        <v>10</v>
      </c>
      <c r="I229" t="n">
        <v>0</v>
      </c>
      <c r="J229" t="n">
        <v>10</v>
      </c>
      <c r="K229" t="n">
        <v>10</v>
      </c>
      <c r="L229" t="n">
        <v>0</v>
      </c>
      <c r="M229" t="n">
        <v>10</v>
      </c>
      <c r="N229" t="n">
        <v>0</v>
      </c>
    </row>
    <row r="230">
      <c r="A230" t="inlineStr">
        <is>
          <t>Barley</t>
        </is>
      </c>
      <c r="B230" t="inlineStr">
        <is>
          <t>Sold at the audit, 3.5 bushels</t>
        </is>
      </c>
      <c r="C230" t="n">
        <v>0</v>
      </c>
      <c r="D230" t="n">
        <v>0</v>
      </c>
      <c r="E230" t="n">
        <v>0</v>
      </c>
      <c r="F230" t="n">
        <v>0</v>
      </c>
      <c r="H230" t="n">
        <v>0</v>
      </c>
      <c r="I230" t="n">
        <v>3.5</v>
      </c>
      <c r="J230" t="n">
        <v>0.4375</v>
      </c>
      <c r="K230" t="n">
        <v>0.4375</v>
      </c>
      <c r="L230" t="n">
        <v>0</v>
      </c>
      <c r="M230" t="n">
        <v>0</v>
      </c>
      <c r="N230" t="n">
        <v>3.5</v>
      </c>
    </row>
    <row r="231">
      <c r="A231" t="inlineStr">
        <is>
          <t>Oats from the demesne</t>
        </is>
      </c>
      <c r="B231" t="inlineStr">
        <is>
          <t>{yield: two-fold less 7 quarters 5 bushels}</t>
        </is>
      </c>
      <c r="C231" t="n">
        <v>0</v>
      </c>
      <c r="D231" t="n">
        <v>0</v>
      </c>
      <c r="E231" t="n">
        <v>0</v>
      </c>
      <c r="F231" t="n">
        <v>0</v>
      </c>
      <c r="H231" t="n">
        <v>7</v>
      </c>
      <c r="I231" t="n">
        <v>5</v>
      </c>
      <c r="J231" t="n">
        <v>7.625</v>
      </c>
      <c r="K231" t="n">
        <v>7.625</v>
      </c>
      <c r="L231" t="n">
        <v>0</v>
      </c>
      <c r="M231" t="n">
        <v>7</v>
      </c>
      <c r="N231" t="n">
        <v>5</v>
      </c>
    </row>
    <row r="232">
      <c r="A232" t="inlineStr">
        <is>
          <t>Oats from the demesne</t>
        </is>
      </c>
      <c r="B232" t="inlineStr">
        <is>
          <t>The same render account for 167 quarters 7 bushels from the whole issue of oats from the demense from the grange in the granary by struck measure.</t>
        </is>
      </c>
      <c r="C232" t="n">
        <v>0</v>
      </c>
      <c r="D232" t="n">
        <v>0</v>
      </c>
      <c r="E232" t="n">
        <v>0</v>
      </c>
      <c r="F232" t="n">
        <v>0</v>
      </c>
      <c r="G232" t="inlineStr">
        <is>
          <t>oats</t>
        </is>
      </c>
      <c r="H232" t="n">
        <v>167</v>
      </c>
      <c r="I232" t="n">
        <v>7</v>
      </c>
      <c r="J232" t="n">
        <v>167.875</v>
      </c>
      <c r="K232" t="n">
        <v>167.875</v>
      </c>
      <c r="L232" t="n">
        <v>0</v>
      </c>
      <c r="M232" t="n">
        <v>167</v>
      </c>
      <c r="N232" t="n">
        <v>7</v>
      </c>
    </row>
    <row r="233">
      <c r="A233" t="inlineStr">
        <is>
          <t>Oats from the demesne</t>
        </is>
      </c>
      <c r="B233" t="inlineStr">
        <is>
          <t>4.5 quarters by estimation in acres as they lie in the field given to the manorial servants for their stipends in summer.</t>
        </is>
      </c>
      <c r="C233" t="n">
        <v>0</v>
      </c>
      <c r="D233" t="n">
        <v>0</v>
      </c>
      <c r="E233" t="n">
        <v>0</v>
      </c>
      <c r="F233" t="n">
        <v>0</v>
      </c>
      <c r="H233" t="n">
        <v>4.5</v>
      </c>
      <c r="I233" t="n">
        <v>0</v>
      </c>
      <c r="J233" t="n">
        <v>4.5</v>
      </c>
      <c r="K233" t="n">
        <v>4.5</v>
      </c>
      <c r="L233" t="n">
        <v>0</v>
      </c>
      <c r="M233" t="n">
        <v>4.5</v>
      </c>
      <c r="N233" t="n">
        <v>0</v>
      </c>
    </row>
    <row r="234">
      <c r="A234" t="inlineStr">
        <is>
          <t>Oats from the demesne</t>
        </is>
      </c>
      <c r="B234" t="inlineStr">
        <is>
          <t>39 quarters 3 bushels of oats froth the vill according to custom.</t>
        </is>
      </c>
      <c r="C234" t="n">
        <v>0</v>
      </c>
      <c r="D234" t="n">
        <v>0</v>
      </c>
      <c r="E234" t="n">
        <v>0</v>
      </c>
      <c r="F234" t="n">
        <v>0</v>
      </c>
      <c r="G234" t="inlineStr">
        <is>
          <t>oats</t>
        </is>
      </c>
      <c r="H234" t="n">
        <v>39</v>
      </c>
      <c r="I234" t="n">
        <v>3</v>
      </c>
      <c r="J234" t="n">
        <v>39.375</v>
      </c>
      <c r="K234" t="n">
        <v>39.375</v>
      </c>
      <c r="L234" t="n">
        <v>0</v>
      </c>
      <c r="M234" t="n">
        <v>39</v>
      </c>
      <c r="N234" t="n">
        <v>3</v>
      </c>
    </row>
    <row r="235">
      <c r="A235" t="inlineStr">
        <is>
          <t>Oats from the demesne</t>
        </is>
      </c>
      <c r="B235" t="inlineStr">
        <is>
          <t>4.5 quarters bought.</t>
        </is>
      </c>
      <c r="C235" t="n">
        <v>0</v>
      </c>
      <c r="D235" t="n">
        <v>0</v>
      </c>
      <c r="E235" t="n">
        <v>0</v>
      </c>
      <c r="F235" t="n">
        <v>0</v>
      </c>
      <c r="H235" t="n">
        <v>4.5</v>
      </c>
      <c r="I235" t="n">
        <v>0</v>
      </c>
      <c r="J235" t="n">
        <v>4.5</v>
      </c>
      <c r="K235" t="n">
        <v>4.5</v>
      </c>
      <c r="L235" t="n">
        <v>0</v>
      </c>
      <c r="M235" t="n">
        <v>4.5</v>
      </c>
      <c r="N235" t="n">
        <v>0</v>
      </c>
    </row>
    <row r="236">
      <c r="A236" t="inlineStr">
        <is>
          <t>Oats from the demesne</t>
        </is>
      </c>
      <c r="B236" t="inlineStr">
        <is>
          <t>Total, 216 quarters 2 bushels</t>
        </is>
      </c>
      <c r="C236" t="n">
        <v>0</v>
      </c>
      <c r="D236" t="n">
        <v>0</v>
      </c>
      <c r="E236" t="n">
        <v>0</v>
      </c>
      <c r="F236" t="n">
        <v>0</v>
      </c>
      <c r="H236" t="n">
        <v>216</v>
      </c>
      <c r="I236" t="n">
        <v>2</v>
      </c>
      <c r="J236" t="n">
        <v>216.25</v>
      </c>
      <c r="K236" t="n">
        <v>216.25</v>
      </c>
      <c r="L236" t="n">
        <v>0</v>
      </c>
      <c r="M236" t="n">
        <v>216</v>
      </c>
      <c r="N236" t="n">
        <v>2</v>
      </c>
    </row>
    <row r="237">
      <c r="A237" t="inlineStr">
        <is>
          <t>Oats from the demesne</t>
        </is>
      </c>
      <c r="B237" t="inlineStr">
        <is>
          <t>Sown over 145 acres measured by the perch which lie above Benam, 90 quarters 5 bushels.</t>
        </is>
      </c>
      <c r="C237" t="n">
        <v>0</v>
      </c>
      <c r="D237" t="n">
        <v>0</v>
      </c>
      <c r="E237" t="n">
        <v>0</v>
      </c>
      <c r="F237" t="n">
        <v>0</v>
      </c>
      <c r="H237" t="n">
        <v>90</v>
      </c>
      <c r="I237" t="n">
        <v>5</v>
      </c>
      <c r="J237" t="n">
        <v>90.625</v>
      </c>
      <c r="K237" t="n">
        <v>90.625</v>
      </c>
      <c r="L237" t="n">
        <v>0</v>
      </c>
      <c r="M237" t="n">
        <v>90</v>
      </c>
      <c r="N237" t="n">
        <v>5</v>
      </c>
    </row>
    <row r="238">
      <c r="A238" t="inlineStr">
        <is>
          <t>Oats from the demesne</t>
        </is>
      </c>
      <c r="B238" t="inlineStr">
        <is>
          <t>that is, 5 bushels an acre.</t>
        </is>
      </c>
      <c r="C238" t="n">
        <v>0</v>
      </c>
      <c r="D238" t="n">
        <v>0</v>
      </c>
      <c r="E238" t="n">
        <v>0</v>
      </c>
      <c r="F238" t="n">
        <v>0</v>
      </c>
      <c r="H238" t="n">
        <v>0</v>
      </c>
      <c r="I238" t="n">
        <v>5</v>
      </c>
      <c r="J238" t="n">
        <v>0.625</v>
      </c>
      <c r="K238" t="n">
        <v>0.625</v>
      </c>
      <c r="L238" t="n">
        <v>0</v>
      </c>
      <c r="M238" t="n">
        <v>0</v>
      </c>
      <c r="N238" t="n">
        <v>5</v>
      </c>
    </row>
    <row r="239">
      <c r="A239" t="inlineStr">
        <is>
          <t>Oats from the demesne</t>
        </is>
      </c>
      <c r="B239" t="inlineStr">
        <is>
          <t>.</t>
        </is>
      </c>
      <c r="C239" t="n">
        <v>0</v>
      </c>
      <c r="D239" t="n">
        <v>0</v>
      </c>
      <c r="E239" t="n">
        <v>0</v>
      </c>
      <c r="F239" t="n">
        <v>0</v>
      </c>
      <c r="H239" t="n">
        <v>0</v>
      </c>
      <c r="I239" t="n">
        <v>0</v>
      </c>
      <c r="J239" t="n">
        <v>0</v>
      </c>
      <c r="K239" t="n">
        <v>0</v>
      </c>
      <c r="L239" t="n">
        <v>0</v>
      </c>
      <c r="M239" t="n">
        <v>0</v>
      </c>
      <c r="N239" t="n">
        <v>0</v>
      </c>
    </row>
    <row r="240">
      <c r="A240" t="inlineStr">
        <is>
          <t>Oats from the demesne</t>
        </is>
      </c>
      <c r="B240" t="inlineStr">
        <is>
          <t>fodder of 2 cart-horses for the year, 15 quarters.</t>
        </is>
      </c>
      <c r="C240" t="n">
        <v>0</v>
      </c>
      <c r="D240" t="n">
        <v>0</v>
      </c>
      <c r="E240" t="n">
        <v>0</v>
      </c>
      <c r="F240" t="n">
        <v>0</v>
      </c>
      <c r="H240" t="n">
        <v>15</v>
      </c>
      <c r="I240" t="n">
        <v>0</v>
      </c>
      <c r="J240" t="n">
        <v>15</v>
      </c>
      <c r="K240" t="n">
        <v>15</v>
      </c>
      <c r="L240" t="n">
        <v>0</v>
      </c>
      <c r="M240" t="n">
        <v>15</v>
      </c>
      <c r="N240" t="n">
        <v>0</v>
      </c>
    </row>
    <row r="241">
      <c r="A241" t="inlineStr">
        <is>
          <t>Oats from the demesne</t>
        </is>
      </c>
      <c r="B241" t="inlineStr">
        <is>
          <t>.</t>
        </is>
      </c>
      <c r="C241" t="n">
        <v>0</v>
      </c>
      <c r="D241" t="n">
        <v>0</v>
      </c>
      <c r="E241" t="n">
        <v>0</v>
      </c>
      <c r="F241" t="n">
        <v>0</v>
      </c>
      <c r="H241" t="n">
        <v>0</v>
      </c>
      <c r="I241" t="n">
        <v>0</v>
      </c>
      <c r="J241" t="n">
        <v>0</v>
      </c>
      <c r="K241" t="n">
        <v>0</v>
      </c>
      <c r="L241" t="n">
        <v>0</v>
      </c>
      <c r="M241" t="n">
        <v>0</v>
      </c>
      <c r="N241" t="n">
        <v>0</v>
      </c>
    </row>
    <row r="242">
      <c r="A242" t="inlineStr">
        <is>
          <t>Oats from the demesne</t>
        </is>
      </c>
      <c r="B242" t="inlineStr">
        <is>
          <t>fodder of the steward's horses at the hundred-court of Martinmas, 7 bushels.</t>
        </is>
      </c>
      <c r="C242" t="n">
        <v>0</v>
      </c>
      <c r="D242" t="n">
        <v>0</v>
      </c>
      <c r="E242" t="n">
        <v>0</v>
      </c>
      <c r="F242" t="n">
        <v>0</v>
      </c>
      <c r="H242" t="n">
        <v>0</v>
      </c>
      <c r="I242" t="n">
        <v>7</v>
      </c>
      <c r="J242" t="n">
        <v>0.875</v>
      </c>
      <c r="K242" t="n">
        <v>0.875</v>
      </c>
      <c r="L242" t="n">
        <v>0</v>
      </c>
      <c r="M242" t="n">
        <v>0</v>
      </c>
      <c r="N242" t="n">
        <v>7</v>
      </c>
    </row>
    <row r="243">
      <c r="A243" t="inlineStr">
        <is>
          <t>Oats from the demesne</t>
        </is>
      </c>
      <c r="B243" t="inlineStr">
        <is>
          <t>fodder of the steward's horses for his 1 visit about the Purification, 0.5 quarters.</t>
        </is>
      </c>
      <c r="C243" t="n">
        <v>0</v>
      </c>
      <c r="D243" t="n">
        <v>0</v>
      </c>
      <c r="E243" t="n">
        <v>0</v>
      </c>
      <c r="F243" t="n">
        <v>0</v>
      </c>
      <c r="H243" t="n">
        <v>0.5</v>
      </c>
      <c r="I243" t="n">
        <v>0</v>
      </c>
      <c r="J243" t="n">
        <v>0.5</v>
      </c>
      <c r="K243" t="n">
        <v>0.5</v>
      </c>
      <c r="L243" t="n">
        <v>0</v>
      </c>
      <c r="M243" t="n">
        <v>0.5</v>
      </c>
      <c r="N243" t="n">
        <v>0</v>
      </c>
    </row>
    <row r="244">
      <c r="A244" t="inlineStr">
        <is>
          <t>Oats from the demesne</t>
        </is>
      </c>
      <c r="B244" t="inlineStr">
        <is>
          <t>.</t>
        </is>
      </c>
      <c r="C244" t="n">
        <v>0</v>
      </c>
      <c r="D244" t="n">
        <v>0</v>
      </c>
      <c r="E244" t="n">
        <v>0</v>
      </c>
      <c r="F244" t="n">
        <v>0</v>
      </c>
      <c r="H244" t="n">
        <v>0</v>
      </c>
      <c r="I244" t="n">
        <v>0</v>
      </c>
      <c r="J244" t="n">
        <v>0</v>
      </c>
      <c r="K244" t="n">
        <v>0</v>
      </c>
      <c r="L244" t="n">
        <v>0</v>
      </c>
      <c r="M244" t="n">
        <v>0</v>
      </c>
      <c r="N244" t="n">
        <v>0</v>
      </c>
    </row>
    <row r="245">
      <c r="A245" t="inlineStr">
        <is>
          <t>Oats from the demesne</t>
        </is>
      </c>
      <c r="B245" t="inlineStr">
        <is>
          <t>fodder of the horses of Simon de Farham holding the tourn of Hockday, 0.5 quarters.</t>
        </is>
      </c>
      <c r="C245" t="n">
        <v>0</v>
      </c>
      <c r="D245" t="n">
        <v>0</v>
      </c>
      <c r="E245" t="n">
        <v>0</v>
      </c>
      <c r="F245" t="n">
        <v>0</v>
      </c>
      <c r="H245" t="n">
        <v>0.5</v>
      </c>
      <c r="I245" t="n">
        <v>0</v>
      </c>
      <c r="J245" t="n">
        <v>0.5</v>
      </c>
      <c r="K245" t="n">
        <v>0.5</v>
      </c>
      <c r="L245" t="n">
        <v>0</v>
      </c>
      <c r="M245" t="n">
        <v>0.5</v>
      </c>
      <c r="N245" t="n">
        <v>0</v>
      </c>
    </row>
    <row r="246">
      <c r="A246" t="inlineStr">
        <is>
          <t>Oats from the demesne</t>
        </is>
      </c>
      <c r="B246" t="inlineStr">
        <is>
          <t>.</t>
        </is>
      </c>
      <c r="C246" t="n">
        <v>0</v>
      </c>
      <c r="D246" t="n">
        <v>0</v>
      </c>
      <c r="E246" t="n">
        <v>0</v>
      </c>
      <c r="F246" t="n">
        <v>0</v>
      </c>
      <c r="H246" t="n">
        <v>0</v>
      </c>
      <c r="I246" t="n">
        <v>0</v>
      </c>
      <c r="J246" t="n">
        <v>0</v>
      </c>
      <c r="K246" t="n">
        <v>0</v>
      </c>
      <c r="L246" t="n">
        <v>0</v>
      </c>
      <c r="M246" t="n">
        <v>0</v>
      </c>
      <c r="N246" t="n">
        <v>0</v>
      </c>
    </row>
    <row r="247">
      <c r="A247" t="inlineStr">
        <is>
          <t>Oats from the demesne</t>
        </is>
      </c>
      <c r="B247" t="inlineStr">
        <is>
          <t>fodder of the bailiff's horse from Michaelmas until the feast of St Thomas the Apostle, 1 quarters 2 bushels, because he took the rest at West Wycombe.</t>
        </is>
      </c>
      <c r="C247" t="n">
        <v>0</v>
      </c>
      <c r="D247" t="n">
        <v>0</v>
      </c>
      <c r="E247" t="n">
        <v>0</v>
      </c>
      <c r="F247" t="n">
        <v>0</v>
      </c>
      <c r="H247" t="n">
        <v>1</v>
      </c>
      <c r="I247" t="n">
        <v>2</v>
      </c>
      <c r="J247" t="n">
        <v>1.25</v>
      </c>
      <c r="K247" t="n">
        <v>1.25</v>
      </c>
      <c r="L247" t="n">
        <v>0</v>
      </c>
      <c r="M247" t="n">
        <v>1</v>
      </c>
      <c r="N247" t="n">
        <v>2</v>
      </c>
    </row>
    <row r="248">
      <c r="A248" t="inlineStr">
        <is>
          <t>Oats from the demesne</t>
        </is>
      </c>
      <c r="B248" t="inlineStr">
        <is>
          <t>Given to 9 manorial servants for their stipends for' year in summer by estimation in acres as they lie in the field, 4.5 quarters.</t>
        </is>
      </c>
      <c r="C248" t="n">
        <v>0</v>
      </c>
      <c r="D248" t="n">
        <v>0</v>
      </c>
      <c r="E248" t="n">
        <v>0</v>
      </c>
      <c r="F248" t="n">
        <v>0</v>
      </c>
      <c r="H248" t="n">
        <v>4.5</v>
      </c>
      <c r="I248" t="n">
        <v>0</v>
      </c>
      <c r="J248" t="n">
        <v>4.5</v>
      </c>
      <c r="K248" t="n">
        <v>4.5</v>
      </c>
      <c r="L248" t="n">
        <v>0</v>
      </c>
      <c r="M248" t="n">
        <v>4.5</v>
      </c>
      <c r="N248" t="n">
        <v>0</v>
      </c>
    </row>
    <row r="249">
      <c r="A249" t="inlineStr">
        <is>
          <t>Oats from the demesne</t>
        </is>
      </c>
      <c r="B249" t="inlineStr">
        <is>
          <t>that is, 0.5 quarters each by estimation in an acre as it lies.</t>
        </is>
      </c>
      <c r="C249" t="n">
        <v>0</v>
      </c>
      <c r="D249" t="n">
        <v>0</v>
      </c>
      <c r="E249" t="n">
        <v>0</v>
      </c>
      <c r="F249" t="n">
        <v>0</v>
      </c>
      <c r="H249" t="n">
        <v>0.5</v>
      </c>
      <c r="I249" t="n">
        <v>0</v>
      </c>
      <c r="J249" t="n">
        <v>0.5</v>
      </c>
      <c r="K249" t="n">
        <v>0.5</v>
      </c>
      <c r="L249" t="n">
        <v>0</v>
      </c>
      <c r="M249" t="n">
        <v>0.5</v>
      </c>
      <c r="N249" t="n">
        <v>0</v>
      </c>
    </row>
    <row r="250">
      <c r="A250" t="inlineStr">
        <is>
          <t>Oats from the demesne</t>
        </is>
      </c>
      <c r="B250" t="inlineStr">
        <is>
          <t>.</t>
        </is>
      </c>
      <c r="C250" t="n">
        <v>0</v>
      </c>
      <c r="D250" t="n">
        <v>0</v>
      </c>
      <c r="E250" t="n">
        <v>0</v>
      </c>
      <c r="F250" t="n">
        <v>0</v>
      </c>
      <c r="H250" t="n">
        <v>0</v>
      </c>
      <c r="I250" t="n">
        <v>0</v>
      </c>
      <c r="J250" t="n">
        <v>0</v>
      </c>
      <c r="K250" t="n">
        <v>0</v>
      </c>
      <c r="L250" t="n">
        <v>0</v>
      </c>
      <c r="M250" t="n">
        <v>0</v>
      </c>
      <c r="N250" t="n">
        <v>0</v>
      </c>
    </row>
    <row r="251">
      <c r="A251" t="inlineStr">
        <is>
          <t>Oats from the demesne</t>
        </is>
      </c>
      <c r="B251" t="inlineStr">
        <is>
          <t>fodder of the sheriff's horses for his 1 visit about the feast of St Vincent,' quarters.</t>
        </is>
      </c>
      <c r="C251" t="n">
        <v>0</v>
      </c>
      <c r="D251" t="n">
        <v>0</v>
      </c>
      <c r="E251" t="n">
        <v>0</v>
      </c>
      <c r="F251" t="n">
        <v>0</v>
      </c>
      <c r="H251" t="n">
        <v>0</v>
      </c>
      <c r="I251" t="n">
        <v>0</v>
      </c>
      <c r="J251" t="n">
        <v>0</v>
      </c>
      <c r="K251" t="n">
        <v>0</v>
      </c>
      <c r="L251" t="n">
        <v>0</v>
      </c>
      <c r="M251" t="n">
        <v>0</v>
      </c>
      <c r="N251" t="n">
        <v>0</v>
      </c>
    </row>
    <row r="252">
      <c r="A252" t="inlineStr">
        <is>
          <t>Oats from the demesne</t>
        </is>
      </c>
      <c r="B252" t="inlineStr">
        <is>
          <t>Given to the marshal purveying for the Lord Edward, son of the king, in preparation for the tournament at Dunstable, to have his favour, 2 quarters of oats and hay.</t>
        </is>
      </c>
      <c r="C252" t="n">
        <v>0</v>
      </c>
      <c r="D252" t="n">
        <v>0</v>
      </c>
      <c r="E252" t="n">
        <v>0</v>
      </c>
      <c r="F252" t="n">
        <v>0</v>
      </c>
      <c r="G252" t="inlineStr">
        <is>
          <t>oats</t>
        </is>
      </c>
      <c r="H252" t="n">
        <v>2</v>
      </c>
      <c r="I252" t="n">
        <v>0</v>
      </c>
      <c r="J252" t="n">
        <v>2</v>
      </c>
      <c r="K252" t="n">
        <v>2</v>
      </c>
      <c r="L252" t="n">
        <v>0</v>
      </c>
      <c r="M252" t="n">
        <v>2</v>
      </c>
      <c r="N252" t="n">
        <v>0</v>
      </c>
    </row>
    <row r="253">
      <c r="A253" t="inlineStr">
        <is>
          <t>Oats from the demesne</t>
        </is>
      </c>
      <c r="B253" t="inlineStr">
        <is>
          <t>.</t>
        </is>
      </c>
      <c r="C253" t="n">
        <v>0</v>
      </c>
      <c r="D253" t="n">
        <v>0</v>
      </c>
      <c r="E253" t="n">
        <v>0</v>
      </c>
      <c r="F253" t="n">
        <v>0</v>
      </c>
      <c r="H253" t="n">
        <v>0</v>
      </c>
      <c r="I253" t="n">
        <v>0</v>
      </c>
      <c r="J253" t="n">
        <v>0</v>
      </c>
      <c r="K253" t="n">
        <v>0</v>
      </c>
      <c r="L253" t="n">
        <v>0</v>
      </c>
      <c r="M253" t="n">
        <v>0</v>
      </c>
      <c r="N253" t="n">
        <v>0</v>
      </c>
    </row>
    <row r="254">
      <c r="A254" t="inlineStr">
        <is>
          <t>Oats from the demesne</t>
        </is>
      </c>
      <c r="B254" t="inlineStr">
        <is>
          <t>fodder of the horses of the bishop's squires coming for the tournament at Dunstable, 5 bushels Sold as noted above, 99 quarters 7 bushels</t>
        </is>
      </c>
      <c r="C254" t="n">
        <v>0</v>
      </c>
      <c r="D254" t="n">
        <v>0</v>
      </c>
      <c r="E254" t="n">
        <v>0</v>
      </c>
      <c r="F254" t="n">
        <v>0</v>
      </c>
      <c r="H254" t="n">
        <v>99</v>
      </c>
      <c r="I254" t="n">
        <v>7</v>
      </c>
      <c r="J254" t="n">
        <v>99.875</v>
      </c>
      <c r="K254" t="n">
        <v>0.625</v>
      </c>
      <c r="L254" t="n">
        <v>99.25</v>
      </c>
      <c r="M254" t="n">
        <v>0</v>
      </c>
      <c r="N254" t="n">
        <v>5</v>
      </c>
      <c r="O254" t="n">
        <v>99</v>
      </c>
      <c r="P254" t="n">
        <v>7</v>
      </c>
    </row>
    <row r="255">
      <c r="A255" t="inlineStr">
        <is>
          <t>Beans</t>
        </is>
      </c>
      <c r="B255" t="inlineStr">
        <is>
          <t>{yield: six-fold plus 1 bushels}</t>
        </is>
      </c>
      <c r="C255" t="n">
        <v>0</v>
      </c>
      <c r="D255" t="n">
        <v>0</v>
      </c>
      <c r="E255" t="n">
        <v>0</v>
      </c>
      <c r="F255" t="n">
        <v>0</v>
      </c>
      <c r="H255" t="n">
        <v>0</v>
      </c>
      <c r="I255" t="n">
        <v>1</v>
      </c>
      <c r="J255" t="n">
        <v>0.125</v>
      </c>
      <c r="K255" t="n">
        <v>0.125</v>
      </c>
      <c r="L255" t="n">
        <v>0</v>
      </c>
      <c r="M255" t="n">
        <v>0</v>
      </c>
      <c r="N255" t="n">
        <v>1</v>
      </c>
    </row>
    <row r="256">
      <c r="A256" t="inlineStr">
        <is>
          <t>Beans</t>
        </is>
      </c>
      <c r="B256" t="inlineStr">
        <is>
          <t>The same render account for 20 quarters 1 bushels from the whole issue of beans from the grange in the granary by struck measure.</t>
        </is>
      </c>
      <c r="C256" t="n">
        <v>0</v>
      </c>
      <c r="D256" t="n">
        <v>0</v>
      </c>
      <c r="E256" t="n">
        <v>0</v>
      </c>
      <c r="F256" t="n">
        <v>0</v>
      </c>
      <c r="G256" t="inlineStr">
        <is>
          <t>beans</t>
        </is>
      </c>
      <c r="H256" t="n">
        <v>20</v>
      </c>
      <c r="I256" t="n">
        <v>1</v>
      </c>
      <c r="J256" t="n">
        <v>20.125</v>
      </c>
      <c r="K256" t="n">
        <v>20.125</v>
      </c>
      <c r="L256" t="n">
        <v>0</v>
      </c>
      <c r="M256" t="n">
        <v>20</v>
      </c>
      <c r="N256" t="n">
        <v>1</v>
      </c>
    </row>
    <row r="257">
      <c r="A257" t="inlineStr">
        <is>
          <t>Beans</t>
        </is>
      </c>
      <c r="B257" t="inlineStr">
        <is>
          <t>Sown, 4 quarters 1 bushels Mixed above with barley for the liveries of the manorial servants, 9 quarters 7 bushels Sold as noted above, 6 quarters 1 bushels</t>
        </is>
      </c>
      <c r="C257" t="n">
        <v>0</v>
      </c>
      <c r="D257" t="n">
        <v>0</v>
      </c>
      <c r="E257" t="n">
        <v>0</v>
      </c>
      <c r="F257" t="n">
        <v>0</v>
      </c>
      <c r="G257" t="inlineStr">
        <is>
          <t>barley</t>
        </is>
      </c>
      <c r="H257" t="n">
        <v>15</v>
      </c>
      <c r="I257" t="n">
        <v>8</v>
      </c>
      <c r="J257" t="n">
        <v>16</v>
      </c>
      <c r="K257" t="n">
        <v>4.125</v>
      </c>
      <c r="L257" t="n">
        <v>11.875</v>
      </c>
      <c r="M257" t="n">
        <v>4</v>
      </c>
      <c r="N257" t="n">
        <v>1</v>
      </c>
      <c r="O257" t="n">
        <v>9</v>
      </c>
      <c r="P257" t="n">
        <v>7</v>
      </c>
      <c r="Q257" t="n">
        <v>6</v>
      </c>
      <c r="R257" t="n">
        <v>1</v>
      </c>
    </row>
    <row r="258">
      <c r="A258" t="inlineStr">
        <is>
          <t>Wethers: 175 re main from the previous year; 16 added from hoggs; 28 bought before shearing.</t>
        </is>
      </c>
      <c r="B258" t="inlineStr">
        <is>
          <t>Total, 219. 40 in murrain before shearing, 1 after shearing.</t>
        </is>
      </c>
      <c r="C258" t="n">
        <v>0</v>
      </c>
      <c r="D258" t="n">
        <v>0</v>
      </c>
      <c r="E258" t="n">
        <v>0</v>
      </c>
      <c r="F258" t="n">
        <v>0</v>
      </c>
      <c r="H258" t="n">
        <v>0</v>
      </c>
      <c r="I258" t="n">
        <v>0</v>
      </c>
      <c r="J258" t="n">
        <v>0</v>
      </c>
      <c r="K258" t="n">
        <v>0</v>
      </c>
      <c r="L258" t="n">
        <v>0</v>
      </c>
      <c r="M258" t="n">
        <v>0</v>
      </c>
      <c r="N258" t="n">
        <v>0</v>
      </c>
    </row>
    <row r="259">
      <c r="A259" t="inlineStr">
        <is>
          <t>Wethers: 175 re main from the previous year; 16 added from hoggs; 28 bought before shearing.</t>
        </is>
      </c>
      <c r="B259" t="inlineStr">
        <is>
          <t>54 sold at martinmas.</t>
        </is>
      </c>
      <c r="C259" t="n">
        <v>0</v>
      </c>
      <c r="D259" t="n">
        <v>0</v>
      </c>
      <c r="E259" t="n">
        <v>0</v>
      </c>
      <c r="F259" t="n">
        <v>0</v>
      </c>
      <c r="H259" t="n">
        <v>0</v>
      </c>
      <c r="I259" t="n">
        <v>0</v>
      </c>
      <c r="J259" t="n">
        <v>0</v>
      </c>
      <c r="K259" t="n">
        <v>0</v>
      </c>
      <c r="L259" t="n">
        <v>0</v>
      </c>
      <c r="M259" t="n">
        <v>0</v>
      </c>
      <c r="N259" t="n">
        <v>0</v>
      </c>
    </row>
    <row r="260">
      <c r="A260" t="inlineStr">
        <is>
          <t>Wethers: 175 re main from the previous year; 16 added from hoggs; 28 bought before shearing.</t>
        </is>
      </c>
      <c r="B260" t="inlineStr">
        <is>
          <t>1 in customary payment for the mowing of the meadows after shearing.</t>
        </is>
      </c>
      <c r="C260" t="n">
        <v>0</v>
      </c>
      <c r="D260" t="n">
        <v>0</v>
      </c>
      <c r="E260" t="n">
        <v>0</v>
      </c>
      <c r="F260" t="n">
        <v>0</v>
      </c>
      <c r="H260" t="n">
        <v>0</v>
      </c>
      <c r="I260" t="n">
        <v>0</v>
      </c>
      <c r="J260" t="n">
        <v>0</v>
      </c>
      <c r="K260" t="n">
        <v>0</v>
      </c>
      <c r="L260" t="n">
        <v>0</v>
      </c>
      <c r="M260" t="n">
        <v>0</v>
      </c>
      <c r="N260" t="n">
        <v>0</v>
      </c>
    </row>
    <row r="261">
      <c r="A261" t="inlineStr">
        <is>
          <t>Wethers: 175 re main from the previous year; 16 added from hoggs; 28 bought before shearing.</t>
        </is>
      </c>
      <c r="B261" t="inlineStr">
        <is>
          <t>26 sold at Martinmas.</t>
        </is>
      </c>
      <c r="C261" t="n">
        <v>0</v>
      </c>
      <c r="D261" t="n">
        <v>0</v>
      </c>
      <c r="E261" t="n">
        <v>0</v>
      </c>
      <c r="F261" t="n">
        <v>0</v>
      </c>
      <c r="H261" t="n">
        <v>0</v>
      </c>
      <c r="I261" t="n">
        <v>0</v>
      </c>
      <c r="J261" t="n">
        <v>0</v>
      </c>
      <c r="K261" t="n">
        <v>0</v>
      </c>
      <c r="L261" t="n">
        <v>0</v>
      </c>
      <c r="M261" t="n">
        <v>0</v>
      </c>
      <c r="N261" t="n">
        <v>0</v>
      </c>
    </row>
    <row r="262">
      <c r="A262" t="inlineStr">
        <is>
          <t>Wethers: 175 re main from the previous year; 16 added from hoggs; 28 bought before shearing.</t>
        </is>
      </c>
      <c r="B262" t="inlineStr">
        <is>
          <t>Total, 122. 97 remain, 3 of them rams.</t>
        </is>
      </c>
      <c r="C262" t="n">
        <v>0</v>
      </c>
      <c r="D262" t="n">
        <v>0</v>
      </c>
      <c r="E262" t="n">
        <v>0</v>
      </c>
      <c r="F262" t="n">
        <v>0</v>
      </c>
      <c r="H262" t="n">
        <v>0</v>
      </c>
      <c r="I262" t="n">
        <v>0</v>
      </c>
      <c r="J262" t="n">
        <v>0</v>
      </c>
      <c r="K262" t="n">
        <v>0</v>
      </c>
      <c r="L262" t="n">
        <v>0</v>
      </c>
      <c r="M262" t="n">
        <v>0</v>
      </c>
      <c r="N262" t="n">
        <v>0</v>
      </c>
    </row>
    <row r="263">
      <c r="A263" t="inlineStr">
        <is>
          <t>Coarse fleeces: {yield of fleece 4.5d. plus 1.s. 1d. in all): 158 produced at the shearing; 13 in tithe, because the wool of 28 wethers not tithed; 1 in customary payment to the shepherd; 144 sent to Wolvesey, which made 1 wey and 2 cloves. A wey is of 26 cloves and a clove of 7 lb.</t>
        </is>
      </c>
      <c r="B263" t="inlineStr">
        <is>
          <t>Lambs' fleeces: none this year because the lambs not shearepence</t>
        </is>
      </c>
      <c r="C263" t="n">
        <v>0</v>
      </c>
      <c r="D263" t="n">
        <v>0</v>
      </c>
      <c r="E263" t="n">
        <v>0</v>
      </c>
      <c r="F263" t="n">
        <v>0</v>
      </c>
      <c r="H263" t="n">
        <v>0</v>
      </c>
      <c r="I263" t="n">
        <v>0</v>
      </c>
      <c r="J263" t="n">
        <v>0</v>
      </c>
      <c r="K263" t="n">
        <v>0</v>
      </c>
      <c r="L263" t="n">
        <v>0</v>
      </c>
      <c r="M263" t="n">
        <v>0</v>
      </c>
      <c r="N263"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J42"/>
  <sheetViews>
    <sheetView topLeftCell="A1"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row>
    <row r="2">
      <c r="A2" t="inlineStr">
        <is>
          <t>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row>
    <row r="3">
      <c r="A3" t="inlineStr">
        <is>
          <t>Wheat</t>
        </is>
      </c>
      <c r="B3" t="inlineStr">
        <is>
          <t>(yield: 5-fold less . . . quarters 2 bushels}</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2</v>
      </c>
      <c r="Z3" t="n">
        <v>0.25</v>
      </c>
      <c r="AA3" t="n">
        <v>0.25</v>
      </c>
      <c r="AB3" t="n">
        <v>0</v>
      </c>
      <c r="AC3" t="n">
        <v>0</v>
      </c>
      <c r="AD3" t="n">
        <v>2</v>
      </c>
    </row>
    <row r="4">
      <c r="A4" t="inlineStr">
        <is>
          <t>Wheat</t>
        </is>
      </c>
      <c r="B4" t="inlineStr">
        <is>
          <t>The same render account for 201 quarters 5 bushels of wheat from the whole issue of the grange in the granary by struck measure.</t>
        </is>
      </c>
      <c r="C4" t="n">
        <v>0</v>
      </c>
      <c r="D4" t="n">
        <v>0</v>
      </c>
      <c r="E4" t="n">
        <v>0</v>
      </c>
      <c r="F4" t="n">
        <v>0</v>
      </c>
      <c r="G4" t="n">
        <v>0</v>
      </c>
      <c r="H4" t="n">
        <v>0</v>
      </c>
      <c r="I4" t="n">
        <v>0</v>
      </c>
      <c r="J4" t="n">
        <v>0</v>
      </c>
      <c r="K4" t="n">
        <v>0</v>
      </c>
      <c r="L4" t="n">
        <v>0</v>
      </c>
      <c r="M4" t="n">
        <v>0</v>
      </c>
      <c r="N4" t="n">
        <v>0</v>
      </c>
      <c r="O4" t="n">
        <v>0</v>
      </c>
      <c r="P4" t="n">
        <v>0</v>
      </c>
      <c r="Q4" t="n">
        <v>0</v>
      </c>
      <c r="R4" t="n">
        <v>0</v>
      </c>
      <c r="S4" t="n">
        <v>0</v>
      </c>
      <c r="T4" t="n">
        <v>201</v>
      </c>
      <c r="U4" t="n">
        <v>5</v>
      </c>
      <c r="V4" t="n">
        <v>201.625</v>
      </c>
      <c r="W4" t="n">
        <v>0</v>
      </c>
      <c r="X4" t="n">
        <v>201</v>
      </c>
      <c r="Y4" t="n">
        <v>5</v>
      </c>
      <c r="Z4" t="n">
        <v>201.625</v>
      </c>
      <c r="AA4" t="n">
        <v>201.625</v>
      </c>
      <c r="AB4" t="n">
        <v>0</v>
      </c>
      <c r="AC4" t="n">
        <v>201</v>
      </c>
      <c r="AD4" t="n">
        <v>5</v>
      </c>
    </row>
    <row r="5">
      <c r="A5" t="inlineStr">
        <is>
          <t>Wheat</t>
        </is>
      </c>
      <c r="B5" t="inlineStr">
        <is>
          <t>6.5 quarters by estimation given to the manorial servants in acres as they lie in the field.</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6.5</v>
      </c>
      <c r="Y5" t="n">
        <v>0</v>
      </c>
      <c r="Z5" t="n">
        <v>6.5</v>
      </c>
      <c r="AA5" t="n">
        <v>6.5</v>
      </c>
      <c r="AB5" t="n">
        <v>0</v>
      </c>
      <c r="AC5" t="n">
        <v>6.5</v>
      </c>
      <c r="AD5" t="n">
        <v>0</v>
      </c>
    </row>
    <row r="6">
      <c r="A6" t="inlineStr">
        <is>
          <t>Wheat</t>
        </is>
      </c>
      <c r="B6" t="inlineStr">
        <is>
          <t>12 quarters 2 bushels bought.</t>
        </is>
      </c>
      <c r="C6" t="n">
        <v>0</v>
      </c>
      <c r="D6" t="n">
        <v>0</v>
      </c>
      <c r="E6" t="n">
        <v>0</v>
      </c>
      <c r="F6" t="n">
        <v>0</v>
      </c>
      <c r="G6" t="n">
        <v>0</v>
      </c>
      <c r="H6" t="n">
        <v>12</v>
      </c>
      <c r="I6" t="n">
        <v>2</v>
      </c>
      <c r="J6" t="n">
        <v>12.25</v>
      </c>
      <c r="K6" t="n">
        <v>0</v>
      </c>
      <c r="L6" t="n">
        <v>0</v>
      </c>
      <c r="M6" t="n">
        <v>0</v>
      </c>
      <c r="N6" t="n">
        <v>0</v>
      </c>
      <c r="O6" t="n">
        <v>0</v>
      </c>
      <c r="P6" t="n">
        <v>0</v>
      </c>
      <c r="Q6" t="n">
        <v>0</v>
      </c>
      <c r="R6" t="n">
        <v>0</v>
      </c>
      <c r="S6" t="n">
        <v>0</v>
      </c>
      <c r="T6" t="n">
        <v>0</v>
      </c>
      <c r="U6" t="n">
        <v>0</v>
      </c>
      <c r="V6" t="n">
        <v>0</v>
      </c>
      <c r="W6" t="n">
        <v>0</v>
      </c>
      <c r="X6" t="n">
        <v>12</v>
      </c>
      <c r="Y6" t="n">
        <v>2</v>
      </c>
      <c r="Z6" t="n">
        <v>12.25</v>
      </c>
      <c r="AA6" t="n">
        <v>12.25</v>
      </c>
      <c r="AB6" t="n">
        <v>0</v>
      </c>
      <c r="AC6" t="n">
        <v>12</v>
      </c>
      <c r="AD6" t="n">
        <v>2</v>
      </c>
    </row>
    <row r="7">
      <c r="A7" t="inlineStr">
        <is>
          <t>Wheat</t>
        </is>
      </c>
      <c r="B7" t="inlineStr">
        <is>
          <t>Total, 220 quarters 3 bushels Sown over 84 acres measured by the perch which lie in the middle field, 32 quarters 2 bushels.</t>
        </is>
      </c>
      <c r="C7" t="n">
        <v>0</v>
      </c>
      <c r="D7" t="n">
        <v>0</v>
      </c>
      <c r="E7" t="n">
        <v>252</v>
      </c>
      <c r="F7" t="n">
        <v>5</v>
      </c>
      <c r="G7" t="n">
        <v>252.625</v>
      </c>
      <c r="H7" t="n">
        <v>0</v>
      </c>
      <c r="I7" t="n">
        <v>0</v>
      </c>
      <c r="J7" t="n">
        <v>0</v>
      </c>
      <c r="K7" t="n">
        <v>0</v>
      </c>
      <c r="L7" t="n">
        <v>0</v>
      </c>
      <c r="M7" t="n">
        <v>0</v>
      </c>
      <c r="N7" t="n">
        <v>0</v>
      </c>
      <c r="O7" t="n">
        <v>0</v>
      </c>
      <c r="P7" t="n">
        <v>0</v>
      </c>
      <c r="Q7" t="n">
        <v>0</v>
      </c>
      <c r="R7" t="n">
        <v>0</v>
      </c>
      <c r="S7" t="n">
        <v>0</v>
      </c>
      <c r="T7" t="n">
        <v>0</v>
      </c>
      <c r="U7" t="n">
        <v>0</v>
      </c>
      <c r="V7" t="n">
        <v>0</v>
      </c>
      <c r="W7" t="n">
        <v>0</v>
      </c>
      <c r="X7" t="n">
        <v>32</v>
      </c>
      <c r="Y7" t="n">
        <v>2</v>
      </c>
      <c r="Z7" t="n">
        <v>32.25</v>
      </c>
      <c r="AA7" t="n">
        <v>220.375</v>
      </c>
      <c r="AB7" t="n">
        <v>-188.125</v>
      </c>
      <c r="AC7" t="n">
        <v>220</v>
      </c>
      <c r="AD7" t="n">
        <v>3</v>
      </c>
      <c r="AE7" t="n">
        <v>32</v>
      </c>
      <c r="AF7" t="n">
        <v>2</v>
      </c>
    </row>
    <row r="8">
      <c r="A8" t="inlineStr">
        <is>
          <t>Wheat</t>
        </is>
      </c>
      <c r="B8" t="inlineStr">
        <is>
          <t>that 3 bushels an acre, plus 6 bushels in all, because the sowing season was showery and miry.</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6</v>
      </c>
      <c r="Z8" t="n">
        <v>0.75</v>
      </c>
      <c r="AA8" t="n">
        <v>0.375</v>
      </c>
      <c r="AB8" t="n">
        <v>0.375</v>
      </c>
      <c r="AC8" t="n">
        <v>0</v>
      </c>
      <c r="AD8" t="n">
        <v>3</v>
      </c>
      <c r="AE8" t="n">
        <v>0</v>
      </c>
      <c r="AF8" t="n">
        <v>6</v>
      </c>
    </row>
    <row r="9">
      <c r="A9" t="inlineStr">
        <is>
          <t>Wheat</t>
        </is>
      </c>
      <c r="B9" t="inlineStr">
        <is>
          <t>and know that two roods were sown by workers with their own seepence.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row>
    <row r="10">
      <c r="A10" t="inlineStr">
        <is>
          <t>Wheat</t>
        </is>
      </c>
      <c r="B10" t="inlineStr">
        <is>
          <t>customary payment for the mowing of the meadows, 6 bushels.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6</v>
      </c>
      <c r="Z10" t="n">
        <v>0.75</v>
      </c>
      <c r="AA10" t="n">
        <v>0.75</v>
      </c>
      <c r="AB10" t="n">
        <v>0</v>
      </c>
      <c r="AC10" t="n">
        <v>0</v>
      </c>
      <c r="AD10" t="n">
        <v>6</v>
      </c>
    </row>
    <row r="11">
      <c r="A11" t="inlineStr">
        <is>
          <t>Wheat</t>
        </is>
      </c>
      <c r="B11" t="inlineStr">
        <is>
          <t>provision of the steward at the hundred-court of Martinmas, 3 bushels.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3</v>
      </c>
      <c r="Z11" t="n">
        <v>0.375</v>
      </c>
      <c r="AA11" t="n">
        <v>0.375</v>
      </c>
      <c r="AB11" t="n">
        <v>0</v>
      </c>
      <c r="AC11" t="n">
        <v>0</v>
      </c>
      <c r="AD11" t="n">
        <v>3</v>
      </c>
    </row>
    <row r="12">
      <c r="A12" t="inlineStr">
        <is>
          <t>Wheat</t>
        </is>
      </c>
      <c r="B12" t="inlineStr">
        <is>
          <t>provision of the same at the hundred-court of Hockday in bread, 3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3</v>
      </c>
      <c r="Z12" t="n">
        <v>0.375</v>
      </c>
      <c r="AA12" t="n">
        <v>0.375</v>
      </c>
      <c r="AB12" t="n">
        <v>0</v>
      </c>
      <c r="AC12" t="n">
        <v>0</v>
      </c>
      <c r="AD12" t="n">
        <v>3</v>
      </c>
    </row>
    <row r="13">
      <c r="A13" t="inlineStr">
        <is>
          <t>Wheat</t>
        </is>
      </c>
      <c r="B13" t="inlineStr">
        <is>
          <t>provision of the bailiff from Michaelmas until the feast of St Thomas the Apostle (21 December) in bread, 1.5 quarters, because he took the rest at West Wycombe.</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1.5</v>
      </c>
      <c r="Y13" t="n">
        <v>0</v>
      </c>
      <c r="Z13" t="n">
        <v>1.5</v>
      </c>
      <c r="AA13" t="n">
        <v>1.5</v>
      </c>
      <c r="AB13" t="n">
        <v>0</v>
      </c>
      <c r="AC13" t="n">
        <v>1.5</v>
      </c>
      <c r="AD13" t="n">
        <v>0</v>
      </c>
    </row>
    <row r="14">
      <c r="A14" t="inlineStr">
        <is>
          <t>Wheat</t>
        </is>
      </c>
      <c r="B14" t="inlineStr">
        <is>
          <t>Given to the manorial servants for their stipend by estimation in acres as they lie in the field, 6.5 quarters.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6.5</v>
      </c>
      <c r="Y14" t="n">
        <v>0</v>
      </c>
      <c r="Z14" t="n">
        <v>6.5</v>
      </c>
      <c r="AA14" t="n">
        <v>6.5</v>
      </c>
      <c r="AB14" t="n">
        <v>0</v>
      </c>
      <c r="AC14" t="n">
        <v>6.5</v>
      </c>
      <c r="AD14" t="n">
        <v>0</v>
      </c>
    </row>
    <row r="15">
      <c r="A15" t="inlineStr">
        <is>
          <t>Wheat</t>
        </is>
      </c>
      <c r="B15" t="inlineStr">
        <is>
          <t>that is, 2 quarters to 1 smith for the year, 4.5 quarters to 1 carter, 5 ploughmen, 1 miller, 1 cowherd and 1 shepherd for 0.5 year in summer. (Henceforth the manorial servants should be hired for money just like the [other] workers in the manor and the corn be reserved for the use of the lord).</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4.5</v>
      </c>
      <c r="Y15" t="n">
        <v>0</v>
      </c>
      <c r="Z15" t="n">
        <v>4.5</v>
      </c>
      <c r="AA15" t="n">
        <v>2</v>
      </c>
      <c r="AB15" t="n">
        <v>2.5</v>
      </c>
      <c r="AC15" t="n">
        <v>2</v>
      </c>
      <c r="AD15" t="n">
        <v>0</v>
      </c>
      <c r="AE15" t="n">
        <v>4.5</v>
      </c>
      <c r="AF15" t="n">
        <v>0</v>
      </c>
    </row>
    <row r="16">
      <c r="A16" t="inlineStr">
        <is>
          <t>Wheat</t>
        </is>
      </c>
      <c r="B16" t="inlineStr">
        <is>
          <t>provision of the sheriff for his 1 visit about the feast of St Vincent (22 January) in bread, 3 bushels Given to a certain marshal purveying for the Lord Edward, son of the king, in preparation for the tournament at Dunstable, to have his favour, 0.5 qr of oats and hay.</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row>
    <row r="17">
      <c r="A17" t="inlineStr">
        <is>
          <t>Wheat</t>
        </is>
      </c>
      <c r="B17" t="inlineStr">
        <is>
          <t>Sold as noted above, 177 quarters 6 bushels</t>
        </is>
      </c>
      <c r="C17" t="n">
        <v>0</v>
      </c>
      <c r="D17" t="n">
        <v>0</v>
      </c>
      <c r="E17" t="n">
        <v>0</v>
      </c>
      <c r="F17" t="n">
        <v>0</v>
      </c>
      <c r="G17" t="n">
        <v>0</v>
      </c>
      <c r="H17" t="n">
        <v>0</v>
      </c>
      <c r="I17" t="n">
        <v>0</v>
      </c>
      <c r="J17" t="n">
        <v>0</v>
      </c>
      <c r="K17" t="n">
        <v>0</v>
      </c>
      <c r="L17" t="n">
        <v>0</v>
      </c>
      <c r="M17" t="n">
        <v>0</v>
      </c>
      <c r="N17" t="n">
        <v>0</v>
      </c>
      <c r="O17" t="n">
        <v>0</v>
      </c>
      <c r="P17" t="n">
        <v>0</v>
      </c>
      <c r="Q17" t="n">
        <v>177</v>
      </c>
      <c r="R17" t="n">
        <v>6</v>
      </c>
      <c r="S17" t="n">
        <v>177.75</v>
      </c>
      <c r="T17" t="n">
        <v>0</v>
      </c>
      <c r="U17" t="n">
        <v>0</v>
      </c>
      <c r="V17" t="n">
        <v>0</v>
      </c>
      <c r="W17" t="n">
        <v>0</v>
      </c>
      <c r="X17" t="n">
        <v>177</v>
      </c>
      <c r="Y17" t="n">
        <v>6</v>
      </c>
      <c r="Z17" t="n">
        <v>177.75</v>
      </c>
      <c r="AA17" t="n">
        <v>177.75</v>
      </c>
      <c r="AB17" t="n">
        <v>0</v>
      </c>
      <c r="AC17" t="n">
        <v>177</v>
      </c>
      <c r="AD17" t="n">
        <v>6</v>
      </c>
    </row>
    <row r="18">
      <c r="A18" t="inlineStr">
        <is>
          <t>Wheat</t>
        </is>
      </c>
      <c r="B18" t="inlineStr">
        <is>
          <t>Total</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row>
    <row r="19">
      <c r="A19" t="inlineStr">
        <is>
          <t>Curall</t>
        </is>
      </c>
      <c r="B19" t="inlineStr">
        <is>
          <t>The same render account for 10 quarters 3 bushels from the whole issue of curall, of the same wheat, from the grange in the granary by struck measure.</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10</v>
      </c>
      <c r="U19" t="n">
        <v>3</v>
      </c>
      <c r="V19" t="n">
        <v>10.375</v>
      </c>
      <c r="W19" t="n">
        <v>0</v>
      </c>
      <c r="X19" t="n">
        <v>10</v>
      </c>
      <c r="Y19" t="n">
        <v>3</v>
      </c>
      <c r="Z19" t="n">
        <v>10.375</v>
      </c>
      <c r="AA19" t="n">
        <v>10.375</v>
      </c>
      <c r="AB19" t="n">
        <v>0</v>
      </c>
      <c r="AC19" t="n">
        <v>10</v>
      </c>
      <c r="AD19" t="n">
        <v>3</v>
      </c>
    </row>
    <row r="20">
      <c r="A20" t="inlineStr">
        <is>
          <t>Curall</t>
        </is>
      </c>
      <c r="B20" t="inlineStr">
        <is>
          <t>all mixed below with barley for the liveries of the manorial servants.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row>
    <row r="21">
      <c r="A21" t="inlineStr">
        <is>
          <t>Curall</t>
        </is>
      </c>
      <c r="B21" t="inlineStr">
        <is>
          <t>Total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row>
    <row r="22">
      <c r="A22" t="inlineStr">
        <is>
          <t>Mancorn</t>
        </is>
      </c>
      <c r="B22" t="inlineStr">
        <is>
          <t>Nothing from mancorn this year because the white field (albus camp') is not sown.</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row>
    <row r="23">
      <c r="A23" t="inlineStr">
        <is>
          <t>Mancorn</t>
        </is>
      </c>
      <c r="B23" t="inlineStr">
        <is>
          <t>Total</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row>
    <row r="24">
      <c r="A24" t="inlineStr">
        <is>
          <t>Barley</t>
        </is>
      </c>
      <c r="B24" t="inlineStr">
        <is>
          <t>(yield: 4-fold plus 1 qr 6 bushels)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row>
    <row r="25">
      <c r="A25" t="inlineStr">
        <is>
          <t>Barley</t>
        </is>
      </c>
      <c r="B25" t="inlineStr">
        <is>
          <t>The same render account for 19 quarters 6 bushels from the whole issue of barley from the grange in the granary by struck measure.</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19</v>
      </c>
      <c r="U25" t="n">
        <v>6</v>
      </c>
      <c r="V25" t="n">
        <v>19.75</v>
      </c>
      <c r="W25" t="n">
        <v>0</v>
      </c>
      <c r="X25" t="n">
        <v>19</v>
      </c>
      <c r="Y25" t="n">
        <v>6</v>
      </c>
      <c r="Z25" t="n">
        <v>19.75</v>
      </c>
      <c r="AA25" t="n">
        <v>19.75</v>
      </c>
      <c r="AB25" t="n">
        <v>0</v>
      </c>
      <c r="AC25" t="n">
        <v>19</v>
      </c>
      <c r="AD25" t="n">
        <v>6</v>
      </c>
    </row>
    <row r="26">
      <c r="A26" t="inlineStr">
        <is>
          <t>Barley</t>
        </is>
      </c>
      <c r="B26" t="inlineStr">
        <is>
          <t>10 quarters 3 bushels of curall received above and mixed with that for the liveries of the manorial servants.</t>
        </is>
      </c>
      <c r="C26" t="n">
        <v>0</v>
      </c>
      <c r="D26" t="n">
        <v>0</v>
      </c>
      <c r="E26" t="n">
        <v>0</v>
      </c>
      <c r="F26" t="n">
        <v>0</v>
      </c>
      <c r="G26" t="n">
        <v>0</v>
      </c>
      <c r="H26" t="n">
        <v>0</v>
      </c>
      <c r="I26" t="n">
        <v>0</v>
      </c>
      <c r="J26" t="n">
        <v>0</v>
      </c>
      <c r="K26" t="n">
        <v>0</v>
      </c>
      <c r="L26" t="n">
        <v>0</v>
      </c>
      <c r="M26" t="n">
        <v>0</v>
      </c>
      <c r="N26" t="n">
        <v>10</v>
      </c>
      <c r="O26" t="n">
        <v>3</v>
      </c>
      <c r="P26" t="n">
        <v>10.375</v>
      </c>
      <c r="Q26" t="n">
        <v>0</v>
      </c>
      <c r="R26" t="n">
        <v>0</v>
      </c>
      <c r="S26" t="n">
        <v>0</v>
      </c>
      <c r="T26" t="n">
        <v>0</v>
      </c>
      <c r="U26" t="n">
        <v>0</v>
      </c>
      <c r="V26" t="n">
        <v>0</v>
      </c>
      <c r="W26" t="n">
        <v>0</v>
      </c>
      <c r="X26" t="n">
        <v>10</v>
      </c>
      <c r="Y26" t="n">
        <v>3</v>
      </c>
      <c r="Z26" t="n">
        <v>10.375</v>
      </c>
      <c r="AA26" t="n">
        <v>10.375</v>
      </c>
      <c r="AB26" t="n">
        <v>0</v>
      </c>
      <c r="AC26" t="n">
        <v>10</v>
      </c>
      <c r="AD26" t="n">
        <v>3</v>
      </c>
    </row>
    <row r="27">
      <c r="A27" t="inlineStr">
        <is>
          <t>Barley</t>
        </is>
      </c>
      <c r="B27" t="inlineStr">
        <is>
          <t>9 quarters 7 bushels of beans received below and mixed with barley for the same.</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9</v>
      </c>
      <c r="Y27" t="n">
        <v>7</v>
      </c>
      <c r="Z27" t="n">
        <v>9.875</v>
      </c>
      <c r="AA27" t="n">
        <v>9.875</v>
      </c>
      <c r="AB27" t="n">
        <v>0</v>
      </c>
      <c r="AC27" t="n">
        <v>9</v>
      </c>
      <c r="AD27" t="n">
        <v>7</v>
      </c>
    </row>
    <row r="28">
      <c r="A28" t="inlineStr">
        <is>
          <t>Barley</t>
        </is>
      </c>
      <c r="B28" t="inlineStr">
        <is>
          <t>34 quarters of maslin bought above and mixed with that for the same.</t>
        </is>
      </c>
      <c r="C28" t="n">
        <v>0</v>
      </c>
      <c r="D28" t="n">
        <v>0</v>
      </c>
      <c r="E28" t="n">
        <v>0</v>
      </c>
      <c r="F28" t="n">
        <v>0</v>
      </c>
      <c r="G28" t="n">
        <v>0</v>
      </c>
      <c r="H28" t="n">
        <v>34</v>
      </c>
      <c r="I28" t="n">
        <v>0</v>
      </c>
      <c r="J28" t="n">
        <v>34</v>
      </c>
      <c r="K28" t="n">
        <v>0</v>
      </c>
      <c r="L28" t="n">
        <v>0</v>
      </c>
      <c r="M28" t="n">
        <v>0</v>
      </c>
      <c r="N28" t="n">
        <v>0</v>
      </c>
      <c r="O28" t="n">
        <v>0</v>
      </c>
      <c r="P28" t="n">
        <v>0</v>
      </c>
      <c r="Q28" t="n">
        <v>0</v>
      </c>
      <c r="R28" t="n">
        <v>0</v>
      </c>
      <c r="S28" t="n">
        <v>0</v>
      </c>
      <c r="T28" t="n">
        <v>0</v>
      </c>
      <c r="U28" t="n">
        <v>0</v>
      </c>
      <c r="V28" t="n">
        <v>0</v>
      </c>
      <c r="W28" t="n">
        <v>0</v>
      </c>
      <c r="X28" t="n">
        <v>34</v>
      </c>
      <c r="Y28" t="n">
        <v>0</v>
      </c>
      <c r="Z28" t="n">
        <v>34</v>
      </c>
      <c r="AA28" t="n">
        <v>34</v>
      </c>
      <c r="AB28" t="n">
        <v>0</v>
      </c>
      <c r="AC28" t="n">
        <v>34</v>
      </c>
      <c r="AD28" t="n">
        <v>0</v>
      </c>
    </row>
    <row r="29">
      <c r="A29" t="inlineStr">
        <is>
          <t>Barley</t>
        </is>
      </c>
      <c r="B29" t="inlineStr">
        <is>
          <t>Total, 74 quarters.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74</v>
      </c>
      <c r="Y29" t="n">
        <v>0</v>
      </c>
      <c r="Z29" t="n">
        <v>74</v>
      </c>
      <c r="AA29" t="n">
        <v>74</v>
      </c>
      <c r="AB29" t="n">
        <v>0</v>
      </c>
      <c r="AC29" t="n">
        <v>74</v>
      </c>
      <c r="AD29" t="n">
        <v>0</v>
      </c>
    </row>
    <row r="30">
      <c r="A30" t="inlineStr">
        <is>
          <t>Barley</t>
        </is>
      </c>
      <c r="B30" t="inlineStr">
        <is>
          <t>Sown over 8.5 acres and 1 rood measured by the perch which lie above Benam, 4 quarters 3 bushels.</t>
        </is>
      </c>
      <c r="C30" t="n">
        <v>0</v>
      </c>
      <c r="D30" t="n">
        <v>0</v>
      </c>
      <c r="E30" t="n">
        <v>4</v>
      </c>
      <c r="F30" t="n">
        <v>3</v>
      </c>
      <c r="G30" t="n">
        <v>4.375</v>
      </c>
      <c r="H30" t="n">
        <v>0</v>
      </c>
      <c r="I30" t="n">
        <v>0</v>
      </c>
      <c r="J30" t="n">
        <v>0</v>
      </c>
      <c r="K30" t="n">
        <v>0</v>
      </c>
      <c r="L30" t="n">
        <v>0</v>
      </c>
      <c r="M30" t="n">
        <v>0</v>
      </c>
      <c r="N30" t="n">
        <v>0</v>
      </c>
      <c r="O30" t="n">
        <v>0</v>
      </c>
      <c r="P30" t="n">
        <v>0</v>
      </c>
      <c r="Q30" t="n">
        <v>0</v>
      </c>
      <c r="R30" t="n">
        <v>0</v>
      </c>
      <c r="S30" t="n">
        <v>0</v>
      </c>
      <c r="T30" t="n">
        <v>0</v>
      </c>
      <c r="U30" t="n">
        <v>0</v>
      </c>
      <c r="V30" t="n">
        <v>0</v>
      </c>
      <c r="W30" t="n">
        <v>0</v>
      </c>
      <c r="X30" t="n">
        <v>4</v>
      </c>
      <c r="Y30" t="n">
        <v>3</v>
      </c>
      <c r="Z30" t="n">
        <v>4.375</v>
      </c>
      <c r="AA30" t="n">
        <v>4.375</v>
      </c>
      <c r="AB30" t="n">
        <v>0</v>
      </c>
      <c r="AC30" t="n">
        <v>4</v>
      </c>
      <c r="AD30" t="n">
        <v>3</v>
      </c>
    </row>
    <row r="31">
      <c r="A31" t="inlineStr">
        <is>
          <t>Barley</t>
        </is>
      </c>
      <c r="B31" t="inlineStr">
        <is>
          <t>that is, .5 qr an acre.</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row>
    <row r="32">
      <c r="A32" t="inlineStr">
        <is>
          <t>Barley</t>
        </is>
      </c>
      <c r="B32" t="inlineStr">
        <is>
          <t>Delivered to 1 carter, 5 ploughmen, who each take a quarter every 8 weeks for the year, 39 quarters.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39</v>
      </c>
      <c r="Y32" t="n">
        <v>0</v>
      </c>
      <c r="Z32" t="n">
        <v>39</v>
      </c>
      <c r="AA32" t="n">
        <v>39</v>
      </c>
      <c r="AB32" t="n">
        <v>0</v>
      </c>
      <c r="AC32" t="n">
        <v>39</v>
      </c>
      <c r="AD32" t="n">
        <v>0</v>
      </c>
    </row>
    <row r="33">
      <c r="A33" t="inlineStr">
        <is>
          <t>Barley</t>
        </is>
      </c>
      <c r="B33" t="inlineStr">
        <is>
          <t>Delivered to 1 miller, 1 shepherd, 1 cowherd and 1 dairymaid, who each take a quarter every 10 weeks for the year, except the dairymaid who takes one every 12 weeks, 18 quarters 6.5 bushels, because there was no dairymaid for 13 weeks for a want of milking.</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18</v>
      </c>
      <c r="Y33" t="n">
        <v>6.5</v>
      </c>
      <c r="Z33" t="n">
        <v>18.8125</v>
      </c>
      <c r="AA33" t="n">
        <v>18.8125</v>
      </c>
      <c r="AB33" t="n">
        <v>0</v>
      </c>
      <c r="AC33" t="n">
        <v>18</v>
      </c>
      <c r="AD33" t="n">
        <v>6.5</v>
      </c>
    </row>
    <row r="34">
      <c r="A34" t="inlineStr">
        <is>
          <t>Barley</t>
        </is>
      </c>
      <c r="B34" t="inlineStr">
        <is>
          <t>Delivered to 1 keeper of lambs for the time of their weaning, that is, from Wednesday the feast of St Mark the Evangelist (25 April) until Wedenesday before the feast of St Barnabas the Apostle (6 June), for 6 weeks, 3 bushels.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3</v>
      </c>
      <c r="Z34" t="n">
        <v>0.375</v>
      </c>
      <c r="AA34" t="n">
        <v>0.375</v>
      </c>
      <c r="AB34" t="n">
        <v>0</v>
      </c>
      <c r="AC34" t="n">
        <v>0</v>
      </c>
      <c r="AD34" t="n">
        <v>3</v>
      </c>
    </row>
    <row r="35">
      <c r="A35" t="inlineStr">
        <is>
          <t>Barley</t>
        </is>
      </c>
      <c r="B35" t="inlineStr">
        <is>
          <t>supporting pigs and piglets in winter, 1 qr.</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row>
    <row r="36">
      <c r="A36" t="inlineStr">
        <is>
          <t>Barley</t>
        </is>
      </c>
      <c r="B36" t="inlineStr">
        <is>
          <t>Sold as noted above, 10 quarters.</t>
        </is>
      </c>
      <c r="C36" t="n">
        <v>0</v>
      </c>
      <c r="D36" t="n">
        <v>0</v>
      </c>
      <c r="E36" t="n">
        <v>0</v>
      </c>
      <c r="F36" t="n">
        <v>0</v>
      </c>
      <c r="G36" t="n">
        <v>0</v>
      </c>
      <c r="H36" t="n">
        <v>0</v>
      </c>
      <c r="I36" t="n">
        <v>0</v>
      </c>
      <c r="J36" t="n">
        <v>0</v>
      </c>
      <c r="K36" t="n">
        <v>0</v>
      </c>
      <c r="L36" t="n">
        <v>0</v>
      </c>
      <c r="M36" t="n">
        <v>0</v>
      </c>
      <c r="N36" t="n">
        <v>0</v>
      </c>
      <c r="O36" t="n">
        <v>0</v>
      </c>
      <c r="P36" t="n">
        <v>0</v>
      </c>
      <c r="Q36" t="n">
        <v>10</v>
      </c>
      <c r="R36" t="n">
        <v>0</v>
      </c>
      <c r="S36" t="n">
        <v>10</v>
      </c>
      <c r="T36" t="n">
        <v>0</v>
      </c>
      <c r="U36" t="n">
        <v>0</v>
      </c>
      <c r="V36" t="n">
        <v>0</v>
      </c>
      <c r="W36" t="n">
        <v>0</v>
      </c>
      <c r="X36" t="n">
        <v>10</v>
      </c>
      <c r="Y36" t="n">
        <v>0</v>
      </c>
      <c r="Z36" t="n">
        <v>10</v>
      </c>
      <c r="AA36" t="n">
        <v>10</v>
      </c>
      <c r="AB36" t="n">
        <v>0</v>
      </c>
      <c r="AC36" t="n">
        <v>10</v>
      </c>
      <c r="AD36" t="n">
        <v>0</v>
      </c>
    </row>
    <row r="37">
      <c r="A37" t="inlineStr">
        <is>
          <t>Barley</t>
        </is>
      </c>
      <c r="B37" t="inlineStr">
        <is>
          <t>Sold at the audit, 3.5 bushels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3.5</v>
      </c>
      <c r="Z37" t="n">
        <v>0.4375</v>
      </c>
      <c r="AA37" t="n">
        <v>0.4375</v>
      </c>
      <c r="AB37" t="n">
        <v>0</v>
      </c>
      <c r="AC37" t="n">
        <v>0</v>
      </c>
      <c r="AD37" t="n">
        <v>3.5</v>
      </c>
    </row>
    <row r="38">
      <c r="A38" t="inlineStr">
        <is>
          <t>Barley</t>
        </is>
      </c>
      <c r="B38" t="inlineStr">
        <is>
          <t>Total</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row>
    <row r="39">
      <c r="A39" t="inlineStr">
        <is>
          <t>Beans</t>
        </is>
      </c>
      <c r="B39" t="inlineStr">
        <is>
          <t>{yield: six-fold plus 1 bushels}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1</v>
      </c>
      <c r="Z39" t="n">
        <v>0.125</v>
      </c>
      <c r="AA39" t="n">
        <v>0.125</v>
      </c>
      <c r="AB39" t="n">
        <v>0</v>
      </c>
      <c r="AC39" t="n">
        <v>0</v>
      </c>
      <c r="AD39" t="n">
        <v>1</v>
      </c>
    </row>
    <row r="40">
      <c r="A40" t="inlineStr">
        <is>
          <t>Beans</t>
        </is>
      </c>
      <c r="B40" t="inlineStr">
        <is>
          <t>The same render account for 20 quarters 1 bushels from the whole issue of beans from the grange in the granary by struck measure.</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20</v>
      </c>
      <c r="U40" t="n">
        <v>1</v>
      </c>
      <c r="V40" t="n">
        <v>20.125</v>
      </c>
      <c r="W40" t="n">
        <v>0</v>
      </c>
      <c r="X40" t="n">
        <v>20</v>
      </c>
      <c r="Y40" t="n">
        <v>1</v>
      </c>
      <c r="Z40" t="n">
        <v>20.125</v>
      </c>
      <c r="AA40" t="n">
        <v>20.125</v>
      </c>
      <c r="AB40" t="n">
        <v>0</v>
      </c>
      <c r="AC40" t="n">
        <v>20</v>
      </c>
      <c r="AD40" t="n">
        <v>1</v>
      </c>
    </row>
    <row r="41">
      <c r="A41" t="inlineStr">
        <is>
          <t>Beans</t>
        </is>
      </c>
      <c r="B41" t="inlineStr">
        <is>
          <t>Sown, 4 quarters 1 bushels Mixed above with barley for the liveries of the manorial servants, 9 quarters 7 bushels Sold as noted above, 6 quarters 1 bushels</t>
        </is>
      </c>
      <c r="C41" t="n">
        <v>0</v>
      </c>
      <c r="D41" t="n">
        <v>0</v>
      </c>
      <c r="E41" t="n">
        <v>19</v>
      </c>
      <c r="F41" t="n">
        <v>9</v>
      </c>
      <c r="G41" t="n">
        <v>20.125</v>
      </c>
      <c r="H41" t="n">
        <v>0</v>
      </c>
      <c r="I41" t="n">
        <v>0</v>
      </c>
      <c r="J41" t="n">
        <v>0</v>
      </c>
      <c r="K41" t="n">
        <v>0</v>
      </c>
      <c r="L41" t="n">
        <v>0</v>
      </c>
      <c r="M41" t="n">
        <v>0</v>
      </c>
      <c r="N41" t="n">
        <v>19</v>
      </c>
      <c r="O41" t="n">
        <v>9</v>
      </c>
      <c r="P41" t="n">
        <v>20.125</v>
      </c>
      <c r="Q41" t="n">
        <v>19</v>
      </c>
      <c r="R41" t="n">
        <v>9</v>
      </c>
      <c r="S41" t="n">
        <v>20.125</v>
      </c>
      <c r="T41" t="n">
        <v>0</v>
      </c>
      <c r="U41" t="n">
        <v>0</v>
      </c>
      <c r="V41" t="n">
        <v>0</v>
      </c>
      <c r="W41" t="n">
        <v>0</v>
      </c>
      <c r="X41" t="n">
        <v>15</v>
      </c>
      <c r="Y41" t="n">
        <v>8</v>
      </c>
      <c r="Z41" t="n">
        <v>16</v>
      </c>
      <c r="AA41" t="n">
        <v>4.125</v>
      </c>
      <c r="AB41" t="n">
        <v>11.875</v>
      </c>
      <c r="AC41" t="n">
        <v>4</v>
      </c>
      <c r="AD41" t="n">
        <v>1</v>
      </c>
      <c r="AE41" t="n">
        <v>9</v>
      </c>
      <c r="AF41" t="n">
        <v>7</v>
      </c>
      <c r="AG41" t="n">
        <v>6</v>
      </c>
      <c r="AH41" t="n">
        <v>1</v>
      </c>
    </row>
    <row r="42">
      <c r="A42" t="inlineStr">
        <is>
          <t>Beans</t>
        </is>
      </c>
      <c r="B42" t="inlineStr">
        <is>
          <t>Total</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J1"/>
  <sheetViews>
    <sheetView topLeftCell="A1"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 a quarter 1</t>
        </is>
      </c>
      <c r="AD1" s="1" t="inlineStr">
        <is>
          <t>£ a quarter 2</t>
        </is>
      </c>
      <c r="AE1" s="1" t="inlineStr">
        <is>
          <t>£ a quarter 3</t>
        </is>
      </c>
      <c r="AF1" s="1" t="inlineStr">
        <is>
          <t>£ a quarter 4</t>
        </is>
      </c>
      <c r="AG1" s="1" t="inlineStr">
        <is>
          <t>Quarters Sold</t>
        </is>
      </c>
      <c r="AH1" s="1" t="inlineStr">
        <is>
          <t>Weighted Average Price per Quarter</t>
        </is>
      </c>
      <c r="AI1" s="1" t="inlineStr">
        <is>
          <t>Non-Weighted Average Price per Quarter</t>
        </is>
      </c>
      <c r="AJ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2025-12-18T10:17:10Z</dcterms:modified>
  <cp:lastModifiedBy>Kowalski, Kuba</cp:lastModifiedBy>
</cp:coreProperties>
</file>
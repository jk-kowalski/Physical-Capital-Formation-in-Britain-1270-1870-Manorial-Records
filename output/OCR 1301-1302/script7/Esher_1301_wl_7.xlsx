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Esher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b val="1"/>
      <color rgb="FFFF0000"/>
      <sz val="11"/>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4">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7" fillId="0" borderId="0" applyAlignment="1" pivotButton="0" quotePrefix="0" xfId="0">
      <alignment horizontal="center" vertical="top"/>
    </xf>
    <xf numFmtId="2" fontId="28" fillId="0" borderId="0" applyAlignment="1" pivotButton="0" quotePrefix="0" xfId="0">
      <alignment horizontal="center" vertical="top"/>
    </xf>
    <xf numFmtId="2" fontId="29" fillId="0" borderId="0" pivotButton="0" quotePrefix="0" xfId="0"/>
    <xf numFmtId="2" fontId="11" fillId="0" borderId="0" applyAlignment="1" pivotButton="0" quotePrefix="0" xfId="0">
      <alignment horizontal="center" vertical="top"/>
    </xf>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30" fillId="0" borderId="3" applyAlignment="1" pivotButton="0" quotePrefix="0" xfId="0">
      <alignment wrapText="1"/>
    </xf>
    <xf numFmtId="2" fontId="20" fillId="0" borderId="0" applyAlignment="1" pivotButton="0" quotePrefix="0" xfId="0">
      <alignment horizontal="right" wrapText="1"/>
    </xf>
    <xf numFmtId="2" fontId="0" fillId="8" borderId="0" pivotButton="0" quotePrefix="0" xfId="0"/>
    <xf numFmtId="0" fontId="9" fillId="0" borderId="0" applyAlignment="1" pivotButton="0" quotePrefix="0" xfId="0">
      <alignment horizontal="left" wrapText="1"/>
    </xf>
    <xf numFmtId="0" fontId="9" fillId="0" borderId="0" applyAlignment="1" pivotButton="0" quotePrefix="0" xfId="0">
      <alignment horizontal="left"/>
    </xf>
    <xf numFmtId="0" fontId="9" fillId="0" borderId="3" applyAlignment="1" pivotButton="0" quotePrefix="0" xfId="0">
      <alignment horizontal="left" wrapText="1"/>
    </xf>
    <xf numFmtId="2" fontId="9" fillId="0" borderId="0" applyAlignment="1" pivotButton="0" quotePrefix="0" xfId="0">
      <alignment horizontal="lef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H104" authorId="0" shapeId="0">
      <text>
        <t>Victoria Gierok:
it says d. twice, but first must be shilling</t>
      </text>
    </comment>
  </commentList>
</comments>
</file>

<file path=xl/comments/comment3.xml><?xml version="1.0" encoding="utf-8"?>
<comments xmlns="http://schemas.openxmlformats.org/spreadsheetml/2006/main">
  <authors>
    <author>Victoria Gierok</author>
  </authors>
  <commentList>
    <comment ref="C10" authorId="0" shapeId="0">
      <text>
        <t xml:space="preserve">Victoria Gierok:
from Issue of the grange </t>
      </text>
    </comment>
  </commentList>
</comments>
</file>

<file path=xl/comments/comment4.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0.66</v>
      </c>
      <c r="D4" s="13" t="n"/>
      <c r="E4" s="13" t="n"/>
    </row>
    <row r="5">
      <c r="A5" s="15" t="inlineStr">
        <is>
          <t>Rents of assize total</t>
        </is>
      </c>
      <c r="B5" s="76" t="n">
        <v>5.99</v>
      </c>
    </row>
    <row r="6">
      <c r="A6" s="15" t="inlineStr">
        <is>
          <t>Quittances total</t>
        </is>
      </c>
      <c r="B6" s="76" t="n">
        <v>1.091666666666667</v>
      </c>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3.298333333333333</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0.8100000000000001</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0.46</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B63" t="n">
        <v>30</v>
      </c>
      <c r="F63" s="13" t="n"/>
    </row>
    <row r="64">
      <c r="A64" s="76" t="inlineStr">
        <is>
          <t>Dredge</t>
        </is>
      </c>
      <c r="F64" s="13" t="n"/>
    </row>
    <row r="65">
      <c r="A65" s="76" t="inlineStr">
        <is>
          <t>Curall</t>
        </is>
      </c>
      <c r="F65" s="13" t="n"/>
    </row>
    <row r="66">
      <c r="A66" s="76" t="inlineStr">
        <is>
          <t>Barley</t>
        </is>
      </c>
      <c r="B66" t="n">
        <v>31.3125</v>
      </c>
      <c r="E66" t="n">
        <v>0.3958333333333333</v>
      </c>
      <c r="F66" s="13" t="n"/>
    </row>
    <row r="67">
      <c r="A67" s="76" t="inlineStr">
        <is>
          <t>Oats</t>
        </is>
      </c>
      <c r="B67" t="n">
        <v>48</v>
      </c>
      <c r="E67" t="n">
        <v>3.083333333333334</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v>14</v>
      </c>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v>8</v>
      </c>
      <c r="C96" s="76" t="n">
        <v>9</v>
      </c>
      <c r="D96" s="76" t="n">
        <v>1</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v>3</v>
      </c>
      <c r="C99" s="76" t="n">
        <v>2</v>
      </c>
      <c r="D99" s="76" t="n">
        <v>-1</v>
      </c>
      <c r="F99" s="84">
        <f>'Stock'!K17*'Stock'!O17</f>
        <v/>
      </c>
      <c r="G99" s="84">
        <f>D99*'Stock'!O17</f>
        <v/>
      </c>
    </row>
    <row r="100">
      <c r="A100" s="15" t="inlineStr">
        <is>
          <t>Calves</t>
        </is>
      </c>
      <c r="B100" s="76" t="n"/>
      <c r="C100" s="76" t="n">
        <v>3</v>
      </c>
      <c r="D100" s="76">
        <f>C100-B100</f>
        <v/>
      </c>
      <c r="F100" s="84">
        <f>'Stock'!K18*'Stock'!O18</f>
        <v/>
      </c>
      <c r="G100" s="84">
        <f>D100*'Stock'!O18</f>
        <v/>
      </c>
    </row>
    <row r="101">
      <c r="A101" s="15" t="inlineStr">
        <is>
          <t>Wethers</t>
        </is>
      </c>
      <c r="B101" s="76" t="n">
        <v>124</v>
      </c>
      <c r="C101" s="76" t="n">
        <v>107</v>
      </c>
      <c r="D101" s="76" t="n">
        <v>-17</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v>80</v>
      </c>
      <c r="C103" s="76" t="n">
        <v>68</v>
      </c>
      <c r="D103" s="76" t="n">
        <v>-12</v>
      </c>
      <c r="F103" s="84">
        <f>'Stock'!K21*'Stock'!O21</f>
        <v/>
      </c>
      <c r="G103" s="84">
        <f>D103*'Stock'!O21</f>
        <v/>
      </c>
    </row>
    <row r="104">
      <c r="A104" s="15" t="inlineStr">
        <is>
          <t>Hoggs</t>
        </is>
      </c>
      <c r="B104" s="76" t="n">
        <v>33</v>
      </c>
      <c r="C104" s="76" t="n">
        <v>0</v>
      </c>
      <c r="D104" s="76" t="n">
        <v>-33</v>
      </c>
      <c r="F104" s="84">
        <f>'Stock'!K22*'Stock'!O22</f>
        <v/>
      </c>
      <c r="G104" s="84">
        <f>D104*'Stock'!O22</f>
        <v/>
      </c>
    </row>
    <row r="105">
      <c r="A105" s="15" t="inlineStr">
        <is>
          <t>Lambs</t>
        </is>
      </c>
      <c r="B105" s="76" t="n">
        <v>56</v>
      </c>
      <c r="C105" s="76" t="n">
        <v>33</v>
      </c>
      <c r="D105" s="76" t="n">
        <v>-23</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v>8</v>
      </c>
      <c r="C112" s="76" t="n">
        <v>8</v>
      </c>
      <c r="D112" s="76" t="n">
        <v>0</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B119" t="n">
        <v>186</v>
      </c>
      <c r="C119" t="n">
        <v>0</v>
      </c>
      <c r="F119" t="n">
        <v>0</v>
      </c>
    </row>
    <row r="120">
      <c r="A120" s="15" t="inlineStr">
        <is>
          <t>Lamb's wool</t>
        </is>
      </c>
      <c r="B120" t="n">
        <v>33</v>
      </c>
      <c r="F120">
        <f>C120*'Stock'!O37</f>
        <v/>
      </c>
    </row>
    <row r="121">
      <c r="A121" s="15" t="inlineStr">
        <is>
          <t>Wool locks</t>
        </is>
      </c>
      <c r="F121">
        <f>C121*'Stock'!O38</f>
        <v/>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C151*'Stock'!O69</f>
        <v/>
      </c>
      <c r="G151" s="96" t="n"/>
    </row>
    <row r="152">
      <c r="A152" s="15" t="inlineStr">
        <is>
          <t>Geese</t>
        </is>
      </c>
      <c r="B152" s="76" t="n">
        <v>0</v>
      </c>
      <c r="C152" s="76" t="n">
        <v>0</v>
      </c>
      <c r="D152" s="76" t="n">
        <v>0</v>
      </c>
      <c r="F152" s="76">
        <f>C152*'Stock'!O70</f>
        <v/>
      </c>
    </row>
    <row r="153">
      <c r="A153" s="15" t="inlineStr">
        <is>
          <t>Capons (from chickens)</t>
        </is>
      </c>
      <c r="B153" s="76" t="n">
        <v>0</v>
      </c>
      <c r="C153" s="76" t="n">
        <v>0</v>
      </c>
      <c r="D153" s="76" t="n">
        <v>0</v>
      </c>
      <c r="F153" s="76">
        <f>C153*'Stock'!O71</f>
        <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f>C159*'Stock'!O77</f>
        <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f>C167*'Stock'!O90</f>
        <v/>
      </c>
    </row>
    <row r="168">
      <c r="A168" s="15" t="inlineStr">
        <is>
          <t>Summer Cheese</t>
        </is>
      </c>
      <c r="B168" t="n">
        <v>0</v>
      </c>
      <c r="C168" t="n">
        <v>0</v>
      </c>
      <c r="D168" t="n">
        <v>0</v>
      </c>
      <c r="F168">
        <f>C168*'Stock'!O91</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 width="9.83203125" customWidth="1" min="2" max="2"/>
  </cols>
  <sheetData>
    <row r="1">
      <c r="A1" s="8" t="inlineStr">
        <is>
          <t>ESHER</t>
        </is>
      </c>
      <c r="B1" s="77" t="inlineStr">
        <is>
          <t>Total in £</t>
        </is>
      </c>
      <c r="C1" s="78" t="inlineStr">
        <is>
          <t>Error</t>
        </is>
      </c>
      <c r="D1" s="12" t="inlineStr">
        <is>
          <t>Note</t>
        </is>
      </c>
    </row>
    <row r="2">
      <c r="A2" s="8" t="inlineStr">
        <is>
          <t>CASH ACCOUNT</t>
        </is>
      </c>
      <c r="B2" s="9" t="n"/>
      <c r="C2" s="10" t="n"/>
      <c r="D2" s="9" t="n"/>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1"/>
  <sheetViews>
    <sheetView topLeftCell="A1" workbookViewId="0">
      <selection activeCell="A1" sqref="A1"/>
    </sheetView>
  </sheetViews>
  <sheetFormatPr baseColWidth="8" defaultRowHeight="15"/>
  <cols>
    <col width="35.1640625" customWidth="1" min="1" max="1"/>
    <col width="12.83203125" customWidth="1" min="6" max="6"/>
    <col width="8.83203125" customWidth="1" min="7" max="7"/>
  </cols>
  <sheetData>
    <row r="1" ht="16" customHeight="1">
      <c r="A1" s="2" t="inlineStr">
        <is>
          <t>ESHER RECEIPTS</t>
        </is>
      </c>
    </row>
    <row r="2" ht="16" customHeight="1">
      <c r="A2" s="37" t="inlineStr">
        <is>
          <t>Heading</t>
        </is>
      </c>
      <c r="B2" s="3" t="inlineStr">
        <is>
          <t>£</t>
        </is>
      </c>
      <c r="C2" s="4" t="inlineStr">
        <is>
          <t xml:space="preserve">s </t>
        </is>
      </c>
      <c r="D2" s="4" t="inlineStr">
        <is>
          <t>d</t>
        </is>
      </c>
      <c r="F2" s="127" t="inlineStr">
        <is>
          <t>Total in Pounds</t>
        </is>
      </c>
      <c r="G2" s="128" t="inlineStr">
        <is>
          <t>Error</t>
        </is>
      </c>
      <c r="H2" s="37" t="inlineStr">
        <is>
          <t>Sentence</t>
        </is>
      </c>
    </row>
    <row r="3">
      <c r="A3" t="inlineStr">
        <is>
          <t>Arrears</t>
        </is>
      </c>
      <c r="B3" t="n">
        <v>0</v>
      </c>
      <c r="C3" t="n">
        <v>13</v>
      </c>
      <c r="D3" t="n">
        <v>1.75</v>
      </c>
      <c r="F3" s="72" t="n">
        <v>0.66</v>
      </c>
      <c r="H3" t="inlineStr">
        <is>
          <t>Richard atte Grove, reeve, renders account for 13 shilling 1.75pence of arrears from the previous year.</t>
        </is>
      </c>
    </row>
    <row r="4">
      <c r="A4" t="inlineStr">
        <is>
          <t>Arrears</t>
        </is>
      </c>
      <c r="B4" t="n">
        <v>0</v>
      </c>
      <c r="C4" t="n">
        <v>0</v>
      </c>
      <c r="D4" t="n">
        <v>0</v>
      </c>
      <c r="F4" s="72" t="n">
        <v>0</v>
      </c>
      <c r="H4" t="inlineStr">
        <is>
          <t>All delivered to Geoffrey, treasurer, by 1 tally.</t>
        </is>
      </c>
    </row>
    <row r="5">
      <c r="A5" t="inlineStr">
        <is>
          <t>Arrears</t>
        </is>
      </c>
      <c r="B5" t="n">
        <v>0</v>
      </c>
      <c r="C5" t="n">
        <v>0</v>
      </c>
      <c r="D5" t="n">
        <v>0</v>
      </c>
      <c r="F5" s="72" t="n">
        <v>0</v>
      </c>
      <c r="H5" t="inlineStr">
        <is>
          <t>He is quit.'</t>
        </is>
      </c>
    </row>
    <row r="6">
      <c r="A6" t="inlineStr">
        <is>
          <t>Arrears</t>
        </is>
      </c>
      <c r="F6" s="72" t="n">
        <v>0.66</v>
      </c>
      <c r="G6" s="129">
        <f>F6-F3</f>
        <v/>
      </c>
      <c r="H6" t="inlineStr">
        <is>
          <t>Total</t>
        </is>
      </c>
    </row>
    <row r="7"/>
    <row r="8">
      <c r="A8" t="inlineStr">
        <is>
          <t>Rents of assize</t>
        </is>
      </c>
      <c r="B8" t="n">
        <v>0</v>
      </c>
      <c r="C8" t="n">
        <v>10</v>
      </c>
      <c r="D8" t="n">
        <v>0</v>
      </c>
      <c r="F8" s="72" t="n">
        <v>0.5</v>
      </c>
      <c r="H8" t="inlineStr">
        <is>
          <t>The same renders account for 10 shilling for rents of assize at the Invention of the Cross (3 May) by view of John de Hatfeud'.</t>
        </is>
      </c>
    </row>
    <row r="9">
      <c r="A9" t="inlineStr">
        <is>
          <t>Rents of assize</t>
        </is>
      </c>
      <c r="B9" t="n">
        <v>5</v>
      </c>
      <c r="C9" t="n">
        <v>9</v>
      </c>
      <c r="D9" t="n">
        <v>10.5</v>
      </c>
      <c r="F9" s="72" t="n">
        <v>5.49</v>
      </c>
      <c r="H9" t="inlineStr">
        <is>
          <t>£5 9 shilling 10.5pence at Michaelmas (29 September).</t>
        </is>
      </c>
    </row>
    <row r="10">
      <c r="A10" t="inlineStr">
        <is>
          <t>Rents of assize</t>
        </is>
      </c>
      <c r="B10" t="n">
        <v>5</v>
      </c>
      <c r="C10" t="n">
        <v>19</v>
      </c>
      <c r="D10" t="n">
        <v>10.5</v>
      </c>
      <c r="F10" s="72" t="n">
        <v>5.99</v>
      </c>
      <c r="H10" t="inlineStr">
        <is>
          <t>Total, £5 19 shilling 10.5pence</t>
        </is>
      </c>
    </row>
    <row r="11">
      <c r="A11" t="inlineStr">
        <is>
          <t>Rents of assize</t>
        </is>
      </c>
      <c r="F11" s="72" t="n">
        <v>5.99</v>
      </c>
      <c r="G11" s="129" t="n">
        <v>0</v>
      </c>
      <c r="H11" t="inlineStr">
        <is>
          <t>Total</t>
        </is>
      </c>
    </row>
    <row r="12"/>
    <row r="13">
      <c r="A13" t="inlineStr">
        <is>
          <t>Quittances</t>
        </is>
      </c>
      <c r="B13" t="n">
        <v>0</v>
      </c>
      <c r="C13" t="n">
        <v>1</v>
      </c>
      <c r="D13" t="n">
        <v>10</v>
      </c>
      <c r="F13" s="72">
        <f>B13+C13/20+D13/240</f>
        <v/>
      </c>
      <c r="H13" t="inlineStr">
        <is>
          <t>In quittance of rent of the reeve for the year 1 shilling 10pence.</t>
        </is>
      </c>
    </row>
    <row r="14">
      <c r="A14" t="inlineStr">
        <is>
          <t>Quittances</t>
        </is>
      </c>
      <c r="B14" t="n">
        <v>1</v>
      </c>
      <c r="C14" t="n">
        <v>0</v>
      </c>
      <c r="D14" t="n">
        <v>0</v>
      </c>
      <c r="F14" s="72">
        <f>B14+C14/20+D14/240</f>
        <v/>
      </c>
      <c r="H14" t="inlineStr">
        <is>
          <t>default of a certain dwelling-house and land pertaining to the church drawn into demesne £1.</t>
        </is>
      </c>
    </row>
    <row r="15">
      <c r="A15" t="inlineStr">
        <is>
          <t>Quittances</t>
        </is>
      </c>
      <c r="B15" t="n">
        <v>1</v>
      </c>
      <c r="C15" t="n">
        <v>1</v>
      </c>
      <c r="D15" t="n">
        <v>10</v>
      </c>
      <c r="F15" s="72">
        <f>B15+C15/20+D15/240</f>
        <v/>
      </c>
      <c r="H15" t="inlineStr">
        <is>
          <t xml:space="preserve"> Total of quittances and defaults of rent, £1 1 shilling 10pence</t>
        </is>
      </c>
    </row>
    <row r="16">
      <c r="A16" t="inlineStr">
        <is>
          <t>Quittances</t>
        </is>
      </c>
      <c r="F16" s="72">
        <f>SUM(F13:F14)</f>
        <v/>
      </c>
      <c r="G16" s="129">
        <f>F16-F15</f>
        <v/>
      </c>
      <c r="H16" t="inlineStr">
        <is>
          <t>Total</t>
        </is>
      </c>
    </row>
    <row r="17"/>
    <row r="18">
      <c r="A18" t="inlineStr">
        <is>
          <t>Total of rents remaining</t>
        </is>
      </c>
      <c r="B18" t="n">
        <v>4</v>
      </c>
      <c r="C18" t="n">
        <v>18</v>
      </c>
      <c r="D18" t="n">
        <v>0.5</v>
      </c>
      <c r="F18" s="72" t="n">
        <v>4.9</v>
      </c>
      <c r="H18" t="inlineStr">
        <is>
          <t>Total of rents remaining, £4 18 shilling 0.5pence</t>
        </is>
      </c>
    </row>
    <row r="19">
      <c r="A19" t="inlineStr">
        <is>
          <t>Total of rents remaining</t>
        </is>
      </c>
      <c r="F19" s="72">
        <f>F18</f>
        <v/>
      </c>
      <c r="G19" s="129">
        <f>F19-F18</f>
        <v/>
      </c>
      <c r="H19" t="inlineStr">
        <is>
          <t>Total</t>
        </is>
      </c>
    </row>
    <row r="20"/>
    <row r="21">
      <c r="A21" t="inlineStr">
        <is>
          <t>Rent of the hall of Kingston hired for the year</t>
        </is>
      </c>
      <c r="B21" t="n">
        <v>0</v>
      </c>
      <c r="C21" t="n">
        <v>15</v>
      </c>
      <c r="D21" t="n">
        <v>0</v>
      </c>
      <c r="F21" s="72" t="n">
        <v>0.75</v>
      </c>
      <c r="H21" t="inlineStr">
        <is>
          <t>The same renders account for 15 shilling for the rent of the hall of Kingston at Christmas, Easter and Michaelmas.</t>
        </is>
      </c>
    </row>
    <row r="22">
      <c r="A22" t="inlineStr">
        <is>
          <t>Rent of the hall of Kingston hired for the year</t>
        </is>
      </c>
      <c r="B22" t="n">
        <v>0</v>
      </c>
      <c r="C22" t="n">
        <v>15</v>
      </c>
      <c r="D22" t="n">
        <v>0</v>
      </c>
      <c r="F22" s="72" t="n">
        <v>0.75</v>
      </c>
      <c r="H22" t="inlineStr">
        <is>
          <t>Total, 15 shilling</t>
        </is>
      </c>
    </row>
    <row r="23">
      <c r="A23" t="inlineStr">
        <is>
          <t>Rent of the hall of Kingston hired for the year</t>
        </is>
      </c>
      <c r="F23" s="72" t="n">
        <v>0.75</v>
      </c>
      <c r="G23" s="129" t="n">
        <v>0</v>
      </c>
      <c r="H23" t="inlineStr">
        <is>
          <t>Total</t>
        </is>
      </c>
    </row>
    <row r="24"/>
    <row r="25">
      <c r="A25" t="inlineStr">
        <is>
          <t>Issues of the manor</t>
        </is>
      </c>
      <c r="B25" t="n">
        <v>0</v>
      </c>
      <c r="C25" t="n">
        <v>8</v>
      </c>
      <c r="D25" t="n">
        <v>3</v>
      </c>
      <c r="F25" s="72" t="n">
        <v>0.41</v>
      </c>
      <c r="H25" t="inlineStr">
        <is>
          <t>The same renders account for 8 shilling from pannage of 28 pigs and 6 piglets, at 3pence a pig and 2pence a piglet, and the said right of pannage (garsevese) for 6 pigs of Richard atte Barr' this year.</t>
        </is>
      </c>
    </row>
    <row r="26">
      <c r="A26" t="inlineStr">
        <is>
          <t>Issues of the manor</t>
        </is>
      </c>
      <c r="B26" t="n">
        <v>0</v>
      </c>
      <c r="C26" t="n">
        <v>0</v>
      </c>
      <c r="D26" t="n">
        <v>0</v>
      </c>
      <c r="F26" s="72" t="n">
        <v>0</v>
      </c>
      <c r="H26" t="inlineStr">
        <is>
          <t>nothing from pannage of Esher and Northwod' this year.</t>
        </is>
      </c>
    </row>
    <row r="27">
      <c r="A27" t="inlineStr">
        <is>
          <t>Issues of the manor</t>
        </is>
      </c>
      <c r="B27" t="n">
        <v>0</v>
      </c>
      <c r="C27" t="n">
        <v>4</v>
      </c>
      <c r="D27" t="n">
        <v>4</v>
      </c>
      <c r="F27" s="72" t="n">
        <v>0.22</v>
      </c>
      <c r="H27" t="inlineStr">
        <is>
          <t>4 shilling from 12 animals going to the summer pasturage sold at Northwod this year, at 4pence a head.</t>
        </is>
      </c>
    </row>
    <row r="28">
      <c r="A28" t="inlineStr">
        <is>
          <t>Issues of the manor</t>
        </is>
      </c>
      <c r="B28" t="n">
        <v>0</v>
      </c>
      <c r="C28" t="n">
        <v>3</v>
      </c>
      <c r="D28" t="n">
        <v>6</v>
      </c>
      <c r="F28" s="72" t="n">
        <v>0.17</v>
      </c>
      <c r="H28" t="inlineStr">
        <is>
          <t>3 shilling 6pence from the pasturage in la More sold.</t>
        </is>
      </c>
    </row>
    <row r="29">
      <c r="A29" t="inlineStr">
        <is>
          <t>Issues of the manor</t>
        </is>
      </c>
      <c r="B29" t="n">
        <v>0</v>
      </c>
      <c r="C29" t="n">
        <v>0</v>
      </c>
      <c r="D29" t="n">
        <v>6</v>
      </c>
      <c r="F29" s="72" t="n">
        <v>0.03</v>
      </c>
      <c r="H29" t="inlineStr">
        <is>
          <t>6pence from the pasturage at la Crumbe sold.</t>
        </is>
      </c>
    </row>
    <row r="30">
      <c r="A30" t="inlineStr">
        <is>
          <t>Issues of the manor</t>
        </is>
      </c>
      <c r="B30" t="n">
        <v>0</v>
      </c>
      <c r="C30" t="n">
        <v>0</v>
      </c>
      <c r="D30" t="n">
        <v>8</v>
      </c>
      <c r="F30" s="72" t="n">
        <v>0.03</v>
      </c>
      <c r="H30" t="inlineStr">
        <is>
          <t>8pence from the herbage in the garden sold.</t>
        </is>
      </c>
    </row>
    <row r="31">
      <c r="A31" t="inlineStr">
        <is>
          <t>Issues of the manor</t>
        </is>
      </c>
      <c r="B31" t="n">
        <v>0</v>
      </c>
      <c r="C31" t="n">
        <v>9</v>
      </c>
      <c r="D31" t="n">
        <v>0</v>
      </c>
      <c r="F31" s="72" t="n">
        <v>0.45</v>
      </c>
      <c r="H31" t="inlineStr">
        <is>
          <t>9 shilling from fruit from the garden sold this year, the tithe deducted.</t>
        </is>
      </c>
    </row>
    <row r="32">
      <c r="A32" t="inlineStr">
        <is>
          <t>Issues of the manor</t>
        </is>
      </c>
      <c r="B32" t="n">
        <v>0</v>
      </c>
      <c r="C32" t="n">
        <v>0</v>
      </c>
      <c r="D32" t="n">
        <v>8</v>
      </c>
      <c r="F32" s="72" t="n">
        <v>0.03</v>
      </c>
      <c r="H32" t="inlineStr">
        <is>
          <t>8pence from the fishery at Northwod.</t>
        </is>
      </c>
    </row>
    <row r="33">
      <c r="A33" t="inlineStr">
        <is>
          <t>Issues of the manor</t>
        </is>
      </c>
      <c r="B33" t="n">
        <v>0</v>
      </c>
      <c r="C33" t="n">
        <v>0</v>
      </c>
      <c r="D33" t="n">
        <v>10.5</v>
      </c>
      <c r="F33" s="72" t="n">
        <v>0.04</v>
      </c>
      <c r="H33" t="inlineStr">
        <is>
          <t>10.5pence from 7 hens from churchscot sold.</t>
        </is>
      </c>
    </row>
    <row r="34">
      <c r="A34" t="inlineStr">
        <is>
          <t>Issues of the manor</t>
        </is>
      </c>
      <c r="B34" t="n">
        <v>0</v>
      </c>
      <c r="C34" t="n">
        <v>0</v>
      </c>
      <c r="D34" t="n">
        <v>2.5</v>
      </c>
      <c r="F34" s="72" t="n">
        <v>0.01</v>
      </c>
      <c r="H34" t="inlineStr">
        <is>
          <t>2.5pence from the hide sold of 1 yearling dead from murrain.</t>
        </is>
      </c>
    </row>
    <row r="35">
      <c r="A35" t="inlineStr">
        <is>
          <t>Issues of the manor</t>
        </is>
      </c>
      <c r="B35" t="n">
        <v>0</v>
      </c>
      <c r="C35" t="n">
        <v>5</v>
      </c>
      <c r="D35" t="n">
        <v>6</v>
      </c>
      <c r="F35" s="72" t="n">
        <v>0.28</v>
      </c>
      <c r="H35" t="inlineStr">
        <is>
          <t>5 shilling 6pence from the skins sold of 22 wethers dead from murrain before shearing.</t>
        </is>
      </c>
    </row>
    <row r="36">
      <c r="A36" t="inlineStr">
        <is>
          <t>Issues of the manor</t>
        </is>
      </c>
      <c r="B36" t="n">
        <v>0</v>
      </c>
      <c r="C36" t="n">
        <v>1</v>
      </c>
      <c r="D36" t="n">
        <v>5</v>
      </c>
      <c r="F36" s="72" t="n">
        <v>0.07000000000000001</v>
      </c>
      <c r="H36" t="inlineStr">
        <is>
          <t>1 shilling .5pence from the skins sold of 5 ewes dead from murrain before shearing.</t>
        </is>
      </c>
    </row>
    <row r="37">
      <c r="A37" t="inlineStr">
        <is>
          <t>Issues of the manor</t>
        </is>
      </c>
      <c r="B37" t="n">
        <v>0</v>
      </c>
      <c r="C37" t="n">
        <v>0</v>
      </c>
      <c r="D37" t="n">
        <v>5</v>
      </c>
      <c r="F37" s="72" t="n">
        <v>0.02</v>
      </c>
      <c r="H37" t="inlineStr">
        <is>
          <t>5pence from the skins sold of 5 wethers dead from murrain after shearing.</t>
        </is>
      </c>
    </row>
    <row r="38">
      <c r="A38" t="inlineStr">
        <is>
          <t>Issues of the manor</t>
        </is>
      </c>
      <c r="B38" t="n">
        <v>0</v>
      </c>
      <c r="C38" t="n">
        <v>0</v>
      </c>
      <c r="D38" t="n">
        <v>2.5</v>
      </c>
      <c r="F38" s="72" t="n">
        <v>0.01</v>
      </c>
      <c r="H38" t="inlineStr">
        <is>
          <t>2.5pence from the skins sold of 5 hoggs dead from murrain after shearing.</t>
        </is>
      </c>
    </row>
    <row r="39">
      <c r="A39" t="inlineStr">
        <is>
          <t>Issues of the manor</t>
        </is>
      </c>
      <c r="B39" t="n">
        <v>0</v>
      </c>
      <c r="C39" t="n">
        <v>1</v>
      </c>
      <c r="D39" t="n">
        <v>3</v>
      </c>
      <c r="F39" s="72" t="n">
        <v>0.06</v>
      </c>
      <c r="H39" t="inlineStr">
        <is>
          <t>1 shilling 3pence from the skins sold of 20 lambs dead from murrain before weaning.</t>
        </is>
      </c>
    </row>
    <row r="40">
      <c r="A40" t="inlineStr">
        <is>
          <t>Issues of the manor</t>
        </is>
      </c>
      <c r="B40" t="n">
        <v>0</v>
      </c>
      <c r="C40" t="n">
        <v>14</v>
      </c>
      <c r="D40" t="n">
        <v>6</v>
      </c>
      <c r="F40" s="72" t="n">
        <v>0.72</v>
      </c>
      <c r="H40" t="inlineStr">
        <is>
          <t>14 shilling from the milking of 4 cows with calves sold, the tithe deducted, at 2 shilling 6pence a cow and 1 shilling a calf.</t>
        </is>
      </c>
    </row>
    <row r="41">
      <c r="A41" t="inlineStr">
        <is>
          <t>Issues of the manor</t>
        </is>
      </c>
      <c r="B41" t="n">
        <v>0</v>
      </c>
      <c r="C41" t="n">
        <v>7</v>
      </c>
      <c r="D41" t="n">
        <v>6</v>
      </c>
      <c r="F41" s="72" t="n">
        <v>0.38</v>
      </c>
      <c r="H41" t="inlineStr">
        <is>
          <t>7 shilling 6pence from the milking of 3 cows without calves sold, the tithe deducted, at 2 shilling 6pence a cow.</t>
        </is>
      </c>
    </row>
    <row r="42">
      <c r="A42" t="inlineStr">
        <is>
          <t>Issues of the manor</t>
        </is>
      </c>
      <c r="B42" t="n">
        <v>0</v>
      </c>
      <c r="C42" t="n">
        <v>7</v>
      </c>
      <c r="D42" t="n">
        <v>1.5</v>
      </c>
      <c r="F42" s="72" t="n">
        <v>0.36</v>
      </c>
      <c r="H42" t="inlineStr">
        <is>
          <t>7 shilling from the milking of 56 ewes sold, at 1.5pence each.</t>
        </is>
      </c>
    </row>
    <row r="43">
      <c r="A43" t="inlineStr">
        <is>
          <t>Issues of the manor</t>
        </is>
      </c>
      <c r="B43" t="n">
        <v>0</v>
      </c>
      <c r="C43" t="n">
        <v>0</v>
      </c>
      <c r="D43" t="n">
        <v>2</v>
      </c>
      <c r="F43" s="72">
        <f>B43+C43/20+D43/240</f>
        <v/>
      </c>
      <c r="H43" t="inlineStr">
        <is>
          <t>2pence from rushes (ros') sold</t>
        </is>
      </c>
    </row>
    <row r="44">
      <c r="A44" t="inlineStr">
        <is>
          <t>Issues of the manor</t>
        </is>
      </c>
      <c r="B44" t="n">
        <v>3</v>
      </c>
      <c r="C44" t="n">
        <v>4</v>
      </c>
      <c r="D44" t="n">
        <v>6</v>
      </c>
      <c r="F44" s="72">
        <f>B44+C44/20+D44/240</f>
        <v/>
      </c>
      <c r="H44" t="inlineStr">
        <is>
          <t>Total, £3 4 shilling 6pence</t>
        </is>
      </c>
    </row>
    <row r="45">
      <c r="A45" t="inlineStr">
        <is>
          <t>Issues of the manor</t>
        </is>
      </c>
      <c r="F45" s="72">
        <f>SUM(F25:F43)</f>
        <v/>
      </c>
      <c r="G45" s="129">
        <f>F45-F44</f>
        <v/>
      </c>
      <c r="H45" t="inlineStr">
        <is>
          <t>Total</t>
        </is>
      </c>
    </row>
    <row r="46"/>
    <row r="47">
      <c r="A47" t="inlineStr">
        <is>
          <t>Sale of stock</t>
        </is>
      </c>
      <c r="B47" t="n">
        <v>0</v>
      </c>
      <c r="C47" t="n">
        <v>9</v>
      </c>
      <c r="D47" t="n">
        <v>0</v>
      </c>
      <c r="F47" s="72">
        <f>B47+C47/20+D47/240</f>
        <v/>
      </c>
      <c r="H47" t="inlineStr">
        <is>
          <t>The same renders account for 9 shilling from 9 wethers sold before shearing, at 1 shilling a head.</t>
        </is>
      </c>
    </row>
    <row r="48">
      <c r="A48" t="inlineStr">
        <is>
          <t>Sale of stock</t>
        </is>
      </c>
      <c r="B48" t="n">
        <v>0</v>
      </c>
      <c r="C48" t="n">
        <v>11</v>
      </c>
      <c r="D48" t="n">
        <v>3</v>
      </c>
      <c r="F48" s="72">
        <f>B48+C48/20+D48/240</f>
        <v/>
      </c>
      <c r="H48" t="inlineStr">
        <is>
          <t>11 shilling 3pence from 15 feeble ewes sold before shearing and lambing, at 9pence a head</t>
        </is>
      </c>
    </row>
    <row r="49">
      <c r="A49" t="inlineStr">
        <is>
          <t>Sale of stock</t>
        </is>
      </c>
      <c r="B49" t="n">
        <v>1</v>
      </c>
      <c r="C49" t="n">
        <v>0</v>
      </c>
      <c r="D49" t="n">
        <v>3</v>
      </c>
      <c r="F49" s="72">
        <f>B49+C49/20+D49/240</f>
        <v/>
      </c>
      <c r="H49" t="inlineStr">
        <is>
          <t>Total, £1 3pence</t>
        </is>
      </c>
    </row>
    <row r="50">
      <c r="A50" t="inlineStr">
        <is>
          <t>Sale of stock</t>
        </is>
      </c>
      <c r="F50" s="72">
        <f>SUM(F47:F48)</f>
        <v/>
      </c>
      <c r="G50" s="129">
        <f>F50-F49</f>
        <v/>
      </c>
      <c r="H50" t="inlineStr">
        <is>
          <t>Total</t>
        </is>
      </c>
    </row>
    <row r="51"/>
    <row r="52">
      <c r="A52" t="inlineStr">
        <is>
          <t>Sale of rye and oats</t>
        </is>
      </c>
      <c r="B52" t="n">
        <v>3</v>
      </c>
      <c r="C52" t="n">
        <v>5</v>
      </c>
      <c r="D52" t="n">
        <v>9.75</v>
      </c>
      <c r="F52" s="72" t="n">
        <v>3.29</v>
      </c>
      <c r="H52" t="inlineStr">
        <is>
          <t>The same renders account for £3 5 shilling 9.75pence from 15 quarters 1.5 bushels of rye sold, at 4 shilling 4pence a qr.</t>
        </is>
      </c>
    </row>
    <row r="53">
      <c r="A53" t="inlineStr">
        <is>
          <t>Sale of rye and oats</t>
        </is>
      </c>
      <c r="B53" t="n">
        <v>1</v>
      </c>
      <c r="C53" t="n">
        <v>4</v>
      </c>
      <c r="D53" t="n">
        <v>8</v>
      </c>
      <c r="F53" s="72" t="n">
        <v>1.23</v>
      </c>
      <c r="H53" t="inlineStr">
        <is>
          <t>£1 4 shilling 8pence from 18.5 quarters of oats sold, at 1 shilling 4pence a qr.</t>
        </is>
      </c>
    </row>
    <row r="54">
      <c r="A54" t="inlineStr">
        <is>
          <t>Sale of rye and oats</t>
        </is>
      </c>
      <c r="B54" t="n">
        <v>0</v>
      </c>
      <c r="C54" t="n">
        <v>16</v>
      </c>
      <c r="D54" t="n">
        <v>5.5</v>
      </c>
      <c r="F54" s="72" t="n">
        <v>0.82</v>
      </c>
      <c r="H54" t="inlineStr">
        <is>
          <t>16 shilling 5.5pence from 4 quarters 7.5 bushels of barley sold at the audit, at 3 shilling 4pence a qr.</t>
        </is>
      </c>
    </row>
    <row r="55">
      <c r="A55" t="inlineStr">
        <is>
          <t>Sale of rye and oats</t>
        </is>
      </c>
      <c r="B55" t="n">
        <v>5</v>
      </c>
      <c r="C55" t="n">
        <v>6</v>
      </c>
      <c r="D55" t="n">
        <v>11.25</v>
      </c>
      <c r="F55" s="72" t="n">
        <v>5.35</v>
      </c>
      <c r="H55" t="inlineStr">
        <is>
          <t>Total, £5 6 shilling 11.25pence</t>
        </is>
      </c>
    </row>
    <row r="56">
      <c r="A56" t="inlineStr">
        <is>
          <t>Sale of rye and oats</t>
        </is>
      </c>
      <c r="F56" s="72" t="n">
        <v>5.34</v>
      </c>
      <c r="G56" s="129" t="n">
        <v>-0.009999999999999787</v>
      </c>
      <c r="H56" t="inlineStr">
        <is>
          <t>Total</t>
        </is>
      </c>
    </row>
    <row r="57"/>
    <row r="58">
      <c r="A58" t="inlineStr">
        <is>
          <t>Entry fines and perquisites of court</t>
        </is>
      </c>
      <c r="B58" t="n">
        <v>0</v>
      </c>
      <c r="C58" t="n">
        <v>2</v>
      </c>
      <c r="D58" t="n">
        <v>0</v>
      </c>
      <c r="F58" s="72" t="n">
        <v>0.1</v>
      </c>
      <c r="H58" t="inlineStr">
        <is>
          <t>The same renders account for 2 shilling from Matilda de Wexford' for damage done in the lord's wood by 2 cows.</t>
        </is>
      </c>
    </row>
    <row r="59">
      <c r="A59" t="inlineStr">
        <is>
          <t>Entry fines and perquisites of court</t>
        </is>
      </c>
      <c r="B59" t="n">
        <v>0</v>
      </c>
      <c r="C59" t="n">
        <v>1</v>
      </c>
      <c r="D59" t="n">
        <v>0</v>
      </c>
      <c r="F59" s="72" t="n">
        <v>0.05</v>
      </c>
      <c r="H59" t="inlineStr">
        <is>
          <t>1 shilling from Belotota le Fort for 1 cow in the lord's wood.</t>
        </is>
      </c>
    </row>
    <row r="60">
      <c r="A60" t="inlineStr">
        <is>
          <t>Entry fines and perquisites of court</t>
        </is>
      </c>
      <c r="B60" t="n">
        <v>0</v>
      </c>
      <c r="C60" t="n">
        <v>3</v>
      </c>
      <c r="D60" t="n">
        <v>0</v>
      </c>
      <c r="F60" s="72" t="n">
        <v>0.15</v>
      </c>
      <c r="H60" t="inlineStr">
        <is>
          <t>3 shilling from Richard ate Wod' for 3 bullocks in the lord's wood.</t>
        </is>
      </c>
    </row>
    <row r="61">
      <c r="A61" t="inlineStr">
        <is>
          <t>Entry fines and perquisites of court</t>
        </is>
      </c>
      <c r="B61" t="n">
        <v>0</v>
      </c>
      <c r="C61" t="n">
        <v>3</v>
      </c>
      <c r="D61" t="n">
        <v>0</v>
      </c>
      <c r="F61" s="72" t="n">
        <v>0.15</v>
      </c>
      <c r="H61" t="inlineStr">
        <is>
          <t>3 shilling from John Derlyng for 3 bullocks.</t>
        </is>
      </c>
    </row>
    <row r="62">
      <c r="A62" t="inlineStr">
        <is>
          <t>Entry fines and perquisites of court</t>
        </is>
      </c>
      <c r="B62" t="n">
        <v>0</v>
      </c>
      <c r="C62" t="n">
        <v>3</v>
      </c>
      <c r="D62" t="n">
        <v>0</v>
      </c>
      <c r="F62" s="72" t="n">
        <v>0.15</v>
      </c>
      <c r="H62" t="inlineStr">
        <is>
          <t>3 shilling from Richard ate Barre for 3 bullocks.</t>
        </is>
      </c>
    </row>
    <row r="63">
      <c r="A63" t="inlineStr">
        <is>
          <t>Entry fines and perquisites of court</t>
        </is>
      </c>
      <c r="B63" t="n">
        <v>0</v>
      </c>
      <c r="C63" t="n">
        <v>1</v>
      </c>
      <c r="D63" t="n">
        <v>0</v>
      </c>
      <c r="F63" s="72" t="n">
        <v>0.05</v>
      </c>
      <c r="H63" t="inlineStr">
        <is>
          <t>1 shilling from Alice Bronnemay for 1 bullock.</t>
        </is>
      </c>
    </row>
    <row r="64">
      <c r="A64" t="inlineStr">
        <is>
          <t>Entry fines and perquisites of court</t>
        </is>
      </c>
      <c r="B64" t="n">
        <v>0</v>
      </c>
      <c r="C64" t="n">
        <v>2</v>
      </c>
      <c r="D64" t="n">
        <v>0</v>
      </c>
      <c r="F64" s="72" t="n">
        <v>0.1</v>
      </c>
      <c r="H64" t="inlineStr">
        <is>
          <t>2 shilling from John ate Barre for 2 bullocks.</t>
        </is>
      </c>
    </row>
    <row r="65">
      <c r="A65" t="inlineStr">
        <is>
          <t>Entry fines and perquisites of court</t>
        </is>
      </c>
      <c r="B65" t="n">
        <v>0</v>
      </c>
      <c r="C65" t="n">
        <v>1</v>
      </c>
      <c r="D65" t="n">
        <v>0</v>
      </c>
      <c r="F65" s="72" t="n">
        <v>0.05</v>
      </c>
      <c r="H65" t="inlineStr">
        <is>
          <t>1 shilling from Richard Hamund for 3 pigs.</t>
        </is>
      </c>
    </row>
    <row r="66">
      <c r="A66" t="inlineStr">
        <is>
          <t>Entry fines and perquisites of court</t>
        </is>
      </c>
      <c r="B66" t="n">
        <v>0</v>
      </c>
      <c r="C66" t="n">
        <v>0</v>
      </c>
      <c r="D66" t="n">
        <v>8</v>
      </c>
      <c r="F66" s="72" t="n">
        <v>0.03</v>
      </c>
      <c r="H66" t="inlineStr">
        <is>
          <t>8pence from Alice Bronemay for 2 piglets.</t>
        </is>
      </c>
    </row>
    <row r="67">
      <c r="A67" t="inlineStr">
        <is>
          <t>Entry fines and perquisites of court</t>
        </is>
      </c>
      <c r="B67" t="n">
        <v>0</v>
      </c>
      <c r="C67" t="n">
        <v>1</v>
      </c>
      <c r="D67" t="n">
        <v>4</v>
      </c>
      <c r="F67" s="72" t="n">
        <v>0.07000000000000001</v>
      </c>
      <c r="H67" t="inlineStr">
        <is>
          <t>1 shilling 4pence from John Selueyn for 4 pigs.</t>
        </is>
      </c>
    </row>
    <row r="68">
      <c r="A68" t="inlineStr">
        <is>
          <t>Entry fines and perquisites of court</t>
        </is>
      </c>
      <c r="B68" t="n">
        <v>0</v>
      </c>
      <c r="C68" t="n">
        <v>0</v>
      </c>
      <c r="D68" t="n">
        <v>4</v>
      </c>
      <c r="F68" s="72" t="n">
        <v>0.02</v>
      </c>
      <c r="H68" t="inlineStr">
        <is>
          <t>4pence from Richard ate Wod' for 1 pig.</t>
        </is>
      </c>
    </row>
    <row r="69">
      <c r="A69" t="inlineStr">
        <is>
          <t>Entry fines and perquisites of court</t>
        </is>
      </c>
      <c r="B69" t="n">
        <v>0</v>
      </c>
      <c r="C69" t="n">
        <v>0</v>
      </c>
      <c r="D69" t="n">
        <v>4</v>
      </c>
      <c r="F69" s="72" t="n">
        <v>0.02</v>
      </c>
      <c r="H69" t="inlineStr">
        <is>
          <t>4pence from the relict of Fort for 1 pig.</t>
        </is>
      </c>
    </row>
    <row r="70">
      <c r="A70" t="inlineStr">
        <is>
          <t>Entry fines and perquisites of court</t>
        </is>
      </c>
      <c r="B70" t="n">
        <v>0</v>
      </c>
      <c r="C70" t="n">
        <v>0</v>
      </c>
      <c r="D70" t="n">
        <v>4</v>
      </c>
      <c r="F70" s="72" t="n">
        <v>0.02</v>
      </c>
      <c r="H70" t="inlineStr">
        <is>
          <t>4pence from Roger Molendinarius for 1 pig.</t>
        </is>
      </c>
    </row>
    <row r="71">
      <c r="A71" t="inlineStr">
        <is>
          <t>Entry fines and perquisites of court</t>
        </is>
      </c>
      <c r="B71" t="n">
        <v>0</v>
      </c>
      <c r="C71" t="n">
        <v>0</v>
      </c>
      <c r="D71" t="n">
        <v>8</v>
      </c>
      <c r="F71" s="72" t="n">
        <v>0.03</v>
      </c>
      <c r="H71" t="inlineStr">
        <is>
          <t>8pence from William ate Claybrigg' for 2 pigs.</t>
        </is>
      </c>
    </row>
    <row r="72">
      <c r="A72" t="inlineStr">
        <is>
          <t>Entry fines and perquisites of court</t>
        </is>
      </c>
      <c r="B72" t="n">
        <v>0</v>
      </c>
      <c r="C72" t="n">
        <v>0</v>
      </c>
      <c r="D72" t="n">
        <v>8</v>
      </c>
      <c r="F72" s="72" t="n">
        <v>0.03</v>
      </c>
      <c r="H72" t="inlineStr">
        <is>
          <t>8pence from William de Bolewrth' for 2 pigs.</t>
        </is>
      </c>
    </row>
    <row r="73">
      <c r="A73" t="inlineStr">
        <is>
          <t>Entry fines and perquisites of court</t>
        </is>
      </c>
      <c r="B73" t="n">
        <v>0</v>
      </c>
      <c r="C73" t="n">
        <v>1</v>
      </c>
      <c r="D73" t="n">
        <v>0</v>
      </c>
      <c r="F73" s="72" t="n">
        <v>0.05</v>
      </c>
      <c r="H73" t="inlineStr">
        <is>
          <t>1 shilling from John Derlyng for 3 pigs.</t>
        </is>
      </c>
    </row>
    <row r="74">
      <c r="A74" t="inlineStr">
        <is>
          <t>Entry fines and perquisites of court</t>
        </is>
      </c>
      <c r="B74" t="n">
        <v>0</v>
      </c>
      <c r="C74" t="n">
        <v>1</v>
      </c>
      <c r="D74" t="n">
        <v>0</v>
      </c>
      <c r="F74" s="72" t="n">
        <v>0.05</v>
      </c>
      <c r="H74" t="inlineStr">
        <is>
          <t>1 shilling from the same for3 piglets.</t>
        </is>
      </c>
    </row>
    <row r="75">
      <c r="A75" t="inlineStr">
        <is>
          <t>Entry fines and perquisites of court</t>
        </is>
      </c>
      <c r="B75" t="n">
        <v>0</v>
      </c>
      <c r="C75" t="n">
        <v>0</v>
      </c>
      <c r="D75" t="n">
        <v>8</v>
      </c>
      <c r="F75" s="72" t="n">
        <v>0.03</v>
      </c>
      <c r="H75" t="inlineStr">
        <is>
          <t>8pence from William de Wexford' for 2 pigs.</t>
        </is>
      </c>
    </row>
    <row r="76">
      <c r="A76" t="inlineStr">
        <is>
          <t>Entry fines and perquisites of court</t>
        </is>
      </c>
      <c r="B76" t="n">
        <v>0</v>
      </c>
      <c r="C76" t="n">
        <v>0</v>
      </c>
      <c r="D76" t="n">
        <v>4</v>
      </c>
      <c r="F76" s="72" t="n">
        <v>0.02</v>
      </c>
      <c r="H76" t="inlineStr">
        <is>
          <t>4pence from Thomas ate Frith' for 1 piglet.</t>
        </is>
      </c>
    </row>
    <row r="77">
      <c r="A77" t="inlineStr">
        <is>
          <t>Entry fines and perquisites of court</t>
        </is>
      </c>
      <c r="B77" t="n">
        <v>0</v>
      </c>
      <c r="C77" t="n">
        <v>0</v>
      </c>
      <c r="D77" t="n">
        <v>4</v>
      </c>
      <c r="F77" s="72" t="n">
        <v>0.02</v>
      </c>
      <c r="H77" t="inlineStr">
        <is>
          <t>4pence from John ate Barre for 1 pig.</t>
        </is>
      </c>
    </row>
    <row r="78">
      <c r="A78" t="inlineStr">
        <is>
          <t>Entry fines and perquisites of court</t>
        </is>
      </c>
      <c r="B78" t="n">
        <v>0</v>
      </c>
      <c r="C78" t="n">
        <v>0</v>
      </c>
      <c r="D78" t="n">
        <v>8</v>
      </c>
      <c r="F78" s="72" t="n">
        <v>0.03</v>
      </c>
      <c r="H78" t="inlineStr">
        <is>
          <t>8pence from William Hereberd for 2 pigs.</t>
        </is>
      </c>
    </row>
    <row r="79">
      <c r="A79" t="inlineStr">
        <is>
          <t>Entry fines and perquisites of court</t>
        </is>
      </c>
      <c r="B79" t="n">
        <v>0</v>
      </c>
      <c r="C79" t="n">
        <v>2</v>
      </c>
      <c r="D79" t="n">
        <v>0</v>
      </c>
      <c r="F79" s="72" t="n">
        <v>0.1</v>
      </c>
      <c r="H79" t="inlineStr">
        <is>
          <t>2 shilling from Emma Walerond for 6 pigs, because all of these did damage in the lord's wood.</t>
        </is>
      </c>
    </row>
    <row r="80">
      <c r="A80" t="inlineStr">
        <is>
          <t>Entry fines and perquisites of court</t>
        </is>
      </c>
      <c r="B80" t="n">
        <v>0</v>
      </c>
      <c r="C80" t="n">
        <v>0</v>
      </c>
      <c r="D80" t="n">
        <v>3</v>
      </c>
      <c r="F80" s="72" t="n">
        <v>0.01</v>
      </c>
      <c r="H80" t="inlineStr">
        <is>
          <t>3pence from John Derlyng for narrowing a certain road too much.</t>
        </is>
      </c>
    </row>
    <row r="81">
      <c r="A81" t="inlineStr">
        <is>
          <t>Entry fines and perquisites of court</t>
        </is>
      </c>
      <c r="B81" t="n">
        <v>0</v>
      </c>
      <c r="C81" t="n">
        <v>8</v>
      </c>
      <c r="D81" t="n">
        <v>0</v>
      </c>
      <c r="F81" s="72" t="n">
        <v>0.4</v>
      </c>
      <c r="H81" t="inlineStr">
        <is>
          <t>8 shilling from the whole tahlng-court for various concealments at the hundred-courts of Martinmas and Hockday.</t>
        </is>
      </c>
    </row>
    <row r="82">
      <c r="A82" t="inlineStr">
        <is>
          <t>Entry fines and perquisites of court</t>
        </is>
      </c>
      <c r="B82" t="n">
        <v>0</v>
      </c>
      <c r="C82" t="n">
        <v>0</v>
      </c>
      <c r="D82" t="n">
        <v>6</v>
      </c>
      <c r="F82" s="72" t="n">
        <v>0.03</v>
      </c>
      <c r="H82" t="inlineStr">
        <is>
          <t>6pence from Matilda de Wexford' for brewing and selling ale against the assize.</t>
        </is>
      </c>
    </row>
    <row r="83">
      <c r="A83" t="inlineStr">
        <is>
          <t>Entry fines and perquisites of court</t>
        </is>
      </c>
      <c r="B83" t="n">
        <v>0</v>
      </c>
      <c r="C83" t="n">
        <v>0</v>
      </c>
      <c r="D83" t="n">
        <v>3</v>
      </c>
      <c r="F83" s="72" t="n">
        <v>0.01</v>
      </c>
      <c r="H83" t="inlineStr">
        <is>
          <t>3pence from John Durlyng for the same.</t>
        </is>
      </c>
    </row>
    <row r="84">
      <c r="A84" t="inlineStr">
        <is>
          <t>Entry fines and perquisites of court</t>
        </is>
      </c>
      <c r="B84" t="n">
        <v>0</v>
      </c>
      <c r="C84" t="n">
        <v>0</v>
      </c>
      <c r="D84" t="n">
        <v>6</v>
      </c>
      <c r="F84" s="72" t="n">
        <v>0.03</v>
      </c>
      <c r="H84" t="inlineStr">
        <is>
          <t>6pence from William de Bulewrth' for the same.</t>
        </is>
      </c>
    </row>
    <row r="85">
      <c r="A85" t="inlineStr">
        <is>
          <t>Entry fines and perquisites of court</t>
        </is>
      </c>
      <c r="B85" t="n">
        <v>0</v>
      </c>
      <c r="C85" t="n">
        <v>0</v>
      </c>
      <c r="D85" t="n">
        <v>3</v>
      </c>
      <c r="F85" s="72" t="n">
        <v>0.01</v>
      </c>
      <c r="H85" t="inlineStr">
        <is>
          <t>3pence from Richard ate Wod' for the same.</t>
        </is>
      </c>
    </row>
    <row r="86">
      <c r="A86" t="inlineStr">
        <is>
          <t>Entry fines and perquisites of court</t>
        </is>
      </c>
      <c r="B86" t="n">
        <v>0</v>
      </c>
      <c r="C86" t="n">
        <v>0</v>
      </c>
      <c r="D86" t="n">
        <v>6</v>
      </c>
      <c r="F86" s="72" t="n">
        <v>0.03</v>
      </c>
      <c r="H86" t="inlineStr">
        <is>
          <t>6pence from Matilda ate Feld' for the same.</t>
        </is>
      </c>
    </row>
    <row r="87">
      <c r="A87" t="inlineStr">
        <is>
          <t>Entry fines and perquisites of court</t>
        </is>
      </c>
      <c r="B87" t="n">
        <v>0</v>
      </c>
      <c r="C87" t="n">
        <v>0</v>
      </c>
      <c r="D87" t="n">
        <v>6</v>
      </c>
      <c r="F87" s="72" t="n">
        <v>0.03</v>
      </c>
      <c r="H87" t="inlineStr">
        <is>
          <t>6pence from Richard Hamund for the same.</t>
        </is>
      </c>
    </row>
    <row r="88">
      <c r="A88" t="inlineStr">
        <is>
          <t>Entry fines and perquisites of court</t>
        </is>
      </c>
      <c r="B88" t="n">
        <v>0</v>
      </c>
      <c r="C88" t="n">
        <v>0</v>
      </c>
      <c r="D88" t="n">
        <v>3</v>
      </c>
      <c r="F88" s="72" t="n">
        <v>0.01</v>
      </c>
      <c r="H88" t="inlineStr">
        <is>
          <t>3pence from Thomas Sewyn' for the same.</t>
        </is>
      </c>
    </row>
    <row r="89">
      <c r="A89" t="inlineStr">
        <is>
          <t>Entry fines and perquisites of court</t>
        </is>
      </c>
      <c r="B89" t="n">
        <v>0</v>
      </c>
      <c r="C89" t="n">
        <v>0</v>
      </c>
      <c r="D89" t="n">
        <v>3</v>
      </c>
      <c r="F89" s="72" t="n">
        <v>0.01</v>
      </c>
      <c r="H89" t="inlineStr">
        <is>
          <t>3pence from Alice le Wyn'.</t>
        </is>
      </c>
    </row>
    <row r="90">
      <c r="A90" t="inlineStr">
        <is>
          <t>Entry fines and perquisites of court</t>
        </is>
      </c>
      <c r="B90" t="n">
        <v>0</v>
      </c>
      <c r="C90" t="n">
        <v>0</v>
      </c>
      <c r="D90" t="n">
        <v>3</v>
      </c>
      <c r="F90" s="72" t="n">
        <v>0.01</v>
      </c>
      <c r="H90" t="inlineStr">
        <is>
          <t>3pence from John atte Barre for the same.</t>
        </is>
      </c>
    </row>
    <row r="91">
      <c r="A91" t="inlineStr">
        <is>
          <t>Entry fines and perquisites of court</t>
        </is>
      </c>
      <c r="B91" t="n">
        <v>0</v>
      </c>
      <c r="C91" t="n">
        <v>0</v>
      </c>
      <c r="D91" t="n">
        <v>3</v>
      </c>
      <c r="F91" s="72" t="n">
        <v>0.01</v>
      </c>
      <c r="H91" t="inlineStr">
        <is>
          <t>3pence from Alice Bronnemay for the same.</t>
        </is>
      </c>
    </row>
    <row r="92">
      <c r="A92" t="inlineStr">
        <is>
          <t>Entry fines and perquisites of court</t>
        </is>
      </c>
      <c r="B92" t="n">
        <v>0</v>
      </c>
      <c r="C92" t="n">
        <v>0</v>
      </c>
      <c r="D92" t="n">
        <v>3</v>
      </c>
      <c r="F92" s="72" t="n">
        <v>0.01</v>
      </c>
      <c r="H92" t="inlineStr">
        <is>
          <t>3pence from Agnes ate Mull' for the same.</t>
        </is>
      </c>
    </row>
    <row r="93">
      <c r="A93" t="inlineStr">
        <is>
          <t>Entry fines and perquisites of court</t>
        </is>
      </c>
      <c r="B93" t="n">
        <v>0</v>
      </c>
      <c r="C93" t="n">
        <v>0</v>
      </c>
      <c r="D93" t="n">
        <v>3</v>
      </c>
      <c r="F93" s="72" t="n">
        <v>0.01</v>
      </c>
      <c r="H93" t="inlineStr">
        <is>
          <t>3pence from Roger Molendinarius for the same.</t>
        </is>
      </c>
    </row>
    <row r="94">
      <c r="A94" t="inlineStr">
        <is>
          <t>Entry fines and perquisites of court</t>
        </is>
      </c>
      <c r="B94" t="n">
        <v>0</v>
      </c>
      <c r="C94" t="n">
        <v>0</v>
      </c>
      <c r="D94" t="n">
        <v>3</v>
      </c>
      <c r="F94" s="72" t="n">
        <v>0.01</v>
      </c>
      <c r="H94" t="inlineStr">
        <is>
          <t>3pence from William de Wexford' for the same.</t>
        </is>
      </c>
    </row>
    <row r="95">
      <c r="A95" t="inlineStr">
        <is>
          <t>Entry fines and perquisites of court</t>
        </is>
      </c>
      <c r="B95" t="n">
        <v>0</v>
      </c>
      <c r="C95" t="n">
        <v>0</v>
      </c>
      <c r="D95" t="n">
        <v>3</v>
      </c>
      <c r="F95" s="72" t="n">
        <v>0.01</v>
      </c>
      <c r="H95" t="inlineStr">
        <is>
          <t>3pence from Thomas ate Frith' for the same.</t>
        </is>
      </c>
    </row>
    <row r="96">
      <c r="A96" t="inlineStr">
        <is>
          <t>Entry fines and perquisites of court</t>
        </is>
      </c>
      <c r="B96" t="n">
        <v>0</v>
      </c>
      <c r="C96" t="n">
        <v>0</v>
      </c>
      <c r="D96" t="n">
        <v>3</v>
      </c>
      <c r="F96" s="72" t="n">
        <v>0.01</v>
      </c>
      <c r="H96" t="inlineStr">
        <is>
          <t>3pence from Alexander le Vinerun for the same.</t>
        </is>
      </c>
    </row>
    <row r="97">
      <c r="A97" t="inlineStr">
        <is>
          <t>Entry fines and perquisites of court</t>
        </is>
      </c>
      <c r="B97" t="n">
        <v>0</v>
      </c>
      <c r="C97" t="n">
        <v>0</v>
      </c>
      <c r="D97" t="n">
        <v>3</v>
      </c>
      <c r="F97" s="72" t="n">
        <v>0.01</v>
      </c>
      <c r="H97" t="inlineStr">
        <is>
          <t>3pence from Robert ate Frith' for trespass made by 1 cow in the lord's wood.</t>
        </is>
      </c>
    </row>
    <row r="98">
      <c r="A98" t="inlineStr">
        <is>
          <t>Entry fines and perquisites of court</t>
        </is>
      </c>
      <c r="B98" t="n">
        <v>0</v>
      </c>
      <c r="C98" t="n">
        <v>1</v>
      </c>
      <c r="D98" t="n">
        <v>0</v>
      </c>
      <c r="F98" s="72" t="n">
        <v>0.05</v>
      </c>
      <c r="H98" t="inlineStr">
        <is>
          <t>1 shilling from John Selueyn for the same by 3 cows.</t>
        </is>
      </c>
    </row>
    <row r="99">
      <c r="A99" t="inlineStr">
        <is>
          <t>Entry fines and perquisites of court</t>
        </is>
      </c>
      <c r="B99" t="n">
        <v>0</v>
      </c>
      <c r="C99" t="n">
        <v>1</v>
      </c>
      <c r="D99" t="n">
        <v>0</v>
      </c>
      <c r="F99" s="72" t="n">
        <v>0.05</v>
      </c>
      <c r="H99" t="inlineStr">
        <is>
          <t>1 shilling from the same John for transgression against Richard ate Barre.</t>
        </is>
      </c>
    </row>
    <row r="100">
      <c r="A100" t="inlineStr">
        <is>
          <t>Entry fines and perquisites of court</t>
        </is>
      </c>
      <c r="B100" t="n">
        <v>0</v>
      </c>
      <c r="C100" t="n">
        <v>0</v>
      </c>
      <c r="D100" t="n">
        <v>6</v>
      </c>
      <c r="F100" s="72" t="n">
        <v>0.03</v>
      </c>
      <c r="H100" t="inlineStr">
        <is>
          <t>6pence from Richard ate Barre for trespass in the lord's wood by his beasts (best').</t>
        </is>
      </c>
    </row>
    <row r="101">
      <c r="A101" t="inlineStr">
        <is>
          <t>Entry fines and perquisites of court</t>
        </is>
      </c>
      <c r="B101" t="n">
        <v>0</v>
      </c>
      <c r="C101" t="n">
        <v>0</v>
      </c>
      <c r="D101" t="n">
        <v>6</v>
      </c>
      <c r="F101" s="72" t="n">
        <v>0.03</v>
      </c>
      <c r="H101" t="inlineStr">
        <is>
          <t>6pence from John Derlyng' for 2 plough-horses in the lord's wood.</t>
        </is>
      </c>
    </row>
    <row r="102">
      <c r="A102" t="inlineStr">
        <is>
          <t>Entry fines and perquisites of court</t>
        </is>
      </c>
      <c r="B102" t="n">
        <v>0</v>
      </c>
      <c r="C102" t="n">
        <v>0</v>
      </c>
      <c r="D102" t="n">
        <v>6</v>
      </c>
      <c r="F102" s="72" t="n">
        <v>0.03</v>
      </c>
      <c r="H102" t="inlineStr">
        <is>
          <t>6pence from Richard le Rotur for breaking a certain agreement between himself and John Selueyn.</t>
        </is>
      </c>
    </row>
    <row r="103">
      <c r="A103" t="inlineStr">
        <is>
          <t>Entry fines and perquisites of court</t>
        </is>
      </c>
      <c r="B103" t="n">
        <v>2</v>
      </c>
      <c r="C103" t="n">
        <v>3</v>
      </c>
      <c r="D103" t="n">
        <v>1</v>
      </c>
      <c r="F103" s="72" t="n">
        <v>2.15</v>
      </c>
      <c r="H103" t="inlineStr">
        <is>
          <t>Total, £2 3 shilling 1pence</t>
        </is>
      </c>
    </row>
    <row r="104">
      <c r="A104" t="inlineStr">
        <is>
          <t>Entry fines and perquisites of court</t>
        </is>
      </c>
      <c r="F104" s="72" t="n">
        <v>2.16</v>
      </c>
      <c r="G104" s="129" t="n">
        <v>0.01000000000000023</v>
      </c>
      <c r="H104" t="inlineStr">
        <is>
          <t>Total</t>
        </is>
      </c>
    </row>
    <row r="105"/>
    <row r="106">
      <c r="A106" t="inlineStr">
        <is>
          <t>Hall of Kingston</t>
        </is>
      </c>
      <c r="B106" t="n">
        <v>0</v>
      </c>
      <c r="C106" t="n">
        <v>1</v>
      </c>
      <c r="D106" t="n">
        <v>6</v>
      </c>
      <c r="F106" s="72" t="n">
        <v>0.08</v>
      </c>
      <c r="H106" t="inlineStr">
        <is>
          <t>The same renders account for 1 shilling 6pence from the brewers of Kingston because they sold ale against the assize.</t>
        </is>
      </c>
    </row>
    <row r="107">
      <c r="A107" t="inlineStr">
        <is>
          <t>Hall of Kingston</t>
        </is>
      </c>
      <c r="B107" t="n">
        <v>0</v>
      </c>
      <c r="C107" t="n">
        <v>1</v>
      </c>
      <c r="D107" t="n">
        <v>6</v>
      </c>
      <c r="F107" s="72" t="n">
        <v>0.08</v>
      </c>
      <c r="H107" t="inlineStr">
        <is>
          <t>Total, 1 shilling 6pence</t>
        </is>
      </c>
    </row>
    <row r="108">
      <c r="A108" t="inlineStr">
        <is>
          <t>Hall of Kingston</t>
        </is>
      </c>
      <c r="F108" s="72" t="n">
        <v>0.08</v>
      </c>
      <c r="G108" s="129" t="n">
        <v>0</v>
      </c>
      <c r="H108" t="inlineStr">
        <is>
          <t>Total</t>
        </is>
      </c>
    </row>
    <row r="109"/>
    <row r="110">
      <c r="A110" t="inlineStr">
        <is>
          <t>Total of all receipts</t>
        </is>
      </c>
      <c r="B110" t="n">
        <v>17</v>
      </c>
      <c r="C110" t="n">
        <v>9</v>
      </c>
      <c r="D110" t="n">
        <v>3.75</v>
      </c>
      <c r="F110" s="72" t="n">
        <v>17.47</v>
      </c>
      <c r="H110" t="inlineStr">
        <is>
          <t>Total of all receipts, £17 9 shilling 3.75pence</t>
        </is>
      </c>
    </row>
    <row r="111">
      <c r="F111" s="72">
        <f>F108+F104+F56+F50+F45+F23+F19</f>
        <v/>
      </c>
      <c r="H111" t="inlineStr">
        <is>
          <t>Total (without arrears)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8"/>
  <sheetViews>
    <sheetView topLeftCell="A1" workbookViewId="0">
      <selection activeCell="A1" sqref="A1"/>
    </sheetView>
  </sheetViews>
  <sheetFormatPr baseColWidth="8" defaultRowHeight="15"/>
  <cols>
    <col width="32.1640625" customWidth="1" min="1" max="1"/>
    <col width="12.83203125" customWidth="1" min="5" max="5"/>
    <col width="8.83203125" customWidth="1" min="6" max="6"/>
    <col width="8.83203125" customWidth="1" min="7" max="7"/>
  </cols>
  <sheetData>
    <row r="1" ht="16" customHeight="1">
      <c r="A1" s="2" t="inlineStr">
        <is>
          <t>ESHER EXPENSES</t>
        </is>
      </c>
    </row>
    <row r="2" ht="16" customHeight="1">
      <c r="A2" s="11" t="inlineStr">
        <is>
          <t>Heading</t>
        </is>
      </c>
      <c r="B2" s="33" t="inlineStr">
        <is>
          <t>£</t>
        </is>
      </c>
      <c r="C2" s="34" t="inlineStr">
        <is>
          <t xml:space="preserve">s </t>
        </is>
      </c>
      <c r="D2" s="34" t="inlineStr">
        <is>
          <t>d</t>
        </is>
      </c>
      <c r="E2" s="32" t="n"/>
      <c r="F2" s="35" t="inlineStr">
        <is>
          <t>Total in £</t>
        </is>
      </c>
      <c r="G2" s="130" t="inlineStr">
        <is>
          <t>Error</t>
        </is>
      </c>
      <c r="H2" s="11" t="inlineStr">
        <is>
          <t>Sentence</t>
        </is>
      </c>
    </row>
    <row r="3">
      <c r="A3" t="inlineStr">
        <is>
          <t>Cost of ploughs</t>
        </is>
      </c>
      <c r="B3" t="n">
        <v>0</v>
      </c>
      <c r="C3" t="n">
        <v>0</v>
      </c>
      <c r="D3" t="n">
        <v>6</v>
      </c>
      <c r="F3" s="72" t="n">
        <v>0.03</v>
      </c>
      <c r="H3" t="inlineStr">
        <is>
          <t>In 2 plough feet bought and fitted to the ploughs 6pence.</t>
        </is>
      </c>
    </row>
    <row r="4">
      <c r="A4" t="inlineStr">
        <is>
          <t>Cost of ploughs</t>
        </is>
      </c>
      <c r="B4" t="n">
        <v>0</v>
      </c>
      <c r="C4" t="n">
        <v>0</v>
      </c>
      <c r="D4" t="n">
        <v>4</v>
      </c>
      <c r="F4" s="72" t="n">
        <v>0.02</v>
      </c>
      <c r="H4" t="inlineStr">
        <is>
          <t>1 pair of wheels bought for the ploughs 4pence.</t>
        </is>
      </c>
    </row>
    <row r="5">
      <c r="A5" t="inlineStr">
        <is>
          <t>Cost of ploughs</t>
        </is>
      </c>
      <c r="B5" t="n">
        <v>0</v>
      </c>
      <c r="C5" t="n">
        <v>4</v>
      </c>
      <c r="D5" t="n">
        <v>0</v>
      </c>
      <c r="F5" s="72" t="n">
        <v>0.2</v>
      </c>
      <c r="H5" t="inlineStr">
        <is>
          <t>stipend of the smith repairing the ironwork of the ploughs for the year 4 shilling.</t>
        </is>
      </c>
    </row>
    <row r="6">
      <c r="A6" t="inlineStr">
        <is>
          <t>Cost of ploughs</t>
        </is>
      </c>
      <c r="B6" t="n">
        <v>0</v>
      </c>
      <c r="C6" t="n">
        <v>0</v>
      </c>
      <c r="D6" t="n">
        <v>3</v>
      </c>
      <c r="F6" s="72" t="n">
        <v>0.01</v>
      </c>
      <c r="H6" t="inlineStr">
        <is>
          <t>32 herrings bought for 16 harrowers at the sowing of the oats, 3pence this year, and each had 2 herrings.</t>
        </is>
      </c>
    </row>
    <row r="7">
      <c r="A7" t="inlineStr">
        <is>
          <t>Cost of ploughs</t>
        </is>
      </c>
      <c r="B7" t="n">
        <v>0</v>
      </c>
      <c r="C7" t="n">
        <v>6</v>
      </c>
      <c r="D7" t="n">
        <v>0</v>
      </c>
      <c r="F7" s="72" t="n">
        <v>0.3</v>
      </c>
      <c r="H7" t="inlineStr">
        <is>
          <t>stipend of the ploughman for the year 6 shilling.</t>
        </is>
      </c>
    </row>
    <row r="8">
      <c r="A8" t="inlineStr">
        <is>
          <t>Cost of ploughs</t>
        </is>
      </c>
      <c r="B8" t="n">
        <v>0</v>
      </c>
      <c r="C8" t="n">
        <v>5</v>
      </c>
      <c r="D8" t="n">
        <v>0</v>
      </c>
      <c r="F8" s="72">
        <f>B8+C8/20+D8/240</f>
        <v/>
      </c>
      <c r="H8" t="inlineStr">
        <is>
          <t xml:space="preserve">stipend of the drover for the year 5 shilling </t>
        </is>
      </c>
    </row>
    <row r="9">
      <c r="A9" t="inlineStr">
        <is>
          <t>Cost of ploughs</t>
        </is>
      </c>
      <c r="B9" t="n">
        <v>0</v>
      </c>
      <c r="C9" t="n">
        <v>16</v>
      </c>
      <c r="D9" t="n">
        <v>1</v>
      </c>
      <c r="F9" s="72">
        <f>B9+C9/20+D9/240</f>
        <v/>
      </c>
      <c r="H9" t="inlineStr">
        <is>
          <t>Total, 16 shilling 1pence</t>
        </is>
      </c>
    </row>
    <row r="10">
      <c r="A10" t="inlineStr">
        <is>
          <t>Cost of ploughs</t>
        </is>
      </c>
      <c r="F10" s="72">
        <f>SUM(F3:F8)</f>
        <v/>
      </c>
      <c r="G10" s="129">
        <f>F10-F9</f>
        <v/>
      </c>
      <c r="H10" t="inlineStr">
        <is>
          <t>Total</t>
        </is>
      </c>
    </row>
    <row r="11"/>
    <row r="12"/>
    <row r="13">
      <c r="A13" t="inlineStr">
        <is>
          <t>Purchase of barley</t>
        </is>
      </c>
      <c r="B13" t="n">
        <v>0</v>
      </c>
      <c r="C13" t="n">
        <v>0</v>
      </c>
      <c r="D13" t="n">
        <v>0</v>
      </c>
      <c r="F13" s="72" t="n">
        <v>0</v>
      </c>
      <c r="H13" t="inlineStr">
        <is>
          <t>In 25 quarters 5 bushels of barley bought for the liveries of the manorial servants and the</t>
        </is>
      </c>
    </row>
    <row r="14">
      <c r="A14" t="inlineStr">
        <is>
          <t>Purchase of barley</t>
        </is>
      </c>
      <c r="B14" t="n">
        <v>4</v>
      </c>
      <c r="C14" t="n">
        <v>5</v>
      </c>
      <c r="D14" t="n">
        <v>5</v>
      </c>
      <c r="F14" s="72" t="n">
        <v>4.27</v>
      </c>
      <c r="H14" t="inlineStr">
        <is>
          <t>provision of the harvest £4 5 shilling 5pence, at 3 shilling 4pence a qr.</t>
        </is>
      </c>
    </row>
    <row r="15">
      <c r="A15" t="inlineStr">
        <is>
          <t>Purchase of barley</t>
        </is>
      </c>
      <c r="B15" t="n">
        <v>4</v>
      </c>
      <c r="C15" t="n">
        <v>5</v>
      </c>
      <c r="D15" t="n">
        <v>5</v>
      </c>
      <c r="F15" s="72" t="n">
        <v>4.27</v>
      </c>
      <c r="H15" t="inlineStr">
        <is>
          <t>Total, £4 5 shilling 5pence</t>
        </is>
      </c>
    </row>
    <row r="16">
      <c r="A16" t="inlineStr">
        <is>
          <t>Purchase of barley</t>
        </is>
      </c>
      <c r="F16" s="72" t="n">
        <v>4.27</v>
      </c>
      <c r="G16" s="129" t="n">
        <v>0</v>
      </c>
      <c r="H16" t="inlineStr">
        <is>
          <t>Total</t>
        </is>
      </c>
    </row>
    <row r="17"/>
    <row r="18"/>
    <row r="19">
      <c r="A19" t="inlineStr">
        <is>
          <t>Cost of carts</t>
        </is>
      </c>
      <c r="B19" t="n">
        <v>0</v>
      </c>
      <c r="C19" t="n">
        <v>1</v>
      </c>
      <c r="D19" t="n">
        <v>8</v>
      </c>
      <c r="F19" s="72" t="n">
        <v>0.08</v>
      </c>
      <c r="H19" t="inlineStr">
        <is>
          <t>In 1 pair of wheels bought for the cart 1 shilling 8pence.</t>
        </is>
      </c>
    </row>
    <row r="20">
      <c r="A20" t="inlineStr">
        <is>
          <t>Cost of carts</t>
        </is>
      </c>
      <c r="B20" t="n">
        <v>0</v>
      </c>
      <c r="C20" t="n">
        <v>1</v>
      </c>
      <c r="D20" t="n">
        <v>0</v>
      </c>
      <c r="F20" s="72" t="n">
        <v>0.05</v>
      </c>
      <c r="H20" t="inlineStr">
        <is>
          <t>clouts and nails bought for the cart 1 shilling.</t>
        </is>
      </c>
    </row>
    <row r="21">
      <c r="A21" t="inlineStr">
        <is>
          <t>Cost of carts</t>
        </is>
      </c>
      <c r="B21" t="n">
        <v>0</v>
      </c>
      <c r="C21" t="n">
        <v>0</v>
      </c>
      <c r="D21" t="n">
        <v>4</v>
      </c>
      <c r="F21" s="72" t="n">
        <v>0.02</v>
      </c>
      <c r="H21" t="inlineStr">
        <is>
          <t>grease bought for the same 4pence.</t>
        </is>
      </c>
    </row>
    <row r="22">
      <c r="A22" t="inlineStr">
        <is>
          <t>Cost of carts</t>
        </is>
      </c>
      <c r="B22" t="n">
        <v>0</v>
      </c>
      <c r="C22" t="n">
        <v>0</v>
      </c>
      <c r="D22" t="n">
        <v>8</v>
      </c>
      <c r="F22" s="72" t="n">
        <v>0.03</v>
      </c>
      <c r="H22" t="inlineStr">
        <is>
          <t>1 hemp rope bought to tie the cart 8pence.</t>
        </is>
      </c>
    </row>
    <row r="23">
      <c r="A23" t="inlineStr">
        <is>
          <t>Cost of carts</t>
        </is>
      </c>
      <c r="B23" t="n">
        <v>0</v>
      </c>
      <c r="C23" t="n">
        <v>0</v>
      </c>
      <c r="D23" t="n">
        <v>6</v>
      </c>
      <c r="F23" s="72" t="n">
        <v>0.03</v>
      </c>
      <c r="H23" t="inlineStr">
        <is>
          <t>1 saddle with saddle-pads bought for the cart 6pence.</t>
        </is>
      </c>
    </row>
    <row r="24">
      <c r="A24" t="inlineStr">
        <is>
          <t>Cost of carts</t>
        </is>
      </c>
      <c r="B24" t="n">
        <v>0</v>
      </c>
      <c r="C24" t="n">
        <v>1</v>
      </c>
      <c r="D24" t="n">
        <v>2</v>
      </c>
      <c r="F24" s="72" t="n">
        <v>0.06</v>
      </c>
      <c r="H24" t="inlineStr">
        <is>
          <t>shoeing the horses, 1 shilling 2pence this year.</t>
        </is>
      </c>
    </row>
    <row r="25">
      <c r="A25" t="inlineStr">
        <is>
          <t>Cost of carts</t>
        </is>
      </c>
      <c r="B25" t="n">
        <v>0</v>
      </c>
      <c r="C25" t="n">
        <v>7</v>
      </c>
      <c r="D25" t="n">
        <v>3.5</v>
      </c>
      <c r="F25" s="72" t="n">
        <v>0.36</v>
      </c>
      <c r="H25" t="inlineStr">
        <is>
          <t xml:space="preserve">1 horse bought 7 shilling 3.5pence </t>
        </is>
      </c>
    </row>
    <row r="26">
      <c r="A26" t="inlineStr">
        <is>
          <t>Cost of carts</t>
        </is>
      </c>
      <c r="C26" t="n">
        <v>12</v>
      </c>
      <c r="D26" t="n">
        <v>7.5</v>
      </c>
      <c r="F26" s="72">
        <f>B26+C26/20+D267247</f>
        <v/>
      </c>
      <c r="H26" t="inlineStr">
        <is>
          <t>Total, 12 shilling 7.5pence</t>
        </is>
      </c>
    </row>
    <row r="27">
      <c r="A27" t="inlineStr">
        <is>
          <t>Cost of carts</t>
        </is>
      </c>
      <c r="F27" s="72">
        <f>SUM(F19:F25)</f>
        <v/>
      </c>
      <c r="G27" s="129">
        <f>F27-F26</f>
        <v/>
      </c>
      <c r="H27" t="inlineStr">
        <is>
          <t>Total</t>
        </is>
      </c>
    </row>
    <row r="28"/>
    <row r="29"/>
    <row r="30">
      <c r="A30" t="inlineStr">
        <is>
          <t>Small necessaries</t>
        </is>
      </c>
      <c r="B30" t="n">
        <v>0</v>
      </c>
      <c r="C30" t="n">
        <v>0</v>
      </c>
      <c r="D30" t="n">
        <v>3.5</v>
      </c>
      <c r="F30" s="72" t="n">
        <v>0.01</v>
      </c>
      <c r="H30" t="inlineStr">
        <is>
          <t>In 1 bushels of salt bought 3.5pence.</t>
        </is>
      </c>
    </row>
    <row r="31">
      <c r="A31" t="inlineStr">
        <is>
          <t>Small necessaries</t>
        </is>
      </c>
      <c r="B31" t="n">
        <v>0</v>
      </c>
      <c r="C31" t="n">
        <v>1</v>
      </c>
      <c r="D31" t="n">
        <v>3</v>
      </c>
      <c r="F31" s="72" t="n">
        <v>0.06</v>
      </c>
      <c r="H31" t="inlineStr">
        <is>
          <t>5 ells of canvas bought for packing the wool of Esher 1 shilling 3pence, at 3pence an ell.</t>
        </is>
      </c>
    </row>
    <row r="32">
      <c r="A32" t="inlineStr">
        <is>
          <t>Small necessaries</t>
        </is>
      </c>
      <c r="B32" t="n">
        <v>0</v>
      </c>
      <c r="C32" t="n">
        <v>0</v>
      </c>
      <c r="D32" t="n">
        <v>4</v>
      </c>
      <c r="F32" s="72" t="n">
        <v>0.02</v>
      </c>
      <c r="H32" t="inlineStr">
        <is>
          <t>expenses for carrying the wool of Esher to Wolvesey 4pence.</t>
        </is>
      </c>
    </row>
    <row r="33">
      <c r="A33" t="inlineStr">
        <is>
          <t>Small necessaries</t>
        </is>
      </c>
      <c r="B33" t="n">
        <v>0</v>
      </c>
      <c r="C33" t="n">
        <v>0</v>
      </c>
      <c r="D33" t="n">
        <v>6</v>
      </c>
      <c r="F33" s="72">
        <f>B33+C33/20+D33/240</f>
        <v/>
      </c>
      <c r="H33" t="inlineStr">
        <is>
          <t xml:space="preserve">4 trestles made to support the lord's table 6pence </t>
        </is>
      </c>
    </row>
    <row r="34">
      <c r="A34" t="inlineStr">
        <is>
          <t>Small necessaries</t>
        </is>
      </c>
      <c r="B34" t="n">
        <v>0</v>
      </c>
      <c r="C34" t="n">
        <v>2</v>
      </c>
      <c r="D34" t="n">
        <v>4.5</v>
      </c>
      <c r="F34" s="72">
        <f>B34+C34/20+D34/240</f>
        <v/>
      </c>
      <c r="H34" t="inlineStr">
        <is>
          <t>Total, 2 shilling 4.5pence</t>
        </is>
      </c>
    </row>
    <row r="35">
      <c r="A35" t="inlineStr">
        <is>
          <t>Small necessaries</t>
        </is>
      </c>
      <c r="F35" s="72">
        <f>SUM(F30:F33)</f>
        <v/>
      </c>
      <c r="G35" s="129">
        <f>F35-F34</f>
        <v/>
      </c>
      <c r="H35" t="inlineStr">
        <is>
          <t>Total</t>
        </is>
      </c>
    </row>
    <row r="36"/>
    <row r="37"/>
    <row r="38">
      <c r="A38" t="inlineStr">
        <is>
          <t>Repair of buildings</t>
        </is>
      </c>
      <c r="B38" t="n">
        <v>0</v>
      </c>
      <c r="C38" t="n">
        <v>0</v>
      </c>
      <c r="D38" t="n">
        <v>6</v>
      </c>
      <c r="F38" s="72" t="n">
        <v>0.03</v>
      </c>
      <c r="H38" t="inlineStr">
        <is>
          <t>In stipend of 2 carpenters mending the great gate for 1 day 6pence.</t>
        </is>
      </c>
    </row>
    <row r="39">
      <c r="A39" t="inlineStr">
        <is>
          <t>Repair of buildings</t>
        </is>
      </c>
      <c r="B39" t="n">
        <v>0</v>
      </c>
      <c r="C39" t="n">
        <v>0</v>
      </c>
      <c r="D39" t="n">
        <v>2</v>
      </c>
      <c r="F39" s="72" t="n">
        <v>0.01</v>
      </c>
      <c r="H39" t="inlineStr">
        <is>
          <t>50 board-nails bought for the same 2pence.</t>
        </is>
      </c>
    </row>
    <row r="40">
      <c r="A40" t="inlineStr">
        <is>
          <t>Repair of buildings</t>
        </is>
      </c>
      <c r="B40" t="n">
        <v>0</v>
      </c>
      <c r="C40" t="n">
        <v>1</v>
      </c>
      <c r="D40" t="n">
        <v>3</v>
      </c>
      <c r="F40" s="72" t="n">
        <v>0.06</v>
      </c>
      <c r="H40" t="inlineStr">
        <is>
          <t>stipend of 2 carpenters mending the bridge at the kitchen-door for 2 days by piece-work 1 shilling, each of them taking 3pence a day.</t>
        </is>
      </c>
    </row>
    <row r="41">
      <c r="A41" t="inlineStr">
        <is>
          <t>Repair of buildings</t>
        </is>
      </c>
      <c r="B41" t="n">
        <v>0</v>
      </c>
      <c r="C41" t="n">
        <v>1</v>
      </c>
      <c r="D41" t="n">
        <v>6</v>
      </c>
      <c r="F41" s="72" t="n">
        <v>0.08</v>
      </c>
      <c r="H41" t="inlineStr">
        <is>
          <t>500 (di' miliar') tiles bought for tiling the hall, chapel and bishop's chamber where it was absolutely necessary 1 shilling 6pence.</t>
        </is>
      </c>
    </row>
    <row r="42">
      <c r="A42" t="inlineStr">
        <is>
          <t>Repair of buildings</t>
        </is>
      </c>
      <c r="B42" t="n">
        <v>0</v>
      </c>
      <c r="C42" t="n">
        <v>1</v>
      </c>
      <c r="D42" t="n">
        <v>6</v>
      </c>
      <c r="F42" s="72" t="n">
        <v>0.08</v>
      </c>
      <c r="H42" t="inlineStr">
        <is>
          <t>stipend of 1 tiler on the hall, chapel and bishop's chamber for 3 days 1 shilling 6pence, taking 6pence a day.</t>
        </is>
      </c>
    </row>
    <row r="43">
      <c r="A43" t="inlineStr">
        <is>
          <t>Repair of buildings</t>
        </is>
      </c>
      <c r="B43" t="n">
        <v>0</v>
      </c>
      <c r="C43" t="n">
        <v>0</v>
      </c>
      <c r="D43" t="n">
        <v>6</v>
      </c>
      <c r="F43" s="72" t="n">
        <v>0.03</v>
      </c>
      <c r="H43" t="inlineStr">
        <is>
          <t>stipend of 1 carpenter mending the walls of the byre and the walls of the squires' room for 2 days 6pence.</t>
        </is>
      </c>
    </row>
    <row r="44">
      <c r="A44" t="inlineStr">
        <is>
          <t>Repair of buildings</t>
        </is>
      </c>
      <c r="B44" t="n">
        <v>0</v>
      </c>
      <c r="C44" t="n">
        <v>0</v>
      </c>
      <c r="D44" t="n">
        <v>8</v>
      </c>
      <c r="F44" s="72" t="n">
        <v>0.03</v>
      </c>
      <c r="H44" t="inlineStr">
        <is>
          <t>stipend of 1 roofer with an assistant roofing the gatehouse for 2 days 8pence, taking 4pence a day.</t>
        </is>
      </c>
    </row>
    <row r="45">
      <c r="A45" t="inlineStr">
        <is>
          <t>Repair of buildings</t>
        </is>
      </c>
      <c r="B45" t="n">
        <v>0</v>
      </c>
      <c r="C45" t="n">
        <v>1</v>
      </c>
      <c r="D45" t="n">
        <v>3</v>
      </c>
      <c r="F45" s="72" t="n">
        <v>0.06</v>
      </c>
      <c r="H45" t="inlineStr">
        <is>
          <t>stipend of 1 carpenter at Nortwod' mending the sheepcote for 4 days 1 shilling, taking 3pence a day.</t>
        </is>
      </c>
    </row>
    <row r="46">
      <c r="A46" t="inlineStr">
        <is>
          <t>Repair of buildings</t>
        </is>
      </c>
      <c r="B46" t="n">
        <v>0</v>
      </c>
      <c r="C46" t="n">
        <v>1</v>
      </c>
      <c r="D46" t="n">
        <v>8</v>
      </c>
      <c r="F46" s="72" t="n">
        <v>0.08</v>
      </c>
      <c r="H46" t="inlineStr">
        <is>
          <t>stipend of 1 roofer with 1 assistant on the said sheepcote for 5 days 1 shilling 8pence, taking 4pence a day.</t>
        </is>
      </c>
    </row>
    <row r="47">
      <c r="A47" t="inlineStr">
        <is>
          <t>Repair of buildings</t>
        </is>
      </c>
      <c r="B47" t="n">
        <v>0</v>
      </c>
      <c r="C47" t="n">
        <v>9</v>
      </c>
      <c r="D47" t="n">
        <v>0</v>
      </c>
      <c r="F47" s="72" t="n">
        <v>0.45</v>
      </c>
      <c r="H47" t="inlineStr">
        <is>
          <t>Total, 9 shilling</t>
        </is>
      </c>
    </row>
    <row r="48">
      <c r="A48" t="inlineStr">
        <is>
          <t>Repair of buildings</t>
        </is>
      </c>
      <c r="F48" s="72" t="n">
        <v>0.4600000000000001</v>
      </c>
      <c r="G48" s="129" t="n">
        <v>0.01000000000000006</v>
      </c>
      <c r="H48" t="inlineStr">
        <is>
          <t>Total</t>
        </is>
      </c>
    </row>
    <row r="49"/>
    <row r="50"/>
    <row r="51">
      <c r="A51" t="inlineStr">
        <is>
          <t>Cost of the sheepfold (ovil')</t>
        </is>
      </c>
      <c r="B51" t="n">
        <v>0</v>
      </c>
      <c r="C51" t="n">
        <v>2</v>
      </c>
      <c r="D51" t="n">
        <v>3</v>
      </c>
      <c r="F51" s="72" t="n">
        <v>0.11</v>
      </c>
      <c r="H51" t="inlineStr">
        <is>
          <t>In 18 hurdles bought for the lord's sheepfold 2 shilling 3pence, at 1.5pence a hurdle.</t>
        </is>
      </c>
    </row>
    <row r="52">
      <c r="A52" t="inlineStr">
        <is>
          <t>Cost of the sheepfold (ovil')</t>
        </is>
      </c>
      <c r="B52" t="n">
        <v>0</v>
      </c>
      <c r="C52" t="n">
        <v>1</v>
      </c>
      <c r="D52" t="n">
        <v>6</v>
      </c>
      <c r="F52" s="72" t="n">
        <v>0.08</v>
      </c>
      <c r="H52" t="inlineStr">
        <is>
          <t>12 lb of grease bought to heal the sheep 1 shilling 6pence, at 1.5pence a lb.</t>
        </is>
      </c>
    </row>
    <row r="53">
      <c r="A53" t="inlineStr">
        <is>
          <t>Cost of the sheepfold (ovil')</t>
        </is>
      </c>
      <c r="B53" t="n">
        <v>0</v>
      </c>
      <c r="C53" t="n">
        <v>0</v>
      </c>
      <c r="D53" t="n">
        <v>10</v>
      </c>
      <c r="F53" s="72" t="n">
        <v>0.04</v>
      </c>
      <c r="H53" t="inlineStr">
        <is>
          <t>verdigris and copperas bought to heal the sheep 10pence.</t>
        </is>
      </c>
    </row>
    <row r="54">
      <c r="A54" t="inlineStr">
        <is>
          <t>Cost of the sheepfold (ovil')</t>
        </is>
      </c>
      <c r="B54" t="n">
        <v>0</v>
      </c>
      <c r="C54" t="n">
        <v>0</v>
      </c>
      <c r="D54" t="n">
        <v>5</v>
      </c>
      <c r="F54" s="72" t="n">
        <v>0.02</v>
      </c>
      <c r="H54" t="inlineStr">
        <is>
          <t>washing and shearing sheep besides those done by custom 5pence.</t>
        </is>
      </c>
    </row>
    <row r="55">
      <c r="A55" t="inlineStr">
        <is>
          <t>Cost of the sheepfold (ovil')</t>
        </is>
      </c>
      <c r="B55" t="n">
        <v>0</v>
      </c>
      <c r="C55" t="n">
        <v>0</v>
      </c>
      <c r="D55" t="n">
        <v>3</v>
      </c>
      <c r="F55" s="72" t="n">
        <v>0.01</v>
      </c>
      <c r="H55" t="inlineStr">
        <is>
          <t>washing and shearing lambs, 3pence this year.</t>
        </is>
      </c>
    </row>
    <row r="56">
      <c r="A56" t="inlineStr">
        <is>
          <t>Cost of the sheepfold (ovil')</t>
        </is>
      </c>
      <c r="B56" t="n">
        <v>0</v>
      </c>
      <c r="C56" t="n">
        <v>5</v>
      </c>
      <c r="D56" t="n">
        <v>0</v>
      </c>
      <c r="F56" s="72" t="n">
        <v>0.25</v>
      </c>
      <c r="H56" t="inlineStr">
        <is>
          <t>stipend of 1 shepherd for the year 5 shilling.</t>
        </is>
      </c>
    </row>
    <row r="57">
      <c r="A57" t="inlineStr">
        <is>
          <t>Cost of the sheepfold (ovil')</t>
        </is>
      </c>
      <c r="B57" t="n">
        <v>0</v>
      </c>
      <c r="C57" t="n">
        <v>3</v>
      </c>
      <c r="D57" t="n">
        <v>6</v>
      </c>
      <c r="F57" s="72" t="n">
        <v>0.17</v>
      </c>
      <c r="H57" t="inlineStr">
        <is>
          <t xml:space="preserve">stipend of 1 man keeping the animals at Northwod' and mending fences for the year 3 shilling 6pence </t>
        </is>
      </c>
    </row>
    <row r="58">
      <c r="A58" t="inlineStr">
        <is>
          <t>Cost of the sheepfold (ovil')</t>
        </is>
      </c>
      <c r="B58" t="n">
        <v>0</v>
      </c>
      <c r="C58" t="n">
        <v>13</v>
      </c>
      <c r="D58" t="n">
        <v>6</v>
      </c>
      <c r="F58" s="72">
        <f>B58+C58/20+D58/240</f>
        <v/>
      </c>
      <c r="H58" t="inlineStr">
        <is>
          <t>Total, 13 shilling 6pence</t>
        </is>
      </c>
    </row>
    <row r="59">
      <c r="A59" t="inlineStr">
        <is>
          <t>Cost of the sheepfold (ovil')</t>
        </is>
      </c>
      <c r="F59" s="72" t="n">
        <v>0.68</v>
      </c>
      <c r="G59" s="129">
        <f>F59-F58</f>
        <v/>
      </c>
      <c r="H59" t="inlineStr">
        <is>
          <t>Total</t>
        </is>
      </c>
    </row>
    <row r="60"/>
    <row r="61"/>
    <row r="62">
      <c r="A62" t="inlineStr">
        <is>
          <t>Threshing of corn</t>
        </is>
      </c>
      <c r="B62" t="n">
        <v>0</v>
      </c>
      <c r="C62" t="n">
        <v>4</v>
      </c>
      <c r="D62" t="n">
        <v>2</v>
      </c>
      <c r="F62" s="72" t="n">
        <v>0.21</v>
      </c>
      <c r="H62" t="inlineStr">
        <is>
          <t>In threshing 24 quarters of rye by piece-work 4 shilling, at 2pence a qr.</t>
        </is>
      </c>
    </row>
    <row r="63">
      <c r="A63" t="inlineStr">
        <is>
          <t>Threshing of corn</t>
        </is>
      </c>
      <c r="B63" t="n">
        <v>0</v>
      </c>
      <c r="C63" t="n">
        <v>0</v>
      </c>
      <c r="D63" t="n">
        <v>6.75</v>
      </c>
      <c r="F63" s="72" t="n">
        <v>0.03</v>
      </c>
      <c r="H63" t="inlineStr">
        <is>
          <t>threshing 4 quarters 5 bushels of barley by piece-work 6.75pence, at 1 .5pence a qr.</t>
        </is>
      </c>
    </row>
    <row r="64">
      <c r="A64" t="inlineStr">
        <is>
          <t>Threshing of corn</t>
        </is>
      </c>
      <c r="B64" t="n">
        <v>0</v>
      </c>
      <c r="C64" t="n">
        <v>3</v>
      </c>
      <c r="D64" t="n">
        <v>1</v>
      </c>
      <c r="F64" s="72" t="n">
        <v>0.15</v>
      </c>
      <c r="H64" t="inlineStr">
        <is>
          <t>threshing 36 quarters of oats by piece-work 3 shilling, at 1pence a qr.</t>
        </is>
      </c>
    </row>
    <row r="65">
      <c r="A65" t="inlineStr">
        <is>
          <t>Threshing of corn</t>
        </is>
      </c>
      <c r="B65" t="n">
        <v>0</v>
      </c>
      <c r="C65" t="n">
        <v>1</v>
      </c>
      <c r="D65" t="n">
        <v>4</v>
      </c>
      <c r="F65" s="72" t="n">
        <v>0.07000000000000001</v>
      </c>
      <c r="H65" t="inlineStr">
        <is>
          <t>winnowing the same corn 1 shilling 4pence, at 1pence per 4 quarters.</t>
        </is>
      </c>
    </row>
    <row r="66">
      <c r="A66" t="inlineStr">
        <is>
          <t>Threshing of corn</t>
        </is>
      </c>
      <c r="B66" t="n">
        <v>0</v>
      </c>
      <c r="C66" t="n">
        <v>8</v>
      </c>
      <c r="D66" t="n">
        <v>10.5</v>
      </c>
      <c r="F66" s="72" t="n">
        <v>0.44</v>
      </c>
      <c r="H66" t="inlineStr">
        <is>
          <t>Total, 8 shilling 10.5pence</t>
        </is>
      </c>
    </row>
    <row r="67">
      <c r="A67" t="inlineStr">
        <is>
          <t>Threshing of corn</t>
        </is>
      </c>
      <c r="F67" s="72" t="n">
        <v>0.46</v>
      </c>
      <c r="G67" s="129" t="n">
        <v>0.02000000000000002</v>
      </c>
      <c r="H67" t="inlineStr">
        <is>
          <t>Total</t>
        </is>
      </c>
    </row>
    <row r="68"/>
    <row r="69"/>
    <row r="70">
      <c r="A70" t="inlineStr">
        <is>
          <t>Mowing the meadows, weeding the corn</t>
        </is>
      </c>
      <c r="B70" t="n">
        <v>0</v>
      </c>
      <c r="C70" t="n">
        <v>0</v>
      </c>
      <c r="D70" t="n">
        <v>6</v>
      </c>
      <c r="F70" s="72" t="n">
        <v>0.03</v>
      </c>
      <c r="H70" t="inlineStr">
        <is>
          <t>In weeding the corn this year 6pence.</t>
        </is>
      </c>
    </row>
    <row r="71">
      <c r="A71" t="inlineStr">
        <is>
          <t>Mowing the meadows, weeding the corn</t>
        </is>
      </c>
      <c r="B71" t="n">
        <v>0</v>
      </c>
      <c r="C71" t="n">
        <v>0</v>
      </c>
      <c r="D71" t="n">
        <v>1</v>
      </c>
      <c r="F71" s="72" t="n">
        <v>0</v>
      </c>
      <c r="H71" t="inlineStr">
        <is>
          <t>mowing the said meadow of Brodemed' by custom, bread from stock and 1 wether with its skin from the said sheepfo1pence.</t>
        </is>
      </c>
    </row>
    <row r="72">
      <c r="A72" t="inlineStr">
        <is>
          <t>Mowing the meadows, weeding the corn</t>
        </is>
      </c>
      <c r="B72" t="n">
        <v>0</v>
      </c>
      <c r="C72" t="n">
        <v>0</v>
      </c>
      <c r="D72" t="n">
        <v>3</v>
      </c>
      <c r="F72" s="72" t="n">
        <v>0.01</v>
      </c>
      <c r="H72" t="inlineStr">
        <is>
          <t>cheese bought 3pence.</t>
        </is>
      </c>
    </row>
    <row r="73">
      <c r="A73" t="inlineStr">
        <is>
          <t>Mowing the meadows, weeding the corn</t>
        </is>
      </c>
      <c r="B73" t="n">
        <v>0</v>
      </c>
      <c r="C73" t="n">
        <v>1</v>
      </c>
      <c r="D73" t="n">
        <v>2</v>
      </c>
      <c r="F73" s="72" t="n">
        <v>0.06</v>
      </c>
      <c r="H73" t="inlineStr">
        <is>
          <t>mowing the meadow of Esher by piece-work besides that done by custom 1 shilling 2pence.</t>
        </is>
      </c>
    </row>
    <row r="74">
      <c r="A74" t="inlineStr">
        <is>
          <t>Mowing the meadows, weeding the corn</t>
        </is>
      </c>
      <c r="B74" t="n">
        <v>0</v>
      </c>
      <c r="C74" t="n">
        <v>0</v>
      </c>
      <c r="D74" t="n">
        <v>0</v>
      </c>
      <c r="F74" s="72" t="n">
        <v>0</v>
      </c>
      <c r="H74" t="inlineStr">
        <is>
          <t>carrying the hay of Brodemed' to the shed by custom, bread from stock.</t>
        </is>
      </c>
    </row>
    <row r="75">
      <c r="A75" t="inlineStr">
        <is>
          <t>Mowing the meadows, weeding the corn</t>
        </is>
      </c>
      <c r="B75" t="n">
        <v>0</v>
      </c>
      <c r="C75" t="n">
        <v>0</v>
      </c>
      <c r="D75" t="n">
        <v>4</v>
      </c>
      <c r="F75" s="72" t="n">
        <v>0.02</v>
      </c>
      <c r="H75" t="inlineStr">
        <is>
          <t>herrings bought 4pence.</t>
        </is>
      </c>
    </row>
    <row r="76">
      <c r="A76" t="inlineStr">
        <is>
          <t>Mowing the meadows, weeding the corn</t>
        </is>
      </c>
      <c r="B76" t="n">
        <v>0</v>
      </c>
      <c r="C76" t="n">
        <v>0</v>
      </c>
      <c r="D76" t="n">
        <v>8</v>
      </c>
      <c r="F76" s="72" t="n">
        <v>0.03</v>
      </c>
      <c r="H76" t="inlineStr">
        <is>
          <t>mowing the meadow of Northwod' by piece-work, 8pence this year.</t>
        </is>
      </c>
    </row>
    <row r="77">
      <c r="A77" t="inlineStr">
        <is>
          <t>Mowing the meadows, weeding the corn</t>
        </is>
      </c>
      <c r="B77" t="n">
        <v>0</v>
      </c>
      <c r="C77" t="n">
        <v>2</v>
      </c>
      <c r="D77" t="n">
        <v>11</v>
      </c>
      <c r="F77" s="72" t="n">
        <v>0.15</v>
      </c>
      <c r="H77" t="inlineStr">
        <is>
          <t>Total, 2 shilling 11pence</t>
        </is>
      </c>
    </row>
    <row r="78">
      <c r="A78" t="inlineStr">
        <is>
          <t>Mowing the meadows, weeding the corn</t>
        </is>
      </c>
      <c r="F78" s="72" t="n">
        <v>0.15</v>
      </c>
      <c r="G78" s="129" t="n">
        <v>0</v>
      </c>
      <c r="H78" t="inlineStr">
        <is>
          <t>Total</t>
        </is>
      </c>
    </row>
    <row r="79"/>
    <row r="80"/>
    <row r="81">
      <c r="A81" t="inlineStr">
        <is>
          <t>Cost of the harvest</t>
        </is>
      </c>
      <c r="B81" t="n">
        <v>0</v>
      </c>
      <c r="C81" t="n">
        <v>0</v>
      </c>
      <c r="D81" t="n">
        <v>0</v>
      </c>
      <c r="F81" s="72" t="n">
        <v>0</v>
      </c>
      <c r="H81" t="inlineStr">
        <is>
          <t>In 1 boon-work without ale of 23 men who reaped and bound the lord's corn, bread from stock.</t>
        </is>
      </c>
    </row>
    <row r="82">
      <c r="A82" t="inlineStr">
        <is>
          <t>Cost of the harvest</t>
        </is>
      </c>
      <c r="B82" t="n">
        <v>0</v>
      </c>
      <c r="C82" t="n">
        <v>0</v>
      </c>
      <c r="D82" t="n">
        <v>11</v>
      </c>
      <c r="F82" s="72" t="n">
        <v>0.05</v>
      </c>
      <c r="H82" t="inlineStr">
        <is>
          <t>138 herrings bought, 11pence this year, at 8pence a 100, and each had 3 herrings at noon and 3 at supper.</t>
        </is>
      </c>
    </row>
    <row r="83">
      <c r="A83" t="inlineStr">
        <is>
          <t>Cost of the harvest</t>
        </is>
      </c>
      <c r="B83" t="n">
        <v>0</v>
      </c>
      <c r="C83" t="n">
        <v>0</v>
      </c>
      <c r="D83" t="n">
        <v>0</v>
      </c>
      <c r="F83" s="72" t="n">
        <v>0</v>
      </c>
      <c r="H83" t="inlineStr">
        <is>
          <t>1 boon-work with ale of 28 men who reaped and bound the lord's corn, bread from stock.</t>
        </is>
      </c>
    </row>
    <row r="84">
      <c r="A84" t="inlineStr">
        <is>
          <t>Cost of the harvest</t>
        </is>
      </c>
      <c r="B84" t="n">
        <v>0</v>
      </c>
      <c r="C84" t="n">
        <v>2</v>
      </c>
      <c r="D84" t="n">
        <v>6</v>
      </c>
      <c r="F84" s="72" t="n">
        <v>0.12</v>
      </c>
      <c r="H84" t="inlineStr">
        <is>
          <t>ale bought 2 shilling 6pence.</t>
        </is>
      </c>
    </row>
    <row r="85">
      <c r="A85" t="inlineStr">
        <is>
          <t>Cost of the harvest</t>
        </is>
      </c>
      <c r="B85" t="n">
        <v>0</v>
      </c>
      <c r="C85" t="n">
        <v>0</v>
      </c>
      <c r="D85" t="n">
        <v>8</v>
      </c>
      <c r="F85" s="72" t="n">
        <v>0.03</v>
      </c>
      <c r="H85" t="inlineStr">
        <is>
          <t>100 herrings bought for noon 8pence.</t>
        </is>
      </c>
    </row>
    <row r="86">
      <c r="A86" t="inlineStr">
        <is>
          <t>Cost of the harvest</t>
        </is>
      </c>
      <c r="B86" t="n">
        <v>0</v>
      </c>
      <c r="C86" t="n">
        <v>2</v>
      </c>
      <c r="D86" t="n">
        <v>2</v>
      </c>
      <c r="F86" s="72" t="n">
        <v>0.11</v>
      </c>
      <c r="H86" t="inlineStr">
        <is>
          <t>meat bought 2 shilling 2pence.</t>
        </is>
      </c>
    </row>
    <row r="87">
      <c r="A87" t="inlineStr">
        <is>
          <t>Cost of the harvest</t>
        </is>
      </c>
      <c r="B87" t="n">
        <v>0</v>
      </c>
      <c r="C87" t="n">
        <v>0</v>
      </c>
      <c r="D87" t="n">
        <v>5</v>
      </c>
      <c r="F87" s="72" t="n">
        <v>0.02</v>
      </c>
      <c r="H87" t="inlineStr">
        <is>
          <t>wastel-bread bought for mortrel 1 .5pence.</t>
        </is>
      </c>
    </row>
    <row r="88">
      <c r="A88" t="inlineStr">
        <is>
          <t>Cost of the harvest</t>
        </is>
      </c>
      <c r="B88" t="n">
        <v>0</v>
      </c>
      <c r="C88" t="n">
        <v>0</v>
      </c>
      <c r="D88" t="n">
        <v>2</v>
      </c>
      <c r="F88" s="72" t="n">
        <v>0.01</v>
      </c>
      <c r="H88" t="inlineStr">
        <is>
          <t>milk bought for the same 2pence.</t>
        </is>
      </c>
    </row>
    <row r="89">
      <c r="A89" t="inlineStr">
        <is>
          <t>Cost of the harvest</t>
        </is>
      </c>
      <c r="B89" t="n">
        <v>0</v>
      </c>
      <c r="C89" t="n">
        <v>1</v>
      </c>
      <c r="D89" t="n">
        <v>0</v>
      </c>
      <c r="F89" s="72" t="n">
        <v>0.05</v>
      </c>
      <c r="H89" t="inlineStr">
        <is>
          <t>cheese bought for the whole harvest 1 shilling.</t>
        </is>
      </c>
    </row>
    <row r="90">
      <c r="A90" t="inlineStr">
        <is>
          <t>Cost of the harvest</t>
        </is>
      </c>
      <c r="B90" t="n">
        <v>0</v>
      </c>
      <c r="C90" t="n">
        <v>0</v>
      </c>
      <c r="D90" t="n">
        <v>1</v>
      </c>
      <c r="F90" s="72" t="n">
        <v>0</v>
      </c>
      <c r="H90" t="inlineStr">
        <is>
          <t>candles bought 1pence.</t>
        </is>
      </c>
    </row>
    <row r="91">
      <c r="A91" t="inlineStr">
        <is>
          <t>Cost of the harvest</t>
        </is>
      </c>
      <c r="B91" t="n">
        <v>0</v>
      </c>
      <c r="C91" t="n">
        <v>0</v>
      </c>
      <c r="D91" t="n">
        <v>0</v>
      </c>
      <c r="F91" s="72" t="n">
        <v>0</v>
      </c>
      <c r="H91" t="inlineStr">
        <is>
          <t>27 men hired for 1 day for 2 meals a day at Northwod' who reaped and bound the lord's corn.</t>
        </is>
      </c>
    </row>
    <row r="92">
      <c r="A92" t="inlineStr">
        <is>
          <t>Cost of the harvest</t>
        </is>
      </c>
      <c r="B92" t="n">
        <v>0</v>
      </c>
      <c r="C92" t="n">
        <v>0</v>
      </c>
      <c r="D92" t="n">
        <v>0</v>
      </c>
      <c r="F92" s="72" t="n">
        <v>0</v>
      </c>
      <c r="H92" t="inlineStr">
        <is>
          <t>Also in 26 men hired for 1 day for 2 meals a day at Northwod' who reaped and bound the lord's corn, bread from stock.</t>
        </is>
      </c>
    </row>
    <row r="93">
      <c r="A93" t="inlineStr">
        <is>
          <t>Cost of the harvest</t>
        </is>
      </c>
      <c r="B93" t="n">
        <v>0</v>
      </c>
      <c r="C93" t="n">
        <v>1</v>
      </c>
      <c r="D93" t="n">
        <v>2</v>
      </c>
      <c r="F93" s="72" t="n">
        <v>0.06</v>
      </c>
      <c r="H93" t="inlineStr">
        <is>
          <t>ale bought 1 shilling 2pence.</t>
        </is>
      </c>
    </row>
    <row r="94">
      <c r="A94" t="inlineStr">
        <is>
          <t>Cost of the harvest</t>
        </is>
      </c>
      <c r="B94" t="n">
        <v>0</v>
      </c>
      <c r="C94" t="n">
        <v>1</v>
      </c>
      <c r="D94" t="n">
        <v>7</v>
      </c>
      <c r="F94" s="72" t="n">
        <v>0.08</v>
      </c>
      <c r="H94" t="inlineStr">
        <is>
          <t>relish 1 shilling 7pence.</t>
        </is>
      </c>
    </row>
    <row r="95">
      <c r="A95" t="inlineStr">
        <is>
          <t>Cost of the harvest</t>
        </is>
      </c>
      <c r="B95" t="n">
        <v>0</v>
      </c>
      <c r="C95" t="n">
        <v>4</v>
      </c>
      <c r="D95" t="n">
        <v>5</v>
      </c>
      <c r="F95" s="72" t="n">
        <v>0.22</v>
      </c>
      <c r="H95" t="inlineStr">
        <is>
          <t>stipend of the same 4 shilling 5pence, each of them having for his stipend 1pence a day.</t>
        </is>
      </c>
    </row>
    <row r="96">
      <c r="A96" t="inlineStr">
        <is>
          <t>Cost of the harvest</t>
        </is>
      </c>
      <c r="B96" t="n">
        <v>0</v>
      </c>
      <c r="C96" t="n">
        <v>2</v>
      </c>
      <c r="D96" t="n">
        <v>9.5</v>
      </c>
      <c r="F96" s="72" t="n">
        <v>0.14</v>
      </c>
      <c r="H96" t="inlineStr">
        <is>
          <t xml:space="preserve">expenses of the reeve from Lammas until Michaelmas 2 shilling </t>
        </is>
      </c>
    </row>
    <row r="97">
      <c r="A97" t="inlineStr">
        <is>
          <t>Cost of the harvest</t>
        </is>
      </c>
      <c r="B97" t="n">
        <v>0</v>
      </c>
      <c r="C97" t="n">
        <v>16</v>
      </c>
      <c r="D97" t="n">
        <v>9.5</v>
      </c>
      <c r="F97" s="72">
        <f>B97+C97/20+D97/240</f>
        <v/>
      </c>
      <c r="H97" t="inlineStr">
        <is>
          <t>Total, 16 shilling 9.5pence</t>
        </is>
      </c>
    </row>
    <row r="98">
      <c r="A98" t="inlineStr">
        <is>
          <t>Cost of the harvest</t>
        </is>
      </c>
      <c r="F98" s="72">
        <f>SUM(F81:F96)</f>
        <v/>
      </c>
      <c r="G98" s="129">
        <f>F98-F97</f>
        <v/>
      </c>
      <c r="H98" t="inlineStr">
        <is>
          <t>Total</t>
        </is>
      </c>
    </row>
    <row r="99"/>
    <row r="100"/>
    <row r="101">
      <c r="A101" t="inlineStr">
        <is>
          <t>Cost of the vineyard</t>
        </is>
      </c>
      <c r="B101" t="n">
        <v>1</v>
      </c>
      <c r="C101" t="n">
        <v>3</v>
      </c>
      <c r="D101" t="n">
        <v>0</v>
      </c>
      <c r="F101" s="72" t="n">
        <v>1.15</v>
      </c>
      <c r="H101" t="inlineStr">
        <is>
          <t>In expenses for digging around the vineyard of Esher this year £1 3 shilling.</t>
        </is>
      </c>
    </row>
    <row r="102">
      <c r="A102" t="inlineStr">
        <is>
          <t>Cost of the vineyard</t>
        </is>
      </c>
      <c r="B102" t="n">
        <v>0</v>
      </c>
      <c r="C102" t="n">
        <v>3</v>
      </c>
      <c r="D102" t="n">
        <v>10</v>
      </c>
      <c r="F102" s="72" t="n">
        <v>0.19</v>
      </c>
      <c r="H102" t="inlineStr">
        <is>
          <t>collecting vines to make verjuice 3 shilling 10pence.</t>
        </is>
      </c>
    </row>
    <row r="103">
      <c r="A103" t="inlineStr">
        <is>
          <t>Cost of the vineyard</t>
        </is>
      </c>
      <c r="B103" t="n">
        <v>0</v>
      </c>
      <c r="C103" t="n">
        <v>1</v>
      </c>
      <c r="D103" t="n">
        <v>2</v>
      </c>
      <c r="F103" s="72" t="n">
        <v>0.06</v>
      </c>
      <c r="H103" t="inlineStr">
        <is>
          <t xml:space="preserve">4 bushels of salt bought to salt verjuice 1 shilling 2pence, at 3.5pence a bushels </t>
        </is>
      </c>
    </row>
    <row r="104">
      <c r="A104" t="inlineStr">
        <is>
          <t>Cost of the vineyard</t>
        </is>
      </c>
      <c r="B104" t="n">
        <v>0</v>
      </c>
      <c r="C104" t="n">
        <v>3</v>
      </c>
      <c r="D104" t="n">
        <v>6</v>
      </c>
      <c r="F104" s="72">
        <f>B104+C104/20+D104/240</f>
        <v/>
      </c>
      <c r="H104" t="inlineStr">
        <is>
          <t>Delivered to Peter, the lord's squire, whilst he remains at Esher in order to collect vines and make verjuice, by order of the bishop and by his letters, 3 shilling  6pence.</t>
        </is>
      </c>
    </row>
    <row r="105">
      <c r="A105" t="inlineStr">
        <is>
          <t>Cost of the vineyard</t>
        </is>
      </c>
      <c r="B105" t="n">
        <v>0</v>
      </c>
      <c r="C105" t="n">
        <v>5</v>
      </c>
      <c r="D105" t="n">
        <v>0</v>
      </c>
      <c r="F105" s="72" t="n">
        <v>0.25</v>
      </c>
      <c r="H105" t="inlineStr">
        <is>
          <t>stipend of Alexander the vintner for the year 5 shilling.</t>
        </is>
      </c>
    </row>
    <row r="106">
      <c r="A106" t="inlineStr">
        <is>
          <t>Cost of the vineyard</t>
        </is>
      </c>
      <c r="B106" t="n">
        <v>0</v>
      </c>
      <c r="C106" t="n">
        <v>2</v>
      </c>
      <c r="D106" t="n">
        <v>2</v>
      </c>
      <c r="F106" s="72" t="n">
        <v>0.11</v>
      </c>
      <c r="H106" t="inlineStr">
        <is>
          <t>1 cask bought for putting the verjuice in 2 shilling 2pence.</t>
        </is>
      </c>
    </row>
    <row r="107">
      <c r="A107" t="inlineStr">
        <is>
          <t>Cost of the vineyard</t>
        </is>
      </c>
      <c r="B107" t="n">
        <v>0</v>
      </c>
      <c r="C107" t="n">
        <v>1</v>
      </c>
      <c r="D107" t="n">
        <v>0</v>
      </c>
      <c r="F107">
        <f>B107+C107/20+D107/240</f>
        <v/>
      </c>
      <c r="H107" t="inlineStr">
        <is>
          <t xml:space="preserve">2 barrels bought for the same 1 shilling </t>
        </is>
      </c>
    </row>
    <row r="108">
      <c r="A108" t="inlineStr">
        <is>
          <t>Cost of the vineyard</t>
        </is>
      </c>
      <c r="B108" t="n">
        <v>1</v>
      </c>
      <c r="C108" t="n">
        <v>19</v>
      </c>
      <c r="D108" t="n">
        <v>8</v>
      </c>
      <c r="F108" s="72" t="n">
        <v>1.98</v>
      </c>
      <c r="H108" t="inlineStr">
        <is>
          <t>Total, £1 19 shilling 8pence</t>
        </is>
      </c>
    </row>
    <row r="109">
      <c r="A109" t="inlineStr">
        <is>
          <t>Cost of the vineyard</t>
        </is>
      </c>
      <c r="F109" s="72">
        <f>SUM(F101:F107)</f>
        <v/>
      </c>
      <c r="G109" s="129">
        <f>F109-F108</f>
        <v/>
      </c>
      <c r="H109" t="inlineStr">
        <is>
          <t>Total</t>
        </is>
      </c>
    </row>
    <row r="110"/>
    <row r="111"/>
    <row r="112">
      <c r="A112" t="inlineStr">
        <is>
          <t>Payment of outside rents</t>
        </is>
      </c>
      <c r="B112" t="n">
        <v>0</v>
      </c>
      <c r="C112" t="n">
        <v>6</v>
      </c>
      <c r="D112" t="n">
        <v>0</v>
      </c>
      <c r="F112" s="72" t="n">
        <v>0.3</v>
      </c>
      <c r="H112" t="inlineStr">
        <is>
          <t>In rent paid at Michaelmas to the Abbot of Chertsey for the land of Northwod' 6 shilling.</t>
        </is>
      </c>
    </row>
    <row r="113">
      <c r="A113" t="inlineStr">
        <is>
          <t>Payment of outside rents</t>
        </is>
      </c>
      <c r="B113" t="n">
        <v>0</v>
      </c>
      <c r="C113" t="n">
        <v>1</v>
      </c>
      <c r="D113" t="n">
        <v>2</v>
      </c>
      <c r="F113" s="72" t="n">
        <v>0.06</v>
      </c>
      <c r="H113" t="inlineStr">
        <is>
          <t xml:space="preserve">2 ploughshares bought for the same, paid to the same this year, 1 shilling 2pence </t>
        </is>
      </c>
    </row>
    <row r="114">
      <c r="A114" t="inlineStr">
        <is>
          <t>Payment of outside rents</t>
        </is>
      </c>
      <c r="B114" t="n">
        <v>0</v>
      </c>
      <c r="C114" t="n">
        <v>7</v>
      </c>
      <c r="D114" t="n">
        <v>2</v>
      </c>
      <c r="F114" s="72">
        <f>B114+C114/20+D114/240</f>
        <v/>
      </c>
      <c r="H114" t="inlineStr">
        <is>
          <t>Total, 7 shilling 2pence</t>
        </is>
      </c>
    </row>
    <row r="115">
      <c r="A115" t="inlineStr">
        <is>
          <t>Payment of outside rents</t>
        </is>
      </c>
      <c r="F115" s="72" t="n">
        <v>0.36</v>
      </c>
      <c r="G115" s="129">
        <f>F115-F114</f>
        <v/>
      </c>
      <c r="H115" t="inlineStr">
        <is>
          <t>Total</t>
        </is>
      </c>
    </row>
    <row r="116"/>
    <row r="117"/>
    <row r="118">
      <c r="A118" t="inlineStr">
        <is>
          <t>Foreign expenses</t>
        </is>
      </c>
      <c r="B118" t="n">
        <v>0</v>
      </c>
      <c r="C118" t="n">
        <v>1</v>
      </c>
      <c r="D118" t="n">
        <v>0</v>
      </c>
      <c r="F118" s="72" t="n">
        <v>0.05</v>
      </c>
      <c r="H118" t="inlineStr">
        <is>
          <t>Given for the keeping of a certain ox by the assessor of the fifteenth at Northwod' 1 shilling</t>
        </is>
      </c>
    </row>
    <row r="119">
      <c r="A119" t="inlineStr">
        <is>
          <t>Foreign expenses</t>
        </is>
      </c>
      <c r="B119" t="n">
        <v>0</v>
      </c>
      <c r="C119" t="n">
        <v>0</v>
      </c>
      <c r="D119" t="n">
        <v>10</v>
      </c>
      <c r="F119" s="72">
        <f>B119+C119/20+D119/240</f>
        <v/>
      </c>
      <c r="H119" t="inlineStr">
        <is>
          <t xml:space="preserve">10pence </t>
        </is>
      </c>
    </row>
    <row r="120">
      <c r="A120" t="inlineStr">
        <is>
          <t>Foreign expenses</t>
        </is>
      </c>
      <c r="B120" t="n">
        <v>0</v>
      </c>
      <c r="C120" t="n">
        <v>1</v>
      </c>
      <c r="D120" t="n">
        <v>10</v>
      </c>
      <c r="F120" s="72" t="n">
        <v>0.09</v>
      </c>
      <c r="H120" t="inlineStr">
        <is>
          <t>Total, 1 shilling 10pence</t>
        </is>
      </c>
    </row>
    <row r="121">
      <c r="A121" t="inlineStr">
        <is>
          <t>Foreign expenses</t>
        </is>
      </c>
      <c r="F121" s="72">
        <f>SUM(F118:F119)</f>
        <v/>
      </c>
      <c r="G121" s="129">
        <f>F121-F120</f>
        <v/>
      </c>
      <c r="H121" t="inlineStr">
        <is>
          <t>Total</t>
        </is>
      </c>
    </row>
    <row r="122"/>
    <row r="123"/>
    <row r="124">
      <c r="A124" t="inlineStr">
        <is>
          <t>And thus he owes</t>
        </is>
      </c>
      <c r="B124" t="n">
        <v>4</v>
      </c>
      <c r="C124" t="n">
        <v>17</v>
      </c>
      <c r="D124" t="n">
        <v>9.75</v>
      </c>
      <c r="F124" s="72" t="n">
        <v>4.89</v>
      </c>
      <c r="H124" t="inlineStr">
        <is>
          <t>And thus he owes, £4 17 shilling 9.75pence</t>
        </is>
      </c>
    </row>
    <row r="125">
      <c r="A125" t="inlineStr">
        <is>
          <t>And thus he owes</t>
        </is>
      </c>
      <c r="F125" s="72" t="n">
        <v>4.89</v>
      </c>
      <c r="G125" s="129" t="n">
        <v>0</v>
      </c>
      <c r="H125" t="inlineStr">
        <is>
          <t>Total</t>
        </is>
      </c>
    </row>
    <row r="126"/>
    <row r="127"/>
    <row r="128">
      <c r="A128" t="inlineStr">
        <is>
          <t>Cash deliveries</t>
        </is>
      </c>
      <c r="B128" t="n">
        <v>3</v>
      </c>
      <c r="C128" t="n">
        <v>0</v>
      </c>
      <c r="D128" t="n">
        <v>0</v>
      </c>
      <c r="F128" s="72" t="n">
        <v>3</v>
      </c>
      <c r="H128" t="inlineStr">
        <is>
          <t>Delivered to Sir Geoffrey, treasurer of Wolvesey, by 1 tally, £3.</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Q15"/>
  <sheetViews>
    <sheetView topLeftCell="A1" workbookViewId="0">
      <selection activeCell="A1" sqref="A1"/>
    </sheetView>
  </sheetViews>
  <sheetFormatPr baseColWidth="8" defaultRowHeight="15"/>
  <cols>
    <col width="30" customWidth="1" min="1" max="1"/>
    <col width="12.1640625" customWidth="1" min="2" max="2"/>
    <col width="14.5" customWidth="1" min="3" max="3"/>
    <col width="16.5" customWidth="1" min="4" max="4"/>
    <col width="15.33203125" customWidth="1" min="5" max="5"/>
    <col width="15.83203125" customWidth="1" min="6" max="6"/>
    <col width="17.5" customWidth="1" min="7" max="7"/>
    <col width="22.5" customWidth="1" min="8" max="8"/>
    <col width="19.33203125" customWidth="1" min="9" max="9"/>
    <col width="22" customWidth="1" min="10" max="10"/>
    <col width="13.1640625" customWidth="1" min="13" max="13"/>
    <col width="8.1640625" customWidth="1" min="14" max="14"/>
    <col width="15.6640625" customWidth="1" min="15" max="15"/>
    <col width="18.5" customWidth="1" min="16" max="16"/>
  </cols>
  <sheetData>
    <row r="1" ht="16" customHeight="1">
      <c r="A1" s="12" t="inlineStr">
        <is>
          <t>ESHER STOCK ACCOUNT</t>
        </is>
      </c>
      <c r="B1" s="37" t="n"/>
      <c r="C1" s="37" t="n"/>
      <c r="D1" s="37" t="n"/>
      <c r="E1" s="37" t="n"/>
      <c r="F1" s="37" t="n"/>
      <c r="G1" s="37" t="n"/>
      <c r="H1" s="37" t="n"/>
      <c r="I1" s="37" t="n"/>
      <c r="J1" s="37" t="n"/>
      <c r="K1" s="37" t="n"/>
      <c r="L1" s="37" t="n"/>
      <c r="M1" s="37" t="n"/>
      <c r="N1" s="37" t="n"/>
      <c r="O1" s="37" t="n"/>
      <c r="P1" s="37" t="n"/>
      <c r="Q1" s="37" t="n"/>
    </row>
    <row r="2" ht="48" customHeight="1">
      <c r="A2" s="37" t="inlineStr">
        <is>
          <t>Gross Output</t>
        </is>
      </c>
      <c r="B2" s="37" t="inlineStr">
        <is>
          <t>Total Quantity</t>
        </is>
      </c>
      <c r="C2" s="131" t="inlineStr">
        <is>
          <t>Account Total Quarters</t>
        </is>
      </c>
      <c r="D2" s="131" t="inlineStr">
        <is>
          <t>Bought in Total Quarters</t>
        </is>
      </c>
      <c r="E2" s="131" t="inlineStr">
        <is>
          <t>Received from churchscot</t>
        </is>
      </c>
      <c r="F2" s="37" t="inlineStr">
        <is>
          <t>Sold Total Quarters</t>
        </is>
      </c>
      <c r="G2" s="131" t="inlineStr">
        <is>
          <t>Difference Produced+Bought-Sold</t>
        </is>
      </c>
      <c r="H2" s="131" t="inlineStr">
        <is>
          <t>Weighted Average Price per Quarter</t>
        </is>
      </c>
      <c r="I2" s="132" t="inlineStr">
        <is>
          <t>Value of Total Production weighted</t>
        </is>
      </c>
    </row>
    <row r="3">
      <c r="A3" t="inlineStr">
        <is>
          <t>rye</t>
        </is>
      </c>
      <c r="B3" t="n">
        <v>30</v>
      </c>
      <c r="D3" t="n">
        <v>0</v>
      </c>
      <c r="F3" s="72" t="n">
        <v>15.1875</v>
      </c>
      <c r="G3" s="72">
        <f>B3-F3</f>
        <v/>
      </c>
      <c r="H3" s="72" t="n">
        <v>0.2166666666666667</v>
      </c>
      <c r="I3" s="72">
        <f>H3*B3</f>
        <v/>
      </c>
    </row>
    <row r="4">
      <c r="A4" t="inlineStr">
        <is>
          <t>barley</t>
        </is>
      </c>
      <c r="B4">
        <f>31+2.5/8</f>
        <v/>
      </c>
      <c r="D4" t="n">
        <v>25.625</v>
      </c>
      <c r="F4" s="72" t="n">
        <v>18.5</v>
      </c>
      <c r="G4" s="72">
        <f>B4-F4</f>
        <v/>
      </c>
      <c r="H4" s="72" t="n">
        <v>0.06666666666666667</v>
      </c>
      <c r="I4" s="72">
        <f>H4*B4</f>
        <v/>
      </c>
    </row>
    <row r="5">
      <c r="A5" t="inlineStr">
        <is>
          <t>oats</t>
        </is>
      </c>
      <c r="B5" t="n">
        <v>48</v>
      </c>
      <c r="D5" t="n">
        <v>0</v>
      </c>
      <c r="F5" s="72" t="n">
        <v>4.9375</v>
      </c>
      <c r="G5" s="72">
        <f>B5-F5</f>
        <v/>
      </c>
      <c r="H5" s="72" t="n">
        <v>0.1666666666666667</v>
      </c>
      <c r="I5" s="72">
        <f>H5*B5</f>
        <v/>
      </c>
    </row>
    <row r="6"/>
    <row r="7">
      <c r="A7" s="133" t="inlineStr">
        <is>
          <t>Total Production</t>
        </is>
      </c>
    </row>
    <row r="8">
      <c r="A8" s="133" t="inlineStr">
        <is>
          <t>Sales of corn (as recorded in accounts)</t>
        </is>
      </c>
    </row>
    <row r="9"/>
    <row r="10" ht="32" customHeight="1">
      <c r="A10" s="38" t="inlineStr">
        <is>
          <t>Net output</t>
        </is>
      </c>
      <c r="B10" s="134" t="inlineStr">
        <is>
          <t>Gross output</t>
        </is>
      </c>
      <c r="C10" s="135" t="inlineStr">
        <is>
          <t>Seed quarters</t>
        </is>
      </c>
      <c r="D10" s="135" t="inlineStr">
        <is>
          <t>Seed bushels</t>
        </is>
      </c>
      <c r="E10" s="135" t="inlineStr">
        <is>
          <t>Seed total quarters</t>
        </is>
      </c>
      <c r="F10" s="38" t="inlineStr">
        <is>
          <t>tithe quarters</t>
        </is>
      </c>
      <c r="G10" s="135" t="inlineStr">
        <is>
          <t>tithe bushels</t>
        </is>
      </c>
      <c r="H10" s="135" t="inlineStr">
        <is>
          <t>tithe total</t>
        </is>
      </c>
      <c r="I10" s="135" t="inlineStr">
        <is>
          <t>manorial servants quarters</t>
        </is>
      </c>
      <c r="J10" s="135" t="inlineStr">
        <is>
          <t>manorial servants bushels</t>
        </is>
      </c>
      <c r="K10" s="136" t="inlineStr">
        <is>
          <t>manorial servants total quarters</t>
        </is>
      </c>
      <c r="L10" s="135" t="inlineStr">
        <is>
          <t>output net of tithe, seed, liveries</t>
        </is>
      </c>
      <c r="M10" s="135" t="inlineStr">
        <is>
          <t>in stock from last year</t>
        </is>
      </c>
      <c r="N10" s="137" t="inlineStr">
        <is>
          <t>Price in £</t>
        </is>
      </c>
      <c r="O10" s="137" t="inlineStr">
        <is>
          <t>Value of net output in £</t>
        </is>
      </c>
      <c r="P10" s="134" t="inlineStr">
        <is>
          <t>Value of sales (in "Sale of Corn") in £</t>
        </is>
      </c>
    </row>
    <row r="11">
      <c r="A11" t="inlineStr">
        <is>
          <t>rye</t>
        </is>
      </c>
      <c r="B11">
        <f>B3</f>
        <v/>
      </c>
      <c r="C11" t="n">
        <v>6</v>
      </c>
      <c r="D11" t="n">
        <v>3</v>
      </c>
      <c r="E11">
        <f>C11+D11/8</f>
        <v/>
      </c>
      <c r="I11">
        <f>1+6.5</f>
        <v/>
      </c>
      <c r="J11">
        <f>1+3+1+2</f>
        <v/>
      </c>
      <c r="K11">
        <f>I11+J11/8</f>
        <v/>
      </c>
      <c r="L11">
        <f>B11-E11-H11-K11</f>
        <v/>
      </c>
      <c r="N11" s="72">
        <f>H3</f>
        <v/>
      </c>
      <c r="O11" s="72">
        <f>N11*L11</f>
        <v/>
      </c>
    </row>
    <row r="12">
      <c r="A12" t="inlineStr">
        <is>
          <t>barley</t>
        </is>
      </c>
      <c r="B12">
        <f>B4</f>
        <v/>
      </c>
      <c r="C12" t="n">
        <v>13</v>
      </c>
      <c r="E12">
        <f>C12+D12/8</f>
        <v/>
      </c>
      <c r="I12">
        <f>1+5+4+1</f>
        <v/>
      </c>
      <c r="J12">
        <f>5+1.5+2.5+2</f>
        <v/>
      </c>
      <c r="K12">
        <f>I12+J12/8</f>
        <v/>
      </c>
      <c r="L12">
        <f>B12-E12-H12-K12</f>
        <v/>
      </c>
      <c r="N12" s="72">
        <f>H4</f>
        <v/>
      </c>
      <c r="O12" s="72">
        <f>N12*L12</f>
        <v/>
      </c>
    </row>
    <row r="13">
      <c r="A13" t="inlineStr">
        <is>
          <t>oats</t>
        </is>
      </c>
      <c r="B13">
        <f>B5</f>
        <v/>
      </c>
      <c r="C13" t="n">
        <v>21</v>
      </c>
      <c r="E13">
        <f>C13+D13/8</f>
        <v/>
      </c>
      <c r="I13">
        <f>2.5+3+3</f>
        <v/>
      </c>
      <c r="K13">
        <f>I13+J13/8</f>
        <v/>
      </c>
      <c r="L13">
        <f>B13-E13-H13-K13</f>
        <v/>
      </c>
      <c r="N13" s="72">
        <f>H5</f>
        <v/>
      </c>
      <c r="O13" s="72">
        <f>N13*L13</f>
        <v/>
      </c>
    </row>
    <row r="14">
      <c r="O14" s="72" t="n"/>
    </row>
    <row r="15">
      <c r="A15" s="42" t="inlineStr">
        <is>
          <t>Total</t>
        </is>
      </c>
      <c r="O15" s="138">
        <f>SUM(O11:O13)</f>
        <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0"/>
  <sheetViews>
    <sheetView topLeftCell="A1" workbookViewId="0">
      <selection activeCell="A1" sqref="A1"/>
    </sheetView>
  </sheetViews>
  <sheetFormatPr baseColWidth="8" defaultRowHeight="15"/>
  <cols>
    <col width="40.83203125" customWidth="1" min="1" max="1"/>
    <col width="10.6640625" customWidth="1" min="6" max="6"/>
    <col width="12" customWidth="1" min="10" max="10"/>
    <col width="12.1640625" customWidth="1" min="14" max="14"/>
    <col width="12" customWidth="1" min="16" max="16"/>
    <col width="11.6640625" customWidth="1" min="17" max="17"/>
    <col width="14.1640625" customWidth="1" min="20" max="20"/>
  </cols>
  <sheetData>
    <row r="1" ht="16" customHeight="1">
      <c r="A1" s="12" t="inlineStr">
        <is>
          <t>ASHMANSWORTH STOCK ACCOUNT</t>
        </is>
      </c>
      <c r="B1" s="37" t="n"/>
      <c r="C1" s="37" t="n"/>
      <c r="D1" s="37" t="n"/>
      <c r="E1" s="37" t="n"/>
      <c r="F1" s="37" t="n"/>
      <c r="G1" s="37" t="n"/>
      <c r="H1" s="37" t="n"/>
      <c r="I1" s="37" t="n"/>
    </row>
    <row r="2" ht="16" customHeight="1">
      <c r="A2" s="12" t="n"/>
    </row>
    <row r="3" ht="17" customHeight="1">
      <c r="A3" s="44" t="n"/>
      <c r="B3" s="44" t="n"/>
      <c r="C3" s="125" t="inlineStr">
        <is>
          <t>added</t>
        </is>
      </c>
      <c r="G3" s="126" t="inlineStr">
        <is>
          <t>subtracted</t>
        </is>
      </c>
      <c r="K3" s="44" t="n"/>
      <c r="L3" s="44" t="n"/>
      <c r="M3" s="44" t="n"/>
      <c r="N3" s="44" t="n"/>
      <c r="O3" s="73" t="n"/>
      <c r="P3" s="73" t="n"/>
      <c r="Q3" s="44" t="n"/>
      <c r="R3" s="44" t="n"/>
      <c r="S3" s="44" t="n"/>
      <c r="T3" s="44" t="n"/>
    </row>
    <row r="4" ht="68" customHeight="1">
      <c r="A4" s="139" t="inlineStr">
        <is>
          <t>Livestock</t>
        </is>
      </c>
      <c r="B4" s="139" t="inlineStr">
        <is>
          <t>Inherited stock</t>
        </is>
      </c>
      <c r="C4" s="139" t="inlineStr">
        <is>
          <t>added</t>
        </is>
      </c>
      <c r="D4" s="140" t="inlineStr">
        <is>
          <t>strays</t>
        </is>
      </c>
      <c r="E4" s="140" t="inlineStr">
        <is>
          <t>herbage</t>
        </is>
      </c>
      <c r="F4" s="141" t="inlineStr">
        <is>
          <t>churchscot</t>
        </is>
      </c>
      <c r="G4" s="140" t="inlineStr">
        <is>
          <t>of which in default</t>
        </is>
      </c>
      <c r="H4" s="139" t="inlineStr">
        <is>
          <t>sold</t>
        </is>
      </c>
      <c r="I4" s="139" t="inlineStr">
        <is>
          <t>in murrain</t>
        </is>
      </c>
      <c r="J4" s="139" t="inlineStr">
        <is>
          <t>accounted for elsewhere</t>
        </is>
      </c>
      <c r="K4" s="139" t="inlineStr">
        <is>
          <t>End-period  stock</t>
        </is>
      </c>
      <c r="L4" s="139" t="inlineStr">
        <is>
          <t>cross-check</t>
        </is>
      </c>
      <c r="M4" s="139" t="inlineStr">
        <is>
          <t>stock building</t>
        </is>
      </c>
      <c r="N4" s="139" t="inlineStr">
        <is>
          <t>raw production</t>
        </is>
      </c>
      <c r="O4" s="142" t="inlineStr">
        <is>
          <t>Unit price (£)</t>
        </is>
      </c>
      <c r="P4" s="142" t="inlineStr">
        <is>
          <t>Value of stock  (£) at given value</t>
        </is>
      </c>
      <c r="Q4" s="139" t="inlineStr">
        <is>
          <t>Value of stock  (£) at sales prices</t>
        </is>
      </c>
      <c r="R4" s="139" t="inlineStr">
        <is>
          <t>Sales in (£)</t>
        </is>
      </c>
      <c r="S4" s="139" t="inlineStr">
        <is>
          <t>Value of stock building (£)</t>
        </is>
      </c>
      <c r="T4" s="118" t="inlineStr">
        <is>
          <t>Value of production (£) at sales prices</t>
        </is>
      </c>
      <c r="U4" s="139" t="inlineStr">
        <is>
          <t>Details</t>
        </is>
      </c>
    </row>
    <row r="5" ht="16" customHeight="1">
      <c r="A5" s="44" t="inlineStr">
        <is>
          <t>Cart-horses</t>
        </is>
      </c>
      <c r="B5" t="n">
        <v>2</v>
      </c>
      <c r="C5" t="n">
        <v>1</v>
      </c>
      <c r="H5" t="n">
        <v>1</v>
      </c>
      <c r="K5" t="n">
        <v>2</v>
      </c>
      <c r="U5" t="inlineStr">
        <is>
          <t>sale not recorded here</t>
        </is>
      </c>
    </row>
    <row r="6" ht="16" customHeight="1">
      <c r="A6" s="44" t="inlineStr">
        <is>
          <t>Mares</t>
        </is>
      </c>
    </row>
    <row r="7">
      <c r="A7" t="inlineStr">
        <is>
          <t>Plough horses</t>
        </is>
      </c>
    </row>
    <row r="8">
      <c r="A8" t="inlineStr">
        <is>
          <t>Colts (unspecified years)</t>
        </is>
      </c>
    </row>
    <row r="9">
      <c r="A9" t="inlineStr">
        <is>
          <t>Colts (2 years)</t>
        </is>
      </c>
    </row>
    <row r="10">
      <c r="A10" t="inlineStr">
        <is>
          <t>Colts (1 year)</t>
        </is>
      </c>
    </row>
    <row r="11">
      <c r="A11" t="inlineStr">
        <is>
          <t>Foals</t>
        </is>
      </c>
    </row>
    <row r="12">
      <c r="A12" t="inlineStr">
        <is>
          <t>Oxen</t>
        </is>
      </c>
      <c r="C12" t="n">
        <v>13</v>
      </c>
      <c r="D12" t="n">
        <v>1</v>
      </c>
      <c r="K12" t="n">
        <v>14</v>
      </c>
    </row>
    <row r="13">
      <c r="A13" t="inlineStr">
        <is>
          <t>Bulls</t>
        </is>
      </c>
    </row>
    <row r="14">
      <c r="A14" t="inlineStr">
        <is>
          <t>Cows</t>
        </is>
      </c>
      <c r="B14" t="n">
        <v>8</v>
      </c>
      <c r="C14" t="n">
        <v>1</v>
      </c>
      <c r="K14" t="n">
        <v>9</v>
      </c>
    </row>
    <row r="15">
      <c r="A15" t="inlineStr">
        <is>
          <t>Steers</t>
        </is>
      </c>
    </row>
    <row r="16">
      <c r="A16" t="inlineStr">
        <is>
          <t>Bullocks</t>
        </is>
      </c>
    </row>
    <row r="17">
      <c r="A17" t="inlineStr">
        <is>
          <t>Yearlings</t>
        </is>
      </c>
      <c r="B17" t="n">
        <v>3</v>
      </c>
      <c r="I17" t="n">
        <v>1</v>
      </c>
      <c r="K17" t="n">
        <v>2</v>
      </c>
    </row>
    <row r="18">
      <c r="A18" t="inlineStr">
        <is>
          <t>Calves</t>
        </is>
      </c>
      <c r="C18" t="n">
        <v>7</v>
      </c>
      <c r="H18" t="n">
        <v>4</v>
      </c>
      <c r="K18" t="n">
        <v>3</v>
      </c>
      <c r="R18" s="72">
        <f>Receipts!F40</f>
        <v/>
      </c>
    </row>
    <row r="19">
      <c r="A19" t="inlineStr">
        <is>
          <t>Wethers</t>
        </is>
      </c>
      <c r="B19" t="n">
        <v>124</v>
      </c>
      <c r="C19" t="n">
        <v>20</v>
      </c>
      <c r="I19">
        <f>22+5+9</f>
        <v/>
      </c>
      <c r="J19" t="n">
        <v>1</v>
      </c>
      <c r="K19" t="n">
        <v>107</v>
      </c>
    </row>
    <row r="20">
      <c r="A20" t="inlineStr">
        <is>
          <t>Rams</t>
        </is>
      </c>
    </row>
    <row r="21">
      <c r="A21" t="inlineStr">
        <is>
          <t>Ewes</t>
        </is>
      </c>
      <c r="B21" t="n">
        <v>80</v>
      </c>
      <c r="C21" t="n">
        <v>8</v>
      </c>
      <c r="H21" t="n">
        <v>15</v>
      </c>
      <c r="I21" t="n">
        <v>5</v>
      </c>
      <c r="K21" t="n">
        <v>68</v>
      </c>
      <c r="R21" s="72">
        <f>Receipts!F48</f>
        <v/>
      </c>
    </row>
    <row r="22">
      <c r="A22" t="inlineStr">
        <is>
          <t>Hoggs</t>
        </is>
      </c>
      <c r="B22" t="n">
        <v>33</v>
      </c>
      <c r="I22" t="n">
        <v>5</v>
      </c>
      <c r="J22">
        <f>20+8</f>
        <v/>
      </c>
      <c r="K22" t="n">
        <v>0</v>
      </c>
    </row>
    <row r="23">
      <c r="A23" t="inlineStr">
        <is>
          <t>Lambs</t>
        </is>
      </c>
      <c r="B23" t="n">
        <v>56</v>
      </c>
      <c r="I23" t="n">
        <v>20</v>
      </c>
      <c r="J23" t="n">
        <v>3</v>
      </c>
      <c r="K23" t="n">
        <v>33</v>
      </c>
    </row>
    <row r="24">
      <c r="A24" t="inlineStr">
        <is>
          <t>Boars</t>
        </is>
      </c>
    </row>
    <row r="25">
      <c r="A25" t="inlineStr">
        <is>
          <t>Sows</t>
        </is>
      </c>
    </row>
    <row r="26">
      <c r="A26" t="inlineStr">
        <is>
          <t>Pigs</t>
        </is>
      </c>
    </row>
    <row r="27">
      <c r="A27" t="inlineStr">
        <is>
          <t>Hoggets</t>
        </is>
      </c>
    </row>
    <row r="28">
      <c r="A28" t="inlineStr">
        <is>
          <t>Piglets</t>
        </is>
      </c>
    </row>
    <row r="29">
      <c r="A29" t="inlineStr">
        <is>
          <t>Swans</t>
        </is>
      </c>
    </row>
    <row r="30">
      <c r="A30" t="inlineStr">
        <is>
          <t>Peacocks</t>
        </is>
      </c>
      <c r="B30" t="n">
        <v>8</v>
      </c>
      <c r="K30" t="n">
        <v>8</v>
      </c>
    </row>
    <row r="31" ht="16" customHeight="1">
      <c r="A31" s="67" t="inlineStr">
        <is>
          <t>Total Value</t>
        </is>
      </c>
      <c r="R31" s="143">
        <f>SUM(R5:R30)</f>
        <v/>
      </c>
    </row>
    <row r="32"/>
    <row r="33"/>
    <row r="34" ht="17" customHeight="1">
      <c r="A34" s="66" t="inlineStr">
        <is>
          <t>Wool</t>
        </is>
      </c>
    </row>
    <row r="35" ht="16" customHeight="1">
      <c r="A35" s="44" t="inlineStr">
        <is>
          <t>Fleeces (wethers)</t>
        </is>
      </c>
    </row>
    <row r="36">
      <c r="A36" t="inlineStr">
        <is>
          <t>Coarse wool</t>
        </is>
      </c>
      <c r="B36" t="n">
        <v>186</v>
      </c>
      <c r="J36">
        <f>18+1+167</f>
        <v/>
      </c>
      <c r="K36" t="n">
        <v>0</v>
      </c>
      <c r="O36" s="72" t="n">
        <v>0.02</v>
      </c>
      <c r="T36">
        <f>O36*J36</f>
        <v/>
      </c>
    </row>
    <row r="37">
      <c r="A37" t="inlineStr">
        <is>
          <t>Lamb's wool</t>
        </is>
      </c>
      <c r="B37" t="n">
        <v>33</v>
      </c>
      <c r="J37" t="n">
        <v>33</v>
      </c>
      <c r="O37" s="72" t="n">
        <v>0.01</v>
      </c>
      <c r="T37">
        <f>O37*J37</f>
        <v/>
      </c>
    </row>
    <row r="38">
      <c r="A38" t="inlineStr">
        <is>
          <t>Wool locks</t>
        </is>
      </c>
    </row>
    <row r="39">
      <c r="A39" t="inlineStr">
        <is>
          <t>Wool sold at shearing</t>
        </is>
      </c>
    </row>
    <row r="40" ht="16" customHeight="1">
      <c r="A40" s="67" t="inlineStr">
        <is>
          <t>Total wool</t>
        </is>
      </c>
      <c r="T40" s="39">
        <f>SUM(T36:T39)</f>
        <v/>
      </c>
    </row>
    <row r="41"/>
    <row r="42"/>
    <row r="43" ht="17" customHeight="1">
      <c r="A43" s="66" t="inlineStr">
        <is>
          <t>Hides</t>
        </is>
      </c>
    </row>
    <row r="44">
      <c r="A44" t="inlineStr">
        <is>
          <t>Ox hides</t>
        </is>
      </c>
    </row>
    <row r="45">
      <c r="A45" t="inlineStr">
        <is>
          <t>Yearling</t>
        </is>
      </c>
      <c r="C45" t="n">
        <v>1</v>
      </c>
      <c r="H45" t="n">
        <v>1</v>
      </c>
      <c r="R45" s="72">
        <f>Receipts!F34</f>
        <v/>
      </c>
    </row>
    <row r="46">
      <c r="A46" t="inlineStr">
        <is>
          <t>Mare</t>
        </is>
      </c>
    </row>
    <row r="47">
      <c r="A47" t="inlineStr">
        <is>
          <t>Steer</t>
        </is>
      </c>
    </row>
    <row r="48">
      <c r="A48" t="inlineStr">
        <is>
          <t>calves</t>
        </is>
      </c>
    </row>
    <row r="49">
      <c r="A49" s="68" t="inlineStr">
        <is>
          <t>pigs</t>
        </is>
      </c>
    </row>
    <row r="50">
      <c r="A50" t="inlineStr">
        <is>
          <t>Woolskins</t>
        </is>
      </c>
    </row>
    <row r="51">
      <c r="A51" s="28" t="inlineStr">
        <is>
          <t>wethers</t>
        </is>
      </c>
      <c r="C51">
        <f>22+5</f>
        <v/>
      </c>
      <c r="H51" t="n">
        <v>27</v>
      </c>
      <c r="R51" s="72">
        <f>Receipts!F35</f>
        <v/>
      </c>
      <c r="U51" t="inlineStr">
        <is>
          <t>Sale only records 22 ksins</t>
        </is>
      </c>
    </row>
    <row r="52">
      <c r="A52" s="28" t="inlineStr">
        <is>
          <t>rams</t>
        </is>
      </c>
    </row>
    <row r="53">
      <c r="A53" s="28" t="inlineStr">
        <is>
          <t>ewes</t>
        </is>
      </c>
    </row>
    <row r="54">
      <c r="A54" s="28" t="inlineStr">
        <is>
          <t>hoggs</t>
        </is>
      </c>
      <c r="C54" t="n">
        <v>5</v>
      </c>
      <c r="H54" t="n">
        <v>5</v>
      </c>
      <c r="R54" s="72">
        <f>Receipts!F36</f>
        <v/>
      </c>
    </row>
    <row r="55">
      <c r="A55" s="69" t="inlineStr">
        <is>
          <t>Woolskins</t>
        </is>
      </c>
    </row>
    <row r="56">
      <c r="A56" s="43" t="inlineStr">
        <is>
          <t>Bareskins</t>
        </is>
      </c>
    </row>
    <row r="57">
      <c r="A57" s="28" t="inlineStr">
        <is>
          <t>wethers</t>
        </is>
      </c>
    </row>
    <row r="58">
      <c r="A58" s="28" t="inlineStr">
        <is>
          <t>rams</t>
        </is>
      </c>
    </row>
    <row r="59">
      <c r="A59" s="28" t="inlineStr">
        <is>
          <t>ewes</t>
        </is>
      </c>
    </row>
    <row r="60">
      <c r="A60" s="28" t="inlineStr">
        <is>
          <t>hoggs</t>
        </is>
      </c>
    </row>
    <row r="61">
      <c r="A61" s="69" t="inlineStr">
        <is>
          <t>Bareskins (total)</t>
        </is>
      </c>
    </row>
    <row r="62">
      <c r="A62" t="inlineStr">
        <is>
          <t>Lambskins</t>
        </is>
      </c>
      <c r="C62" t="n">
        <v>20</v>
      </c>
      <c r="H62" t="n">
        <v>20</v>
      </c>
      <c r="R62" s="72">
        <f>Receipts!F39</f>
        <v/>
      </c>
    </row>
    <row r="63">
      <c r="A63" t="inlineStr">
        <is>
          <t>Rotted skins</t>
        </is>
      </c>
    </row>
    <row r="64">
      <c r="A64" t="inlineStr">
        <is>
          <t>Shorn skins</t>
        </is>
      </c>
    </row>
    <row r="65">
      <c r="A65" s="39" t="inlineStr">
        <is>
          <t xml:space="preserve">Total </t>
        </is>
      </c>
      <c r="R65" s="39">
        <f>SUM(R41:R64)</f>
        <v/>
      </c>
    </row>
    <row r="66"/>
    <row r="67"/>
    <row r="68" ht="17" customHeight="1">
      <c r="A68" s="66" t="inlineStr">
        <is>
          <t>Poultry stock</t>
        </is>
      </c>
    </row>
    <row r="69" ht="16" customHeight="1">
      <c r="A69" s="44" t="inlineStr">
        <is>
          <t>Hens</t>
        </is>
      </c>
      <c r="F69" t="n">
        <v>10</v>
      </c>
      <c r="H69" t="n">
        <v>7</v>
      </c>
      <c r="J69" t="n">
        <v>3</v>
      </c>
      <c r="R69" s="72">
        <f>Receipts!F33</f>
        <v/>
      </c>
    </row>
    <row r="70">
      <c r="A70" t="inlineStr">
        <is>
          <t>Geese</t>
        </is>
      </c>
    </row>
    <row r="71">
      <c r="A71" t="inlineStr">
        <is>
          <t>Capons (from chickens)</t>
        </is>
      </c>
    </row>
    <row r="72">
      <c r="A72" t="inlineStr">
        <is>
          <t>Cocks &amp; hens</t>
        </is>
      </c>
    </row>
    <row r="73">
      <c r="A73" s="39" t="inlineStr">
        <is>
          <t>Total poultry stock</t>
        </is>
      </c>
      <c r="R73" s="143">
        <f>SUM(R69:R72)</f>
        <v/>
      </c>
    </row>
    <row r="74">
      <c r="A74" s="71" t="inlineStr">
        <is>
          <t>Total poultry excluding churchscot</t>
        </is>
      </c>
    </row>
    <row r="75"/>
    <row r="76" ht="16" customHeight="1">
      <c r="A76" s="12" t="inlineStr">
        <is>
          <t>Poultry production</t>
        </is>
      </c>
    </row>
    <row r="77">
      <c r="A77" t="inlineStr">
        <is>
          <t>Eggs</t>
        </is>
      </c>
    </row>
    <row r="78">
      <c r="A78" t="inlineStr">
        <is>
          <t>Cocks &amp; hens from churchscot of customary tenants</t>
        </is>
      </c>
    </row>
    <row r="79">
      <c r="A79" t="inlineStr">
        <is>
          <t>Sum of above</t>
        </is>
      </c>
    </row>
    <row r="80">
      <c r="A80" s="39" t="inlineStr">
        <is>
          <t>Total</t>
        </is>
      </c>
    </row>
    <row r="81"/>
    <row r="82"/>
    <row r="83" ht="16" customHeight="1">
      <c r="A83" s="12" t="inlineStr">
        <is>
          <t>Meat</t>
        </is>
      </c>
    </row>
    <row r="84">
      <c r="A84" t="inlineStr">
        <is>
          <t>Beef</t>
        </is>
      </c>
    </row>
    <row r="85">
      <c r="A85" t="inlineStr">
        <is>
          <t>Mutton</t>
        </is>
      </c>
    </row>
    <row r="86">
      <c r="A86" t="inlineStr">
        <is>
          <t>Pork</t>
        </is>
      </c>
    </row>
    <row r="87" ht="16" customHeight="1">
      <c r="A87" s="57" t="inlineStr">
        <is>
          <t xml:space="preserve">Total </t>
        </is>
      </c>
    </row>
    <row r="88"/>
    <row r="89" ht="16" customHeight="1">
      <c r="A89" s="12" t="inlineStr">
        <is>
          <t>Cheese</t>
        </is>
      </c>
    </row>
    <row r="90">
      <c r="A90" t="inlineStr">
        <is>
          <t>Winter cheese</t>
        </is>
      </c>
    </row>
    <row r="91">
      <c r="A91" t="inlineStr">
        <is>
          <t>Summer cheese</t>
        </is>
      </c>
    </row>
    <row r="92" ht="16" customHeight="1">
      <c r="A92" s="67" t="inlineStr">
        <is>
          <t>Total</t>
        </is>
      </c>
    </row>
    <row r="93"/>
    <row r="94" ht="16" customHeight="1">
      <c r="A94" s="12" t="inlineStr">
        <is>
          <t>Milk</t>
        </is>
      </c>
    </row>
    <row r="95">
      <c r="A95" t="inlineStr">
        <is>
          <t>Milk</t>
        </is>
      </c>
      <c r="R95" s="72">
        <f>Receipts!F41+Receipts!F42</f>
        <v/>
      </c>
    </row>
    <row r="96" ht="16" customHeight="1">
      <c r="A96" s="67" t="inlineStr">
        <is>
          <t>Total</t>
        </is>
      </c>
      <c r="R96" s="143">
        <f>R95</f>
        <v/>
      </c>
    </row>
    <row r="97" ht="16" customHeight="1">
      <c r="A97" s="13" t="n"/>
    </row>
    <row r="98" ht="16" customHeight="1">
      <c r="A98" s="57" t="inlineStr">
        <is>
          <t>Total Dairy Sales</t>
        </is>
      </c>
    </row>
    <row r="99"/>
    <row r="100"/>
    <row r="101" ht="16" customHeight="1">
      <c r="A101" s="12" t="inlineStr">
        <is>
          <t>Verjuice</t>
        </is>
      </c>
    </row>
    <row r="102">
      <c r="A102" t="inlineStr">
        <is>
          <t>Verjuice</t>
        </is>
      </c>
      <c r="C102" t="n">
        <v>1</v>
      </c>
      <c r="J102" t="n">
        <v>1</v>
      </c>
    </row>
    <row r="103"/>
    <row r="104" ht="16" customHeight="1">
      <c r="A104" s="13" t="inlineStr">
        <is>
          <t>Additional Information (not necessarily useful)</t>
        </is>
      </c>
    </row>
    <row r="105" ht="16" customHeight="1">
      <c r="A105" s="12" t="inlineStr">
        <is>
          <t>Utensils</t>
        </is>
      </c>
    </row>
    <row r="106">
      <c r="A106" t="inlineStr">
        <is>
          <t>ploughs</t>
        </is>
      </c>
    </row>
    <row r="107">
      <c r="A107" t="inlineStr">
        <is>
          <t>carts</t>
        </is>
      </c>
    </row>
    <row r="108">
      <c r="A108" t="inlineStr">
        <is>
          <t>cart-ropes</t>
        </is>
      </c>
    </row>
    <row r="109">
      <c r="A109" t="inlineStr">
        <is>
          <t>corn baskets</t>
        </is>
      </c>
    </row>
    <row r="110">
      <c r="A110" t="inlineStr">
        <is>
          <t>seed-sacks</t>
        </is>
      </c>
    </row>
    <row r="111">
      <c r="A111" t="inlineStr">
        <is>
          <t>seed basket</t>
        </is>
      </c>
    </row>
    <row r="112">
      <c r="A112" t="inlineStr">
        <is>
          <t>locks for the doors</t>
        </is>
      </c>
    </row>
    <row r="113">
      <c r="A113" t="inlineStr">
        <is>
          <t>lead vessel</t>
        </is>
      </c>
    </row>
    <row r="114">
      <c r="A114" t="inlineStr">
        <is>
          <t>brass pots</t>
        </is>
      </c>
    </row>
    <row r="115">
      <c r="A115" t="inlineStr">
        <is>
          <t>pans</t>
        </is>
      </c>
    </row>
    <row r="116">
      <c r="A116" t="inlineStr">
        <is>
          <t>tripods</t>
        </is>
      </c>
    </row>
    <row r="117">
      <c r="A117" t="inlineStr">
        <is>
          <t>mortar</t>
        </is>
      </c>
    </row>
    <row r="118">
      <c r="A118" t="inlineStr">
        <is>
          <t>axe</t>
        </is>
      </c>
    </row>
    <row r="119">
      <c r="A119" t="inlineStr">
        <is>
          <t>casks</t>
        </is>
      </c>
    </row>
    <row r="120">
      <c r="A120" t="inlineStr">
        <is>
          <t>tubs</t>
        </is>
      </c>
    </row>
    <row r="121">
      <c r="A121" t="inlineStr">
        <is>
          <t>troughs</t>
        </is>
      </c>
    </row>
    <row r="122">
      <c r="A122" t="inlineStr">
        <is>
          <t>bucket</t>
        </is>
      </c>
    </row>
    <row r="123">
      <c r="A123" t="inlineStr">
        <is>
          <t>cheese basket</t>
        </is>
      </c>
    </row>
    <row r="124">
      <c r="A124" t="inlineStr">
        <is>
          <t>tables</t>
        </is>
      </c>
    </row>
    <row r="125">
      <c r="A125" t="inlineStr">
        <is>
          <t>table with trestles</t>
        </is>
      </c>
    </row>
    <row r="126">
      <c r="A126" t="inlineStr">
        <is>
          <t>benches</t>
        </is>
      </c>
    </row>
    <row r="127">
      <c r="A127" t="inlineStr">
        <is>
          <t>ewer with a basin</t>
        </is>
      </c>
    </row>
    <row r="128">
      <c r="A128" t="inlineStr">
        <is>
          <t>ladders</t>
        </is>
      </c>
    </row>
    <row r="129">
      <c r="A129" t="inlineStr">
        <is>
          <t>cloth</t>
        </is>
      </c>
    </row>
    <row r="130">
      <c r="A130"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H312"/>
  <sheetViews>
    <sheetView topLeftCell="A1" workbookViewId="0">
      <selection activeCell="A1" sqref="A1"/>
    </sheetView>
  </sheetViews>
  <sheetFormatPr baseColWidth="8" defaultRowHeight="15"/>
  <cols>
    <col width="26" customWidth="1" min="1" max="1"/>
    <col width="26.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Arrears</t>
        </is>
      </c>
      <c r="B2" t="inlineStr">
        <is>
          <t>Richard atte Grove, reeve, renders account for 13 shilling 1.75pence of arrears from the previous year.</t>
        </is>
      </c>
      <c r="C2" t="n">
        <v>0.66</v>
      </c>
      <c r="D2" t="n">
        <v>0</v>
      </c>
      <c r="E2" t="n">
        <v>13</v>
      </c>
      <c r="F2" t="n">
        <v>1.75</v>
      </c>
      <c r="H2" t="n">
        <v>0</v>
      </c>
      <c r="I2" t="n">
        <v>0</v>
      </c>
      <c r="J2" t="n">
        <v>0</v>
      </c>
      <c r="K2" t="n">
        <v>0</v>
      </c>
      <c r="L2" t="n">
        <v>0</v>
      </c>
      <c r="M2" t="n">
        <v>0</v>
      </c>
      <c r="N2" t="n">
        <v>0</v>
      </c>
    </row>
    <row r="3">
      <c r="A3" t="inlineStr">
        <is>
          <t>Arrears</t>
        </is>
      </c>
      <c r="B3" t="inlineStr">
        <is>
          <t>All delivered to Geoffrey, treasurer, by 1 tally.</t>
        </is>
      </c>
      <c r="C3" t="n">
        <v>0</v>
      </c>
      <c r="D3" t="n">
        <v>0</v>
      </c>
      <c r="E3" t="n">
        <v>0</v>
      </c>
      <c r="F3" t="n">
        <v>0</v>
      </c>
      <c r="H3" t="n">
        <v>0</v>
      </c>
      <c r="I3" t="n">
        <v>0</v>
      </c>
      <c r="J3" t="n">
        <v>0</v>
      </c>
      <c r="K3" t="n">
        <v>0</v>
      </c>
      <c r="L3" t="n">
        <v>0</v>
      </c>
      <c r="M3" t="n">
        <v>0</v>
      </c>
      <c r="N3" t="n">
        <v>0</v>
      </c>
    </row>
    <row r="4">
      <c r="A4" t="inlineStr">
        <is>
          <t>Arrears</t>
        </is>
      </c>
      <c r="B4" t="inlineStr">
        <is>
          <t>He is quit.'</t>
        </is>
      </c>
      <c r="C4" t="n">
        <v>0</v>
      </c>
      <c r="D4" t="n">
        <v>0</v>
      </c>
      <c r="E4" t="n">
        <v>0</v>
      </c>
      <c r="F4" t="n">
        <v>0</v>
      </c>
      <c r="H4" t="n">
        <v>0</v>
      </c>
      <c r="I4" t="n">
        <v>0</v>
      </c>
      <c r="J4" t="n">
        <v>0</v>
      </c>
      <c r="K4" t="n">
        <v>0</v>
      </c>
      <c r="L4" t="n">
        <v>0</v>
      </c>
      <c r="M4" t="n">
        <v>0</v>
      </c>
      <c r="N4" t="n">
        <v>0</v>
      </c>
    </row>
    <row r="5">
      <c r="A5" t="inlineStr">
        <is>
          <t>Rents of assize</t>
        </is>
      </c>
      <c r="B5" t="inlineStr">
        <is>
          <t>The same renders account for 10 shilling for rents of assize at the Invention of the Cross (3 May) by view of John de Hatfeud'.</t>
        </is>
      </c>
      <c r="C5" t="n">
        <v>0.5</v>
      </c>
      <c r="D5" t="n">
        <v>0</v>
      </c>
      <c r="E5" t="n">
        <v>10</v>
      </c>
      <c r="F5" t="n">
        <v>0</v>
      </c>
      <c r="H5" t="n">
        <v>0</v>
      </c>
      <c r="I5" t="n">
        <v>0</v>
      </c>
      <c r="J5" t="n">
        <v>0</v>
      </c>
      <c r="K5" t="n">
        <v>0</v>
      </c>
      <c r="L5" t="n">
        <v>0</v>
      </c>
      <c r="M5" t="n">
        <v>0</v>
      </c>
      <c r="N5" t="n">
        <v>0</v>
      </c>
    </row>
    <row r="6">
      <c r="A6" t="inlineStr">
        <is>
          <t>Rents of assize</t>
        </is>
      </c>
      <c r="B6" t="inlineStr">
        <is>
          <t>£5 9 shilling 10.5pence at Michaelmas (29 September).</t>
        </is>
      </c>
      <c r="C6" t="n">
        <v>5.49</v>
      </c>
      <c r="D6" t="n">
        <v>5</v>
      </c>
      <c r="E6" t="n">
        <v>9</v>
      </c>
      <c r="F6" t="n">
        <v>10.5</v>
      </c>
      <c r="H6" t="n">
        <v>0</v>
      </c>
      <c r="I6" t="n">
        <v>0</v>
      </c>
      <c r="J6" t="n">
        <v>0</v>
      </c>
      <c r="K6" t="n">
        <v>0</v>
      </c>
      <c r="L6" t="n">
        <v>0</v>
      </c>
      <c r="M6" t="n">
        <v>0</v>
      </c>
      <c r="N6" t="n">
        <v>0</v>
      </c>
    </row>
    <row r="7">
      <c r="A7" t="inlineStr">
        <is>
          <t>Rents of assize</t>
        </is>
      </c>
      <c r="B7" t="inlineStr">
        <is>
          <t>Total, £5 19 shilling 10.5pence</t>
        </is>
      </c>
      <c r="C7" t="n">
        <v>5.99</v>
      </c>
      <c r="D7" t="n">
        <v>5</v>
      </c>
      <c r="E7" t="n">
        <v>19</v>
      </c>
      <c r="F7" t="n">
        <v>10.5</v>
      </c>
      <c r="H7" t="n">
        <v>0</v>
      </c>
      <c r="I7" t="n">
        <v>0</v>
      </c>
      <c r="J7" t="n">
        <v>0</v>
      </c>
      <c r="K7" t="n">
        <v>0</v>
      </c>
      <c r="L7" t="n">
        <v>0</v>
      </c>
      <c r="M7" t="n">
        <v>0</v>
      </c>
      <c r="N7" t="n">
        <v>0</v>
      </c>
    </row>
    <row r="8">
      <c r="A8" t="inlineStr">
        <is>
          <t>Quittances</t>
        </is>
      </c>
      <c r="B8" t="inlineStr">
        <is>
          <t>In quittance of rent of the reeve for the year 1 shilling 10pence.</t>
        </is>
      </c>
      <c r="C8" t="n">
        <v>0.09</v>
      </c>
      <c r="D8" t="n">
        <v>0</v>
      </c>
      <c r="E8" t="n">
        <v>1</v>
      </c>
      <c r="F8" t="n">
        <v>10</v>
      </c>
      <c r="H8" t="n">
        <v>0</v>
      </c>
      <c r="I8" t="n">
        <v>0</v>
      </c>
      <c r="J8" t="n">
        <v>0</v>
      </c>
      <c r="K8" t="n">
        <v>0</v>
      </c>
      <c r="L8" t="n">
        <v>0</v>
      </c>
      <c r="M8" t="n">
        <v>0</v>
      </c>
      <c r="N8" t="n">
        <v>0</v>
      </c>
    </row>
    <row r="9">
      <c r="A9" t="inlineStr">
        <is>
          <t>Quittances</t>
        </is>
      </c>
      <c r="B9" t="inlineStr">
        <is>
          <t>default of a certain dwelling-house and land pertaining to the church drawn into demesne £1. Total of quittances and defaults of rent, £1 1 shilling 10pence</t>
        </is>
      </c>
      <c r="C9" t="n">
        <v>1</v>
      </c>
      <c r="D9" t="n">
        <v>1</v>
      </c>
      <c r="E9" t="n">
        <v>0</v>
      </c>
      <c r="F9" t="n">
        <v>0</v>
      </c>
      <c r="H9" t="n">
        <v>0</v>
      </c>
      <c r="I9" t="n">
        <v>0</v>
      </c>
      <c r="J9" t="n">
        <v>0</v>
      </c>
      <c r="K9" t="n">
        <v>0</v>
      </c>
      <c r="L9" t="n">
        <v>0</v>
      </c>
      <c r="M9" t="n">
        <v>0</v>
      </c>
      <c r="N9" t="n">
        <v>0</v>
      </c>
    </row>
    <row r="10">
      <c r="A10" t="inlineStr">
        <is>
          <t>Total of rents remaining</t>
        </is>
      </c>
      <c r="B10" t="inlineStr">
        <is>
          <t>Total of rents remaining, £4 18 shilling 0.5pence</t>
        </is>
      </c>
      <c r="C10" t="n">
        <v>4.9</v>
      </c>
      <c r="D10" t="n">
        <v>4</v>
      </c>
      <c r="E10" t="n">
        <v>18</v>
      </c>
      <c r="F10" t="n">
        <v>0.5</v>
      </c>
      <c r="H10" t="n">
        <v>0</v>
      </c>
      <c r="I10" t="n">
        <v>0</v>
      </c>
      <c r="J10" t="n">
        <v>0</v>
      </c>
      <c r="K10" t="n">
        <v>0</v>
      </c>
      <c r="L10" t="n">
        <v>0</v>
      </c>
      <c r="M10" t="n">
        <v>0</v>
      </c>
      <c r="N10" t="n">
        <v>0</v>
      </c>
    </row>
    <row r="11">
      <c r="A11" t="inlineStr">
        <is>
          <t>Rent of the hall of Kingston hired for the year</t>
        </is>
      </c>
      <c r="B11" t="inlineStr">
        <is>
          <t>The same renders account for 15 shilling for the rent of the hall of Kingston at Christmas, Easter and Michaelmas.</t>
        </is>
      </c>
      <c r="C11" t="n">
        <v>0.75</v>
      </c>
      <c r="D11" t="n">
        <v>0</v>
      </c>
      <c r="E11" t="n">
        <v>15</v>
      </c>
      <c r="F11" t="n">
        <v>0</v>
      </c>
      <c r="H11" t="n">
        <v>0</v>
      </c>
      <c r="I11" t="n">
        <v>0</v>
      </c>
      <c r="J11" t="n">
        <v>0</v>
      </c>
      <c r="K11" t="n">
        <v>0</v>
      </c>
      <c r="L11" t="n">
        <v>0</v>
      </c>
      <c r="M11" t="n">
        <v>0</v>
      </c>
      <c r="N11" t="n">
        <v>0</v>
      </c>
    </row>
    <row r="12">
      <c r="A12" t="inlineStr">
        <is>
          <t>Rent of the hall of Kingston hired for the year</t>
        </is>
      </c>
      <c r="B12" t="inlineStr">
        <is>
          <t>Total, 15 shilling</t>
        </is>
      </c>
      <c r="C12" t="n">
        <v>0.75</v>
      </c>
      <c r="D12" t="n">
        <v>0</v>
      </c>
      <c r="E12" t="n">
        <v>15</v>
      </c>
      <c r="F12" t="n">
        <v>0</v>
      </c>
      <c r="H12" t="n">
        <v>0</v>
      </c>
      <c r="I12" t="n">
        <v>0</v>
      </c>
      <c r="J12" t="n">
        <v>0</v>
      </c>
      <c r="K12" t="n">
        <v>0</v>
      </c>
      <c r="L12" t="n">
        <v>0</v>
      </c>
      <c r="M12" t="n">
        <v>0</v>
      </c>
      <c r="N12" t="n">
        <v>0</v>
      </c>
    </row>
    <row r="13">
      <c r="A13" t="inlineStr">
        <is>
          <t>Issues of the manor</t>
        </is>
      </c>
      <c r="B13" t="inlineStr">
        <is>
          <t>The same renders account for 8 shilling from pannage of 28 pigs and 6 piglets, at 3pence a pig and 2pence a piglet, and the said right of pannage (garsevese) for 6 pigs of Richard atte Barr' this year.</t>
        </is>
      </c>
      <c r="C13" t="n">
        <v>0.41</v>
      </c>
      <c r="D13" t="n">
        <v>0</v>
      </c>
      <c r="E13" t="n">
        <v>8</v>
      </c>
      <c r="F13" t="n">
        <v>3</v>
      </c>
      <c r="H13" t="n">
        <v>0</v>
      </c>
      <c r="I13" t="n">
        <v>0</v>
      </c>
      <c r="J13" t="n">
        <v>0</v>
      </c>
      <c r="K13" t="n">
        <v>0</v>
      </c>
      <c r="L13" t="n">
        <v>0</v>
      </c>
      <c r="M13" t="n">
        <v>0</v>
      </c>
      <c r="N13" t="n">
        <v>0</v>
      </c>
    </row>
    <row r="14">
      <c r="A14" t="inlineStr">
        <is>
          <t>Issues of the manor</t>
        </is>
      </c>
      <c r="B14" t="inlineStr">
        <is>
          <t>nothing from pannage of Esher and Northwod' this year.</t>
        </is>
      </c>
      <c r="C14" t="n">
        <v>0</v>
      </c>
      <c r="D14" t="n">
        <v>0</v>
      </c>
      <c r="E14" t="n">
        <v>0</v>
      </c>
      <c r="F14" t="n">
        <v>0</v>
      </c>
      <c r="H14" t="n">
        <v>0</v>
      </c>
      <c r="I14" t="n">
        <v>0</v>
      </c>
      <c r="J14" t="n">
        <v>0</v>
      </c>
      <c r="K14" t="n">
        <v>0</v>
      </c>
      <c r="L14" t="n">
        <v>0</v>
      </c>
      <c r="M14" t="n">
        <v>0</v>
      </c>
      <c r="N14" t="n">
        <v>0</v>
      </c>
    </row>
    <row r="15">
      <c r="A15" t="inlineStr">
        <is>
          <t>Issues of the manor</t>
        </is>
      </c>
      <c r="B15" t="inlineStr">
        <is>
          <t>4 shilling from 12 animals going to the summer pasturage sold at Northwod this year, at 4pence a head.</t>
        </is>
      </c>
      <c r="C15" t="n">
        <v>0.22</v>
      </c>
      <c r="D15" t="n">
        <v>0</v>
      </c>
      <c r="E15" t="n">
        <v>4</v>
      </c>
      <c r="F15" t="n">
        <v>4</v>
      </c>
      <c r="H15" t="n">
        <v>0</v>
      </c>
      <c r="I15" t="n">
        <v>0</v>
      </c>
      <c r="J15" t="n">
        <v>0</v>
      </c>
      <c r="K15" t="n">
        <v>0</v>
      </c>
      <c r="L15" t="n">
        <v>0</v>
      </c>
      <c r="M15" t="n">
        <v>0</v>
      </c>
      <c r="N15" t="n">
        <v>0</v>
      </c>
    </row>
    <row r="16">
      <c r="A16" t="inlineStr">
        <is>
          <t>Issues of the manor</t>
        </is>
      </c>
      <c r="B16" t="inlineStr">
        <is>
          <t>3 shilling 6pence from the pasturage in la More sold.</t>
        </is>
      </c>
      <c r="C16" t="n">
        <v>0.17</v>
      </c>
      <c r="D16" t="n">
        <v>0</v>
      </c>
      <c r="E16" t="n">
        <v>3</v>
      </c>
      <c r="F16" t="n">
        <v>6</v>
      </c>
      <c r="H16" t="n">
        <v>0</v>
      </c>
      <c r="I16" t="n">
        <v>0</v>
      </c>
      <c r="J16" t="n">
        <v>0</v>
      </c>
      <c r="K16" t="n">
        <v>0</v>
      </c>
      <c r="L16" t="n">
        <v>0</v>
      </c>
      <c r="M16" t="n">
        <v>0</v>
      </c>
      <c r="N16" t="n">
        <v>0</v>
      </c>
    </row>
    <row r="17">
      <c r="A17" t="inlineStr">
        <is>
          <t>Issues of the manor</t>
        </is>
      </c>
      <c r="B17" t="inlineStr">
        <is>
          <t>6pence from the pasturage at la Crumbe sold.</t>
        </is>
      </c>
      <c r="C17" t="n">
        <v>0.03</v>
      </c>
      <c r="D17" t="n">
        <v>0</v>
      </c>
      <c r="E17" t="n">
        <v>0</v>
      </c>
      <c r="F17" t="n">
        <v>6</v>
      </c>
      <c r="H17" t="n">
        <v>0</v>
      </c>
      <c r="I17" t="n">
        <v>0</v>
      </c>
      <c r="J17" t="n">
        <v>0</v>
      </c>
      <c r="K17" t="n">
        <v>0</v>
      </c>
      <c r="L17" t="n">
        <v>0</v>
      </c>
      <c r="M17" t="n">
        <v>0</v>
      </c>
      <c r="N17" t="n">
        <v>0</v>
      </c>
    </row>
    <row r="18">
      <c r="A18" t="inlineStr">
        <is>
          <t>Issues of the manor</t>
        </is>
      </c>
      <c r="B18" t="inlineStr">
        <is>
          <t>8pence from the herbage in the garden sold.</t>
        </is>
      </c>
      <c r="C18" t="n">
        <v>0.03</v>
      </c>
      <c r="D18" t="n">
        <v>0</v>
      </c>
      <c r="E18" t="n">
        <v>0</v>
      </c>
      <c r="F18" t="n">
        <v>8</v>
      </c>
      <c r="H18" t="n">
        <v>0</v>
      </c>
      <c r="I18" t="n">
        <v>0</v>
      </c>
      <c r="J18" t="n">
        <v>0</v>
      </c>
      <c r="K18" t="n">
        <v>0</v>
      </c>
      <c r="L18" t="n">
        <v>0</v>
      </c>
      <c r="M18" t="n">
        <v>0</v>
      </c>
      <c r="N18" t="n">
        <v>0</v>
      </c>
    </row>
    <row r="19">
      <c r="A19" t="inlineStr">
        <is>
          <t>Issues of the manor</t>
        </is>
      </c>
      <c r="B19" t="inlineStr">
        <is>
          <t>9 shilling from fruit from the garden sold this year, the tithe deducted.</t>
        </is>
      </c>
      <c r="C19" t="n">
        <v>0.45</v>
      </c>
      <c r="D19" t="n">
        <v>0</v>
      </c>
      <c r="E19" t="n">
        <v>9</v>
      </c>
      <c r="F19" t="n">
        <v>0</v>
      </c>
      <c r="H19" t="n">
        <v>0</v>
      </c>
      <c r="I19" t="n">
        <v>0</v>
      </c>
      <c r="J19" t="n">
        <v>0</v>
      </c>
      <c r="K19" t="n">
        <v>0</v>
      </c>
      <c r="L19" t="n">
        <v>0</v>
      </c>
      <c r="M19" t="n">
        <v>0</v>
      </c>
      <c r="N19" t="n">
        <v>0</v>
      </c>
    </row>
    <row r="20">
      <c r="A20" t="inlineStr">
        <is>
          <t>Issues of the manor</t>
        </is>
      </c>
      <c r="B20" t="inlineStr">
        <is>
          <t>8pence from the fishery at Northwod.</t>
        </is>
      </c>
      <c r="C20" t="n">
        <v>0.03</v>
      </c>
      <c r="D20" t="n">
        <v>0</v>
      </c>
      <c r="E20" t="n">
        <v>0</v>
      </c>
      <c r="F20" t="n">
        <v>8</v>
      </c>
      <c r="H20" t="n">
        <v>0</v>
      </c>
      <c r="I20" t="n">
        <v>0</v>
      </c>
      <c r="J20" t="n">
        <v>0</v>
      </c>
      <c r="K20" t="n">
        <v>0</v>
      </c>
      <c r="L20" t="n">
        <v>0</v>
      </c>
      <c r="M20" t="n">
        <v>0</v>
      </c>
      <c r="N20" t="n">
        <v>0</v>
      </c>
    </row>
    <row r="21">
      <c r="A21" t="inlineStr">
        <is>
          <t>Issues of the manor</t>
        </is>
      </c>
      <c r="B21" t="inlineStr">
        <is>
          <t>10.5pence from 7 hens from churchscot sold.</t>
        </is>
      </c>
      <c r="C21" t="n">
        <v>0.04</v>
      </c>
      <c r="D21" t="n">
        <v>0</v>
      </c>
      <c r="E21" t="n">
        <v>0</v>
      </c>
      <c r="F21" t="n">
        <v>10.5</v>
      </c>
      <c r="H21" t="n">
        <v>0</v>
      </c>
      <c r="I21" t="n">
        <v>0</v>
      </c>
      <c r="J21" t="n">
        <v>0</v>
      </c>
      <c r="K21" t="n">
        <v>0</v>
      </c>
      <c r="L21" t="n">
        <v>0</v>
      </c>
      <c r="M21" t="n">
        <v>0</v>
      </c>
      <c r="N21" t="n">
        <v>0</v>
      </c>
    </row>
    <row r="22">
      <c r="A22" t="inlineStr">
        <is>
          <t>Issues of the manor</t>
        </is>
      </c>
      <c r="B22" t="inlineStr">
        <is>
          <t>2.5pence from the hide sold of 1 yearling dead from murrain.</t>
        </is>
      </c>
      <c r="C22" t="n">
        <v>0.01</v>
      </c>
      <c r="D22" t="n">
        <v>0</v>
      </c>
      <c r="E22" t="n">
        <v>0</v>
      </c>
      <c r="F22" t="n">
        <v>2.5</v>
      </c>
      <c r="H22" t="n">
        <v>0</v>
      </c>
      <c r="I22" t="n">
        <v>0</v>
      </c>
      <c r="J22" t="n">
        <v>0</v>
      </c>
      <c r="K22" t="n">
        <v>0</v>
      </c>
      <c r="L22" t="n">
        <v>0</v>
      </c>
      <c r="M22" t="n">
        <v>0</v>
      </c>
      <c r="N22" t="n">
        <v>0</v>
      </c>
    </row>
    <row r="23">
      <c r="A23" t="inlineStr">
        <is>
          <t>Issues of the manor</t>
        </is>
      </c>
      <c r="B23" t="inlineStr">
        <is>
          <t>5 shilling 6pence from the skins sold of 22 wethers dead from murrain before shearing.</t>
        </is>
      </c>
      <c r="C23" t="n">
        <v>0.28</v>
      </c>
      <c r="D23" t="n">
        <v>0</v>
      </c>
      <c r="E23" t="n">
        <v>5</v>
      </c>
      <c r="F23" t="n">
        <v>6</v>
      </c>
      <c r="H23" t="n">
        <v>0</v>
      </c>
      <c r="I23" t="n">
        <v>0</v>
      </c>
      <c r="J23" t="n">
        <v>0</v>
      </c>
      <c r="K23" t="n">
        <v>0</v>
      </c>
      <c r="L23" t="n">
        <v>0</v>
      </c>
      <c r="M23" t="n">
        <v>0</v>
      </c>
      <c r="N23" t="n">
        <v>0</v>
      </c>
    </row>
    <row r="24">
      <c r="A24" t="inlineStr">
        <is>
          <t>Issues of the manor</t>
        </is>
      </c>
      <c r="B24" t="inlineStr">
        <is>
          <t>1 shilling .5pence from the skins sold of 5 ewes dead from murrain before shearing.</t>
        </is>
      </c>
      <c r="C24" t="n">
        <v>0.07000000000000001</v>
      </c>
      <c r="D24" t="n">
        <v>0</v>
      </c>
      <c r="E24" t="n">
        <v>1</v>
      </c>
      <c r="F24" t="n">
        <v>5</v>
      </c>
      <c r="H24" t="n">
        <v>0</v>
      </c>
      <c r="I24" t="n">
        <v>0</v>
      </c>
      <c r="J24" t="n">
        <v>0</v>
      </c>
      <c r="K24" t="n">
        <v>0</v>
      </c>
      <c r="L24" t="n">
        <v>0</v>
      </c>
      <c r="M24" t="n">
        <v>0</v>
      </c>
      <c r="N24" t="n">
        <v>0</v>
      </c>
    </row>
    <row r="25">
      <c r="A25" t="inlineStr">
        <is>
          <t>Issues of the manor</t>
        </is>
      </c>
      <c r="B25" t="inlineStr">
        <is>
          <t>5pence from the skins sold of 5 wethers dead from murrain after shearing.</t>
        </is>
      </c>
      <c r="C25" t="n">
        <v>0.02</v>
      </c>
      <c r="D25" t="n">
        <v>0</v>
      </c>
      <c r="E25" t="n">
        <v>0</v>
      </c>
      <c r="F25" t="n">
        <v>5</v>
      </c>
      <c r="H25" t="n">
        <v>0</v>
      </c>
      <c r="I25" t="n">
        <v>0</v>
      </c>
      <c r="J25" t="n">
        <v>0</v>
      </c>
      <c r="K25" t="n">
        <v>0</v>
      </c>
      <c r="L25" t="n">
        <v>0</v>
      </c>
      <c r="M25" t="n">
        <v>0</v>
      </c>
      <c r="N25" t="n">
        <v>0</v>
      </c>
    </row>
    <row r="26">
      <c r="A26" t="inlineStr">
        <is>
          <t>Issues of the manor</t>
        </is>
      </c>
      <c r="B26" t="inlineStr">
        <is>
          <t>2.5pence from the skins sold of 5 hoggs dead from murrain after shearing.</t>
        </is>
      </c>
      <c r="C26" t="n">
        <v>0.01</v>
      </c>
      <c r="D26" t="n">
        <v>0</v>
      </c>
      <c r="E26" t="n">
        <v>0</v>
      </c>
      <c r="F26" t="n">
        <v>2.5</v>
      </c>
      <c r="H26" t="n">
        <v>0</v>
      </c>
      <c r="I26" t="n">
        <v>0</v>
      </c>
      <c r="J26" t="n">
        <v>0</v>
      </c>
      <c r="K26" t="n">
        <v>0</v>
      </c>
      <c r="L26" t="n">
        <v>0</v>
      </c>
      <c r="M26" t="n">
        <v>0</v>
      </c>
      <c r="N26" t="n">
        <v>0</v>
      </c>
    </row>
    <row r="27">
      <c r="A27" t="inlineStr">
        <is>
          <t>Issues of the manor</t>
        </is>
      </c>
      <c r="B27" t="inlineStr">
        <is>
          <t>1 shilling 3pence from the skins sold of 20 lambs dead from murrain before weaning.</t>
        </is>
      </c>
      <c r="C27" t="n">
        <v>0.06</v>
      </c>
      <c r="D27" t="n">
        <v>0</v>
      </c>
      <c r="E27" t="n">
        <v>1</v>
      </c>
      <c r="F27" t="n">
        <v>3</v>
      </c>
      <c r="H27" t="n">
        <v>0</v>
      </c>
      <c r="I27" t="n">
        <v>0</v>
      </c>
      <c r="J27" t="n">
        <v>0</v>
      </c>
      <c r="K27" t="n">
        <v>0</v>
      </c>
      <c r="L27" t="n">
        <v>0</v>
      </c>
      <c r="M27" t="n">
        <v>0</v>
      </c>
      <c r="N27" t="n">
        <v>0</v>
      </c>
    </row>
    <row r="28">
      <c r="A28" t="inlineStr">
        <is>
          <t>Issues of the manor</t>
        </is>
      </c>
      <c r="B28" t="inlineStr">
        <is>
          <t>14 shilling from the milking of 4 cows with calves sold, the tithe deducted, at 2 shilling 6pence a cow and 1 shilling a calf.</t>
        </is>
      </c>
      <c r="C28" t="n">
        <v>0.72</v>
      </c>
      <c r="D28" t="n">
        <v>0</v>
      </c>
      <c r="E28" t="n">
        <v>14</v>
      </c>
      <c r="F28" t="n">
        <v>6</v>
      </c>
      <c r="H28" t="n">
        <v>0</v>
      </c>
      <c r="I28" t="n">
        <v>0</v>
      </c>
      <c r="J28" t="n">
        <v>0</v>
      </c>
      <c r="K28" t="n">
        <v>0</v>
      </c>
      <c r="L28" t="n">
        <v>0</v>
      </c>
      <c r="M28" t="n">
        <v>0</v>
      </c>
      <c r="N28" t="n">
        <v>0</v>
      </c>
    </row>
    <row r="29">
      <c r="A29" t="inlineStr">
        <is>
          <t>Issues of the manor</t>
        </is>
      </c>
      <c r="B29" t="inlineStr">
        <is>
          <t>7 shilling 6pence from the milking of 3 cows without calves sold, the tithe deducted, at 2 shilling 6pence a cow.</t>
        </is>
      </c>
      <c r="C29" t="n">
        <v>0.38</v>
      </c>
      <c r="D29" t="n">
        <v>0</v>
      </c>
      <c r="E29" t="n">
        <v>7</v>
      </c>
      <c r="F29" t="n">
        <v>6</v>
      </c>
      <c r="H29" t="n">
        <v>0</v>
      </c>
      <c r="I29" t="n">
        <v>0</v>
      </c>
      <c r="J29" t="n">
        <v>0</v>
      </c>
      <c r="K29" t="n">
        <v>0</v>
      </c>
      <c r="L29" t="n">
        <v>0</v>
      </c>
      <c r="M29" t="n">
        <v>0</v>
      </c>
      <c r="N29" t="n">
        <v>0</v>
      </c>
    </row>
    <row r="30">
      <c r="A30" t="inlineStr">
        <is>
          <t>Issues of the manor</t>
        </is>
      </c>
      <c r="B30" t="inlineStr">
        <is>
          <t>7 shilling from the milking of 56 ewes sold, at 1.5pence each.</t>
        </is>
      </c>
      <c r="C30" t="n">
        <v>0.36</v>
      </c>
      <c r="D30" t="n">
        <v>0</v>
      </c>
      <c r="E30" t="n">
        <v>7</v>
      </c>
      <c r="F30" t="n">
        <v>1.5</v>
      </c>
      <c r="H30" t="n">
        <v>0</v>
      </c>
      <c r="I30" t="n">
        <v>0</v>
      </c>
      <c r="J30" t="n">
        <v>0</v>
      </c>
      <c r="K30" t="n">
        <v>0</v>
      </c>
      <c r="L30" t="n">
        <v>0</v>
      </c>
      <c r="M30" t="n">
        <v>0</v>
      </c>
      <c r="N30" t="n">
        <v>0</v>
      </c>
    </row>
    <row r="31">
      <c r="A31" t="inlineStr">
        <is>
          <t>Issues of the manor</t>
        </is>
      </c>
      <c r="B31" t="inlineStr">
        <is>
          <t>2pence from rushes (ros') solpence Total, £3 4 shilling 6pence</t>
        </is>
      </c>
      <c r="C31" t="n">
        <v>3.23</v>
      </c>
      <c r="D31" t="n">
        <v>3</v>
      </c>
      <c r="E31" t="n">
        <v>4</v>
      </c>
      <c r="F31" t="n">
        <v>6</v>
      </c>
      <c r="H31" t="n">
        <v>0</v>
      </c>
      <c r="I31" t="n">
        <v>0</v>
      </c>
      <c r="J31" t="n">
        <v>0</v>
      </c>
      <c r="K31" t="n">
        <v>0</v>
      </c>
      <c r="L31" t="n">
        <v>0</v>
      </c>
      <c r="M31" t="n">
        <v>0</v>
      </c>
      <c r="N31" t="n">
        <v>0</v>
      </c>
    </row>
    <row r="32">
      <c r="A32" t="inlineStr">
        <is>
          <t>Sale of stock</t>
        </is>
      </c>
      <c r="B32" t="inlineStr">
        <is>
          <t>The same renders account for 9 shilling from 9 wethers sold before shearing, at 1 shilling a head.</t>
        </is>
      </c>
      <c r="C32" t="n">
        <v>0.45</v>
      </c>
      <c r="D32" t="n">
        <v>0</v>
      </c>
      <c r="E32" t="n">
        <v>9</v>
      </c>
      <c r="F32" t="n">
        <v>0</v>
      </c>
      <c r="H32" t="n">
        <v>0</v>
      </c>
      <c r="I32" t="n">
        <v>0</v>
      </c>
      <c r="J32" t="n">
        <v>0</v>
      </c>
      <c r="K32" t="n">
        <v>0</v>
      </c>
      <c r="L32" t="n">
        <v>0</v>
      </c>
      <c r="M32" t="n">
        <v>0</v>
      </c>
      <c r="N32" t="n">
        <v>0</v>
      </c>
    </row>
    <row r="33">
      <c r="A33" t="inlineStr">
        <is>
          <t>Sale of stock</t>
        </is>
      </c>
      <c r="B33" t="inlineStr">
        <is>
          <t>l1 shilling 3pence from 15 feeble ewes sold before shearing and lambing, at 9pence a heapence Total, £1 3pence</t>
        </is>
      </c>
      <c r="C33" t="n">
        <v>1.01</v>
      </c>
      <c r="D33" t="n">
        <v>1</v>
      </c>
      <c r="E33" t="n">
        <v>0</v>
      </c>
      <c r="F33" t="n">
        <v>3</v>
      </c>
      <c r="H33" t="n">
        <v>0</v>
      </c>
      <c r="I33" t="n">
        <v>0</v>
      </c>
      <c r="J33" t="n">
        <v>0</v>
      </c>
      <c r="K33" t="n">
        <v>0</v>
      </c>
      <c r="L33" t="n">
        <v>0</v>
      </c>
      <c r="M33" t="n">
        <v>0</v>
      </c>
      <c r="N33" t="n">
        <v>0</v>
      </c>
    </row>
    <row r="34">
      <c r="A34" t="inlineStr">
        <is>
          <t>Sale of rye and oats</t>
        </is>
      </c>
      <c r="B34" t="inlineStr">
        <is>
          <t>The same renders account for £3 5 shilling 9.75pence from 15 quarters 1.5 bushels of rye sold, at 4 shilling 4pence a quarters.</t>
        </is>
      </c>
      <c r="C34" t="n">
        <v>3.29</v>
      </c>
      <c r="D34" t="n">
        <v>3</v>
      </c>
      <c r="E34" t="n">
        <v>5</v>
      </c>
      <c r="F34" t="n">
        <v>9.75</v>
      </c>
      <c r="G34" t="inlineStr">
        <is>
          <t>rye</t>
        </is>
      </c>
      <c r="H34" t="n">
        <v>15</v>
      </c>
      <c r="I34" t="n">
        <v>1.5</v>
      </c>
      <c r="J34" t="n">
        <v>15.1875</v>
      </c>
      <c r="K34" t="n">
        <v>15.1875</v>
      </c>
      <c r="L34" t="n">
        <v>0</v>
      </c>
      <c r="M34" t="n">
        <v>15</v>
      </c>
      <c r="N34" t="n">
        <v>1.5</v>
      </c>
      <c r="S34" t="n">
        <v>4</v>
      </c>
      <c r="T34" t="n">
        <v>4</v>
      </c>
    </row>
    <row r="35">
      <c r="A35" t="inlineStr">
        <is>
          <t>Sale of rye and oats</t>
        </is>
      </c>
      <c r="B35" t="inlineStr">
        <is>
          <t>£1 4 shilling 8pence from 18.5 quarters of oats sold, at 1 shilling 4pence a quarters.</t>
        </is>
      </c>
      <c r="C35" t="n">
        <v>1.23</v>
      </c>
      <c r="D35" t="n">
        <v>1</v>
      </c>
      <c r="E35" t="n">
        <v>4</v>
      </c>
      <c r="F35" t="n">
        <v>8</v>
      </c>
      <c r="G35" t="inlineStr">
        <is>
          <t>oats</t>
        </is>
      </c>
      <c r="H35" t="n">
        <v>18.5</v>
      </c>
      <c r="I35" t="n">
        <v>0</v>
      </c>
      <c r="J35" t="n">
        <v>18.5</v>
      </c>
      <c r="K35" t="n">
        <v>18.5</v>
      </c>
      <c r="L35" t="n">
        <v>0</v>
      </c>
      <c r="M35" t="n">
        <v>18.5</v>
      </c>
      <c r="N35" t="n">
        <v>0</v>
      </c>
      <c r="S35" t="n">
        <v>1</v>
      </c>
      <c r="T35" t="n">
        <v>4</v>
      </c>
    </row>
    <row r="36">
      <c r="A36" t="inlineStr">
        <is>
          <t>Sale of rye and oats</t>
        </is>
      </c>
      <c r="B36" t="inlineStr">
        <is>
          <t>16 shilling 5.5pence from 4 quarters 7.5 bushels of barley sold at the audit, at 3 shilling 4pence a quarters.</t>
        </is>
      </c>
      <c r="C36" t="n">
        <v>0.82</v>
      </c>
      <c r="D36" t="n">
        <v>0</v>
      </c>
      <c r="E36" t="n">
        <v>16</v>
      </c>
      <c r="F36" t="n">
        <v>5.5</v>
      </c>
      <c r="G36" t="inlineStr">
        <is>
          <t>barley</t>
        </is>
      </c>
      <c r="H36" t="n">
        <v>4</v>
      </c>
      <c r="I36" t="n">
        <v>7.5</v>
      </c>
      <c r="J36" t="n">
        <v>4.9375</v>
      </c>
      <c r="K36" t="n">
        <v>4.9375</v>
      </c>
      <c r="L36" t="n">
        <v>0</v>
      </c>
      <c r="M36" t="n">
        <v>4</v>
      </c>
      <c r="N36" t="n">
        <v>7.5</v>
      </c>
      <c r="S36" t="n">
        <v>3</v>
      </c>
      <c r="T36" t="n">
        <v>4</v>
      </c>
    </row>
    <row r="37">
      <c r="A37" t="inlineStr">
        <is>
          <t>Sale of rye and oats</t>
        </is>
      </c>
      <c r="B37" t="inlineStr">
        <is>
          <t>Total, £5 6 shilling 11.25pence</t>
        </is>
      </c>
      <c r="C37" t="n">
        <v>5.35</v>
      </c>
      <c r="D37" t="n">
        <v>5</v>
      </c>
      <c r="E37" t="n">
        <v>6</v>
      </c>
      <c r="F37" t="n">
        <v>11.25</v>
      </c>
      <c r="H37" t="n">
        <v>0</v>
      </c>
      <c r="I37" t="n">
        <v>0</v>
      </c>
      <c r="J37" t="n">
        <v>0</v>
      </c>
      <c r="K37" t="n">
        <v>0</v>
      </c>
      <c r="L37" t="n">
        <v>0</v>
      </c>
      <c r="M37" t="n">
        <v>0</v>
      </c>
      <c r="N37" t="n">
        <v>0</v>
      </c>
    </row>
    <row r="38">
      <c r="A38" t="inlineStr">
        <is>
          <t>Entry fines and perquisites of court</t>
        </is>
      </c>
      <c r="B38" t="inlineStr">
        <is>
          <t>The same renders account for 2 shilling from Matilda de Wexford' for damage done in the lord's wood by 2 cows.</t>
        </is>
      </c>
      <c r="C38" t="n">
        <v>0.1</v>
      </c>
      <c r="D38" t="n">
        <v>0</v>
      </c>
      <c r="E38" t="n">
        <v>2</v>
      </c>
      <c r="F38" t="n">
        <v>0</v>
      </c>
      <c r="H38" t="n">
        <v>0</v>
      </c>
      <c r="I38" t="n">
        <v>0</v>
      </c>
      <c r="J38" t="n">
        <v>0</v>
      </c>
      <c r="K38" t="n">
        <v>0</v>
      </c>
      <c r="L38" t="n">
        <v>0</v>
      </c>
      <c r="M38" t="n">
        <v>0</v>
      </c>
      <c r="N38" t="n">
        <v>0</v>
      </c>
    </row>
    <row r="39">
      <c r="A39" t="inlineStr">
        <is>
          <t>Entry fines and perquisites of court</t>
        </is>
      </c>
      <c r="B39" t="inlineStr">
        <is>
          <t>1 shilling from Belotota le Fort for 1 cow in the lord's wood.</t>
        </is>
      </c>
      <c r="C39" t="n">
        <v>0.05</v>
      </c>
      <c r="D39" t="n">
        <v>0</v>
      </c>
      <c r="E39" t="n">
        <v>1</v>
      </c>
      <c r="F39" t="n">
        <v>0</v>
      </c>
      <c r="H39" t="n">
        <v>0</v>
      </c>
      <c r="I39" t="n">
        <v>0</v>
      </c>
      <c r="J39" t="n">
        <v>0</v>
      </c>
      <c r="K39" t="n">
        <v>0</v>
      </c>
      <c r="L39" t="n">
        <v>0</v>
      </c>
      <c r="M39" t="n">
        <v>0</v>
      </c>
      <c r="N39" t="n">
        <v>0</v>
      </c>
    </row>
    <row r="40">
      <c r="A40" t="inlineStr">
        <is>
          <t>Entry fines and perquisites of court</t>
        </is>
      </c>
      <c r="B40" t="inlineStr">
        <is>
          <t>3 shilling from Richard ate Wod' for 3 bullocks in the lord's wood.</t>
        </is>
      </c>
      <c r="C40" t="n">
        <v>0.15</v>
      </c>
      <c r="D40" t="n">
        <v>0</v>
      </c>
      <c r="E40" t="n">
        <v>3</v>
      </c>
      <c r="F40" t="n">
        <v>0</v>
      </c>
      <c r="H40" t="n">
        <v>0</v>
      </c>
      <c r="I40" t="n">
        <v>0</v>
      </c>
      <c r="J40" t="n">
        <v>0</v>
      </c>
      <c r="K40" t="n">
        <v>0</v>
      </c>
      <c r="L40" t="n">
        <v>0</v>
      </c>
      <c r="M40" t="n">
        <v>0</v>
      </c>
      <c r="N40" t="n">
        <v>0</v>
      </c>
    </row>
    <row r="41">
      <c r="A41" t="inlineStr">
        <is>
          <t>Entry fines and perquisites of court</t>
        </is>
      </c>
      <c r="B41" t="inlineStr">
        <is>
          <t>3 shilling from John Derlyng for 3 bullocks.</t>
        </is>
      </c>
      <c r="C41" t="n">
        <v>0.15</v>
      </c>
      <c r="D41" t="n">
        <v>0</v>
      </c>
      <c r="E41" t="n">
        <v>3</v>
      </c>
      <c r="F41" t="n">
        <v>0</v>
      </c>
      <c r="H41" t="n">
        <v>0</v>
      </c>
      <c r="I41" t="n">
        <v>0</v>
      </c>
      <c r="J41" t="n">
        <v>0</v>
      </c>
      <c r="K41" t="n">
        <v>0</v>
      </c>
      <c r="L41" t="n">
        <v>0</v>
      </c>
      <c r="M41" t="n">
        <v>0</v>
      </c>
      <c r="N41" t="n">
        <v>0</v>
      </c>
    </row>
    <row r="42">
      <c r="A42" t="inlineStr">
        <is>
          <t>Entry fines and perquisites of court</t>
        </is>
      </c>
      <c r="B42" t="inlineStr">
        <is>
          <t>3 shilling from Richard ate Barre for 3 bullocks.</t>
        </is>
      </c>
      <c r="C42" t="n">
        <v>0.15</v>
      </c>
      <c r="D42" t="n">
        <v>0</v>
      </c>
      <c r="E42" t="n">
        <v>3</v>
      </c>
      <c r="F42" t="n">
        <v>0</v>
      </c>
      <c r="H42" t="n">
        <v>0</v>
      </c>
      <c r="I42" t="n">
        <v>0</v>
      </c>
      <c r="J42" t="n">
        <v>0</v>
      </c>
      <c r="K42" t="n">
        <v>0</v>
      </c>
      <c r="L42" t="n">
        <v>0</v>
      </c>
      <c r="M42" t="n">
        <v>0</v>
      </c>
      <c r="N42" t="n">
        <v>0</v>
      </c>
    </row>
    <row r="43">
      <c r="A43" t="inlineStr">
        <is>
          <t>Entry fines and perquisites of court</t>
        </is>
      </c>
      <c r="B43" t="inlineStr">
        <is>
          <t>1 shilling from Alice Bronnemay for 1 bullock.</t>
        </is>
      </c>
      <c r="C43" t="n">
        <v>0.05</v>
      </c>
      <c r="D43" t="n">
        <v>0</v>
      </c>
      <c r="E43" t="n">
        <v>1</v>
      </c>
      <c r="F43" t="n">
        <v>0</v>
      </c>
      <c r="H43" t="n">
        <v>0</v>
      </c>
      <c r="I43" t="n">
        <v>0</v>
      </c>
      <c r="J43" t="n">
        <v>0</v>
      </c>
      <c r="K43" t="n">
        <v>0</v>
      </c>
      <c r="L43" t="n">
        <v>0</v>
      </c>
      <c r="M43" t="n">
        <v>0</v>
      </c>
      <c r="N43" t="n">
        <v>0</v>
      </c>
    </row>
    <row r="44">
      <c r="A44" t="inlineStr">
        <is>
          <t>Entry fines and perquisites of court</t>
        </is>
      </c>
      <c r="B44" t="inlineStr">
        <is>
          <t>2 shilling from John ate Barre for 2 bullocks.</t>
        </is>
      </c>
      <c r="C44" t="n">
        <v>0.1</v>
      </c>
      <c r="D44" t="n">
        <v>0</v>
      </c>
      <c r="E44" t="n">
        <v>2</v>
      </c>
      <c r="F44" t="n">
        <v>0</v>
      </c>
      <c r="H44" t="n">
        <v>0</v>
      </c>
      <c r="I44" t="n">
        <v>0</v>
      </c>
      <c r="J44" t="n">
        <v>0</v>
      </c>
      <c r="K44" t="n">
        <v>0</v>
      </c>
      <c r="L44" t="n">
        <v>0</v>
      </c>
      <c r="M44" t="n">
        <v>0</v>
      </c>
      <c r="N44" t="n">
        <v>0</v>
      </c>
    </row>
    <row r="45">
      <c r="A45" t="inlineStr">
        <is>
          <t>Entry fines and perquisites of court</t>
        </is>
      </c>
      <c r="B45" t="inlineStr">
        <is>
          <t>1 shilling from Richard Hamund for 3 pigs.</t>
        </is>
      </c>
      <c r="C45" t="n">
        <v>0.05</v>
      </c>
      <c r="D45" t="n">
        <v>0</v>
      </c>
      <c r="E45" t="n">
        <v>1</v>
      </c>
      <c r="F45" t="n">
        <v>0</v>
      </c>
      <c r="H45" t="n">
        <v>0</v>
      </c>
      <c r="I45" t="n">
        <v>0</v>
      </c>
      <c r="J45" t="n">
        <v>0</v>
      </c>
      <c r="K45" t="n">
        <v>0</v>
      </c>
      <c r="L45" t="n">
        <v>0</v>
      </c>
      <c r="M45" t="n">
        <v>0</v>
      </c>
      <c r="N45" t="n">
        <v>0</v>
      </c>
    </row>
    <row r="46">
      <c r="A46" t="inlineStr">
        <is>
          <t>Entry fines and perquisites of court</t>
        </is>
      </c>
      <c r="B46" t="inlineStr">
        <is>
          <t>8pence from Alice Bronemay for 2 piglets.</t>
        </is>
      </c>
      <c r="C46" t="n">
        <v>0.03</v>
      </c>
      <c r="D46" t="n">
        <v>0</v>
      </c>
      <c r="E46" t="n">
        <v>0</v>
      </c>
      <c r="F46" t="n">
        <v>8</v>
      </c>
      <c r="H46" t="n">
        <v>0</v>
      </c>
      <c r="I46" t="n">
        <v>0</v>
      </c>
      <c r="J46" t="n">
        <v>0</v>
      </c>
      <c r="K46" t="n">
        <v>0</v>
      </c>
      <c r="L46" t="n">
        <v>0</v>
      </c>
      <c r="M46" t="n">
        <v>0</v>
      </c>
      <c r="N46" t="n">
        <v>0</v>
      </c>
    </row>
    <row r="47">
      <c r="A47" t="inlineStr">
        <is>
          <t>Entry fines and perquisites of court</t>
        </is>
      </c>
      <c r="B47" t="inlineStr">
        <is>
          <t>1 shilling 4pence from John Selueyn for 4 pigs.</t>
        </is>
      </c>
      <c r="C47" t="n">
        <v>0.07000000000000001</v>
      </c>
      <c r="D47" t="n">
        <v>0</v>
      </c>
      <c r="E47" t="n">
        <v>1</v>
      </c>
      <c r="F47" t="n">
        <v>4</v>
      </c>
      <c r="H47" t="n">
        <v>0</v>
      </c>
      <c r="I47" t="n">
        <v>0</v>
      </c>
      <c r="J47" t="n">
        <v>0</v>
      </c>
      <c r="K47" t="n">
        <v>0</v>
      </c>
      <c r="L47" t="n">
        <v>0</v>
      </c>
      <c r="M47" t="n">
        <v>0</v>
      </c>
      <c r="N47" t="n">
        <v>0</v>
      </c>
    </row>
    <row r="48">
      <c r="A48" t="inlineStr">
        <is>
          <t>Entry fines and perquisites of court</t>
        </is>
      </c>
      <c r="B48" t="inlineStr">
        <is>
          <t>4pence from Richard ate Wod' for 1 pig.</t>
        </is>
      </c>
      <c r="C48" t="n">
        <v>0.02</v>
      </c>
      <c r="D48" t="n">
        <v>0</v>
      </c>
      <c r="E48" t="n">
        <v>0</v>
      </c>
      <c r="F48" t="n">
        <v>4</v>
      </c>
      <c r="H48" t="n">
        <v>0</v>
      </c>
      <c r="I48" t="n">
        <v>0</v>
      </c>
      <c r="J48" t="n">
        <v>0</v>
      </c>
      <c r="K48" t="n">
        <v>0</v>
      </c>
      <c r="L48" t="n">
        <v>0</v>
      </c>
      <c r="M48" t="n">
        <v>0</v>
      </c>
      <c r="N48" t="n">
        <v>0</v>
      </c>
    </row>
    <row r="49">
      <c r="A49" t="inlineStr">
        <is>
          <t>Entry fines and perquisites of court</t>
        </is>
      </c>
      <c r="B49" t="inlineStr">
        <is>
          <t>4pence from the relict of Fort for 1 pig.</t>
        </is>
      </c>
      <c r="C49" t="n">
        <v>0.02</v>
      </c>
      <c r="D49" t="n">
        <v>0</v>
      </c>
      <c r="E49" t="n">
        <v>0</v>
      </c>
      <c r="F49" t="n">
        <v>4</v>
      </c>
      <c r="H49" t="n">
        <v>0</v>
      </c>
      <c r="I49" t="n">
        <v>0</v>
      </c>
      <c r="J49" t="n">
        <v>0</v>
      </c>
      <c r="K49" t="n">
        <v>0</v>
      </c>
      <c r="L49" t="n">
        <v>0</v>
      </c>
      <c r="M49" t="n">
        <v>0</v>
      </c>
      <c r="N49" t="n">
        <v>0</v>
      </c>
    </row>
    <row r="50">
      <c r="A50" t="inlineStr">
        <is>
          <t>Entry fines and perquisites of court</t>
        </is>
      </c>
      <c r="B50" t="inlineStr">
        <is>
          <t>4pence from Roger Molendinarius for 1 pig.</t>
        </is>
      </c>
      <c r="C50" t="n">
        <v>0.02</v>
      </c>
      <c r="D50" t="n">
        <v>0</v>
      </c>
      <c r="E50" t="n">
        <v>0</v>
      </c>
      <c r="F50" t="n">
        <v>4</v>
      </c>
      <c r="H50" t="n">
        <v>0</v>
      </c>
      <c r="I50" t="n">
        <v>0</v>
      </c>
      <c r="J50" t="n">
        <v>0</v>
      </c>
      <c r="K50" t="n">
        <v>0</v>
      </c>
      <c r="L50" t="n">
        <v>0</v>
      </c>
      <c r="M50" t="n">
        <v>0</v>
      </c>
      <c r="N50" t="n">
        <v>0</v>
      </c>
    </row>
    <row r="51">
      <c r="A51" t="inlineStr">
        <is>
          <t>Entry fines and perquisites of court</t>
        </is>
      </c>
      <c r="B51" t="inlineStr">
        <is>
          <t>8pence from William ate Claybrigg' for 2 pigs.</t>
        </is>
      </c>
      <c r="C51" t="n">
        <v>0.03</v>
      </c>
      <c r="D51" t="n">
        <v>0</v>
      </c>
      <c r="E51" t="n">
        <v>0</v>
      </c>
      <c r="F51" t="n">
        <v>8</v>
      </c>
      <c r="H51" t="n">
        <v>0</v>
      </c>
      <c r="I51" t="n">
        <v>0</v>
      </c>
      <c r="J51" t="n">
        <v>0</v>
      </c>
      <c r="K51" t="n">
        <v>0</v>
      </c>
      <c r="L51" t="n">
        <v>0</v>
      </c>
      <c r="M51" t="n">
        <v>0</v>
      </c>
      <c r="N51" t="n">
        <v>0</v>
      </c>
    </row>
    <row r="52">
      <c r="A52" t="inlineStr">
        <is>
          <t>Entry fines and perquisites of court</t>
        </is>
      </c>
      <c r="B52" t="inlineStr">
        <is>
          <t>8pence from William de Bolewrth' for 2 pigs.</t>
        </is>
      </c>
      <c r="C52" t="n">
        <v>0.03</v>
      </c>
      <c r="D52" t="n">
        <v>0</v>
      </c>
      <c r="E52" t="n">
        <v>0</v>
      </c>
      <c r="F52" t="n">
        <v>8</v>
      </c>
      <c r="H52" t="n">
        <v>0</v>
      </c>
      <c r="I52" t="n">
        <v>0</v>
      </c>
      <c r="J52" t="n">
        <v>0</v>
      </c>
      <c r="K52" t="n">
        <v>0</v>
      </c>
      <c r="L52" t="n">
        <v>0</v>
      </c>
      <c r="M52" t="n">
        <v>0</v>
      </c>
      <c r="N52" t="n">
        <v>0</v>
      </c>
    </row>
    <row r="53">
      <c r="A53" t="inlineStr">
        <is>
          <t>Entry fines and perquisites of court</t>
        </is>
      </c>
      <c r="B53" t="inlineStr">
        <is>
          <t>1 shilling from John Derlyng for 3 pigs.</t>
        </is>
      </c>
      <c r="C53" t="n">
        <v>0.05</v>
      </c>
      <c r="D53" t="n">
        <v>0</v>
      </c>
      <c r="E53" t="n">
        <v>1</v>
      </c>
      <c r="F53" t="n">
        <v>0</v>
      </c>
      <c r="H53" t="n">
        <v>0</v>
      </c>
      <c r="I53" t="n">
        <v>0</v>
      </c>
      <c r="J53" t="n">
        <v>0</v>
      </c>
      <c r="K53" t="n">
        <v>0</v>
      </c>
      <c r="L53" t="n">
        <v>0</v>
      </c>
      <c r="M53" t="n">
        <v>0</v>
      </c>
      <c r="N53" t="n">
        <v>0</v>
      </c>
    </row>
    <row r="54">
      <c r="A54" t="inlineStr">
        <is>
          <t>Entry fines and perquisites of court</t>
        </is>
      </c>
      <c r="B54" t="inlineStr">
        <is>
          <t>1 shilling from the same for3 piglets.</t>
        </is>
      </c>
      <c r="C54" t="n">
        <v>0.05</v>
      </c>
      <c r="D54" t="n">
        <v>0</v>
      </c>
      <c r="E54" t="n">
        <v>1</v>
      </c>
      <c r="F54" t="n">
        <v>0</v>
      </c>
      <c r="H54" t="n">
        <v>0</v>
      </c>
      <c r="I54" t="n">
        <v>0</v>
      </c>
      <c r="J54" t="n">
        <v>0</v>
      </c>
      <c r="K54" t="n">
        <v>0</v>
      </c>
      <c r="L54" t="n">
        <v>0</v>
      </c>
      <c r="M54" t="n">
        <v>0</v>
      </c>
      <c r="N54" t="n">
        <v>0</v>
      </c>
    </row>
    <row r="55">
      <c r="A55" t="inlineStr">
        <is>
          <t>Entry fines and perquisites of court</t>
        </is>
      </c>
      <c r="B55" t="inlineStr">
        <is>
          <t>8pence from William de Wexford' for 2 pigs.</t>
        </is>
      </c>
      <c r="C55" t="n">
        <v>0.03</v>
      </c>
      <c r="D55" t="n">
        <v>0</v>
      </c>
      <c r="E55" t="n">
        <v>0</v>
      </c>
      <c r="F55" t="n">
        <v>8</v>
      </c>
      <c r="H55" t="n">
        <v>0</v>
      </c>
      <c r="I55" t="n">
        <v>0</v>
      </c>
      <c r="J55" t="n">
        <v>0</v>
      </c>
      <c r="K55" t="n">
        <v>0</v>
      </c>
      <c r="L55" t="n">
        <v>0</v>
      </c>
      <c r="M55" t="n">
        <v>0</v>
      </c>
      <c r="N55" t="n">
        <v>0</v>
      </c>
    </row>
    <row r="56">
      <c r="A56" t="inlineStr">
        <is>
          <t>Entry fines and perquisites of court</t>
        </is>
      </c>
      <c r="B56" t="inlineStr">
        <is>
          <t>4pence from Thomas ate Frith' for 1 piglet.</t>
        </is>
      </c>
      <c r="C56" t="n">
        <v>0.02</v>
      </c>
      <c r="D56" t="n">
        <v>0</v>
      </c>
      <c r="E56" t="n">
        <v>0</v>
      </c>
      <c r="F56" t="n">
        <v>4</v>
      </c>
      <c r="H56" t="n">
        <v>0</v>
      </c>
      <c r="I56" t="n">
        <v>0</v>
      </c>
      <c r="J56" t="n">
        <v>0</v>
      </c>
      <c r="K56" t="n">
        <v>0</v>
      </c>
      <c r="L56" t="n">
        <v>0</v>
      </c>
      <c r="M56" t="n">
        <v>0</v>
      </c>
      <c r="N56" t="n">
        <v>0</v>
      </c>
    </row>
    <row r="57">
      <c r="A57" t="inlineStr">
        <is>
          <t>Entry fines and perquisites of court</t>
        </is>
      </c>
      <c r="B57" t="inlineStr">
        <is>
          <t>4pence from John ate Barre for 1 pig.</t>
        </is>
      </c>
      <c r="C57" t="n">
        <v>0.02</v>
      </c>
      <c r="D57" t="n">
        <v>0</v>
      </c>
      <c r="E57" t="n">
        <v>0</v>
      </c>
      <c r="F57" t="n">
        <v>4</v>
      </c>
      <c r="H57" t="n">
        <v>0</v>
      </c>
      <c r="I57" t="n">
        <v>0</v>
      </c>
      <c r="J57" t="n">
        <v>0</v>
      </c>
      <c r="K57" t="n">
        <v>0</v>
      </c>
      <c r="L57" t="n">
        <v>0</v>
      </c>
      <c r="M57" t="n">
        <v>0</v>
      </c>
      <c r="N57" t="n">
        <v>0</v>
      </c>
    </row>
    <row r="58">
      <c r="A58" t="inlineStr">
        <is>
          <t>Entry fines and perquisites of court</t>
        </is>
      </c>
      <c r="B58" t="inlineStr">
        <is>
          <t>8pence from William Hereberd for 2 pigs.</t>
        </is>
      </c>
      <c r="C58" t="n">
        <v>0.03</v>
      </c>
      <c r="D58" t="n">
        <v>0</v>
      </c>
      <c r="E58" t="n">
        <v>0</v>
      </c>
      <c r="F58" t="n">
        <v>8</v>
      </c>
      <c r="H58" t="n">
        <v>0</v>
      </c>
      <c r="I58" t="n">
        <v>0</v>
      </c>
      <c r="J58" t="n">
        <v>0</v>
      </c>
      <c r="K58" t="n">
        <v>0</v>
      </c>
      <c r="L58" t="n">
        <v>0</v>
      </c>
      <c r="M58" t="n">
        <v>0</v>
      </c>
      <c r="N58" t="n">
        <v>0</v>
      </c>
    </row>
    <row r="59">
      <c r="A59" t="inlineStr">
        <is>
          <t>Entry fines and perquisites of court</t>
        </is>
      </c>
      <c r="B59" t="inlineStr">
        <is>
          <t>2 shilling from Emma Walerond for 6 pigs, because all of these did damage in the lord's wood.</t>
        </is>
      </c>
      <c r="C59" t="n">
        <v>0.1</v>
      </c>
      <c r="D59" t="n">
        <v>0</v>
      </c>
      <c r="E59" t="n">
        <v>2</v>
      </c>
      <c r="F59" t="n">
        <v>0</v>
      </c>
      <c r="H59" t="n">
        <v>0</v>
      </c>
      <c r="I59" t="n">
        <v>0</v>
      </c>
      <c r="J59" t="n">
        <v>0</v>
      </c>
      <c r="K59" t="n">
        <v>0</v>
      </c>
      <c r="L59" t="n">
        <v>0</v>
      </c>
      <c r="M59" t="n">
        <v>0</v>
      </c>
      <c r="N59" t="n">
        <v>0</v>
      </c>
    </row>
    <row r="60">
      <c r="A60" t="inlineStr">
        <is>
          <t>Entry fines and perquisites of court</t>
        </is>
      </c>
      <c r="B60" t="inlineStr">
        <is>
          <t>3pence from John Derlyng for narrowing a certain road too much.</t>
        </is>
      </c>
      <c r="C60" t="n">
        <v>0.01</v>
      </c>
      <c r="D60" t="n">
        <v>0</v>
      </c>
      <c r="E60" t="n">
        <v>0</v>
      </c>
      <c r="F60" t="n">
        <v>3</v>
      </c>
      <c r="H60" t="n">
        <v>0</v>
      </c>
      <c r="I60" t="n">
        <v>0</v>
      </c>
      <c r="J60" t="n">
        <v>0</v>
      </c>
      <c r="K60" t="n">
        <v>0</v>
      </c>
      <c r="L60" t="n">
        <v>0</v>
      </c>
      <c r="M60" t="n">
        <v>0</v>
      </c>
      <c r="N60" t="n">
        <v>0</v>
      </c>
    </row>
    <row r="61">
      <c r="A61" t="inlineStr">
        <is>
          <t>Entry fines and perquisites of court</t>
        </is>
      </c>
      <c r="B61" t="inlineStr">
        <is>
          <t>8 shilling from the whole tahlng-court for various concealments at the hundred-courts of Martinmas and Hockday.</t>
        </is>
      </c>
      <c r="C61" t="n">
        <v>0.4</v>
      </c>
      <c r="D61" t="n">
        <v>0</v>
      </c>
      <c r="E61" t="n">
        <v>8</v>
      </c>
      <c r="F61" t="n">
        <v>0</v>
      </c>
      <c r="H61" t="n">
        <v>0</v>
      </c>
      <c r="I61" t="n">
        <v>0</v>
      </c>
      <c r="J61" t="n">
        <v>0</v>
      </c>
      <c r="K61" t="n">
        <v>0</v>
      </c>
      <c r="L61" t="n">
        <v>0</v>
      </c>
      <c r="M61" t="n">
        <v>0</v>
      </c>
      <c r="N61" t="n">
        <v>0</v>
      </c>
    </row>
    <row r="62">
      <c r="A62" t="inlineStr">
        <is>
          <t>Entry fines and perquisites of court</t>
        </is>
      </c>
      <c r="B62" t="inlineStr">
        <is>
          <t>6pence from Matilda de Wexford' for brewing and selling ale against the assize.</t>
        </is>
      </c>
      <c r="C62" t="n">
        <v>0.03</v>
      </c>
      <c r="D62" t="n">
        <v>0</v>
      </c>
      <c r="E62" t="n">
        <v>0</v>
      </c>
      <c r="F62" t="n">
        <v>6</v>
      </c>
      <c r="H62" t="n">
        <v>0</v>
      </c>
      <c r="I62" t="n">
        <v>0</v>
      </c>
      <c r="J62" t="n">
        <v>0</v>
      </c>
      <c r="K62" t="n">
        <v>0</v>
      </c>
      <c r="L62" t="n">
        <v>0</v>
      </c>
      <c r="M62" t="n">
        <v>0</v>
      </c>
      <c r="N62" t="n">
        <v>0</v>
      </c>
    </row>
    <row r="63">
      <c r="A63" t="inlineStr">
        <is>
          <t>Entry fines and perquisites of court</t>
        </is>
      </c>
      <c r="B63" t="inlineStr">
        <is>
          <t>3pence from John Durlyng for the same.</t>
        </is>
      </c>
      <c r="C63" t="n">
        <v>0.01</v>
      </c>
      <c r="D63" t="n">
        <v>0</v>
      </c>
      <c r="E63" t="n">
        <v>0</v>
      </c>
      <c r="F63" t="n">
        <v>3</v>
      </c>
      <c r="H63" t="n">
        <v>0</v>
      </c>
      <c r="I63" t="n">
        <v>0</v>
      </c>
      <c r="J63" t="n">
        <v>0</v>
      </c>
      <c r="K63" t="n">
        <v>0</v>
      </c>
      <c r="L63" t="n">
        <v>0</v>
      </c>
      <c r="M63" t="n">
        <v>0</v>
      </c>
      <c r="N63" t="n">
        <v>0</v>
      </c>
    </row>
    <row r="64">
      <c r="A64" t="inlineStr">
        <is>
          <t>Entry fines and perquisites of court</t>
        </is>
      </c>
      <c r="B64" t="inlineStr">
        <is>
          <t>6pence from William de Bulewrth' for the same.</t>
        </is>
      </c>
      <c r="C64" t="n">
        <v>0.03</v>
      </c>
      <c r="D64" t="n">
        <v>0</v>
      </c>
      <c r="E64" t="n">
        <v>0</v>
      </c>
      <c r="F64" t="n">
        <v>6</v>
      </c>
      <c r="H64" t="n">
        <v>0</v>
      </c>
      <c r="I64" t="n">
        <v>0</v>
      </c>
      <c r="J64" t="n">
        <v>0</v>
      </c>
      <c r="K64" t="n">
        <v>0</v>
      </c>
      <c r="L64" t="n">
        <v>0</v>
      </c>
      <c r="M64" t="n">
        <v>0</v>
      </c>
      <c r="N64" t="n">
        <v>0</v>
      </c>
    </row>
    <row r="65">
      <c r="A65" t="inlineStr">
        <is>
          <t>Entry fines and perquisites of court</t>
        </is>
      </c>
      <c r="B65" t="inlineStr">
        <is>
          <t>3pence from Richard ate Wod' for the same.</t>
        </is>
      </c>
      <c r="C65" t="n">
        <v>0.01</v>
      </c>
      <c r="D65" t="n">
        <v>0</v>
      </c>
      <c r="E65" t="n">
        <v>0</v>
      </c>
      <c r="F65" t="n">
        <v>3</v>
      </c>
      <c r="H65" t="n">
        <v>0</v>
      </c>
      <c r="I65" t="n">
        <v>0</v>
      </c>
      <c r="J65" t="n">
        <v>0</v>
      </c>
      <c r="K65" t="n">
        <v>0</v>
      </c>
      <c r="L65" t="n">
        <v>0</v>
      </c>
      <c r="M65" t="n">
        <v>0</v>
      </c>
      <c r="N65" t="n">
        <v>0</v>
      </c>
    </row>
    <row r="66">
      <c r="A66" t="inlineStr">
        <is>
          <t>Entry fines and perquisites of court</t>
        </is>
      </c>
      <c r="B66" t="inlineStr">
        <is>
          <t>6pence from Matilda ate Feld' for the same.</t>
        </is>
      </c>
      <c r="C66" t="n">
        <v>0.03</v>
      </c>
      <c r="D66" t="n">
        <v>0</v>
      </c>
      <c r="E66" t="n">
        <v>0</v>
      </c>
      <c r="F66" t="n">
        <v>6</v>
      </c>
      <c r="H66" t="n">
        <v>0</v>
      </c>
      <c r="I66" t="n">
        <v>0</v>
      </c>
      <c r="J66" t="n">
        <v>0</v>
      </c>
      <c r="K66" t="n">
        <v>0</v>
      </c>
      <c r="L66" t="n">
        <v>0</v>
      </c>
      <c r="M66" t="n">
        <v>0</v>
      </c>
      <c r="N66" t="n">
        <v>0</v>
      </c>
    </row>
    <row r="67">
      <c r="A67" t="inlineStr">
        <is>
          <t>Entry fines and perquisites of court</t>
        </is>
      </c>
      <c r="B67" t="inlineStr">
        <is>
          <t>6pence from Richard Hamund for the same.</t>
        </is>
      </c>
      <c r="C67" t="n">
        <v>0.03</v>
      </c>
      <c r="D67" t="n">
        <v>0</v>
      </c>
      <c r="E67" t="n">
        <v>0</v>
      </c>
      <c r="F67" t="n">
        <v>6</v>
      </c>
      <c r="H67" t="n">
        <v>0</v>
      </c>
      <c r="I67" t="n">
        <v>0</v>
      </c>
      <c r="J67" t="n">
        <v>0</v>
      </c>
      <c r="K67" t="n">
        <v>0</v>
      </c>
      <c r="L67" t="n">
        <v>0</v>
      </c>
      <c r="M67" t="n">
        <v>0</v>
      </c>
      <c r="N67" t="n">
        <v>0</v>
      </c>
    </row>
    <row r="68">
      <c r="A68" t="inlineStr">
        <is>
          <t>Entry fines and perquisites of court</t>
        </is>
      </c>
      <c r="B68" t="inlineStr">
        <is>
          <t>3pence from Thomas Sewyn' for the same.</t>
        </is>
      </c>
      <c r="C68" t="n">
        <v>0.01</v>
      </c>
      <c r="D68" t="n">
        <v>0</v>
      </c>
      <c r="E68" t="n">
        <v>0</v>
      </c>
      <c r="F68" t="n">
        <v>3</v>
      </c>
      <c r="H68" t="n">
        <v>0</v>
      </c>
      <c r="I68" t="n">
        <v>0</v>
      </c>
      <c r="J68" t="n">
        <v>0</v>
      </c>
      <c r="K68" t="n">
        <v>0</v>
      </c>
      <c r="L68" t="n">
        <v>0</v>
      </c>
      <c r="M68" t="n">
        <v>0</v>
      </c>
      <c r="N68" t="n">
        <v>0</v>
      </c>
    </row>
    <row r="69">
      <c r="A69" t="inlineStr">
        <is>
          <t>Entry fines and perquisites of court</t>
        </is>
      </c>
      <c r="B69" t="inlineStr">
        <is>
          <t>3pence from Alice le Wyn'.</t>
        </is>
      </c>
      <c r="C69" t="n">
        <v>0.01</v>
      </c>
      <c r="D69" t="n">
        <v>0</v>
      </c>
      <c r="E69" t="n">
        <v>0</v>
      </c>
      <c r="F69" t="n">
        <v>3</v>
      </c>
      <c r="H69" t="n">
        <v>0</v>
      </c>
      <c r="I69" t="n">
        <v>0</v>
      </c>
      <c r="J69" t="n">
        <v>0</v>
      </c>
      <c r="K69" t="n">
        <v>0</v>
      </c>
      <c r="L69" t="n">
        <v>0</v>
      </c>
      <c r="M69" t="n">
        <v>0</v>
      </c>
      <c r="N69" t="n">
        <v>0</v>
      </c>
    </row>
    <row r="70">
      <c r="A70" t="inlineStr">
        <is>
          <t>Entry fines and perquisites of court</t>
        </is>
      </c>
      <c r="B70" t="inlineStr">
        <is>
          <t>3pence from John atte Barre for the same.</t>
        </is>
      </c>
      <c r="C70" t="n">
        <v>0.01</v>
      </c>
      <c r="D70" t="n">
        <v>0</v>
      </c>
      <c r="E70" t="n">
        <v>0</v>
      </c>
      <c r="F70" t="n">
        <v>3</v>
      </c>
      <c r="H70" t="n">
        <v>0</v>
      </c>
      <c r="I70" t="n">
        <v>0</v>
      </c>
      <c r="J70" t="n">
        <v>0</v>
      </c>
      <c r="K70" t="n">
        <v>0</v>
      </c>
      <c r="L70" t="n">
        <v>0</v>
      </c>
      <c r="M70" t="n">
        <v>0</v>
      </c>
      <c r="N70" t="n">
        <v>0</v>
      </c>
    </row>
    <row r="71">
      <c r="A71" t="inlineStr">
        <is>
          <t>Entry fines and perquisites of court</t>
        </is>
      </c>
      <c r="B71" t="inlineStr">
        <is>
          <t>3pence from Alice Bronnemay for the same.</t>
        </is>
      </c>
      <c r="C71" t="n">
        <v>0.01</v>
      </c>
      <c r="D71" t="n">
        <v>0</v>
      </c>
      <c r="E71" t="n">
        <v>0</v>
      </c>
      <c r="F71" t="n">
        <v>3</v>
      </c>
      <c r="H71" t="n">
        <v>0</v>
      </c>
      <c r="I71" t="n">
        <v>0</v>
      </c>
      <c r="J71" t="n">
        <v>0</v>
      </c>
      <c r="K71" t="n">
        <v>0</v>
      </c>
      <c r="L71" t="n">
        <v>0</v>
      </c>
      <c r="M71" t="n">
        <v>0</v>
      </c>
      <c r="N71" t="n">
        <v>0</v>
      </c>
    </row>
    <row r="72">
      <c r="A72" t="inlineStr">
        <is>
          <t>Entry fines and perquisites of court</t>
        </is>
      </c>
      <c r="B72" t="inlineStr">
        <is>
          <t>3pence from Agnes ate Mull' for the same.</t>
        </is>
      </c>
      <c r="C72" t="n">
        <v>0.01</v>
      </c>
      <c r="D72" t="n">
        <v>0</v>
      </c>
      <c r="E72" t="n">
        <v>0</v>
      </c>
      <c r="F72" t="n">
        <v>3</v>
      </c>
      <c r="H72" t="n">
        <v>0</v>
      </c>
      <c r="I72" t="n">
        <v>0</v>
      </c>
      <c r="J72" t="n">
        <v>0</v>
      </c>
      <c r="K72" t="n">
        <v>0</v>
      </c>
      <c r="L72" t="n">
        <v>0</v>
      </c>
      <c r="M72" t="n">
        <v>0</v>
      </c>
      <c r="N72" t="n">
        <v>0</v>
      </c>
    </row>
    <row r="73">
      <c r="A73" t="inlineStr">
        <is>
          <t>Entry fines and perquisites of court</t>
        </is>
      </c>
      <c r="B73" t="inlineStr">
        <is>
          <t>3pence from Roger Molendinarius for the same.</t>
        </is>
      </c>
      <c r="C73" t="n">
        <v>0.01</v>
      </c>
      <c r="D73" t="n">
        <v>0</v>
      </c>
      <c r="E73" t="n">
        <v>0</v>
      </c>
      <c r="F73" t="n">
        <v>3</v>
      </c>
      <c r="H73" t="n">
        <v>0</v>
      </c>
      <c r="I73" t="n">
        <v>0</v>
      </c>
      <c r="J73" t="n">
        <v>0</v>
      </c>
      <c r="K73" t="n">
        <v>0</v>
      </c>
      <c r="L73" t="n">
        <v>0</v>
      </c>
      <c r="M73" t="n">
        <v>0</v>
      </c>
      <c r="N73" t="n">
        <v>0</v>
      </c>
    </row>
    <row r="74">
      <c r="A74" t="inlineStr">
        <is>
          <t>Entry fines and perquisites of court</t>
        </is>
      </c>
      <c r="B74" t="inlineStr">
        <is>
          <t>3pence from William de Wexford' for the same.</t>
        </is>
      </c>
      <c r="C74" t="n">
        <v>0.01</v>
      </c>
      <c r="D74" t="n">
        <v>0</v>
      </c>
      <c r="E74" t="n">
        <v>0</v>
      </c>
      <c r="F74" t="n">
        <v>3</v>
      </c>
      <c r="H74" t="n">
        <v>0</v>
      </c>
      <c r="I74" t="n">
        <v>0</v>
      </c>
      <c r="J74" t="n">
        <v>0</v>
      </c>
      <c r="K74" t="n">
        <v>0</v>
      </c>
      <c r="L74" t="n">
        <v>0</v>
      </c>
      <c r="M74" t="n">
        <v>0</v>
      </c>
      <c r="N74" t="n">
        <v>0</v>
      </c>
    </row>
    <row r="75">
      <c r="A75" t="inlineStr">
        <is>
          <t>Entry fines and perquisites of court</t>
        </is>
      </c>
      <c r="B75" t="inlineStr">
        <is>
          <t>3pence from Thomas ate Frith' for the same.</t>
        </is>
      </c>
      <c r="C75" t="n">
        <v>0.01</v>
      </c>
      <c r="D75" t="n">
        <v>0</v>
      </c>
      <c r="E75" t="n">
        <v>0</v>
      </c>
      <c r="F75" t="n">
        <v>3</v>
      </c>
      <c r="H75" t="n">
        <v>0</v>
      </c>
      <c r="I75" t="n">
        <v>0</v>
      </c>
      <c r="J75" t="n">
        <v>0</v>
      </c>
      <c r="K75" t="n">
        <v>0</v>
      </c>
      <c r="L75" t="n">
        <v>0</v>
      </c>
      <c r="M75" t="n">
        <v>0</v>
      </c>
      <c r="N75" t="n">
        <v>0</v>
      </c>
    </row>
    <row r="76">
      <c r="A76" t="inlineStr">
        <is>
          <t>Entry fines and perquisites of court</t>
        </is>
      </c>
      <c r="B76" t="inlineStr">
        <is>
          <t>3pence from Alexander le Vinerun for the same.</t>
        </is>
      </c>
      <c r="C76" t="n">
        <v>0.01</v>
      </c>
      <c r="D76" t="n">
        <v>0</v>
      </c>
      <c r="E76" t="n">
        <v>0</v>
      </c>
      <c r="F76" t="n">
        <v>3</v>
      </c>
      <c r="H76" t="n">
        <v>0</v>
      </c>
      <c r="I76" t="n">
        <v>0</v>
      </c>
      <c r="J76" t="n">
        <v>0</v>
      </c>
      <c r="K76" t="n">
        <v>0</v>
      </c>
      <c r="L76" t="n">
        <v>0</v>
      </c>
      <c r="M76" t="n">
        <v>0</v>
      </c>
      <c r="N76" t="n">
        <v>0</v>
      </c>
    </row>
    <row r="77">
      <c r="A77" t="inlineStr">
        <is>
          <t>Entry fines and perquisites of court</t>
        </is>
      </c>
      <c r="B77" t="inlineStr">
        <is>
          <t>3pence from Robert ate Frith' for trespass made by 1 cow in the lord's wood.</t>
        </is>
      </c>
      <c r="C77" t="n">
        <v>0.01</v>
      </c>
      <c r="D77" t="n">
        <v>0</v>
      </c>
      <c r="E77" t="n">
        <v>0</v>
      </c>
      <c r="F77" t="n">
        <v>3</v>
      </c>
      <c r="H77" t="n">
        <v>0</v>
      </c>
      <c r="I77" t="n">
        <v>0</v>
      </c>
      <c r="J77" t="n">
        <v>0</v>
      </c>
      <c r="K77" t="n">
        <v>0</v>
      </c>
      <c r="L77" t="n">
        <v>0</v>
      </c>
      <c r="M77" t="n">
        <v>0</v>
      </c>
      <c r="N77" t="n">
        <v>0</v>
      </c>
    </row>
    <row r="78">
      <c r="A78" t="inlineStr">
        <is>
          <t>Entry fines and perquisites of court</t>
        </is>
      </c>
      <c r="B78" t="inlineStr">
        <is>
          <t>1 shilling from John Selueyn for the same by 3 cows.</t>
        </is>
      </c>
      <c r="C78" t="n">
        <v>0.05</v>
      </c>
      <c r="D78" t="n">
        <v>0</v>
      </c>
      <c r="E78" t="n">
        <v>1</v>
      </c>
      <c r="F78" t="n">
        <v>0</v>
      </c>
      <c r="H78" t="n">
        <v>0</v>
      </c>
      <c r="I78" t="n">
        <v>0</v>
      </c>
      <c r="J78" t="n">
        <v>0</v>
      </c>
      <c r="K78" t="n">
        <v>0</v>
      </c>
      <c r="L78" t="n">
        <v>0</v>
      </c>
      <c r="M78" t="n">
        <v>0</v>
      </c>
      <c r="N78" t="n">
        <v>0</v>
      </c>
    </row>
    <row r="79">
      <c r="A79" t="inlineStr">
        <is>
          <t>Entry fines and perquisites of court</t>
        </is>
      </c>
      <c r="B79" t="inlineStr">
        <is>
          <t>1 shilling from the same John for transgression against Richard ate Barre.</t>
        </is>
      </c>
      <c r="C79" t="n">
        <v>0.05</v>
      </c>
      <c r="D79" t="n">
        <v>0</v>
      </c>
      <c r="E79" t="n">
        <v>1</v>
      </c>
      <c r="F79" t="n">
        <v>0</v>
      </c>
      <c r="H79" t="n">
        <v>0</v>
      </c>
      <c r="I79" t="n">
        <v>0</v>
      </c>
      <c r="J79" t="n">
        <v>0</v>
      </c>
      <c r="K79" t="n">
        <v>0</v>
      </c>
      <c r="L79" t="n">
        <v>0</v>
      </c>
      <c r="M79" t="n">
        <v>0</v>
      </c>
      <c r="N79" t="n">
        <v>0</v>
      </c>
    </row>
    <row r="80">
      <c r="A80" t="inlineStr">
        <is>
          <t>Entry fines and perquisites of court</t>
        </is>
      </c>
      <c r="B80" t="inlineStr">
        <is>
          <t>6pence from Richard ate Barre for trespass in the lord's wood by his beasts (best').</t>
        </is>
      </c>
      <c r="C80" t="n">
        <v>0.03</v>
      </c>
      <c r="D80" t="n">
        <v>0</v>
      </c>
      <c r="E80" t="n">
        <v>0</v>
      </c>
      <c r="F80" t="n">
        <v>6</v>
      </c>
      <c r="H80" t="n">
        <v>0</v>
      </c>
      <c r="I80" t="n">
        <v>0</v>
      </c>
      <c r="J80" t="n">
        <v>0</v>
      </c>
      <c r="K80" t="n">
        <v>0</v>
      </c>
      <c r="L80" t="n">
        <v>0</v>
      </c>
      <c r="M80" t="n">
        <v>0</v>
      </c>
      <c r="N80" t="n">
        <v>0</v>
      </c>
    </row>
    <row r="81">
      <c r="A81" t="inlineStr">
        <is>
          <t>Entry fines and perquisites of court</t>
        </is>
      </c>
      <c r="B81" t="inlineStr">
        <is>
          <t>6pence from John Derlyng' for 2 plough-horses in the lord's wood.</t>
        </is>
      </c>
      <c r="C81" t="n">
        <v>0.03</v>
      </c>
      <c r="D81" t="n">
        <v>0</v>
      </c>
      <c r="E81" t="n">
        <v>0</v>
      </c>
      <c r="F81" t="n">
        <v>6</v>
      </c>
      <c r="H81" t="n">
        <v>0</v>
      </c>
      <c r="I81" t="n">
        <v>0</v>
      </c>
      <c r="J81" t="n">
        <v>0</v>
      </c>
      <c r="K81" t="n">
        <v>0</v>
      </c>
      <c r="L81" t="n">
        <v>0</v>
      </c>
      <c r="M81" t="n">
        <v>0</v>
      </c>
      <c r="N81" t="n">
        <v>0</v>
      </c>
    </row>
    <row r="82">
      <c r="A82" t="inlineStr">
        <is>
          <t>Entry fines and perquisites of court</t>
        </is>
      </c>
      <c r="B82" t="inlineStr">
        <is>
          <t>6pence from Richard le Rotur for breaking a certain agreement between himself and John Selueyn.</t>
        </is>
      </c>
      <c r="C82" t="n">
        <v>0.03</v>
      </c>
      <c r="D82" t="n">
        <v>0</v>
      </c>
      <c r="E82" t="n">
        <v>0</v>
      </c>
      <c r="F82" t="n">
        <v>6</v>
      </c>
      <c r="H82" t="n">
        <v>0</v>
      </c>
      <c r="I82" t="n">
        <v>0</v>
      </c>
      <c r="J82" t="n">
        <v>0</v>
      </c>
      <c r="K82" t="n">
        <v>0</v>
      </c>
      <c r="L82" t="n">
        <v>0</v>
      </c>
      <c r="M82" t="n">
        <v>0</v>
      </c>
      <c r="N82" t="n">
        <v>0</v>
      </c>
    </row>
    <row r="83">
      <c r="A83" t="inlineStr">
        <is>
          <t>Entry fines and perquisites of court</t>
        </is>
      </c>
      <c r="B83" t="inlineStr">
        <is>
          <t>Total, £2 3 shilling 1pence</t>
        </is>
      </c>
      <c r="C83" t="n">
        <v>2.15</v>
      </c>
      <c r="D83" t="n">
        <v>2</v>
      </c>
      <c r="E83" t="n">
        <v>3</v>
      </c>
      <c r="F83" t="n">
        <v>1</v>
      </c>
      <c r="H83" t="n">
        <v>0</v>
      </c>
      <c r="I83" t="n">
        <v>0</v>
      </c>
      <c r="J83" t="n">
        <v>0</v>
      </c>
      <c r="K83" t="n">
        <v>0</v>
      </c>
      <c r="L83" t="n">
        <v>0</v>
      </c>
      <c r="M83" t="n">
        <v>0</v>
      </c>
      <c r="N83" t="n">
        <v>0</v>
      </c>
    </row>
    <row r="84">
      <c r="A84" t="inlineStr">
        <is>
          <t>Hall of Kingston</t>
        </is>
      </c>
      <c r="B84" t="inlineStr">
        <is>
          <t>The same renders account for 1 shilling 6pence from the brewers of Kingston because they sold ale against the assize.</t>
        </is>
      </c>
      <c r="C84" t="n">
        <v>0.08</v>
      </c>
      <c r="D84" t="n">
        <v>0</v>
      </c>
      <c r="E84" t="n">
        <v>1</v>
      </c>
      <c r="F84" t="n">
        <v>6</v>
      </c>
      <c r="H84" t="n">
        <v>0</v>
      </c>
      <c r="I84" t="n">
        <v>0</v>
      </c>
      <c r="J84" t="n">
        <v>0</v>
      </c>
      <c r="K84" t="n">
        <v>0</v>
      </c>
      <c r="L84" t="n">
        <v>0</v>
      </c>
      <c r="M84" t="n">
        <v>0</v>
      </c>
      <c r="N84" t="n">
        <v>0</v>
      </c>
    </row>
    <row r="85">
      <c r="A85" t="inlineStr">
        <is>
          <t>Hall of Kingston</t>
        </is>
      </c>
      <c r="B85" t="inlineStr">
        <is>
          <t>Total, 1 shilling 6pence</t>
        </is>
      </c>
      <c r="C85" t="n">
        <v>0.08</v>
      </c>
      <c r="D85" t="n">
        <v>0</v>
      </c>
      <c r="E85" t="n">
        <v>1</v>
      </c>
      <c r="F85" t="n">
        <v>6</v>
      </c>
      <c r="H85" t="n">
        <v>0</v>
      </c>
      <c r="I85" t="n">
        <v>0</v>
      </c>
      <c r="J85" t="n">
        <v>0</v>
      </c>
      <c r="K85" t="n">
        <v>0</v>
      </c>
      <c r="L85" t="n">
        <v>0</v>
      </c>
      <c r="M85" t="n">
        <v>0</v>
      </c>
      <c r="N85" t="n">
        <v>0</v>
      </c>
    </row>
    <row r="86">
      <c r="A86" t="inlineStr">
        <is>
          <t>Total of all receipts</t>
        </is>
      </c>
      <c r="B86" t="inlineStr">
        <is>
          <t>Total of all receipts, £17 9 shilling 3.75pence</t>
        </is>
      </c>
      <c r="C86" t="n">
        <v>17.47</v>
      </c>
      <c r="D86" t="n">
        <v>17</v>
      </c>
      <c r="E86" t="n">
        <v>9</v>
      </c>
      <c r="F86" t="n">
        <v>3.75</v>
      </c>
      <c r="H86" t="n">
        <v>0</v>
      </c>
      <c r="I86" t="n">
        <v>0</v>
      </c>
      <c r="J86" t="n">
        <v>0</v>
      </c>
      <c r="K86" t="n">
        <v>0</v>
      </c>
      <c r="L86" t="n">
        <v>0</v>
      </c>
      <c r="M86" t="n">
        <v>0</v>
      </c>
      <c r="N86" t="n">
        <v>0</v>
      </c>
    </row>
    <row r="87">
      <c r="A87" t="inlineStr">
        <is>
          <t>Cost of ploughs</t>
        </is>
      </c>
      <c r="B87" t="inlineStr">
        <is>
          <t>In 2 plough feet bought and fitted to the ploughs 6pence.</t>
        </is>
      </c>
      <c r="C87" t="n">
        <v>0.03</v>
      </c>
      <c r="D87" t="n">
        <v>0</v>
      </c>
      <c r="E87" t="n">
        <v>0</v>
      </c>
      <c r="F87" t="n">
        <v>6</v>
      </c>
      <c r="H87" t="n">
        <v>0</v>
      </c>
      <c r="I87" t="n">
        <v>0</v>
      </c>
      <c r="J87" t="n">
        <v>0</v>
      </c>
      <c r="K87" t="n">
        <v>0</v>
      </c>
      <c r="L87" t="n">
        <v>0</v>
      </c>
      <c r="M87" t="n">
        <v>0</v>
      </c>
      <c r="N87" t="n">
        <v>0</v>
      </c>
    </row>
    <row r="88">
      <c r="A88" t="inlineStr">
        <is>
          <t>Cost of ploughs</t>
        </is>
      </c>
      <c r="B88" t="inlineStr">
        <is>
          <t>1 pair of wheels bought for the ploughs 4pence.</t>
        </is>
      </c>
      <c r="C88" t="n">
        <v>0.02</v>
      </c>
      <c r="D88" t="n">
        <v>0</v>
      </c>
      <c r="E88" t="n">
        <v>0</v>
      </c>
      <c r="F88" t="n">
        <v>4</v>
      </c>
      <c r="H88" t="n">
        <v>0</v>
      </c>
      <c r="I88" t="n">
        <v>0</v>
      </c>
      <c r="J88" t="n">
        <v>0</v>
      </c>
      <c r="K88" t="n">
        <v>0</v>
      </c>
      <c r="L88" t="n">
        <v>0</v>
      </c>
      <c r="M88" t="n">
        <v>0</v>
      </c>
      <c r="N88" t="n">
        <v>0</v>
      </c>
    </row>
    <row r="89">
      <c r="A89" t="inlineStr">
        <is>
          <t>Cost of ploughs</t>
        </is>
      </c>
      <c r="B89" t="inlineStr">
        <is>
          <t>stipend of the smith repairing the ironwork of the ploughs for the year 4 shilling.</t>
        </is>
      </c>
      <c r="C89" t="n">
        <v>0.2</v>
      </c>
      <c r="D89" t="n">
        <v>0</v>
      </c>
      <c r="E89" t="n">
        <v>4</v>
      </c>
      <c r="F89" t="n">
        <v>0</v>
      </c>
      <c r="H89" t="n">
        <v>0</v>
      </c>
      <c r="I89" t="n">
        <v>0</v>
      </c>
      <c r="J89" t="n">
        <v>0</v>
      </c>
      <c r="K89" t="n">
        <v>0</v>
      </c>
      <c r="L89" t="n">
        <v>0</v>
      </c>
      <c r="M89" t="n">
        <v>0</v>
      </c>
      <c r="N89" t="n">
        <v>0</v>
      </c>
    </row>
    <row r="90">
      <c r="A90" t="inlineStr">
        <is>
          <t>Cost of ploughs</t>
        </is>
      </c>
      <c r="B90" t="inlineStr">
        <is>
          <t>32 herrings bought for 16 harrowers at the sowing of the oats, 3pence this year, and each had 2 herrings.</t>
        </is>
      </c>
      <c r="C90" t="n">
        <v>0.01</v>
      </c>
      <c r="D90" t="n">
        <v>0</v>
      </c>
      <c r="E90" t="n">
        <v>0</v>
      </c>
      <c r="F90" t="n">
        <v>3</v>
      </c>
      <c r="G90" t="inlineStr">
        <is>
          <t>oats</t>
        </is>
      </c>
      <c r="H90" t="n">
        <v>0</v>
      </c>
      <c r="I90" t="n">
        <v>0</v>
      </c>
      <c r="J90" t="n">
        <v>0</v>
      </c>
      <c r="K90" t="n">
        <v>0</v>
      </c>
      <c r="L90" t="n">
        <v>0</v>
      </c>
      <c r="M90" t="n">
        <v>0</v>
      </c>
      <c r="N90" t="n">
        <v>0</v>
      </c>
    </row>
    <row r="91">
      <c r="A91" t="inlineStr">
        <is>
          <t>Cost of ploughs</t>
        </is>
      </c>
      <c r="B91" t="inlineStr">
        <is>
          <t>.</t>
        </is>
      </c>
      <c r="C91" t="n">
        <v>0</v>
      </c>
      <c r="D91" t="n">
        <v>0</v>
      </c>
      <c r="E91" t="n">
        <v>0</v>
      </c>
      <c r="F91" t="n">
        <v>0</v>
      </c>
      <c r="H91" t="n">
        <v>0</v>
      </c>
      <c r="I91" t="n">
        <v>0</v>
      </c>
      <c r="J91" t="n">
        <v>0</v>
      </c>
      <c r="K91" t="n">
        <v>0</v>
      </c>
      <c r="L91" t="n">
        <v>0</v>
      </c>
      <c r="M91" t="n">
        <v>0</v>
      </c>
      <c r="N91" t="n">
        <v>0</v>
      </c>
    </row>
    <row r="92">
      <c r="A92" t="inlineStr">
        <is>
          <t>Cost of ploughs</t>
        </is>
      </c>
      <c r="B92" t="inlineStr">
        <is>
          <t>stipend of the ploughman for the year 6 shilling.</t>
        </is>
      </c>
      <c r="C92" t="n">
        <v>0.3</v>
      </c>
      <c r="D92" t="n">
        <v>0</v>
      </c>
      <c r="E92" t="n">
        <v>6</v>
      </c>
      <c r="F92" t="n">
        <v>0</v>
      </c>
      <c r="H92" t="n">
        <v>0</v>
      </c>
      <c r="I92" t="n">
        <v>0</v>
      </c>
      <c r="J92" t="n">
        <v>0</v>
      </c>
      <c r="K92" t="n">
        <v>0</v>
      </c>
      <c r="L92" t="n">
        <v>0</v>
      </c>
      <c r="M92" t="n">
        <v>0</v>
      </c>
      <c r="N92" t="n">
        <v>0</v>
      </c>
    </row>
    <row r="93">
      <c r="A93" t="inlineStr">
        <is>
          <t>Cost of ploughs</t>
        </is>
      </c>
      <c r="B93" t="inlineStr">
        <is>
          <t>stipend of the drover for the year 5 shilling Total, 16 shilling 1pence</t>
        </is>
      </c>
      <c r="C93" t="n">
        <v>0.25</v>
      </c>
      <c r="D93" t="n">
        <v>0</v>
      </c>
      <c r="E93" t="n">
        <v>5</v>
      </c>
      <c r="F93" t="n">
        <v>1</v>
      </c>
      <c r="H93" t="n">
        <v>0</v>
      </c>
      <c r="I93" t="n">
        <v>0</v>
      </c>
      <c r="J93" t="n">
        <v>0</v>
      </c>
      <c r="K93" t="n">
        <v>0</v>
      </c>
      <c r="L93" t="n">
        <v>0</v>
      </c>
      <c r="M93" t="n">
        <v>0</v>
      </c>
      <c r="N93" t="n">
        <v>0</v>
      </c>
    </row>
    <row r="94">
      <c r="A94" t="inlineStr">
        <is>
          <t>Purchase of barley</t>
        </is>
      </c>
      <c r="B94" t="inlineStr">
        <is>
          <t>In 25 quarters 5 bushels of barley bought for the liveries of the manorial servants and the</t>
        </is>
      </c>
      <c r="C94" t="n">
        <v>0</v>
      </c>
      <c r="D94" t="n">
        <v>0</v>
      </c>
      <c r="E94" t="n">
        <v>0</v>
      </c>
      <c r="F94" t="n">
        <v>0</v>
      </c>
      <c r="G94" t="inlineStr">
        <is>
          <t>barley</t>
        </is>
      </c>
      <c r="H94" t="n">
        <v>25</v>
      </c>
      <c r="I94" t="n">
        <v>5</v>
      </c>
      <c r="J94" t="n">
        <v>25.625</v>
      </c>
      <c r="K94" t="n">
        <v>25.625</v>
      </c>
      <c r="L94" t="n">
        <v>0</v>
      </c>
      <c r="M94" t="n">
        <v>25</v>
      </c>
      <c r="N94" t="n">
        <v>5</v>
      </c>
    </row>
    <row r="95">
      <c r="A95" t="inlineStr">
        <is>
          <t>Purchase of barley</t>
        </is>
      </c>
      <c r="B95" t="inlineStr">
        <is>
          <t>provision of the harvest £4 5 shilling 5pence, at 3 shilling 4pence a quarters.</t>
        </is>
      </c>
      <c r="C95" t="n">
        <v>4.27</v>
      </c>
      <c r="D95" t="n">
        <v>4</v>
      </c>
      <c r="E95" t="n">
        <v>5</v>
      </c>
      <c r="F95" t="n">
        <v>5</v>
      </c>
      <c r="H95" t="n">
        <v>0</v>
      </c>
      <c r="I95" t="n">
        <v>0</v>
      </c>
      <c r="J95" t="n">
        <v>0</v>
      </c>
      <c r="K95" t="n">
        <v>0</v>
      </c>
      <c r="L95" t="n">
        <v>0</v>
      </c>
      <c r="M95" t="n">
        <v>0</v>
      </c>
      <c r="N95" t="n">
        <v>0</v>
      </c>
      <c r="S95" t="n">
        <v>3</v>
      </c>
      <c r="T95" t="n">
        <v>4</v>
      </c>
    </row>
    <row r="96">
      <c r="A96" t="inlineStr">
        <is>
          <t>Purchase of barley</t>
        </is>
      </c>
      <c r="B96" t="inlineStr">
        <is>
          <t>Total, £4 5 shilling 5pence</t>
        </is>
      </c>
      <c r="C96" t="n">
        <v>4.27</v>
      </c>
      <c r="D96" t="n">
        <v>4</v>
      </c>
      <c r="E96" t="n">
        <v>5</v>
      </c>
      <c r="F96" t="n">
        <v>5</v>
      </c>
      <c r="H96" t="n">
        <v>0</v>
      </c>
      <c r="I96" t="n">
        <v>0</v>
      </c>
      <c r="J96" t="n">
        <v>0</v>
      </c>
      <c r="K96" t="n">
        <v>0</v>
      </c>
      <c r="L96" t="n">
        <v>0</v>
      </c>
      <c r="M96" t="n">
        <v>0</v>
      </c>
      <c r="N96" t="n">
        <v>0</v>
      </c>
    </row>
    <row r="97">
      <c r="A97" t="inlineStr">
        <is>
          <t>Cost of carts</t>
        </is>
      </c>
      <c r="B97" t="inlineStr">
        <is>
          <t>In 1 pair of wheels bought for the cart 1 shilling 8pence.</t>
        </is>
      </c>
      <c r="C97" t="n">
        <v>0.08</v>
      </c>
      <c r="D97" t="n">
        <v>0</v>
      </c>
      <c r="E97" t="n">
        <v>1</v>
      </c>
      <c r="F97" t="n">
        <v>8</v>
      </c>
      <c r="H97" t="n">
        <v>0</v>
      </c>
      <c r="I97" t="n">
        <v>0</v>
      </c>
      <c r="J97" t="n">
        <v>0</v>
      </c>
      <c r="K97" t="n">
        <v>0</v>
      </c>
      <c r="L97" t="n">
        <v>0</v>
      </c>
      <c r="M97" t="n">
        <v>0</v>
      </c>
      <c r="N97" t="n">
        <v>0</v>
      </c>
    </row>
    <row r="98">
      <c r="A98" t="inlineStr">
        <is>
          <t>Cost of carts</t>
        </is>
      </c>
      <c r="B98" t="inlineStr">
        <is>
          <t>clouts and nails bought for the cart 1 shilling.</t>
        </is>
      </c>
      <c r="C98" t="n">
        <v>0.05</v>
      </c>
      <c r="D98" t="n">
        <v>0</v>
      </c>
      <c r="E98" t="n">
        <v>1</v>
      </c>
      <c r="F98" t="n">
        <v>0</v>
      </c>
      <c r="H98" t="n">
        <v>0</v>
      </c>
      <c r="I98" t="n">
        <v>0</v>
      </c>
      <c r="J98" t="n">
        <v>0</v>
      </c>
      <c r="K98" t="n">
        <v>0</v>
      </c>
      <c r="L98" t="n">
        <v>0</v>
      </c>
      <c r="M98" t="n">
        <v>0</v>
      </c>
      <c r="N98" t="n">
        <v>0</v>
      </c>
    </row>
    <row r="99">
      <c r="A99" t="inlineStr">
        <is>
          <t>Cost of carts</t>
        </is>
      </c>
      <c r="B99" t="inlineStr">
        <is>
          <t>grease bought for the same 4pence.</t>
        </is>
      </c>
      <c r="C99" t="n">
        <v>0.02</v>
      </c>
      <c r="D99" t="n">
        <v>0</v>
      </c>
      <c r="E99" t="n">
        <v>0</v>
      </c>
      <c r="F99" t="n">
        <v>4</v>
      </c>
      <c r="H99" t="n">
        <v>0</v>
      </c>
      <c r="I99" t="n">
        <v>0</v>
      </c>
      <c r="J99" t="n">
        <v>0</v>
      </c>
      <c r="K99" t="n">
        <v>0</v>
      </c>
      <c r="L99" t="n">
        <v>0</v>
      </c>
      <c r="M99" t="n">
        <v>0</v>
      </c>
      <c r="N99" t="n">
        <v>0</v>
      </c>
    </row>
    <row r="100">
      <c r="A100" t="inlineStr">
        <is>
          <t>Cost of carts</t>
        </is>
      </c>
      <c r="B100" t="inlineStr">
        <is>
          <t>1 hemp rope bought to tie the cart 8pence.</t>
        </is>
      </c>
      <c r="C100" t="n">
        <v>0.03</v>
      </c>
      <c r="D100" t="n">
        <v>0</v>
      </c>
      <c r="E100" t="n">
        <v>0</v>
      </c>
      <c r="F100" t="n">
        <v>8</v>
      </c>
      <c r="H100" t="n">
        <v>0</v>
      </c>
      <c r="I100" t="n">
        <v>0</v>
      </c>
      <c r="J100" t="n">
        <v>0</v>
      </c>
      <c r="K100" t="n">
        <v>0</v>
      </c>
      <c r="L100" t="n">
        <v>0</v>
      </c>
      <c r="M100" t="n">
        <v>0</v>
      </c>
      <c r="N100" t="n">
        <v>0</v>
      </c>
    </row>
    <row r="101">
      <c r="A101" t="inlineStr">
        <is>
          <t>Cost of carts</t>
        </is>
      </c>
      <c r="B101" t="inlineStr">
        <is>
          <t>1 saddle with saddle-pads bought for the cart 6pence.</t>
        </is>
      </c>
      <c r="C101" t="n">
        <v>0.03</v>
      </c>
      <c r="D101" t="n">
        <v>0</v>
      </c>
      <c r="E101" t="n">
        <v>0</v>
      </c>
      <c r="F101" t="n">
        <v>6</v>
      </c>
      <c r="H101" t="n">
        <v>0</v>
      </c>
      <c r="I101" t="n">
        <v>0</v>
      </c>
      <c r="J101" t="n">
        <v>0</v>
      </c>
      <c r="K101" t="n">
        <v>0</v>
      </c>
      <c r="L101" t="n">
        <v>0</v>
      </c>
      <c r="M101" t="n">
        <v>0</v>
      </c>
      <c r="N101" t="n">
        <v>0</v>
      </c>
    </row>
    <row r="102">
      <c r="A102" t="inlineStr">
        <is>
          <t>Cost of carts</t>
        </is>
      </c>
      <c r="B102" t="inlineStr">
        <is>
          <t>shoeing the horses, 1 shilling 2pence this year.</t>
        </is>
      </c>
      <c r="C102" t="n">
        <v>0.06</v>
      </c>
      <c r="D102" t="n">
        <v>0</v>
      </c>
      <c r="E102" t="n">
        <v>1</v>
      </c>
      <c r="F102" t="n">
        <v>2</v>
      </c>
      <c r="H102" t="n">
        <v>0</v>
      </c>
      <c r="I102" t="n">
        <v>0</v>
      </c>
      <c r="J102" t="n">
        <v>0</v>
      </c>
      <c r="K102" t="n">
        <v>0</v>
      </c>
      <c r="L102" t="n">
        <v>0</v>
      </c>
      <c r="M102" t="n">
        <v>0</v>
      </c>
      <c r="N102" t="n">
        <v>0</v>
      </c>
    </row>
    <row r="103">
      <c r="A103" t="inlineStr">
        <is>
          <t>Cost of carts</t>
        </is>
      </c>
      <c r="B103" t="inlineStr">
        <is>
          <t>.</t>
        </is>
      </c>
      <c r="C103" t="n">
        <v>0</v>
      </c>
      <c r="D103" t="n">
        <v>0</v>
      </c>
      <c r="E103" t="n">
        <v>0</v>
      </c>
      <c r="F103" t="n">
        <v>0</v>
      </c>
      <c r="H103" t="n">
        <v>0</v>
      </c>
      <c r="I103" t="n">
        <v>0</v>
      </c>
      <c r="J103" t="n">
        <v>0</v>
      </c>
      <c r="K103" t="n">
        <v>0</v>
      </c>
      <c r="L103" t="n">
        <v>0</v>
      </c>
      <c r="M103" t="n">
        <v>0</v>
      </c>
      <c r="N103" t="n">
        <v>0</v>
      </c>
    </row>
    <row r="104">
      <c r="A104" t="inlineStr">
        <is>
          <t>Cost of carts</t>
        </is>
      </c>
      <c r="B104" t="inlineStr">
        <is>
          <t>1 horse bought 7 shilling 3.5pence Total, 12 shilling 7.5pence</t>
        </is>
      </c>
      <c r="C104" t="n">
        <v>0.36</v>
      </c>
      <c r="D104" t="n">
        <v>0</v>
      </c>
      <c r="E104" t="n">
        <v>7</v>
      </c>
      <c r="F104" t="n">
        <v>3.5</v>
      </c>
      <c r="H104" t="n">
        <v>0</v>
      </c>
      <c r="I104" t="n">
        <v>0</v>
      </c>
      <c r="J104" t="n">
        <v>0</v>
      </c>
      <c r="K104" t="n">
        <v>0</v>
      </c>
      <c r="L104" t="n">
        <v>0</v>
      </c>
      <c r="M104" t="n">
        <v>0</v>
      </c>
      <c r="N104" t="n">
        <v>0</v>
      </c>
    </row>
    <row r="105">
      <c r="A105" t="inlineStr">
        <is>
          <t>Small necessaries</t>
        </is>
      </c>
      <c r="B105" t="inlineStr">
        <is>
          <t>In 1 bushels of salt bought 3.5pence.</t>
        </is>
      </c>
      <c r="C105" t="n">
        <v>0.01</v>
      </c>
      <c r="D105" t="n">
        <v>0</v>
      </c>
      <c r="E105" t="n">
        <v>0</v>
      </c>
      <c r="F105" t="n">
        <v>3.5</v>
      </c>
      <c r="H105" t="n">
        <v>0</v>
      </c>
      <c r="I105" t="n">
        <v>1</v>
      </c>
      <c r="J105" t="n">
        <v>0.125</v>
      </c>
      <c r="K105" t="n">
        <v>0.125</v>
      </c>
      <c r="L105" t="n">
        <v>0</v>
      </c>
      <c r="M105" t="n">
        <v>0</v>
      </c>
      <c r="N105" t="n">
        <v>1</v>
      </c>
    </row>
    <row r="106">
      <c r="A106" t="inlineStr">
        <is>
          <t>Small necessaries</t>
        </is>
      </c>
      <c r="B106" t="inlineStr">
        <is>
          <t>5 ells of canvas bought for packing the wool of Esher 1 shilling 3pence, at 3pence an ell.</t>
        </is>
      </c>
      <c r="C106" t="n">
        <v>0.06</v>
      </c>
      <c r="D106" t="n">
        <v>0</v>
      </c>
      <c r="E106" t="n">
        <v>1</v>
      </c>
      <c r="F106" t="n">
        <v>3</v>
      </c>
      <c r="H106" t="n">
        <v>0</v>
      </c>
      <c r="I106" t="n">
        <v>0</v>
      </c>
      <c r="J106" t="n">
        <v>0</v>
      </c>
      <c r="K106" t="n">
        <v>0</v>
      </c>
      <c r="L106" t="n">
        <v>0</v>
      </c>
      <c r="M106" t="n">
        <v>0</v>
      </c>
      <c r="N106" t="n">
        <v>0</v>
      </c>
    </row>
    <row r="107">
      <c r="A107" t="inlineStr">
        <is>
          <t>Small necessaries</t>
        </is>
      </c>
      <c r="B107" t="inlineStr">
        <is>
          <t>.</t>
        </is>
      </c>
      <c r="C107" t="n">
        <v>0</v>
      </c>
      <c r="D107" t="n">
        <v>0</v>
      </c>
      <c r="E107" t="n">
        <v>0</v>
      </c>
      <c r="F107" t="n">
        <v>0</v>
      </c>
      <c r="H107" t="n">
        <v>0</v>
      </c>
      <c r="I107" t="n">
        <v>0</v>
      </c>
      <c r="J107" t="n">
        <v>0</v>
      </c>
      <c r="K107" t="n">
        <v>0</v>
      </c>
      <c r="L107" t="n">
        <v>0</v>
      </c>
      <c r="M107" t="n">
        <v>0</v>
      </c>
      <c r="N107" t="n">
        <v>0</v>
      </c>
    </row>
    <row r="108">
      <c r="A108" t="inlineStr">
        <is>
          <t>Small necessaries</t>
        </is>
      </c>
      <c r="B108" t="inlineStr">
        <is>
          <t>expenses for carrying the wool of Esher to Wolvesey 4pence.</t>
        </is>
      </c>
      <c r="C108" t="n">
        <v>0.02</v>
      </c>
      <c r="D108" t="n">
        <v>0</v>
      </c>
      <c r="E108" t="n">
        <v>0</v>
      </c>
      <c r="F108" t="n">
        <v>4</v>
      </c>
      <c r="H108" t="n">
        <v>0</v>
      </c>
      <c r="I108" t="n">
        <v>0</v>
      </c>
      <c r="J108" t="n">
        <v>0</v>
      </c>
      <c r="K108" t="n">
        <v>0</v>
      </c>
      <c r="L108" t="n">
        <v>0</v>
      </c>
      <c r="M108" t="n">
        <v>0</v>
      </c>
      <c r="N108" t="n">
        <v>0</v>
      </c>
    </row>
    <row r="109">
      <c r="A109" t="inlineStr">
        <is>
          <t>Small necessaries</t>
        </is>
      </c>
      <c r="B109" t="inlineStr">
        <is>
          <t>4 trestles made to support the lord's table 6pence Total, 2 shilling 4.5pence</t>
        </is>
      </c>
      <c r="C109" t="n">
        <v>0.12</v>
      </c>
      <c r="D109" t="n">
        <v>0</v>
      </c>
      <c r="E109" t="n">
        <v>2</v>
      </c>
      <c r="F109" t="n">
        <v>6</v>
      </c>
      <c r="H109" t="n">
        <v>0</v>
      </c>
      <c r="I109" t="n">
        <v>0</v>
      </c>
      <c r="J109" t="n">
        <v>0</v>
      </c>
      <c r="K109" t="n">
        <v>0</v>
      </c>
      <c r="L109" t="n">
        <v>0</v>
      </c>
      <c r="M109" t="n">
        <v>0</v>
      </c>
      <c r="N109" t="n">
        <v>0</v>
      </c>
    </row>
    <row r="110">
      <c r="A110" t="inlineStr">
        <is>
          <t>Repair of buildings</t>
        </is>
      </c>
      <c r="B110" t="inlineStr">
        <is>
          <t>In stipend of 2 carpenters mending the great gate for 1 day 6pence.</t>
        </is>
      </c>
      <c r="C110" t="n">
        <v>0.03</v>
      </c>
      <c r="D110" t="n">
        <v>0</v>
      </c>
      <c r="E110" t="n">
        <v>0</v>
      </c>
      <c r="F110" t="n">
        <v>6</v>
      </c>
      <c r="H110" t="n">
        <v>0</v>
      </c>
      <c r="I110" t="n">
        <v>0</v>
      </c>
      <c r="J110" t="n">
        <v>0</v>
      </c>
      <c r="K110" t="n">
        <v>0</v>
      </c>
      <c r="L110" t="n">
        <v>0</v>
      </c>
      <c r="M110" t="n">
        <v>0</v>
      </c>
      <c r="N110" t="n">
        <v>0</v>
      </c>
    </row>
    <row r="111">
      <c r="A111" t="inlineStr">
        <is>
          <t>Repair of buildings</t>
        </is>
      </c>
      <c r="B111" t="inlineStr">
        <is>
          <t>50 board-nails bought for the same 2pence.</t>
        </is>
      </c>
      <c r="C111" t="n">
        <v>0.01</v>
      </c>
      <c r="D111" t="n">
        <v>0</v>
      </c>
      <c r="E111" t="n">
        <v>0</v>
      </c>
      <c r="F111" t="n">
        <v>2</v>
      </c>
      <c r="H111" t="n">
        <v>0</v>
      </c>
      <c r="I111" t="n">
        <v>0</v>
      </c>
      <c r="J111" t="n">
        <v>0</v>
      </c>
      <c r="K111" t="n">
        <v>0</v>
      </c>
      <c r="L111" t="n">
        <v>0</v>
      </c>
      <c r="M111" t="n">
        <v>0</v>
      </c>
      <c r="N111" t="n">
        <v>0</v>
      </c>
    </row>
    <row r="112">
      <c r="A112" t="inlineStr">
        <is>
          <t>Repair of buildings</t>
        </is>
      </c>
      <c r="B112" t="inlineStr">
        <is>
          <t>stipend of 2 carpenters mending the bridge at the kitchen-door for 2 days by piece-work 1 shilling, each of them taking 3pence a day.</t>
        </is>
      </c>
      <c r="C112" t="n">
        <v>0.06</v>
      </c>
      <c r="D112" t="n">
        <v>0</v>
      </c>
      <c r="E112" t="n">
        <v>1</v>
      </c>
      <c r="F112" t="n">
        <v>3</v>
      </c>
      <c r="H112" t="n">
        <v>0</v>
      </c>
      <c r="I112" t="n">
        <v>0</v>
      </c>
      <c r="J112" t="n">
        <v>0</v>
      </c>
      <c r="K112" t="n">
        <v>0</v>
      </c>
      <c r="L112" t="n">
        <v>0</v>
      </c>
      <c r="M112" t="n">
        <v>0</v>
      </c>
      <c r="N112" t="n">
        <v>0</v>
      </c>
    </row>
    <row r="113">
      <c r="A113" t="inlineStr">
        <is>
          <t>Repair of buildings</t>
        </is>
      </c>
      <c r="B113" t="inlineStr">
        <is>
          <t>.</t>
        </is>
      </c>
      <c r="C113" t="n">
        <v>0</v>
      </c>
      <c r="D113" t="n">
        <v>0</v>
      </c>
      <c r="E113" t="n">
        <v>0</v>
      </c>
      <c r="F113" t="n">
        <v>0</v>
      </c>
      <c r="H113" t="n">
        <v>0</v>
      </c>
      <c r="I113" t="n">
        <v>0</v>
      </c>
      <c r="J113" t="n">
        <v>0</v>
      </c>
      <c r="K113" t="n">
        <v>0</v>
      </c>
      <c r="L113" t="n">
        <v>0</v>
      </c>
      <c r="M113" t="n">
        <v>0</v>
      </c>
      <c r="N113" t="n">
        <v>0</v>
      </c>
    </row>
    <row r="114">
      <c r="A114" t="inlineStr">
        <is>
          <t>Repair of buildings</t>
        </is>
      </c>
      <c r="B114" t="inlineStr">
        <is>
          <t>500 (di' miliar') tiles bought for tiling the hall, chapel and bishop's chamber where it was absolutely necessary 1 shilling 6pence.</t>
        </is>
      </c>
      <c r="C114" t="n">
        <v>0.08</v>
      </c>
      <c r="D114" t="n">
        <v>0</v>
      </c>
      <c r="E114" t="n">
        <v>1</v>
      </c>
      <c r="F114" t="n">
        <v>6</v>
      </c>
      <c r="H114" t="n">
        <v>0</v>
      </c>
      <c r="I114" t="n">
        <v>0</v>
      </c>
      <c r="J114" t="n">
        <v>0</v>
      </c>
      <c r="K114" t="n">
        <v>0</v>
      </c>
      <c r="L114" t="n">
        <v>0</v>
      </c>
      <c r="M114" t="n">
        <v>0</v>
      </c>
      <c r="N114" t="n">
        <v>0</v>
      </c>
    </row>
    <row r="115">
      <c r="A115" t="inlineStr">
        <is>
          <t>Repair of buildings</t>
        </is>
      </c>
      <c r="B115" t="inlineStr">
        <is>
          <t>stipend of 1 tiler on the hall, chapel and bishop's chamber for 3 days 1 shilling 6pence, taking 6pence a day.</t>
        </is>
      </c>
      <c r="C115" t="n">
        <v>0.08</v>
      </c>
      <c r="D115" t="n">
        <v>0</v>
      </c>
      <c r="E115" t="n">
        <v>1</v>
      </c>
      <c r="F115" t="n">
        <v>6</v>
      </c>
      <c r="H115" t="n">
        <v>0</v>
      </c>
      <c r="I115" t="n">
        <v>0</v>
      </c>
      <c r="J115" t="n">
        <v>0</v>
      </c>
      <c r="K115" t="n">
        <v>0</v>
      </c>
      <c r="L115" t="n">
        <v>0</v>
      </c>
      <c r="M115" t="n">
        <v>0</v>
      </c>
      <c r="N115" t="n">
        <v>0</v>
      </c>
    </row>
    <row r="116">
      <c r="A116" t="inlineStr">
        <is>
          <t>Repair of buildings</t>
        </is>
      </c>
      <c r="B116" t="inlineStr">
        <is>
          <t>.</t>
        </is>
      </c>
      <c r="C116" t="n">
        <v>0</v>
      </c>
      <c r="D116" t="n">
        <v>0</v>
      </c>
      <c r="E116" t="n">
        <v>0</v>
      </c>
      <c r="F116" t="n">
        <v>0</v>
      </c>
      <c r="H116" t="n">
        <v>0</v>
      </c>
      <c r="I116" t="n">
        <v>0</v>
      </c>
      <c r="J116" t="n">
        <v>0</v>
      </c>
      <c r="K116" t="n">
        <v>0</v>
      </c>
      <c r="L116" t="n">
        <v>0</v>
      </c>
      <c r="M116" t="n">
        <v>0</v>
      </c>
      <c r="N116" t="n">
        <v>0</v>
      </c>
    </row>
    <row r="117">
      <c r="A117" t="inlineStr">
        <is>
          <t>Repair of buildings</t>
        </is>
      </c>
      <c r="B117" t="inlineStr">
        <is>
          <t>stipend of 1 carpenter mending the walls of the byre and the walls of the squires' room for 2 days 6pence.</t>
        </is>
      </c>
      <c r="C117" t="n">
        <v>0.03</v>
      </c>
      <c r="D117" t="n">
        <v>0</v>
      </c>
      <c r="E117" t="n">
        <v>0</v>
      </c>
      <c r="F117" t="n">
        <v>6</v>
      </c>
      <c r="H117" t="n">
        <v>0</v>
      </c>
      <c r="I117" t="n">
        <v>0</v>
      </c>
      <c r="J117" t="n">
        <v>0</v>
      </c>
      <c r="K117" t="n">
        <v>0</v>
      </c>
      <c r="L117" t="n">
        <v>0</v>
      </c>
      <c r="M117" t="n">
        <v>0</v>
      </c>
      <c r="N117" t="n">
        <v>0</v>
      </c>
    </row>
    <row r="118">
      <c r="A118" t="inlineStr">
        <is>
          <t>Repair of buildings</t>
        </is>
      </c>
      <c r="B118" t="inlineStr">
        <is>
          <t>stipend of 1 roofer with an assistant roofing the gatehouse for 2 days 8pence, taking 4pence a day.</t>
        </is>
      </c>
      <c r="C118" t="n">
        <v>0.03</v>
      </c>
      <c r="D118" t="n">
        <v>0</v>
      </c>
      <c r="E118" t="n">
        <v>0</v>
      </c>
      <c r="F118" t="n">
        <v>8</v>
      </c>
      <c r="H118" t="n">
        <v>0</v>
      </c>
      <c r="I118" t="n">
        <v>0</v>
      </c>
      <c r="J118" t="n">
        <v>0</v>
      </c>
      <c r="K118" t="n">
        <v>0</v>
      </c>
      <c r="L118" t="n">
        <v>0</v>
      </c>
      <c r="M118" t="n">
        <v>0</v>
      </c>
      <c r="N118" t="n">
        <v>0</v>
      </c>
    </row>
    <row r="119">
      <c r="A119" t="inlineStr">
        <is>
          <t>Repair of buildings</t>
        </is>
      </c>
      <c r="B119" t="inlineStr">
        <is>
          <t>.</t>
        </is>
      </c>
      <c r="C119" t="n">
        <v>0</v>
      </c>
      <c r="D119" t="n">
        <v>0</v>
      </c>
      <c r="E119" t="n">
        <v>0</v>
      </c>
      <c r="F119" t="n">
        <v>0</v>
      </c>
      <c r="H119" t="n">
        <v>0</v>
      </c>
      <c r="I119" t="n">
        <v>0</v>
      </c>
      <c r="J119" t="n">
        <v>0</v>
      </c>
      <c r="K119" t="n">
        <v>0</v>
      </c>
      <c r="L119" t="n">
        <v>0</v>
      </c>
      <c r="M119" t="n">
        <v>0</v>
      </c>
      <c r="N119" t="n">
        <v>0</v>
      </c>
    </row>
    <row r="120">
      <c r="A120" t="inlineStr">
        <is>
          <t>Repair of buildings</t>
        </is>
      </c>
      <c r="B120" t="inlineStr">
        <is>
          <t>stipend of 1 carpenter at Nortwod' mending the sheepcote for 4 days 1 shilling, taking 3pence a day.</t>
        </is>
      </c>
      <c r="C120" t="n">
        <v>0.06</v>
      </c>
      <c r="D120" t="n">
        <v>0</v>
      </c>
      <c r="E120" t="n">
        <v>1</v>
      </c>
      <c r="F120" t="n">
        <v>3</v>
      </c>
      <c r="H120" t="n">
        <v>0</v>
      </c>
      <c r="I120" t="n">
        <v>0</v>
      </c>
      <c r="J120" t="n">
        <v>0</v>
      </c>
      <c r="K120" t="n">
        <v>0</v>
      </c>
      <c r="L120" t="n">
        <v>0</v>
      </c>
      <c r="M120" t="n">
        <v>0</v>
      </c>
      <c r="N120" t="n">
        <v>0</v>
      </c>
    </row>
    <row r="121">
      <c r="A121" t="inlineStr">
        <is>
          <t>Repair of buildings</t>
        </is>
      </c>
      <c r="B121" t="inlineStr">
        <is>
          <t>.</t>
        </is>
      </c>
      <c r="C121" t="n">
        <v>0</v>
      </c>
      <c r="D121" t="n">
        <v>0</v>
      </c>
      <c r="E121" t="n">
        <v>0</v>
      </c>
      <c r="F121" t="n">
        <v>0</v>
      </c>
      <c r="H121" t="n">
        <v>0</v>
      </c>
      <c r="I121" t="n">
        <v>0</v>
      </c>
      <c r="J121" t="n">
        <v>0</v>
      </c>
      <c r="K121" t="n">
        <v>0</v>
      </c>
      <c r="L121" t="n">
        <v>0</v>
      </c>
      <c r="M121" t="n">
        <v>0</v>
      </c>
      <c r="N121" t="n">
        <v>0</v>
      </c>
    </row>
    <row r="122">
      <c r="A122" t="inlineStr">
        <is>
          <t>Repair of buildings</t>
        </is>
      </c>
      <c r="B122" t="inlineStr">
        <is>
          <t>stipend of 1 roofer with 1 assistant on the said sheepcote for 5 days 1 shilling 8pence, taking 4pence a day.</t>
        </is>
      </c>
      <c r="C122" t="n">
        <v>0.08</v>
      </c>
      <c r="D122" t="n">
        <v>0</v>
      </c>
      <c r="E122" t="n">
        <v>1</v>
      </c>
      <c r="F122" t="n">
        <v>8</v>
      </c>
      <c r="H122" t="n">
        <v>0</v>
      </c>
      <c r="I122" t="n">
        <v>0</v>
      </c>
      <c r="J122" t="n">
        <v>0</v>
      </c>
      <c r="K122" t="n">
        <v>0</v>
      </c>
      <c r="L122" t="n">
        <v>0</v>
      </c>
      <c r="M122" t="n">
        <v>0</v>
      </c>
      <c r="N122" t="n">
        <v>0</v>
      </c>
    </row>
    <row r="123">
      <c r="A123" t="inlineStr">
        <is>
          <t>Repair of buildings</t>
        </is>
      </c>
      <c r="B123" t="inlineStr">
        <is>
          <t>Total, 9 shilling</t>
        </is>
      </c>
      <c r="C123" t="n">
        <v>0.45</v>
      </c>
      <c r="D123" t="n">
        <v>0</v>
      </c>
      <c r="E123" t="n">
        <v>9</v>
      </c>
      <c r="F123" t="n">
        <v>0</v>
      </c>
      <c r="H123" t="n">
        <v>0</v>
      </c>
      <c r="I123" t="n">
        <v>0</v>
      </c>
      <c r="J123" t="n">
        <v>0</v>
      </c>
      <c r="K123" t="n">
        <v>0</v>
      </c>
      <c r="L123" t="n">
        <v>0</v>
      </c>
      <c r="M123" t="n">
        <v>0</v>
      </c>
      <c r="N123" t="n">
        <v>0</v>
      </c>
    </row>
    <row r="124">
      <c r="A124" t="inlineStr">
        <is>
          <t>Costs for the kitchen of Kingston</t>
        </is>
      </c>
      <c r="B124" t="inlineStr">
        <is>
          <t>In stipend of 1 carpenter felling and quartering timber for 12 working-days 4 shilling, at 4pence a day.</t>
        </is>
      </c>
      <c r="C124" t="n">
        <v>0.22</v>
      </c>
      <c r="D124" t="n">
        <v>0</v>
      </c>
      <c r="E124" t="n">
        <v>4</v>
      </c>
      <c r="F124" t="n">
        <v>4</v>
      </c>
      <c r="H124" t="n">
        <v>0</v>
      </c>
      <c r="I124" t="n">
        <v>0</v>
      </c>
      <c r="J124" t="n">
        <v>0</v>
      </c>
      <c r="K124" t="n">
        <v>0</v>
      </c>
      <c r="L124" t="n">
        <v>0</v>
      </c>
      <c r="M124" t="n">
        <v>0</v>
      </c>
      <c r="N124" t="n">
        <v>0</v>
      </c>
    </row>
    <row r="125">
      <c r="A125" t="inlineStr">
        <is>
          <t>Costs for the kitchen of Kingston</t>
        </is>
      </c>
      <c r="B125" t="inlineStr">
        <is>
          <t>.</t>
        </is>
      </c>
      <c r="C125" t="n">
        <v>0</v>
      </c>
      <c r="D125" t="n">
        <v>0</v>
      </c>
      <c r="E125" t="n">
        <v>0</v>
      </c>
      <c r="F125" t="n">
        <v>0</v>
      </c>
      <c r="H125" t="n">
        <v>0</v>
      </c>
      <c r="I125" t="n">
        <v>0</v>
      </c>
      <c r="J125" t="n">
        <v>0</v>
      </c>
      <c r="K125" t="n">
        <v>0</v>
      </c>
      <c r="L125" t="n">
        <v>0</v>
      </c>
      <c r="M125" t="n">
        <v>0</v>
      </c>
      <c r="N125" t="n">
        <v>0</v>
      </c>
    </row>
    <row r="126">
      <c r="A126" t="inlineStr">
        <is>
          <t>Costs for the kitchen of Kingston</t>
        </is>
      </c>
      <c r="B126" t="inlineStr">
        <is>
          <t>stipend of 1 carpenter mending the said kitchen for 30 days 10 shilling, taking a day as before.</t>
        </is>
      </c>
      <c r="C126" t="n">
        <v>0.5</v>
      </c>
      <c r="D126" t="n">
        <v>0</v>
      </c>
      <c r="E126" t="n">
        <v>10</v>
      </c>
      <c r="F126" t="n">
        <v>0</v>
      </c>
      <c r="H126" t="n">
        <v>0</v>
      </c>
      <c r="I126" t="n">
        <v>0</v>
      </c>
      <c r="J126" t="n">
        <v>0</v>
      </c>
      <c r="K126" t="n">
        <v>0</v>
      </c>
      <c r="L126" t="n">
        <v>0</v>
      </c>
      <c r="M126" t="n">
        <v>0</v>
      </c>
      <c r="N126" t="n">
        <v>0</v>
      </c>
    </row>
    <row r="127">
      <c r="A127" t="inlineStr">
        <is>
          <t>Costs for the kitchen of Kingston</t>
        </is>
      </c>
      <c r="B127" t="inlineStr">
        <is>
          <t>.</t>
        </is>
      </c>
      <c r="C127" t="n">
        <v>0</v>
      </c>
      <c r="D127" t="n">
        <v>0</v>
      </c>
      <c r="E127" t="n">
        <v>0</v>
      </c>
      <c r="F127" t="n">
        <v>0</v>
      </c>
      <c r="H127" t="n">
        <v>0</v>
      </c>
      <c r="I127" t="n">
        <v>0</v>
      </c>
      <c r="J127" t="n">
        <v>0</v>
      </c>
      <c r="K127" t="n">
        <v>0</v>
      </c>
      <c r="L127" t="n">
        <v>0</v>
      </c>
      <c r="M127" t="n">
        <v>0</v>
      </c>
      <c r="N127" t="n">
        <v>0</v>
      </c>
    </row>
    <row r="128">
      <c r="A128" t="inlineStr">
        <is>
          <t>Costs for the kitchen of Kingston</t>
        </is>
      </c>
      <c r="B128" t="inlineStr">
        <is>
          <t>stipend of 1 man assisting the felling of timber in the wood and carrying the timber to Kingston with the aid of the carters for 7 days 1 shilling 2pence, at 2pence a day.</t>
        </is>
      </c>
      <c r="C128" t="n">
        <v>0.06</v>
      </c>
      <c r="D128" t="n">
        <v>0</v>
      </c>
      <c r="E128" t="n">
        <v>1</v>
      </c>
      <c r="F128" t="n">
        <v>2</v>
      </c>
      <c r="H128" t="n">
        <v>0</v>
      </c>
      <c r="I128" t="n">
        <v>0</v>
      </c>
      <c r="J128" t="n">
        <v>0</v>
      </c>
      <c r="K128" t="n">
        <v>0</v>
      </c>
      <c r="L128" t="n">
        <v>0</v>
      </c>
      <c r="M128" t="n">
        <v>0</v>
      </c>
      <c r="N128" t="n">
        <v>0</v>
      </c>
    </row>
    <row r="129">
      <c r="A129" t="inlineStr">
        <is>
          <t>Costs for the kitchen of Kingston</t>
        </is>
      </c>
      <c r="B129" t="inlineStr">
        <is>
          <t>.</t>
        </is>
      </c>
      <c r="C129" t="n">
        <v>0</v>
      </c>
      <c r="D129" t="n">
        <v>0</v>
      </c>
      <c r="E129" t="n">
        <v>0</v>
      </c>
      <c r="F129" t="n">
        <v>0</v>
      </c>
      <c r="H129" t="n">
        <v>0</v>
      </c>
      <c r="I129" t="n">
        <v>0</v>
      </c>
      <c r="J129" t="n">
        <v>0</v>
      </c>
      <c r="K129" t="n">
        <v>0</v>
      </c>
      <c r="L129" t="n">
        <v>0</v>
      </c>
      <c r="M129" t="n">
        <v>0</v>
      </c>
      <c r="N129" t="n">
        <v>0</v>
      </c>
    </row>
    <row r="130">
      <c r="A130" t="inlineStr">
        <is>
          <t>Costs for the kitchen of Kingston</t>
        </is>
      </c>
      <c r="B130" t="inlineStr">
        <is>
          <t>stipend of 1 man pulling down the walls of the said kitchen and making the foundations of the same kitchen for 6 days 1 shilling, taking as before.</t>
        </is>
      </c>
      <c r="C130" t="n">
        <v>0.05</v>
      </c>
      <c r="D130" t="n">
        <v>0</v>
      </c>
      <c r="E130" t="n">
        <v>1</v>
      </c>
      <c r="F130" t="n">
        <v>0</v>
      </c>
      <c r="H130" t="n">
        <v>0</v>
      </c>
      <c r="I130" t="n">
        <v>0</v>
      </c>
      <c r="J130" t="n">
        <v>0</v>
      </c>
      <c r="K130" t="n">
        <v>0</v>
      </c>
      <c r="L130" t="n">
        <v>0</v>
      </c>
      <c r="M130" t="n">
        <v>0</v>
      </c>
      <c r="N130" t="n">
        <v>0</v>
      </c>
    </row>
    <row r="131">
      <c r="A131" t="inlineStr">
        <is>
          <t>Costs for the kitchen of Kingston</t>
        </is>
      </c>
      <c r="B131" t="inlineStr">
        <is>
          <t>Also for sawing boards to make the wharf next to the water for 6 days 3 shilling, at 6pence a day.</t>
        </is>
      </c>
      <c r="C131" t="n">
        <v>0.17</v>
      </c>
      <c r="D131" t="n">
        <v>0</v>
      </c>
      <c r="E131" t="n">
        <v>3</v>
      </c>
      <c r="F131" t="n">
        <v>6</v>
      </c>
      <c r="H131" t="n">
        <v>0</v>
      </c>
      <c r="I131" t="n">
        <v>0</v>
      </c>
      <c r="J131" t="n">
        <v>0</v>
      </c>
      <c r="K131" t="n">
        <v>0</v>
      </c>
      <c r="L131" t="n">
        <v>0</v>
      </c>
      <c r="M131" t="n">
        <v>0</v>
      </c>
      <c r="N131" t="n">
        <v>0</v>
      </c>
    </row>
    <row r="132">
      <c r="A132" t="inlineStr">
        <is>
          <t>Costs for the kitchen of Kingston</t>
        </is>
      </c>
      <c r="B132" t="inlineStr">
        <is>
          <t>.</t>
        </is>
      </c>
      <c r="C132" t="n">
        <v>0</v>
      </c>
      <c r="D132" t="n">
        <v>0</v>
      </c>
      <c r="E132" t="n">
        <v>0</v>
      </c>
      <c r="F132" t="n">
        <v>0</v>
      </c>
      <c r="H132" t="n">
        <v>0</v>
      </c>
      <c r="I132" t="n">
        <v>0</v>
      </c>
      <c r="J132" t="n">
        <v>0</v>
      </c>
      <c r="K132" t="n">
        <v>0</v>
      </c>
      <c r="L132" t="n">
        <v>0</v>
      </c>
      <c r="M132" t="n">
        <v>0</v>
      </c>
      <c r="N132" t="n">
        <v>0</v>
      </c>
    </row>
    <row r="133">
      <c r="A133" t="inlineStr">
        <is>
          <t>Costs for the kitchen of Kingston</t>
        </is>
      </c>
      <c r="B133" t="inlineStr">
        <is>
          <t>1 cart-load of heath for putting in the foundations of the said wharf 5pence.</t>
        </is>
      </c>
      <c r="C133" t="n">
        <v>0.02</v>
      </c>
      <c r="D133" t="n">
        <v>0</v>
      </c>
      <c r="E133" t="n">
        <v>0</v>
      </c>
      <c r="F133" t="n">
        <v>5</v>
      </c>
      <c r="H133" t="n">
        <v>0</v>
      </c>
      <c r="I133" t="n">
        <v>0</v>
      </c>
      <c r="J133" t="n">
        <v>0</v>
      </c>
      <c r="K133" t="n">
        <v>0</v>
      </c>
      <c r="L133" t="n">
        <v>0</v>
      </c>
      <c r="M133" t="n">
        <v>0</v>
      </c>
      <c r="N133" t="n">
        <v>0</v>
      </c>
    </row>
    <row r="134">
      <c r="A134" t="inlineStr">
        <is>
          <t>Costs for the kitchen of Kingston</t>
        </is>
      </c>
      <c r="B134" t="inlineStr">
        <is>
          <t>600 oak laths bought for the said kitchen 3 shilling, at 6pence a 100..</t>
        </is>
      </c>
      <c r="C134" t="n">
        <v>0.17</v>
      </c>
      <c r="D134" t="n">
        <v>0</v>
      </c>
      <c r="E134" t="n">
        <v>3</v>
      </c>
      <c r="F134" t="n">
        <v>6</v>
      </c>
      <c r="H134" t="n">
        <v>0</v>
      </c>
      <c r="I134" t="n">
        <v>0</v>
      </c>
      <c r="J134" t="n">
        <v>0</v>
      </c>
      <c r="K134" t="n">
        <v>0</v>
      </c>
      <c r="L134" t="n">
        <v>0</v>
      </c>
      <c r="M134" t="n">
        <v>0</v>
      </c>
      <c r="N134" t="n">
        <v>0</v>
      </c>
    </row>
    <row r="135">
      <c r="A135" t="inlineStr">
        <is>
          <t>Costs for the kitchen of Kingston</t>
        </is>
      </c>
      <c r="B135" t="inlineStr">
        <is>
          <t>300 wooden nails (standifnayl) bought 1 shilling, at 4pence a 100..</t>
        </is>
      </c>
      <c r="C135" t="n">
        <v>0.07000000000000001</v>
      </c>
      <c r="D135" t="n">
        <v>0</v>
      </c>
      <c r="E135" t="n">
        <v>1</v>
      </c>
      <c r="F135" t="n">
        <v>4</v>
      </c>
      <c r="H135" t="n">
        <v>0</v>
      </c>
      <c r="I135" t="n">
        <v>0</v>
      </c>
      <c r="J135" t="n">
        <v>0</v>
      </c>
      <c r="K135" t="n">
        <v>0</v>
      </c>
      <c r="L135" t="n">
        <v>0</v>
      </c>
      <c r="M135" t="n">
        <v>0</v>
      </c>
      <c r="N135" t="n">
        <v>0</v>
      </c>
    </row>
    <row r="136">
      <c r="A136" t="inlineStr">
        <is>
          <t>Costs for the kitchen of Kingston</t>
        </is>
      </c>
      <c r="B136" t="inlineStr">
        <is>
          <t>2,000 (ij miliar') lath-nails bought 1 shilling 4pence, at 8pence a 1,000..</t>
        </is>
      </c>
      <c r="C136" t="n">
        <v>0.07000000000000001</v>
      </c>
      <c r="D136" t="n">
        <v>0</v>
      </c>
      <c r="E136" t="n">
        <v>1</v>
      </c>
      <c r="F136" t="n">
        <v>4</v>
      </c>
      <c r="H136" t="n">
        <v>0</v>
      </c>
      <c r="I136" t="n">
        <v>0</v>
      </c>
      <c r="J136" t="n">
        <v>0</v>
      </c>
      <c r="K136" t="n">
        <v>0</v>
      </c>
      <c r="L136" t="n">
        <v>0</v>
      </c>
      <c r="M136" t="n">
        <v>0</v>
      </c>
      <c r="N136" t="n">
        <v>0</v>
      </c>
    </row>
    <row r="137">
      <c r="A137" t="inlineStr">
        <is>
          <t>Costs for the kitchen of Kingston</t>
        </is>
      </c>
      <c r="B137" t="inlineStr">
        <is>
          <t>clay bought for plastering the walls 1 shilling.</t>
        </is>
      </c>
      <c r="C137" t="n">
        <v>0.05</v>
      </c>
      <c r="D137" t="n">
        <v>0</v>
      </c>
      <c r="E137" t="n">
        <v>1</v>
      </c>
      <c r="F137" t="n">
        <v>0</v>
      </c>
      <c r="H137" t="n">
        <v>0</v>
      </c>
      <c r="I137" t="n">
        <v>0</v>
      </c>
      <c r="J137" t="n">
        <v>0</v>
      </c>
      <c r="K137" t="n">
        <v>0</v>
      </c>
      <c r="L137" t="n">
        <v>0</v>
      </c>
      <c r="M137" t="n">
        <v>0</v>
      </c>
      <c r="N137" t="n">
        <v>0</v>
      </c>
    </row>
    <row r="138">
      <c r="A138" t="inlineStr">
        <is>
          <t>Costs for the kitchen of Kingston</t>
        </is>
      </c>
      <c r="B138" t="inlineStr">
        <is>
          <t>stipend of 1 plasterer for plastering the said walls, 1 shilling 4pence inclusive.</t>
        </is>
      </c>
      <c r="C138" t="n">
        <v>0.07000000000000001</v>
      </c>
      <c r="D138" t="n">
        <v>0</v>
      </c>
      <c r="E138" t="n">
        <v>1</v>
      </c>
      <c r="F138" t="n">
        <v>4</v>
      </c>
      <c r="H138" t="n">
        <v>0</v>
      </c>
      <c r="I138" t="n">
        <v>0</v>
      </c>
      <c r="J138" t="n">
        <v>0</v>
      </c>
      <c r="K138" t="n">
        <v>0</v>
      </c>
      <c r="L138" t="n">
        <v>0</v>
      </c>
      <c r="M138" t="n">
        <v>0</v>
      </c>
      <c r="N138" t="n">
        <v>0</v>
      </c>
    </row>
    <row r="139">
      <c r="A139" t="inlineStr">
        <is>
          <t>Costs for the kitchen of Kingston</t>
        </is>
      </c>
      <c r="B139" t="inlineStr">
        <is>
          <t>.</t>
        </is>
      </c>
      <c r="C139" t="n">
        <v>0</v>
      </c>
      <c r="D139" t="n">
        <v>0</v>
      </c>
      <c r="E139" t="n">
        <v>0</v>
      </c>
      <c r="F139" t="n">
        <v>0</v>
      </c>
      <c r="H139" t="n">
        <v>0</v>
      </c>
      <c r="I139" t="n">
        <v>0</v>
      </c>
      <c r="J139" t="n">
        <v>0</v>
      </c>
      <c r="K139" t="n">
        <v>0</v>
      </c>
      <c r="L139" t="n">
        <v>0</v>
      </c>
      <c r="M139" t="n">
        <v>0</v>
      </c>
      <c r="N139" t="n">
        <v>0</v>
      </c>
    </row>
    <row r="140">
      <c r="A140" t="inlineStr">
        <is>
          <t>Costs for the kitchen of Kingston</t>
        </is>
      </c>
      <c r="B140" t="inlineStr">
        <is>
          <t>ridge-tiles (ruggetighelou) and hip-tiles (hupetighelou) bought for tiling the said kitchen 2 shilling.</t>
        </is>
      </c>
      <c r="C140" t="n">
        <v>0.1</v>
      </c>
      <c r="D140" t="n">
        <v>0</v>
      </c>
      <c r="E140" t="n">
        <v>2</v>
      </c>
      <c r="F140" t="n">
        <v>0</v>
      </c>
      <c r="H140" t="n">
        <v>0</v>
      </c>
      <c r="I140" t="n">
        <v>0</v>
      </c>
      <c r="J140" t="n">
        <v>0</v>
      </c>
      <c r="K140" t="n">
        <v>0</v>
      </c>
      <c r="L140" t="n">
        <v>0</v>
      </c>
      <c r="M140" t="n">
        <v>0</v>
      </c>
      <c r="N140" t="n">
        <v>0</v>
      </c>
    </row>
    <row r="141">
      <c r="A141" t="inlineStr">
        <is>
          <t>Costs for the kitchen of Kingston</t>
        </is>
      </c>
      <c r="B141" t="inlineStr">
        <is>
          <t>2,000 tiles bought for the said kitchen 6 shilling, at 3 shilling a thousanpence Total, £1 15 shilling 3pence</t>
        </is>
      </c>
      <c r="C141" t="n">
        <v>1.76</v>
      </c>
      <c r="D141" t="n">
        <v>1</v>
      </c>
      <c r="E141" t="n">
        <v>15</v>
      </c>
      <c r="F141" t="n">
        <v>3</v>
      </c>
      <c r="H141" t="n">
        <v>0</v>
      </c>
      <c r="I141" t="n">
        <v>0</v>
      </c>
      <c r="J141" t="n">
        <v>0</v>
      </c>
      <c r="K141" t="n">
        <v>0</v>
      </c>
      <c r="L141" t="n">
        <v>0</v>
      </c>
      <c r="M141" t="n">
        <v>0</v>
      </c>
      <c r="N141" t="n">
        <v>0</v>
      </c>
    </row>
    <row r="142">
      <c r="A142" t="inlineStr">
        <is>
          <t>Cost of the sheepfold (ovil')</t>
        </is>
      </c>
      <c r="B142" t="inlineStr">
        <is>
          <t>In 18 hurdles bought for the lord's sheepfold 2 shilling 3pence, at 1.5pence a hurdle.</t>
        </is>
      </c>
      <c r="C142" t="n">
        <v>0.11</v>
      </c>
      <c r="D142" t="n">
        <v>0</v>
      </c>
      <c r="E142" t="n">
        <v>2</v>
      </c>
      <c r="F142" t="n">
        <v>3</v>
      </c>
      <c r="H142" t="n">
        <v>0</v>
      </c>
      <c r="I142" t="n">
        <v>0</v>
      </c>
      <c r="J142" t="n">
        <v>0</v>
      </c>
      <c r="K142" t="n">
        <v>0</v>
      </c>
      <c r="L142" t="n">
        <v>0</v>
      </c>
      <c r="M142" t="n">
        <v>0</v>
      </c>
      <c r="N142" t="n">
        <v>0</v>
      </c>
    </row>
    <row r="143">
      <c r="A143" t="inlineStr">
        <is>
          <t>Cost of the sheepfold (ovil')</t>
        </is>
      </c>
      <c r="B143" t="inlineStr">
        <is>
          <t>.</t>
        </is>
      </c>
      <c r="C143" t="n">
        <v>0</v>
      </c>
      <c r="D143" t="n">
        <v>0</v>
      </c>
      <c r="E143" t="n">
        <v>0</v>
      </c>
      <c r="F143" t="n">
        <v>0</v>
      </c>
      <c r="H143" t="n">
        <v>0</v>
      </c>
      <c r="I143" t="n">
        <v>0</v>
      </c>
      <c r="J143" t="n">
        <v>0</v>
      </c>
      <c r="K143" t="n">
        <v>0</v>
      </c>
      <c r="L143" t="n">
        <v>0</v>
      </c>
      <c r="M143" t="n">
        <v>0</v>
      </c>
      <c r="N143" t="n">
        <v>0</v>
      </c>
    </row>
    <row r="144">
      <c r="A144" t="inlineStr">
        <is>
          <t>Cost of the sheepfold (ovil')</t>
        </is>
      </c>
      <c r="B144" t="inlineStr">
        <is>
          <t>12 lb of grease bought to heal the sheep 1 shilling 6pence, at 1.5pence a lb.</t>
        </is>
      </c>
      <c r="C144" t="n">
        <v>0.08</v>
      </c>
      <c r="D144" t="n">
        <v>0</v>
      </c>
      <c r="E144" t="n">
        <v>1</v>
      </c>
      <c r="F144" t="n">
        <v>6</v>
      </c>
      <c r="H144" t="n">
        <v>0</v>
      </c>
      <c r="I144" t="n">
        <v>0</v>
      </c>
      <c r="J144" t="n">
        <v>0</v>
      </c>
      <c r="K144" t="n">
        <v>0</v>
      </c>
      <c r="L144" t="n">
        <v>0</v>
      </c>
      <c r="M144" t="n">
        <v>0</v>
      </c>
      <c r="N144" t="n">
        <v>0</v>
      </c>
    </row>
    <row r="145">
      <c r="A145" t="inlineStr">
        <is>
          <t>Cost of the sheepfold (ovil')</t>
        </is>
      </c>
      <c r="B145" t="inlineStr">
        <is>
          <t>.</t>
        </is>
      </c>
      <c r="C145" t="n">
        <v>0</v>
      </c>
      <c r="D145" t="n">
        <v>0</v>
      </c>
      <c r="E145" t="n">
        <v>0</v>
      </c>
      <c r="F145" t="n">
        <v>0</v>
      </c>
      <c r="H145" t="n">
        <v>0</v>
      </c>
      <c r="I145" t="n">
        <v>0</v>
      </c>
      <c r="J145" t="n">
        <v>0</v>
      </c>
      <c r="K145" t="n">
        <v>0</v>
      </c>
      <c r="L145" t="n">
        <v>0</v>
      </c>
      <c r="M145" t="n">
        <v>0</v>
      </c>
      <c r="N145" t="n">
        <v>0</v>
      </c>
    </row>
    <row r="146">
      <c r="A146" t="inlineStr">
        <is>
          <t>Cost of the sheepfold (ovil')</t>
        </is>
      </c>
      <c r="B146" t="inlineStr">
        <is>
          <t>verdigris and copperas bought to heal the sheep 10pence.</t>
        </is>
      </c>
      <c r="C146" t="n">
        <v>0.04</v>
      </c>
      <c r="D146" t="n">
        <v>0</v>
      </c>
      <c r="E146" t="n">
        <v>0</v>
      </c>
      <c r="F146" t="n">
        <v>10</v>
      </c>
      <c r="H146" t="n">
        <v>0</v>
      </c>
      <c r="I146" t="n">
        <v>0</v>
      </c>
      <c r="J146" t="n">
        <v>0</v>
      </c>
      <c r="K146" t="n">
        <v>0</v>
      </c>
      <c r="L146" t="n">
        <v>0</v>
      </c>
      <c r="M146" t="n">
        <v>0</v>
      </c>
      <c r="N146" t="n">
        <v>0</v>
      </c>
    </row>
    <row r="147">
      <c r="A147" t="inlineStr">
        <is>
          <t>Cost of the sheepfold (ovil')</t>
        </is>
      </c>
      <c r="B147" t="inlineStr">
        <is>
          <t>washing and shearing sheep besides those done by custom 5pence.</t>
        </is>
      </c>
      <c r="C147" t="n">
        <v>0.02</v>
      </c>
      <c r="D147" t="n">
        <v>0</v>
      </c>
      <c r="E147" t="n">
        <v>0</v>
      </c>
      <c r="F147" t="n">
        <v>5</v>
      </c>
      <c r="H147" t="n">
        <v>0</v>
      </c>
      <c r="I147" t="n">
        <v>0</v>
      </c>
      <c r="J147" t="n">
        <v>0</v>
      </c>
      <c r="K147" t="n">
        <v>0</v>
      </c>
      <c r="L147" t="n">
        <v>0</v>
      </c>
      <c r="M147" t="n">
        <v>0</v>
      </c>
      <c r="N147" t="n">
        <v>0</v>
      </c>
    </row>
    <row r="148">
      <c r="A148" t="inlineStr">
        <is>
          <t>Cost of the sheepfold (ovil')</t>
        </is>
      </c>
      <c r="B148" t="inlineStr">
        <is>
          <t>washing and shearing lambs, 3pence this year.</t>
        </is>
      </c>
      <c r="C148" t="n">
        <v>0.01</v>
      </c>
      <c r="D148" t="n">
        <v>0</v>
      </c>
      <c r="E148" t="n">
        <v>0</v>
      </c>
      <c r="F148" t="n">
        <v>3</v>
      </c>
      <c r="H148" t="n">
        <v>0</v>
      </c>
      <c r="I148" t="n">
        <v>0</v>
      </c>
      <c r="J148" t="n">
        <v>0</v>
      </c>
      <c r="K148" t="n">
        <v>0</v>
      </c>
      <c r="L148" t="n">
        <v>0</v>
      </c>
      <c r="M148" t="n">
        <v>0</v>
      </c>
      <c r="N148" t="n">
        <v>0</v>
      </c>
    </row>
    <row r="149">
      <c r="A149" t="inlineStr">
        <is>
          <t>Cost of the sheepfold (ovil')</t>
        </is>
      </c>
      <c r="B149" t="inlineStr">
        <is>
          <t>.</t>
        </is>
      </c>
      <c r="C149" t="n">
        <v>0</v>
      </c>
      <c r="D149" t="n">
        <v>0</v>
      </c>
      <c r="E149" t="n">
        <v>0</v>
      </c>
      <c r="F149" t="n">
        <v>0</v>
      </c>
      <c r="H149" t="n">
        <v>0</v>
      </c>
      <c r="I149" t="n">
        <v>0</v>
      </c>
      <c r="J149" t="n">
        <v>0</v>
      </c>
      <c r="K149" t="n">
        <v>0</v>
      </c>
      <c r="L149" t="n">
        <v>0</v>
      </c>
      <c r="M149" t="n">
        <v>0</v>
      </c>
      <c r="N149" t="n">
        <v>0</v>
      </c>
    </row>
    <row r="150">
      <c r="A150" t="inlineStr">
        <is>
          <t>Cost of the sheepfold (ovil')</t>
        </is>
      </c>
      <c r="B150" t="inlineStr">
        <is>
          <t>stipend of 1 shepherd for the year 5 shilling.</t>
        </is>
      </c>
      <c r="C150" t="n">
        <v>0.25</v>
      </c>
      <c r="D150" t="n">
        <v>0</v>
      </c>
      <c r="E150" t="n">
        <v>5</v>
      </c>
      <c r="F150" t="n">
        <v>0</v>
      </c>
      <c r="H150" t="n">
        <v>0</v>
      </c>
      <c r="I150" t="n">
        <v>0</v>
      </c>
      <c r="J150" t="n">
        <v>0</v>
      </c>
      <c r="K150" t="n">
        <v>0</v>
      </c>
      <c r="L150" t="n">
        <v>0</v>
      </c>
      <c r="M150" t="n">
        <v>0</v>
      </c>
      <c r="N150" t="n">
        <v>0</v>
      </c>
    </row>
    <row r="151">
      <c r="A151" t="inlineStr">
        <is>
          <t>Cost of the sheepfold (ovil')</t>
        </is>
      </c>
      <c r="B151" t="inlineStr">
        <is>
          <t>stipend of 1 man keeping the animals at Northwod' and mending fences for the year 3 shilling 6pence Total, 13 shilling 6pence</t>
        </is>
      </c>
      <c r="C151" t="n">
        <v>0.17</v>
      </c>
      <c r="D151" t="n">
        <v>0</v>
      </c>
      <c r="E151" t="n">
        <v>3</v>
      </c>
      <c r="F151" t="n">
        <v>6</v>
      </c>
      <c r="H151" t="n">
        <v>0</v>
      </c>
      <c r="I151" t="n">
        <v>0</v>
      </c>
      <c r="J151" t="n">
        <v>0</v>
      </c>
      <c r="K151" t="n">
        <v>0</v>
      </c>
      <c r="L151" t="n">
        <v>0</v>
      </c>
      <c r="M151" t="n">
        <v>0</v>
      </c>
      <c r="N151" t="n">
        <v>0</v>
      </c>
    </row>
    <row r="152">
      <c r="A152" t="inlineStr">
        <is>
          <t>Threshing of corn</t>
        </is>
      </c>
      <c r="B152" t="inlineStr">
        <is>
          <t>In threshing 24 quarters of rye by piece-work 4 shilling, at 2pence a quarters.</t>
        </is>
      </c>
      <c r="C152" t="n">
        <v>0.21</v>
      </c>
      <c r="D152" t="n">
        <v>0</v>
      </c>
      <c r="E152" t="n">
        <v>4</v>
      </c>
      <c r="F152" t="n">
        <v>2</v>
      </c>
      <c r="G152" t="inlineStr">
        <is>
          <t>rye</t>
        </is>
      </c>
      <c r="H152" t="n">
        <v>24</v>
      </c>
      <c r="I152" t="n">
        <v>0</v>
      </c>
      <c r="J152" t="n">
        <v>24</v>
      </c>
      <c r="K152" t="n">
        <v>24</v>
      </c>
      <c r="L152" t="n">
        <v>0</v>
      </c>
      <c r="M152" t="n">
        <v>24</v>
      </c>
      <c r="N152" t="n">
        <v>0</v>
      </c>
    </row>
    <row r="153">
      <c r="A153" t="inlineStr">
        <is>
          <t>Threshing of corn</t>
        </is>
      </c>
      <c r="B153" t="inlineStr">
        <is>
          <t>.</t>
        </is>
      </c>
      <c r="C153" t="n">
        <v>0</v>
      </c>
      <c r="D153" t="n">
        <v>0</v>
      </c>
      <c r="E153" t="n">
        <v>0</v>
      </c>
      <c r="F153" t="n">
        <v>0</v>
      </c>
      <c r="H153" t="n">
        <v>0</v>
      </c>
      <c r="I153" t="n">
        <v>0</v>
      </c>
      <c r="J153" t="n">
        <v>0</v>
      </c>
      <c r="K153" t="n">
        <v>0</v>
      </c>
      <c r="L153" t="n">
        <v>0</v>
      </c>
      <c r="M153" t="n">
        <v>0</v>
      </c>
      <c r="N153" t="n">
        <v>0</v>
      </c>
    </row>
    <row r="154">
      <c r="A154" t="inlineStr">
        <is>
          <t>Threshing of corn</t>
        </is>
      </c>
      <c r="B154" t="inlineStr">
        <is>
          <t>threshing 4 quarters 5 bushels of barley by piece-work 6.75pence, at 1 .5pence a quarters.</t>
        </is>
      </c>
      <c r="C154" t="n">
        <v>0.03</v>
      </c>
      <c r="D154" t="n">
        <v>0</v>
      </c>
      <c r="E154" t="n">
        <v>0</v>
      </c>
      <c r="F154" t="n">
        <v>6.75</v>
      </c>
      <c r="G154" t="inlineStr">
        <is>
          <t>barley</t>
        </is>
      </c>
      <c r="H154" t="n">
        <v>4</v>
      </c>
      <c r="I154" t="n">
        <v>5</v>
      </c>
      <c r="J154" t="n">
        <v>4.625</v>
      </c>
      <c r="K154" t="n">
        <v>4.625</v>
      </c>
      <c r="L154" t="n">
        <v>0</v>
      </c>
      <c r="M154" t="n">
        <v>4</v>
      </c>
      <c r="N154" t="n">
        <v>5</v>
      </c>
    </row>
    <row r="155">
      <c r="A155" t="inlineStr">
        <is>
          <t>Threshing of corn</t>
        </is>
      </c>
      <c r="B155" t="inlineStr">
        <is>
          <t>.</t>
        </is>
      </c>
      <c r="C155" t="n">
        <v>0</v>
      </c>
      <c r="D155" t="n">
        <v>0</v>
      </c>
      <c r="E155" t="n">
        <v>0</v>
      </c>
      <c r="F155" t="n">
        <v>0</v>
      </c>
      <c r="H155" t="n">
        <v>0</v>
      </c>
      <c r="I155" t="n">
        <v>0</v>
      </c>
      <c r="J155" t="n">
        <v>0</v>
      </c>
      <c r="K155" t="n">
        <v>0</v>
      </c>
      <c r="L155" t="n">
        <v>0</v>
      </c>
      <c r="M155" t="n">
        <v>0</v>
      </c>
      <c r="N155" t="n">
        <v>0</v>
      </c>
    </row>
    <row r="156">
      <c r="A156" t="inlineStr">
        <is>
          <t>Threshing of corn</t>
        </is>
      </c>
      <c r="B156" t="inlineStr">
        <is>
          <t>threshing 36 quarters of oats by piece-work 3 shilling, at 1pence a quarters.</t>
        </is>
      </c>
      <c r="C156" t="n">
        <v>0.15</v>
      </c>
      <c r="D156" t="n">
        <v>0</v>
      </c>
      <c r="E156" t="n">
        <v>3</v>
      </c>
      <c r="F156" t="n">
        <v>1</v>
      </c>
      <c r="G156" t="inlineStr">
        <is>
          <t>oats</t>
        </is>
      </c>
      <c r="H156" t="n">
        <v>36</v>
      </c>
      <c r="I156" t="n">
        <v>0</v>
      </c>
      <c r="J156" t="n">
        <v>36</v>
      </c>
      <c r="K156" t="n">
        <v>36</v>
      </c>
      <c r="L156" t="n">
        <v>0</v>
      </c>
      <c r="M156" t="n">
        <v>36</v>
      </c>
      <c r="N156" t="n">
        <v>0</v>
      </c>
    </row>
    <row r="157">
      <c r="A157" t="inlineStr">
        <is>
          <t>Threshing of corn</t>
        </is>
      </c>
      <c r="B157" t="inlineStr">
        <is>
          <t>.</t>
        </is>
      </c>
      <c r="C157" t="n">
        <v>0</v>
      </c>
      <c r="D157" t="n">
        <v>0</v>
      </c>
      <c r="E157" t="n">
        <v>0</v>
      </c>
      <c r="F157" t="n">
        <v>0</v>
      </c>
      <c r="H157" t="n">
        <v>0</v>
      </c>
      <c r="I157" t="n">
        <v>0</v>
      </c>
      <c r="J157" t="n">
        <v>0</v>
      </c>
      <c r="K157" t="n">
        <v>0</v>
      </c>
      <c r="L157" t="n">
        <v>0</v>
      </c>
      <c r="M157" t="n">
        <v>0</v>
      </c>
      <c r="N157" t="n">
        <v>0</v>
      </c>
    </row>
    <row r="158">
      <c r="A158" t="inlineStr">
        <is>
          <t>Threshing of corn</t>
        </is>
      </c>
      <c r="B158" t="inlineStr">
        <is>
          <t>winnowing the same corn 1 shilling 4pence, at 1pence per 4 quarters.</t>
        </is>
      </c>
      <c r="C158" t="n">
        <v>0.07000000000000001</v>
      </c>
      <c r="D158" t="n">
        <v>0</v>
      </c>
      <c r="E158" t="n">
        <v>1</v>
      </c>
      <c r="F158" t="n">
        <v>4</v>
      </c>
      <c r="H158" t="n">
        <v>4</v>
      </c>
      <c r="I158" t="n">
        <v>0</v>
      </c>
      <c r="J158" t="n">
        <v>4</v>
      </c>
      <c r="K158" t="n">
        <v>4</v>
      </c>
      <c r="L158" t="n">
        <v>0</v>
      </c>
      <c r="M158" t="n">
        <v>4</v>
      </c>
      <c r="N158" t="n">
        <v>0</v>
      </c>
    </row>
    <row r="159">
      <c r="A159" t="inlineStr">
        <is>
          <t>Threshing of corn</t>
        </is>
      </c>
      <c r="B159" t="inlineStr">
        <is>
          <t>Total, 8 shilling 10.5pence</t>
        </is>
      </c>
      <c r="C159" t="n">
        <v>0.44</v>
      </c>
      <c r="D159" t="n">
        <v>0</v>
      </c>
      <c r="E159" t="n">
        <v>8</v>
      </c>
      <c r="F159" t="n">
        <v>10.5</v>
      </c>
      <c r="H159" t="n">
        <v>0</v>
      </c>
      <c r="I159" t="n">
        <v>0</v>
      </c>
      <c r="J159" t="n">
        <v>0</v>
      </c>
      <c r="K159" t="n">
        <v>0</v>
      </c>
      <c r="L159" t="n">
        <v>0</v>
      </c>
      <c r="M159" t="n">
        <v>0</v>
      </c>
      <c r="N159" t="n">
        <v>0</v>
      </c>
    </row>
    <row r="160">
      <c r="A160" t="inlineStr">
        <is>
          <t>Mowing the meadows, weeding the corn</t>
        </is>
      </c>
      <c r="B160" t="inlineStr">
        <is>
          <t>In weeding the corn this year 6pence.</t>
        </is>
      </c>
      <c r="C160" t="n">
        <v>0.03</v>
      </c>
      <c r="D160" t="n">
        <v>0</v>
      </c>
      <c r="E160" t="n">
        <v>0</v>
      </c>
      <c r="F160" t="n">
        <v>6</v>
      </c>
      <c r="H160" t="n">
        <v>0</v>
      </c>
      <c r="I160" t="n">
        <v>0</v>
      </c>
      <c r="J160" t="n">
        <v>0</v>
      </c>
      <c r="K160" t="n">
        <v>0</v>
      </c>
      <c r="L160" t="n">
        <v>0</v>
      </c>
      <c r="M160" t="n">
        <v>0</v>
      </c>
      <c r="N160" t="n">
        <v>0</v>
      </c>
    </row>
    <row r="161">
      <c r="A161" t="inlineStr">
        <is>
          <t>Mowing the meadows, weeding the corn</t>
        </is>
      </c>
      <c r="B161" t="inlineStr">
        <is>
          <t>mowing the said meadow of Brodemed' by custom, bread from stock and 1 wether with its skin from the said sheepfo1pence.</t>
        </is>
      </c>
      <c r="C161" t="n">
        <v>0</v>
      </c>
      <c r="D161" t="n">
        <v>0</v>
      </c>
      <c r="E161" t="n">
        <v>0</v>
      </c>
      <c r="F161" t="n">
        <v>1</v>
      </c>
      <c r="H161" t="n">
        <v>0</v>
      </c>
      <c r="I161" t="n">
        <v>0</v>
      </c>
      <c r="J161" t="n">
        <v>0</v>
      </c>
      <c r="K161" t="n">
        <v>0</v>
      </c>
      <c r="L161" t="n">
        <v>0</v>
      </c>
      <c r="M161" t="n">
        <v>0</v>
      </c>
      <c r="N161" t="n">
        <v>0</v>
      </c>
    </row>
    <row r="162">
      <c r="A162" t="inlineStr">
        <is>
          <t>Mowing the meadows, weeding the corn</t>
        </is>
      </c>
      <c r="B162" t="inlineStr">
        <is>
          <t>cheese bought 3pence.</t>
        </is>
      </c>
      <c r="C162" t="n">
        <v>0.01</v>
      </c>
      <c r="D162" t="n">
        <v>0</v>
      </c>
      <c r="E162" t="n">
        <v>0</v>
      </c>
      <c r="F162" t="n">
        <v>3</v>
      </c>
      <c r="H162" t="n">
        <v>0</v>
      </c>
      <c r="I162" t="n">
        <v>0</v>
      </c>
      <c r="J162" t="n">
        <v>0</v>
      </c>
      <c r="K162" t="n">
        <v>0</v>
      </c>
      <c r="L162" t="n">
        <v>0</v>
      </c>
      <c r="M162" t="n">
        <v>0</v>
      </c>
      <c r="N162" t="n">
        <v>0</v>
      </c>
    </row>
    <row r="163">
      <c r="A163" t="inlineStr">
        <is>
          <t>Mowing the meadows, weeding the corn</t>
        </is>
      </c>
      <c r="B163" t="inlineStr">
        <is>
          <t>mowing the meadow of Esher by piece-work besides that done by custom 1 shilling 2pence.</t>
        </is>
      </c>
      <c r="C163" t="n">
        <v>0.06</v>
      </c>
      <c r="D163" t="n">
        <v>0</v>
      </c>
      <c r="E163" t="n">
        <v>1</v>
      </c>
      <c r="F163" t="n">
        <v>2</v>
      </c>
      <c r="H163" t="n">
        <v>0</v>
      </c>
      <c r="I163" t="n">
        <v>0</v>
      </c>
      <c r="J163" t="n">
        <v>0</v>
      </c>
      <c r="K163" t="n">
        <v>0</v>
      </c>
      <c r="L163" t="n">
        <v>0</v>
      </c>
      <c r="M163" t="n">
        <v>0</v>
      </c>
      <c r="N163" t="n">
        <v>0</v>
      </c>
    </row>
    <row r="164">
      <c r="A164" t="inlineStr">
        <is>
          <t>Mowing the meadows, weeding the corn</t>
        </is>
      </c>
      <c r="B164" t="inlineStr">
        <is>
          <t>carrying the hay of Brodemed' to the shed by custom, bread from stock.</t>
        </is>
      </c>
      <c r="C164" t="n">
        <v>0</v>
      </c>
      <c r="D164" t="n">
        <v>0</v>
      </c>
      <c r="E164" t="n">
        <v>0</v>
      </c>
      <c r="F164" t="n">
        <v>0</v>
      </c>
      <c r="H164" t="n">
        <v>0</v>
      </c>
      <c r="I164" t="n">
        <v>0</v>
      </c>
      <c r="J164" t="n">
        <v>0</v>
      </c>
      <c r="K164" t="n">
        <v>0</v>
      </c>
      <c r="L164" t="n">
        <v>0</v>
      </c>
      <c r="M164" t="n">
        <v>0</v>
      </c>
      <c r="N164" t="n">
        <v>0</v>
      </c>
    </row>
    <row r="165">
      <c r="A165" t="inlineStr">
        <is>
          <t>Mowing the meadows, weeding the corn</t>
        </is>
      </c>
      <c r="B165" t="inlineStr">
        <is>
          <t>.</t>
        </is>
      </c>
      <c r="C165" t="n">
        <v>0</v>
      </c>
      <c r="D165" t="n">
        <v>0</v>
      </c>
      <c r="E165" t="n">
        <v>0</v>
      </c>
      <c r="F165" t="n">
        <v>0</v>
      </c>
      <c r="H165" t="n">
        <v>0</v>
      </c>
      <c r="I165" t="n">
        <v>0</v>
      </c>
      <c r="J165" t="n">
        <v>0</v>
      </c>
      <c r="K165" t="n">
        <v>0</v>
      </c>
      <c r="L165" t="n">
        <v>0</v>
      </c>
      <c r="M165" t="n">
        <v>0</v>
      </c>
      <c r="N165" t="n">
        <v>0</v>
      </c>
    </row>
    <row r="166">
      <c r="A166" t="inlineStr">
        <is>
          <t>Mowing the meadows, weeding the corn</t>
        </is>
      </c>
      <c r="B166" t="inlineStr">
        <is>
          <t>herrings bought 4pence.</t>
        </is>
      </c>
      <c r="C166" t="n">
        <v>0.02</v>
      </c>
      <c r="D166" t="n">
        <v>0</v>
      </c>
      <c r="E166" t="n">
        <v>0</v>
      </c>
      <c r="F166" t="n">
        <v>4</v>
      </c>
      <c r="H166" t="n">
        <v>0</v>
      </c>
      <c r="I166" t="n">
        <v>0</v>
      </c>
      <c r="J166" t="n">
        <v>0</v>
      </c>
      <c r="K166" t="n">
        <v>0</v>
      </c>
      <c r="L166" t="n">
        <v>0</v>
      </c>
      <c r="M166" t="n">
        <v>0</v>
      </c>
      <c r="N166" t="n">
        <v>0</v>
      </c>
    </row>
    <row r="167">
      <c r="A167" t="inlineStr">
        <is>
          <t>Mowing the meadows, weeding the corn</t>
        </is>
      </c>
      <c r="B167" t="inlineStr">
        <is>
          <t>mowing the meadow of Northwod' by piece-work, 8pence this year.</t>
        </is>
      </c>
      <c r="C167" t="n">
        <v>0.03</v>
      </c>
      <c r="D167" t="n">
        <v>0</v>
      </c>
      <c r="E167" t="n">
        <v>0</v>
      </c>
      <c r="F167" t="n">
        <v>8</v>
      </c>
      <c r="H167" t="n">
        <v>0</v>
      </c>
      <c r="I167" t="n">
        <v>0</v>
      </c>
      <c r="J167" t="n">
        <v>0</v>
      </c>
      <c r="K167" t="n">
        <v>0</v>
      </c>
      <c r="L167" t="n">
        <v>0</v>
      </c>
      <c r="M167" t="n">
        <v>0</v>
      </c>
      <c r="N167" t="n">
        <v>0</v>
      </c>
    </row>
    <row r="168">
      <c r="A168" t="inlineStr">
        <is>
          <t>Mowing the meadows, weeding the corn</t>
        </is>
      </c>
      <c r="B168" t="inlineStr">
        <is>
          <t>Total, 2 shilling 11pence</t>
        </is>
      </c>
      <c r="C168" t="n">
        <v>0.15</v>
      </c>
      <c r="D168" t="n">
        <v>0</v>
      </c>
      <c r="E168" t="n">
        <v>2</v>
      </c>
      <c r="F168" t="n">
        <v>11</v>
      </c>
      <c r="H168" t="n">
        <v>0</v>
      </c>
      <c r="I168" t="n">
        <v>0</v>
      </c>
      <c r="J168" t="n">
        <v>0</v>
      </c>
      <c r="K168" t="n">
        <v>0</v>
      </c>
      <c r="L168" t="n">
        <v>0</v>
      </c>
      <c r="M168" t="n">
        <v>0</v>
      </c>
      <c r="N168" t="n">
        <v>0</v>
      </c>
    </row>
    <row r="169">
      <c r="A169" t="inlineStr">
        <is>
          <t>Cost of the harvest</t>
        </is>
      </c>
      <c r="B169" t="inlineStr">
        <is>
          <t>In 1 boon-work without ale of 23 men who reaped and bound the lord's corn, bread from stock.</t>
        </is>
      </c>
      <c r="C169" t="n">
        <v>0</v>
      </c>
      <c r="D169" t="n">
        <v>0</v>
      </c>
      <c r="E169" t="n">
        <v>0</v>
      </c>
      <c r="F169" t="n">
        <v>0</v>
      </c>
      <c r="H169" t="n">
        <v>0</v>
      </c>
      <c r="I169" t="n">
        <v>0</v>
      </c>
      <c r="J169" t="n">
        <v>0</v>
      </c>
      <c r="K169" t="n">
        <v>0</v>
      </c>
      <c r="L169" t="n">
        <v>0</v>
      </c>
      <c r="M169" t="n">
        <v>0</v>
      </c>
      <c r="N169" t="n">
        <v>0</v>
      </c>
    </row>
    <row r="170">
      <c r="A170" t="inlineStr">
        <is>
          <t>Cost of the harvest</t>
        </is>
      </c>
      <c r="B170" t="inlineStr">
        <is>
          <t>.</t>
        </is>
      </c>
      <c r="C170" t="n">
        <v>0</v>
      </c>
      <c r="D170" t="n">
        <v>0</v>
      </c>
      <c r="E170" t="n">
        <v>0</v>
      </c>
      <c r="F170" t="n">
        <v>0</v>
      </c>
      <c r="H170" t="n">
        <v>0</v>
      </c>
      <c r="I170" t="n">
        <v>0</v>
      </c>
      <c r="J170" t="n">
        <v>0</v>
      </c>
      <c r="K170" t="n">
        <v>0</v>
      </c>
      <c r="L170" t="n">
        <v>0</v>
      </c>
      <c r="M170" t="n">
        <v>0</v>
      </c>
      <c r="N170" t="n">
        <v>0</v>
      </c>
    </row>
    <row r="171">
      <c r="A171" t="inlineStr">
        <is>
          <t>Cost of the harvest</t>
        </is>
      </c>
      <c r="B171" t="inlineStr">
        <is>
          <t>138 herrings bought, 11pence this year, at 8pence a 100, and each had 3 herrings at noon and 3 at supper.</t>
        </is>
      </c>
      <c r="C171" t="n">
        <v>0.05</v>
      </c>
      <c r="D171" t="n">
        <v>0</v>
      </c>
      <c r="E171" t="n">
        <v>0</v>
      </c>
      <c r="F171" t="n">
        <v>11</v>
      </c>
      <c r="H171" t="n">
        <v>0</v>
      </c>
      <c r="I171" t="n">
        <v>0</v>
      </c>
      <c r="J171" t="n">
        <v>0</v>
      </c>
      <c r="K171" t="n">
        <v>0</v>
      </c>
      <c r="L171" t="n">
        <v>0</v>
      </c>
      <c r="M171" t="n">
        <v>0</v>
      </c>
      <c r="N171" t="n">
        <v>0</v>
      </c>
    </row>
    <row r="172">
      <c r="A172" t="inlineStr">
        <is>
          <t>Cost of the harvest</t>
        </is>
      </c>
      <c r="B172" t="inlineStr">
        <is>
          <t>.</t>
        </is>
      </c>
      <c r="C172" t="n">
        <v>0</v>
      </c>
      <c r="D172" t="n">
        <v>0</v>
      </c>
      <c r="E172" t="n">
        <v>0</v>
      </c>
      <c r="F172" t="n">
        <v>0</v>
      </c>
      <c r="H172" t="n">
        <v>0</v>
      </c>
      <c r="I172" t="n">
        <v>0</v>
      </c>
      <c r="J172" t="n">
        <v>0</v>
      </c>
      <c r="K172" t="n">
        <v>0</v>
      </c>
      <c r="L172" t="n">
        <v>0</v>
      </c>
      <c r="M172" t="n">
        <v>0</v>
      </c>
      <c r="N172" t="n">
        <v>0</v>
      </c>
    </row>
    <row r="173">
      <c r="A173" t="inlineStr">
        <is>
          <t>Cost of the harvest</t>
        </is>
      </c>
      <c r="B173" t="inlineStr">
        <is>
          <t>1 boon-work with ale of 28 men who reaped and bound the lord's corn, bread from stock.</t>
        </is>
      </c>
      <c r="C173" t="n">
        <v>0</v>
      </c>
      <c r="D173" t="n">
        <v>0</v>
      </c>
      <c r="E173" t="n">
        <v>0</v>
      </c>
      <c r="F173" t="n">
        <v>0</v>
      </c>
      <c r="H173" t="n">
        <v>0</v>
      </c>
      <c r="I173" t="n">
        <v>0</v>
      </c>
      <c r="J173" t="n">
        <v>0</v>
      </c>
      <c r="K173" t="n">
        <v>0</v>
      </c>
      <c r="L173" t="n">
        <v>0</v>
      </c>
      <c r="M173" t="n">
        <v>0</v>
      </c>
      <c r="N173" t="n">
        <v>0</v>
      </c>
    </row>
    <row r="174">
      <c r="A174" t="inlineStr">
        <is>
          <t>Cost of the harvest</t>
        </is>
      </c>
      <c r="B174" t="inlineStr">
        <is>
          <t>.</t>
        </is>
      </c>
      <c r="C174" t="n">
        <v>0</v>
      </c>
      <c r="D174" t="n">
        <v>0</v>
      </c>
      <c r="E174" t="n">
        <v>0</v>
      </c>
      <c r="F174" t="n">
        <v>0</v>
      </c>
      <c r="H174" t="n">
        <v>0</v>
      </c>
      <c r="I174" t="n">
        <v>0</v>
      </c>
      <c r="J174" t="n">
        <v>0</v>
      </c>
      <c r="K174" t="n">
        <v>0</v>
      </c>
      <c r="L174" t="n">
        <v>0</v>
      </c>
      <c r="M174" t="n">
        <v>0</v>
      </c>
      <c r="N174" t="n">
        <v>0</v>
      </c>
    </row>
    <row r="175">
      <c r="A175" t="inlineStr">
        <is>
          <t>Cost of the harvest</t>
        </is>
      </c>
      <c r="B175" t="inlineStr">
        <is>
          <t>ale bought 2 shilling 6pence.</t>
        </is>
      </c>
      <c r="C175" t="n">
        <v>0.12</v>
      </c>
      <c r="D175" t="n">
        <v>0</v>
      </c>
      <c r="E175" t="n">
        <v>2</v>
      </c>
      <c r="F175" t="n">
        <v>6</v>
      </c>
      <c r="H175" t="n">
        <v>0</v>
      </c>
      <c r="I175" t="n">
        <v>0</v>
      </c>
      <c r="J175" t="n">
        <v>0</v>
      </c>
      <c r="K175" t="n">
        <v>0</v>
      </c>
      <c r="L175" t="n">
        <v>0</v>
      </c>
      <c r="M175" t="n">
        <v>0</v>
      </c>
      <c r="N175" t="n">
        <v>0</v>
      </c>
    </row>
    <row r="176">
      <c r="A176" t="inlineStr">
        <is>
          <t>Cost of the harvest</t>
        </is>
      </c>
      <c r="B176" t="inlineStr">
        <is>
          <t>100 herrings bought for noon 8pence.</t>
        </is>
      </c>
      <c r="C176" t="n">
        <v>0.03</v>
      </c>
      <c r="D176" t="n">
        <v>0</v>
      </c>
      <c r="E176" t="n">
        <v>0</v>
      </c>
      <c r="F176" t="n">
        <v>8</v>
      </c>
      <c r="H176" t="n">
        <v>0</v>
      </c>
      <c r="I176" t="n">
        <v>0</v>
      </c>
      <c r="J176" t="n">
        <v>0</v>
      </c>
      <c r="K176" t="n">
        <v>0</v>
      </c>
      <c r="L176" t="n">
        <v>0</v>
      </c>
      <c r="M176" t="n">
        <v>0</v>
      </c>
      <c r="N176" t="n">
        <v>0</v>
      </c>
    </row>
    <row r="177">
      <c r="A177" t="inlineStr">
        <is>
          <t>Cost of the harvest</t>
        </is>
      </c>
      <c r="B177" t="inlineStr">
        <is>
          <t>meat bought 2 shilling 2pence.</t>
        </is>
      </c>
      <c r="C177" t="n">
        <v>0.11</v>
      </c>
      <c r="D177" t="n">
        <v>0</v>
      </c>
      <c r="E177" t="n">
        <v>2</v>
      </c>
      <c r="F177" t="n">
        <v>2</v>
      </c>
      <c r="H177" t="n">
        <v>0</v>
      </c>
      <c r="I177" t="n">
        <v>0</v>
      </c>
      <c r="J177" t="n">
        <v>0</v>
      </c>
      <c r="K177" t="n">
        <v>0</v>
      </c>
      <c r="L177" t="n">
        <v>0</v>
      </c>
      <c r="M177" t="n">
        <v>0</v>
      </c>
      <c r="N177" t="n">
        <v>0</v>
      </c>
    </row>
    <row r="178">
      <c r="A178" t="inlineStr">
        <is>
          <t>Cost of the harvest</t>
        </is>
      </c>
      <c r="B178" t="inlineStr">
        <is>
          <t>wastel-bread bought for mortrel 1 .5pence.</t>
        </is>
      </c>
      <c r="C178" t="n">
        <v>0.02</v>
      </c>
      <c r="D178" t="n">
        <v>0</v>
      </c>
      <c r="E178" t="n">
        <v>0</v>
      </c>
      <c r="F178" t="n">
        <v>5</v>
      </c>
      <c r="H178" t="n">
        <v>0</v>
      </c>
      <c r="I178" t="n">
        <v>0</v>
      </c>
      <c r="J178" t="n">
        <v>0</v>
      </c>
      <c r="K178" t="n">
        <v>0</v>
      </c>
      <c r="L178" t="n">
        <v>0</v>
      </c>
      <c r="M178" t="n">
        <v>0</v>
      </c>
      <c r="N178" t="n">
        <v>0</v>
      </c>
    </row>
    <row r="179">
      <c r="A179" t="inlineStr">
        <is>
          <t>Cost of the harvest</t>
        </is>
      </c>
      <c r="B179" t="inlineStr">
        <is>
          <t>milk bought for the same 2pence.</t>
        </is>
      </c>
      <c r="C179" t="n">
        <v>0.01</v>
      </c>
      <c r="D179" t="n">
        <v>0</v>
      </c>
      <c r="E179" t="n">
        <v>0</v>
      </c>
      <c r="F179" t="n">
        <v>2</v>
      </c>
      <c r="H179" t="n">
        <v>0</v>
      </c>
      <c r="I179" t="n">
        <v>0</v>
      </c>
      <c r="J179" t="n">
        <v>0</v>
      </c>
      <c r="K179" t="n">
        <v>0</v>
      </c>
      <c r="L179" t="n">
        <v>0</v>
      </c>
      <c r="M179" t="n">
        <v>0</v>
      </c>
      <c r="N179" t="n">
        <v>0</v>
      </c>
    </row>
    <row r="180">
      <c r="A180" t="inlineStr">
        <is>
          <t>Cost of the harvest</t>
        </is>
      </c>
      <c r="B180" t="inlineStr">
        <is>
          <t>cheese bought for the whole harvest 1 shilling.</t>
        </is>
      </c>
      <c r="C180" t="n">
        <v>0.05</v>
      </c>
      <c r="D180" t="n">
        <v>0</v>
      </c>
      <c r="E180" t="n">
        <v>1</v>
      </c>
      <c r="F180" t="n">
        <v>0</v>
      </c>
      <c r="H180" t="n">
        <v>0</v>
      </c>
      <c r="I180" t="n">
        <v>0</v>
      </c>
      <c r="J180" t="n">
        <v>0</v>
      </c>
      <c r="K180" t="n">
        <v>0</v>
      </c>
      <c r="L180" t="n">
        <v>0</v>
      </c>
      <c r="M180" t="n">
        <v>0</v>
      </c>
      <c r="N180" t="n">
        <v>0</v>
      </c>
    </row>
    <row r="181">
      <c r="A181" t="inlineStr">
        <is>
          <t>Cost of the harvest</t>
        </is>
      </c>
      <c r="B181" t="inlineStr">
        <is>
          <t>candles bought 1pence.</t>
        </is>
      </c>
      <c r="C181" t="n">
        <v>0</v>
      </c>
      <c r="D181" t="n">
        <v>0</v>
      </c>
      <c r="E181" t="n">
        <v>0</v>
      </c>
      <c r="F181" t="n">
        <v>1</v>
      </c>
      <c r="H181" t="n">
        <v>0</v>
      </c>
      <c r="I181" t="n">
        <v>0</v>
      </c>
      <c r="J181" t="n">
        <v>0</v>
      </c>
      <c r="K181" t="n">
        <v>0</v>
      </c>
      <c r="L181" t="n">
        <v>0</v>
      </c>
      <c r="M181" t="n">
        <v>0</v>
      </c>
      <c r="N181" t="n">
        <v>0</v>
      </c>
    </row>
    <row r="182">
      <c r="A182" t="inlineStr">
        <is>
          <t>Cost of the harvest</t>
        </is>
      </c>
      <c r="B182" t="inlineStr">
        <is>
          <t>27 men hired for 1 day for 2 meals a day at Northwod' who reaped and bound the lord's corn.</t>
        </is>
      </c>
      <c r="C182" t="n">
        <v>0</v>
      </c>
      <c r="D182" t="n">
        <v>0</v>
      </c>
      <c r="E182" t="n">
        <v>0</v>
      </c>
      <c r="F182" t="n">
        <v>0</v>
      </c>
      <c r="H182" t="n">
        <v>0</v>
      </c>
      <c r="I182" t="n">
        <v>0</v>
      </c>
      <c r="J182" t="n">
        <v>0</v>
      </c>
      <c r="K182" t="n">
        <v>0</v>
      </c>
      <c r="L182" t="n">
        <v>0</v>
      </c>
      <c r="M182" t="n">
        <v>0</v>
      </c>
      <c r="N182" t="n">
        <v>0</v>
      </c>
    </row>
    <row r="183">
      <c r="A183" t="inlineStr">
        <is>
          <t>Cost of the harvest</t>
        </is>
      </c>
      <c r="B183" t="inlineStr">
        <is>
          <t>Also in 26 men hired for 1 day for 2 meals a day at Northwod' who reaped and bound the lord's corn, bread from stock.</t>
        </is>
      </c>
      <c r="C183" t="n">
        <v>0</v>
      </c>
      <c r="D183" t="n">
        <v>0</v>
      </c>
      <c r="E183" t="n">
        <v>0</v>
      </c>
      <c r="F183" t="n">
        <v>0</v>
      </c>
      <c r="H183" t="n">
        <v>0</v>
      </c>
      <c r="I183" t="n">
        <v>0</v>
      </c>
      <c r="J183" t="n">
        <v>0</v>
      </c>
      <c r="K183" t="n">
        <v>0</v>
      </c>
      <c r="L183" t="n">
        <v>0</v>
      </c>
      <c r="M183" t="n">
        <v>0</v>
      </c>
      <c r="N183" t="n">
        <v>0</v>
      </c>
    </row>
    <row r="184">
      <c r="A184" t="inlineStr">
        <is>
          <t>Cost of the harvest</t>
        </is>
      </c>
      <c r="B184" t="inlineStr">
        <is>
          <t>.</t>
        </is>
      </c>
      <c r="C184" t="n">
        <v>0</v>
      </c>
      <c r="D184" t="n">
        <v>0</v>
      </c>
      <c r="E184" t="n">
        <v>0</v>
      </c>
      <c r="F184" t="n">
        <v>0</v>
      </c>
      <c r="H184" t="n">
        <v>0</v>
      </c>
      <c r="I184" t="n">
        <v>0</v>
      </c>
      <c r="J184" t="n">
        <v>0</v>
      </c>
      <c r="K184" t="n">
        <v>0</v>
      </c>
      <c r="L184" t="n">
        <v>0</v>
      </c>
      <c r="M184" t="n">
        <v>0</v>
      </c>
      <c r="N184" t="n">
        <v>0</v>
      </c>
    </row>
    <row r="185">
      <c r="A185" t="inlineStr">
        <is>
          <t>Cost of the harvest</t>
        </is>
      </c>
      <c r="B185" t="inlineStr">
        <is>
          <t>ale bought 1 shilling 2pence.</t>
        </is>
      </c>
      <c r="C185" t="n">
        <v>0.06</v>
      </c>
      <c r="D185" t="n">
        <v>0</v>
      </c>
      <c r="E185" t="n">
        <v>1</v>
      </c>
      <c r="F185" t="n">
        <v>2</v>
      </c>
      <c r="H185" t="n">
        <v>0</v>
      </c>
      <c r="I185" t="n">
        <v>0</v>
      </c>
      <c r="J185" t="n">
        <v>0</v>
      </c>
      <c r="K185" t="n">
        <v>0</v>
      </c>
      <c r="L185" t="n">
        <v>0</v>
      </c>
      <c r="M185" t="n">
        <v>0</v>
      </c>
      <c r="N185" t="n">
        <v>0</v>
      </c>
    </row>
    <row r="186">
      <c r="A186" t="inlineStr">
        <is>
          <t>Cost of the harvest</t>
        </is>
      </c>
      <c r="B186" t="inlineStr">
        <is>
          <t>relish 1 shilling 7pence.</t>
        </is>
      </c>
      <c r="C186" t="n">
        <v>0.08</v>
      </c>
      <c r="D186" t="n">
        <v>0</v>
      </c>
      <c r="E186" t="n">
        <v>1</v>
      </c>
      <c r="F186" t="n">
        <v>7</v>
      </c>
      <c r="H186" t="n">
        <v>0</v>
      </c>
      <c r="I186" t="n">
        <v>0</v>
      </c>
      <c r="J186" t="n">
        <v>0</v>
      </c>
      <c r="K186" t="n">
        <v>0</v>
      </c>
      <c r="L186" t="n">
        <v>0</v>
      </c>
      <c r="M186" t="n">
        <v>0</v>
      </c>
      <c r="N186" t="n">
        <v>0</v>
      </c>
    </row>
    <row r="187">
      <c r="A187" t="inlineStr">
        <is>
          <t>Cost of the harvest</t>
        </is>
      </c>
      <c r="B187" t="inlineStr">
        <is>
          <t>stipend of the same 4 shilling 5pence, each of them having for his stipend 1pence a day.</t>
        </is>
      </c>
      <c r="C187" t="n">
        <v>0.22</v>
      </c>
      <c r="D187" t="n">
        <v>0</v>
      </c>
      <c r="E187" t="n">
        <v>4</v>
      </c>
      <c r="F187" t="n">
        <v>5</v>
      </c>
      <c r="H187" t="n">
        <v>0</v>
      </c>
      <c r="I187" t="n">
        <v>0</v>
      </c>
      <c r="J187" t="n">
        <v>0</v>
      </c>
      <c r="K187" t="n">
        <v>0</v>
      </c>
      <c r="L187" t="n">
        <v>0</v>
      </c>
      <c r="M187" t="n">
        <v>0</v>
      </c>
      <c r="N187" t="n">
        <v>0</v>
      </c>
    </row>
    <row r="188">
      <c r="A188" t="inlineStr">
        <is>
          <t>Cost of the harvest</t>
        </is>
      </c>
      <c r="B188" t="inlineStr">
        <is>
          <t>.</t>
        </is>
      </c>
      <c r="C188" t="n">
        <v>0</v>
      </c>
      <c r="D188" t="n">
        <v>0</v>
      </c>
      <c r="E188" t="n">
        <v>0</v>
      </c>
      <c r="F188" t="n">
        <v>0</v>
      </c>
      <c r="H188" t="n">
        <v>0</v>
      </c>
      <c r="I188" t="n">
        <v>0</v>
      </c>
      <c r="J188" t="n">
        <v>0</v>
      </c>
      <c r="K188" t="n">
        <v>0</v>
      </c>
      <c r="L188" t="n">
        <v>0</v>
      </c>
      <c r="M188" t="n">
        <v>0</v>
      </c>
      <c r="N188" t="n">
        <v>0</v>
      </c>
    </row>
    <row r="189">
      <c r="A189" t="inlineStr">
        <is>
          <t>Cost of the harvest</t>
        </is>
      </c>
      <c r="B189" t="inlineStr">
        <is>
          <t>expenses of the reeve from Lammas until Michaelmas 2 shilling Total, 16 shilling 9.5pence</t>
        </is>
      </c>
      <c r="C189" t="n">
        <v>0.14</v>
      </c>
      <c r="D189" t="n">
        <v>0</v>
      </c>
      <c r="E189" t="n">
        <v>2</v>
      </c>
      <c r="F189" t="n">
        <v>9.5</v>
      </c>
      <c r="H189" t="n">
        <v>0</v>
      </c>
      <c r="I189" t="n">
        <v>0</v>
      </c>
      <c r="J189" t="n">
        <v>0</v>
      </c>
      <c r="K189" t="n">
        <v>0</v>
      </c>
      <c r="L189" t="n">
        <v>0</v>
      </c>
      <c r="M189" t="n">
        <v>0</v>
      </c>
      <c r="N189" t="n">
        <v>0</v>
      </c>
    </row>
    <row r="190">
      <c r="A190" t="inlineStr">
        <is>
          <t>Cost of the vineyard</t>
        </is>
      </c>
      <c r="B190" t="inlineStr">
        <is>
          <t>In expenses for digging around the vineyard of Esher this year £1 3 shilling.</t>
        </is>
      </c>
      <c r="C190" t="n">
        <v>1.15</v>
      </c>
      <c r="D190" t="n">
        <v>1</v>
      </c>
      <c r="E190" t="n">
        <v>3</v>
      </c>
      <c r="F190" t="n">
        <v>0</v>
      </c>
      <c r="H190" t="n">
        <v>0</v>
      </c>
      <c r="I190" t="n">
        <v>0</v>
      </c>
      <c r="J190" t="n">
        <v>0</v>
      </c>
      <c r="K190" t="n">
        <v>0</v>
      </c>
      <c r="L190" t="n">
        <v>0</v>
      </c>
      <c r="M190" t="n">
        <v>0</v>
      </c>
      <c r="N190" t="n">
        <v>0</v>
      </c>
    </row>
    <row r="191">
      <c r="A191" t="inlineStr">
        <is>
          <t>Cost of the vineyard</t>
        </is>
      </c>
      <c r="B191" t="inlineStr">
        <is>
          <t>collecting vines to make verjuice 3 shilling 10pence.</t>
        </is>
      </c>
      <c r="C191" t="n">
        <v>0.19</v>
      </c>
      <c r="D191" t="n">
        <v>0</v>
      </c>
      <c r="E191" t="n">
        <v>3</v>
      </c>
      <c r="F191" t="n">
        <v>10</v>
      </c>
      <c r="H191" t="n">
        <v>0</v>
      </c>
      <c r="I191" t="n">
        <v>0</v>
      </c>
      <c r="J191" t="n">
        <v>0</v>
      </c>
      <c r="K191" t="n">
        <v>0</v>
      </c>
      <c r="L191" t="n">
        <v>0</v>
      </c>
      <c r="M191" t="n">
        <v>0</v>
      </c>
      <c r="N191" t="n">
        <v>0</v>
      </c>
    </row>
    <row r="192">
      <c r="A192" t="inlineStr">
        <is>
          <t>Cost of the vineyard</t>
        </is>
      </c>
      <c r="B192" t="inlineStr">
        <is>
          <t>4 bushels of salt bought to salt verjuice 1 shilling 2pence, at 3.5pence a bushels Delivered to Peter, the lord's squire, whilst he remains at Esher in order to collect vines and make verjuice, by order of the bishop and by his letters, 3pence 6pence.</t>
        </is>
      </c>
      <c r="C192" t="n">
        <v>0.06</v>
      </c>
      <c r="D192" t="n">
        <v>0</v>
      </c>
      <c r="E192" t="n">
        <v>1</v>
      </c>
      <c r="F192" t="n">
        <v>2</v>
      </c>
      <c r="H192" t="n">
        <v>0</v>
      </c>
      <c r="I192" t="n">
        <v>4</v>
      </c>
      <c r="J192" t="n">
        <v>0.5</v>
      </c>
      <c r="K192" t="n">
        <v>0.5</v>
      </c>
      <c r="L192" t="n">
        <v>0</v>
      </c>
      <c r="M192" t="n">
        <v>0</v>
      </c>
      <c r="N192" t="n">
        <v>4</v>
      </c>
      <c r="AA192" t="n">
        <v>0</v>
      </c>
      <c r="AB192" t="n">
        <v>3.5</v>
      </c>
    </row>
    <row r="193">
      <c r="A193" t="inlineStr">
        <is>
          <t>Cost of the vineyard</t>
        </is>
      </c>
      <c r="B193" t="inlineStr">
        <is>
          <t>stipend of Alexander the vintner for the year 5 shilling.</t>
        </is>
      </c>
      <c r="C193" t="n">
        <v>0.25</v>
      </c>
      <c r="D193" t="n">
        <v>0</v>
      </c>
      <c r="E193" t="n">
        <v>5</v>
      </c>
      <c r="F193" t="n">
        <v>0</v>
      </c>
      <c r="H193" t="n">
        <v>0</v>
      </c>
      <c r="I193" t="n">
        <v>0</v>
      </c>
      <c r="J193" t="n">
        <v>0</v>
      </c>
      <c r="K193" t="n">
        <v>0</v>
      </c>
      <c r="L193" t="n">
        <v>0</v>
      </c>
      <c r="M193" t="n">
        <v>0</v>
      </c>
      <c r="N193" t="n">
        <v>0</v>
      </c>
    </row>
    <row r="194">
      <c r="A194" t="inlineStr">
        <is>
          <t>Cost of the vineyard</t>
        </is>
      </c>
      <c r="B194" t="inlineStr">
        <is>
          <t>1 cask bought for putting the verjuice in 2 shilling 2pence.</t>
        </is>
      </c>
      <c r="C194" t="n">
        <v>0.11</v>
      </c>
      <c r="D194" t="n">
        <v>0</v>
      </c>
      <c r="E194" t="n">
        <v>2</v>
      </c>
      <c r="F194" t="n">
        <v>2</v>
      </c>
      <c r="H194" t="n">
        <v>0</v>
      </c>
      <c r="I194" t="n">
        <v>0</v>
      </c>
      <c r="J194" t="n">
        <v>0</v>
      </c>
      <c r="K194" t="n">
        <v>0</v>
      </c>
      <c r="L194" t="n">
        <v>0</v>
      </c>
      <c r="M194" t="n">
        <v>0</v>
      </c>
      <c r="N194" t="n">
        <v>0</v>
      </c>
    </row>
    <row r="195">
      <c r="A195" t="inlineStr">
        <is>
          <t>Cost of the vineyard</t>
        </is>
      </c>
      <c r="B195" t="inlineStr">
        <is>
          <t>2 barrels bought for the same 1 shilling Total, £1 19 shilling 8pence</t>
        </is>
      </c>
      <c r="C195" t="n">
        <v>1.98</v>
      </c>
      <c r="D195" t="n">
        <v>1</v>
      </c>
      <c r="E195" t="n">
        <v>19</v>
      </c>
      <c r="F195" t="n">
        <v>8</v>
      </c>
      <c r="H195" t="n">
        <v>0</v>
      </c>
      <c r="I195" t="n">
        <v>0</v>
      </c>
      <c r="J195" t="n">
        <v>0</v>
      </c>
      <c r="K195" t="n">
        <v>0</v>
      </c>
      <c r="L195" t="n">
        <v>0</v>
      </c>
      <c r="M195" t="n">
        <v>0</v>
      </c>
      <c r="N195" t="n">
        <v>0</v>
      </c>
    </row>
    <row r="196">
      <c r="A196" t="inlineStr">
        <is>
          <t>Payment of outside rents</t>
        </is>
      </c>
      <c r="B196" t="inlineStr">
        <is>
          <t>In rent paid at Michaelmas to the Abbot of Chertsey for the land of Northwod' 6 shilling.</t>
        </is>
      </c>
      <c r="C196" t="n">
        <v>0.3</v>
      </c>
      <c r="D196" t="n">
        <v>0</v>
      </c>
      <c r="E196" t="n">
        <v>6</v>
      </c>
      <c r="F196" t="n">
        <v>0</v>
      </c>
      <c r="H196" t="n">
        <v>0</v>
      </c>
      <c r="I196" t="n">
        <v>0</v>
      </c>
      <c r="J196" t="n">
        <v>0</v>
      </c>
      <c r="K196" t="n">
        <v>0</v>
      </c>
      <c r="L196" t="n">
        <v>0</v>
      </c>
      <c r="M196" t="n">
        <v>0</v>
      </c>
      <c r="N196" t="n">
        <v>0</v>
      </c>
    </row>
    <row r="197">
      <c r="A197" t="inlineStr">
        <is>
          <t>Payment of outside rents</t>
        </is>
      </c>
      <c r="B197" t="inlineStr">
        <is>
          <t>2 ploughshares bought for the same, paid to the same this year, 1 shilling 2pence Total, 7 shilling 2pence</t>
        </is>
      </c>
      <c r="C197" t="n">
        <v>0.06</v>
      </c>
      <c r="D197" t="n">
        <v>0</v>
      </c>
      <c r="E197" t="n">
        <v>1</v>
      </c>
      <c r="F197" t="n">
        <v>2</v>
      </c>
      <c r="H197" t="n">
        <v>0</v>
      </c>
      <c r="I197" t="n">
        <v>0</v>
      </c>
      <c r="J197" t="n">
        <v>0</v>
      </c>
      <c r="K197" t="n">
        <v>0</v>
      </c>
      <c r="L197" t="n">
        <v>0</v>
      </c>
      <c r="M197" t="n">
        <v>0</v>
      </c>
      <c r="N197" t="n">
        <v>0</v>
      </c>
    </row>
    <row r="198">
      <c r="A198" t="inlineStr">
        <is>
          <t>Foreign expenses</t>
        </is>
      </c>
      <c r="B198" t="inlineStr">
        <is>
          <t>Given for the keeping of a certain ox by the assessor of the fifteenth at Northwod' 1 shilling</t>
        </is>
      </c>
      <c r="C198" t="n">
        <v>0.05</v>
      </c>
      <c r="D198" t="n">
        <v>0</v>
      </c>
      <c r="E198" t="n">
        <v>1</v>
      </c>
      <c r="F198" t="n">
        <v>0</v>
      </c>
      <c r="H198" t="n">
        <v>0</v>
      </c>
      <c r="I198" t="n">
        <v>0</v>
      </c>
      <c r="J198" t="n">
        <v>0</v>
      </c>
      <c r="K198" t="n">
        <v>0</v>
      </c>
      <c r="L198" t="n">
        <v>0</v>
      </c>
      <c r="M198" t="n">
        <v>0</v>
      </c>
      <c r="N198" t="n">
        <v>0</v>
      </c>
    </row>
    <row r="199">
      <c r="A199" t="inlineStr">
        <is>
          <t>Foreign expenses</t>
        </is>
      </c>
      <c r="B199" t="inlineStr">
        <is>
          <t>10pence Total, 1 shilling 10pence</t>
        </is>
      </c>
      <c r="C199" t="n">
        <v>0.09</v>
      </c>
      <c r="D199" t="n">
        <v>0</v>
      </c>
      <c r="E199" t="n">
        <v>1</v>
      </c>
      <c r="F199" t="n">
        <v>10</v>
      </c>
      <c r="H199" t="n">
        <v>0</v>
      </c>
      <c r="I199" t="n">
        <v>0</v>
      </c>
      <c r="J199" t="n">
        <v>0</v>
      </c>
      <c r="K199" t="n">
        <v>0</v>
      </c>
      <c r="L199" t="n">
        <v>0</v>
      </c>
      <c r="M199" t="n">
        <v>0</v>
      </c>
      <c r="N199" t="n">
        <v>0</v>
      </c>
    </row>
    <row r="200">
      <c r="A200" t="inlineStr">
        <is>
          <t xml:space="preserve">Total of all expenses 	</t>
        </is>
      </c>
      <c r="B200" t="inlineStr">
        <is>
          <t>Total of all expenses, £12 11 shilling 6pence</t>
        </is>
      </c>
      <c r="C200" t="n">
        <v>12.58</v>
      </c>
      <c r="D200" t="n">
        <v>12</v>
      </c>
      <c r="E200" t="n">
        <v>11</v>
      </c>
      <c r="F200" t="n">
        <v>6</v>
      </c>
      <c r="H200" t="n">
        <v>0</v>
      </c>
      <c r="I200" t="n">
        <v>0</v>
      </c>
      <c r="J200" t="n">
        <v>0</v>
      </c>
      <c r="K200" t="n">
        <v>0</v>
      </c>
      <c r="L200" t="n">
        <v>0</v>
      </c>
      <c r="M200" t="n">
        <v>0</v>
      </c>
      <c r="N200" t="n">
        <v>0</v>
      </c>
    </row>
    <row r="201">
      <c r="A201" t="inlineStr">
        <is>
          <t>And thus he owes</t>
        </is>
      </c>
      <c r="B201" t="inlineStr">
        <is>
          <t>And thus he owes, £4 17 shilling 9.75pence</t>
        </is>
      </c>
      <c r="C201" t="n">
        <v>4.89</v>
      </c>
      <c r="D201" t="n">
        <v>4</v>
      </c>
      <c r="E201" t="n">
        <v>17</v>
      </c>
      <c r="F201" t="n">
        <v>9.75</v>
      </c>
      <c r="H201" t="n">
        <v>0</v>
      </c>
      <c r="I201" t="n">
        <v>0</v>
      </c>
      <c r="J201" t="n">
        <v>0</v>
      </c>
      <c r="K201" t="n">
        <v>0</v>
      </c>
      <c r="L201" t="n">
        <v>0</v>
      </c>
      <c r="M201" t="n">
        <v>0</v>
      </c>
      <c r="N201" t="n">
        <v>0</v>
      </c>
    </row>
    <row r="202">
      <c r="A202" t="inlineStr">
        <is>
          <t>Cash deliveries</t>
        </is>
      </c>
      <c r="B202" t="inlineStr">
        <is>
          <t>Delivered to Sir Geoffrey, treasurer of Wolvesey, by 1 tally, £3.</t>
        </is>
      </c>
      <c r="C202" t="n">
        <v>3</v>
      </c>
      <c r="D202" t="n">
        <v>3</v>
      </c>
      <c r="E202" t="n">
        <v>0</v>
      </c>
      <c r="F202" t="n">
        <v>0</v>
      </c>
      <c r="H202" t="n">
        <v>0</v>
      </c>
      <c r="I202" t="n">
        <v>0</v>
      </c>
      <c r="J202" t="n">
        <v>0</v>
      </c>
      <c r="K202" t="n">
        <v>0</v>
      </c>
      <c r="L202" t="n">
        <v>0</v>
      </c>
      <c r="M202" t="n">
        <v>0</v>
      </c>
      <c r="N202" t="n">
        <v>0</v>
      </c>
    </row>
    <row r="203">
      <c r="A203" t="inlineStr">
        <is>
          <t>And he owes clear,</t>
        </is>
      </c>
      <c r="B203" t="inlineStr">
        <is>
          <t>And he owes clear, £1 17 shilling 9.75pence</t>
        </is>
      </c>
      <c r="C203" t="n">
        <v>1.89</v>
      </c>
      <c r="D203" t="n">
        <v>1</v>
      </c>
      <c r="E203" t="n">
        <v>17</v>
      </c>
      <c r="F203" t="n">
        <v>9.75</v>
      </c>
      <c r="H203" t="n">
        <v>0</v>
      </c>
      <c r="I203" t="n">
        <v>0</v>
      </c>
      <c r="J203" t="n">
        <v>0</v>
      </c>
      <c r="K203" t="n">
        <v>0</v>
      </c>
      <c r="L203" t="n">
        <v>0</v>
      </c>
      <c r="M203" t="n">
        <v>0</v>
      </c>
      <c r="N203" t="n">
        <v>0</v>
      </c>
    </row>
    <row r="204">
      <c r="A204" t="inlineStr">
        <is>
          <t>Rye</t>
        </is>
      </c>
      <c r="B204" t="inlineStr">
        <is>
          <t>{yield: four-fold less 1 quarters}</t>
        </is>
      </c>
      <c r="C204" t="n">
        <v>0</v>
      </c>
      <c r="D204" t="n">
        <v>0</v>
      </c>
      <c r="E204" t="n">
        <v>0</v>
      </c>
      <c r="F204" t="n">
        <v>0</v>
      </c>
      <c r="H204" t="n">
        <v>1</v>
      </c>
      <c r="I204" t="n">
        <v>0</v>
      </c>
      <c r="J204" t="n">
        <v>1</v>
      </c>
      <c r="K204" t="n">
        <v>1</v>
      </c>
      <c r="L204" t="n">
        <v>0</v>
      </c>
      <c r="M204" t="n">
        <v>1</v>
      </c>
      <c r="N204" t="n">
        <v>0</v>
      </c>
    </row>
    <row r="205">
      <c r="A205" t="inlineStr">
        <is>
          <t>Rye</t>
        </is>
      </c>
      <c r="B205" t="inlineStr">
        <is>
          <t>The same renders account for 24 quarters of rye from the issue of the grange threshed by piece-work.</t>
        </is>
      </c>
      <c r="C205" t="n">
        <v>0</v>
      </c>
      <c r="D205" t="n">
        <v>0</v>
      </c>
      <c r="E205" t="n">
        <v>0</v>
      </c>
      <c r="F205" t="n">
        <v>0</v>
      </c>
      <c r="G205" t="inlineStr">
        <is>
          <t>rye</t>
        </is>
      </c>
      <c r="H205" t="n">
        <v>24</v>
      </c>
      <c r="I205" t="n">
        <v>0</v>
      </c>
      <c r="J205" t="n">
        <v>24</v>
      </c>
      <c r="K205" t="n">
        <v>24</v>
      </c>
      <c r="L205" t="n">
        <v>0</v>
      </c>
      <c r="M205" t="n">
        <v>24</v>
      </c>
      <c r="N205" t="n">
        <v>0</v>
      </c>
    </row>
    <row r="206">
      <c r="A206" t="inlineStr">
        <is>
          <t>Rye</t>
        </is>
      </c>
      <c r="B206" t="inlineStr">
        <is>
          <t>6 quarters from the increment.</t>
        </is>
      </c>
      <c r="C206" t="n">
        <v>0</v>
      </c>
      <c r="D206" t="n">
        <v>0</v>
      </c>
      <c r="E206" t="n">
        <v>0</v>
      </c>
      <c r="F206" t="n">
        <v>0</v>
      </c>
      <c r="H206" t="n">
        <v>6</v>
      </c>
      <c r="I206" t="n">
        <v>0</v>
      </c>
      <c r="J206" t="n">
        <v>6</v>
      </c>
      <c r="K206" t="n">
        <v>6</v>
      </c>
      <c r="L206" t="n">
        <v>0</v>
      </c>
      <c r="M206" t="n">
        <v>6</v>
      </c>
      <c r="N206" t="n">
        <v>0</v>
      </c>
    </row>
    <row r="207">
      <c r="A207" t="inlineStr">
        <is>
          <t>Rye</t>
        </is>
      </c>
      <c r="B207" t="inlineStr">
        <is>
          <t>Total, 30 quarters.</t>
        </is>
      </c>
      <c r="C207" t="n">
        <v>0</v>
      </c>
      <c r="D207" t="n">
        <v>0</v>
      </c>
      <c r="E207" t="n">
        <v>0</v>
      </c>
      <c r="F207" t="n">
        <v>0</v>
      </c>
      <c r="H207" t="n">
        <v>30</v>
      </c>
      <c r="I207" t="n">
        <v>0</v>
      </c>
      <c r="J207" t="n">
        <v>30</v>
      </c>
      <c r="K207" t="n">
        <v>30</v>
      </c>
      <c r="L207" t="n">
        <v>0</v>
      </c>
      <c r="M207" t="n">
        <v>30</v>
      </c>
      <c r="N207" t="n">
        <v>0</v>
      </c>
    </row>
    <row r="208">
      <c r="A208" t="inlineStr">
        <is>
          <t>Rye</t>
        </is>
      </c>
      <c r="B208" t="inlineStr">
        <is>
          <t>Sown over 12 acres at Esher and 13.5 acres at Nortwod', 6 quarters 3 bushels.</t>
        </is>
      </c>
      <c r="C208" t="n">
        <v>0</v>
      </c>
      <c r="D208" t="n">
        <v>0</v>
      </c>
      <c r="E208" t="n">
        <v>0</v>
      </c>
      <c r="F208" t="n">
        <v>0</v>
      </c>
      <c r="H208" t="n">
        <v>6</v>
      </c>
      <c r="I208" t="n">
        <v>3</v>
      </c>
      <c r="J208" t="n">
        <v>6.375</v>
      </c>
      <c r="K208" t="n">
        <v>6.375</v>
      </c>
      <c r="L208" t="n">
        <v>0</v>
      </c>
      <c r="M208" t="n">
        <v>6</v>
      </c>
      <c r="N208" t="n">
        <v>3</v>
      </c>
    </row>
    <row r="209">
      <c r="A209" t="inlineStr">
        <is>
          <t>Rye</t>
        </is>
      </c>
      <c r="B209" t="inlineStr">
        <is>
          <t>that is, 2 bushels an acre.</t>
        </is>
      </c>
      <c r="C209" t="n">
        <v>0</v>
      </c>
      <c r="D209" t="n">
        <v>0</v>
      </c>
      <c r="E209" t="n">
        <v>0</v>
      </c>
      <c r="F209" t="n">
        <v>0</v>
      </c>
      <c r="H209" t="n">
        <v>0</v>
      </c>
      <c r="I209" t="n">
        <v>2</v>
      </c>
      <c r="J209" t="n">
        <v>0.25</v>
      </c>
      <c r="K209" t="n">
        <v>0.25</v>
      </c>
      <c r="L209" t="n">
        <v>0</v>
      </c>
      <c r="M209" t="n">
        <v>0</v>
      </c>
      <c r="N209" t="n">
        <v>2</v>
      </c>
    </row>
    <row r="210">
      <c r="A210" t="inlineStr">
        <is>
          <t>Rye</t>
        </is>
      </c>
      <c r="B210" t="inlineStr">
        <is>
          <t>.</t>
        </is>
      </c>
      <c r="C210" t="n">
        <v>0</v>
      </c>
      <c r="D210" t="n">
        <v>0</v>
      </c>
      <c r="E210" t="n">
        <v>0</v>
      </c>
      <c r="F210" t="n">
        <v>0</v>
      </c>
      <c r="H210" t="n">
        <v>0</v>
      </c>
      <c r="I210" t="n">
        <v>0</v>
      </c>
      <c r="J210" t="n">
        <v>0</v>
      </c>
      <c r="K210" t="n">
        <v>0</v>
      </c>
      <c r="L210" t="n">
        <v>0</v>
      </c>
      <c r="M210" t="n">
        <v>0</v>
      </c>
      <c r="N210" t="n">
        <v>0</v>
      </c>
    </row>
    <row r="211">
      <c r="A211" t="inlineStr">
        <is>
          <t>Rye</t>
        </is>
      </c>
      <c r="B211" t="inlineStr">
        <is>
          <t>bread baked for the harrowers at the sowing of the oats, 1 bushels.</t>
        </is>
      </c>
      <c r="C211" t="n">
        <v>0</v>
      </c>
      <c r="D211" t="n">
        <v>0</v>
      </c>
      <c r="E211" t="n">
        <v>0</v>
      </c>
      <c r="F211" t="n">
        <v>0</v>
      </c>
      <c r="G211" t="inlineStr">
        <is>
          <t>oats</t>
        </is>
      </c>
      <c r="H211" t="n">
        <v>0</v>
      </c>
      <c r="I211" t="n">
        <v>1</v>
      </c>
      <c r="J211" t="n">
        <v>0.125</v>
      </c>
      <c r="K211" t="n">
        <v>0.125</v>
      </c>
      <c r="L211" t="n">
        <v>0</v>
      </c>
      <c r="M211" t="n">
        <v>0</v>
      </c>
      <c r="N211" t="n">
        <v>1</v>
      </c>
    </row>
    <row r="212">
      <c r="A212" t="inlineStr">
        <is>
          <t>Rye</t>
        </is>
      </c>
      <c r="B212" t="inlineStr">
        <is>
          <t>bread baked for the mowing of the meadows, 3 bushels.</t>
        </is>
      </c>
      <c r="C212" t="n">
        <v>0</v>
      </c>
      <c r="D212" t="n">
        <v>0</v>
      </c>
      <c r="E212" t="n">
        <v>0</v>
      </c>
      <c r="F212" t="n">
        <v>0</v>
      </c>
      <c r="H212" t="n">
        <v>0</v>
      </c>
      <c r="I212" t="n">
        <v>3</v>
      </c>
      <c r="J212" t="n">
        <v>0.375</v>
      </c>
      <c r="K212" t="n">
        <v>0.375</v>
      </c>
      <c r="L212" t="n">
        <v>0</v>
      </c>
      <c r="M212" t="n">
        <v>0</v>
      </c>
      <c r="N212" t="n">
        <v>3</v>
      </c>
    </row>
    <row r="213">
      <c r="A213" t="inlineStr">
        <is>
          <t>Rye</t>
        </is>
      </c>
      <c r="B213" t="inlineStr">
        <is>
          <t>bread baked for the carrying of the hay from the meadows to the manor of Esher, 1 bushels.</t>
        </is>
      </c>
      <c r="C213" t="n">
        <v>0</v>
      </c>
      <c r="D213" t="n">
        <v>0</v>
      </c>
      <c r="E213" t="n">
        <v>0</v>
      </c>
      <c r="F213" t="n">
        <v>0</v>
      </c>
      <c r="H213" t="n">
        <v>0</v>
      </c>
      <c r="I213" t="n">
        <v>1</v>
      </c>
      <c r="J213" t="n">
        <v>0.125</v>
      </c>
      <c r="K213" t="n">
        <v>0.125</v>
      </c>
      <c r="L213" t="n">
        <v>0</v>
      </c>
      <c r="M213" t="n">
        <v>0</v>
      </c>
      <c r="N213" t="n">
        <v>1</v>
      </c>
    </row>
    <row r="214">
      <c r="A214" t="inlineStr">
        <is>
          <t>Rye</t>
        </is>
      </c>
      <c r="B214" t="inlineStr">
        <is>
          <t>bread baked for the shearing of the sheep, .5 bushels.</t>
        </is>
      </c>
      <c r="C214" t="n">
        <v>0</v>
      </c>
      <c r="D214" t="n">
        <v>0</v>
      </c>
      <c r="E214" t="n">
        <v>0</v>
      </c>
      <c r="F214" t="n">
        <v>0</v>
      </c>
      <c r="H214" t="n">
        <v>0</v>
      </c>
      <c r="I214" t="n">
        <v>5</v>
      </c>
      <c r="J214" t="n">
        <v>0.625</v>
      </c>
      <c r="K214" t="n">
        <v>0.625</v>
      </c>
      <c r="L214" t="n">
        <v>0</v>
      </c>
      <c r="M214" t="n">
        <v>0</v>
      </c>
      <c r="N214" t="n">
        <v>5</v>
      </c>
    </row>
    <row r="215">
      <c r="A215" t="inlineStr">
        <is>
          <t>Rye</t>
        </is>
      </c>
      <c r="B215" t="inlineStr">
        <is>
          <t>bread baked for the provision of the harvest, 1 quarters 2 bushels Delivered to 1 vintner for the year, 6.5 quarters, taking a quarter every 8 weeks.</t>
        </is>
      </c>
      <c r="C215" t="n">
        <v>0</v>
      </c>
      <c r="D215" t="n">
        <v>0</v>
      </c>
      <c r="E215" t="n">
        <v>0</v>
      </c>
      <c r="F215" t="n">
        <v>0</v>
      </c>
      <c r="H215" t="n">
        <v>6.5</v>
      </c>
      <c r="I215" t="n">
        <v>2</v>
      </c>
      <c r="J215" t="n">
        <v>6.75</v>
      </c>
      <c r="K215" t="n">
        <v>1.25</v>
      </c>
      <c r="L215" t="n">
        <v>5.5</v>
      </c>
      <c r="M215" t="n">
        <v>1</v>
      </c>
      <c r="N215" t="n">
        <v>2</v>
      </c>
      <c r="O215" t="n">
        <v>6.5</v>
      </c>
      <c r="P215" t="n">
        <v>0</v>
      </c>
    </row>
    <row r="216">
      <c r="A216" t="inlineStr">
        <is>
          <t>Rye</t>
        </is>
      </c>
      <c r="B216" t="inlineStr">
        <is>
          <t>Sold, 15 quarters 1.5 bushels Total, 30 quarters.</t>
        </is>
      </c>
      <c r="C216" t="n">
        <v>0</v>
      </c>
      <c r="D216" t="n">
        <v>0</v>
      </c>
      <c r="E216" t="n">
        <v>0</v>
      </c>
      <c r="F216" t="n">
        <v>0</v>
      </c>
      <c r="H216" t="n">
        <v>30</v>
      </c>
      <c r="I216" t="n">
        <v>1.5</v>
      </c>
      <c r="J216" t="n">
        <v>30.1875</v>
      </c>
      <c r="K216" t="n">
        <v>15.1875</v>
      </c>
      <c r="L216" t="n">
        <v>15</v>
      </c>
      <c r="M216" t="n">
        <v>15</v>
      </c>
      <c r="N216" t="n">
        <v>1.5</v>
      </c>
      <c r="O216" t="n">
        <v>30</v>
      </c>
      <c r="P216" t="n">
        <v>0</v>
      </c>
    </row>
    <row r="217">
      <c r="A217" t="inlineStr">
        <is>
          <t>Barley</t>
        </is>
      </c>
      <c r="B217" t="inlineStr">
        <is>
          <t>{yield: four-fold less 2.5 quarters}</t>
        </is>
      </c>
      <c r="C217" t="n">
        <v>0</v>
      </c>
      <c r="D217" t="n">
        <v>0</v>
      </c>
      <c r="E217" t="n">
        <v>0</v>
      </c>
      <c r="F217" t="n">
        <v>0</v>
      </c>
      <c r="H217" t="n">
        <v>2.5</v>
      </c>
      <c r="I217" t="n">
        <v>0</v>
      </c>
      <c r="J217" t="n">
        <v>2.5</v>
      </c>
      <c r="K217" t="n">
        <v>2.5</v>
      </c>
      <c r="L217" t="n">
        <v>0</v>
      </c>
      <c r="M217" t="n">
        <v>2.5</v>
      </c>
      <c r="N217" t="n">
        <v>0</v>
      </c>
    </row>
    <row r="218">
      <c r="A218" t="inlineStr">
        <is>
          <t>Barley</t>
        </is>
      </c>
      <c r="B218" t="inlineStr">
        <is>
          <t>The same render account for 4 quarters 5 bushels of barley from the issue of the grange threshed by piece-work.</t>
        </is>
      </c>
      <c r="C218" t="n">
        <v>0</v>
      </c>
      <c r="D218" t="n">
        <v>0</v>
      </c>
      <c r="E218" t="n">
        <v>0</v>
      </c>
      <c r="F218" t="n">
        <v>0</v>
      </c>
      <c r="G218" t="inlineStr">
        <is>
          <t>barley</t>
        </is>
      </c>
      <c r="H218" t="n">
        <v>4</v>
      </c>
      <c r="I218" t="n">
        <v>5</v>
      </c>
      <c r="J218" t="n">
        <v>4.625</v>
      </c>
      <c r="K218" t="n">
        <v>4.625</v>
      </c>
      <c r="L218" t="n">
        <v>0</v>
      </c>
      <c r="M218" t="n">
        <v>4</v>
      </c>
      <c r="N218" t="n">
        <v>5</v>
      </c>
    </row>
    <row r="219">
      <c r="A219" t="inlineStr">
        <is>
          <t>Barley</t>
        </is>
      </c>
      <c r="B219" t="inlineStr">
        <is>
          <t>1 quarters from the increment.</t>
        </is>
      </c>
      <c r="C219" t="n">
        <v>0</v>
      </c>
      <c r="D219" t="n">
        <v>0</v>
      </c>
      <c r="E219" t="n">
        <v>0</v>
      </c>
      <c r="F219" t="n">
        <v>0</v>
      </c>
      <c r="H219" t="n">
        <v>1</v>
      </c>
      <c r="I219" t="n">
        <v>0</v>
      </c>
      <c r="J219" t="n">
        <v>1</v>
      </c>
      <c r="K219" t="n">
        <v>1</v>
      </c>
      <c r="L219" t="n">
        <v>0</v>
      </c>
      <c r="M219" t="n">
        <v>1</v>
      </c>
      <c r="N219" t="n">
        <v>0</v>
      </c>
    </row>
    <row r="220">
      <c r="A220" t="inlineStr">
        <is>
          <t>Barley</t>
        </is>
      </c>
      <c r="B220" t="inlineStr">
        <is>
          <t>25 quarters 5 bushels bought.</t>
        </is>
      </c>
      <c r="C220" t="n">
        <v>0</v>
      </c>
      <c r="D220" t="n">
        <v>0</v>
      </c>
      <c r="E220" t="n">
        <v>0</v>
      </c>
      <c r="F220" t="n">
        <v>0</v>
      </c>
      <c r="H220" t="n">
        <v>25</v>
      </c>
      <c r="I220" t="n">
        <v>5</v>
      </c>
      <c r="J220" t="n">
        <v>25.625</v>
      </c>
      <c r="K220" t="n">
        <v>25.625</v>
      </c>
      <c r="L220" t="n">
        <v>0</v>
      </c>
      <c r="M220" t="n">
        <v>25</v>
      </c>
      <c r="N220" t="n">
        <v>5</v>
      </c>
    </row>
    <row r="221">
      <c r="A221" t="inlineStr">
        <is>
          <t>Barley</t>
        </is>
      </c>
      <c r="B221" t="inlineStr">
        <is>
          <t>Total, 31 quarters 2 .5 bushels</t>
        </is>
      </c>
      <c r="C221" t="n">
        <v>0</v>
      </c>
      <c r="D221" t="n">
        <v>0</v>
      </c>
      <c r="E221" t="n">
        <v>0</v>
      </c>
      <c r="F221" t="n">
        <v>0</v>
      </c>
      <c r="H221" t="n">
        <v>31</v>
      </c>
      <c r="I221" t="n">
        <v>5</v>
      </c>
      <c r="J221" t="n">
        <v>31.625</v>
      </c>
      <c r="K221" t="n">
        <v>31</v>
      </c>
      <c r="L221" t="n">
        <v>0.625</v>
      </c>
      <c r="M221" t="n">
        <v>31</v>
      </c>
      <c r="N221" t="n">
        <v>0</v>
      </c>
      <c r="O221" t="n">
        <v>0</v>
      </c>
      <c r="P221" t="n">
        <v>5</v>
      </c>
    </row>
    <row r="222">
      <c r="A222" t="inlineStr">
        <is>
          <t>Barley</t>
        </is>
      </c>
      <c r="B222" t="inlineStr">
        <is>
          <t>Sown over 2 acres, 1 quarters.</t>
        </is>
      </c>
      <c r="C222" t="n">
        <v>0</v>
      </c>
      <c r="D222" t="n">
        <v>0</v>
      </c>
      <c r="E222" t="n">
        <v>0</v>
      </c>
      <c r="F222" t="n">
        <v>0</v>
      </c>
      <c r="H222" t="n">
        <v>1</v>
      </c>
      <c r="I222" t="n">
        <v>0</v>
      </c>
      <c r="J222" t="n">
        <v>1</v>
      </c>
      <c r="K222" t="n">
        <v>1</v>
      </c>
      <c r="L222" t="n">
        <v>0</v>
      </c>
      <c r="M222" t="n">
        <v>1</v>
      </c>
      <c r="N222" t="n">
        <v>0</v>
      </c>
    </row>
    <row r="223">
      <c r="A223" t="inlineStr">
        <is>
          <t>Barley</t>
        </is>
      </c>
      <c r="B223" t="inlineStr">
        <is>
          <t>Delivered to 1 ploughman and 1 drover for the year, 13 quarters, each of them taking a quarter every 8 weeks. {Henceforth the ploughman and drover should take a quarter every 10 weeks and the keeper of animals every 12 weeks).</t>
        </is>
      </c>
      <c r="C223" t="n">
        <v>0</v>
      </c>
      <c r="D223" t="n">
        <v>0</v>
      </c>
      <c r="E223" t="n">
        <v>0</v>
      </c>
      <c r="F223" t="n">
        <v>0</v>
      </c>
      <c r="H223" t="n">
        <v>13</v>
      </c>
      <c r="I223" t="n">
        <v>0</v>
      </c>
      <c r="J223" t="n">
        <v>13</v>
      </c>
      <c r="K223" t="n">
        <v>13</v>
      </c>
      <c r="L223" t="n">
        <v>0</v>
      </c>
      <c r="M223" t="n">
        <v>13</v>
      </c>
      <c r="N223" t="n">
        <v>0</v>
      </c>
    </row>
    <row r="224">
      <c r="A224" t="inlineStr">
        <is>
          <t>Barley</t>
        </is>
      </c>
      <c r="B224" t="inlineStr">
        <is>
          <t>stipend of 1 vintner digging in the vineyard for 13 weeks, 1 quarters 5 bushels Delivered to 1 shepherd for the year, 5 quarters 1.5 bushels, taking a quarter every 10 weeks.</t>
        </is>
      </c>
      <c r="C224" t="n">
        <v>0</v>
      </c>
      <c r="D224" t="n">
        <v>0</v>
      </c>
      <c r="E224" t="n">
        <v>0</v>
      </c>
      <c r="F224" t="n">
        <v>0</v>
      </c>
      <c r="H224" t="n">
        <v>5</v>
      </c>
      <c r="I224" t="n">
        <v>1.5</v>
      </c>
      <c r="J224" t="n">
        <v>5.1875</v>
      </c>
      <c r="K224" t="n">
        <v>1.625</v>
      </c>
      <c r="L224" t="n">
        <v>3.5625</v>
      </c>
      <c r="M224" t="n">
        <v>1</v>
      </c>
      <c r="N224" t="n">
        <v>5</v>
      </c>
      <c r="O224" t="n">
        <v>5</v>
      </c>
      <c r="P224" t="n">
        <v>1.5</v>
      </c>
    </row>
    <row r="225">
      <c r="A225" t="inlineStr">
        <is>
          <t>Barley</t>
        </is>
      </c>
      <c r="B225" t="inlineStr">
        <is>
          <t>Delivered to 1 man keeping the animals at Northwod and mending fences, 4 quarters 2.5 bushels, taking a quarter every 12 weeks.</t>
        </is>
      </c>
      <c r="C225" t="n">
        <v>0</v>
      </c>
      <c r="D225" t="n">
        <v>0</v>
      </c>
      <c r="E225" t="n">
        <v>0</v>
      </c>
      <c r="F225" t="n">
        <v>0</v>
      </c>
      <c r="H225" t="n">
        <v>4</v>
      </c>
      <c r="I225" t="n">
        <v>2.5</v>
      </c>
      <c r="J225" t="n">
        <v>4.3125</v>
      </c>
      <c r="K225" t="n">
        <v>4.3125</v>
      </c>
      <c r="L225" t="n">
        <v>0</v>
      </c>
      <c r="M225" t="n">
        <v>4</v>
      </c>
      <c r="N225" t="n">
        <v>2.5</v>
      </c>
    </row>
    <row r="226">
      <c r="A226" t="inlineStr">
        <is>
          <t>Barley</t>
        </is>
      </c>
      <c r="B226" t="inlineStr">
        <is>
          <t>.</t>
        </is>
      </c>
      <c r="C226" t="n">
        <v>0</v>
      </c>
      <c r="D226" t="n">
        <v>0</v>
      </c>
      <c r="E226" t="n">
        <v>0</v>
      </c>
      <c r="F226" t="n">
        <v>0</v>
      </c>
      <c r="H226" t="n">
        <v>0</v>
      </c>
      <c r="I226" t="n">
        <v>0</v>
      </c>
      <c r="J226" t="n">
        <v>0</v>
      </c>
      <c r="K226" t="n">
        <v>0</v>
      </c>
      <c r="L226" t="n">
        <v>0</v>
      </c>
      <c r="M226" t="n">
        <v>0</v>
      </c>
      <c r="N226" t="n">
        <v>0</v>
      </c>
    </row>
    <row r="227">
      <c r="A227" t="inlineStr">
        <is>
          <t>Barley</t>
        </is>
      </c>
      <c r="B227" t="inlineStr">
        <is>
          <t>bread baked for the provision of the harvest by mixing with rye, 1 quarters 2 bushels Sold at the audit, 4 quarters 7.5 bushels Total, 31 quarters 2.5 bushels</t>
        </is>
      </c>
      <c r="C227" t="n">
        <v>0</v>
      </c>
      <c r="D227" t="n">
        <v>0</v>
      </c>
      <c r="E227" t="n">
        <v>0</v>
      </c>
      <c r="F227" t="n">
        <v>0</v>
      </c>
      <c r="G227" t="inlineStr">
        <is>
          <t>rye</t>
        </is>
      </c>
      <c r="H227" t="n">
        <v>35</v>
      </c>
      <c r="I227" t="n">
        <v>10</v>
      </c>
      <c r="J227" t="n">
        <v>36.25</v>
      </c>
      <c r="K227" t="n">
        <v>1.25</v>
      </c>
      <c r="L227" t="n">
        <v>35</v>
      </c>
      <c r="M227" t="n">
        <v>1</v>
      </c>
      <c r="N227" t="n">
        <v>2</v>
      </c>
      <c r="O227" t="n">
        <v>4</v>
      </c>
      <c r="P227" t="n">
        <v>7.5</v>
      </c>
      <c r="Q227" t="n">
        <v>31</v>
      </c>
      <c r="R227" t="n">
        <v>2.5</v>
      </c>
    </row>
    <row r="228">
      <c r="A228" t="inlineStr">
        <is>
          <t>Oats</t>
        </is>
      </c>
      <c r="B228" t="inlineStr">
        <is>
          <t>The same render account for 36 quarters of oats from the issue of the grange threshed by piece-work.</t>
        </is>
      </c>
      <c r="C228" t="n">
        <v>0</v>
      </c>
      <c r="D228" t="n">
        <v>0</v>
      </c>
      <c r="E228" t="n">
        <v>0</v>
      </c>
      <c r="F228" t="n">
        <v>0</v>
      </c>
      <c r="G228" t="inlineStr">
        <is>
          <t>oats</t>
        </is>
      </c>
      <c r="H228" t="n">
        <v>36</v>
      </c>
      <c r="I228" t="n">
        <v>0</v>
      </c>
      <c r="J228" t="n">
        <v>36</v>
      </c>
      <c r="K228" t="n">
        <v>36</v>
      </c>
      <c r="L228" t="n">
        <v>0</v>
      </c>
      <c r="M228" t="n">
        <v>36</v>
      </c>
      <c r="N228" t="n">
        <v>0</v>
      </c>
    </row>
    <row r="229">
      <c r="A229" t="inlineStr">
        <is>
          <t>Oats</t>
        </is>
      </c>
      <c r="B229" t="inlineStr">
        <is>
          <t>9 quarters from the increment.</t>
        </is>
      </c>
      <c r="C229" t="n">
        <v>0</v>
      </c>
      <c r="D229" t="n">
        <v>0</v>
      </c>
      <c r="E229" t="n">
        <v>0</v>
      </c>
      <c r="F229" t="n">
        <v>0</v>
      </c>
      <c r="H229" t="n">
        <v>9</v>
      </c>
      <c r="I229" t="n">
        <v>0</v>
      </c>
      <c r="J229" t="n">
        <v>9</v>
      </c>
      <c r="K229" t="n">
        <v>9</v>
      </c>
      <c r="L229" t="n">
        <v>0</v>
      </c>
      <c r="M229" t="n">
        <v>9</v>
      </c>
      <c r="N229" t="n">
        <v>0</v>
      </c>
    </row>
    <row r="230">
      <c r="A230" t="inlineStr">
        <is>
          <t>Oats</t>
        </is>
      </c>
      <c r="B230" t="inlineStr">
        <is>
          <t>3 quarters by estimation in sheaves for supporting oxen.</t>
        </is>
      </c>
      <c r="C230" t="n">
        <v>0</v>
      </c>
      <c r="D230" t="n">
        <v>0</v>
      </c>
      <c r="E230" t="n">
        <v>0</v>
      </c>
      <c r="F230" t="n">
        <v>0</v>
      </c>
      <c r="H230" t="n">
        <v>3</v>
      </c>
      <c r="I230" t="n">
        <v>0</v>
      </c>
      <c r="J230" t="n">
        <v>3</v>
      </c>
      <c r="K230" t="n">
        <v>3</v>
      </c>
      <c r="L230" t="n">
        <v>0</v>
      </c>
      <c r="M230" t="n">
        <v>3</v>
      </c>
      <c r="N230" t="n">
        <v>0</v>
      </c>
    </row>
    <row r="231">
      <c r="A231" t="inlineStr">
        <is>
          <t>Oats</t>
        </is>
      </c>
      <c r="B231" t="inlineStr">
        <is>
          <t>Total, 48 quarters.</t>
        </is>
      </c>
      <c r="C231" t="n">
        <v>0</v>
      </c>
      <c r="D231" t="n">
        <v>0</v>
      </c>
      <c r="E231" t="n">
        <v>0</v>
      </c>
      <c r="F231" t="n">
        <v>0</v>
      </c>
      <c r="H231" t="n">
        <v>48</v>
      </c>
      <c r="I231" t="n">
        <v>0</v>
      </c>
      <c r="J231" t="n">
        <v>48</v>
      </c>
      <c r="K231" t="n">
        <v>48</v>
      </c>
      <c r="L231" t="n">
        <v>0</v>
      </c>
      <c r="M231" t="n">
        <v>48</v>
      </c>
      <c r="N231" t="n">
        <v>0</v>
      </c>
    </row>
    <row r="232">
      <c r="A232" t="inlineStr">
        <is>
          <t>Oats</t>
        </is>
      </c>
      <c r="B232" t="inlineStr">
        <is>
          <t>Sown over 20 acres at Esher and 22 acres at Northwod, 21 quarters.</t>
        </is>
      </c>
      <c r="C232" t="n">
        <v>0</v>
      </c>
      <c r="D232" t="n">
        <v>0</v>
      </c>
      <c r="E232" t="n">
        <v>0</v>
      </c>
      <c r="F232" t="n">
        <v>0</v>
      </c>
      <c r="H232" t="n">
        <v>21</v>
      </c>
      <c r="I232" t="n">
        <v>0</v>
      </c>
      <c r="J232" t="n">
        <v>21</v>
      </c>
      <c r="K232" t="n">
        <v>21</v>
      </c>
      <c r="L232" t="n">
        <v>0</v>
      </c>
      <c r="M232" t="n">
        <v>21</v>
      </c>
      <c r="N232" t="n">
        <v>0</v>
      </c>
    </row>
    <row r="233">
      <c r="A233" t="inlineStr">
        <is>
          <t>Oats</t>
        </is>
      </c>
      <c r="B233" t="inlineStr">
        <is>
          <t>that is, 4 bushels an acre.</t>
        </is>
      </c>
      <c r="C233" t="n">
        <v>0</v>
      </c>
      <c r="D233" t="n">
        <v>0</v>
      </c>
      <c r="E233" t="n">
        <v>0</v>
      </c>
      <c r="F233" t="n">
        <v>0</v>
      </c>
      <c r="H233" t="n">
        <v>0</v>
      </c>
      <c r="I233" t="n">
        <v>4</v>
      </c>
      <c r="J233" t="n">
        <v>0.5</v>
      </c>
      <c r="K233" t="n">
        <v>0.5</v>
      </c>
      <c r="L233" t="n">
        <v>0</v>
      </c>
      <c r="M233" t="n">
        <v>0</v>
      </c>
      <c r="N233" t="n">
        <v>4</v>
      </c>
    </row>
    <row r="234">
      <c r="A234" t="inlineStr">
        <is>
          <t>Oats</t>
        </is>
      </c>
      <c r="B234" t="inlineStr">
        <is>
          <t>.</t>
        </is>
      </c>
      <c r="C234" t="n">
        <v>0</v>
      </c>
      <c r="D234" t="n">
        <v>0</v>
      </c>
      <c r="E234" t="n">
        <v>0</v>
      </c>
      <c r="F234" t="n">
        <v>0</v>
      </c>
      <c r="H234" t="n">
        <v>0</v>
      </c>
      <c r="I234" t="n">
        <v>0</v>
      </c>
      <c r="J234" t="n">
        <v>0</v>
      </c>
      <c r="K234" t="n">
        <v>0</v>
      </c>
      <c r="L234" t="n">
        <v>0</v>
      </c>
      <c r="M234" t="n">
        <v>0</v>
      </c>
      <c r="N234" t="n">
        <v>0</v>
      </c>
    </row>
    <row r="235">
      <c r="A235" t="inlineStr">
        <is>
          <t>Oats</t>
        </is>
      </c>
      <c r="B235" t="inlineStr">
        <is>
          <t>meal for the pottage of the manorial servants, 2.5 quarters.</t>
        </is>
      </c>
      <c r="C235" t="n">
        <v>0</v>
      </c>
      <c r="D235" t="n">
        <v>0</v>
      </c>
      <c r="E235" t="n">
        <v>0</v>
      </c>
      <c r="F235" t="n">
        <v>0</v>
      </c>
      <c r="H235" t="n">
        <v>2.5</v>
      </c>
      <c r="I235" t="n">
        <v>0</v>
      </c>
      <c r="J235" t="n">
        <v>2.5</v>
      </c>
      <c r="K235" t="n">
        <v>2.5</v>
      </c>
      <c r="L235" t="n">
        <v>0</v>
      </c>
      <c r="M235" t="n">
        <v>2.5</v>
      </c>
      <c r="N235" t="n">
        <v>0</v>
      </c>
    </row>
    <row r="236">
      <c r="A236" t="inlineStr">
        <is>
          <t>Oats</t>
        </is>
      </c>
      <c r="B236" t="inlineStr">
        <is>
          <t>.</t>
        </is>
      </c>
      <c r="C236" t="n">
        <v>0</v>
      </c>
      <c r="D236" t="n">
        <v>0</v>
      </c>
      <c r="E236" t="n">
        <v>0</v>
      </c>
      <c r="F236" t="n">
        <v>0</v>
      </c>
      <c r="H236" t="n">
        <v>0</v>
      </c>
      <c r="I236" t="n">
        <v>0</v>
      </c>
      <c r="J236" t="n">
        <v>0</v>
      </c>
      <c r="K236" t="n">
        <v>0</v>
      </c>
      <c r="L236" t="n">
        <v>0</v>
      </c>
      <c r="M236" t="n">
        <v>0</v>
      </c>
      <c r="N236" t="n">
        <v>0</v>
      </c>
    </row>
    <row r="237">
      <c r="A237" t="inlineStr">
        <is>
          <t>Oats</t>
        </is>
      </c>
      <c r="B237" t="inlineStr">
        <is>
          <t>fodder of the cart-horses, 3 quarters.</t>
        </is>
      </c>
      <c r="C237" t="n">
        <v>0</v>
      </c>
      <c r="D237" t="n">
        <v>0</v>
      </c>
      <c r="E237" t="n">
        <v>0</v>
      </c>
      <c r="F237" t="n">
        <v>0</v>
      </c>
      <c r="H237" t="n">
        <v>3</v>
      </c>
      <c r="I237" t="n">
        <v>0</v>
      </c>
      <c r="J237" t="n">
        <v>3</v>
      </c>
      <c r="K237" t="n">
        <v>3</v>
      </c>
      <c r="L237" t="n">
        <v>0</v>
      </c>
      <c r="M237" t="n">
        <v>3</v>
      </c>
      <c r="N237" t="n">
        <v>0</v>
      </c>
    </row>
    <row r="238">
      <c r="A238" t="inlineStr">
        <is>
          <t>Oats</t>
        </is>
      </c>
      <c r="B238" t="inlineStr">
        <is>
          <t>.</t>
        </is>
      </c>
      <c r="C238" t="n">
        <v>0</v>
      </c>
      <c r="D238" t="n">
        <v>0</v>
      </c>
      <c r="E238" t="n">
        <v>0</v>
      </c>
      <c r="F238" t="n">
        <v>0</v>
      </c>
      <c r="H238" t="n">
        <v>0</v>
      </c>
      <c r="I238" t="n">
        <v>0</v>
      </c>
      <c r="J238" t="n">
        <v>0</v>
      </c>
      <c r="K238" t="n">
        <v>0</v>
      </c>
      <c r="L238" t="n">
        <v>0</v>
      </c>
      <c r="M238" t="n">
        <v>0</v>
      </c>
      <c r="N238" t="n">
        <v>0</v>
      </c>
    </row>
    <row r="239">
      <c r="A239" t="inlineStr">
        <is>
          <t>Oats</t>
        </is>
      </c>
      <c r="B239" t="inlineStr">
        <is>
          <t>supporting oxen by estimation in sheaves, 3 quarters.</t>
        </is>
      </c>
      <c r="C239" t="n">
        <v>0</v>
      </c>
      <c r="D239" t="n">
        <v>0</v>
      </c>
      <c r="E239" t="n">
        <v>0</v>
      </c>
      <c r="F239" t="n">
        <v>0</v>
      </c>
      <c r="H239" t="n">
        <v>3</v>
      </c>
      <c r="I239" t="n">
        <v>0</v>
      </c>
      <c r="J239" t="n">
        <v>3</v>
      </c>
      <c r="K239" t="n">
        <v>3</v>
      </c>
      <c r="L239" t="n">
        <v>0</v>
      </c>
      <c r="M239" t="n">
        <v>3</v>
      </c>
      <c r="N239" t="n">
        <v>0</v>
      </c>
    </row>
    <row r="240">
      <c r="A240" t="inlineStr">
        <is>
          <t>Oats</t>
        </is>
      </c>
      <c r="B240" t="inlineStr">
        <is>
          <t>Sold, 18.5 quarters.</t>
        </is>
      </c>
      <c r="C240" t="n">
        <v>0</v>
      </c>
      <c r="D240" t="n">
        <v>0</v>
      </c>
      <c r="E240" t="n">
        <v>0</v>
      </c>
      <c r="F240" t="n">
        <v>0</v>
      </c>
      <c r="H240" t="n">
        <v>18.5</v>
      </c>
      <c r="I240" t="n">
        <v>0</v>
      </c>
      <c r="J240" t="n">
        <v>18.5</v>
      </c>
      <c r="K240" t="n">
        <v>18.5</v>
      </c>
      <c r="L240" t="n">
        <v>0</v>
      </c>
      <c r="M240" t="n">
        <v>18.5</v>
      </c>
      <c r="N240" t="n">
        <v>0</v>
      </c>
    </row>
    <row r="241">
      <c r="A241" t="inlineStr">
        <is>
          <t>Oats</t>
        </is>
      </c>
      <c r="B241" t="inlineStr">
        <is>
          <t>Total, 48 quarters.</t>
        </is>
      </c>
      <c r="C241" t="n">
        <v>0</v>
      </c>
      <c r="D241" t="n">
        <v>0</v>
      </c>
      <c r="E241" t="n">
        <v>0</v>
      </c>
      <c r="F241" t="n">
        <v>0</v>
      </c>
      <c r="H241" t="n">
        <v>48</v>
      </c>
      <c r="I241" t="n">
        <v>0</v>
      </c>
      <c r="J241" t="n">
        <v>48</v>
      </c>
      <c r="K241" t="n">
        <v>48</v>
      </c>
      <c r="L241" t="n">
        <v>0</v>
      </c>
      <c r="M241" t="n">
        <v>48</v>
      </c>
      <c r="N241" t="n">
        <v>0</v>
      </c>
    </row>
    <row r="242">
      <c r="A242" t="inlineStr">
        <is>
          <t>Stock</t>
        </is>
      </c>
      <c r="B242" t="inlineStr">
        <is>
          <t>Cart-horses: 2 remain.</t>
        </is>
      </c>
      <c r="C242" t="n">
        <v>0</v>
      </c>
      <c r="D242" t="n">
        <v>0</v>
      </c>
      <c r="E242" t="n">
        <v>0</v>
      </c>
      <c r="F242" t="n">
        <v>0</v>
      </c>
      <c r="H242" t="n">
        <v>0</v>
      </c>
      <c r="I242" t="n">
        <v>0</v>
      </c>
      <c r="J242" t="n">
        <v>0</v>
      </c>
      <c r="K242" t="n">
        <v>0</v>
      </c>
      <c r="L242" t="n">
        <v>0</v>
      </c>
      <c r="M242" t="n">
        <v>0</v>
      </c>
      <c r="N242" t="n">
        <v>0</v>
      </c>
    </row>
    <row r="243">
      <c r="A243" t="inlineStr">
        <is>
          <t>Stock</t>
        </is>
      </c>
      <c r="B243" t="inlineStr">
        <is>
          <t>1 bought.</t>
        </is>
      </c>
      <c r="C243" t="n">
        <v>0</v>
      </c>
      <c r="D243" t="n">
        <v>0</v>
      </c>
      <c r="E243" t="n">
        <v>0</v>
      </c>
      <c r="F243" t="n">
        <v>0</v>
      </c>
      <c r="H243" t="n">
        <v>0</v>
      </c>
      <c r="I243" t="n">
        <v>0</v>
      </c>
      <c r="J243" t="n">
        <v>0</v>
      </c>
      <c r="K243" t="n">
        <v>0</v>
      </c>
      <c r="L243" t="n">
        <v>0</v>
      </c>
      <c r="M243" t="n">
        <v>0</v>
      </c>
      <c r="N243" t="n">
        <v>0</v>
      </c>
    </row>
    <row r="244">
      <c r="A244" t="inlineStr">
        <is>
          <t>Stock</t>
        </is>
      </c>
      <c r="B244" t="inlineStr">
        <is>
          <t>Total, 3. 1 taken by the assessor of the 15 which was sold.</t>
        </is>
      </c>
      <c r="C244" t="n">
        <v>0</v>
      </c>
      <c r="D244" t="n">
        <v>0</v>
      </c>
      <c r="E244" t="n">
        <v>0</v>
      </c>
      <c r="F244" t="n">
        <v>0</v>
      </c>
      <c r="H244" t="n">
        <v>0</v>
      </c>
      <c r="I244" t="n">
        <v>0</v>
      </c>
      <c r="J244" t="n">
        <v>0</v>
      </c>
      <c r="K244" t="n">
        <v>0</v>
      </c>
      <c r="L244" t="n">
        <v>0</v>
      </c>
      <c r="M244" t="n">
        <v>0</v>
      </c>
      <c r="N244" t="n">
        <v>0</v>
      </c>
    </row>
    <row r="245">
      <c r="A245" t="inlineStr">
        <is>
          <t>Stock</t>
        </is>
      </c>
      <c r="B245" t="inlineStr">
        <is>
          <t>2 remain.</t>
        </is>
      </c>
      <c r="C245" t="n">
        <v>0</v>
      </c>
      <c r="D245" t="n">
        <v>0</v>
      </c>
      <c r="E245" t="n">
        <v>0</v>
      </c>
      <c r="F245" t="n">
        <v>0</v>
      </c>
      <c r="H245" t="n">
        <v>0</v>
      </c>
      <c r="I245" t="n">
        <v>0</v>
      </c>
      <c r="J245" t="n">
        <v>0</v>
      </c>
      <c r="K245" t="n">
        <v>0</v>
      </c>
      <c r="L245" t="n">
        <v>0</v>
      </c>
      <c r="M245" t="n">
        <v>0</v>
      </c>
      <c r="N245" t="n">
        <v>0</v>
      </c>
    </row>
    <row r="246">
      <c r="A246" t="inlineStr">
        <is>
          <t>Stock</t>
        </is>
      </c>
      <c r="B246" t="inlineStr">
        <is>
          <t>Oxen: 13 remain.</t>
        </is>
      </c>
      <c r="C246" t="n">
        <v>0</v>
      </c>
      <c r="D246" t="n">
        <v>0</v>
      </c>
      <c r="E246" t="n">
        <v>0</v>
      </c>
      <c r="F246" t="n">
        <v>0</v>
      </c>
      <c r="H246" t="n">
        <v>0</v>
      </c>
      <c r="I246" t="n">
        <v>0</v>
      </c>
      <c r="J246" t="n">
        <v>0</v>
      </c>
      <c r="K246" t="n">
        <v>0</v>
      </c>
      <c r="L246" t="n">
        <v>0</v>
      </c>
      <c r="M246" t="n">
        <v>0</v>
      </c>
      <c r="N246" t="n">
        <v>0</v>
      </c>
    </row>
    <row r="247">
      <c r="A247" t="inlineStr">
        <is>
          <t>Stock</t>
        </is>
      </c>
      <c r="B247" t="inlineStr">
        <is>
          <t>1 addition.</t>
        </is>
      </c>
      <c r="C247" t="n">
        <v>0</v>
      </c>
      <c r="D247" t="n">
        <v>0</v>
      </c>
      <c r="E247" t="n">
        <v>0</v>
      </c>
      <c r="F247" t="n">
        <v>0</v>
      </c>
      <c r="H247" t="n">
        <v>0</v>
      </c>
      <c r="I247" t="n">
        <v>0</v>
      </c>
      <c r="J247" t="n">
        <v>0</v>
      </c>
      <c r="K247" t="n">
        <v>0</v>
      </c>
      <c r="L247" t="n">
        <v>0</v>
      </c>
      <c r="M247" t="n">
        <v>0</v>
      </c>
      <c r="N247" t="n">
        <v>0</v>
      </c>
    </row>
    <row r="248">
      <c r="A248" t="inlineStr">
        <is>
          <t>Stock</t>
        </is>
      </c>
      <c r="B248" t="inlineStr">
        <is>
          <t>Total, 14. 14 remain.</t>
        </is>
      </c>
      <c r="C248" t="n">
        <v>0</v>
      </c>
      <c r="D248" t="n">
        <v>0</v>
      </c>
      <c r="E248" t="n">
        <v>0</v>
      </c>
      <c r="F248" t="n">
        <v>0</v>
      </c>
      <c r="H248" t="n">
        <v>0</v>
      </c>
      <c r="I248" t="n">
        <v>0</v>
      </c>
      <c r="J248" t="n">
        <v>0</v>
      </c>
      <c r="K248" t="n">
        <v>0</v>
      </c>
      <c r="L248" t="n">
        <v>0</v>
      </c>
      <c r="M248" t="n">
        <v>0</v>
      </c>
      <c r="N248" t="n">
        <v>0</v>
      </c>
    </row>
    <row r="249">
      <c r="A249" t="inlineStr">
        <is>
          <t>Stock</t>
        </is>
      </c>
      <c r="B249" t="inlineStr">
        <is>
          <t>Cows: 8 remain.</t>
        </is>
      </c>
      <c r="C249" t="n">
        <v>0</v>
      </c>
      <c r="D249" t="n">
        <v>0</v>
      </c>
      <c r="E249" t="n">
        <v>0</v>
      </c>
      <c r="F249" t="n">
        <v>0</v>
      </c>
      <c r="H249" t="n">
        <v>0</v>
      </c>
      <c r="I249" t="n">
        <v>0</v>
      </c>
      <c r="J249" t="n">
        <v>0</v>
      </c>
      <c r="K249" t="n">
        <v>0</v>
      </c>
      <c r="L249" t="n">
        <v>0</v>
      </c>
      <c r="M249" t="n">
        <v>0</v>
      </c>
      <c r="N249" t="n">
        <v>0</v>
      </c>
    </row>
    <row r="250">
      <c r="A250" t="inlineStr">
        <is>
          <t>Stock</t>
        </is>
      </c>
      <c r="B250" t="inlineStr">
        <is>
          <t>1 addition.</t>
        </is>
      </c>
      <c r="C250" t="n">
        <v>0</v>
      </c>
      <c r="D250" t="n">
        <v>0</v>
      </c>
      <c r="E250" t="n">
        <v>0</v>
      </c>
      <c r="F250" t="n">
        <v>0</v>
      </c>
      <c r="H250" t="n">
        <v>0</v>
      </c>
      <c r="I250" t="n">
        <v>0</v>
      </c>
      <c r="J250" t="n">
        <v>0</v>
      </c>
      <c r="K250" t="n">
        <v>0</v>
      </c>
      <c r="L250" t="n">
        <v>0</v>
      </c>
      <c r="M250" t="n">
        <v>0</v>
      </c>
      <c r="N250" t="n">
        <v>0</v>
      </c>
    </row>
    <row r="251">
      <c r="A251" t="inlineStr">
        <is>
          <t>Stock</t>
        </is>
      </c>
      <c r="B251" t="inlineStr">
        <is>
          <t>Total, 9. 9 remain.</t>
        </is>
      </c>
      <c r="C251" t="n">
        <v>0</v>
      </c>
      <c r="D251" t="n">
        <v>0</v>
      </c>
      <c r="E251" t="n">
        <v>0</v>
      </c>
      <c r="F251" t="n">
        <v>0</v>
      </c>
      <c r="H251" t="n">
        <v>0</v>
      </c>
      <c r="I251" t="n">
        <v>0</v>
      </c>
      <c r="J251" t="n">
        <v>0</v>
      </c>
      <c r="K251" t="n">
        <v>0</v>
      </c>
      <c r="L251" t="n">
        <v>0</v>
      </c>
      <c r="M251" t="n">
        <v>0</v>
      </c>
      <c r="N251" t="n">
        <v>0</v>
      </c>
    </row>
    <row r="252">
      <c r="A252" t="inlineStr">
        <is>
          <t>Stock</t>
        </is>
      </c>
      <c r="B252" t="inlineStr">
        <is>
          <t>Steers: 1 remains from the previous year's bullocks and 1 heifer remains from last year's bullocks.</t>
        </is>
      </c>
      <c r="C252" t="n">
        <v>0</v>
      </c>
      <c r="D252" t="n">
        <v>0</v>
      </c>
      <c r="E252" t="n">
        <v>0</v>
      </c>
      <c r="F252" t="n">
        <v>0</v>
      </c>
      <c r="H252" t="n">
        <v>0</v>
      </c>
      <c r="I252" t="n">
        <v>0</v>
      </c>
      <c r="J252" t="n">
        <v>0</v>
      </c>
      <c r="K252" t="n">
        <v>0</v>
      </c>
      <c r="L252" t="n">
        <v>0</v>
      </c>
      <c r="M252" t="n">
        <v>0</v>
      </c>
      <c r="N252" t="n">
        <v>0</v>
      </c>
    </row>
    <row r="253">
      <c r="A253" t="inlineStr">
        <is>
          <t>Stock</t>
        </is>
      </c>
      <c r="B253" t="inlineStr">
        <is>
          <t>Total, 2. 1 added to oxen, 1 to cows.</t>
        </is>
      </c>
      <c r="C253" t="n">
        <v>0</v>
      </c>
      <c r="D253" t="n">
        <v>0</v>
      </c>
      <c r="E253" t="n">
        <v>0</v>
      </c>
      <c r="F253" t="n">
        <v>0</v>
      </c>
      <c r="H253" t="n">
        <v>0</v>
      </c>
      <c r="I253" t="n">
        <v>0</v>
      </c>
      <c r="J253" t="n">
        <v>0</v>
      </c>
      <c r="K253" t="n">
        <v>0</v>
      </c>
      <c r="L253" t="n">
        <v>0</v>
      </c>
      <c r="M253" t="n">
        <v>0</v>
      </c>
      <c r="N253" t="n">
        <v>0</v>
      </c>
    </row>
    <row r="254">
      <c r="A254" t="inlineStr">
        <is>
          <t>Stock</t>
        </is>
      </c>
      <c r="B254" t="inlineStr">
        <is>
          <t>Total, 2, and thus none remain.</t>
        </is>
      </c>
      <c r="C254" t="n">
        <v>0</v>
      </c>
      <c r="D254" t="n">
        <v>0</v>
      </c>
      <c r="E254" t="n">
        <v>0</v>
      </c>
      <c r="F254" t="n">
        <v>0</v>
      </c>
      <c r="H254" t="n">
        <v>0</v>
      </c>
      <c r="I254" t="n">
        <v>0</v>
      </c>
      <c r="J254" t="n">
        <v>0</v>
      </c>
      <c r="K254" t="n">
        <v>0</v>
      </c>
      <c r="L254" t="n">
        <v>0</v>
      </c>
      <c r="M254" t="n">
        <v>0</v>
      </c>
      <c r="N254" t="n">
        <v>0</v>
      </c>
    </row>
    <row r="255">
      <c r="A255" t="inlineStr">
        <is>
          <t>Stock</t>
        </is>
      </c>
      <c r="B255" t="inlineStr">
        <is>
          <t>Bullocks: 1 remains from the previous year's yearlings.</t>
        </is>
      </c>
      <c r="C255" t="n">
        <v>0</v>
      </c>
      <c r="D255" t="n">
        <v>0</v>
      </c>
      <c r="E255" t="n">
        <v>0</v>
      </c>
      <c r="F255" t="n">
        <v>0</v>
      </c>
      <c r="H255" t="n">
        <v>0</v>
      </c>
      <c r="I255" t="n">
        <v>0</v>
      </c>
      <c r="J255" t="n">
        <v>0</v>
      </c>
      <c r="K255" t="n">
        <v>0</v>
      </c>
      <c r="L255" t="n">
        <v>0</v>
      </c>
      <c r="M255" t="n">
        <v>0</v>
      </c>
      <c r="N255" t="n">
        <v>0</v>
      </c>
    </row>
    <row r="256">
      <c r="A256" t="inlineStr">
        <is>
          <t>Stock</t>
        </is>
      </c>
      <c r="B256" t="inlineStr">
        <is>
          <t>it remains.</t>
        </is>
      </c>
      <c r="C256" t="n">
        <v>0</v>
      </c>
      <c r="D256" t="n">
        <v>0</v>
      </c>
      <c r="E256" t="n">
        <v>0</v>
      </c>
      <c r="F256" t="n">
        <v>0</v>
      </c>
      <c r="H256" t="n">
        <v>0</v>
      </c>
      <c r="I256" t="n">
        <v>0</v>
      </c>
      <c r="J256" t="n">
        <v>0</v>
      </c>
      <c r="K256" t="n">
        <v>0</v>
      </c>
      <c r="L256" t="n">
        <v>0</v>
      </c>
      <c r="M256" t="n">
        <v>0</v>
      </c>
      <c r="N256" t="n">
        <v>0</v>
      </c>
    </row>
    <row r="257">
      <c r="A257" t="inlineStr">
        <is>
          <t>Stock</t>
        </is>
      </c>
      <c r="B257" t="inlineStr">
        <is>
          <t>Yearlings: 3 remain from the previous year's calves.</t>
        </is>
      </c>
      <c r="C257" t="n">
        <v>0</v>
      </c>
      <c r="D257" t="n">
        <v>0</v>
      </c>
      <c r="E257" t="n">
        <v>0</v>
      </c>
      <c r="F257" t="n">
        <v>0</v>
      </c>
      <c r="H257" t="n">
        <v>0</v>
      </c>
      <c r="I257" t="n">
        <v>0</v>
      </c>
      <c r="J257" t="n">
        <v>0</v>
      </c>
      <c r="K257" t="n">
        <v>0</v>
      </c>
      <c r="L257" t="n">
        <v>0</v>
      </c>
      <c r="M257" t="n">
        <v>0</v>
      </c>
      <c r="N257" t="n">
        <v>0</v>
      </c>
    </row>
    <row r="258">
      <c r="A258" t="inlineStr">
        <is>
          <t>Stock</t>
        </is>
      </c>
      <c r="B258" t="inlineStr">
        <is>
          <t>Total, 3. 1 in murrain.</t>
        </is>
      </c>
      <c r="C258" t="n">
        <v>0</v>
      </c>
      <c r="D258" t="n">
        <v>0</v>
      </c>
      <c r="E258" t="n">
        <v>0</v>
      </c>
      <c r="F258" t="n">
        <v>0</v>
      </c>
      <c r="H258" t="n">
        <v>0</v>
      </c>
      <c r="I258" t="n">
        <v>0</v>
      </c>
      <c r="J258" t="n">
        <v>0</v>
      </c>
      <c r="K258" t="n">
        <v>0</v>
      </c>
      <c r="L258" t="n">
        <v>0</v>
      </c>
      <c r="M258" t="n">
        <v>0</v>
      </c>
      <c r="N258" t="n">
        <v>0</v>
      </c>
    </row>
    <row r="259">
      <c r="A259" t="inlineStr">
        <is>
          <t>Stock</t>
        </is>
      </c>
      <c r="B259" t="inlineStr">
        <is>
          <t>2 remain</t>
        </is>
      </c>
      <c r="C259" t="n">
        <v>0</v>
      </c>
      <c r="D259" t="n">
        <v>0</v>
      </c>
      <c r="E259" t="n">
        <v>0</v>
      </c>
      <c r="F259" t="n">
        <v>0</v>
      </c>
      <c r="H259" t="n">
        <v>0</v>
      </c>
      <c r="I259" t="n">
        <v>0</v>
      </c>
      <c r="J259" t="n">
        <v>0</v>
      </c>
      <c r="K259" t="n">
        <v>0</v>
      </c>
      <c r="L259" t="n">
        <v>0</v>
      </c>
      <c r="M259" t="n">
        <v>0</v>
      </c>
      <c r="N259" t="n">
        <v>0</v>
      </c>
    </row>
    <row r="260">
      <c r="A260" t="inlineStr">
        <is>
          <t>Stock</t>
        </is>
      </c>
      <c r="B260" t="inlineStr">
        <is>
          <t>Calves: 7 from the offspring of the cows this year and not more because 2 cows were sterile.</t>
        </is>
      </c>
      <c r="C260" t="n">
        <v>0</v>
      </c>
      <c r="D260" t="n">
        <v>0</v>
      </c>
      <c r="E260" t="n">
        <v>0</v>
      </c>
      <c r="F260" t="n">
        <v>0</v>
      </c>
      <c r="H260" t="n">
        <v>0</v>
      </c>
      <c r="I260" t="n">
        <v>0</v>
      </c>
      <c r="J260" t="n">
        <v>0</v>
      </c>
      <c r="K260" t="n">
        <v>0</v>
      </c>
      <c r="L260" t="n">
        <v>0</v>
      </c>
      <c r="M260" t="n">
        <v>0</v>
      </c>
      <c r="N260" t="n">
        <v>0</v>
      </c>
    </row>
    <row r="261">
      <c r="A261" t="inlineStr">
        <is>
          <t>Stock</t>
        </is>
      </c>
      <c r="B261" t="inlineStr">
        <is>
          <t>Total, 7. 4 sold with the milk of the cows.</t>
        </is>
      </c>
      <c r="C261" t="n">
        <v>0</v>
      </c>
      <c r="D261" t="n">
        <v>0</v>
      </c>
      <c r="E261" t="n">
        <v>0</v>
      </c>
      <c r="F261" t="n">
        <v>0</v>
      </c>
      <c r="H261" t="n">
        <v>0</v>
      </c>
      <c r="I261" t="n">
        <v>0</v>
      </c>
      <c r="J261" t="n">
        <v>0</v>
      </c>
      <c r="K261" t="n">
        <v>0</v>
      </c>
      <c r="L261" t="n">
        <v>0</v>
      </c>
      <c r="M261" t="n">
        <v>0</v>
      </c>
      <c r="N261" t="n">
        <v>0</v>
      </c>
    </row>
    <row r="262">
      <c r="A262" t="inlineStr">
        <is>
          <t>Stock</t>
        </is>
      </c>
      <c r="B262" t="inlineStr">
        <is>
          <t>3 remain.</t>
        </is>
      </c>
      <c r="C262" t="n">
        <v>0</v>
      </c>
      <c r="D262" t="n">
        <v>0</v>
      </c>
      <c r="E262" t="n">
        <v>0</v>
      </c>
      <c r="F262" t="n">
        <v>0</v>
      </c>
      <c r="H262" t="n">
        <v>0</v>
      </c>
      <c r="I262" t="n">
        <v>0</v>
      </c>
      <c r="J262" t="n">
        <v>0</v>
      </c>
      <c r="K262" t="n">
        <v>0</v>
      </c>
      <c r="L262" t="n">
        <v>0</v>
      </c>
      <c r="M262" t="n">
        <v>0</v>
      </c>
      <c r="N262" t="n">
        <v>0</v>
      </c>
    </row>
    <row r="263">
      <c r="A263" t="inlineStr">
        <is>
          <t>Stock</t>
        </is>
      </c>
      <c r="B263" t="inlineStr">
        <is>
          <t>Wethers: 124 remain.</t>
        </is>
      </c>
      <c r="C263" t="n">
        <v>0</v>
      </c>
      <c r="D263" t="n">
        <v>0</v>
      </c>
      <c r="E263" t="n">
        <v>0</v>
      </c>
      <c r="F263" t="n">
        <v>0</v>
      </c>
      <c r="H263" t="n">
        <v>0</v>
      </c>
      <c r="I263" t="n">
        <v>0</v>
      </c>
      <c r="J263" t="n">
        <v>0</v>
      </c>
      <c r="K263" t="n">
        <v>0</v>
      </c>
      <c r="L263" t="n">
        <v>0</v>
      </c>
      <c r="M263" t="n">
        <v>0</v>
      </c>
      <c r="N263" t="n">
        <v>0</v>
      </c>
    </row>
    <row r="264">
      <c r="A264" t="inlineStr">
        <is>
          <t>Stock</t>
        </is>
      </c>
      <c r="B264" t="inlineStr">
        <is>
          <t>20 additions.</t>
        </is>
      </c>
      <c r="C264" t="n">
        <v>0</v>
      </c>
      <c r="D264" t="n">
        <v>0</v>
      </c>
      <c r="E264" t="n">
        <v>0</v>
      </c>
      <c r="F264" t="n">
        <v>0</v>
      </c>
      <c r="H264" t="n">
        <v>0</v>
      </c>
      <c r="I264" t="n">
        <v>0</v>
      </c>
      <c r="J264" t="n">
        <v>0</v>
      </c>
      <c r="K264" t="n">
        <v>0</v>
      </c>
      <c r="L264" t="n">
        <v>0</v>
      </c>
      <c r="M264" t="n">
        <v>0</v>
      </c>
      <c r="N264" t="n">
        <v>0</v>
      </c>
    </row>
    <row r="265">
      <c r="A265" t="inlineStr">
        <is>
          <t>Stock</t>
        </is>
      </c>
      <c r="B265" t="inlineStr">
        <is>
          <t>Total, 144. 22 in murrain before shearing, 5 after shearing.</t>
        </is>
      </c>
      <c r="C265" t="n">
        <v>0</v>
      </c>
      <c r="D265" t="n">
        <v>0</v>
      </c>
      <c r="E265" t="n">
        <v>0</v>
      </c>
      <c r="F265" t="n">
        <v>0</v>
      </c>
      <c r="H265" t="n">
        <v>0</v>
      </c>
      <c r="I265" t="n">
        <v>0</v>
      </c>
      <c r="J265" t="n">
        <v>0</v>
      </c>
      <c r="K265" t="n">
        <v>0</v>
      </c>
      <c r="L265" t="n">
        <v>0</v>
      </c>
      <c r="M265" t="n">
        <v>0</v>
      </c>
      <c r="N265" t="n">
        <v>0</v>
      </c>
    </row>
    <row r="266">
      <c r="A266" t="inlineStr">
        <is>
          <t>Stock</t>
        </is>
      </c>
      <c r="B266" t="inlineStr">
        <is>
          <t>9 sold before shearing.</t>
        </is>
      </c>
      <c r="C266" t="n">
        <v>0</v>
      </c>
      <c r="D266" t="n">
        <v>0</v>
      </c>
      <c r="E266" t="n">
        <v>0</v>
      </c>
      <c r="F266" t="n">
        <v>0</v>
      </c>
      <c r="H266" t="n">
        <v>0</v>
      </c>
      <c r="I266" t="n">
        <v>0</v>
      </c>
      <c r="J266" t="n">
        <v>0</v>
      </c>
      <c r="K266" t="n">
        <v>0</v>
      </c>
      <c r="L266" t="n">
        <v>0</v>
      </c>
      <c r="M266" t="n">
        <v>0</v>
      </c>
      <c r="N266" t="n">
        <v>0</v>
      </c>
    </row>
    <row r="267">
      <c r="A267" t="inlineStr">
        <is>
          <t>Stock</t>
        </is>
      </c>
      <c r="B267" t="inlineStr">
        <is>
          <t>1 in customary payment for the mowing of the meadows with its skin after shearing.</t>
        </is>
      </c>
      <c r="C267" t="n">
        <v>0</v>
      </c>
      <c r="D267" t="n">
        <v>0</v>
      </c>
      <c r="E267" t="n">
        <v>0</v>
      </c>
      <c r="F267" t="n">
        <v>0</v>
      </c>
      <c r="H267" t="n">
        <v>0</v>
      </c>
      <c r="I267" t="n">
        <v>0</v>
      </c>
      <c r="J267" t="n">
        <v>0</v>
      </c>
      <c r="K267" t="n">
        <v>0</v>
      </c>
      <c r="L267" t="n">
        <v>0</v>
      </c>
      <c r="M267" t="n">
        <v>0</v>
      </c>
      <c r="N267" t="n">
        <v>0</v>
      </c>
    </row>
    <row r="268">
      <c r="A268" t="inlineStr">
        <is>
          <t>Stock</t>
        </is>
      </c>
      <c r="B268" t="inlineStr">
        <is>
          <t>Total, 37. 107 remain.</t>
        </is>
      </c>
      <c r="C268" t="n">
        <v>0</v>
      </c>
      <c r="D268" t="n">
        <v>0</v>
      </c>
      <c r="E268" t="n">
        <v>0</v>
      </c>
      <c r="F268" t="n">
        <v>0</v>
      </c>
      <c r="H268" t="n">
        <v>0</v>
      </c>
      <c r="I268" t="n">
        <v>0</v>
      </c>
      <c r="J268" t="n">
        <v>0</v>
      </c>
      <c r="K268" t="n">
        <v>0</v>
      </c>
      <c r="L268" t="n">
        <v>0</v>
      </c>
      <c r="M268" t="n">
        <v>0</v>
      </c>
      <c r="N268" t="n">
        <v>0</v>
      </c>
    </row>
    <row r="269">
      <c r="A269" t="inlineStr">
        <is>
          <t>Stock</t>
        </is>
      </c>
      <c r="B269" t="inlineStr">
        <is>
          <t>Ewes: 80 remain.</t>
        </is>
      </c>
      <c r="C269" t="n">
        <v>0</v>
      </c>
      <c r="D269" t="n">
        <v>0</v>
      </c>
      <c r="E269" t="n">
        <v>0</v>
      </c>
      <c r="F269" t="n">
        <v>0</v>
      </c>
      <c r="H269" t="n">
        <v>0</v>
      </c>
      <c r="I269" t="n">
        <v>0</v>
      </c>
      <c r="J269" t="n">
        <v>0</v>
      </c>
      <c r="K269" t="n">
        <v>0</v>
      </c>
      <c r="L269" t="n">
        <v>0</v>
      </c>
      <c r="M269" t="n">
        <v>0</v>
      </c>
      <c r="N269" t="n">
        <v>0</v>
      </c>
    </row>
    <row r="270">
      <c r="A270" t="inlineStr">
        <is>
          <t>Stock</t>
        </is>
      </c>
      <c r="B270" t="inlineStr">
        <is>
          <t>8 additions.</t>
        </is>
      </c>
      <c r="C270" t="n">
        <v>0</v>
      </c>
      <c r="D270" t="n">
        <v>0</v>
      </c>
      <c r="E270" t="n">
        <v>0</v>
      </c>
      <c r="F270" t="n">
        <v>0</v>
      </c>
      <c r="H270" t="n">
        <v>0</v>
      </c>
      <c r="I270" t="n">
        <v>0</v>
      </c>
      <c r="J270" t="n">
        <v>0</v>
      </c>
      <c r="K270" t="n">
        <v>0</v>
      </c>
      <c r="L270" t="n">
        <v>0</v>
      </c>
      <c r="M270" t="n">
        <v>0</v>
      </c>
      <c r="N270" t="n">
        <v>0</v>
      </c>
    </row>
    <row r="271">
      <c r="A271" t="inlineStr">
        <is>
          <t>Stock</t>
        </is>
      </c>
      <c r="B271" t="inlineStr">
        <is>
          <t>Total, 88. 5 in murrain before shearing and lambing.</t>
        </is>
      </c>
      <c r="C271" t="n">
        <v>0</v>
      </c>
      <c r="D271" t="n">
        <v>0</v>
      </c>
      <c r="E271" t="n">
        <v>0</v>
      </c>
      <c r="F271" t="n">
        <v>0</v>
      </c>
      <c r="H271" t="n">
        <v>0</v>
      </c>
      <c r="I271" t="n">
        <v>0</v>
      </c>
      <c r="J271" t="n">
        <v>0</v>
      </c>
      <c r="K271" t="n">
        <v>0</v>
      </c>
      <c r="L271" t="n">
        <v>0</v>
      </c>
      <c r="M271" t="n">
        <v>0</v>
      </c>
      <c r="N271" t="n">
        <v>0</v>
      </c>
    </row>
    <row r="272">
      <c r="A272" t="inlineStr">
        <is>
          <t>Stock</t>
        </is>
      </c>
      <c r="B272" t="inlineStr">
        <is>
          <t>15 sold before shearing and lambing.</t>
        </is>
      </c>
      <c r="C272" t="n">
        <v>0</v>
      </c>
      <c r="D272" t="n">
        <v>0</v>
      </c>
      <c r="E272" t="n">
        <v>0</v>
      </c>
      <c r="F272" t="n">
        <v>0</v>
      </c>
      <c r="H272" t="n">
        <v>0</v>
      </c>
      <c r="I272" t="n">
        <v>0</v>
      </c>
      <c r="J272" t="n">
        <v>0</v>
      </c>
      <c r="K272" t="n">
        <v>0</v>
      </c>
      <c r="L272" t="n">
        <v>0</v>
      </c>
      <c r="M272" t="n">
        <v>0</v>
      </c>
      <c r="N272" t="n">
        <v>0</v>
      </c>
    </row>
    <row r="273">
      <c r="A273" t="inlineStr">
        <is>
          <t>Stock</t>
        </is>
      </c>
      <c r="B273" t="inlineStr">
        <is>
          <t>Total, 20. 68 remain.</t>
        </is>
      </c>
      <c r="C273" t="n">
        <v>0</v>
      </c>
      <c r="D273" t="n">
        <v>0</v>
      </c>
      <c r="E273" t="n">
        <v>0</v>
      </c>
      <c r="F273" t="n">
        <v>0</v>
      </c>
      <c r="H273" t="n">
        <v>0</v>
      </c>
      <c r="I273" t="n">
        <v>0</v>
      </c>
      <c r="J273" t="n">
        <v>0</v>
      </c>
      <c r="K273" t="n">
        <v>0</v>
      </c>
      <c r="L273" t="n">
        <v>0</v>
      </c>
      <c r="M273" t="n">
        <v>0</v>
      </c>
      <c r="N273" t="n">
        <v>0</v>
      </c>
    </row>
    <row r="274">
      <c r="A274" t="inlineStr">
        <is>
          <t>Stock</t>
        </is>
      </c>
      <c r="B274" t="inlineStr">
        <is>
          <t>Hoggs: 33 hoggs and gimmers remain from the previous year's lambs.</t>
        </is>
      </c>
      <c r="C274" t="n">
        <v>0</v>
      </c>
      <c r="D274" t="n">
        <v>0</v>
      </c>
      <c r="E274" t="n">
        <v>0</v>
      </c>
      <c r="F274" t="n">
        <v>0</v>
      </c>
      <c r="H274" t="n">
        <v>0</v>
      </c>
      <c r="I274" t="n">
        <v>0</v>
      </c>
      <c r="J274" t="n">
        <v>0</v>
      </c>
      <c r="K274" t="n">
        <v>0</v>
      </c>
      <c r="L274" t="n">
        <v>0</v>
      </c>
      <c r="M274" t="n">
        <v>0</v>
      </c>
      <c r="N274" t="n">
        <v>0</v>
      </c>
    </row>
    <row r="275">
      <c r="A275" t="inlineStr">
        <is>
          <t>Stock</t>
        </is>
      </c>
      <c r="B275" t="inlineStr">
        <is>
          <t>Total, 33. 5 in murrain after shearing.</t>
        </is>
      </c>
      <c r="C275" t="n">
        <v>0</v>
      </c>
      <c r="D275" t="n">
        <v>0</v>
      </c>
      <c r="E275" t="n">
        <v>0</v>
      </c>
      <c r="F275" t="n">
        <v>0</v>
      </c>
      <c r="H275" t="n">
        <v>0</v>
      </c>
      <c r="I275" t="n">
        <v>0</v>
      </c>
      <c r="J275" t="n">
        <v>0</v>
      </c>
      <c r="K275" t="n">
        <v>0</v>
      </c>
      <c r="L275" t="n">
        <v>0</v>
      </c>
      <c r="M275" t="n">
        <v>0</v>
      </c>
      <c r="N275" t="n">
        <v>0</v>
      </c>
    </row>
    <row r="276">
      <c r="A276" t="inlineStr">
        <is>
          <t>Stock</t>
        </is>
      </c>
      <c r="B276" t="inlineStr">
        <is>
          <t>20 added to wethers, 8 to ewes.</t>
        </is>
      </c>
      <c r="C276" t="n">
        <v>0</v>
      </c>
      <c r="D276" t="n">
        <v>0</v>
      </c>
      <c r="E276" t="n">
        <v>0</v>
      </c>
      <c r="F276" t="n">
        <v>0</v>
      </c>
      <c r="H276" t="n">
        <v>0</v>
      </c>
      <c r="I276" t="n">
        <v>0</v>
      </c>
      <c r="J276" t="n">
        <v>0</v>
      </c>
      <c r="K276" t="n">
        <v>0</v>
      </c>
      <c r="L276" t="n">
        <v>0</v>
      </c>
      <c r="M276" t="n">
        <v>0</v>
      </c>
      <c r="N276" t="n">
        <v>0</v>
      </c>
    </row>
    <row r="277">
      <c r="A277" t="inlineStr">
        <is>
          <t>Stock</t>
        </is>
      </c>
      <c r="B277" t="inlineStr">
        <is>
          <t>Total, 33. None remain.</t>
        </is>
      </c>
      <c r="C277" t="n">
        <v>0</v>
      </c>
      <c r="D277" t="n">
        <v>0</v>
      </c>
      <c r="E277" t="n">
        <v>0</v>
      </c>
      <c r="F277" t="n">
        <v>0</v>
      </c>
      <c r="H277" t="n">
        <v>0</v>
      </c>
      <c r="I277" t="n">
        <v>0</v>
      </c>
      <c r="J277" t="n">
        <v>0</v>
      </c>
      <c r="K277" t="n">
        <v>0</v>
      </c>
      <c r="L277" t="n">
        <v>0</v>
      </c>
      <c r="M277" t="n">
        <v>0</v>
      </c>
      <c r="N277" t="n">
        <v>0</v>
      </c>
    </row>
    <row r="278">
      <c r="A278" t="inlineStr">
        <is>
          <t>Stock</t>
        </is>
      </c>
      <c r="B278" t="inlineStr">
        <is>
          <t>Lambs: 56 from the offspring of the ewes this year and not more because 4 ewes were sterile.</t>
        </is>
      </c>
      <c r="C278" t="n">
        <v>0</v>
      </c>
      <c r="D278" t="n">
        <v>0</v>
      </c>
      <c r="E278" t="n">
        <v>0</v>
      </c>
      <c r="F278" t="n">
        <v>0</v>
      </c>
      <c r="H278" t="n">
        <v>0</v>
      </c>
      <c r="I278" t="n">
        <v>0</v>
      </c>
      <c r="J278" t="n">
        <v>0</v>
      </c>
      <c r="K278" t="n">
        <v>0</v>
      </c>
      <c r="L278" t="n">
        <v>0</v>
      </c>
      <c r="M278" t="n">
        <v>0</v>
      </c>
      <c r="N278" t="n">
        <v>0</v>
      </c>
    </row>
    <row r="279">
      <c r="A279" t="inlineStr">
        <is>
          <t>Stock</t>
        </is>
      </c>
      <c r="B279" t="inlineStr">
        <is>
          <t>Total, 56. 20 in murrain before shearing and weaning.</t>
        </is>
      </c>
      <c r="C279" t="n">
        <v>0</v>
      </c>
      <c r="D279" t="n">
        <v>0</v>
      </c>
      <c r="E279" t="n">
        <v>0</v>
      </c>
      <c r="F279" t="n">
        <v>0</v>
      </c>
      <c r="H279" t="n">
        <v>0</v>
      </c>
      <c r="I279" t="n">
        <v>0</v>
      </c>
      <c r="J279" t="n">
        <v>0</v>
      </c>
      <c r="K279" t="n">
        <v>0</v>
      </c>
      <c r="L279" t="n">
        <v>0</v>
      </c>
      <c r="M279" t="n">
        <v>0</v>
      </c>
      <c r="N279" t="n">
        <v>0</v>
      </c>
    </row>
    <row r="280">
      <c r="A280" t="inlineStr">
        <is>
          <t>Stock</t>
        </is>
      </c>
      <c r="B280" t="inlineStr">
        <is>
          <t>3 in tithe.</t>
        </is>
      </c>
      <c r="C280" t="n">
        <v>0</v>
      </c>
      <c r="D280" t="n">
        <v>0</v>
      </c>
      <c r="E280" t="n">
        <v>0</v>
      </c>
      <c r="F280" t="n">
        <v>0</v>
      </c>
      <c r="H280" t="n">
        <v>0</v>
      </c>
      <c r="I280" t="n">
        <v>0</v>
      </c>
      <c r="J280" t="n">
        <v>0</v>
      </c>
      <c r="K280" t="n">
        <v>0</v>
      </c>
      <c r="L280" t="n">
        <v>0</v>
      </c>
      <c r="M280" t="n">
        <v>0</v>
      </c>
      <c r="N280" t="n">
        <v>0</v>
      </c>
    </row>
    <row r="281">
      <c r="A281" t="inlineStr">
        <is>
          <t>Stock</t>
        </is>
      </c>
      <c r="B281" t="inlineStr">
        <is>
          <t>Total, 23. 33 thus remain.</t>
        </is>
      </c>
      <c r="C281" t="n">
        <v>0</v>
      </c>
      <c r="D281" t="n">
        <v>0</v>
      </c>
      <c r="E281" t="n">
        <v>0</v>
      </c>
      <c r="F281" t="n">
        <v>0</v>
      </c>
      <c r="H281" t="n">
        <v>0</v>
      </c>
      <c r="I281" t="n">
        <v>0</v>
      </c>
      <c r="J281" t="n">
        <v>0</v>
      </c>
      <c r="K281" t="n">
        <v>0</v>
      </c>
      <c r="L281" t="n">
        <v>0</v>
      </c>
      <c r="M281" t="n">
        <v>0</v>
      </c>
      <c r="N281" t="n">
        <v>0</v>
      </c>
    </row>
    <row r="282">
      <c r="A282" t="inlineStr">
        <is>
          <t>Stock</t>
        </is>
      </c>
      <c r="B282" t="inlineStr">
        <is>
          <t>Coarse wool: {yield of fleece 2.5pence plus 1 shilling 8.5pence in all): 186 fleeces produced at the shearing this year. 18 in tithe.</t>
        </is>
      </c>
      <c r="C282" t="n">
        <v>0.06</v>
      </c>
      <c r="D282" t="n">
        <v>0</v>
      </c>
      <c r="E282" t="n">
        <v>1</v>
      </c>
      <c r="F282" t="n">
        <v>2.5</v>
      </c>
      <c r="H282" t="n">
        <v>0</v>
      </c>
      <c r="I282" t="n">
        <v>0</v>
      </c>
      <c r="J282" t="n">
        <v>0</v>
      </c>
      <c r="K282" t="n">
        <v>0</v>
      </c>
      <c r="L282" t="n">
        <v>0</v>
      </c>
      <c r="M282" t="n">
        <v>0</v>
      </c>
      <c r="N282" t="n">
        <v>0</v>
      </c>
    </row>
    <row r="283">
      <c r="A283" t="inlineStr">
        <is>
          <t>Stock</t>
        </is>
      </c>
      <c r="B283" t="inlineStr">
        <is>
          <t>1 delivered to the shepherd by agreement.</t>
        </is>
      </c>
      <c r="C283" t="n">
        <v>0</v>
      </c>
      <c r="D283" t="n">
        <v>0</v>
      </c>
      <c r="E283" t="n">
        <v>0</v>
      </c>
      <c r="F283" t="n">
        <v>0</v>
      </c>
      <c r="H283" t="n">
        <v>0</v>
      </c>
      <c r="I283" t="n">
        <v>0</v>
      </c>
      <c r="J283" t="n">
        <v>0</v>
      </c>
      <c r="K283" t="n">
        <v>0</v>
      </c>
      <c r="L283" t="n">
        <v>0</v>
      </c>
      <c r="M283" t="n">
        <v>0</v>
      </c>
      <c r="N283" t="n">
        <v>0</v>
      </c>
    </row>
    <row r="284">
      <c r="A284" t="inlineStr">
        <is>
          <t>Stock</t>
        </is>
      </c>
      <c r="B284" t="inlineStr">
        <is>
          <t>167 sent to Wolvesey, which made 19 cloves, at 7 lb a clove.</t>
        </is>
      </c>
      <c r="C284" t="n">
        <v>0</v>
      </c>
      <c r="D284" t="n">
        <v>0</v>
      </c>
      <c r="E284" t="n">
        <v>0</v>
      </c>
      <c r="F284" t="n">
        <v>0</v>
      </c>
      <c r="H284" t="n">
        <v>0</v>
      </c>
      <c r="I284" t="n">
        <v>0</v>
      </c>
      <c r="J284" t="n">
        <v>0</v>
      </c>
      <c r="K284" t="n">
        <v>0</v>
      </c>
      <c r="L284" t="n">
        <v>0</v>
      </c>
      <c r="M284" t="n">
        <v>0</v>
      </c>
      <c r="N284" t="n">
        <v>0</v>
      </c>
    </row>
    <row r="285">
      <c r="A285" t="inlineStr">
        <is>
          <t>Stock</t>
        </is>
      </c>
      <c r="B285" t="inlineStr">
        <is>
          <t>Total, 186. Thus none remain there.</t>
        </is>
      </c>
      <c r="C285" t="n">
        <v>0</v>
      </c>
      <c r="D285" t="n">
        <v>0</v>
      </c>
      <c r="E285" t="n">
        <v>0</v>
      </c>
      <c r="F285" t="n">
        <v>0</v>
      </c>
      <c r="H285" t="n">
        <v>0</v>
      </c>
      <c r="I285" t="n">
        <v>0</v>
      </c>
      <c r="J285" t="n">
        <v>0</v>
      </c>
      <c r="K285" t="n">
        <v>0</v>
      </c>
      <c r="L285" t="n">
        <v>0</v>
      </c>
      <c r="M285" t="n">
        <v>0</v>
      </c>
      <c r="N285" t="n">
        <v>0</v>
      </c>
    </row>
    <row r="286">
      <c r="A286" t="inlineStr">
        <is>
          <t>Stock</t>
        </is>
      </c>
      <c r="B286" t="inlineStr">
        <is>
          <t>Lamb's-wool: {yield of fleece 1.25pence plus 4.25pence in all}: 33 fleeces produced at the shearing this year.</t>
        </is>
      </c>
      <c r="C286" t="n">
        <v>0.01</v>
      </c>
      <c r="D286" t="n">
        <v>0</v>
      </c>
      <c r="E286" t="n">
        <v>0</v>
      </c>
      <c r="F286" t="n">
        <v>1.25</v>
      </c>
      <c r="H286" t="n">
        <v>0</v>
      </c>
      <c r="I286" t="n">
        <v>0</v>
      </c>
      <c r="J286" t="n">
        <v>0</v>
      </c>
      <c r="K286" t="n">
        <v>0</v>
      </c>
      <c r="L286" t="n">
        <v>0</v>
      </c>
      <c r="M286" t="n">
        <v>0</v>
      </c>
      <c r="N286" t="n">
        <v>0</v>
      </c>
    </row>
    <row r="287">
      <c r="A287" t="inlineStr">
        <is>
          <t>Stock</t>
        </is>
      </c>
      <c r="B287" t="inlineStr">
        <is>
          <t>33 sent to Wolvesey, which made 19 cloves with the coarse wool.</t>
        </is>
      </c>
      <c r="C287" t="n">
        <v>0</v>
      </c>
      <c r="D287" t="n">
        <v>0</v>
      </c>
      <c r="E287" t="n">
        <v>0</v>
      </c>
      <c r="F287" t="n">
        <v>0</v>
      </c>
      <c r="H287" t="n">
        <v>0</v>
      </c>
      <c r="I287" t="n">
        <v>0</v>
      </c>
      <c r="J287" t="n">
        <v>0</v>
      </c>
      <c r="K287" t="n">
        <v>0</v>
      </c>
      <c r="L287" t="n">
        <v>0</v>
      </c>
      <c r="M287" t="n">
        <v>0</v>
      </c>
      <c r="N287" t="n">
        <v>0</v>
      </c>
    </row>
    <row r="288">
      <c r="A288" t="inlineStr">
        <is>
          <t>Stock</t>
        </is>
      </c>
      <c r="B288" t="inlineStr">
        <is>
          <t>Hides: 1 from a yearling dead from murrain.</t>
        </is>
      </c>
      <c r="C288" t="n">
        <v>0</v>
      </c>
      <c r="D288" t="n">
        <v>0</v>
      </c>
      <c r="E288" t="n">
        <v>0</v>
      </c>
      <c r="F288" t="n">
        <v>0</v>
      </c>
      <c r="H288" t="n">
        <v>0</v>
      </c>
      <c r="I288" t="n">
        <v>0</v>
      </c>
      <c r="J288" t="n">
        <v>0</v>
      </c>
      <c r="K288" t="n">
        <v>0</v>
      </c>
      <c r="L288" t="n">
        <v>0</v>
      </c>
      <c r="M288" t="n">
        <v>0</v>
      </c>
      <c r="N288" t="n">
        <v>0</v>
      </c>
    </row>
    <row r="289">
      <c r="A289" t="inlineStr">
        <is>
          <t>Stock</t>
        </is>
      </c>
      <c r="B289" t="inlineStr">
        <is>
          <t>1 sold.</t>
        </is>
      </c>
      <c r="C289" t="n">
        <v>0</v>
      </c>
      <c r="D289" t="n">
        <v>0</v>
      </c>
      <c r="E289" t="n">
        <v>0</v>
      </c>
      <c r="F289" t="n">
        <v>0</v>
      </c>
      <c r="H289" t="n">
        <v>0</v>
      </c>
      <c r="I289" t="n">
        <v>0</v>
      </c>
      <c r="J289" t="n">
        <v>0</v>
      </c>
      <c r="K289" t="n">
        <v>0</v>
      </c>
      <c r="L289" t="n">
        <v>0</v>
      </c>
      <c r="M289" t="n">
        <v>0</v>
      </c>
      <c r="N289" t="n">
        <v>0</v>
      </c>
    </row>
    <row r="290">
      <c r="A290" t="inlineStr">
        <is>
          <t>Stock</t>
        </is>
      </c>
      <c r="B290" t="inlineStr">
        <is>
          <t>none remain there.</t>
        </is>
      </c>
      <c r="C290" t="n">
        <v>0</v>
      </c>
      <c r="D290" t="n">
        <v>0</v>
      </c>
      <c r="E290" t="n">
        <v>0</v>
      </c>
      <c r="F290" t="n">
        <v>0</v>
      </c>
      <c r="H290" t="n">
        <v>0</v>
      </c>
      <c r="I290" t="n">
        <v>0</v>
      </c>
      <c r="J290" t="n">
        <v>0</v>
      </c>
      <c r="K290" t="n">
        <v>0</v>
      </c>
      <c r="L290" t="n">
        <v>0</v>
      </c>
      <c r="M290" t="n">
        <v>0</v>
      </c>
      <c r="N290" t="n">
        <v>0</v>
      </c>
    </row>
    <row r="291">
      <c r="A291" t="inlineStr">
        <is>
          <t>Stock</t>
        </is>
      </c>
      <c r="B291" t="inlineStr">
        <is>
          <t>Sheepskins: 22 from wethers dead from murrain before shearing, 5 after shearing.</t>
        </is>
      </c>
      <c r="C291" t="n">
        <v>0</v>
      </c>
      <c r="D291" t="n">
        <v>0</v>
      </c>
      <c r="E291" t="n">
        <v>0</v>
      </c>
      <c r="F291" t="n">
        <v>0</v>
      </c>
      <c r="H291" t="n">
        <v>0</v>
      </c>
      <c r="I291" t="n">
        <v>0</v>
      </c>
      <c r="J291" t="n">
        <v>0</v>
      </c>
      <c r="K291" t="n">
        <v>0</v>
      </c>
      <c r="L291" t="n">
        <v>0</v>
      </c>
      <c r="M291" t="n">
        <v>0</v>
      </c>
      <c r="N291" t="n">
        <v>0</v>
      </c>
    </row>
    <row r="292">
      <c r="A292" t="inlineStr">
        <is>
          <t>Stock</t>
        </is>
      </c>
      <c r="B292" t="inlineStr">
        <is>
          <t>5 from ewes dead from murrain before shearing and lambing.</t>
        </is>
      </c>
      <c r="C292" t="n">
        <v>0</v>
      </c>
      <c r="D292" t="n">
        <v>0</v>
      </c>
      <c r="E292" t="n">
        <v>0</v>
      </c>
      <c r="F292" t="n">
        <v>0</v>
      </c>
      <c r="H292" t="n">
        <v>0</v>
      </c>
      <c r="I292" t="n">
        <v>0</v>
      </c>
      <c r="J292" t="n">
        <v>0</v>
      </c>
      <c r="K292" t="n">
        <v>0</v>
      </c>
      <c r="L292" t="n">
        <v>0</v>
      </c>
      <c r="M292" t="n">
        <v>0</v>
      </c>
      <c r="N292" t="n">
        <v>0</v>
      </c>
    </row>
    <row r="293">
      <c r="A293" t="inlineStr">
        <is>
          <t>Stock</t>
        </is>
      </c>
      <c r="B293" t="inlineStr">
        <is>
          <t>5 from hoggs dead from murrain after shearing.</t>
        </is>
      </c>
      <c r="C293" t="n">
        <v>0</v>
      </c>
      <c r="D293" t="n">
        <v>0</v>
      </c>
      <c r="E293" t="n">
        <v>0</v>
      </c>
      <c r="F293" t="n">
        <v>0</v>
      </c>
      <c r="H293" t="n">
        <v>0</v>
      </c>
      <c r="I293" t="n">
        <v>0</v>
      </c>
      <c r="J293" t="n">
        <v>0</v>
      </c>
      <c r="K293" t="n">
        <v>0</v>
      </c>
      <c r="L293" t="n">
        <v>0</v>
      </c>
      <c r="M293" t="n">
        <v>0</v>
      </c>
      <c r="N293" t="n">
        <v>0</v>
      </c>
    </row>
    <row r="294">
      <c r="A294" t="inlineStr">
        <is>
          <t>Stock</t>
        </is>
      </c>
      <c r="B294" t="inlineStr">
        <is>
          <t>20 from lambs in murrain before weaning and shearing.</t>
        </is>
      </c>
      <c r="C294" t="n">
        <v>0</v>
      </c>
      <c r="D294" t="n">
        <v>0</v>
      </c>
      <c r="E294" t="n">
        <v>0</v>
      </c>
      <c r="F294" t="n">
        <v>0</v>
      </c>
      <c r="H294" t="n">
        <v>0</v>
      </c>
      <c r="I294" t="n">
        <v>0</v>
      </c>
      <c r="J294" t="n">
        <v>0</v>
      </c>
      <c r="K294" t="n">
        <v>0</v>
      </c>
      <c r="L294" t="n">
        <v>0</v>
      </c>
      <c r="M294" t="n">
        <v>0</v>
      </c>
      <c r="N294" t="n">
        <v>0</v>
      </c>
    </row>
    <row r="295">
      <c r="A295" t="inlineStr">
        <is>
          <t>Stock</t>
        </is>
      </c>
      <c r="B295" t="inlineStr">
        <is>
          <t>Total, 57. Sold within and none remain there.</t>
        </is>
      </c>
      <c r="C295" t="n">
        <v>0</v>
      </c>
      <c r="D295" t="n">
        <v>0</v>
      </c>
      <c r="E295" t="n">
        <v>0</v>
      </c>
      <c r="F295" t="n">
        <v>0</v>
      </c>
      <c r="H295" t="n">
        <v>0</v>
      </c>
      <c r="I295" t="n">
        <v>0</v>
      </c>
      <c r="J295" t="n">
        <v>0</v>
      </c>
      <c r="K295" t="n">
        <v>0</v>
      </c>
      <c r="L295" t="n">
        <v>0</v>
      </c>
      <c r="M295" t="n">
        <v>0</v>
      </c>
      <c r="N295" t="n">
        <v>0</v>
      </c>
    </row>
    <row r="296">
      <c r="A296" t="inlineStr">
        <is>
          <t>Stock</t>
        </is>
      </c>
      <c r="B296" t="inlineStr">
        <is>
          <t>Swans: 1 remains.</t>
        </is>
      </c>
      <c r="C296" t="n">
        <v>0</v>
      </c>
      <c r="D296" t="n">
        <v>0</v>
      </c>
      <c r="E296" t="n">
        <v>0</v>
      </c>
      <c r="F296" t="n">
        <v>0</v>
      </c>
      <c r="H296" t="n">
        <v>0</v>
      </c>
      <c r="I296" t="n">
        <v>0</v>
      </c>
      <c r="J296" t="n">
        <v>0</v>
      </c>
      <c r="K296" t="n">
        <v>0</v>
      </c>
      <c r="L296" t="n">
        <v>0</v>
      </c>
      <c r="M296" t="n">
        <v>0</v>
      </c>
      <c r="N296" t="n">
        <v>0</v>
      </c>
    </row>
    <row r="297">
      <c r="A297" t="inlineStr">
        <is>
          <t>Stock</t>
        </is>
      </c>
      <c r="B297" t="inlineStr">
        <is>
          <t>5 from this year's offspring.</t>
        </is>
      </c>
      <c r="C297" t="n">
        <v>0</v>
      </c>
      <c r="D297" t="n">
        <v>0</v>
      </c>
      <c r="E297" t="n">
        <v>0</v>
      </c>
      <c r="F297" t="n">
        <v>0</v>
      </c>
      <c r="H297" t="n">
        <v>0</v>
      </c>
      <c r="I297" t="n">
        <v>0</v>
      </c>
      <c r="J297" t="n">
        <v>0</v>
      </c>
      <c r="K297" t="n">
        <v>0</v>
      </c>
      <c r="L297" t="n">
        <v>0</v>
      </c>
      <c r="M297" t="n">
        <v>0</v>
      </c>
      <c r="N297" t="n">
        <v>0</v>
      </c>
    </row>
    <row r="298">
      <c r="A298" t="inlineStr">
        <is>
          <t>Stock</t>
        </is>
      </c>
      <c r="B298" t="inlineStr">
        <is>
          <t>Total, 6. All remain because the lord sent back the same.</t>
        </is>
      </c>
      <c r="C298" t="n">
        <v>0</v>
      </c>
      <c r="D298" t="n">
        <v>0</v>
      </c>
      <c r="E298" t="n">
        <v>0</v>
      </c>
      <c r="F298" t="n">
        <v>0</v>
      </c>
      <c r="H298" t="n">
        <v>0</v>
      </c>
      <c r="I298" t="n">
        <v>0</v>
      </c>
      <c r="J298" t="n">
        <v>0</v>
      </c>
      <c r="K298" t="n">
        <v>0</v>
      </c>
      <c r="L298" t="n">
        <v>0</v>
      </c>
      <c r="M298" t="n">
        <v>0</v>
      </c>
      <c r="N298" t="n">
        <v>0</v>
      </c>
    </row>
    <row r="299">
      <c r="A299" t="inlineStr">
        <is>
          <t>Stock</t>
        </is>
      </c>
      <c r="B299" t="inlineStr">
        <is>
          <t>Peacocks: 8 remain.</t>
        </is>
      </c>
      <c r="C299" t="n">
        <v>0</v>
      </c>
      <c r="D299" t="n">
        <v>0</v>
      </c>
      <c r="E299" t="n">
        <v>0</v>
      </c>
      <c r="F299" t="n">
        <v>0</v>
      </c>
      <c r="H299" t="n">
        <v>0</v>
      </c>
      <c r="I299" t="n">
        <v>0</v>
      </c>
      <c r="J299" t="n">
        <v>0</v>
      </c>
      <c r="K299" t="n">
        <v>0</v>
      </c>
      <c r="L299" t="n">
        <v>0</v>
      </c>
      <c r="M299" t="n">
        <v>0</v>
      </c>
      <c r="N299" t="n">
        <v>0</v>
      </c>
    </row>
    <row r="300">
      <c r="A300" t="inlineStr">
        <is>
          <t>Stock</t>
        </is>
      </c>
      <c r="B300" t="inlineStr">
        <is>
          <t>Total, 8. 8 remain.</t>
        </is>
      </c>
      <c r="C300" t="n">
        <v>0</v>
      </c>
      <c r="D300" t="n">
        <v>0</v>
      </c>
      <c r="E300" t="n">
        <v>0</v>
      </c>
      <c r="F300" t="n">
        <v>0</v>
      </c>
      <c r="H300" t="n">
        <v>0</v>
      </c>
      <c r="I300" t="n">
        <v>0</v>
      </c>
      <c r="J300" t="n">
        <v>0</v>
      </c>
      <c r="K300" t="n">
        <v>0</v>
      </c>
      <c r="L300" t="n">
        <v>0</v>
      </c>
      <c r="M300" t="n">
        <v>0</v>
      </c>
      <c r="N300" t="n">
        <v>0</v>
      </c>
    </row>
    <row r="301">
      <c r="A301" t="inlineStr">
        <is>
          <t>Stock</t>
        </is>
      </c>
      <c r="B301" t="inlineStr">
        <is>
          <t>Hens: 10 from churchscot.</t>
        </is>
      </c>
      <c r="C301" t="n">
        <v>0</v>
      </c>
      <c r="D301" t="n">
        <v>0</v>
      </c>
      <c r="E301" t="n">
        <v>0</v>
      </c>
      <c r="F301" t="n">
        <v>0</v>
      </c>
      <c r="H301" t="n">
        <v>0</v>
      </c>
      <c r="I301" t="n">
        <v>0</v>
      </c>
      <c r="J301" t="n">
        <v>0</v>
      </c>
      <c r="K301" t="n">
        <v>0</v>
      </c>
      <c r="L301" t="n">
        <v>0</v>
      </c>
      <c r="M301" t="n">
        <v>0</v>
      </c>
      <c r="N301" t="n">
        <v>0</v>
      </c>
    </row>
    <row r="302">
      <c r="A302" t="inlineStr">
        <is>
          <t>Stock</t>
        </is>
      </c>
      <c r="B302" t="inlineStr">
        <is>
          <t>3 in quittance of the reeve.</t>
        </is>
      </c>
      <c r="C302" t="n">
        <v>0</v>
      </c>
      <c r="D302" t="n">
        <v>0</v>
      </c>
      <c r="E302" t="n">
        <v>0</v>
      </c>
      <c r="F302" t="n">
        <v>0</v>
      </c>
      <c r="H302" t="n">
        <v>0</v>
      </c>
      <c r="I302" t="n">
        <v>0</v>
      </c>
      <c r="J302" t="n">
        <v>0</v>
      </c>
      <c r="K302" t="n">
        <v>0</v>
      </c>
      <c r="L302" t="n">
        <v>0</v>
      </c>
      <c r="M302" t="n">
        <v>0</v>
      </c>
      <c r="N302" t="n">
        <v>0</v>
      </c>
    </row>
    <row r="303">
      <c r="A303" t="inlineStr">
        <is>
          <t>Stock</t>
        </is>
      </c>
      <c r="B303" t="inlineStr">
        <is>
          <t>7 sold.</t>
        </is>
      </c>
      <c r="C303" t="n">
        <v>0</v>
      </c>
      <c r="D303" t="n">
        <v>0</v>
      </c>
      <c r="E303" t="n">
        <v>0</v>
      </c>
      <c r="F303" t="n">
        <v>0</v>
      </c>
      <c r="H303" t="n">
        <v>0</v>
      </c>
      <c r="I303" t="n">
        <v>0</v>
      </c>
      <c r="J303" t="n">
        <v>0</v>
      </c>
      <c r="K303" t="n">
        <v>0</v>
      </c>
      <c r="L303" t="n">
        <v>0</v>
      </c>
      <c r="M303" t="n">
        <v>0</v>
      </c>
      <c r="N303" t="n">
        <v>0</v>
      </c>
    </row>
    <row r="304">
      <c r="A304" t="inlineStr">
        <is>
          <t>Stock</t>
        </is>
      </c>
      <c r="B304" t="inlineStr">
        <is>
          <t>none remain there.</t>
        </is>
      </c>
      <c r="C304" t="n">
        <v>0</v>
      </c>
      <c r="D304" t="n">
        <v>0</v>
      </c>
      <c r="E304" t="n">
        <v>0</v>
      </c>
      <c r="F304" t="n">
        <v>0</v>
      </c>
      <c r="H304" t="n">
        <v>0</v>
      </c>
      <c r="I304" t="n">
        <v>0</v>
      </c>
      <c r="J304" t="n">
        <v>0</v>
      </c>
      <c r="K304" t="n">
        <v>0</v>
      </c>
      <c r="L304" t="n">
        <v>0</v>
      </c>
      <c r="M304" t="n">
        <v>0</v>
      </c>
      <c r="N304" t="n">
        <v>0</v>
      </c>
    </row>
    <row r="305">
      <c r="A305" t="inlineStr">
        <is>
          <t>Stock</t>
        </is>
      </c>
      <c r="B305" t="inlineStr">
        <is>
          <t>Utensils: 1 ewer and 1 basin remain. 6 casks remain from the previous year and 1 bought this year.</t>
        </is>
      </c>
      <c r="C305" t="n">
        <v>0</v>
      </c>
      <c r="D305" t="n">
        <v>0</v>
      </c>
      <c r="E305" t="n">
        <v>0</v>
      </c>
      <c r="F305" t="n">
        <v>0</v>
      </c>
      <c r="H305" t="n">
        <v>0</v>
      </c>
      <c r="I305" t="n">
        <v>0</v>
      </c>
      <c r="J305" t="n">
        <v>0</v>
      </c>
      <c r="K305" t="n">
        <v>0</v>
      </c>
      <c r="L305" t="n">
        <v>0</v>
      </c>
      <c r="M305" t="n">
        <v>0</v>
      </c>
      <c r="N305" t="n">
        <v>0</v>
      </c>
    </row>
    <row r="306">
      <c r="A306" t="inlineStr">
        <is>
          <t>Stock</t>
        </is>
      </c>
      <c r="B306" t="inlineStr">
        <is>
          <t>Total, 7. 2 delivered to the bishop's cellar with wine.</t>
        </is>
      </c>
      <c r="C306" t="n">
        <v>0</v>
      </c>
      <c r="D306" t="n">
        <v>0</v>
      </c>
      <c r="E306" t="n">
        <v>0</v>
      </c>
      <c r="F306" t="n">
        <v>0</v>
      </c>
      <c r="H306" t="n">
        <v>0</v>
      </c>
      <c r="I306" t="n">
        <v>0</v>
      </c>
      <c r="J306" t="n">
        <v>0</v>
      </c>
      <c r="K306" t="n">
        <v>0</v>
      </c>
      <c r="L306" t="n">
        <v>0</v>
      </c>
      <c r="M306" t="n">
        <v>0</v>
      </c>
      <c r="N306" t="n">
        <v>0</v>
      </c>
    </row>
    <row r="307">
      <c r="A307" t="inlineStr">
        <is>
          <t>Stock</t>
        </is>
      </c>
      <c r="B307" t="inlineStr">
        <is>
          <t>1 made into 2 tubs.</t>
        </is>
      </c>
      <c r="C307" t="n">
        <v>0</v>
      </c>
      <c r="D307" t="n">
        <v>0</v>
      </c>
      <c r="E307" t="n">
        <v>0</v>
      </c>
      <c r="F307" t="n">
        <v>0</v>
      </c>
      <c r="H307" t="n">
        <v>0</v>
      </c>
      <c r="I307" t="n">
        <v>0</v>
      </c>
      <c r="J307" t="n">
        <v>0</v>
      </c>
      <c r="K307" t="n">
        <v>0</v>
      </c>
      <c r="L307" t="n">
        <v>0</v>
      </c>
      <c r="M307" t="n">
        <v>0</v>
      </c>
      <c r="N307" t="n">
        <v>0</v>
      </c>
    </row>
    <row r="308">
      <c r="A308" t="inlineStr">
        <is>
          <t>Stock</t>
        </is>
      </c>
      <c r="B308" t="inlineStr">
        <is>
          <t>1 delivered to the lord with verjuice.</t>
        </is>
      </c>
      <c r="C308" t="n">
        <v>0</v>
      </c>
      <c r="D308" t="n">
        <v>0</v>
      </c>
      <c r="E308" t="n">
        <v>0</v>
      </c>
      <c r="F308" t="n">
        <v>0</v>
      </c>
      <c r="H308" t="n">
        <v>0</v>
      </c>
      <c r="I308" t="n">
        <v>0</v>
      </c>
      <c r="J308" t="n">
        <v>0</v>
      </c>
      <c r="K308" t="n">
        <v>0</v>
      </c>
      <c r="L308" t="n">
        <v>0</v>
      </c>
      <c r="M308" t="n">
        <v>0</v>
      </c>
      <c r="N308" t="n">
        <v>0</v>
      </c>
    </row>
    <row r="309">
      <c r="A309" t="inlineStr">
        <is>
          <t>Stock</t>
        </is>
      </c>
      <c r="B309" t="inlineStr">
        <is>
          <t>Total, 4. 3 casks and 2 tubs remain.</t>
        </is>
      </c>
      <c r="C309" t="n">
        <v>0</v>
      </c>
      <c r="D309" t="n">
        <v>0</v>
      </c>
      <c r="E309" t="n">
        <v>0</v>
      </c>
      <c r="F309" t="n">
        <v>0</v>
      </c>
      <c r="H309" t="n">
        <v>0</v>
      </c>
      <c r="I309" t="n">
        <v>0</v>
      </c>
      <c r="J309" t="n">
        <v>0</v>
      </c>
      <c r="K309" t="n">
        <v>0</v>
      </c>
      <c r="L309" t="n">
        <v>0</v>
      </c>
      <c r="M309" t="n">
        <v>0</v>
      </c>
      <c r="N309" t="n">
        <v>0</v>
      </c>
    </row>
    <row r="310">
      <c r="A310" t="inlineStr">
        <is>
          <t>Stock</t>
        </is>
      </c>
      <c r="B310" t="inlineStr">
        <is>
          <t>Cheese: nothing from cows' cheese here because the milk was solpence</t>
        </is>
      </c>
      <c r="C310" t="n">
        <v>0</v>
      </c>
      <c r="D310" t="n">
        <v>0</v>
      </c>
      <c r="E310" t="n">
        <v>0</v>
      </c>
      <c r="F310" t="n">
        <v>0</v>
      </c>
      <c r="H310" t="n">
        <v>0</v>
      </c>
      <c r="I310" t="n">
        <v>0</v>
      </c>
      <c r="J310" t="n">
        <v>0</v>
      </c>
      <c r="K310" t="n">
        <v>0</v>
      </c>
      <c r="L310" t="n">
        <v>0</v>
      </c>
      <c r="M310" t="n">
        <v>0</v>
      </c>
      <c r="N310" t="n">
        <v>0</v>
      </c>
    </row>
    <row r="311">
      <c r="A311" t="inlineStr">
        <is>
          <t>Stock</t>
        </is>
      </c>
      <c r="B311" t="inlineStr">
        <is>
          <t>Verjuice: 1 cask this year from the vineyard.</t>
        </is>
      </c>
      <c r="C311" t="n">
        <v>0</v>
      </c>
      <c r="D311" t="n">
        <v>0</v>
      </c>
      <c r="E311" t="n">
        <v>0</v>
      </c>
      <c r="F311" t="n">
        <v>0</v>
      </c>
      <c r="H311" t="n">
        <v>0</v>
      </c>
      <c r="I311" t="n">
        <v>0</v>
      </c>
      <c r="J311" t="n">
        <v>0</v>
      </c>
      <c r="K311" t="n">
        <v>0</v>
      </c>
      <c r="L311" t="n">
        <v>0</v>
      </c>
      <c r="M311" t="n">
        <v>0</v>
      </c>
      <c r="N311" t="n">
        <v>0</v>
      </c>
    </row>
    <row r="312">
      <c r="A312" t="inlineStr">
        <is>
          <t>Stock</t>
        </is>
      </c>
      <c r="B312" t="inlineStr">
        <is>
          <t>all sent to the bishop in London.</t>
        </is>
      </c>
      <c r="C312" t="n">
        <v>0</v>
      </c>
      <c r="D312" t="n">
        <v>0</v>
      </c>
      <c r="E312" t="n">
        <v>0</v>
      </c>
      <c r="F312" t="n">
        <v>0</v>
      </c>
      <c r="H312" t="n">
        <v>0</v>
      </c>
      <c r="I312" t="n">
        <v>0</v>
      </c>
      <c r="J312" t="n">
        <v>0</v>
      </c>
      <c r="K312" t="n">
        <v>0</v>
      </c>
      <c r="L312" t="n">
        <v>0</v>
      </c>
      <c r="M312" t="n">
        <v>0</v>
      </c>
      <c r="N31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50"/>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Rye</t>
        </is>
      </c>
      <c r="B3" t="inlineStr">
        <is>
          <t>{yield: four-fold less 1 qr}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t="inlineStr">
        <is>
          <t>Rye</t>
        </is>
      </c>
      <c r="B4" t="inlineStr">
        <is>
          <t>The same renders account for 24 quarters of rye from the issue of the grange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24</v>
      </c>
      <c r="U4" t="n">
        <v>0</v>
      </c>
      <c r="V4" t="n">
        <v>24</v>
      </c>
      <c r="W4" t="n">
        <v>0</v>
      </c>
      <c r="X4" t="n">
        <v>24</v>
      </c>
      <c r="Y4" t="n">
        <v>0</v>
      </c>
      <c r="Z4" t="n">
        <v>24</v>
      </c>
      <c r="AA4" t="n">
        <v>24</v>
      </c>
      <c r="AB4" t="n">
        <v>0</v>
      </c>
      <c r="AC4" t="n">
        <v>24</v>
      </c>
      <c r="AD4" t="n">
        <v>0</v>
      </c>
    </row>
    <row r="5">
      <c r="A5" t="inlineStr">
        <is>
          <t>Rye</t>
        </is>
      </c>
      <c r="B5" t="inlineStr">
        <is>
          <t>6 quarters from the increment.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row>
    <row r="6">
      <c r="A6" t="inlineStr">
        <is>
          <t>Rye</t>
        </is>
      </c>
      <c r="B6" t="inlineStr">
        <is>
          <t>Total, 30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30</v>
      </c>
      <c r="Y6" t="n">
        <v>0</v>
      </c>
      <c r="Z6" t="n">
        <v>30</v>
      </c>
      <c r="AA6" t="n">
        <v>30</v>
      </c>
      <c r="AB6" t="n">
        <v>0</v>
      </c>
      <c r="AC6" t="n">
        <v>30</v>
      </c>
      <c r="AD6" t="n">
        <v>0</v>
      </c>
    </row>
    <row r="7">
      <c r="A7" t="inlineStr">
        <is>
          <t>Rye</t>
        </is>
      </c>
      <c r="B7" t="inlineStr">
        <is>
          <t>Sown over 12 acres at Esher and 13.5 acres at Nortwod', 6 quarters 3 bushels.</t>
        </is>
      </c>
      <c r="C7" t="n">
        <v>0</v>
      </c>
      <c r="D7" t="n">
        <v>0</v>
      </c>
      <c r="E7" t="n">
        <v>6</v>
      </c>
      <c r="F7" t="n">
        <v>3</v>
      </c>
      <c r="G7" t="n">
        <v>6.375</v>
      </c>
      <c r="H7" t="n">
        <v>0</v>
      </c>
      <c r="I7" t="n">
        <v>0</v>
      </c>
      <c r="J7" t="n">
        <v>0</v>
      </c>
      <c r="K7" t="n">
        <v>0</v>
      </c>
      <c r="L7" t="n">
        <v>0</v>
      </c>
      <c r="M7" t="n">
        <v>0</v>
      </c>
      <c r="N7" t="n">
        <v>0</v>
      </c>
      <c r="O7" t="n">
        <v>0</v>
      </c>
      <c r="P7" t="n">
        <v>0</v>
      </c>
      <c r="Q7" t="n">
        <v>0</v>
      </c>
      <c r="R7" t="n">
        <v>0</v>
      </c>
      <c r="S7" t="n">
        <v>0</v>
      </c>
      <c r="T7" t="n">
        <v>0</v>
      </c>
      <c r="U7" t="n">
        <v>0</v>
      </c>
      <c r="V7" t="n">
        <v>0</v>
      </c>
      <c r="W7" t="n">
        <v>0</v>
      </c>
      <c r="X7" t="n">
        <v>6</v>
      </c>
      <c r="Y7" t="n">
        <v>3</v>
      </c>
      <c r="Z7" t="n">
        <v>6.375</v>
      </c>
      <c r="AA7" t="n">
        <v>6.375</v>
      </c>
      <c r="AB7" t="n">
        <v>0</v>
      </c>
      <c r="AC7" t="n">
        <v>6</v>
      </c>
      <c r="AD7" t="n">
        <v>3</v>
      </c>
    </row>
    <row r="8">
      <c r="A8" t="inlineStr">
        <is>
          <t>Rye</t>
        </is>
      </c>
      <c r="B8" t="inlineStr">
        <is>
          <t>that is, 2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row>
    <row r="9">
      <c r="A9" t="inlineStr">
        <is>
          <t>Rye</t>
        </is>
      </c>
      <c r="B9" t="inlineStr">
        <is>
          <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Rye</t>
        </is>
      </c>
      <c r="B10" t="inlineStr">
        <is>
          <t>bread baked for the harrowers at the sowing of the oats, 1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n">
        <v>0.125</v>
      </c>
      <c r="AA10" t="n">
        <v>0.125</v>
      </c>
      <c r="AB10" t="n">
        <v>0</v>
      </c>
      <c r="AC10" t="n">
        <v>0</v>
      </c>
      <c r="AD10" t="n">
        <v>1</v>
      </c>
    </row>
    <row r="11">
      <c r="A11" t="inlineStr">
        <is>
          <t>Rye</t>
        </is>
      </c>
      <c r="B11" t="inlineStr">
        <is>
          <t>bread baked for the mowing of the meadows,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0.375</v>
      </c>
      <c r="AA11" t="n">
        <v>0.375</v>
      </c>
      <c r="AB11" t="n">
        <v>0</v>
      </c>
      <c r="AC11" t="n">
        <v>0</v>
      </c>
      <c r="AD11" t="n">
        <v>3</v>
      </c>
    </row>
    <row r="12">
      <c r="A12" t="inlineStr">
        <is>
          <t>Rye</t>
        </is>
      </c>
      <c r="B12" t="inlineStr">
        <is>
          <t>bread baked for the carrying of the hay from the meadows to the manor of Esher,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v>
      </c>
      <c r="Z12" t="n">
        <v>0.125</v>
      </c>
      <c r="AA12" t="n">
        <v>0.125</v>
      </c>
      <c r="AB12" t="n">
        <v>0</v>
      </c>
      <c r="AC12" t="n">
        <v>0</v>
      </c>
      <c r="AD12" t="n">
        <v>1</v>
      </c>
    </row>
    <row r="13">
      <c r="A13" t="inlineStr">
        <is>
          <t>Rye</t>
        </is>
      </c>
      <c r="B13" t="inlineStr">
        <is>
          <t>bread baked for the shearing of the sheep, .5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5</v>
      </c>
      <c r="Z13" t="n">
        <v>0.625</v>
      </c>
      <c r="AA13" t="n">
        <v>0.625</v>
      </c>
      <c r="AB13" t="n">
        <v>0</v>
      </c>
      <c r="AC13" t="n">
        <v>0</v>
      </c>
      <c r="AD13" t="n">
        <v>5</v>
      </c>
    </row>
    <row r="14">
      <c r="A14" t="inlineStr">
        <is>
          <t>Rye</t>
        </is>
      </c>
      <c r="B14" t="inlineStr">
        <is>
          <t>bread baked for the provision of the harvest, 1 qr 2 bushels Delivered to 1 vintner for the year, 6.5 quarters, taking a quarter every 8 weeks.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t="inlineStr">
        <is>
          <t>Rye</t>
        </is>
      </c>
      <c r="B15" t="inlineStr">
        <is>
          <t>Sold, 15 quarters 1.5 bushels Total, 30 quarters.</t>
        </is>
      </c>
      <c r="C15" t="n">
        <v>0</v>
      </c>
      <c r="D15" t="n">
        <v>0</v>
      </c>
      <c r="E15" t="n">
        <v>0</v>
      </c>
      <c r="F15" t="n">
        <v>0</v>
      </c>
      <c r="G15" t="n">
        <v>0</v>
      </c>
      <c r="H15" t="n">
        <v>0</v>
      </c>
      <c r="I15" t="n">
        <v>0</v>
      </c>
      <c r="J15" t="n">
        <v>0</v>
      </c>
      <c r="K15" t="n">
        <v>0</v>
      </c>
      <c r="L15" t="n">
        <v>0</v>
      </c>
      <c r="M15" t="n">
        <v>0</v>
      </c>
      <c r="N15" t="n">
        <v>0</v>
      </c>
      <c r="O15" t="n">
        <v>0</v>
      </c>
      <c r="P15" t="n">
        <v>0</v>
      </c>
      <c r="Q15" t="n">
        <v>45</v>
      </c>
      <c r="R15" t="n">
        <v>1.5</v>
      </c>
      <c r="S15" t="n">
        <v>45.1875</v>
      </c>
      <c r="T15" t="n">
        <v>0</v>
      </c>
      <c r="U15" t="n">
        <v>0</v>
      </c>
      <c r="V15" t="n">
        <v>0</v>
      </c>
      <c r="W15" t="n">
        <v>0</v>
      </c>
      <c r="X15" t="n">
        <v>30</v>
      </c>
      <c r="Y15" t="n">
        <v>1.5</v>
      </c>
      <c r="Z15" t="n">
        <v>30.1875</v>
      </c>
      <c r="AA15" t="n">
        <v>15.1875</v>
      </c>
      <c r="AB15" t="n">
        <v>15</v>
      </c>
      <c r="AC15" t="n">
        <v>15</v>
      </c>
      <c r="AD15" t="n">
        <v>1.5</v>
      </c>
      <c r="AE15" t="n">
        <v>30</v>
      </c>
      <c r="AF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t="inlineStr">
        <is>
          <t>Barley</t>
        </is>
      </c>
      <c r="B17" t="inlineStr">
        <is>
          <t>{yield: four-fold less 2.5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2.5</v>
      </c>
      <c r="Y17" t="n">
        <v>0</v>
      </c>
      <c r="Z17" t="n">
        <v>2.5</v>
      </c>
      <c r="AA17" t="n">
        <v>2.5</v>
      </c>
      <c r="AB17" t="n">
        <v>0</v>
      </c>
      <c r="AC17" t="n">
        <v>2.5</v>
      </c>
      <c r="AD17" t="n">
        <v>0</v>
      </c>
    </row>
    <row r="18">
      <c r="A18" t="inlineStr">
        <is>
          <t>Barley</t>
        </is>
      </c>
      <c r="B18" t="inlineStr">
        <is>
          <t>The same render account for 4 quarters 5 bushels of barley from the issue of the grange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4</v>
      </c>
      <c r="U18" t="n">
        <v>5</v>
      </c>
      <c r="V18" t="n">
        <v>4.625</v>
      </c>
      <c r="W18" t="n">
        <v>0</v>
      </c>
      <c r="X18" t="n">
        <v>4</v>
      </c>
      <c r="Y18" t="n">
        <v>5</v>
      </c>
      <c r="Z18" t="n">
        <v>4.625</v>
      </c>
      <c r="AA18" t="n">
        <v>4.625</v>
      </c>
      <c r="AB18" t="n">
        <v>0</v>
      </c>
      <c r="AC18" t="n">
        <v>4</v>
      </c>
      <c r="AD18" t="n">
        <v>5</v>
      </c>
    </row>
    <row r="19">
      <c r="A19" t="inlineStr">
        <is>
          <t>Barley</t>
        </is>
      </c>
      <c r="B19" t="inlineStr">
        <is>
          <t>1 qr from the increment.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t="inlineStr">
        <is>
          <t>Barley</t>
        </is>
      </c>
      <c r="B20" t="inlineStr">
        <is>
          <t>25 quarters 5 bushels bought.</t>
        </is>
      </c>
      <c r="C20" t="n">
        <v>0</v>
      </c>
      <c r="D20" t="n">
        <v>0</v>
      </c>
      <c r="E20" t="n">
        <v>0</v>
      </c>
      <c r="F20" t="n">
        <v>0</v>
      </c>
      <c r="G20" t="n">
        <v>0</v>
      </c>
      <c r="H20" t="n">
        <v>25</v>
      </c>
      <c r="I20" t="n">
        <v>5</v>
      </c>
      <c r="J20" t="n">
        <v>25.625</v>
      </c>
      <c r="K20" t="n">
        <v>0</v>
      </c>
      <c r="L20" t="n">
        <v>0</v>
      </c>
      <c r="M20" t="n">
        <v>0</v>
      </c>
      <c r="N20" t="n">
        <v>0</v>
      </c>
      <c r="O20" t="n">
        <v>0</v>
      </c>
      <c r="P20" t="n">
        <v>0</v>
      </c>
      <c r="Q20" t="n">
        <v>0</v>
      </c>
      <c r="R20" t="n">
        <v>0</v>
      </c>
      <c r="S20" t="n">
        <v>0</v>
      </c>
      <c r="T20" t="n">
        <v>0</v>
      </c>
      <c r="U20" t="n">
        <v>0</v>
      </c>
      <c r="V20" t="n">
        <v>0</v>
      </c>
      <c r="W20" t="n">
        <v>0</v>
      </c>
      <c r="X20" t="n">
        <v>25</v>
      </c>
      <c r="Y20" t="n">
        <v>5</v>
      </c>
      <c r="Z20" t="n">
        <v>25.625</v>
      </c>
      <c r="AA20" t="n">
        <v>25.625</v>
      </c>
      <c r="AB20" t="n">
        <v>0</v>
      </c>
      <c r="AC20" t="n">
        <v>25</v>
      </c>
      <c r="AD20" t="n">
        <v>5</v>
      </c>
    </row>
    <row r="21">
      <c r="A21" t="inlineStr">
        <is>
          <t>Barley</t>
        </is>
      </c>
      <c r="B21" t="inlineStr">
        <is>
          <t>Total, 31 quarters 2 .5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31</v>
      </c>
      <c r="Y21" t="n">
        <v>5</v>
      </c>
      <c r="Z21" t="n">
        <v>31.625</v>
      </c>
      <c r="AA21" t="n">
        <v>31</v>
      </c>
      <c r="AB21" t="n">
        <v>0.625</v>
      </c>
      <c r="AC21" t="n">
        <v>31</v>
      </c>
      <c r="AD21" t="n">
        <v>0</v>
      </c>
      <c r="AE21" t="n">
        <v>0</v>
      </c>
      <c r="AF21" t="n">
        <v>5</v>
      </c>
    </row>
    <row r="22">
      <c r="A22" t="inlineStr">
        <is>
          <t>Barley</t>
        </is>
      </c>
      <c r="B22" t="inlineStr">
        <is>
          <t>Sown over 2 acres, 1 qr.</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t="inlineStr">
        <is>
          <t>Barley</t>
        </is>
      </c>
      <c r="B23" t="inlineStr">
        <is>
          <t>Delivered to 1 ploughman and 1 drover for the year, 13 quarters, each of them taking a quarter every 8 weeks. {Henceforth the ploughman and drover should take a quarter every 10 weeks and the keeper of animals every 12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13</v>
      </c>
      <c r="Y23" t="n">
        <v>0</v>
      </c>
      <c r="Z23" t="n">
        <v>13</v>
      </c>
      <c r="AA23" t="n">
        <v>13</v>
      </c>
      <c r="AB23" t="n">
        <v>0</v>
      </c>
      <c r="AC23" t="n">
        <v>13</v>
      </c>
      <c r="AD23" t="n">
        <v>0</v>
      </c>
    </row>
    <row r="24">
      <c r="A24" t="inlineStr">
        <is>
          <t>Barley</t>
        </is>
      </c>
      <c r="B24" t="inlineStr">
        <is>
          <t>stipend of 1 vintner digging in the vineyard for 13 weeks, 1 qr 5 bushels Delivered to 1 shepherd for the year, 5 quarters 1.5 bushels, taking a quarter every 10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t="inlineStr">
        <is>
          <t>Barley</t>
        </is>
      </c>
      <c r="B25" t="inlineStr">
        <is>
          <t>Delivered to 1 man keeping the animals at Northwod and mending fences, 4 quarters 2.5 bushels, taking a quarter every 12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v>
      </c>
      <c r="Y25" t="n">
        <v>2.5</v>
      </c>
      <c r="Z25" t="n">
        <v>4.3125</v>
      </c>
      <c r="AA25" t="n">
        <v>4.3125</v>
      </c>
      <c r="AB25" t="n">
        <v>0</v>
      </c>
      <c r="AC25" t="n">
        <v>4</v>
      </c>
      <c r="AD25" t="n">
        <v>2.5</v>
      </c>
    </row>
    <row r="26">
      <c r="A26" t="inlineStr">
        <is>
          <t>Barley</t>
        </is>
      </c>
      <c r="B26" t="inlineStr">
        <is>
          <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Barley</t>
        </is>
      </c>
      <c r="B27" t="inlineStr">
        <is>
          <t>bread baked for the provision of the harvest by mixing with rye, 1 qr 2 bushels Sold at the audit, 4 quarters 7.5 bushels Total, 31 quarters 2.5 bushels</t>
        </is>
      </c>
      <c r="C27" t="n">
        <v>0</v>
      </c>
      <c r="D27" t="n">
        <v>0</v>
      </c>
      <c r="E27" t="n">
        <v>0</v>
      </c>
      <c r="F27" t="n">
        <v>0</v>
      </c>
      <c r="G27" t="n">
        <v>0</v>
      </c>
      <c r="H27" t="n">
        <v>0</v>
      </c>
      <c r="I27" t="n">
        <v>0</v>
      </c>
      <c r="J27" t="n">
        <v>0</v>
      </c>
      <c r="K27" t="n">
        <v>0</v>
      </c>
      <c r="L27" t="n">
        <v>0</v>
      </c>
      <c r="M27" t="n">
        <v>0</v>
      </c>
      <c r="N27" t="n">
        <v>0</v>
      </c>
      <c r="O27" t="n">
        <v>0</v>
      </c>
      <c r="P27" t="n">
        <v>0</v>
      </c>
      <c r="Q27" t="n">
        <v>35</v>
      </c>
      <c r="R27" t="n">
        <v>10</v>
      </c>
      <c r="S27" t="n">
        <v>36.25</v>
      </c>
      <c r="T27" t="n">
        <v>0</v>
      </c>
      <c r="U27" t="n">
        <v>0</v>
      </c>
      <c r="V27" t="n">
        <v>0</v>
      </c>
      <c r="W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row>
    <row r="29">
      <c r="A29" t="inlineStr">
        <is>
          <t>Oats</t>
        </is>
      </c>
      <c r="B29" t="inlineStr">
        <is>
          <t>The same render account for 36 quarters of oats from the issue of the grange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36</v>
      </c>
      <c r="U29" t="n">
        <v>0</v>
      </c>
      <c r="V29" t="n">
        <v>36</v>
      </c>
      <c r="W29" t="n">
        <v>0</v>
      </c>
      <c r="X29" t="n">
        <v>36</v>
      </c>
      <c r="Y29" t="n">
        <v>0</v>
      </c>
      <c r="Z29" t="n">
        <v>36</v>
      </c>
      <c r="AA29" t="n">
        <v>36</v>
      </c>
      <c r="AB29" t="n">
        <v>0</v>
      </c>
      <c r="AC29" t="n">
        <v>36</v>
      </c>
      <c r="AD29" t="n">
        <v>0</v>
      </c>
    </row>
    <row r="30">
      <c r="A30" t="inlineStr">
        <is>
          <t>Oats</t>
        </is>
      </c>
      <c r="B30" t="inlineStr">
        <is>
          <t>9 quarters from the increment.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9</v>
      </c>
      <c r="Y30" t="n">
        <v>0</v>
      </c>
      <c r="Z30" t="n">
        <v>9</v>
      </c>
      <c r="AA30" t="n">
        <v>9</v>
      </c>
      <c r="AB30" t="n">
        <v>0</v>
      </c>
      <c r="AC30" t="n">
        <v>9</v>
      </c>
      <c r="AD30" t="n">
        <v>0</v>
      </c>
    </row>
    <row r="31">
      <c r="A31" t="inlineStr">
        <is>
          <t>Oats</t>
        </is>
      </c>
      <c r="B31" t="inlineStr">
        <is>
          <t>3 quarters by estimation in sheaves for supporting oxen.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v>
      </c>
      <c r="Y31" t="n">
        <v>0</v>
      </c>
      <c r="Z31" t="n">
        <v>3</v>
      </c>
      <c r="AA31" t="n">
        <v>3</v>
      </c>
      <c r="AB31" t="n">
        <v>0</v>
      </c>
      <c r="AC31" t="n">
        <v>3</v>
      </c>
      <c r="AD31" t="n">
        <v>0</v>
      </c>
    </row>
    <row r="32">
      <c r="A32" t="inlineStr">
        <is>
          <t>Oats</t>
        </is>
      </c>
      <c r="B32" t="inlineStr">
        <is>
          <t>Total, 48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48</v>
      </c>
      <c r="Y32" t="n">
        <v>0</v>
      </c>
      <c r="Z32" t="n">
        <v>48</v>
      </c>
      <c r="AA32" t="n">
        <v>48</v>
      </c>
      <c r="AB32" t="n">
        <v>0</v>
      </c>
      <c r="AC32" t="n">
        <v>48</v>
      </c>
      <c r="AD32" t="n">
        <v>0</v>
      </c>
    </row>
    <row r="33">
      <c r="A33" t="inlineStr">
        <is>
          <t>Oats</t>
        </is>
      </c>
      <c r="B33" t="inlineStr">
        <is>
          <t>Total, 48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48</v>
      </c>
      <c r="Y33" t="n">
        <v>0</v>
      </c>
      <c r="Z33" t="n">
        <v>48</v>
      </c>
      <c r="AA33" t="n">
        <v>48</v>
      </c>
      <c r="AB33" t="n">
        <v>0</v>
      </c>
      <c r="AC33" t="n">
        <v>48</v>
      </c>
      <c r="AD33" t="n">
        <v>0</v>
      </c>
    </row>
    <row r="34">
      <c r="A34" t="inlineStr">
        <is>
          <t>Oats</t>
        </is>
      </c>
      <c r="B34" t="inlineStr">
        <is>
          <t>Sown over 20 acres at Esher and 22 acres at Northwod, 21 quarters.</t>
        </is>
      </c>
      <c r="C34" t="n">
        <v>0</v>
      </c>
      <c r="D34" t="n">
        <v>0</v>
      </c>
      <c r="E34" t="n">
        <v>21</v>
      </c>
      <c r="F34" t="n">
        <v>0</v>
      </c>
      <c r="G34" t="n">
        <v>21</v>
      </c>
      <c r="H34" t="n">
        <v>0</v>
      </c>
      <c r="I34" t="n">
        <v>0</v>
      </c>
      <c r="J34" t="n">
        <v>0</v>
      </c>
      <c r="K34" t="n">
        <v>0</v>
      </c>
      <c r="L34" t="n">
        <v>0</v>
      </c>
      <c r="M34" t="n">
        <v>0</v>
      </c>
      <c r="N34" t="n">
        <v>0</v>
      </c>
      <c r="O34" t="n">
        <v>0</v>
      </c>
      <c r="P34" t="n">
        <v>0</v>
      </c>
      <c r="Q34" t="n">
        <v>0</v>
      </c>
      <c r="R34" t="n">
        <v>0</v>
      </c>
      <c r="S34" t="n">
        <v>0</v>
      </c>
      <c r="T34" t="n">
        <v>0</v>
      </c>
      <c r="U34" t="n">
        <v>0</v>
      </c>
      <c r="V34" t="n">
        <v>0</v>
      </c>
      <c r="W34" t="n">
        <v>0</v>
      </c>
      <c r="X34" t="n">
        <v>21</v>
      </c>
      <c r="Y34" t="n">
        <v>0</v>
      </c>
      <c r="Z34" t="n">
        <v>21</v>
      </c>
      <c r="AA34" t="n">
        <v>21</v>
      </c>
      <c r="AB34" t="n">
        <v>0</v>
      </c>
      <c r="AC34" t="n">
        <v>21</v>
      </c>
      <c r="AD34" t="n">
        <v>0</v>
      </c>
    </row>
    <row r="35">
      <c r="A35" t="inlineStr">
        <is>
          <t>Oats</t>
        </is>
      </c>
      <c r="B35" t="inlineStr">
        <is>
          <t>that is, 4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row>
    <row r="36">
      <c r="A36" t="inlineStr">
        <is>
          <t>Oats</t>
        </is>
      </c>
      <c r="B36" t="inlineStr">
        <is>
          <t>.</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Oats</t>
        </is>
      </c>
      <c r="B37" t="inlineStr">
        <is>
          <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meal for the pottage of the manorial servants, 2.5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2.5</v>
      </c>
      <c r="Y39" t="n">
        <v>0</v>
      </c>
      <c r="Z39" t="n">
        <v>2.5</v>
      </c>
      <c r="AA39" t="n">
        <v>2.5</v>
      </c>
      <c r="AB39" t="n">
        <v>0</v>
      </c>
      <c r="AC39" t="n">
        <v>2.5</v>
      </c>
      <c r="AD39" t="n">
        <v>0</v>
      </c>
    </row>
    <row r="40">
      <c r="A40" t="inlineStr">
        <is>
          <t>Oats</t>
        </is>
      </c>
      <c r="B40" t="inlineStr">
        <is>
          <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Oats</t>
        </is>
      </c>
      <c r="B41" t="inlineStr">
        <is>
          <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Oats</t>
        </is>
      </c>
      <c r="B42" t="inlineStr">
        <is>
          <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Oats</t>
        </is>
      </c>
      <c r="B43" t="inlineStr">
        <is>
          <t>fodder of the cart-horses, 3 quarters.</t>
        </is>
      </c>
      <c r="C43" t="n">
        <v>0</v>
      </c>
      <c r="D43" t="n">
        <v>0</v>
      </c>
      <c r="E43" t="n">
        <v>0</v>
      </c>
      <c r="F43" t="n">
        <v>0</v>
      </c>
      <c r="G43" t="n">
        <v>0</v>
      </c>
      <c r="H43" t="n">
        <v>0</v>
      </c>
      <c r="I43" t="n">
        <v>0</v>
      </c>
      <c r="J43" t="n">
        <v>0</v>
      </c>
      <c r="K43" t="n">
        <v>0</v>
      </c>
      <c r="L43" t="n">
        <v>0</v>
      </c>
      <c r="M43" t="n">
        <v>0</v>
      </c>
      <c r="N43" t="n">
        <v>3</v>
      </c>
      <c r="O43" t="n">
        <v>0</v>
      </c>
      <c r="P43" t="n">
        <v>3</v>
      </c>
      <c r="Q43" t="n">
        <v>0</v>
      </c>
      <c r="R43" t="n">
        <v>0</v>
      </c>
      <c r="S43" t="n">
        <v>0</v>
      </c>
      <c r="T43" t="n">
        <v>0</v>
      </c>
      <c r="U43" t="n">
        <v>0</v>
      </c>
      <c r="V43" t="n">
        <v>0</v>
      </c>
      <c r="W43" t="n">
        <v>0</v>
      </c>
      <c r="X43" t="n">
        <v>3</v>
      </c>
      <c r="Y43" t="n">
        <v>0</v>
      </c>
      <c r="Z43" t="n">
        <v>3</v>
      </c>
      <c r="AA43" t="n">
        <v>3</v>
      </c>
      <c r="AB43" t="n">
        <v>0</v>
      </c>
      <c r="AC43" t="n">
        <v>3</v>
      </c>
      <c r="AD43" t="n">
        <v>0</v>
      </c>
    </row>
    <row r="44">
      <c r="A44" t="inlineStr">
        <is>
          <t>Oats</t>
        </is>
      </c>
      <c r="B44" t="inlineStr">
        <is>
          <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Oats</t>
        </is>
      </c>
      <c r="B45" t="inlineStr">
        <is>
          <t>.</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Oats</t>
        </is>
      </c>
      <c r="B46" t="inlineStr">
        <is>
          <t>.</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t="inlineStr">
        <is>
          <t>Oats</t>
        </is>
      </c>
      <c r="B47" t="inlineStr">
        <is>
          <t>supporting oxen by estimation in sheaves, 3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0</v>
      </c>
      <c r="Z47" t="n">
        <v>3</v>
      </c>
      <c r="AA47" t="n">
        <v>3</v>
      </c>
      <c r="AB47" t="n">
        <v>0</v>
      </c>
      <c r="AC47" t="n">
        <v>3</v>
      </c>
      <c r="AD47" t="n">
        <v>0</v>
      </c>
    </row>
    <row r="48">
      <c r="A48" t="inlineStr">
        <is>
          <t>Oats</t>
        </is>
      </c>
      <c r="B48" t="inlineStr">
        <is>
          <t>Sold, 18.5 quarters.</t>
        </is>
      </c>
      <c r="C48" t="n">
        <v>0</v>
      </c>
      <c r="D48" t="n">
        <v>0</v>
      </c>
      <c r="E48" t="n">
        <v>0</v>
      </c>
      <c r="F48" t="n">
        <v>0</v>
      </c>
      <c r="G48" t="n">
        <v>0</v>
      </c>
      <c r="H48" t="n">
        <v>0</v>
      </c>
      <c r="I48" t="n">
        <v>0</v>
      </c>
      <c r="J48" t="n">
        <v>0</v>
      </c>
      <c r="K48" t="n">
        <v>0</v>
      </c>
      <c r="L48" t="n">
        <v>0</v>
      </c>
      <c r="M48" t="n">
        <v>0</v>
      </c>
      <c r="N48" t="n">
        <v>0</v>
      </c>
      <c r="O48" t="n">
        <v>0</v>
      </c>
      <c r="P48" t="n">
        <v>0</v>
      </c>
      <c r="Q48" t="n">
        <v>18.5</v>
      </c>
      <c r="R48" t="n">
        <v>0</v>
      </c>
      <c r="S48" t="n">
        <v>18.5</v>
      </c>
      <c r="T48" t="n">
        <v>0</v>
      </c>
      <c r="U48" t="n">
        <v>0</v>
      </c>
      <c r="V48" t="n">
        <v>0</v>
      </c>
      <c r="W48" t="n">
        <v>0</v>
      </c>
      <c r="X48" t="n">
        <v>18.5</v>
      </c>
      <c r="Y48" t="n">
        <v>0</v>
      </c>
      <c r="Z48" t="n">
        <v>18.5</v>
      </c>
      <c r="AA48" t="n">
        <v>18.5</v>
      </c>
      <c r="AB48" t="n">
        <v>0</v>
      </c>
      <c r="AC48" t="n">
        <v>18.5</v>
      </c>
      <c r="AD48" t="n">
        <v>0</v>
      </c>
    </row>
    <row r="49">
      <c r="A49" t="inlineStr">
        <is>
          <t>Oats</t>
        </is>
      </c>
      <c r="B49" t="inlineStr">
        <is>
          <t>Total, 48 quarters.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48</v>
      </c>
      <c r="Y49" t="n">
        <v>0</v>
      </c>
      <c r="Z49" t="n">
        <v>48</v>
      </c>
      <c r="AA49" t="n">
        <v>48</v>
      </c>
      <c r="AB49" t="n">
        <v>0</v>
      </c>
      <c r="AC49" t="n">
        <v>48</v>
      </c>
      <c r="AD49" t="n">
        <v>0</v>
      </c>
    </row>
    <row r="50">
      <c r="A50" t="inlineStr">
        <is>
          <t>Oats</t>
        </is>
      </c>
      <c r="B50" t="inlineStr">
        <is>
          <t>Total, 48 quarters.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48</v>
      </c>
      <c r="Y50" t="n">
        <v>0</v>
      </c>
      <c r="Z50" t="n">
        <v>48</v>
      </c>
      <c r="AA50" t="n">
        <v>48</v>
      </c>
      <c r="AB50" t="n">
        <v>0</v>
      </c>
      <c r="AC50" t="n">
        <v>48</v>
      </c>
      <c r="AD5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2025-12-18T10:17:03Z</dcterms:modified>
  <cp:lastModifiedBy>Kowalski, Kuba</cp:lastModifiedBy>
</cp:coreProperties>
</file>